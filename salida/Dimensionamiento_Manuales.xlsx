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<sst xmlns="http://schemas.openxmlformats.org/spreadsheetml/2006/main" count="1053" uniqueCount="219">
  <si>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</si>
  <si>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</si>
  <si>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</si>
  <si>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</si>
  <si>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</si>
  <si>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</si>
  <si>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</si>
  <si>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</si>
  <si>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</si>
  <si>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</si>
  <si>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4: alta de sustitutos ABC que pide como cilindro vacío</t>
  </si>
  <si>
    <t xml:space="preserve">Dimensionamiento Recargas Planta Industrial</t>
  </si>
  <si>
    <t xml:space="preserve">sobrestock_sustitutos, paso 4: alta de sustitutos ABC que pide como matafuego terminado</t>
  </si>
  <si>
    <t xml:space="preserve">MRP (FLAMA_MRP)</t>
  </si>
  <si>
    <t xml:space="preserve">ESTACIONALIDAD C4:N5: perfiles E01 (1 kg) y E02 (2,5 a 10 kg), filas 12 a 15 de parametros_manuales</t>
  </si>
  <si>
    <t xml:space="preserve">Matafuegos terminados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</si>
  <si>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</si>
  <si>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</si>
  <si>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</si>
  <si>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</si>
  <si>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terminados</t>
  </si>
  <si>
    <t xml:space="preserve">Cilindros vendidos vacíos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</si>
  <si>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</si>
  <si>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</si>
  <si>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</si>
  <si>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</si>
  <si>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</si>
  <si>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 (con sustitutos)</t>
  </si>
  <si>
    <t xml:space="preserve">Sustitutos ABC para las plantas de recargas</t>
  </si>
  <si>
    <t xml:space="preserve">ABC 1 kg — sustituto (terminado, planta industrial)</t>
  </si>
  <si>
    <t xml:space="preserve">ABC 2,5 kg — sustituto (terminado, planta industrial)</t>
  </si>
  <si>
    <t xml:space="preserve">ABC 5 kg — sustituto (terminado, planta industrial)</t>
  </si>
  <si>
    <t xml:space="preserve">ABC 10 kg — sustituto (terminado, planta industrial)</t>
  </si>
  <si>
    <t xml:space="preserve">Total sustitutos terminados</t>
  </si>
  <si>
    <t xml:space="preserve">ABC 1 kg — sustituto (cilindro vacío, planta comercial)</t>
  </si>
  <si>
    <t xml:space="preserve">ABC 2,5 kg — sustituto (cilindro vacío, planta comercial)</t>
  </si>
  <si>
    <t xml:space="preserve">ABC 5 kg — sustituto (cilindro vacío, planta comercial)</t>
  </si>
  <si>
    <t xml:space="preserve">ABC 10 kg — sustituto (cilindro vacío, planta comercial)</t>
  </si>
  <si>
    <t xml:space="preserve">Total sustitutos cilindros vacíos</t>
  </si>
  <si>
    <t xml:space="preserve">Sustitutos: paso 4 (alta)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</si>
  <si>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</si>
  <si>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</si>
  <si>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</si>
  <si>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</si>
  <si>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</si>
  <si>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</si>
  <si>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</si>
  <si>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</si>
  <si>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</si>
  <si>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</si>
  <si>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</si>
  <si>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</si>
  <si>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</si>
  <si>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</si>
  <si>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</si>
  <si>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</si>
  <si>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cap.); con 2 turnos se agrega máquina. Ningún puesto queda por encima</t>
  </si>
  <si>
    <t xml:space="preserve">Año de inicio del 2° turno (antes: más máquinas)</t>
  </si>
  <si>
    <t xml:space="preserve">Antes de ese año se agrega máquina u operario; ese año entran todos los turnos y las máquinas que hagan falta hasta 2035; después no se agrega nada (Resumen)</t>
  </si>
  <si>
    <t xml:space="preserve">ESTACIONALIDAD (% de la demanda anual por mes; IMPORTRANGE del MRP, que define los picos)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</si>
  <si>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</si>
  <si>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</si>
  <si>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</si>
  <si>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</si>
  <si>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</si>
  <si>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</si>
  <si>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</si>
  <si>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</si>
  <si>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</si>
  <si>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</si>
  <si>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</si>
  <si>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</si>
  <si>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</si>
  <si>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</si>
  <si>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 kg</t>
  </si>
  <si>
    <t xml:space="preserve">MRP, ESTACIONALIDAD E01 automotor (1 kg) (IMPORTRANGE)</t>
  </si>
  <si>
    <t xml:space="preserve">2,5 kg</t>
  </si>
  <si>
    <t xml:space="preserve">MRP, ESTACIONALIDAD E02 manual comercial (2,5 a 10 kg) (IMPORTRANGE)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</si>
  <si>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</si>
  <si>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</si>
  <si>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</si>
  <si>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</si>
  <si>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</si>
  <si>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</si>
  <si>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</si>
  <si>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</si>
  <si>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</si>
  <si>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</si>
  <si>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</si>
  <si>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</si>
  <si>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</si>
  <si>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</si>
  <si>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</si>
  <si>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</si>
  <si>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</si>
  <si>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</si>
  <si>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(guillotina) — 2,5 a 10 kg</t>
  </si>
  <si>
    <t xml:space="preserve">Guillotina hidráulica Cena serie O 3.200 mm</t>
  </si>
  <si>
    <t xml:space="preserve">ref carros - 1,2/1,5 min x cuerpo (+ CORTES + TIEMPO)</t>
  </si>
  <si>
    <t xml:space="preserve">Corte de tubo — 1 kg</t>
  </si>
  <si>
    <t xml:space="preserve">Cortadora láser de tubo Leapion 1,5 kW</t>
  </si>
  <si>
    <t xml:space="preserve">10 minutos por tubo de 6m (en cada tubo entran 23 cuerpos)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</si>
  <si>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</si>
  <si>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</si>
  <si>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</si>
  <si>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</si>
  <si>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</si>
  <si>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</si>
  <si>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</si>
  <si>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</si>
  <si>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</si>
  <si>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</si>
  <si>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Roladora Firesafer FS-RM01</t>
  </si>
  <si>
    <t xml:space="preserve">Soldadura longitudinal</t>
  </si>
  <si>
    <t xml:space="preserve">Soldadora longitudinal Firesafer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</si>
  <si>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</si>
  <si>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</si>
  <si>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</si>
  <si>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</si>
  <si>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</si>
  <si>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</si>
  <si>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</si>
  <si>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</si>
  <si>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</si>
  <si>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</si>
  <si>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</si>
  <si>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</si>
  <si>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</si>
  <si>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</si>
  <si>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</si>
  <si>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</si>
  <si>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</si>
  <si>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</si>
  <si>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</si>
  <si>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</si>
  <si>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</si>
  <si>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</si>
  <si>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</si>
  <si>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</si>
  <si>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</si>
  <si>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</si>
  <si>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</si>
  <si>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</si>
  <si>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</si>
  <si>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</si>
  <si>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</si>
  <si>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</si>
  <si>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</si>
  <si>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</si>
  <si>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</si>
  <si>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</si>
  <si>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</si>
  <si>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</si>
  <si>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</si>
  <si>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</si>
  <si>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</si>
  <si>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</si>
  <si>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</si>
  <si>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Es 32 porque contemplamos 4 cambios de cupula y 4 de fondo x semana (8*4)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</si>
  <si>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</si>
  <si>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</si>
  <si>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</si>
  <si>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</si>
  <si>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</si>
  <si>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</si>
  <si>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</si>
  <si>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</si>
  <si>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</si>
  <si>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</si>
  <si>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</si>
  <si>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</si>
  <si>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</si>
  <si>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</si>
  <si>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</si>
  <si>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</si>
  <si>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</si>
  <si>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</si>
  <si>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</si>
  <si>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</si>
  <si>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</si>
  <si>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</si>
  <si>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</si>
  <si>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</si>
  <si>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</si>
  <si>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</si>
  <si>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</si>
  <si>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</si>
  <si>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</si>
  <si>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</si>
  <si>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</si>
  <si>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</si>
  <si>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</si>
  <si>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</si>
  <si>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</si>
  <si>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</si>
  <si>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</si>
  <si>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</si>
  <si>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</si>
  <si>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</si>
  <si>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</si>
  <si>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</si>
  <si>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</si>
  <si>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</si>
  <si>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</si>
  <si>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</si>
  <si>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</si>
  <si>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</si>
  <si>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</si>
  <si>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comparando las tablas de máquinas y turnos con el año anterior. Todos los turnos entran el mismo año (2° turno) y después no se agrega máquina; amarillo solo si se cambian las tablas a mano y se pasa el umbral.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</si>
  <si>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</si>
  <si>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</si>
  <si>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</si>
  <si>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</si>
  <si>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</si>
  <si>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</si>
  <si>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Turnos: esta hoja divide por la tabla de turnos (filas 58 a 82), igual que la hoja sin sobrestock.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</si>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</sst>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%"/>
    <numFmt numFmtId="170" formatCode="0.0%"/>
    <numFmt numFmtId="171" formatCode="0.00%"/>
    <numFmt numFmtId="172" formatCode="#,##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  <row r="7" customFormat="false" ht="15" hidden="false" customHeight="true" outlineLevel="0" collapsed="false">
      <c r="A7" s="5" t="s">
        <v>13</v>
      </c>
      <c r="B7" s="6" t="s">
        <v>9</v>
      </c>
      <c r="C7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7" t="s">
        <v>15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16</v>
      </c>
      <c r="B2" s="9" t="n">
        <f aca="false">IFERROR(__xludf.DUMMYFUNCTION("IMPORTRANGE(Links!$B$4,""Indexado Dim Técnico!B3:K6"")"),4178.736543)</f>
        <v>4178.736543</v>
      </c>
      <c r="C2" s="9" t="n">
        <f aca="false">IFERROR(__xludf.DUMMYFUNCTION("""COMPUTED_VALUE"""),5997.303977)</f>
        <v>5997.303977</v>
      </c>
      <c r="D2" s="9" t="n">
        <f aca="false">IFERROR(__xludf.DUMMYFUNCTION("""COMPUTED_VALUE"""),6851.747758)</f>
        <v>6851.747758</v>
      </c>
      <c r="E2" s="9" t="n">
        <f aca="false">IFERROR(__xludf.DUMMYFUNCTION("""COMPUTED_VALUE"""),8467.135549)</f>
        <v>8467.135549</v>
      </c>
      <c r="F2" s="9" t="n">
        <f aca="false">IFERROR(__xludf.DUMMYFUNCTION("""COMPUTED_VALUE"""),12680.63271)</f>
        <v>12680.63271</v>
      </c>
      <c r="G2" s="9" t="n">
        <f aca="false">IFERROR(__xludf.DUMMYFUNCTION("""COMPUTED_VALUE"""),15620.25307)</f>
        <v>15620.25307</v>
      </c>
      <c r="H2" s="9" t="n">
        <f aca="false">IFERROR(__xludf.DUMMYFUNCTION("""COMPUTED_VALUE"""),20332.55326)</f>
        <v>20332.55326</v>
      </c>
      <c r="I2" s="9" t="n">
        <f aca="false">IFERROR(__xludf.DUMMYFUNCTION("""COMPUTED_VALUE"""),25132.07848)</f>
        <v>25132.07848</v>
      </c>
      <c r="J2" s="9" t="n">
        <f aca="false">IFERROR(__xludf.DUMMYFUNCTION("""COMPUTED_VALUE"""),28573.33614)</f>
        <v>28573.33614</v>
      </c>
      <c r="K2" s="9" t="n">
        <f aca="false">IFERROR(__xludf.DUMMYFUNCTION("""COMPUTED_VALUE"""),32072.63913)</f>
        <v>32072.63913</v>
      </c>
    </row>
    <row r="3" customFormat="false" ht="14.25" hidden="false" customHeight="true" outlineLevel="0" collapsed="false">
      <c r="A3" s="8" t="s">
        <v>17</v>
      </c>
      <c r="B3" s="9" t="n">
        <f aca="false">IFERROR(__xludf.DUMMYFUNCTION("""COMPUTED_VALUE"""),295.0303572)</f>
        <v>295.0303572</v>
      </c>
      <c r="C3" s="9" t="n">
        <f aca="false">IFERROR(__xludf.DUMMYFUNCTION("""COMPUTED_VALUE"""),709.7274503)</f>
        <v>709.7274503</v>
      </c>
      <c r="D3" s="9" t="n">
        <f aca="false">IFERROR(__xludf.DUMMYFUNCTION("""COMPUTED_VALUE"""),986.8680576)</f>
        <v>986.8680576</v>
      </c>
      <c r="E3" s="9" t="n">
        <f aca="false">IFERROR(__xludf.DUMMYFUNCTION("""COMPUTED_VALUE"""),1500.638174)</f>
        <v>1500.638174</v>
      </c>
      <c r="F3" s="9" t="n">
        <f aca="false">IFERROR(__xludf.DUMMYFUNCTION("""COMPUTED_VALUE"""),2312.627726)</f>
        <v>2312.627726</v>
      </c>
      <c r="G3" s="9" t="n">
        <f aca="false">IFERROR(__xludf.DUMMYFUNCTION("""COMPUTED_VALUE"""),3252.869887)</f>
        <v>3252.869887</v>
      </c>
      <c r="H3" s="9" t="n">
        <f aca="false">IFERROR(__xludf.DUMMYFUNCTION("""COMPUTED_VALUE"""),4102.315524)</f>
        <v>4102.315524</v>
      </c>
      <c r="I3" s="9" t="n">
        <f aca="false">IFERROR(__xludf.DUMMYFUNCTION("""COMPUTED_VALUE"""),5104.306587)</f>
        <v>5104.306587</v>
      </c>
      <c r="J3" s="9" t="n">
        <f aca="false">IFERROR(__xludf.DUMMYFUNCTION("""COMPUTED_VALUE"""),6195.186243)</f>
        <v>6195.186243</v>
      </c>
      <c r="K3" s="9" t="n">
        <f aca="false">IFERROR(__xludf.DUMMYFUNCTION("""COMPUTED_VALUE"""),7424.858444)</f>
        <v>7424.858444</v>
      </c>
    </row>
    <row r="4" customFormat="false" ht="14.25" hidden="false" customHeight="true" outlineLevel="0" collapsed="false">
      <c r="A4" s="8" t="s">
        <v>18</v>
      </c>
      <c r="B4" s="9" t="n">
        <f aca="false">IFERROR(__xludf.DUMMYFUNCTION("""COMPUTED_VALUE"""),2255.773025)</f>
        <v>2255.773025</v>
      </c>
      <c r="C4" s="9" t="n">
        <f aca="false">IFERROR(__xludf.DUMMYFUNCTION("""COMPUTED_VALUE"""),3846.978881)</f>
        <v>3846.978881</v>
      </c>
      <c r="D4" s="9" t="n">
        <f aca="false">IFERROR(__xludf.DUMMYFUNCTION("""COMPUTED_VALUE"""),5093.537591)</f>
        <v>5093.537591</v>
      </c>
      <c r="E4" s="9" t="n">
        <f aca="false">IFERROR(__xludf.DUMMYFUNCTION("""COMPUTED_VALUE"""),6823.115313)</f>
        <v>6823.115313</v>
      </c>
      <c r="F4" s="9" t="n">
        <f aca="false">IFERROR(__xludf.DUMMYFUNCTION("""COMPUTED_VALUE"""),10819.30694)</f>
        <v>10819.30694</v>
      </c>
      <c r="G4" s="9" t="n">
        <f aca="false">IFERROR(__xludf.DUMMYFUNCTION("""COMPUTED_VALUE"""),14605.96411)</f>
        <v>14605.96411</v>
      </c>
      <c r="H4" s="9" t="n">
        <f aca="false">IFERROR(__xludf.DUMMYFUNCTION("""COMPUTED_VALUE"""),18877.75984)</f>
        <v>18877.75984</v>
      </c>
      <c r="I4" s="9" t="n">
        <f aca="false">IFERROR(__xludf.DUMMYFUNCTION("""COMPUTED_VALUE"""),23368.18637)</f>
        <v>23368.18637</v>
      </c>
      <c r="J4" s="9" t="n">
        <f aca="false">IFERROR(__xludf.DUMMYFUNCTION("""COMPUTED_VALUE"""),26967.72455)</f>
        <v>26967.72455</v>
      </c>
      <c r="K4" s="9" t="n">
        <f aca="false">IFERROR(__xludf.DUMMYFUNCTION("""COMPUTED_VALUE"""),30750.77872)</f>
        <v>30750.77872</v>
      </c>
    </row>
    <row r="5" customFormat="false" ht="14.25" hidden="false" customHeight="true" outlineLevel="0" collapsed="false">
      <c r="A5" s="8" t="s">
        <v>19</v>
      </c>
      <c r="B5" s="9" t="n">
        <f aca="false">IFERROR(__xludf.DUMMYFUNCTION("""COMPUTED_VALUE"""),91.83318153)</f>
        <v>91.83318153</v>
      </c>
      <c r="C5" s="9" t="n">
        <f aca="false">IFERROR(__xludf.DUMMYFUNCTION("""COMPUTED_VALUE"""),177.2472967)</f>
        <v>177.2472967</v>
      </c>
      <c r="D5" s="9" t="n">
        <f aca="false">IFERROR(__xludf.DUMMYFUNCTION("""COMPUTED_VALUE"""),252.9787798)</f>
        <v>252.9787798</v>
      </c>
      <c r="E5" s="9" t="n">
        <f aca="false">IFERROR(__xludf.DUMMYFUNCTION("""COMPUTED_VALUE"""),358.0204941)</f>
        <v>358.0204941</v>
      </c>
      <c r="F5" s="9" t="n">
        <f aca="false">IFERROR(__xludf.DUMMYFUNCTION("""COMPUTED_VALUE"""),602.7181519)</f>
        <v>602.7181519</v>
      </c>
      <c r="G5" s="9" t="n">
        <f aca="false">IFERROR(__xludf.DUMMYFUNCTION("""COMPUTED_VALUE"""),872.605032)</f>
        <v>872.605032</v>
      </c>
      <c r="H5" s="9" t="n">
        <f aca="false">IFERROR(__xludf.DUMMYFUNCTION("""COMPUTED_VALUE"""),1127.160545)</f>
        <v>1127.160545</v>
      </c>
      <c r="I5" s="9" t="n">
        <f aca="false">IFERROR(__xludf.DUMMYFUNCTION("""COMPUTED_VALUE"""),1395.444812)</f>
        <v>1395.444812</v>
      </c>
      <c r="J5" s="9" t="n">
        <f aca="false">IFERROR(__xludf.DUMMYFUNCTION("""COMPUTED_VALUE"""),1612.350054)</f>
        <v>1612.350054</v>
      </c>
      <c r="K5" s="9" t="n">
        <f aca="false">IFERROR(__xludf.DUMMYFUNCTION("""COMPUTED_VALUE"""),1840.848079)</f>
        <v>1840.848079</v>
      </c>
    </row>
    <row r="6" customFormat="false" ht="14.25" hidden="false" customHeight="true" outlineLevel="0" collapsed="false">
      <c r="A6" s="10" t="s">
        <v>20</v>
      </c>
      <c r="B6" s="11" t="n">
        <f aca="false">SUM(B2:B5)</f>
        <v>6821.37310673</v>
      </c>
      <c r="C6" s="11" t="n">
        <f aca="false">SUM(C2:C5)</f>
        <v>10731.257605</v>
      </c>
      <c r="D6" s="11" t="n">
        <f aca="false">SUM(D2:D5)</f>
        <v>13185.1321864</v>
      </c>
      <c r="E6" s="11" t="n">
        <f aca="false">SUM(E2:E5)</f>
        <v>17148.9095301</v>
      </c>
      <c r="F6" s="11" t="n">
        <f aca="false">SUM(F2:F5)</f>
        <v>26415.2855279</v>
      </c>
      <c r="G6" s="11" t="n">
        <f aca="false">SUM(G2:G5)</f>
        <v>34351.692099</v>
      </c>
      <c r="H6" s="11" t="n">
        <f aca="false">SUM(H2:H5)</f>
        <v>44439.789169</v>
      </c>
      <c r="I6" s="11" t="n">
        <f aca="false">SUM(I2:I5)</f>
        <v>55000.016249</v>
      </c>
      <c r="J6" s="11" t="n">
        <f aca="false">SUM(J2:J5)</f>
        <v>63348.596987</v>
      </c>
      <c r="K6" s="11" t="n">
        <f aca="false">SUM(K2:K5)</f>
        <v>72089.124373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21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22</v>
      </c>
      <c r="B9" s="9" t="n">
        <f aca="false">IFERROR(__xludf.DUMMYFUNCTION("IMPORTRANGE(Links!$B$4,""Indexado Dim Técnico!B15:K18"")"),0)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IFERROR(__xludf.DUMMYFUNCTION("""COMPUTED_VALUE"""),7662.4)</f>
        <v>7662.4</v>
      </c>
      <c r="E9" s="9" t="n">
        <f aca="false">IFERROR(__xludf.DUMMYFUNCTION("""COMPUTED_VALUE"""),26694.8)</f>
        <v>26694.8</v>
      </c>
      <c r="F9" s="9" t="n">
        <f aca="false">IFERROR(__xludf.DUMMYFUNCTION("""COMPUTED_VALUE"""),49434.8)</f>
        <v>49434.8</v>
      </c>
      <c r="G9" s="9" t="n">
        <f aca="false">IFERROR(__xludf.DUMMYFUNCTION("""COMPUTED_VALUE"""),71680.2)</f>
        <v>71680.2</v>
      </c>
      <c r="H9" s="9" t="n">
        <f aca="false">IFERROR(__xludf.DUMMYFUNCTION("""COMPUTED_VALUE"""),101340.6)</f>
        <v>101340.6</v>
      </c>
      <c r="I9" s="9" t="n">
        <f aca="false">IFERROR(__xludf.DUMMYFUNCTION("""COMPUTED_VALUE"""),131001)</f>
        <v>131001</v>
      </c>
      <c r="J9" s="9" t="n">
        <f aca="false">IFERROR(__xludf.DUMMYFUNCTION("""COMPUTED_VALUE"""),146819.8)</f>
        <v>146819.8</v>
      </c>
      <c r="K9" s="9" t="n">
        <f aca="false">IFERROR(__xludf.DUMMYFUNCTION("""COMPUTED_VALUE"""),170548)</f>
        <v>170548</v>
      </c>
    </row>
    <row r="10" customFormat="false" ht="14.25" hidden="false" customHeight="true" outlineLevel="0" collapsed="false">
      <c r="A10" s="8" t="s">
        <v>23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IFERROR(__xludf.DUMMYFUNCTION("""COMPUTED_VALUE"""),299.6)</f>
        <v>299.6</v>
      </c>
      <c r="E10" s="9" t="n">
        <f aca="false">IFERROR(__xludf.DUMMYFUNCTION("""COMPUTED_VALUE"""),1043.8)</f>
        <v>1043.8</v>
      </c>
      <c r="F10" s="9" t="n">
        <f aca="false">IFERROR(__xludf.DUMMYFUNCTION("""COMPUTED_VALUE"""),1933)</f>
        <v>1933</v>
      </c>
      <c r="G10" s="9" t="n">
        <f aca="false">IFERROR(__xludf.DUMMYFUNCTION("""COMPUTED_VALUE"""),2803)</f>
        <v>2803</v>
      </c>
      <c r="H10" s="9" t="n">
        <f aca="false">IFERROR(__xludf.DUMMYFUNCTION("""COMPUTED_VALUE"""),3963)</f>
        <v>3963</v>
      </c>
      <c r="I10" s="9" t="n">
        <f aca="false">IFERROR(__xludf.DUMMYFUNCTION("""COMPUTED_VALUE"""),5123)</f>
        <v>5123</v>
      </c>
      <c r="J10" s="9" t="n">
        <f aca="false">IFERROR(__xludf.DUMMYFUNCTION("""COMPUTED_VALUE"""),5741.4)</f>
        <v>5741.4</v>
      </c>
      <c r="K10" s="9" t="n">
        <f aca="false">IFERROR(__xludf.DUMMYFUNCTION("""COMPUTED_VALUE"""),6669)</f>
        <v>6669</v>
      </c>
    </row>
    <row r="11" customFormat="false" ht="14.25" hidden="false" customHeight="true" outlineLevel="0" collapsed="false">
      <c r="A11" s="8" t="s">
        <v>24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IFERROR(__xludf.DUMMYFUNCTION("""COMPUTED_VALUE"""),1478.8)</f>
        <v>1478.8</v>
      </c>
      <c r="E11" s="9" t="n">
        <f aca="false">IFERROR(__xludf.DUMMYFUNCTION("""COMPUTED_VALUE"""),5152)</f>
        <v>5152</v>
      </c>
      <c r="F11" s="9" t="n">
        <f aca="false">IFERROR(__xludf.DUMMYFUNCTION("""COMPUTED_VALUE"""),9540.8)</f>
        <v>9540.8</v>
      </c>
      <c r="G11" s="9" t="n">
        <f aca="false">IFERROR(__xludf.DUMMYFUNCTION("""COMPUTED_VALUE"""),13834.2)</f>
        <v>13834.2</v>
      </c>
      <c r="H11" s="9" t="n">
        <f aca="false">IFERROR(__xludf.DUMMYFUNCTION("""COMPUTED_VALUE"""),19558.6)</f>
        <v>19558.6</v>
      </c>
      <c r="I11" s="9" t="n">
        <f aca="false">IFERROR(__xludf.DUMMYFUNCTION("""COMPUTED_VALUE"""),25283)</f>
        <v>25283</v>
      </c>
      <c r="J11" s="9" t="n">
        <f aca="false">IFERROR(__xludf.DUMMYFUNCTION("""COMPUTED_VALUE"""),28335.8)</f>
        <v>28335.8</v>
      </c>
      <c r="K11" s="9" t="n">
        <f aca="false">IFERROR(__xludf.DUMMYFUNCTION("""COMPUTED_VALUE"""),32915)</f>
        <v>32915</v>
      </c>
    </row>
    <row r="12" customFormat="false" ht="14.25" hidden="false" customHeight="true" outlineLevel="0" collapsed="false">
      <c r="A12" s="8" t="s">
        <v>25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IFERROR(__xludf.DUMMYFUNCTION("""COMPUTED_VALUE"""),90.4)</f>
        <v>90.4</v>
      </c>
      <c r="E12" s="9" t="n">
        <f aca="false">IFERROR(__xludf.DUMMYFUNCTION("""COMPUTED_VALUE"""),315)</f>
        <v>315</v>
      </c>
      <c r="F12" s="9" t="n">
        <f aca="false">IFERROR(__xludf.DUMMYFUNCTION("""COMPUTED_VALUE"""),583.4)</f>
        <v>583.4</v>
      </c>
      <c r="G12" s="9" t="n">
        <f aca="false">IFERROR(__xludf.DUMMYFUNCTION("""COMPUTED_VALUE"""),845.8)</f>
        <v>845.8</v>
      </c>
      <c r="H12" s="9" t="n">
        <f aca="false">IFERROR(__xludf.DUMMYFUNCTION("""COMPUTED_VALUE"""),1195.4)</f>
        <v>1195.4</v>
      </c>
      <c r="I12" s="9" t="n">
        <f aca="false">IFERROR(__xludf.DUMMYFUNCTION("""COMPUTED_VALUE"""),1545)</f>
        <v>1545</v>
      </c>
      <c r="J12" s="9" t="n">
        <f aca="false">IFERROR(__xludf.DUMMYFUNCTION("""COMPUTED_VALUE"""),1731.4)</f>
        <v>1731.4</v>
      </c>
      <c r="K12" s="9" t="n">
        <f aca="false">IFERROR(__xludf.DUMMYFUNCTION("""COMPUTED_VALUE"""),2011)</f>
        <v>2011</v>
      </c>
    </row>
    <row r="13" customFormat="false" ht="14.25" hidden="false" customHeight="true" outlineLevel="0" collapsed="false">
      <c r="A13" s="10" t="s">
        <v>26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9531.2</v>
      </c>
      <c r="E13" s="11" t="n">
        <f aca="false">SUM(E9:E12)</f>
        <v>33205.6</v>
      </c>
      <c r="F13" s="11" t="n">
        <f aca="false">SUM(F9:F12)</f>
        <v>61492</v>
      </c>
      <c r="G13" s="11" t="n">
        <f aca="false">SUM(G9:G12)</f>
        <v>89163.2</v>
      </c>
      <c r="H13" s="11" t="n">
        <f aca="false">SUM(H9:H12)</f>
        <v>126057.6</v>
      </c>
      <c r="I13" s="11" t="n">
        <f aca="false">SUM(I9:I12)</f>
        <v>162952</v>
      </c>
      <c r="J13" s="11" t="n">
        <f aca="false">SUM(J9:J12)</f>
        <v>182628.4</v>
      </c>
      <c r="K13" s="11" t="n">
        <f aca="false">SUM(K9:K12)</f>
        <v>212143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0" t="s">
        <v>27</v>
      </c>
      <c r="B15" s="11" t="n">
        <f aca="false">B6+B13+B22+B27</f>
        <v>6865.37310673</v>
      </c>
      <c r="C15" s="11" t="n">
        <f aca="false">C6+C13+C22+C27</f>
        <v>10857.777605</v>
      </c>
      <c r="D15" s="11" t="n">
        <f aca="false">D6+D13+D22+D27</f>
        <v>22939.6921864</v>
      </c>
      <c r="E15" s="11" t="n">
        <f aca="false">E6+E13+E22+E27</f>
        <v>50716.6695301</v>
      </c>
      <c r="F15" s="11" t="n">
        <f aca="false">F6+F13+F22+F27</f>
        <v>88275.0055279</v>
      </c>
      <c r="G15" s="11" t="n">
        <f aca="false">G6+G13+G22+G27</f>
        <v>123932.492099</v>
      </c>
      <c r="H15" s="11" t="n">
        <f aca="false">H6+H13+H22+H27</f>
        <v>170776.869169</v>
      </c>
      <c r="I15" s="11" t="n">
        <f aca="false">I6+I13+I22+I27</f>
        <v>218241.176249</v>
      </c>
      <c r="J15" s="11" t="n">
        <f aca="false">J6+J13+J22+J27</f>
        <v>246245.516987</v>
      </c>
      <c r="K15" s="11" t="n">
        <f aca="false">K6+K13+K22+K27</f>
        <v>284513.284373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28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29</v>
      </c>
      <c r="B18" s="9" t="n">
        <f aca="false">IFERROR(__xludf.DUMMYFUNCTION("IMPORTRANGE(Links!$B$6,""sobrestock_sustitutos!B73:K76"")"),0)</f>
        <v>0</v>
      </c>
      <c r="C18" s="9" t="n">
        <f aca="false">IFERROR(__xludf.DUMMYFUNCTION("""COMPUTED_VALUE"""),0)</f>
        <v>0</v>
      </c>
      <c r="D18" s="9" t="n">
        <f aca="false">IFERROR(__xludf.DUMMYFUNCTION("""COMPUTED_VALUE"""),0)</f>
        <v>0</v>
      </c>
      <c r="E18" s="9" t="n">
        <f aca="false">IFERROR(__xludf.DUMMYFUNCTION("""COMPUTED_VALUE"""),0)</f>
        <v>0</v>
      </c>
      <c r="F18" s="9" t="n">
        <f aca="false">IFERROR(__xludf.DUMMYFUNCTION("""COMPUTED_VALUE"""),0)</f>
        <v>0</v>
      </c>
      <c r="G18" s="9" t="n">
        <f aca="false">IFERROR(__xludf.DUMMYFUNCTION("""COMPUTED_VALUE"""),0)</f>
        <v>0</v>
      </c>
      <c r="H18" s="9" t="n">
        <f aca="false">IFERROR(__xludf.DUMMYFUNCTION("""COMPUTED_VALUE"""),0)</f>
        <v>0</v>
      </c>
      <c r="I18" s="9" t="n">
        <f aca="false">IFERROR(__xludf.DUMMYFUNCTION("""COMPUTED_VALUE"""),0)</f>
        <v>0</v>
      </c>
      <c r="J18" s="9" t="n">
        <f aca="false">IFERROR(__xludf.DUMMYFUNCTION("""COMPUTED_VALUE"""),0)</f>
        <v>0</v>
      </c>
      <c r="K18" s="9" t="n">
        <f aca="false">IFERROR(__xludf.DUMMYFUNCTION("""COMPUTED_VALUE"""),0)</f>
        <v>0</v>
      </c>
    </row>
    <row r="19" customFormat="false" ht="14.25" hidden="false" customHeight="true" outlineLevel="0" collapsed="false">
      <c r="A19" s="8" t="s">
        <v>30</v>
      </c>
      <c r="B19" s="9" t="n">
        <f aca="false">IFERROR(__xludf.DUMMYFUNCTION("""COMPUTED_VALUE"""),3)</f>
        <v>3</v>
      </c>
      <c r="C19" s="9" t="n">
        <f aca="false">IFERROR(__xludf.DUMMYFUNCTION("""COMPUTED_VALUE"""),6.24)</f>
        <v>6.24</v>
      </c>
      <c r="D19" s="9" t="n">
        <f aca="false">IFERROR(__xludf.DUMMYFUNCTION("""COMPUTED_VALUE"""),10.72)</f>
        <v>10.72</v>
      </c>
      <c r="E19" s="9" t="n">
        <f aca="false">IFERROR(__xludf.DUMMYFUNCTION("""COMPUTED_VALUE"""),17.52)</f>
        <v>17.52</v>
      </c>
      <c r="F19" s="9" t="n">
        <f aca="false">IFERROR(__xludf.DUMMYFUNCTION("""COMPUTED_VALUE"""),17.8)</f>
        <v>17.8</v>
      </c>
      <c r="G19" s="9" t="n">
        <f aca="false">IFERROR(__xludf.DUMMYFUNCTION("""COMPUTED_VALUE"""),20)</f>
        <v>20</v>
      </c>
      <c r="H19" s="9" t="n">
        <f aca="false">IFERROR(__xludf.DUMMYFUNCTION("""COMPUTED_VALUE"""),19.28)</f>
        <v>19.28</v>
      </c>
      <c r="I19" s="9" t="n">
        <f aca="false">IFERROR(__xludf.DUMMYFUNCTION("""COMPUTED_VALUE"""),15.4)</f>
        <v>15.4</v>
      </c>
      <c r="J19" s="9" t="n">
        <f aca="false">IFERROR(__xludf.DUMMYFUNCTION("""COMPUTED_VALUE"""),14.12)</f>
        <v>14.12</v>
      </c>
      <c r="K19" s="9" t="n">
        <f aca="false">IFERROR(__xludf.DUMMYFUNCTION("""COMPUTED_VALUE"""),14.68)</f>
        <v>14.68</v>
      </c>
    </row>
    <row r="20" customFormat="false" ht="14.25" hidden="false" customHeight="true" outlineLevel="0" collapsed="false">
      <c r="A20" s="8" t="s">
        <v>31</v>
      </c>
      <c r="B20" s="9" t="n">
        <f aca="false">IFERROR(__xludf.DUMMYFUNCTION("""COMPUTED_VALUE"""),12)</f>
        <v>12</v>
      </c>
      <c r="C20" s="9" t="n">
        <f aca="false">IFERROR(__xludf.DUMMYFUNCTION("""COMPUTED_VALUE"""),35.96)</f>
        <v>35.96</v>
      </c>
      <c r="D20" s="9" t="n">
        <f aca="false">IFERROR(__xludf.DUMMYFUNCTION("""COMPUTED_VALUE"""),62.76)</f>
        <v>62.76</v>
      </c>
      <c r="E20" s="9" t="n">
        <f aca="false">IFERROR(__xludf.DUMMYFUNCTION("""COMPUTED_VALUE"""),103.48)</f>
        <v>103.48</v>
      </c>
      <c r="F20" s="9" t="n">
        <f aca="false">IFERROR(__xludf.DUMMYFUNCTION("""COMPUTED_VALUE"""),104.08)</f>
        <v>104.08</v>
      </c>
      <c r="G20" s="9" t="n">
        <f aca="false">IFERROR(__xludf.DUMMYFUNCTION("""COMPUTED_VALUE"""),118.12)</f>
        <v>118.12</v>
      </c>
      <c r="H20" s="9" t="n">
        <f aca="false">IFERROR(__xludf.DUMMYFUNCTION("""COMPUTED_VALUE"""),75.72)</f>
        <v>75.72</v>
      </c>
      <c r="I20" s="9" t="n">
        <f aca="false">IFERROR(__xludf.DUMMYFUNCTION("""COMPUTED_VALUE"""),81.32)</f>
        <v>81.32</v>
      </c>
      <c r="J20" s="9" t="n">
        <f aca="false">IFERROR(__xludf.DUMMYFUNCTION("""COMPUTED_VALUE"""),75.08)</f>
        <v>75.08</v>
      </c>
      <c r="K20" s="9" t="n">
        <f aca="false">IFERROR(__xludf.DUMMYFUNCTION("""COMPUTED_VALUE"""),79.04)</f>
        <v>79.04</v>
      </c>
    </row>
    <row r="21" customFormat="false" ht="14.25" hidden="false" customHeight="true" outlineLevel="0" collapsed="false">
      <c r="A21" s="8" t="s">
        <v>32</v>
      </c>
      <c r="B21" s="9" t="n">
        <f aca="false">IFERROR(__xludf.DUMMYFUNCTION("""COMPUTED_VALUE"""),1)</f>
        <v>1</v>
      </c>
      <c r="C21" s="9" t="n">
        <f aca="false">IFERROR(__xludf.DUMMYFUNCTION("""COMPUTED_VALUE"""),2.08)</f>
        <v>2.08</v>
      </c>
      <c r="D21" s="9" t="n">
        <f aca="false">IFERROR(__xludf.DUMMYFUNCTION("""COMPUTED_VALUE"""),5.24)</f>
        <v>5.24</v>
      </c>
      <c r="E21" s="9" t="n">
        <f aca="false">IFERROR(__xludf.DUMMYFUNCTION("""COMPUTED_VALUE"""),6.64)</f>
        <v>6.64</v>
      </c>
      <c r="F21" s="9" t="n">
        <f aca="false">IFERROR(__xludf.DUMMYFUNCTION("""COMPUTED_VALUE"""),7.12)</f>
        <v>7.12</v>
      </c>
      <c r="G21" s="9" t="n">
        <f aca="false">IFERROR(__xludf.DUMMYFUNCTION("""COMPUTED_VALUE"""),8.6)</f>
        <v>8.6</v>
      </c>
      <c r="H21" s="9" t="n">
        <f aca="false">IFERROR(__xludf.DUMMYFUNCTION("""COMPUTED_VALUE"""),6.16)</f>
        <v>6.16</v>
      </c>
      <c r="I21" s="9" t="n">
        <f aca="false">IFERROR(__xludf.DUMMYFUNCTION("""COMPUTED_VALUE"""),6.48)</f>
        <v>6.48</v>
      </c>
      <c r="J21" s="9" t="n">
        <f aca="false">IFERROR(__xludf.DUMMYFUNCTION("""COMPUTED_VALUE"""),4.8)</f>
        <v>4.8</v>
      </c>
      <c r="K21" s="9" t="n">
        <f aca="false">IFERROR(__xludf.DUMMYFUNCTION("""COMPUTED_VALUE"""),5.96)</f>
        <v>5.96</v>
      </c>
    </row>
    <row r="22" customFormat="false" ht="14.25" hidden="false" customHeight="true" outlineLevel="0" collapsed="false">
      <c r="A22" s="10" t="s">
        <v>33</v>
      </c>
      <c r="B22" s="11" t="n">
        <f aca="false">SUM(B18:B21)</f>
        <v>16</v>
      </c>
      <c r="C22" s="11" t="n">
        <f aca="false">SUM(C18:C21)</f>
        <v>44.28</v>
      </c>
      <c r="D22" s="11" t="n">
        <f aca="false">SUM(D18:D21)</f>
        <v>78.72</v>
      </c>
      <c r="E22" s="11" t="n">
        <f aca="false">SUM(E18:E21)</f>
        <v>127.64</v>
      </c>
      <c r="F22" s="11" t="n">
        <f aca="false">SUM(F18:F21)</f>
        <v>129</v>
      </c>
      <c r="G22" s="11" t="n">
        <f aca="false">SUM(G18:G21)</f>
        <v>146.72</v>
      </c>
      <c r="H22" s="11" t="n">
        <f aca="false">SUM(H18:H21)</f>
        <v>101.16</v>
      </c>
      <c r="I22" s="11" t="n">
        <f aca="false">SUM(I18:I21)</f>
        <v>103.2</v>
      </c>
      <c r="J22" s="11" t="n">
        <f aca="false">SUM(J18:J21)</f>
        <v>94</v>
      </c>
      <c r="K22" s="11" t="n">
        <f aca="false">SUM(K18:K21)</f>
        <v>99.68</v>
      </c>
    </row>
    <row r="23" customFormat="false" ht="14.25" hidden="false" customHeight="true" outlineLevel="0" collapsed="false">
      <c r="A23" s="8" t="s">
        <v>34</v>
      </c>
      <c r="B23" s="9" t="n">
        <f aca="false">IFERROR(__xludf.DUMMYFUNCTION("IMPORTRANGE(Links!$B$5,""sobrestock_sustitutos!B73:K76"")"),0)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IFERROR(__xludf.DUMMYFUNCTION("""COMPUTED_VALUE"""),0)</f>
        <v>0</v>
      </c>
      <c r="F23" s="9" t="n">
        <f aca="false">IFERROR(__xludf.DUMMYFUNCTION("""COMPUTED_VALUE"""),0)</f>
        <v>0</v>
      </c>
      <c r="G23" s="9" t="n">
        <f aca="false">IFERROR(__xludf.DUMMYFUNCTION("""COMPUTED_VALUE"""),0)</f>
        <v>0</v>
      </c>
      <c r="H23" s="9" t="n">
        <f aca="false">IFERROR(__xludf.DUMMYFUNCTION("""COMPUTED_VALUE"""),0)</f>
        <v>0</v>
      </c>
      <c r="I23" s="9" t="n">
        <f aca="false">IFERROR(__xludf.DUMMYFUNCTION("""COMPUTED_VALUE"""),0)</f>
        <v>0</v>
      </c>
      <c r="J23" s="9" t="n">
        <f aca="false">IFERROR(__xludf.DUMMYFUNCTION("""COMPUTED_VALUE"""),0)</f>
        <v>0</v>
      </c>
      <c r="K23" s="9" t="n">
        <f aca="false">IFERROR(__xludf.DUMMYFUNCTION("""COMPUTED_VALUE"""),0)</f>
        <v>0</v>
      </c>
    </row>
    <row r="24" customFormat="false" ht="14.25" hidden="false" customHeight="true" outlineLevel="0" collapsed="false">
      <c r="A24" s="8" t="s">
        <v>35</v>
      </c>
      <c r="B24" s="9" t="n">
        <f aca="false">IFERROR(__xludf.DUMMYFUNCTION("""COMPUTED_VALUE"""),4)</f>
        <v>4</v>
      </c>
      <c r="C24" s="9" t="n">
        <f aca="false">IFERROR(__xludf.DUMMYFUNCTION("""COMPUTED_VALUE"""),11.32)</f>
        <v>11.32</v>
      </c>
      <c r="D24" s="9" t="n">
        <f aca="false">IFERROR(__xludf.DUMMYFUNCTION("""COMPUTED_VALUE"""),20.2)</f>
        <v>20.2</v>
      </c>
      <c r="E24" s="9" t="n">
        <f aca="false">IFERROR(__xludf.DUMMYFUNCTION("""COMPUTED_VALUE"""),30.72)</f>
        <v>30.72</v>
      </c>
      <c r="F24" s="9" t="n">
        <f aca="false">IFERROR(__xludf.DUMMYFUNCTION("""COMPUTED_VALUE"""),31.96)</f>
        <v>31.96</v>
      </c>
      <c r="G24" s="9" t="n">
        <f aca="false">IFERROR(__xludf.DUMMYFUNCTION("""COMPUTED_VALUE"""),37.12)</f>
        <v>37.12</v>
      </c>
      <c r="H24" s="9" t="n">
        <f aca="false">IFERROR(__xludf.DUMMYFUNCTION("""COMPUTED_VALUE"""),34.52)</f>
        <v>34.52</v>
      </c>
      <c r="I24" s="9" t="n">
        <f aca="false">IFERROR(__xludf.DUMMYFUNCTION("""COMPUTED_VALUE"""),27.52)</f>
        <v>27.52</v>
      </c>
      <c r="J24" s="9" t="n">
        <f aca="false">IFERROR(__xludf.DUMMYFUNCTION("""COMPUTED_VALUE"""),25.8)</f>
        <v>25.8</v>
      </c>
      <c r="K24" s="9" t="n">
        <f aca="false">IFERROR(__xludf.DUMMYFUNCTION("""COMPUTED_VALUE"""),26.84)</f>
        <v>26.84</v>
      </c>
    </row>
    <row r="25" customFormat="false" ht="14.25" hidden="false" customHeight="true" outlineLevel="0" collapsed="false">
      <c r="A25" s="8" t="s">
        <v>36</v>
      </c>
      <c r="B25" s="9" t="n">
        <f aca="false">IFERROR(__xludf.DUMMYFUNCTION("""COMPUTED_VALUE"""),22)</f>
        <v>22</v>
      </c>
      <c r="C25" s="9" t="n">
        <f aca="false">IFERROR(__xludf.DUMMYFUNCTION("""COMPUTED_VALUE"""),66.76)</f>
        <v>66.76</v>
      </c>
      <c r="D25" s="9" t="n">
        <f aca="false">IFERROR(__xludf.DUMMYFUNCTION("""COMPUTED_VALUE"""),116.96)</f>
        <v>116.96</v>
      </c>
      <c r="E25" s="9" t="n">
        <f aca="false">IFERROR(__xludf.DUMMYFUNCTION("""COMPUTED_VALUE"""),190.76)</f>
        <v>190.76</v>
      </c>
      <c r="F25" s="9" t="n">
        <f aca="false">IFERROR(__xludf.DUMMYFUNCTION("""COMPUTED_VALUE"""),193.76)</f>
        <v>193.76</v>
      </c>
      <c r="G25" s="9" t="n">
        <f aca="false">IFERROR(__xludf.DUMMYFUNCTION("""COMPUTED_VALUE"""),218.88)</f>
        <v>218.88</v>
      </c>
      <c r="H25" s="9" t="n">
        <f aca="false">IFERROR(__xludf.DUMMYFUNCTION("""COMPUTED_VALUE"""),131.96)</f>
        <v>131.96</v>
      </c>
      <c r="I25" s="9" t="n">
        <f aca="false">IFERROR(__xludf.DUMMYFUNCTION("""COMPUTED_VALUE"""),147.96)</f>
        <v>147.96</v>
      </c>
      <c r="J25" s="9" t="n">
        <f aca="false">IFERROR(__xludf.DUMMYFUNCTION("""COMPUTED_VALUE"""),138.76)</f>
        <v>138.76</v>
      </c>
      <c r="K25" s="9" t="n">
        <f aca="false">IFERROR(__xludf.DUMMYFUNCTION("""COMPUTED_VALUE"""),144.28)</f>
        <v>144.28</v>
      </c>
    </row>
    <row r="26" customFormat="false" ht="14.25" hidden="false" customHeight="true" outlineLevel="0" collapsed="false">
      <c r="A26" s="8" t="s">
        <v>37</v>
      </c>
      <c r="B26" s="9" t="n">
        <f aca="false">IFERROR(__xludf.DUMMYFUNCTION("""COMPUTED_VALUE"""),2)</f>
        <v>2</v>
      </c>
      <c r="C26" s="9" t="n">
        <f aca="false">IFERROR(__xludf.DUMMYFUNCTION("""COMPUTED_VALUE"""),4.16)</f>
        <v>4.16</v>
      </c>
      <c r="D26" s="9" t="n">
        <f aca="false">IFERROR(__xludf.DUMMYFUNCTION("""COMPUTED_VALUE"""),7.48)</f>
        <v>7.48</v>
      </c>
      <c r="E26" s="9" t="n">
        <f aca="false">IFERROR(__xludf.DUMMYFUNCTION("""COMPUTED_VALUE"""),13.04)</f>
        <v>13.04</v>
      </c>
      <c r="F26" s="9" t="n">
        <f aca="false">IFERROR(__xludf.DUMMYFUNCTION("""COMPUTED_VALUE"""),13)</f>
        <v>13</v>
      </c>
      <c r="G26" s="9" t="n">
        <f aca="false">IFERROR(__xludf.DUMMYFUNCTION("""COMPUTED_VALUE"""),14.88)</f>
        <v>14.88</v>
      </c>
      <c r="H26" s="9" t="n">
        <f aca="false">IFERROR(__xludf.DUMMYFUNCTION("""COMPUTED_VALUE"""),11.84)</f>
        <v>11.84</v>
      </c>
      <c r="I26" s="9" t="n">
        <f aca="false">IFERROR(__xludf.DUMMYFUNCTION("""COMPUTED_VALUE"""),10.48)</f>
        <v>10.48</v>
      </c>
      <c r="J26" s="9" t="n">
        <f aca="false">IFERROR(__xludf.DUMMYFUNCTION("""COMPUTED_VALUE"""),9.96)</f>
        <v>9.96</v>
      </c>
      <c r="K26" s="9" t="n">
        <f aca="false">IFERROR(__xludf.DUMMYFUNCTION("""COMPUTED_VALUE"""),10.36)</f>
        <v>10.36</v>
      </c>
    </row>
    <row r="27" customFormat="false" ht="14.25" hidden="false" customHeight="true" outlineLevel="0" collapsed="false">
      <c r="A27" s="10" t="s">
        <v>38</v>
      </c>
      <c r="B27" s="11" t="n">
        <f aca="false">SUM(B23:B26)</f>
        <v>28</v>
      </c>
      <c r="C27" s="11" t="n">
        <f aca="false">SUM(C23:C26)</f>
        <v>82.24</v>
      </c>
      <c r="D27" s="11" t="n">
        <f aca="false">SUM(D23:D26)</f>
        <v>144.64</v>
      </c>
      <c r="E27" s="11" t="n">
        <f aca="false">SUM(E23:E26)</f>
        <v>234.52</v>
      </c>
      <c r="F27" s="11" t="n">
        <f aca="false">SUM(F23:F26)</f>
        <v>238.72</v>
      </c>
      <c r="G27" s="11" t="n">
        <f aca="false">SUM(G23:G26)</f>
        <v>270.88</v>
      </c>
      <c r="H27" s="11" t="n">
        <f aca="false">SUM(H23:H26)</f>
        <v>178.32</v>
      </c>
      <c r="I27" s="11" t="n">
        <f aca="false">SUM(I23:I26)</f>
        <v>185.96</v>
      </c>
      <c r="J27" s="11" t="n">
        <f aca="false">SUM(J23:J26)</f>
        <v>174.52</v>
      </c>
      <c r="K27" s="11" t="n">
        <f aca="false">SUM(K23:K26)</f>
        <v>181.48</v>
      </c>
    </row>
    <row r="28" customFormat="false" ht="14.25" hidden="false" customHeight="true" outlineLevel="0" collapsed="false">
      <c r="A28" s="12" t="s">
        <v>39</v>
      </c>
    </row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9.43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7" t="s">
        <v>40</v>
      </c>
      <c r="B1" s="7" t="s">
        <v>41</v>
      </c>
      <c r="C1" s="7" t="s">
        <v>42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4.25" hidden="false" customHeight="true" outlineLevel="0" collapsed="false">
      <c r="A2" s="14" t="s">
        <v>43</v>
      </c>
      <c r="B2" s="15" t="n">
        <v>20</v>
      </c>
      <c r="C2" s="14" t="s">
        <v>44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customFormat="false" ht="14.25" hidden="false" customHeight="true" outlineLevel="0" collapsed="false">
      <c r="A3" s="14" t="s">
        <v>45</v>
      </c>
      <c r="B3" s="16" t="n">
        <v>8</v>
      </c>
      <c r="C3" s="14" t="s">
        <v>46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customFormat="false" ht="14.25" hidden="false" customHeight="true" outlineLevel="0" collapsed="false">
      <c r="A4" s="14" t="s">
        <v>47</v>
      </c>
      <c r="B4" s="15" t="n">
        <v>30</v>
      </c>
      <c r="C4" s="14" t="s">
        <v>48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customFormat="false" ht="14.25" hidden="false" customHeight="true" outlineLevel="0" collapsed="false">
      <c r="A5" s="14" t="s">
        <v>49</v>
      </c>
      <c r="B5" s="17" t="n">
        <f aca="false">B3-B4/60</f>
        <v>7.5</v>
      </c>
      <c r="C5" s="14" t="s">
        <v>50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customFormat="false" ht="14.25" hidden="false" customHeight="true" outlineLevel="0" collapsed="false">
      <c r="A6" s="14" t="s">
        <v>51</v>
      </c>
      <c r="B6" s="15" t="n">
        <v>1</v>
      </c>
      <c r="C6" s="14" t="s">
        <v>52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customFormat="false" ht="14.25" hidden="false" customHeight="true" outlineLevel="0" collapsed="false">
      <c r="A7" s="14" t="s">
        <v>53</v>
      </c>
      <c r="B7" s="16" t="n">
        <f aca="false">B2*B5*B6</f>
        <v>150</v>
      </c>
      <c r="C7" s="14" t="s">
        <v>54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customFormat="false" ht="14.25" hidden="false" customHeight="true" outlineLevel="0" collapsed="false">
      <c r="A8" s="14" t="s">
        <v>55</v>
      </c>
      <c r="B8" s="18" t="n">
        <v>0.9</v>
      </c>
      <c r="C8" s="14" t="s">
        <v>56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customFormat="false" ht="14.25" hidden="false" customHeight="true" outlineLevel="0" collapsed="false">
      <c r="A9" s="14" t="s">
        <v>57</v>
      </c>
      <c r="B9" s="15" t="n">
        <v>2032</v>
      </c>
      <c r="C9" s="14" t="s">
        <v>58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customFormat="false" ht="14.25" hidden="false" customHeight="true" outlineLevel="0" collapsed="false">
      <c r="A10" s="19" t="s">
        <v>59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customFormat="false" ht="14.25" hidden="false" customHeight="true" outlineLevel="0" collapsed="false">
      <c r="A11" s="7" t="s">
        <v>60</v>
      </c>
      <c r="B11" s="7" t="s">
        <v>61</v>
      </c>
      <c r="C11" s="7" t="s">
        <v>62</v>
      </c>
      <c r="D11" s="7" t="s">
        <v>63</v>
      </c>
      <c r="E11" s="7" t="s">
        <v>64</v>
      </c>
      <c r="F11" s="7" t="s">
        <v>65</v>
      </c>
      <c r="G11" s="7" t="s">
        <v>66</v>
      </c>
      <c r="H11" s="7" t="s">
        <v>67</v>
      </c>
      <c r="I11" s="7" t="s">
        <v>68</v>
      </c>
      <c r="J11" s="7" t="s">
        <v>69</v>
      </c>
      <c r="K11" s="7" t="s">
        <v>70</v>
      </c>
      <c r="L11" s="7" t="s">
        <v>71</v>
      </c>
      <c r="M11" s="7" t="s">
        <v>72</v>
      </c>
      <c r="N11" s="7" t="s">
        <v>73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customFormat="false" ht="14.25" hidden="false" customHeight="true" outlineLevel="0" collapsed="false">
      <c r="A12" s="14" t="s">
        <v>74</v>
      </c>
      <c r="B12" s="20" t="n">
        <f aca="false">IFERROR(__xludf.DUMMYFUNCTION("IMPORTRANGE(Links!$B$7,""ESTACIONALIDAD!C4:N4"")"),0.12)</f>
        <v>0.12</v>
      </c>
      <c r="C12" s="20" t="n">
        <f aca="false">IFERROR(__xludf.DUMMYFUNCTION("""COMPUTED_VALUE"""),0.09)</f>
        <v>0.09</v>
      </c>
      <c r="D12" s="20" t="n">
        <f aca="false">IFERROR(__xludf.DUMMYFUNCTION("""COMPUTED_VALUE"""),0.08)</f>
        <v>0.08</v>
      </c>
      <c r="E12" s="20" t="n">
        <f aca="false">IFERROR(__xludf.DUMMYFUNCTION("""COMPUTED_VALUE"""),0.075)</f>
        <v>0.075</v>
      </c>
      <c r="F12" s="20" t="n">
        <f aca="false">IFERROR(__xludf.DUMMYFUNCTION("""COMPUTED_VALUE"""),0.07)</f>
        <v>0.07</v>
      </c>
      <c r="G12" s="20" t="n">
        <f aca="false">IFERROR(__xludf.DUMMYFUNCTION("""COMPUTED_VALUE"""),0.07)</f>
        <v>0.07</v>
      </c>
      <c r="H12" s="20" t="n">
        <f aca="false">IFERROR(__xludf.DUMMYFUNCTION("""COMPUTED_VALUE"""),0.075)</f>
        <v>0.075</v>
      </c>
      <c r="I12" s="20" t="n">
        <f aca="false">IFERROR(__xludf.DUMMYFUNCTION("""COMPUTED_VALUE"""),0.075)</f>
        <v>0.075</v>
      </c>
      <c r="J12" s="20" t="n">
        <f aca="false">IFERROR(__xludf.DUMMYFUNCTION("""COMPUTED_VALUE"""),0.075)</f>
        <v>0.075</v>
      </c>
      <c r="K12" s="20" t="n">
        <f aca="false">IFERROR(__xludf.DUMMYFUNCTION("""COMPUTED_VALUE"""),0.075)</f>
        <v>0.075</v>
      </c>
      <c r="L12" s="20" t="n">
        <f aca="false">IFERROR(__xludf.DUMMYFUNCTION("""COMPUTED_VALUE"""),0.075)</f>
        <v>0.075</v>
      </c>
      <c r="M12" s="20" t="n">
        <f aca="false">IFERROR(__xludf.DUMMYFUNCTION("""COMPUTED_VALUE"""),0.12)</f>
        <v>0.12</v>
      </c>
      <c r="N12" s="20" t="n">
        <f aca="false">SUM(B12:M12)</f>
        <v>1</v>
      </c>
      <c r="O12" s="14" t="s">
        <v>75</v>
      </c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customFormat="false" ht="14.25" hidden="false" customHeight="true" outlineLevel="0" collapsed="false">
      <c r="A13" s="14" t="s">
        <v>76</v>
      </c>
      <c r="B13" s="20" t="n">
        <f aca="false">IFERROR(__xludf.DUMMYFUNCTION("IMPORTRANGE(Links!$B$7,""ESTACIONALIDAD!C5:N5"")"),0.1)</f>
        <v>0.1</v>
      </c>
      <c r="C13" s="20" t="n">
        <f aca="false">IFERROR(__xludf.DUMMYFUNCTION("""COMPUTED_VALUE"""),0.08)</f>
        <v>0.08</v>
      </c>
      <c r="D13" s="20" t="n">
        <f aca="false">IFERROR(__xludf.DUMMYFUNCTION("""COMPUTED_VALUE"""),0.085)</f>
        <v>0.085</v>
      </c>
      <c r="E13" s="20" t="n">
        <f aca="false">IFERROR(__xludf.DUMMYFUNCTION("""COMPUTED_VALUE"""),0.085)</f>
        <v>0.085</v>
      </c>
      <c r="F13" s="20" t="n">
        <f aca="false">IFERROR(__xludf.DUMMYFUNCTION("""COMPUTED_VALUE"""),0.08)</f>
        <v>0.08</v>
      </c>
      <c r="G13" s="20" t="n">
        <f aca="false">IFERROR(__xludf.DUMMYFUNCTION("""COMPUTED_VALUE"""),0.075)</f>
        <v>0.075</v>
      </c>
      <c r="H13" s="20" t="n">
        <f aca="false">IFERROR(__xludf.DUMMYFUNCTION("""COMPUTED_VALUE"""),0.08)</f>
        <v>0.08</v>
      </c>
      <c r="I13" s="20" t="n">
        <f aca="false">IFERROR(__xludf.DUMMYFUNCTION("""COMPUTED_VALUE"""),0.08)</f>
        <v>0.08</v>
      </c>
      <c r="J13" s="20" t="n">
        <f aca="false">IFERROR(__xludf.DUMMYFUNCTION("""COMPUTED_VALUE"""),0.08)</f>
        <v>0.08</v>
      </c>
      <c r="K13" s="20" t="n">
        <f aca="false">IFERROR(__xludf.DUMMYFUNCTION("""COMPUTED_VALUE"""),0.075)</f>
        <v>0.075</v>
      </c>
      <c r="L13" s="20" t="n">
        <f aca="false">IFERROR(__xludf.DUMMYFUNCTION("""COMPUTED_VALUE"""),0.07)</f>
        <v>0.07</v>
      </c>
      <c r="M13" s="20" t="n">
        <f aca="false">IFERROR(__xludf.DUMMYFUNCTION("""COMPUTED_VALUE"""),0.11)</f>
        <v>0.11</v>
      </c>
      <c r="N13" s="20" t="n">
        <f aca="false">SUM(B13:M13)</f>
        <v>1</v>
      </c>
      <c r="O13" s="14" t="s">
        <v>77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customFormat="false" ht="14.25" hidden="false" customHeight="true" outlineLevel="0" collapsed="false">
      <c r="A14" s="14" t="s">
        <v>78</v>
      </c>
      <c r="B14" s="20" t="n">
        <f aca="false">IFERROR(__xludf.DUMMYFUNCTION("IMPORTRANGE(Links!$B$7,""ESTACIONALIDAD!C5:N5"")"),0.1)</f>
        <v>0.1</v>
      </c>
      <c r="C14" s="20" t="n">
        <f aca="false">IFERROR(__xludf.DUMMYFUNCTION("""COMPUTED_VALUE"""),0.08)</f>
        <v>0.08</v>
      </c>
      <c r="D14" s="20" t="n">
        <f aca="false">IFERROR(__xludf.DUMMYFUNCTION("""COMPUTED_VALUE"""),0.085)</f>
        <v>0.085</v>
      </c>
      <c r="E14" s="20" t="n">
        <f aca="false">IFERROR(__xludf.DUMMYFUNCTION("""COMPUTED_VALUE"""),0.085)</f>
        <v>0.085</v>
      </c>
      <c r="F14" s="20" t="n">
        <f aca="false">IFERROR(__xludf.DUMMYFUNCTION("""COMPUTED_VALUE"""),0.08)</f>
        <v>0.08</v>
      </c>
      <c r="G14" s="20" t="n">
        <f aca="false">IFERROR(__xludf.DUMMYFUNCTION("""COMPUTED_VALUE"""),0.075)</f>
        <v>0.075</v>
      </c>
      <c r="H14" s="20" t="n">
        <f aca="false">IFERROR(__xludf.DUMMYFUNCTION("""COMPUTED_VALUE"""),0.08)</f>
        <v>0.08</v>
      </c>
      <c r="I14" s="20" t="n">
        <f aca="false">IFERROR(__xludf.DUMMYFUNCTION("""COMPUTED_VALUE"""),0.08)</f>
        <v>0.08</v>
      </c>
      <c r="J14" s="20" t="n">
        <f aca="false">IFERROR(__xludf.DUMMYFUNCTION("""COMPUTED_VALUE"""),0.08)</f>
        <v>0.08</v>
      </c>
      <c r="K14" s="20" t="n">
        <f aca="false">IFERROR(__xludf.DUMMYFUNCTION("""COMPUTED_VALUE"""),0.075)</f>
        <v>0.075</v>
      </c>
      <c r="L14" s="20" t="n">
        <f aca="false">IFERROR(__xludf.DUMMYFUNCTION("""COMPUTED_VALUE"""),0.07)</f>
        <v>0.07</v>
      </c>
      <c r="M14" s="20" t="n">
        <f aca="false">IFERROR(__xludf.DUMMYFUNCTION("""COMPUTED_VALUE"""),0.11)</f>
        <v>0.11</v>
      </c>
      <c r="N14" s="20" t="n">
        <f aca="false">SUM(B14:M14)</f>
        <v>1</v>
      </c>
      <c r="O14" s="13" t="s">
        <v>77</v>
      </c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customFormat="false" ht="14.25" hidden="false" customHeight="true" outlineLevel="0" collapsed="false">
      <c r="A15" s="14" t="s">
        <v>79</v>
      </c>
      <c r="B15" s="20" t="n">
        <f aca="false">IFERROR(__xludf.DUMMYFUNCTION("IMPORTRANGE(Links!$B$7,""ESTACIONALIDAD!C5:N5"")"),0.1)</f>
        <v>0.1</v>
      </c>
      <c r="C15" s="20" t="n">
        <f aca="false">IFERROR(__xludf.DUMMYFUNCTION("""COMPUTED_VALUE"""),0.08)</f>
        <v>0.08</v>
      </c>
      <c r="D15" s="20" t="n">
        <f aca="false">IFERROR(__xludf.DUMMYFUNCTION("""COMPUTED_VALUE"""),0.085)</f>
        <v>0.085</v>
      </c>
      <c r="E15" s="20" t="n">
        <f aca="false">IFERROR(__xludf.DUMMYFUNCTION("""COMPUTED_VALUE"""),0.085)</f>
        <v>0.085</v>
      </c>
      <c r="F15" s="20" t="n">
        <f aca="false">IFERROR(__xludf.DUMMYFUNCTION("""COMPUTED_VALUE"""),0.08)</f>
        <v>0.08</v>
      </c>
      <c r="G15" s="20" t="n">
        <f aca="false">IFERROR(__xludf.DUMMYFUNCTION("""COMPUTED_VALUE"""),0.075)</f>
        <v>0.075</v>
      </c>
      <c r="H15" s="20" t="n">
        <f aca="false">IFERROR(__xludf.DUMMYFUNCTION("""COMPUTED_VALUE"""),0.08)</f>
        <v>0.08</v>
      </c>
      <c r="I15" s="20" t="n">
        <f aca="false">IFERROR(__xludf.DUMMYFUNCTION("""COMPUTED_VALUE"""),0.08)</f>
        <v>0.08</v>
      </c>
      <c r="J15" s="20" t="n">
        <f aca="false">IFERROR(__xludf.DUMMYFUNCTION("""COMPUTED_VALUE"""),0.08)</f>
        <v>0.08</v>
      </c>
      <c r="K15" s="20" t="n">
        <f aca="false">IFERROR(__xludf.DUMMYFUNCTION("""COMPUTED_VALUE"""),0.075)</f>
        <v>0.075</v>
      </c>
      <c r="L15" s="20" t="n">
        <f aca="false">IFERROR(__xludf.DUMMYFUNCTION("""COMPUTED_VALUE"""),0.07)</f>
        <v>0.07</v>
      </c>
      <c r="M15" s="20" t="n">
        <f aca="false">IFERROR(__xludf.DUMMYFUNCTION("""COMPUTED_VALUE"""),0.11)</f>
        <v>0.11</v>
      </c>
      <c r="N15" s="20" t="n">
        <f aca="false">SUM(B15:M15)</f>
        <v>1</v>
      </c>
      <c r="O15" s="13" t="s">
        <v>77</v>
      </c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customFormat="false" ht="14.2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customFormat="false" ht="14.25" hidden="false" customHeight="true" outlineLevel="0" collapsed="false">
      <c r="A17" s="19" t="s">
        <v>80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customFormat="false" ht="45" hidden="false" customHeight="true" outlineLevel="0" collapsed="false">
      <c r="A18" s="21" t="s">
        <v>81</v>
      </c>
      <c r="B18" s="21" t="s">
        <v>82</v>
      </c>
      <c r="C18" s="21" t="s">
        <v>83</v>
      </c>
      <c r="D18" s="21" t="s">
        <v>74</v>
      </c>
      <c r="E18" s="21" t="s">
        <v>76</v>
      </c>
      <c r="F18" s="21" t="s">
        <v>78</v>
      </c>
      <c r="G18" s="21" t="s">
        <v>79</v>
      </c>
      <c r="H18" s="21" t="s">
        <v>84</v>
      </c>
      <c r="I18" s="21" t="s">
        <v>85</v>
      </c>
      <c r="J18" s="21" t="s">
        <v>86</v>
      </c>
      <c r="K18" s="21" t="s">
        <v>87</v>
      </c>
      <c r="L18" s="21" t="s">
        <v>88</v>
      </c>
      <c r="M18" s="21" t="s">
        <v>89</v>
      </c>
      <c r="N18" s="21" t="s">
        <v>90</v>
      </c>
      <c r="O18" s="21" t="s">
        <v>91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customFormat="false" ht="14.25" hidden="false" customHeight="true" outlineLevel="0" collapsed="false">
      <c r="A19" s="22" t="n">
        <v>1</v>
      </c>
      <c r="B19" s="23" t="s">
        <v>92</v>
      </c>
      <c r="C19" s="22" t="s">
        <v>93</v>
      </c>
      <c r="D19" s="22" t="n">
        <v>1</v>
      </c>
      <c r="E19" s="22" t="n">
        <v>1</v>
      </c>
      <c r="F19" s="22" t="n">
        <v>1</v>
      </c>
      <c r="G19" s="22" t="n">
        <v>1</v>
      </c>
      <c r="H19" s="22" t="s">
        <v>94</v>
      </c>
      <c r="I19" s="22" t="n">
        <v>1</v>
      </c>
      <c r="J19" s="24" t="n">
        <v>1</v>
      </c>
      <c r="K19" s="25" t="n">
        <v>60</v>
      </c>
      <c r="L19" s="26" t="n">
        <f aca="false">F51</f>
        <v>1</v>
      </c>
      <c r="M19" s="27" t="n">
        <f aca="false">IF(K19&gt;0,3600/K19*L19,0)</f>
        <v>60</v>
      </c>
      <c r="N19" s="28" t="n">
        <f aca="false">M19*$B$7</f>
        <v>9000</v>
      </c>
      <c r="O19" s="29" t="s">
        <v>95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customFormat="false" ht="14.25" hidden="false" customHeight="true" outlineLevel="0" collapsed="false">
      <c r="A20" s="22" t="n">
        <v>2</v>
      </c>
      <c r="B20" s="23" t="s">
        <v>96</v>
      </c>
      <c r="C20" s="22" t="s">
        <v>97</v>
      </c>
      <c r="D20" s="22" t="n">
        <v>0</v>
      </c>
      <c r="E20" s="22" t="n">
        <v>1</v>
      </c>
      <c r="F20" s="22" t="n">
        <v>1</v>
      </c>
      <c r="G20" s="22" t="n">
        <v>1</v>
      </c>
      <c r="H20" s="22" t="s">
        <v>94</v>
      </c>
      <c r="I20" s="22" t="n">
        <v>1</v>
      </c>
      <c r="J20" s="24" t="n">
        <v>1</v>
      </c>
      <c r="K20" s="25" t="n">
        <v>90</v>
      </c>
      <c r="L20" s="26" t="n">
        <f aca="false">F52</f>
        <v>0.993333333333333</v>
      </c>
      <c r="M20" s="27" t="n">
        <f aca="false">IF(K20&gt;0,3600/K20*L20,0)</f>
        <v>39.7333333333333</v>
      </c>
      <c r="N20" s="28" t="n">
        <f aca="false">M20*$B$7</f>
        <v>5960</v>
      </c>
      <c r="O20" s="29" t="s">
        <v>98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customFormat="false" ht="14.25" hidden="false" customHeight="true" outlineLevel="0" collapsed="false">
      <c r="A21" s="22" t="n">
        <v>3</v>
      </c>
      <c r="B21" s="23" t="s">
        <v>99</v>
      </c>
      <c r="C21" s="22" t="s">
        <v>100</v>
      </c>
      <c r="D21" s="22" t="n">
        <v>1</v>
      </c>
      <c r="E21" s="22" t="n">
        <v>0</v>
      </c>
      <c r="F21" s="22" t="n">
        <v>0</v>
      </c>
      <c r="G21" s="22" t="n">
        <v>0</v>
      </c>
      <c r="H21" s="22" t="s">
        <v>94</v>
      </c>
      <c r="I21" s="22" t="n">
        <v>1</v>
      </c>
      <c r="J21" s="24" t="n">
        <v>1</v>
      </c>
      <c r="K21" s="25" t="n">
        <v>30</v>
      </c>
      <c r="L21" s="26" t="n">
        <f aca="false">F53</f>
        <v>1</v>
      </c>
      <c r="M21" s="27" t="n">
        <f aca="false">IF(K21&gt;0,3600/K21*L21,0)</f>
        <v>120</v>
      </c>
      <c r="N21" s="28" t="n">
        <f aca="false">M21*$B$7</f>
        <v>18000</v>
      </c>
      <c r="O21" s="29" t="s">
        <v>101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customFormat="false" ht="14.25" hidden="false" customHeight="true" outlineLevel="0" collapsed="false">
      <c r="A22" s="22" t="n">
        <v>4</v>
      </c>
      <c r="B22" s="23" t="s">
        <v>102</v>
      </c>
      <c r="C22" s="22" t="s">
        <v>103</v>
      </c>
      <c r="D22" s="22" t="n">
        <v>1</v>
      </c>
      <c r="E22" s="22" t="n">
        <v>1</v>
      </c>
      <c r="F22" s="22" t="n">
        <v>1</v>
      </c>
      <c r="G22" s="22" t="n">
        <v>1</v>
      </c>
      <c r="H22" s="22" t="s">
        <v>94</v>
      </c>
      <c r="I22" s="22" t="n">
        <v>2</v>
      </c>
      <c r="J22" s="24" t="n">
        <v>1</v>
      </c>
      <c r="K22" s="25" t="n">
        <v>8</v>
      </c>
      <c r="L22" s="26" t="n">
        <f aca="false">F54</f>
        <v>0.68</v>
      </c>
      <c r="M22" s="27" t="n">
        <f aca="false">IF(K22&gt;0,3600/K22*L22,0)</f>
        <v>306</v>
      </c>
      <c r="N22" s="28" t="n">
        <f aca="false">M22*$B$7</f>
        <v>45900</v>
      </c>
      <c r="O22" s="29" t="s">
        <v>104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customFormat="false" ht="14.25" hidden="false" customHeight="true" outlineLevel="0" collapsed="false">
      <c r="A23" s="22" t="n">
        <v>5</v>
      </c>
      <c r="B23" s="23" t="s">
        <v>105</v>
      </c>
      <c r="C23" s="22" t="s">
        <v>106</v>
      </c>
      <c r="D23" s="22" t="n">
        <v>1</v>
      </c>
      <c r="E23" s="22" t="n">
        <v>1</v>
      </c>
      <c r="F23" s="22" t="n">
        <v>1</v>
      </c>
      <c r="G23" s="22" t="n">
        <v>1</v>
      </c>
      <c r="H23" s="22" t="s">
        <v>94</v>
      </c>
      <c r="I23" s="22" t="n">
        <v>1</v>
      </c>
      <c r="J23" s="24" t="n">
        <v>1</v>
      </c>
      <c r="K23" s="25" t="n">
        <v>60</v>
      </c>
      <c r="L23" s="26" t="n">
        <f aca="false">F55</f>
        <v>1</v>
      </c>
      <c r="M23" s="27" t="n">
        <f aca="false">IF(K23&gt;0,3600/K23*L23,0)</f>
        <v>60</v>
      </c>
      <c r="N23" s="28" t="n">
        <f aca="false">M23*$B$7</f>
        <v>9000</v>
      </c>
      <c r="O23" s="2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customFormat="false" ht="14.25" hidden="false" customHeight="true" outlineLevel="0" collapsed="false">
      <c r="A24" s="22" t="n">
        <v>6</v>
      </c>
      <c r="B24" s="23" t="s">
        <v>107</v>
      </c>
      <c r="C24" s="22" t="s">
        <v>108</v>
      </c>
      <c r="D24" s="22" t="n">
        <v>1</v>
      </c>
      <c r="E24" s="22" t="n">
        <v>1</v>
      </c>
      <c r="F24" s="22" t="n">
        <v>1</v>
      </c>
      <c r="G24" s="22" t="n">
        <v>1</v>
      </c>
      <c r="H24" s="22" t="s">
        <v>94</v>
      </c>
      <c r="I24" s="22" t="n">
        <v>1</v>
      </c>
      <c r="J24" s="24" t="n">
        <v>1</v>
      </c>
      <c r="K24" s="25" t="n">
        <v>20</v>
      </c>
      <c r="L24" s="26" t="n">
        <f aca="false">F56</f>
        <v>1</v>
      </c>
      <c r="M24" s="27" t="n">
        <f aca="false">IF(K24&gt;0,3600/K24*L24,0)</f>
        <v>180</v>
      </c>
      <c r="N24" s="28" t="n">
        <f aca="false">M24*$B$7</f>
        <v>27000</v>
      </c>
      <c r="O24" s="2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customFormat="false" ht="14.25" hidden="false" customHeight="true" outlineLevel="0" collapsed="false">
      <c r="A25" s="22" t="n">
        <v>7</v>
      </c>
      <c r="B25" s="23" t="s">
        <v>109</v>
      </c>
      <c r="C25" s="22" t="s">
        <v>110</v>
      </c>
      <c r="D25" s="22" t="n">
        <v>1</v>
      </c>
      <c r="E25" s="22" t="n">
        <v>1</v>
      </c>
      <c r="F25" s="22" t="n">
        <v>1</v>
      </c>
      <c r="G25" s="22" t="n">
        <v>1</v>
      </c>
      <c r="H25" s="22" t="s">
        <v>94</v>
      </c>
      <c r="I25" s="22" t="n">
        <v>1</v>
      </c>
      <c r="J25" s="24" t="n">
        <v>1</v>
      </c>
      <c r="K25" s="25" t="n">
        <v>25</v>
      </c>
      <c r="L25" s="26" t="n">
        <f aca="false">F57</f>
        <v>0.973333333333333</v>
      </c>
      <c r="M25" s="27" t="n">
        <f aca="false">IF(K25&gt;0,3600/K25*L25,0)</f>
        <v>140.16</v>
      </c>
      <c r="N25" s="28" t="n">
        <f aca="false">M25*$B$7</f>
        <v>21024</v>
      </c>
      <c r="O25" s="2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customFormat="false" ht="14.25" hidden="false" customHeight="true" outlineLevel="0" collapsed="false">
      <c r="A26" s="22" t="n">
        <v>8</v>
      </c>
      <c r="B26" s="23" t="s">
        <v>111</v>
      </c>
      <c r="C26" s="22" t="s">
        <v>112</v>
      </c>
      <c r="D26" s="22" t="n">
        <v>0</v>
      </c>
      <c r="E26" s="22" t="n">
        <v>1</v>
      </c>
      <c r="F26" s="22" t="n">
        <v>1</v>
      </c>
      <c r="G26" s="22" t="n">
        <v>1</v>
      </c>
      <c r="H26" s="22" t="s">
        <v>94</v>
      </c>
      <c r="I26" s="22" t="n">
        <v>1</v>
      </c>
      <c r="J26" s="24" t="n">
        <v>1</v>
      </c>
      <c r="K26" s="25" t="n">
        <v>80</v>
      </c>
      <c r="L26" s="26" t="n">
        <f aca="false">F58</f>
        <v>0.986666666666667</v>
      </c>
      <c r="M26" s="27" t="n">
        <f aca="false">IF(K26&gt;0,3600/K26*L26,0)</f>
        <v>44.4</v>
      </c>
      <c r="N26" s="28" t="n">
        <f aca="false">M26*$B$7</f>
        <v>6660</v>
      </c>
      <c r="O26" s="2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customFormat="false" ht="14.25" hidden="false" customHeight="true" outlineLevel="0" collapsed="false">
      <c r="A27" s="22" t="n">
        <v>9</v>
      </c>
      <c r="B27" s="23" t="s">
        <v>113</v>
      </c>
      <c r="C27" s="22" t="s">
        <v>114</v>
      </c>
      <c r="D27" s="22" t="n">
        <v>0</v>
      </c>
      <c r="E27" s="22" t="n">
        <v>1</v>
      </c>
      <c r="F27" s="22" t="n">
        <v>1</v>
      </c>
      <c r="G27" s="22" t="n">
        <v>1</v>
      </c>
      <c r="H27" s="22" t="s">
        <v>94</v>
      </c>
      <c r="I27" s="22" t="n">
        <v>1</v>
      </c>
      <c r="J27" s="24" t="n">
        <v>1</v>
      </c>
      <c r="K27" s="25" t="n">
        <v>115</v>
      </c>
      <c r="L27" s="26" t="n">
        <f aca="false">F59</f>
        <v>0.986666666666667</v>
      </c>
      <c r="M27" s="27" t="n">
        <f aca="false">IF(K27&gt;0,3600/K27*L27,0)</f>
        <v>30.8869565217391</v>
      </c>
      <c r="N27" s="28" t="n">
        <f aca="false">M27*$B$7</f>
        <v>4633.04347826087</v>
      </c>
      <c r="O27" s="2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customFormat="false" ht="14.25" hidden="false" customHeight="true" outlineLevel="0" collapsed="false">
      <c r="A28" s="22" t="n">
        <v>10</v>
      </c>
      <c r="B28" s="23" t="s">
        <v>115</v>
      </c>
      <c r="C28" s="22" t="s">
        <v>116</v>
      </c>
      <c r="D28" s="22" t="n">
        <v>1</v>
      </c>
      <c r="E28" s="22" t="n">
        <v>1</v>
      </c>
      <c r="F28" s="22" t="n">
        <v>1</v>
      </c>
      <c r="G28" s="22" t="n">
        <v>1</v>
      </c>
      <c r="H28" s="22" t="s">
        <v>94</v>
      </c>
      <c r="I28" s="22" t="n">
        <v>1</v>
      </c>
      <c r="J28" s="24" t="n">
        <v>1</v>
      </c>
      <c r="K28" s="25" t="n">
        <v>30</v>
      </c>
      <c r="L28" s="26" t="n">
        <f aca="false">F60</f>
        <v>0.982222222222222</v>
      </c>
      <c r="M28" s="27" t="n">
        <f aca="false">IF(K28&gt;0,3600/K28*L28,0)</f>
        <v>117.866666666667</v>
      </c>
      <c r="N28" s="28" t="n">
        <f aca="false">M28*$B$7</f>
        <v>17680</v>
      </c>
      <c r="O28" s="2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customFormat="false" ht="14.25" hidden="false" customHeight="true" outlineLevel="0" collapsed="false">
      <c r="A29" s="22" t="n">
        <v>11</v>
      </c>
      <c r="B29" s="23" t="s">
        <v>117</v>
      </c>
      <c r="C29" s="22" t="s">
        <v>118</v>
      </c>
      <c r="D29" s="22" t="n">
        <v>1</v>
      </c>
      <c r="E29" s="22" t="n">
        <v>1</v>
      </c>
      <c r="F29" s="22" t="n">
        <v>1</v>
      </c>
      <c r="G29" s="22" t="n">
        <v>1</v>
      </c>
      <c r="H29" s="22" t="s">
        <v>94</v>
      </c>
      <c r="I29" s="22" t="n">
        <v>1</v>
      </c>
      <c r="J29" s="24" t="n">
        <v>1</v>
      </c>
      <c r="K29" s="25" t="n">
        <v>20</v>
      </c>
      <c r="L29" s="26" t="n">
        <f aca="false">F61</f>
        <v>0.982222222222222</v>
      </c>
      <c r="M29" s="27" t="n">
        <f aca="false">IF(K29&gt;0,3600/K29*L29,0)</f>
        <v>176.8</v>
      </c>
      <c r="N29" s="28" t="n">
        <f aca="false">M29*$B$7</f>
        <v>26520</v>
      </c>
      <c r="O29" s="2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customFormat="false" ht="14.25" hidden="false" customHeight="true" outlineLevel="0" collapsed="false">
      <c r="A30" s="22" t="n">
        <v>12</v>
      </c>
      <c r="B30" s="23" t="s">
        <v>119</v>
      </c>
      <c r="C30" s="22" t="s">
        <v>120</v>
      </c>
      <c r="D30" s="22" t="n">
        <v>1</v>
      </c>
      <c r="E30" s="22" t="n">
        <v>1</v>
      </c>
      <c r="F30" s="22" t="n">
        <v>1</v>
      </c>
      <c r="G30" s="22" t="n">
        <v>1</v>
      </c>
      <c r="H30" s="22" t="s">
        <v>94</v>
      </c>
      <c r="I30" s="22" t="n">
        <v>1</v>
      </c>
      <c r="J30" s="24" t="n">
        <v>1</v>
      </c>
      <c r="K30" s="25" t="n">
        <v>60</v>
      </c>
      <c r="L30" s="26" t="n">
        <f aca="false">F62</f>
        <v>0.982222222222222</v>
      </c>
      <c r="M30" s="27" t="n">
        <f aca="false">IF(K30&gt;0,3600/K30*L30,0)</f>
        <v>58.9333333333333</v>
      </c>
      <c r="N30" s="28" t="n">
        <f aca="false">M30*$B$7</f>
        <v>8840</v>
      </c>
      <c r="O30" s="2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customFormat="false" ht="14.25" hidden="false" customHeight="true" outlineLevel="0" collapsed="false">
      <c r="A31" s="22" t="n">
        <v>13</v>
      </c>
      <c r="B31" s="23" t="s">
        <v>121</v>
      </c>
      <c r="C31" s="22" t="s">
        <v>122</v>
      </c>
      <c r="D31" s="22" t="n">
        <v>1</v>
      </c>
      <c r="E31" s="22" t="n">
        <v>1</v>
      </c>
      <c r="F31" s="22" t="n">
        <v>1</v>
      </c>
      <c r="G31" s="22" t="n">
        <v>1</v>
      </c>
      <c r="H31" s="22" t="s">
        <v>94</v>
      </c>
      <c r="I31" s="22" t="n">
        <v>1</v>
      </c>
      <c r="J31" s="24" t="n">
        <v>0.02</v>
      </c>
      <c r="K31" s="25" t="n">
        <v>120</v>
      </c>
      <c r="L31" s="26" t="n">
        <f aca="false">F63</f>
        <v>1</v>
      </c>
      <c r="M31" s="27" t="n">
        <f aca="false">IF(K31&gt;0,3600/K31*L31,0)</f>
        <v>30</v>
      </c>
      <c r="N31" s="28" t="n">
        <f aca="false">M31*$B$7</f>
        <v>4500</v>
      </c>
      <c r="O31" s="2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customFormat="false" ht="14.25" hidden="false" customHeight="true" outlineLevel="0" collapsed="false">
      <c r="A32" s="22" t="n">
        <v>14</v>
      </c>
      <c r="B32" s="23" t="s">
        <v>123</v>
      </c>
      <c r="C32" s="22" t="s">
        <v>124</v>
      </c>
      <c r="D32" s="22" t="n">
        <v>1</v>
      </c>
      <c r="E32" s="22" t="n">
        <v>1</v>
      </c>
      <c r="F32" s="22" t="n">
        <v>1</v>
      </c>
      <c r="G32" s="22" t="n">
        <v>1</v>
      </c>
      <c r="H32" s="22" t="s">
        <v>94</v>
      </c>
      <c r="I32" s="22" t="n">
        <v>1</v>
      </c>
      <c r="J32" s="24" t="n">
        <v>1</v>
      </c>
      <c r="K32" s="25" t="n">
        <v>60</v>
      </c>
      <c r="L32" s="26" t="n">
        <f aca="false">F64</f>
        <v>0.982222222222222</v>
      </c>
      <c r="M32" s="27" t="n">
        <f aca="false">IF(K32&gt;0,3600/K32*L32,0)</f>
        <v>58.9333333333333</v>
      </c>
      <c r="N32" s="28" t="n">
        <f aca="false">M32*$B$7</f>
        <v>8840</v>
      </c>
      <c r="O32" s="2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customFormat="false" ht="14.25" hidden="false" customHeight="true" outlineLevel="0" collapsed="false">
      <c r="A33" s="22" t="n">
        <v>15</v>
      </c>
      <c r="B33" s="23" t="s">
        <v>125</v>
      </c>
      <c r="C33" s="22" t="s">
        <v>126</v>
      </c>
      <c r="D33" s="22" t="n">
        <v>1</v>
      </c>
      <c r="E33" s="22" t="n">
        <v>1</v>
      </c>
      <c r="F33" s="22" t="n">
        <v>1</v>
      </c>
      <c r="G33" s="22" t="n">
        <v>1</v>
      </c>
      <c r="H33" s="22" t="s">
        <v>94</v>
      </c>
      <c r="I33" s="22" t="n">
        <v>1</v>
      </c>
      <c r="J33" s="24" t="n">
        <v>1</v>
      </c>
      <c r="K33" s="25" t="n">
        <v>120</v>
      </c>
      <c r="L33" s="26" t="n">
        <f aca="false">F65</f>
        <v>1</v>
      </c>
      <c r="M33" s="27" t="n">
        <f aca="false">IF(K33&gt;0,3600/K33*L33,0)</f>
        <v>30</v>
      </c>
      <c r="N33" s="28" t="n">
        <f aca="false">M33*$B$7</f>
        <v>4500</v>
      </c>
      <c r="O33" s="29" t="s">
        <v>127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customFormat="false" ht="14.25" hidden="false" customHeight="true" outlineLevel="0" collapsed="false">
      <c r="A34" s="22" t="n">
        <v>16</v>
      </c>
      <c r="B34" s="23" t="s">
        <v>128</v>
      </c>
      <c r="C34" s="22" t="s">
        <v>129</v>
      </c>
      <c r="D34" s="22" t="n">
        <v>1</v>
      </c>
      <c r="E34" s="22" t="n">
        <v>1</v>
      </c>
      <c r="F34" s="22" t="n">
        <v>1</v>
      </c>
      <c r="G34" s="22" t="n">
        <v>1</v>
      </c>
      <c r="H34" s="22" t="s">
        <v>94</v>
      </c>
      <c r="I34" s="22" t="n">
        <v>1</v>
      </c>
      <c r="J34" s="24" t="n">
        <v>1</v>
      </c>
      <c r="K34" s="25" t="n">
        <v>30</v>
      </c>
      <c r="L34" s="26" t="n">
        <f aca="false">F66</f>
        <v>1</v>
      </c>
      <c r="M34" s="27" t="n">
        <f aca="false">IF(K34&gt;0,3600/K34*L34,0)</f>
        <v>120</v>
      </c>
      <c r="N34" s="28" t="n">
        <f aca="false">M34*$B$7</f>
        <v>18000</v>
      </c>
      <c r="O34" s="2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customFormat="false" ht="14.25" hidden="false" customHeight="true" outlineLevel="0" collapsed="false">
      <c r="A35" s="22" t="n">
        <v>17</v>
      </c>
      <c r="B35" s="23" t="s">
        <v>130</v>
      </c>
      <c r="C35" s="22" t="s">
        <v>131</v>
      </c>
      <c r="D35" s="22" t="n">
        <v>1</v>
      </c>
      <c r="E35" s="22" t="n">
        <v>1</v>
      </c>
      <c r="F35" s="22" t="n">
        <v>1</v>
      </c>
      <c r="G35" s="22" t="n">
        <v>1</v>
      </c>
      <c r="H35" s="22" t="s">
        <v>94</v>
      </c>
      <c r="I35" s="22" t="n">
        <v>1</v>
      </c>
      <c r="J35" s="24" t="n">
        <v>1</v>
      </c>
      <c r="K35" s="25" t="n">
        <v>20</v>
      </c>
      <c r="L35" s="26" t="n">
        <f aca="false">F67</f>
        <v>1</v>
      </c>
      <c r="M35" s="27" t="n">
        <f aca="false">IF(K35&gt;0,3600/K35*L35,0)</f>
        <v>180</v>
      </c>
      <c r="N35" s="28" t="n">
        <f aca="false">M35*$B$7</f>
        <v>27000</v>
      </c>
      <c r="O35" s="2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customFormat="false" ht="14.25" hidden="false" customHeight="true" outlineLevel="0" collapsed="false">
      <c r="A36" s="22" t="n">
        <v>18</v>
      </c>
      <c r="B36" s="23" t="s">
        <v>132</v>
      </c>
      <c r="C36" s="22" t="s">
        <v>133</v>
      </c>
      <c r="D36" s="22" t="n">
        <v>1</v>
      </c>
      <c r="E36" s="22" t="n">
        <v>1</v>
      </c>
      <c r="F36" s="22" t="n">
        <v>1</v>
      </c>
      <c r="G36" s="22" t="n">
        <v>1</v>
      </c>
      <c r="H36" s="22" t="s">
        <v>94</v>
      </c>
      <c r="I36" s="22" t="n">
        <v>1</v>
      </c>
      <c r="J36" s="24" t="n">
        <v>0.05</v>
      </c>
      <c r="K36" s="25" t="n">
        <v>180</v>
      </c>
      <c r="L36" s="26" t="n">
        <f aca="false">F68</f>
        <v>1</v>
      </c>
      <c r="M36" s="27" t="n">
        <f aca="false">IF(K36&gt;0,3600/K36*L36,0)</f>
        <v>20</v>
      </c>
      <c r="N36" s="28" t="n">
        <f aca="false">M36*$B$7</f>
        <v>3000</v>
      </c>
      <c r="O36" s="2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customFormat="false" ht="14.25" hidden="false" customHeight="true" outlineLevel="0" collapsed="false">
      <c r="A37" s="22" t="n">
        <v>19</v>
      </c>
      <c r="B37" s="23" t="s">
        <v>134</v>
      </c>
      <c r="C37" s="22" t="s">
        <v>135</v>
      </c>
      <c r="D37" s="22" t="n">
        <v>1</v>
      </c>
      <c r="E37" s="22" t="n">
        <v>1</v>
      </c>
      <c r="F37" s="22" t="n">
        <v>1</v>
      </c>
      <c r="G37" s="22" t="n">
        <v>1</v>
      </c>
      <c r="H37" s="22" t="s">
        <v>94</v>
      </c>
      <c r="I37" s="22" t="n">
        <v>1</v>
      </c>
      <c r="J37" s="24" t="n">
        <v>1</v>
      </c>
      <c r="K37" s="25" t="n">
        <v>25</v>
      </c>
      <c r="L37" s="26" t="n">
        <f aca="false">F69</f>
        <v>0.946666666666667</v>
      </c>
      <c r="M37" s="27" t="n">
        <f aca="false">IF(K37&gt;0,3600/K37*L37,0)</f>
        <v>136.32</v>
      </c>
      <c r="N37" s="28" t="n">
        <f aca="false">M37*$B$7</f>
        <v>20448</v>
      </c>
      <c r="O37" s="2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customFormat="false" ht="14.25" hidden="false" customHeight="true" outlineLevel="0" collapsed="false">
      <c r="A38" s="22" t="n">
        <v>20</v>
      </c>
      <c r="B38" s="23" t="s">
        <v>136</v>
      </c>
      <c r="C38" s="22" t="s">
        <v>137</v>
      </c>
      <c r="D38" s="22" t="n">
        <v>1</v>
      </c>
      <c r="E38" s="22" t="n">
        <v>1</v>
      </c>
      <c r="F38" s="22" t="n">
        <v>1</v>
      </c>
      <c r="G38" s="22" t="n">
        <v>1</v>
      </c>
      <c r="H38" s="22" t="s">
        <v>138</v>
      </c>
      <c r="I38" s="22" t="n">
        <v>1</v>
      </c>
      <c r="J38" s="24" t="n">
        <v>1</v>
      </c>
      <c r="K38" s="25" t="n">
        <v>45</v>
      </c>
      <c r="L38" s="26" t="n">
        <f aca="false">F70</f>
        <v>1</v>
      </c>
      <c r="M38" s="27" t="n">
        <f aca="false">IF(K38&gt;0,3600/K38*L38,0)</f>
        <v>80</v>
      </c>
      <c r="N38" s="28" t="n">
        <f aca="false">M38*$B$7</f>
        <v>12000</v>
      </c>
      <c r="O38" s="2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customFormat="false" ht="14.25" hidden="false" customHeight="true" outlineLevel="0" collapsed="false">
      <c r="A39" s="22" t="n">
        <v>21</v>
      </c>
      <c r="B39" s="23" t="s">
        <v>139</v>
      </c>
      <c r="C39" s="22" t="s">
        <v>140</v>
      </c>
      <c r="D39" s="22" t="n">
        <v>1</v>
      </c>
      <c r="E39" s="22" t="n">
        <v>1</v>
      </c>
      <c r="F39" s="22" t="n">
        <v>1</v>
      </c>
      <c r="G39" s="22" t="n">
        <v>1</v>
      </c>
      <c r="H39" s="22" t="s">
        <v>138</v>
      </c>
      <c r="I39" s="22" t="n">
        <v>1</v>
      </c>
      <c r="J39" s="24" t="n">
        <v>1</v>
      </c>
      <c r="K39" s="25" t="n">
        <v>100</v>
      </c>
      <c r="L39" s="26" t="n">
        <f aca="false">F71</f>
        <v>0.982222222222222</v>
      </c>
      <c r="M39" s="27" t="n">
        <f aca="false">IF(K39&gt;0,3600/K39*L39,0)</f>
        <v>35.36</v>
      </c>
      <c r="N39" s="28" t="n">
        <f aca="false">M39*$B$7</f>
        <v>5304</v>
      </c>
      <c r="O39" s="2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customFormat="false" ht="14.25" hidden="false" customHeight="true" outlineLevel="0" collapsed="false">
      <c r="A40" s="22" t="n">
        <v>22</v>
      </c>
      <c r="B40" s="23" t="s">
        <v>141</v>
      </c>
      <c r="C40" s="22" t="s">
        <v>142</v>
      </c>
      <c r="D40" s="22" t="n">
        <v>1</v>
      </c>
      <c r="E40" s="22" t="n">
        <v>1</v>
      </c>
      <c r="F40" s="22" t="n">
        <v>1</v>
      </c>
      <c r="G40" s="22" t="n">
        <v>1</v>
      </c>
      <c r="H40" s="22" t="s">
        <v>138</v>
      </c>
      <c r="I40" s="22" t="n">
        <v>1</v>
      </c>
      <c r="J40" s="24" t="n">
        <v>1</v>
      </c>
      <c r="K40" s="25" t="n">
        <v>30</v>
      </c>
      <c r="L40" s="26" t="n">
        <f aca="false">F72</f>
        <v>1</v>
      </c>
      <c r="M40" s="27" t="n">
        <f aca="false">IF(K40&gt;0,3600/K40*L40,0)</f>
        <v>120</v>
      </c>
      <c r="N40" s="28" t="n">
        <f aca="false">M40*$B$7</f>
        <v>18000</v>
      </c>
      <c r="O40" s="2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customFormat="false" ht="14.25" hidden="false" customHeight="true" outlineLevel="0" collapsed="false">
      <c r="A41" s="22" t="n">
        <v>23</v>
      </c>
      <c r="B41" s="23" t="s">
        <v>143</v>
      </c>
      <c r="C41" s="22" t="s">
        <v>144</v>
      </c>
      <c r="D41" s="22" t="n">
        <v>1</v>
      </c>
      <c r="E41" s="22" t="n">
        <v>1</v>
      </c>
      <c r="F41" s="22" t="n">
        <v>1</v>
      </c>
      <c r="G41" s="22" t="n">
        <v>1</v>
      </c>
      <c r="H41" s="22" t="s">
        <v>138</v>
      </c>
      <c r="I41" s="22" t="n">
        <v>1</v>
      </c>
      <c r="J41" s="24" t="n">
        <v>1</v>
      </c>
      <c r="K41" s="25" t="n">
        <v>55</v>
      </c>
      <c r="L41" s="26" t="n">
        <f aca="false">F73</f>
        <v>1</v>
      </c>
      <c r="M41" s="27" t="n">
        <f aca="false">IF(K41&gt;0,3600/K41*L41,0)</f>
        <v>65.4545454545455</v>
      </c>
      <c r="N41" s="28" t="n">
        <f aca="false">M41*$B$7</f>
        <v>9818.18181818182</v>
      </c>
      <c r="O41" s="2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customFormat="false" ht="14.25" hidden="false" customHeight="true" outlineLevel="0" collapsed="false">
      <c r="A42" s="22" t="n">
        <v>24</v>
      </c>
      <c r="B42" s="23" t="s">
        <v>145</v>
      </c>
      <c r="C42" s="22" t="s">
        <v>146</v>
      </c>
      <c r="D42" s="22" t="n">
        <v>1</v>
      </c>
      <c r="E42" s="22" t="n">
        <v>1</v>
      </c>
      <c r="F42" s="22" t="n">
        <v>1</v>
      </c>
      <c r="G42" s="22" t="n">
        <v>1</v>
      </c>
      <c r="H42" s="22" t="s">
        <v>138</v>
      </c>
      <c r="I42" s="22" t="n">
        <v>1</v>
      </c>
      <c r="J42" s="24" t="n">
        <v>1</v>
      </c>
      <c r="K42" s="25" t="n">
        <v>60</v>
      </c>
      <c r="L42" s="26" t="n">
        <f aca="false">F74</f>
        <v>1</v>
      </c>
      <c r="M42" s="27" t="n">
        <f aca="false">IF(K42&gt;0,3600/K42*L42,0)</f>
        <v>60</v>
      </c>
      <c r="N42" s="28" t="n">
        <f aca="false">M42*$B$7</f>
        <v>9000</v>
      </c>
      <c r="O42" s="2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customFormat="false" ht="14.25" hidden="false" customHeight="true" outlineLevel="0" collapsed="false">
      <c r="A43" s="22" t="n">
        <v>25</v>
      </c>
      <c r="B43" s="23" t="s">
        <v>147</v>
      </c>
      <c r="C43" s="22" t="s">
        <v>148</v>
      </c>
      <c r="D43" s="22" t="n">
        <v>1</v>
      </c>
      <c r="E43" s="22" t="n">
        <v>1</v>
      </c>
      <c r="F43" s="22" t="n">
        <v>1</v>
      </c>
      <c r="G43" s="22" t="n">
        <v>1</v>
      </c>
      <c r="H43" s="22" t="s">
        <v>94</v>
      </c>
      <c r="I43" s="22" t="n">
        <v>1</v>
      </c>
      <c r="J43" s="24" t="n">
        <v>1</v>
      </c>
      <c r="K43" s="25" t="n">
        <v>45</v>
      </c>
      <c r="L43" s="26" t="n">
        <f aca="false">F75</f>
        <v>0.991111111111111</v>
      </c>
      <c r="M43" s="27" t="n">
        <f aca="false">IF(K43&gt;0,3600/K43*L43,0)</f>
        <v>79.2888888888889</v>
      </c>
      <c r="N43" s="28" t="n">
        <f aca="false">M43*$B$7</f>
        <v>11893.3333333333</v>
      </c>
      <c r="O43" s="29" t="s">
        <v>149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customFormat="false" ht="14.25" hidden="false" customHeight="tru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customFormat="false" ht="14.25" hidden="false" customHeight="true" outlineLevel="0" collapsed="false">
      <c r="A45" s="30" t="s">
        <v>150</v>
      </c>
      <c r="B45" s="30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customFormat="false" ht="14.25" hidden="false" customHeight="true" outlineLevel="0" collapsed="false">
      <c r="A46" s="30" t="s">
        <v>151</v>
      </c>
      <c r="B46" s="30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customFormat="false" ht="14.25" hidden="false" customHeight="true" outlineLevel="0" collapsed="false">
      <c r="A47" s="30" t="s">
        <v>152</v>
      </c>
      <c r="B47" s="30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customFormat="false" ht="14.25" hidden="false" customHeight="true" outlineLevel="0" collapsed="false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customFormat="false" ht="14.25" hidden="false" customHeight="true" outlineLevel="0" collapsed="false">
      <c r="A49" s="7" t="s">
        <v>153</v>
      </c>
      <c r="B49" s="7"/>
      <c r="C49" s="7"/>
      <c r="D49" s="7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customFormat="false" ht="14.25" hidden="false" customHeight="true" outlineLevel="0" collapsed="false">
      <c r="A50" s="21" t="s">
        <v>81</v>
      </c>
      <c r="B50" s="21" t="s">
        <v>82</v>
      </c>
      <c r="C50" s="31" t="s">
        <v>154</v>
      </c>
      <c r="D50" s="31" t="s">
        <v>155</v>
      </c>
      <c r="E50" s="31" t="s">
        <v>156</v>
      </c>
      <c r="F50" s="31" t="s">
        <v>157</v>
      </c>
      <c r="G50" s="31" t="s">
        <v>91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customFormat="false" ht="14.25" hidden="false" customHeight="true" outlineLevel="0" collapsed="false">
      <c r="A51" s="22" t="n">
        <v>1</v>
      </c>
      <c r="B51" s="23" t="s">
        <v>92</v>
      </c>
      <c r="C51" s="22" t="n">
        <v>0</v>
      </c>
      <c r="D51" s="22" t="n">
        <v>0</v>
      </c>
      <c r="E51" s="22" t="n">
        <f aca="false">C51*D51/60</f>
        <v>0</v>
      </c>
      <c r="F51" s="32" t="n">
        <f aca="false">MAX(0,1-E51/150)</f>
        <v>1</v>
      </c>
      <c r="G51" s="29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customFormat="false" ht="14.25" hidden="false" customHeight="true" outlineLevel="0" collapsed="false">
      <c r="A52" s="22" t="n">
        <v>2</v>
      </c>
      <c r="B52" s="23" t="s">
        <v>96</v>
      </c>
      <c r="C52" s="29" t="n">
        <v>5</v>
      </c>
      <c r="D52" s="29" t="n">
        <v>12</v>
      </c>
      <c r="E52" s="22" t="n">
        <f aca="false">C52*D52/60</f>
        <v>1</v>
      </c>
      <c r="F52" s="32" t="n">
        <f aca="false">MAX(0,1-E52/150)</f>
        <v>0.993333333333333</v>
      </c>
      <c r="G52" s="29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customFormat="false" ht="14.25" hidden="false" customHeight="true" outlineLevel="0" collapsed="false">
      <c r="A53" s="22" t="n">
        <v>3</v>
      </c>
      <c r="B53" s="23" t="s">
        <v>99</v>
      </c>
      <c r="C53" s="29" t="n">
        <v>0</v>
      </c>
      <c r="D53" s="29" t="n">
        <v>0</v>
      </c>
      <c r="E53" s="22" t="n">
        <f aca="false">C53*D53/60</f>
        <v>0</v>
      </c>
      <c r="F53" s="32" t="n">
        <f aca="false">MAX(0,1-E53/150)</f>
        <v>1</v>
      </c>
      <c r="G53" s="29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customFormat="false" ht="14.25" hidden="false" customHeight="true" outlineLevel="0" collapsed="false">
      <c r="A54" s="22" t="n">
        <v>4</v>
      </c>
      <c r="B54" s="23" t="s">
        <v>102</v>
      </c>
      <c r="C54" s="29" t="n">
        <v>90</v>
      </c>
      <c r="D54" s="29" t="n">
        <v>32</v>
      </c>
      <c r="E54" s="22" t="n">
        <f aca="false">C54*D54/60</f>
        <v>48</v>
      </c>
      <c r="F54" s="32" t="n">
        <f aca="false">MAX(0,1-E54/150)</f>
        <v>0.68</v>
      </c>
      <c r="G54" s="29" t="s">
        <v>158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customFormat="false" ht="14.25" hidden="false" customHeight="true" outlineLevel="0" collapsed="false">
      <c r="A55" s="22" t="n">
        <v>5</v>
      </c>
      <c r="B55" s="23" t="s">
        <v>105</v>
      </c>
      <c r="C55" s="29" t="n">
        <v>0</v>
      </c>
      <c r="D55" s="29" t="n">
        <v>0</v>
      </c>
      <c r="E55" s="22" t="n">
        <f aca="false">C55*D55/60</f>
        <v>0</v>
      </c>
      <c r="F55" s="32" t="n">
        <f aca="false">MAX(0,1-E55/150)</f>
        <v>1</v>
      </c>
      <c r="G55" s="29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customFormat="false" ht="14.25" hidden="false" customHeight="true" outlineLevel="0" collapsed="false">
      <c r="A56" s="22" t="n">
        <v>6</v>
      </c>
      <c r="B56" s="23" t="s">
        <v>107</v>
      </c>
      <c r="C56" s="29"/>
      <c r="D56" s="29"/>
      <c r="E56" s="22" t="n">
        <f aca="false">C56*D56/60</f>
        <v>0</v>
      </c>
      <c r="F56" s="32" t="n">
        <f aca="false">MAX(0,1-E56/150)</f>
        <v>1</v>
      </c>
      <c r="G56" s="29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customFormat="false" ht="14.25" hidden="false" customHeight="true" outlineLevel="0" collapsed="false">
      <c r="A57" s="22" t="n">
        <v>7</v>
      </c>
      <c r="B57" s="23" t="s">
        <v>109</v>
      </c>
      <c r="C57" s="29" t="n">
        <v>15</v>
      </c>
      <c r="D57" s="29" t="n">
        <v>16</v>
      </c>
      <c r="E57" s="22" t="n">
        <f aca="false">C57*D57/60</f>
        <v>4</v>
      </c>
      <c r="F57" s="32" t="n">
        <f aca="false">MAX(0,1-E57/150)</f>
        <v>0.973333333333333</v>
      </c>
      <c r="G57" s="29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customFormat="false" ht="14.25" hidden="false" customHeight="true" outlineLevel="0" collapsed="false">
      <c r="A58" s="22" t="n">
        <v>8</v>
      </c>
      <c r="B58" s="23" t="s">
        <v>111</v>
      </c>
      <c r="C58" s="29" t="n">
        <v>10</v>
      </c>
      <c r="D58" s="29" t="n">
        <v>12</v>
      </c>
      <c r="E58" s="22" t="n">
        <f aca="false">C58*D58/60</f>
        <v>2</v>
      </c>
      <c r="F58" s="32" t="n">
        <f aca="false">MAX(0,1-E58/150)</f>
        <v>0.986666666666667</v>
      </c>
      <c r="G58" s="2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customFormat="false" ht="14.25" hidden="false" customHeight="true" outlineLevel="0" collapsed="false">
      <c r="A59" s="22" t="n">
        <v>9</v>
      </c>
      <c r="B59" s="23" t="s">
        <v>113</v>
      </c>
      <c r="C59" s="29" t="n">
        <v>10</v>
      </c>
      <c r="D59" s="29" t="n">
        <v>12</v>
      </c>
      <c r="E59" s="22" t="n">
        <f aca="false">C59*D59/60</f>
        <v>2</v>
      </c>
      <c r="F59" s="32" t="n">
        <f aca="false">MAX(0,1-E59/150)</f>
        <v>0.986666666666667</v>
      </c>
      <c r="G59" s="2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customFormat="false" ht="14.25" hidden="false" customHeight="true" outlineLevel="0" collapsed="false">
      <c r="A60" s="22" t="n">
        <v>10</v>
      </c>
      <c r="B60" s="23" t="s">
        <v>115</v>
      </c>
      <c r="C60" s="29" t="n">
        <v>10</v>
      </c>
      <c r="D60" s="29" t="n">
        <v>16</v>
      </c>
      <c r="E60" s="22" t="n">
        <f aca="false">C60*D60/60</f>
        <v>2.66666666666667</v>
      </c>
      <c r="F60" s="32" t="n">
        <f aca="false">MAX(0,1-E60/150)</f>
        <v>0.982222222222222</v>
      </c>
      <c r="G60" s="29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customFormat="false" ht="14.25" hidden="false" customHeight="true" outlineLevel="0" collapsed="false">
      <c r="A61" s="22" t="n">
        <v>11</v>
      </c>
      <c r="B61" s="23" t="s">
        <v>117</v>
      </c>
      <c r="C61" s="29" t="n">
        <v>10</v>
      </c>
      <c r="D61" s="29" t="n">
        <v>16</v>
      </c>
      <c r="E61" s="22" t="n">
        <f aca="false">C61*D61/60</f>
        <v>2.66666666666667</v>
      </c>
      <c r="F61" s="32" t="n">
        <f aca="false">MAX(0,1-E61/150)</f>
        <v>0.982222222222222</v>
      </c>
      <c r="G61" s="29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customFormat="false" ht="14.25" hidden="false" customHeight="true" outlineLevel="0" collapsed="false">
      <c r="A62" s="22" t="n">
        <v>12</v>
      </c>
      <c r="B62" s="23" t="s">
        <v>119</v>
      </c>
      <c r="C62" s="29" t="n">
        <v>10</v>
      </c>
      <c r="D62" s="29" t="n">
        <v>16</v>
      </c>
      <c r="E62" s="22" t="n">
        <f aca="false">C62*D62/60</f>
        <v>2.66666666666667</v>
      </c>
      <c r="F62" s="32" t="n">
        <f aca="false">MAX(0,1-E62/150)</f>
        <v>0.982222222222222</v>
      </c>
      <c r="G62" s="29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customFormat="false" ht="14.25" hidden="false" customHeight="true" outlineLevel="0" collapsed="false">
      <c r="A63" s="22" t="n">
        <v>13</v>
      </c>
      <c r="B63" s="23" t="s">
        <v>121</v>
      </c>
      <c r="C63" s="29" t="n">
        <v>0</v>
      </c>
      <c r="D63" s="29" t="n">
        <v>0</v>
      </c>
      <c r="E63" s="22" t="n">
        <f aca="false">C63*D63/60</f>
        <v>0</v>
      </c>
      <c r="F63" s="32" t="n">
        <f aca="false">MAX(0,1-E63/150)</f>
        <v>1</v>
      </c>
      <c r="G63" s="29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customFormat="false" ht="14.25" hidden="false" customHeight="true" outlineLevel="0" collapsed="false">
      <c r="A64" s="22" t="n">
        <v>14</v>
      </c>
      <c r="B64" s="23" t="s">
        <v>123</v>
      </c>
      <c r="C64" s="29" t="n">
        <v>10</v>
      </c>
      <c r="D64" s="29" t="n">
        <v>16</v>
      </c>
      <c r="E64" s="22" t="n">
        <f aca="false">C64*D64/60</f>
        <v>2.66666666666667</v>
      </c>
      <c r="F64" s="32" t="n">
        <f aca="false">MAX(0,1-E64/150)</f>
        <v>0.982222222222222</v>
      </c>
      <c r="G64" s="29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customFormat="false" ht="14.25" hidden="false" customHeight="true" outlineLevel="0" collapsed="false">
      <c r="A65" s="22" t="n">
        <v>15</v>
      </c>
      <c r="B65" s="23" t="s">
        <v>125</v>
      </c>
      <c r="C65" s="29" t="n">
        <v>0</v>
      </c>
      <c r="D65" s="29" t="n">
        <v>0</v>
      </c>
      <c r="E65" s="22" t="n">
        <f aca="false">C65*D65/60</f>
        <v>0</v>
      </c>
      <c r="F65" s="32" t="n">
        <f aca="false">MAX(0,1-E65/150)</f>
        <v>1</v>
      </c>
      <c r="G65" s="29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customFormat="false" ht="14.25" hidden="false" customHeight="true" outlineLevel="0" collapsed="false">
      <c r="A66" s="22" t="n">
        <v>16</v>
      </c>
      <c r="B66" s="23" t="s">
        <v>128</v>
      </c>
      <c r="C66" s="29" t="n">
        <v>10</v>
      </c>
      <c r="D66" s="29" t="n">
        <v>0</v>
      </c>
      <c r="E66" s="22" t="n">
        <f aca="false">C66*D66/60</f>
        <v>0</v>
      </c>
      <c r="F66" s="32" t="n">
        <f aca="false">MAX(0,1-E66/150)</f>
        <v>1</v>
      </c>
      <c r="G66" s="29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customFormat="false" ht="14.25" hidden="false" customHeight="true" outlineLevel="0" collapsed="false">
      <c r="A67" s="22" t="n">
        <v>17</v>
      </c>
      <c r="B67" s="23" t="s">
        <v>130</v>
      </c>
      <c r="C67" s="29" t="n">
        <v>0</v>
      </c>
      <c r="D67" s="29" t="n">
        <v>0</v>
      </c>
      <c r="E67" s="22" t="n">
        <f aca="false">C67*D67/60</f>
        <v>0</v>
      </c>
      <c r="F67" s="32" t="n">
        <f aca="false">MAX(0,1-E67/150)</f>
        <v>1</v>
      </c>
      <c r="G67" s="2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customFormat="false" ht="14.25" hidden="false" customHeight="true" outlineLevel="0" collapsed="false">
      <c r="A68" s="22" t="n">
        <v>18</v>
      </c>
      <c r="B68" s="23" t="s">
        <v>132</v>
      </c>
      <c r="C68" s="29" t="n">
        <v>0</v>
      </c>
      <c r="D68" s="29" t="n">
        <v>0</v>
      </c>
      <c r="E68" s="22" t="n">
        <f aca="false">C68*D68/60</f>
        <v>0</v>
      </c>
      <c r="F68" s="32" t="n">
        <f aca="false">MAX(0,1-E68/150)</f>
        <v>1</v>
      </c>
      <c r="G68" s="2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customFormat="false" ht="14.25" hidden="false" customHeight="true" outlineLevel="0" collapsed="false">
      <c r="A69" s="22" t="n">
        <v>19</v>
      </c>
      <c r="B69" s="23" t="s">
        <v>134</v>
      </c>
      <c r="C69" s="29" t="n">
        <v>30</v>
      </c>
      <c r="D69" s="29" t="n">
        <v>16</v>
      </c>
      <c r="E69" s="22" t="n">
        <f aca="false">C69*D69/60</f>
        <v>8</v>
      </c>
      <c r="F69" s="32" t="n">
        <f aca="false">MAX(0,1-E69/150)</f>
        <v>0.946666666666667</v>
      </c>
      <c r="G69" s="29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customFormat="false" ht="14.25" hidden="false" customHeight="true" outlineLevel="0" collapsed="false">
      <c r="A70" s="22" t="n">
        <v>20</v>
      </c>
      <c r="B70" s="23" t="s">
        <v>136</v>
      </c>
      <c r="C70" s="29" t="n">
        <v>0</v>
      </c>
      <c r="D70" s="29" t="n">
        <v>0</v>
      </c>
      <c r="E70" s="22" t="n">
        <f aca="false">C70*D70/60</f>
        <v>0</v>
      </c>
      <c r="F70" s="32" t="n">
        <f aca="false">MAX(0,1-E70/150)</f>
        <v>1</v>
      </c>
      <c r="G70" s="29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customFormat="false" ht="14.25" hidden="false" customHeight="true" outlineLevel="0" collapsed="false">
      <c r="A71" s="22" t="n">
        <v>21</v>
      </c>
      <c r="B71" s="23" t="s">
        <v>139</v>
      </c>
      <c r="C71" s="29" t="n">
        <v>10</v>
      </c>
      <c r="D71" s="29" t="n">
        <v>16</v>
      </c>
      <c r="E71" s="22" t="n">
        <f aca="false">C71*D71/60</f>
        <v>2.66666666666667</v>
      </c>
      <c r="F71" s="32" t="n">
        <f aca="false">MAX(0,1-E71/150)</f>
        <v>0.982222222222222</v>
      </c>
      <c r="G71" s="29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customFormat="false" ht="14.25" hidden="false" customHeight="true" outlineLevel="0" collapsed="false">
      <c r="A72" s="22" t="n">
        <v>22</v>
      </c>
      <c r="B72" s="23" t="s">
        <v>141</v>
      </c>
      <c r="C72" s="29" t="n">
        <v>0</v>
      </c>
      <c r="D72" s="29" t="n">
        <v>0</v>
      </c>
      <c r="E72" s="22" t="n">
        <f aca="false">C72*D72/60</f>
        <v>0</v>
      </c>
      <c r="F72" s="32" t="n">
        <f aca="false">MAX(0,1-E72/150)</f>
        <v>1</v>
      </c>
      <c r="G72" s="29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customFormat="false" ht="14.25" hidden="false" customHeight="true" outlineLevel="0" collapsed="false">
      <c r="A73" s="22" t="n">
        <v>23</v>
      </c>
      <c r="B73" s="23" t="s">
        <v>143</v>
      </c>
      <c r="C73" s="29" t="n">
        <v>0</v>
      </c>
      <c r="D73" s="29" t="n">
        <v>0</v>
      </c>
      <c r="E73" s="22" t="n">
        <f aca="false">C73*D73/60</f>
        <v>0</v>
      </c>
      <c r="F73" s="32" t="n">
        <f aca="false">MAX(0,1-E73/150)</f>
        <v>1</v>
      </c>
      <c r="G73" s="29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customFormat="false" ht="14.25" hidden="false" customHeight="true" outlineLevel="0" collapsed="false">
      <c r="A74" s="22" t="n">
        <v>24</v>
      </c>
      <c r="B74" s="23" t="s">
        <v>145</v>
      </c>
      <c r="C74" s="29" t="n">
        <v>0</v>
      </c>
      <c r="D74" s="29" t="n">
        <v>0</v>
      </c>
      <c r="E74" s="22" t="n">
        <f aca="false">C74*D74/60</f>
        <v>0</v>
      </c>
      <c r="F74" s="32" t="n">
        <f aca="false">MAX(0,1-E74/150)</f>
        <v>1</v>
      </c>
      <c r="G74" s="29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customFormat="false" ht="14.25" hidden="false" customHeight="true" outlineLevel="0" collapsed="false">
      <c r="A75" s="22" t="n">
        <v>25</v>
      </c>
      <c r="B75" s="23" t="s">
        <v>147</v>
      </c>
      <c r="C75" s="29" t="n">
        <v>5</v>
      </c>
      <c r="D75" s="29" t="n">
        <v>16</v>
      </c>
      <c r="E75" s="22" t="n">
        <f aca="false">C75*D75/60</f>
        <v>1.33333333333333</v>
      </c>
      <c r="F75" s="32" t="n">
        <f aca="false">MAX(0,1-E75/150)</f>
        <v>0.991111111111111</v>
      </c>
      <c r="G75" s="29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customFormat="false" ht="14.25" hidden="false" customHeight="true" outlineLevel="0" collapsed="false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customFormat="false" ht="14.25" hidden="false" customHeight="tru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customFormat="false" ht="14.25" hidden="false" customHeight="true" outlineLevel="0" collapsed="false">
      <c r="A78" s="19" t="s">
        <v>159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customFormat="false" ht="14.25" hidden="false" customHeight="true" outlineLevel="0" collapsed="false">
      <c r="A79" s="33" t="s">
        <v>160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customFormat="false" ht="14.25" hidden="false" customHeight="true" outlineLevel="0" collapsed="false">
      <c r="A80" s="33" t="s">
        <v>161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customFormat="false" ht="14.25" hidden="false" customHeight="true" outlineLevel="0" collapsed="false">
      <c r="A81" s="33" t="s">
        <v>162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customFormat="false" ht="14.25" hidden="false" customHeight="tru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customFormat="false" ht="14.25" hidden="false" customHeight="true" outlineLevel="0" collapsed="false">
      <c r="A83" s="34" t="s">
        <v>163</v>
      </c>
      <c r="B83" s="35" t="n">
        <f aca="false">MAX(B86:B89)</f>
        <v>0.09</v>
      </c>
      <c r="C83" s="36" t="s">
        <v>164</v>
      </c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customFormat="false" ht="14.25" hidden="false" customHeight="tru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customFormat="false" ht="45" hidden="false" customHeight="true" outlineLevel="0" collapsed="false">
      <c r="A85" s="37" t="s">
        <v>60</v>
      </c>
      <c r="B85" s="37" t="s">
        <v>165</v>
      </c>
      <c r="C85" s="37" t="s">
        <v>166</v>
      </c>
      <c r="D85" s="37" t="s">
        <v>167</v>
      </c>
      <c r="E85" s="37" t="s">
        <v>168</v>
      </c>
      <c r="F85" s="37" t="s">
        <v>169</v>
      </c>
      <c r="G85" s="37" t="s">
        <v>170</v>
      </c>
      <c r="H85" s="37" t="s">
        <v>171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customFormat="false" ht="14.25" hidden="false" customHeight="true" outlineLevel="0" collapsed="false">
      <c r="A86" s="34" t="s">
        <v>74</v>
      </c>
      <c r="B86" s="38" t="n">
        <f aca="false">(B12+K12+L12)/3</f>
        <v>0.09</v>
      </c>
      <c r="C86" s="38" t="n">
        <f aca="false">MAX(0,M12-$B$83)</f>
        <v>0.03</v>
      </c>
      <c r="D86" s="38" t="n">
        <f aca="false">MAX(0,B12-$B$83)</f>
        <v>0.03</v>
      </c>
      <c r="E86" s="38" t="n">
        <f aca="false">C86+D86</f>
        <v>0.06</v>
      </c>
      <c r="F86" s="39" t="n">
        <f aca="false">COUNTIF(C94:L94,"&gt;0.000001")</f>
        <v>4</v>
      </c>
      <c r="G86" s="14" t="str">
        <f aca="false">IF(K94+L94&gt;=D86-0.000001,"OK","No alcanza: subir L")</f>
        <v>OK</v>
      </c>
      <c r="H86" s="38" t="n">
        <f aca="false">SUM(B94:L94)</f>
        <v>0.06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customFormat="false" ht="14.25" hidden="false" customHeight="true" outlineLevel="0" collapsed="false">
      <c r="A87" s="34" t="s">
        <v>76</v>
      </c>
      <c r="B87" s="38" t="n">
        <f aca="false">(B13+K13+L13)/3</f>
        <v>0.0816666666666667</v>
      </c>
      <c r="C87" s="38" t="n">
        <f aca="false">MAX(0,M13-$B$83)</f>
        <v>0.02</v>
      </c>
      <c r="D87" s="38" t="n">
        <f aca="false">MAX(0,B13-$B$83)</f>
        <v>0.01</v>
      </c>
      <c r="E87" s="38" t="n">
        <f aca="false">C87+D87</f>
        <v>0.03</v>
      </c>
      <c r="F87" s="39" t="n">
        <f aca="false">COUNTIF(C99:L99,"&gt;0.000001")</f>
        <v>2</v>
      </c>
      <c r="G87" s="14" t="str">
        <f aca="false">IF(K99+L99&gt;=D87-0.000001,"OK","No alcanza: subir L")</f>
        <v>OK</v>
      </c>
      <c r="H87" s="38" t="n">
        <f aca="false">SUM(B99:L99)</f>
        <v>0.03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customFormat="false" ht="14.25" hidden="false" customHeight="true" outlineLevel="0" collapsed="false">
      <c r="A88" s="34" t="s">
        <v>78</v>
      </c>
      <c r="B88" s="38" t="n">
        <f aca="false">(B14+K14+L14)/3</f>
        <v>0.0816666666666667</v>
      </c>
      <c r="C88" s="38" t="n">
        <f aca="false">MAX(0,M14-$B$83)</f>
        <v>0.02</v>
      </c>
      <c r="D88" s="38" t="n">
        <f aca="false">MAX(0,B14-$B$83)</f>
        <v>0.01</v>
      </c>
      <c r="E88" s="38" t="n">
        <f aca="false">C88+D88</f>
        <v>0.03</v>
      </c>
      <c r="F88" s="39" t="n">
        <f aca="false">COUNTIF(C104:L104,"&gt;0.000001")</f>
        <v>2</v>
      </c>
      <c r="G88" s="14" t="str">
        <f aca="false">IF(K104+L104&gt;=D88-0.000001,"OK","No alcanza: subir L")</f>
        <v>OK</v>
      </c>
      <c r="H88" s="38" t="n">
        <f aca="false">SUM(B104:L104)</f>
        <v>0.03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customFormat="false" ht="14.25" hidden="false" customHeight="true" outlineLevel="0" collapsed="false">
      <c r="A89" s="34" t="s">
        <v>79</v>
      </c>
      <c r="B89" s="38" t="n">
        <f aca="false">(B15+K15+L15)/3</f>
        <v>0.0816666666666667</v>
      </c>
      <c r="C89" s="38" t="n">
        <f aca="false">MAX(0,M15-$B$83)</f>
        <v>0.02</v>
      </c>
      <c r="D89" s="38" t="n">
        <f aca="false">MAX(0,B15-$B$83)</f>
        <v>0.01</v>
      </c>
      <c r="E89" s="38" t="n">
        <f aca="false">C89+D89</f>
        <v>0.03</v>
      </c>
      <c r="F89" s="39" t="n">
        <f aca="false">COUNTIF(C109:L109,"&gt;0.000001")</f>
        <v>2</v>
      </c>
      <c r="G89" s="14" t="str">
        <f aca="false">IF(K109+L109&gt;=D89-0.000001,"OK","No alcanza: subir L")</f>
        <v>OK</v>
      </c>
      <c r="H89" s="38" t="n">
        <f aca="false">SUM(B109:L109)</f>
        <v>0.03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customFormat="false" ht="14.25" hidden="false" customHeight="tru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customFormat="false" ht="14.25" hidden="false" customHeight="true" outlineLevel="0" collapsed="false">
      <c r="A91" s="37" t="s">
        <v>172</v>
      </c>
      <c r="B91" s="37" t="s">
        <v>61</v>
      </c>
      <c r="C91" s="37" t="s">
        <v>62</v>
      </c>
      <c r="D91" s="37" t="s">
        <v>63</v>
      </c>
      <c r="E91" s="37" t="s">
        <v>64</v>
      </c>
      <c r="F91" s="37" t="s">
        <v>65</v>
      </c>
      <c r="G91" s="37" t="s">
        <v>66</v>
      </c>
      <c r="H91" s="37" t="s">
        <v>67</v>
      </c>
      <c r="I91" s="37" t="s">
        <v>68</v>
      </c>
      <c r="J91" s="37" t="s">
        <v>69</v>
      </c>
      <c r="K91" s="37" t="s">
        <v>70</v>
      </c>
      <c r="L91" s="37" t="s">
        <v>71</v>
      </c>
      <c r="M91" s="37" t="s">
        <v>72</v>
      </c>
      <c r="N91" s="37" t="s">
        <v>73</v>
      </c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customFormat="false" ht="14.25" hidden="false" customHeight="true" outlineLevel="0" collapsed="false">
      <c r="A92" s="14" t="s">
        <v>173</v>
      </c>
      <c r="B92" s="38" t="n">
        <f aca="false">B12</f>
        <v>0.12</v>
      </c>
      <c r="C92" s="38" t="n">
        <f aca="false">C12</f>
        <v>0.09</v>
      </c>
      <c r="D92" s="38" t="n">
        <f aca="false">D12</f>
        <v>0.08</v>
      </c>
      <c r="E92" s="38" t="n">
        <f aca="false">E12</f>
        <v>0.075</v>
      </c>
      <c r="F92" s="38" t="n">
        <f aca="false">F12</f>
        <v>0.07</v>
      </c>
      <c r="G92" s="38" t="n">
        <f aca="false">G12</f>
        <v>0.07</v>
      </c>
      <c r="H92" s="38" t="n">
        <f aca="false">H12</f>
        <v>0.075</v>
      </c>
      <c r="I92" s="38" t="n">
        <f aca="false">I12</f>
        <v>0.075</v>
      </c>
      <c r="J92" s="38" t="n">
        <f aca="false">J12</f>
        <v>0.075</v>
      </c>
      <c r="K92" s="38" t="n">
        <f aca="false">K12</f>
        <v>0.075</v>
      </c>
      <c r="L92" s="38" t="n">
        <f aca="false">L12</f>
        <v>0.075</v>
      </c>
      <c r="M92" s="38" t="n">
        <f aca="false">M12</f>
        <v>0.12</v>
      </c>
      <c r="N92" s="38" t="n">
        <f aca="false">SUM(B92:M92)</f>
        <v>1</v>
      </c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customFormat="false" ht="14.25" hidden="false" customHeight="true" outlineLevel="0" collapsed="false">
      <c r="A93" s="14" t="s">
        <v>174</v>
      </c>
      <c r="B93" s="38" t="n">
        <v>0</v>
      </c>
      <c r="C93" s="38" t="n">
        <f aca="false">MAX(0,$B$83-C92)</f>
        <v>0</v>
      </c>
      <c r="D93" s="38" t="n">
        <f aca="false">MAX(0,$B$83-D92)</f>
        <v>0.01</v>
      </c>
      <c r="E93" s="38" t="n">
        <f aca="false">MAX(0,$B$83-E92)</f>
        <v>0.015</v>
      </c>
      <c r="F93" s="38" t="n">
        <f aca="false">MAX(0,$B$83-F92)</f>
        <v>0.02</v>
      </c>
      <c r="G93" s="38" t="n">
        <f aca="false">MAX(0,$B$83-G92)</f>
        <v>0.02</v>
      </c>
      <c r="H93" s="38" t="n">
        <f aca="false">MAX(0,$B$83-H92)</f>
        <v>0.015</v>
      </c>
      <c r="I93" s="38" t="n">
        <f aca="false">MAX(0,$B$83-I92)</f>
        <v>0.015</v>
      </c>
      <c r="J93" s="38" t="n">
        <f aca="false">MAX(0,$B$83-J92)</f>
        <v>0.015</v>
      </c>
      <c r="K93" s="38" t="n">
        <f aca="false">MAX(0,$B$83-K92)</f>
        <v>0.015</v>
      </c>
      <c r="L93" s="38" t="n">
        <f aca="false">MAX(0,$B$83-L92)</f>
        <v>0.015</v>
      </c>
      <c r="M93" s="38" t="n">
        <v>0</v>
      </c>
      <c r="N93" s="38" t="n">
        <f aca="false">SUM(B93:M93)</f>
        <v>0.14</v>
      </c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customFormat="false" ht="14.25" hidden="false" customHeight="true" outlineLevel="0" collapsed="false">
      <c r="A94" s="14" t="s">
        <v>175</v>
      </c>
      <c r="B94" s="38" t="n">
        <v>0</v>
      </c>
      <c r="C94" s="38" t="n">
        <f aca="false">MIN(C93,MAX(0,$E$86-SUM(D93:L93)))</f>
        <v>0</v>
      </c>
      <c r="D94" s="38" t="n">
        <f aca="false">MIN(D93,MAX(0,$E$86-SUM(E93:L93)))</f>
        <v>0</v>
      </c>
      <c r="E94" s="38" t="n">
        <f aca="false">MIN(E93,MAX(0,$E$86-SUM(F93:L93)))</f>
        <v>0</v>
      </c>
      <c r="F94" s="38" t="n">
        <f aca="false">MIN(F93,MAX(0,$E$86-SUM(G93:L93)))</f>
        <v>0</v>
      </c>
      <c r="G94" s="38" t="n">
        <f aca="false">MIN(G93,MAX(0,$E$86-SUM(H93:L93)))</f>
        <v>0</v>
      </c>
      <c r="H94" s="38" t="n">
        <f aca="false">MIN(H93,MAX(0,$E$86-SUM(I93:L93)))</f>
        <v>0</v>
      </c>
      <c r="I94" s="38" t="n">
        <f aca="false">MIN(I93,MAX(0,$E$86-SUM(J93:L93)))</f>
        <v>0.0149999999999999</v>
      </c>
      <c r="J94" s="38" t="n">
        <f aca="false">MIN(J93,MAX(0,$E$86-SUM(K93:L93)))</f>
        <v>0.015</v>
      </c>
      <c r="K94" s="38" t="n">
        <f aca="false">MIN(K93,MAX(0,$E$86-SUM(L93)))</f>
        <v>0.015</v>
      </c>
      <c r="L94" s="38" t="n">
        <f aca="false">MIN(L93,MAX(0,$E$86-0))</f>
        <v>0.015</v>
      </c>
      <c r="M94" s="38" t="n">
        <v>0</v>
      </c>
      <c r="N94" s="38" t="n">
        <f aca="false">SUM(B94:M94)</f>
        <v>0.06</v>
      </c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customFormat="false" ht="14.25" hidden="false" customHeight="true" outlineLevel="0" collapsed="false">
      <c r="A95" s="34" t="s">
        <v>176</v>
      </c>
      <c r="B95" s="35" t="n">
        <f aca="false">MIN(B92,$B$83)</f>
        <v>0.09</v>
      </c>
      <c r="C95" s="35" t="n">
        <f aca="false">C92+C94</f>
        <v>0.09</v>
      </c>
      <c r="D95" s="35" t="n">
        <f aca="false">D92+D94</f>
        <v>0.08</v>
      </c>
      <c r="E95" s="35" t="n">
        <f aca="false">E92+E94</f>
        <v>0.075</v>
      </c>
      <c r="F95" s="35" t="n">
        <f aca="false">F92+F94</f>
        <v>0.07</v>
      </c>
      <c r="G95" s="35" t="n">
        <f aca="false">G92+G94</f>
        <v>0.07</v>
      </c>
      <c r="H95" s="35" t="n">
        <f aca="false">H92+H94</f>
        <v>0.075</v>
      </c>
      <c r="I95" s="35" t="n">
        <f aca="false">I92+I94</f>
        <v>0.0899999999999999</v>
      </c>
      <c r="J95" s="35" t="n">
        <f aca="false">J92+J94</f>
        <v>0.09</v>
      </c>
      <c r="K95" s="35" t="n">
        <f aca="false">K92+K94</f>
        <v>0.09</v>
      </c>
      <c r="L95" s="35" t="n">
        <f aca="false">L92+L94</f>
        <v>0.09</v>
      </c>
      <c r="M95" s="35" t="n">
        <f aca="false">MIN(M92,$B$83)</f>
        <v>0.09</v>
      </c>
      <c r="N95" s="40" t="n">
        <f aca="false">SUM(B95:M95)</f>
        <v>1</v>
      </c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customFormat="false" ht="14.25" hidden="false" customHeight="true" outlineLevel="0" collapsed="false">
      <c r="A96" s="37" t="s">
        <v>177</v>
      </c>
      <c r="B96" s="37" t="s">
        <v>61</v>
      </c>
      <c r="C96" s="37" t="s">
        <v>62</v>
      </c>
      <c r="D96" s="37" t="s">
        <v>63</v>
      </c>
      <c r="E96" s="37" t="s">
        <v>64</v>
      </c>
      <c r="F96" s="37" t="s">
        <v>65</v>
      </c>
      <c r="G96" s="37" t="s">
        <v>66</v>
      </c>
      <c r="H96" s="37" t="s">
        <v>67</v>
      </c>
      <c r="I96" s="37" t="s">
        <v>68</v>
      </c>
      <c r="J96" s="37" t="s">
        <v>69</v>
      </c>
      <c r="K96" s="37" t="s">
        <v>70</v>
      </c>
      <c r="L96" s="37" t="s">
        <v>71</v>
      </c>
      <c r="M96" s="37" t="s">
        <v>72</v>
      </c>
      <c r="N96" s="37" t="s">
        <v>73</v>
      </c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customFormat="false" ht="14.25" hidden="false" customHeight="true" outlineLevel="0" collapsed="false">
      <c r="A97" s="14" t="s">
        <v>173</v>
      </c>
      <c r="B97" s="38" t="n">
        <f aca="false">B13</f>
        <v>0.1</v>
      </c>
      <c r="C97" s="38" t="n">
        <f aca="false">C13</f>
        <v>0.08</v>
      </c>
      <c r="D97" s="38" t="n">
        <f aca="false">D13</f>
        <v>0.085</v>
      </c>
      <c r="E97" s="38" t="n">
        <f aca="false">E13</f>
        <v>0.085</v>
      </c>
      <c r="F97" s="38" t="n">
        <f aca="false">F13</f>
        <v>0.08</v>
      </c>
      <c r="G97" s="38" t="n">
        <f aca="false">G13</f>
        <v>0.075</v>
      </c>
      <c r="H97" s="38" t="n">
        <f aca="false">H13</f>
        <v>0.08</v>
      </c>
      <c r="I97" s="38" t="n">
        <f aca="false">I13</f>
        <v>0.08</v>
      </c>
      <c r="J97" s="38" t="n">
        <f aca="false">J13</f>
        <v>0.08</v>
      </c>
      <c r="K97" s="38" t="n">
        <f aca="false">K13</f>
        <v>0.075</v>
      </c>
      <c r="L97" s="38" t="n">
        <f aca="false">L13</f>
        <v>0.07</v>
      </c>
      <c r="M97" s="38" t="n">
        <f aca="false">M13</f>
        <v>0.11</v>
      </c>
      <c r="N97" s="38" t="n">
        <f aca="false">SUM(B97:M97)</f>
        <v>1</v>
      </c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customFormat="false" ht="14.25" hidden="false" customHeight="true" outlineLevel="0" collapsed="false">
      <c r="A98" s="14" t="s">
        <v>174</v>
      </c>
      <c r="B98" s="38" t="n">
        <v>0</v>
      </c>
      <c r="C98" s="38" t="n">
        <f aca="false">MAX(0,$B$83-C97)</f>
        <v>0.01</v>
      </c>
      <c r="D98" s="38" t="n">
        <f aca="false">MAX(0,$B$83-D97)</f>
        <v>0.005</v>
      </c>
      <c r="E98" s="38" t="n">
        <f aca="false">MAX(0,$B$83-E97)</f>
        <v>0.005</v>
      </c>
      <c r="F98" s="38" t="n">
        <f aca="false">MAX(0,$B$83-F97)</f>
        <v>0.01</v>
      </c>
      <c r="G98" s="38" t="n">
        <f aca="false">MAX(0,$B$83-G97)</f>
        <v>0.015</v>
      </c>
      <c r="H98" s="38" t="n">
        <f aca="false">MAX(0,$B$83-H97)</f>
        <v>0.01</v>
      </c>
      <c r="I98" s="38" t="n">
        <f aca="false">MAX(0,$B$83-I97)</f>
        <v>0.01</v>
      </c>
      <c r="J98" s="38" t="n">
        <f aca="false">MAX(0,$B$83-J97)</f>
        <v>0.01</v>
      </c>
      <c r="K98" s="38" t="n">
        <f aca="false">MAX(0,$B$83-K97)</f>
        <v>0.015</v>
      </c>
      <c r="L98" s="38" t="n">
        <f aca="false">MAX(0,$B$83-L97)</f>
        <v>0.02</v>
      </c>
      <c r="M98" s="38" t="n">
        <v>0</v>
      </c>
      <c r="N98" s="38" t="n">
        <f aca="false">SUM(B98:M98)</f>
        <v>0.11</v>
      </c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customFormat="false" ht="14.25" hidden="false" customHeight="true" outlineLevel="0" collapsed="false">
      <c r="A99" s="14" t="s">
        <v>175</v>
      </c>
      <c r="B99" s="38" t="n">
        <v>0</v>
      </c>
      <c r="C99" s="38" t="n">
        <f aca="false">MIN(C98,MAX(0,$E$87-SUM(D98:L98)))</f>
        <v>0</v>
      </c>
      <c r="D99" s="38" t="n">
        <f aca="false">MIN(D98,MAX(0,$E$87-SUM(E98:L98)))</f>
        <v>0</v>
      </c>
      <c r="E99" s="38" t="n">
        <f aca="false">MIN(E98,MAX(0,$E$87-SUM(F98:L98)))</f>
        <v>0</v>
      </c>
      <c r="F99" s="38" t="n">
        <f aca="false">MIN(F98,MAX(0,$E$87-SUM(G98:L98)))</f>
        <v>0</v>
      </c>
      <c r="G99" s="38" t="n">
        <f aca="false">MIN(G98,MAX(0,$E$87-SUM(H98:L98)))</f>
        <v>0</v>
      </c>
      <c r="H99" s="38" t="n">
        <f aca="false">MIN(H98,MAX(0,$E$87-SUM(I98:L98)))</f>
        <v>0</v>
      </c>
      <c r="I99" s="38" t="n">
        <f aca="false">MIN(I98,MAX(0,$E$87-SUM(J98:L98)))</f>
        <v>0</v>
      </c>
      <c r="J99" s="38" t="n">
        <f aca="false">MIN(J98,MAX(0,$E$87-SUM(K98:L98)))</f>
        <v>0</v>
      </c>
      <c r="K99" s="38" t="n">
        <f aca="false">MIN(K98,MAX(0,$E$87-SUM(L98)))</f>
        <v>0.00999999999999998</v>
      </c>
      <c r="L99" s="38" t="n">
        <f aca="false">MIN(L98,MAX(0,$E$87-0))</f>
        <v>0.02</v>
      </c>
      <c r="M99" s="38" t="n">
        <v>0</v>
      </c>
      <c r="N99" s="38" t="n">
        <f aca="false">SUM(B99:M99)</f>
        <v>0.03</v>
      </c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customFormat="false" ht="14.25" hidden="false" customHeight="true" outlineLevel="0" collapsed="false">
      <c r="A100" s="34" t="s">
        <v>176</v>
      </c>
      <c r="B100" s="35" t="n">
        <f aca="false">MIN(B97,$B$83)</f>
        <v>0.09</v>
      </c>
      <c r="C100" s="35" t="n">
        <f aca="false">C97+C99</f>
        <v>0.08</v>
      </c>
      <c r="D100" s="35" t="n">
        <f aca="false">D97+D99</f>
        <v>0.085</v>
      </c>
      <c r="E100" s="35" t="n">
        <f aca="false">E97+E99</f>
        <v>0.085</v>
      </c>
      <c r="F100" s="35" t="n">
        <f aca="false">F97+F99</f>
        <v>0.08</v>
      </c>
      <c r="G100" s="35" t="n">
        <f aca="false">G97+G99</f>
        <v>0.075</v>
      </c>
      <c r="H100" s="35" t="n">
        <f aca="false">H97+H99</f>
        <v>0.08</v>
      </c>
      <c r="I100" s="35" t="n">
        <f aca="false">I97+I99</f>
        <v>0.08</v>
      </c>
      <c r="J100" s="35" t="n">
        <f aca="false">J97+J99</f>
        <v>0.08</v>
      </c>
      <c r="K100" s="35" t="n">
        <f aca="false">K97+K99</f>
        <v>0.085</v>
      </c>
      <c r="L100" s="35" t="n">
        <f aca="false">L97+L99</f>
        <v>0.09</v>
      </c>
      <c r="M100" s="35" t="n">
        <f aca="false">MIN(M97,$B$83)</f>
        <v>0.09</v>
      </c>
      <c r="N100" s="40" t="n">
        <f aca="false">SUM(B100:M100)</f>
        <v>1</v>
      </c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customFormat="false" ht="14.25" hidden="false" customHeight="true" outlineLevel="0" collapsed="false">
      <c r="A101" s="37" t="s">
        <v>178</v>
      </c>
      <c r="B101" s="37" t="s">
        <v>61</v>
      </c>
      <c r="C101" s="37" t="s">
        <v>62</v>
      </c>
      <c r="D101" s="37" t="s">
        <v>63</v>
      </c>
      <c r="E101" s="37" t="s">
        <v>64</v>
      </c>
      <c r="F101" s="37" t="s">
        <v>65</v>
      </c>
      <c r="G101" s="37" t="s">
        <v>66</v>
      </c>
      <c r="H101" s="37" t="s">
        <v>67</v>
      </c>
      <c r="I101" s="37" t="s">
        <v>68</v>
      </c>
      <c r="J101" s="37" t="s">
        <v>69</v>
      </c>
      <c r="K101" s="37" t="s">
        <v>70</v>
      </c>
      <c r="L101" s="37" t="s">
        <v>71</v>
      </c>
      <c r="M101" s="37" t="s">
        <v>72</v>
      </c>
      <c r="N101" s="37" t="s">
        <v>73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customFormat="false" ht="14.25" hidden="false" customHeight="true" outlineLevel="0" collapsed="false">
      <c r="A102" s="14" t="s">
        <v>173</v>
      </c>
      <c r="B102" s="38" t="n">
        <f aca="false">B14</f>
        <v>0.1</v>
      </c>
      <c r="C102" s="38" t="n">
        <f aca="false">C14</f>
        <v>0.08</v>
      </c>
      <c r="D102" s="38" t="n">
        <f aca="false">D14</f>
        <v>0.085</v>
      </c>
      <c r="E102" s="38" t="n">
        <f aca="false">E14</f>
        <v>0.085</v>
      </c>
      <c r="F102" s="38" t="n">
        <f aca="false">F14</f>
        <v>0.08</v>
      </c>
      <c r="G102" s="38" t="n">
        <f aca="false">G14</f>
        <v>0.075</v>
      </c>
      <c r="H102" s="38" t="n">
        <f aca="false">H14</f>
        <v>0.08</v>
      </c>
      <c r="I102" s="38" t="n">
        <f aca="false">I14</f>
        <v>0.08</v>
      </c>
      <c r="J102" s="38" t="n">
        <f aca="false">J14</f>
        <v>0.08</v>
      </c>
      <c r="K102" s="38" t="n">
        <f aca="false">K14</f>
        <v>0.075</v>
      </c>
      <c r="L102" s="38" t="n">
        <f aca="false">L14</f>
        <v>0.07</v>
      </c>
      <c r="M102" s="38" t="n">
        <f aca="false">M14</f>
        <v>0.11</v>
      </c>
      <c r="N102" s="38" t="n">
        <f aca="false">SUM(B102:M102)</f>
        <v>1</v>
      </c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customFormat="false" ht="14.25" hidden="false" customHeight="true" outlineLevel="0" collapsed="false">
      <c r="A103" s="14" t="s">
        <v>174</v>
      </c>
      <c r="B103" s="38" t="n">
        <v>0</v>
      </c>
      <c r="C103" s="38" t="n">
        <f aca="false">MAX(0,$B$83-C102)</f>
        <v>0.01</v>
      </c>
      <c r="D103" s="38" t="n">
        <f aca="false">MAX(0,$B$83-D102)</f>
        <v>0.005</v>
      </c>
      <c r="E103" s="38" t="n">
        <f aca="false">MAX(0,$B$83-E102)</f>
        <v>0.005</v>
      </c>
      <c r="F103" s="38" t="n">
        <f aca="false">MAX(0,$B$83-F102)</f>
        <v>0.01</v>
      </c>
      <c r="G103" s="38" t="n">
        <f aca="false">MAX(0,$B$83-G102)</f>
        <v>0.015</v>
      </c>
      <c r="H103" s="38" t="n">
        <f aca="false">MAX(0,$B$83-H102)</f>
        <v>0.01</v>
      </c>
      <c r="I103" s="38" t="n">
        <f aca="false">MAX(0,$B$83-I102)</f>
        <v>0.01</v>
      </c>
      <c r="J103" s="38" t="n">
        <f aca="false">MAX(0,$B$83-J102)</f>
        <v>0.01</v>
      </c>
      <c r="K103" s="38" t="n">
        <f aca="false">MAX(0,$B$83-K102)</f>
        <v>0.015</v>
      </c>
      <c r="L103" s="38" t="n">
        <f aca="false">MAX(0,$B$83-L102)</f>
        <v>0.02</v>
      </c>
      <c r="M103" s="38" t="n">
        <v>0</v>
      </c>
      <c r="N103" s="38" t="n">
        <f aca="false">SUM(B103:M103)</f>
        <v>0.11</v>
      </c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customFormat="false" ht="14.25" hidden="false" customHeight="true" outlineLevel="0" collapsed="false">
      <c r="A104" s="14" t="s">
        <v>175</v>
      </c>
      <c r="B104" s="38" t="n">
        <v>0</v>
      </c>
      <c r="C104" s="38" t="n">
        <f aca="false">MIN(C103,MAX(0,$E$88-SUM(D103:L103)))</f>
        <v>0</v>
      </c>
      <c r="D104" s="38" t="n">
        <f aca="false">MIN(D103,MAX(0,$E$88-SUM(E103:L103)))</f>
        <v>0</v>
      </c>
      <c r="E104" s="38" t="n">
        <f aca="false">MIN(E103,MAX(0,$E$88-SUM(F103:L103)))</f>
        <v>0</v>
      </c>
      <c r="F104" s="38" t="n">
        <f aca="false">MIN(F103,MAX(0,$E$88-SUM(G103:L103)))</f>
        <v>0</v>
      </c>
      <c r="G104" s="38" t="n">
        <f aca="false">MIN(G103,MAX(0,$E$88-SUM(H103:L103)))</f>
        <v>0</v>
      </c>
      <c r="H104" s="38" t="n">
        <f aca="false">MIN(H103,MAX(0,$E$88-SUM(I103:L103)))</f>
        <v>0</v>
      </c>
      <c r="I104" s="38" t="n">
        <f aca="false">MIN(I103,MAX(0,$E$88-SUM(J103:L103)))</f>
        <v>0</v>
      </c>
      <c r="J104" s="38" t="n">
        <f aca="false">MIN(J103,MAX(0,$E$88-SUM(K103:L103)))</f>
        <v>0</v>
      </c>
      <c r="K104" s="38" t="n">
        <f aca="false">MIN(K103,MAX(0,$E$88-SUM(L103)))</f>
        <v>0.00999999999999998</v>
      </c>
      <c r="L104" s="38" t="n">
        <f aca="false">MIN(L103,MAX(0,$E$88-0))</f>
        <v>0.02</v>
      </c>
      <c r="M104" s="38" t="n">
        <v>0</v>
      </c>
      <c r="N104" s="38" t="n">
        <f aca="false">SUM(B104:M104)</f>
        <v>0.03</v>
      </c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customFormat="false" ht="14.25" hidden="false" customHeight="true" outlineLevel="0" collapsed="false">
      <c r="A105" s="34" t="s">
        <v>176</v>
      </c>
      <c r="B105" s="35" t="n">
        <f aca="false">MIN(B102,$B$83)</f>
        <v>0.09</v>
      </c>
      <c r="C105" s="35" t="n">
        <f aca="false">C102+C104</f>
        <v>0.08</v>
      </c>
      <c r="D105" s="35" t="n">
        <f aca="false">D102+D104</f>
        <v>0.085</v>
      </c>
      <c r="E105" s="35" t="n">
        <f aca="false">E102+E104</f>
        <v>0.085</v>
      </c>
      <c r="F105" s="35" t="n">
        <f aca="false">F102+F104</f>
        <v>0.08</v>
      </c>
      <c r="G105" s="35" t="n">
        <f aca="false">G102+G104</f>
        <v>0.075</v>
      </c>
      <c r="H105" s="35" t="n">
        <f aca="false">H102+H104</f>
        <v>0.08</v>
      </c>
      <c r="I105" s="35" t="n">
        <f aca="false">I102+I104</f>
        <v>0.08</v>
      </c>
      <c r="J105" s="35" t="n">
        <f aca="false">J102+J104</f>
        <v>0.08</v>
      </c>
      <c r="K105" s="35" t="n">
        <f aca="false">K102+K104</f>
        <v>0.085</v>
      </c>
      <c r="L105" s="35" t="n">
        <f aca="false">L102+L104</f>
        <v>0.09</v>
      </c>
      <c r="M105" s="35" t="n">
        <f aca="false">MIN(M102,$B$83)</f>
        <v>0.09</v>
      </c>
      <c r="N105" s="40" t="n">
        <f aca="false">SUM(B105:M105)</f>
        <v>1</v>
      </c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customFormat="false" ht="14.25" hidden="false" customHeight="true" outlineLevel="0" collapsed="false">
      <c r="A106" s="37" t="s">
        <v>179</v>
      </c>
      <c r="B106" s="37" t="s">
        <v>61</v>
      </c>
      <c r="C106" s="37" t="s">
        <v>62</v>
      </c>
      <c r="D106" s="37" t="s">
        <v>63</v>
      </c>
      <c r="E106" s="37" t="s">
        <v>64</v>
      </c>
      <c r="F106" s="37" t="s">
        <v>65</v>
      </c>
      <c r="G106" s="37" t="s">
        <v>66</v>
      </c>
      <c r="H106" s="37" t="s">
        <v>67</v>
      </c>
      <c r="I106" s="37" t="s">
        <v>68</v>
      </c>
      <c r="J106" s="37" t="s">
        <v>69</v>
      </c>
      <c r="K106" s="37" t="s">
        <v>70</v>
      </c>
      <c r="L106" s="37" t="s">
        <v>71</v>
      </c>
      <c r="M106" s="37" t="s">
        <v>72</v>
      </c>
      <c r="N106" s="37" t="s">
        <v>73</v>
      </c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customFormat="false" ht="14.25" hidden="false" customHeight="true" outlineLevel="0" collapsed="false">
      <c r="A107" s="14" t="s">
        <v>173</v>
      </c>
      <c r="B107" s="38" t="n">
        <f aca="false">B15</f>
        <v>0.1</v>
      </c>
      <c r="C107" s="38" t="n">
        <f aca="false">C15</f>
        <v>0.08</v>
      </c>
      <c r="D107" s="38" t="n">
        <f aca="false">D15</f>
        <v>0.085</v>
      </c>
      <c r="E107" s="38" t="n">
        <f aca="false">E15</f>
        <v>0.085</v>
      </c>
      <c r="F107" s="38" t="n">
        <f aca="false">F15</f>
        <v>0.08</v>
      </c>
      <c r="G107" s="38" t="n">
        <f aca="false">G15</f>
        <v>0.075</v>
      </c>
      <c r="H107" s="38" t="n">
        <f aca="false">H15</f>
        <v>0.08</v>
      </c>
      <c r="I107" s="38" t="n">
        <f aca="false">I15</f>
        <v>0.08</v>
      </c>
      <c r="J107" s="38" t="n">
        <f aca="false">J15</f>
        <v>0.08</v>
      </c>
      <c r="K107" s="38" t="n">
        <f aca="false">K15</f>
        <v>0.075</v>
      </c>
      <c r="L107" s="38" t="n">
        <f aca="false">L15</f>
        <v>0.07</v>
      </c>
      <c r="M107" s="38" t="n">
        <f aca="false">M15</f>
        <v>0.11</v>
      </c>
      <c r="N107" s="38" t="n">
        <f aca="false">SUM(B107:M107)</f>
        <v>1</v>
      </c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customFormat="false" ht="14.25" hidden="false" customHeight="true" outlineLevel="0" collapsed="false">
      <c r="A108" s="14" t="s">
        <v>174</v>
      </c>
      <c r="B108" s="38" t="n">
        <v>0</v>
      </c>
      <c r="C108" s="38" t="n">
        <f aca="false">MAX(0,$B$83-C107)</f>
        <v>0.01</v>
      </c>
      <c r="D108" s="38" t="n">
        <f aca="false">MAX(0,$B$83-D107)</f>
        <v>0.005</v>
      </c>
      <c r="E108" s="38" t="n">
        <f aca="false">MAX(0,$B$83-E107)</f>
        <v>0.005</v>
      </c>
      <c r="F108" s="38" t="n">
        <f aca="false">MAX(0,$B$83-F107)</f>
        <v>0.01</v>
      </c>
      <c r="G108" s="38" t="n">
        <f aca="false">MAX(0,$B$83-G107)</f>
        <v>0.015</v>
      </c>
      <c r="H108" s="38" t="n">
        <f aca="false">MAX(0,$B$83-H107)</f>
        <v>0.01</v>
      </c>
      <c r="I108" s="38" t="n">
        <f aca="false">MAX(0,$B$83-I107)</f>
        <v>0.01</v>
      </c>
      <c r="J108" s="38" t="n">
        <f aca="false">MAX(0,$B$83-J107)</f>
        <v>0.01</v>
      </c>
      <c r="K108" s="38" t="n">
        <f aca="false">MAX(0,$B$83-K107)</f>
        <v>0.015</v>
      </c>
      <c r="L108" s="38" t="n">
        <f aca="false">MAX(0,$B$83-L107)</f>
        <v>0.02</v>
      </c>
      <c r="M108" s="38" t="n">
        <v>0</v>
      </c>
      <c r="N108" s="38" t="n">
        <f aca="false">SUM(B108:M108)</f>
        <v>0.11</v>
      </c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customFormat="false" ht="14.25" hidden="false" customHeight="true" outlineLevel="0" collapsed="false">
      <c r="A109" s="14" t="s">
        <v>175</v>
      </c>
      <c r="B109" s="38" t="n">
        <v>0</v>
      </c>
      <c r="C109" s="38" t="n">
        <f aca="false">MIN(C108,MAX(0,$E$89-SUM(D108:L108)))</f>
        <v>0</v>
      </c>
      <c r="D109" s="38" t="n">
        <f aca="false">MIN(D108,MAX(0,$E$89-SUM(E108:L108)))</f>
        <v>0</v>
      </c>
      <c r="E109" s="38" t="n">
        <f aca="false">MIN(E108,MAX(0,$E$89-SUM(F108:L108)))</f>
        <v>0</v>
      </c>
      <c r="F109" s="38" t="n">
        <f aca="false">MIN(F108,MAX(0,$E$89-SUM(G108:L108)))</f>
        <v>0</v>
      </c>
      <c r="G109" s="38" t="n">
        <f aca="false">MIN(G108,MAX(0,$E$89-SUM(H108:L108)))</f>
        <v>0</v>
      </c>
      <c r="H109" s="38" t="n">
        <f aca="false">MIN(H108,MAX(0,$E$89-SUM(I108:L108)))</f>
        <v>0</v>
      </c>
      <c r="I109" s="38" t="n">
        <f aca="false">MIN(I108,MAX(0,$E$89-SUM(J108:L108)))</f>
        <v>0</v>
      </c>
      <c r="J109" s="38" t="n">
        <f aca="false">MIN(J108,MAX(0,$E$89-SUM(K108:L108)))</f>
        <v>0</v>
      </c>
      <c r="K109" s="38" t="n">
        <f aca="false">MIN(K108,MAX(0,$E$89-SUM(L108)))</f>
        <v>0.00999999999999998</v>
      </c>
      <c r="L109" s="38" t="n">
        <f aca="false">MIN(L108,MAX(0,$E$89-0))</f>
        <v>0.02</v>
      </c>
      <c r="M109" s="38" t="n">
        <v>0</v>
      </c>
      <c r="N109" s="38" t="n">
        <f aca="false">SUM(B109:M109)</f>
        <v>0.03</v>
      </c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customFormat="false" ht="14.25" hidden="false" customHeight="true" outlineLevel="0" collapsed="false">
      <c r="A110" s="34" t="s">
        <v>176</v>
      </c>
      <c r="B110" s="35" t="n">
        <f aca="false">MIN(B107,$B$83)</f>
        <v>0.09</v>
      </c>
      <c r="C110" s="35" t="n">
        <f aca="false">C107+C109</f>
        <v>0.08</v>
      </c>
      <c r="D110" s="35" t="n">
        <f aca="false">D107+D109</f>
        <v>0.085</v>
      </c>
      <c r="E110" s="35" t="n">
        <f aca="false">E107+E109</f>
        <v>0.085</v>
      </c>
      <c r="F110" s="35" t="n">
        <f aca="false">F107+F109</f>
        <v>0.08</v>
      </c>
      <c r="G110" s="35" t="n">
        <f aca="false">G107+G109</f>
        <v>0.075</v>
      </c>
      <c r="H110" s="35" t="n">
        <f aca="false">H107+H109</f>
        <v>0.08</v>
      </c>
      <c r="I110" s="35" t="n">
        <f aca="false">I107+I109</f>
        <v>0.08</v>
      </c>
      <c r="J110" s="35" t="n">
        <f aca="false">J107+J109</f>
        <v>0.08</v>
      </c>
      <c r="K110" s="35" t="n">
        <f aca="false">K107+K109</f>
        <v>0.085</v>
      </c>
      <c r="L110" s="35" t="n">
        <f aca="false">L107+L109</f>
        <v>0.09</v>
      </c>
      <c r="M110" s="35" t="n">
        <f aca="false">MIN(M107,$B$83)</f>
        <v>0.09</v>
      </c>
      <c r="N110" s="40" t="n">
        <f aca="false">SUM(B110:M110)</f>
        <v>1</v>
      </c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customFormat="false" ht="14.25" hidden="false" customHeight="tru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customFormat="false" ht="14.25" hidden="false" customHeight="true" outlineLevel="0" collapsed="false">
      <c r="A112" s="33" t="s">
        <v>180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customFormat="false" ht="14.25" hidden="false" customHeight="true" outlineLevel="0" collapsed="false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customFormat="false" ht="14.25" hidden="false" customHeight="true" outlineLevel="0" collapsed="false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customFormat="false" ht="14.25" hidden="false" customHeight="tru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customFormat="false" ht="14.25" hidden="false" customHeight="true" outlineLevel="0" collapsed="false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customFormat="false" ht="14.2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customFormat="false" ht="14.25" hidden="false" customHeight="tru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customFormat="false" ht="14.25" hidden="false" customHeight="tru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customFormat="false" ht="14.25" hidden="false" customHeight="true" outlineLevel="0" collapsed="false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customFormat="false" ht="14.25" hidden="false" customHeight="tru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customFormat="false" ht="14.25" hidden="false" customHeight="true" outlineLevel="0" collapsed="false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customFormat="false" ht="14.25" hidden="false" customHeight="tru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customFormat="false" ht="14.25" hidden="false" customHeight="true" outlineLevel="0" collapsed="false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customFormat="false" ht="14.25" hidden="false" customHeight="tru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customFormat="false" ht="14.25" hidden="false" customHeight="tru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customFormat="false" ht="14.25" hidden="false" customHeight="tru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customFormat="false" ht="14.25" hidden="false" customHeight="tru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customFormat="false" ht="14.25" hidden="false" customHeight="tru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customFormat="false" ht="14.25" hidden="false" customHeight="tru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customFormat="false" ht="14.25" hidden="false" customHeight="tru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customFormat="false" ht="14.25" hidden="false" customHeight="tru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customFormat="false" ht="14.25" hidden="false" customHeight="tru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customFormat="false" ht="14.25" hidden="false" customHeight="tru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customFormat="false" ht="14.25" hidden="false" customHeight="tru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customFormat="false" ht="14.25" hidden="false" customHeight="tru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customFormat="false" ht="14.25" hidden="false" customHeight="tru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customFormat="false" ht="14.25" hidden="false" customHeight="tru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customFormat="false" ht="14.25" hidden="false" customHeight="tru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customFormat="false" ht="14.25" hidden="false" customHeight="tru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customFormat="false" ht="14.25" hidden="false" customHeight="tru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customFormat="false" ht="14.25" hidden="false" customHeight="tru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customFormat="false" ht="14.25" hidden="false" customHeight="tru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customFormat="false" ht="14.25" hidden="false" customHeight="tru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customFormat="false" ht="14.25" hidden="false" customHeight="tru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customFormat="false" ht="14.25" hidden="false" customHeight="tru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customFormat="false" ht="14.25" hidden="false" customHeight="tru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customFormat="false" ht="14.25" hidden="false" customHeight="tru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customFormat="false" ht="14.25" hidden="false" customHeight="tru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customFormat="false" ht="14.25" hidden="false" customHeight="tru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customFormat="false" ht="14.25" hidden="false" customHeight="tru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customFormat="false" ht="14.25" hidden="false" customHeight="tru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customFormat="false" ht="14.25" hidden="false" customHeight="tru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customFormat="false" ht="14.25" hidden="false" customHeight="tru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customFormat="false" ht="14.25" hidden="false" customHeight="tru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customFormat="false" ht="14.25" hidden="false" customHeight="true" outlineLevel="0" collapsed="false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customFormat="false" ht="14.25" hidden="false" customHeight="tru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customFormat="false" ht="14.25" hidden="false" customHeight="tru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customFormat="false" ht="14.25" hidden="false" customHeight="true" outlineLevel="0" collapsed="false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customFormat="false" ht="14.25" hidden="false" customHeight="tru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customFormat="false" ht="14.25" hidden="false" customHeight="tru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customFormat="false" ht="14.25" hidden="false" customHeight="true" outlineLevel="0" collapsed="false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customFormat="false" ht="14.25" hidden="false" customHeight="tru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customFormat="false" ht="14.25" hidden="false" customHeight="tru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customFormat="false" ht="14.25" hidden="false" customHeight="tru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customFormat="false" ht="14.25" hidden="false" customHeight="tru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customFormat="false" ht="14.25" hidden="false" customHeight="tru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customFormat="false" ht="14.25" hidden="false" customHeight="tru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customFormat="false" ht="14.25" hidden="false" customHeight="tru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customFormat="false" ht="14.25" hidden="false" customHeight="tru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customFormat="false" ht="14.25" hidden="false" customHeight="tru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customFormat="false" ht="14.25" hidden="false" customHeight="tru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customFormat="false" ht="14.25" hidden="false" customHeight="true" outlineLevel="0" collapsed="false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customFormat="false" ht="14.25" hidden="false" customHeight="tru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customFormat="false" ht="14.25" hidden="false" customHeight="true" outlineLevel="0" collapsed="false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customFormat="false" ht="14.25" hidden="false" customHeight="true" outlineLevel="0" collapsed="false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customFormat="false" ht="14.25" hidden="false" customHeight="tru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customFormat="false" ht="14.25" hidden="false" customHeight="tru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customFormat="false" ht="14.25" hidden="false" customHeight="tru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customFormat="false" ht="14.25" hidden="false" customHeight="tru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customFormat="false" ht="14.25" hidden="false" customHeight="tru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customFormat="false" ht="14.25" hidden="false" customHeight="tru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customFormat="false" ht="14.25" hidden="false" customHeight="tru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customFormat="false" ht="14.25" hidden="false" customHeight="true" outlineLevel="0" collapsed="false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customFormat="false" ht="14.25" hidden="false" customHeight="tru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customFormat="false" ht="14.25" hidden="false" customHeight="true" outlineLevel="0" collapsed="false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customFormat="false" ht="14.25" hidden="false" customHeight="tru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customFormat="false" ht="14.25" hidden="false" customHeight="tru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customFormat="false" ht="14.25" hidden="false" customHeight="tru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customFormat="false" ht="14.25" hidden="false" customHeight="tru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customFormat="false" ht="14.25" hidden="false" customHeight="tru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customFormat="false" ht="14.25" hidden="false" customHeight="tru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customFormat="false" ht="14.25" hidden="false" customHeight="tru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customFormat="false" ht="14.25" hidden="false" customHeight="tru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customFormat="false" ht="14.25" hidden="false" customHeight="tru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customFormat="false" ht="14.25" hidden="false" customHeight="tru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customFormat="false" ht="14.25" hidden="false" customHeight="tru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customFormat="false" ht="14.25" hidden="false" customHeight="tru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customFormat="false" ht="14.25" hidden="false" customHeight="tru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customFormat="false" ht="14.25" hidden="false" customHeight="tru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customFormat="false" ht="14.25" hidden="false" customHeight="tru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customFormat="false" ht="14.25" hidden="false" customHeight="tru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customFormat="false" ht="14.25" hidden="false" customHeight="tru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customFormat="false" ht="14.25" hidden="false" customHeight="tru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customFormat="false" ht="14.25" hidden="false" customHeight="tru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customFormat="false" ht="14.25" hidden="false" customHeight="tru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customFormat="false" ht="14.25" hidden="false" customHeight="tru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customFormat="false" ht="14.25" hidden="false" customHeight="tru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customFormat="false" ht="14.25" hidden="false" customHeight="tru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customFormat="false" ht="14.25" hidden="false" customHeight="tru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customFormat="false" ht="14.25" hidden="false" customHeight="true" outlineLevel="0" collapsed="false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customFormat="false" ht="14.25" hidden="false" customHeight="tru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customFormat="false" ht="14.25" hidden="false" customHeight="tru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customFormat="false" ht="14.25" hidden="false" customHeight="tru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customFormat="false" ht="14.25" hidden="false" customHeight="tru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customFormat="false" ht="14.25" hidden="false" customHeight="tru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customFormat="false" ht="14.25" hidden="false" customHeight="tru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customFormat="false" ht="14.25" hidden="false" customHeight="tru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customFormat="false" ht="14.25" hidden="false" customHeight="tru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customFormat="false" ht="14.25" hidden="false" customHeight="tru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customFormat="false" ht="14.25" hidden="false" customHeight="tru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customFormat="false" ht="14.25" hidden="false" customHeight="tru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customFormat="false" ht="14.25" hidden="false" customHeight="tru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customFormat="false" ht="14.25" hidden="false" customHeight="tru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customFormat="false" ht="14.25" hidden="false" customHeight="tru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customFormat="false" ht="14.25" hidden="false" customHeight="tru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customFormat="false" ht="14.25" hidden="false" customHeight="tru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customFormat="false" ht="14.25" hidden="false" customHeight="tru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customFormat="false" ht="14.25" hidden="false" customHeight="tru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customFormat="false" ht="14.25" hidden="false" customHeight="tru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customFormat="false" ht="14.25" hidden="false" customHeight="tru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customFormat="false" ht="14.25" hidden="false" customHeight="tru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customFormat="false" ht="14.25" hidden="false" customHeight="true" outlineLevel="0" collapsed="false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customFormat="false" ht="14.25" hidden="false" customHeight="tru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customFormat="false" ht="14.25" hidden="false" customHeight="tru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customFormat="false" ht="14.25" hidden="false" customHeight="tru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customFormat="false" ht="14.25" hidden="false" customHeight="tru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customFormat="false" ht="14.25" hidden="false" customHeight="tru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customFormat="false" ht="14.25" hidden="false" customHeight="tru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customFormat="false" ht="14.25" hidden="false" customHeight="tru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customFormat="false" ht="14.25" hidden="false" customHeight="tru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customFormat="false" ht="14.25" hidden="false" customHeight="tru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customFormat="false" ht="14.25" hidden="false" customHeight="tru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customFormat="false" ht="14.25" hidden="false" customHeight="tru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customFormat="false" ht="14.25" hidden="false" customHeight="tru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customFormat="false" ht="14.25" hidden="false" customHeight="tru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customFormat="false" ht="14.25" hidden="false" customHeight="tru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customFormat="false" ht="14.25" hidden="false" customHeight="tru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customFormat="false" ht="14.25" hidden="false" customHeight="tru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customFormat="false" ht="14.25" hidden="false" customHeight="tru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customFormat="false" ht="14.25" hidden="false" customHeight="tru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customFormat="false" ht="14.25" hidden="false" customHeight="tru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customFormat="false" ht="14.25" hidden="false" customHeight="tru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customFormat="false" ht="14.25" hidden="false" customHeight="tru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customFormat="false" ht="14.25" hidden="false" customHeight="tru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customFormat="false" ht="14.25" hidden="false" customHeight="tru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customFormat="false" ht="14.25" hidden="false" customHeight="tru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customFormat="false" ht="14.25" hidden="false" customHeight="tru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customFormat="false" ht="14.25" hidden="false" customHeight="tru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customFormat="false" ht="14.25" hidden="false" customHeight="tru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customFormat="false" ht="14.25" hidden="false" customHeight="tru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customFormat="false" ht="14.25" hidden="false" customHeight="tru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customFormat="false" ht="14.25" hidden="false" customHeight="tru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customFormat="false" ht="14.25" hidden="false" customHeight="tru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customFormat="false" ht="14.25" hidden="false" customHeight="tru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customFormat="false" ht="14.25" hidden="false" customHeight="tru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customFormat="false" ht="14.25" hidden="false" customHeight="tru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customFormat="false" ht="14.25" hidden="false" customHeight="tru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customFormat="false" ht="14.25" hidden="false" customHeight="tru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customFormat="false" ht="14.25" hidden="false" customHeight="tru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customFormat="false" ht="14.25" hidden="false" customHeight="tru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customFormat="false" ht="14.25" hidden="false" customHeight="tru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customFormat="false" ht="14.25" hidden="false" customHeight="tru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customFormat="false" ht="14.25" hidden="false" customHeight="tru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customFormat="false" ht="14.25" hidden="false" customHeight="tru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customFormat="false" ht="14.25" hidden="false" customHeight="tru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customFormat="false" ht="14.25" hidden="false" customHeight="tru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customFormat="false" ht="14.25" hidden="false" customHeight="tru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customFormat="false" ht="14.25" hidden="false" customHeight="tru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customFormat="false" ht="14.25" hidden="false" customHeight="tru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customFormat="false" ht="14.25" hidden="false" customHeight="tru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customFormat="false" ht="14.25" hidden="false" customHeight="tru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customFormat="false" ht="14.25" hidden="false" customHeight="tru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customFormat="false" ht="14.25" hidden="false" customHeight="tru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customFormat="false" ht="14.25" hidden="false" customHeight="tru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customFormat="false" ht="14.25" hidden="false" customHeight="tru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customFormat="false" ht="14.25" hidden="false" customHeight="tru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customFormat="false" ht="14.25" hidden="false" customHeight="tru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customFormat="false" ht="14.25" hidden="false" customHeight="tru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customFormat="false" ht="14.25" hidden="false" customHeight="tru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customFormat="false" ht="14.25" hidden="false" customHeight="tru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customFormat="false" ht="14.25" hidden="false" customHeight="tru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customFormat="false" ht="14.25" hidden="false" customHeight="tru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customFormat="false" ht="14.25" hidden="false" customHeight="tru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customFormat="false" ht="14.25" hidden="false" customHeight="tru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customFormat="false" ht="14.25" hidden="false" customHeight="tru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customFormat="false" ht="14.25" hidden="false" customHeight="tru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customFormat="false" ht="14.25" hidden="false" customHeight="tru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customFormat="false" ht="14.25" hidden="false" customHeight="tru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customFormat="false" ht="14.25" hidden="false" customHeight="tru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customFormat="false" ht="14.25" hidden="false" customHeight="true" outlineLevel="0" collapsed="false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customFormat="false" ht="14.25" hidden="false" customHeight="tru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customFormat="false" ht="14.25" hidden="false" customHeight="true" outlineLevel="0" collapsed="false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customFormat="false" ht="14.25" hidden="false" customHeight="true" outlineLevel="0" collapsed="false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customFormat="false" ht="14.25" hidden="false" customHeight="true" outlineLevel="0" collapsed="false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customFormat="false" ht="14.25" hidden="false" customHeight="true" outlineLevel="0" collapsed="false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customFormat="false" ht="14.25" hidden="false" customHeight="true" outlineLevel="0" collapsed="false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customFormat="false" ht="14.25" hidden="false" customHeight="true" outlineLevel="0" collapsed="false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customFormat="false" ht="14.25" hidden="false" customHeight="true" outlineLevel="0" collapsed="false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customFormat="false" ht="14.25" hidden="false" customHeight="true" outlineLevel="0" collapsed="false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customFormat="false" ht="14.25" hidden="false" customHeight="true" outlineLevel="0" collapsed="false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customFormat="false" ht="14.25" hidden="false" customHeight="true" outlineLevel="0" collapsed="false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">
    <mergeCell ref="A45:C45"/>
    <mergeCell ref="A46:C46"/>
    <mergeCell ref="A47:C47"/>
    <mergeCell ref="A49:D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7" t="n">
        <v>2026</v>
      </c>
      <c r="B1" s="7" t="s">
        <v>181</v>
      </c>
      <c r="C1" s="7" t="s">
        <v>182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183</v>
      </c>
    </row>
    <row r="2" customFormat="false" ht="14.25" hidden="false" customHeight="true" outlineLevel="0" collapsed="false">
      <c r="A2" s="41" t="n">
        <v>2026</v>
      </c>
      <c r="B2" s="8" t="s">
        <v>16</v>
      </c>
      <c r="C2" s="8" t="s">
        <v>184</v>
      </c>
      <c r="D2" s="42" t="n">
        <f aca="false">(datos_base!$B$2+datos_base!$B$18)*parametros_manuales!B$12</f>
        <v>501.44838516</v>
      </c>
      <c r="E2" s="42" t="n">
        <f aca="false">(datos_base!$B$2+datos_base!$B$18)*parametros_manuales!C$12</f>
        <v>376.08628887</v>
      </c>
      <c r="F2" s="42" t="n">
        <f aca="false">(datos_base!$B$2+datos_base!$B$18)*parametros_manuales!D$12</f>
        <v>334.29892344</v>
      </c>
      <c r="G2" s="42" t="n">
        <f aca="false">(datos_base!$B$2+datos_base!$B$18)*parametros_manuales!E$12</f>
        <v>313.405240725</v>
      </c>
      <c r="H2" s="42" t="n">
        <f aca="false">(datos_base!$B$2+datos_base!$B$18)*parametros_manuales!F$12</f>
        <v>292.51155801</v>
      </c>
      <c r="I2" s="42" t="n">
        <f aca="false">(datos_base!$B$2+datos_base!$B$18)*parametros_manuales!G$12</f>
        <v>292.51155801</v>
      </c>
      <c r="J2" s="42" t="n">
        <f aca="false">(datos_base!$B$2+datos_base!$B$18)*parametros_manuales!H$12</f>
        <v>313.405240725</v>
      </c>
      <c r="K2" s="42" t="n">
        <f aca="false">(datos_base!$B$2+datos_base!$B$18)*parametros_manuales!I$12</f>
        <v>313.405240725</v>
      </c>
      <c r="L2" s="42" t="n">
        <f aca="false">(datos_base!$B$2+datos_base!$B$18)*parametros_manuales!J$12</f>
        <v>313.405240725</v>
      </c>
      <c r="M2" s="42" t="n">
        <f aca="false">(datos_base!$B$2+datos_base!$B$18)*parametros_manuales!K$12</f>
        <v>313.405240725</v>
      </c>
      <c r="N2" s="42" t="n">
        <f aca="false">(datos_base!$B$2+datos_base!$B$18)*parametros_manuales!L$12</f>
        <v>313.405240725</v>
      </c>
      <c r="O2" s="42" t="n">
        <f aca="false">(datos_base!$B$2+datos_base!$B$18)*parametros_manuales!M$12</f>
        <v>501.44838516</v>
      </c>
      <c r="P2" s="9" t="n">
        <f aca="false">SUM(D2:O2)</f>
        <v>4178.736543</v>
      </c>
    </row>
    <row r="3" customFormat="false" ht="14.25" hidden="false" customHeight="true" outlineLevel="0" collapsed="false">
      <c r="A3" s="41" t="n">
        <v>2026</v>
      </c>
      <c r="B3" s="8" t="s">
        <v>17</v>
      </c>
      <c r="C3" s="8" t="s">
        <v>184</v>
      </c>
      <c r="D3" s="42" t="n">
        <f aca="false">(datos_base!$B$3+datos_base!$B$19)*parametros_manuales!B$13</f>
        <v>29.80303572</v>
      </c>
      <c r="E3" s="42" t="n">
        <f aca="false">(datos_base!$B$3+datos_base!$B$19)*parametros_manuales!C$13</f>
        <v>23.842428576</v>
      </c>
      <c r="F3" s="42" t="n">
        <f aca="false">(datos_base!$B$3+datos_base!$B$19)*parametros_manuales!D$13</f>
        <v>25.332580362</v>
      </c>
      <c r="G3" s="42" t="n">
        <f aca="false">(datos_base!$B$3+datos_base!$B$19)*parametros_manuales!E$13</f>
        <v>25.332580362</v>
      </c>
      <c r="H3" s="42" t="n">
        <f aca="false">(datos_base!$B$3+datos_base!$B$19)*parametros_manuales!F$13</f>
        <v>23.842428576</v>
      </c>
      <c r="I3" s="42" t="n">
        <f aca="false">(datos_base!$B$3+datos_base!$B$19)*parametros_manuales!G$13</f>
        <v>22.35227679</v>
      </c>
      <c r="J3" s="42" t="n">
        <f aca="false">(datos_base!$B$3+datos_base!$B$19)*parametros_manuales!H$13</f>
        <v>23.842428576</v>
      </c>
      <c r="K3" s="42" t="n">
        <f aca="false">(datos_base!$B$3+datos_base!$B$19)*parametros_manuales!I$13</f>
        <v>23.842428576</v>
      </c>
      <c r="L3" s="42" t="n">
        <f aca="false">(datos_base!$B$3+datos_base!$B$19)*parametros_manuales!J$13</f>
        <v>23.842428576</v>
      </c>
      <c r="M3" s="42" t="n">
        <f aca="false">(datos_base!$B$3+datos_base!$B$19)*parametros_manuales!K$13</f>
        <v>22.35227679</v>
      </c>
      <c r="N3" s="42" t="n">
        <f aca="false">(datos_base!$B$3+datos_base!$B$19)*parametros_manuales!L$13</f>
        <v>20.862125004</v>
      </c>
      <c r="O3" s="42" t="n">
        <f aca="false">(datos_base!$B$3+datos_base!$B$19)*parametros_manuales!M$13</f>
        <v>32.783339292</v>
      </c>
      <c r="P3" s="9" t="n">
        <f aca="false">SUM(D3:O3)</f>
        <v>298.0303572</v>
      </c>
    </row>
    <row r="4" customFormat="false" ht="14.25" hidden="false" customHeight="true" outlineLevel="0" collapsed="false">
      <c r="A4" s="41" t="n">
        <v>2026</v>
      </c>
      <c r="B4" s="8" t="s">
        <v>18</v>
      </c>
      <c r="C4" s="8" t="s">
        <v>184</v>
      </c>
      <c r="D4" s="42" t="n">
        <f aca="false">(datos_base!$B$4+datos_base!$B$20)*parametros_manuales!B$14</f>
        <v>226.7773025</v>
      </c>
      <c r="E4" s="42" t="n">
        <f aca="false">(datos_base!$B$4+datos_base!$B$20)*parametros_manuales!C$14</f>
        <v>181.421842</v>
      </c>
      <c r="F4" s="42" t="n">
        <f aca="false">(datos_base!$B$4+datos_base!$B$20)*parametros_manuales!D$14</f>
        <v>192.760707125</v>
      </c>
      <c r="G4" s="42" t="n">
        <f aca="false">(datos_base!$B$4+datos_base!$B$20)*parametros_manuales!E$14</f>
        <v>192.760707125</v>
      </c>
      <c r="H4" s="42" t="n">
        <f aca="false">(datos_base!$B$4+datos_base!$B$20)*parametros_manuales!F$14</f>
        <v>181.421842</v>
      </c>
      <c r="I4" s="42" t="n">
        <f aca="false">(datos_base!$B$4+datos_base!$B$20)*parametros_manuales!G$14</f>
        <v>170.082976875</v>
      </c>
      <c r="J4" s="42" t="n">
        <f aca="false">(datos_base!$B$4+datos_base!$B$20)*parametros_manuales!H$14</f>
        <v>181.421842</v>
      </c>
      <c r="K4" s="42" t="n">
        <f aca="false">(datos_base!$B$4+datos_base!$B$20)*parametros_manuales!I$14</f>
        <v>181.421842</v>
      </c>
      <c r="L4" s="42" t="n">
        <f aca="false">(datos_base!$B$4+datos_base!$B$20)*parametros_manuales!J$14</f>
        <v>181.421842</v>
      </c>
      <c r="M4" s="42" t="n">
        <f aca="false">(datos_base!$B$4+datos_base!$B$20)*parametros_manuales!K$14</f>
        <v>170.082976875</v>
      </c>
      <c r="N4" s="42" t="n">
        <f aca="false">(datos_base!$B$4+datos_base!$B$20)*parametros_manuales!L$14</f>
        <v>158.74411175</v>
      </c>
      <c r="O4" s="42" t="n">
        <f aca="false">(datos_base!$B$4+datos_base!$B$20)*parametros_manuales!M$14</f>
        <v>249.45503275</v>
      </c>
      <c r="P4" s="9" t="n">
        <f aca="false">SUM(D4:O4)</f>
        <v>2267.773025</v>
      </c>
    </row>
    <row r="5" customFormat="false" ht="14.25" hidden="false" customHeight="true" outlineLevel="0" collapsed="false">
      <c r="A5" s="41" t="n">
        <v>2026</v>
      </c>
      <c r="B5" s="8" t="s">
        <v>19</v>
      </c>
      <c r="C5" s="8" t="s">
        <v>184</v>
      </c>
      <c r="D5" s="42" t="n">
        <f aca="false">(datos_base!$B$5+datos_base!$B$21)*parametros_manuales!B$15</f>
        <v>9.283318153</v>
      </c>
      <c r="E5" s="42" t="n">
        <f aca="false">(datos_base!$B$5+datos_base!$B$21)*parametros_manuales!C$15</f>
        <v>7.4266545224</v>
      </c>
      <c r="F5" s="42" t="n">
        <f aca="false">(datos_base!$B$5+datos_base!$B$21)*parametros_manuales!D$15</f>
        <v>7.89082043005</v>
      </c>
      <c r="G5" s="42" t="n">
        <f aca="false">(datos_base!$B$5+datos_base!$B$21)*parametros_manuales!E$15</f>
        <v>7.89082043005</v>
      </c>
      <c r="H5" s="42" t="n">
        <f aca="false">(datos_base!$B$5+datos_base!$B$21)*parametros_manuales!F$15</f>
        <v>7.4266545224</v>
      </c>
      <c r="I5" s="42" t="n">
        <f aca="false">(datos_base!$B$5+datos_base!$B$21)*parametros_manuales!G$15</f>
        <v>6.96248861475</v>
      </c>
      <c r="J5" s="42" t="n">
        <f aca="false">(datos_base!$B$5+datos_base!$B$21)*parametros_manuales!H$15</f>
        <v>7.4266545224</v>
      </c>
      <c r="K5" s="42" t="n">
        <f aca="false">(datos_base!$B$5+datos_base!$B$21)*parametros_manuales!I$15</f>
        <v>7.4266545224</v>
      </c>
      <c r="L5" s="42" t="n">
        <f aca="false">(datos_base!$B$5+datos_base!$B$21)*parametros_manuales!J$15</f>
        <v>7.4266545224</v>
      </c>
      <c r="M5" s="42" t="n">
        <f aca="false">(datos_base!$B$5+datos_base!$B$21)*parametros_manuales!K$15</f>
        <v>6.96248861475</v>
      </c>
      <c r="N5" s="42" t="n">
        <f aca="false">(datos_base!$B$5+datos_base!$B$21)*parametros_manuales!L$15</f>
        <v>6.4983227071</v>
      </c>
      <c r="O5" s="42" t="n">
        <f aca="false">(datos_base!$B$5+datos_base!$B$21)*parametros_manuales!M$15</f>
        <v>10.2116499683</v>
      </c>
      <c r="P5" s="9" t="n">
        <f aca="false">SUM(D5:O5)</f>
        <v>92.83318153</v>
      </c>
    </row>
    <row r="6" customFormat="false" ht="14.25" hidden="false" customHeight="true" outlineLevel="0" collapsed="false">
      <c r="A6" s="41" t="n">
        <v>2026</v>
      </c>
      <c r="B6" s="8" t="s">
        <v>22</v>
      </c>
      <c r="C6" s="8" t="s">
        <v>185</v>
      </c>
      <c r="D6" s="42" t="n">
        <f aca="false">(datos_base!$B$9+datos_base!$B$23)*parametros_manuales!B$12</f>
        <v>0</v>
      </c>
      <c r="E6" s="42" t="n">
        <f aca="false">(datos_base!$B$9+datos_base!$B$23)*parametros_manuales!C$12</f>
        <v>0</v>
      </c>
      <c r="F6" s="42" t="n">
        <f aca="false">(datos_base!$B$9+datos_base!$B$23)*parametros_manuales!D$12</f>
        <v>0</v>
      </c>
      <c r="G6" s="42" t="n">
        <f aca="false">(datos_base!$B$9+datos_base!$B$23)*parametros_manuales!E$12</f>
        <v>0</v>
      </c>
      <c r="H6" s="42" t="n">
        <f aca="false">(datos_base!$B$9+datos_base!$B$23)*parametros_manuales!F$12</f>
        <v>0</v>
      </c>
      <c r="I6" s="42" t="n">
        <f aca="false">(datos_base!$B$9+datos_base!$B$23)*parametros_manuales!G$12</f>
        <v>0</v>
      </c>
      <c r="J6" s="42" t="n">
        <f aca="false">(datos_base!$B$9+datos_base!$B$23)*parametros_manuales!H$12</f>
        <v>0</v>
      </c>
      <c r="K6" s="42" t="n">
        <f aca="false">(datos_base!$B$9+datos_base!$B$23)*parametros_manuales!I$12</f>
        <v>0</v>
      </c>
      <c r="L6" s="42" t="n">
        <f aca="false">(datos_base!$B$9+datos_base!$B$23)*parametros_manuales!J$12</f>
        <v>0</v>
      </c>
      <c r="M6" s="42" t="n">
        <f aca="false">(datos_base!$B$9+datos_base!$B$23)*parametros_manuales!K$12</f>
        <v>0</v>
      </c>
      <c r="N6" s="42" t="n">
        <f aca="false">(datos_base!$B$9+datos_base!$B$23)*parametros_manuales!L$12</f>
        <v>0</v>
      </c>
      <c r="O6" s="42" t="n">
        <f aca="false">(datos_base!$B$9+datos_base!$B$23)*parametros_manuales!M$12</f>
        <v>0</v>
      </c>
      <c r="P6" s="9" t="n">
        <f aca="false">SUM(D6:O6)</f>
        <v>0</v>
      </c>
    </row>
    <row r="7" customFormat="false" ht="14.25" hidden="false" customHeight="true" outlineLevel="0" collapsed="false">
      <c r="A7" s="41" t="n">
        <v>2026</v>
      </c>
      <c r="B7" s="8" t="s">
        <v>23</v>
      </c>
      <c r="C7" s="8" t="s">
        <v>185</v>
      </c>
      <c r="D7" s="42" t="n">
        <f aca="false">(datos_base!$B$10+datos_base!$B$24)*parametros_manuales!B$13</f>
        <v>0.4</v>
      </c>
      <c r="E7" s="42" t="n">
        <f aca="false">(datos_base!$B$10+datos_base!$B$24)*parametros_manuales!C$13</f>
        <v>0.32</v>
      </c>
      <c r="F7" s="42" t="n">
        <f aca="false">(datos_base!$B$10+datos_base!$B$24)*parametros_manuales!D$13</f>
        <v>0.34</v>
      </c>
      <c r="G7" s="42" t="n">
        <f aca="false">(datos_base!$B$10+datos_base!$B$24)*parametros_manuales!E$13</f>
        <v>0.34</v>
      </c>
      <c r="H7" s="42" t="n">
        <f aca="false">(datos_base!$B$10+datos_base!$B$24)*parametros_manuales!F$13</f>
        <v>0.32</v>
      </c>
      <c r="I7" s="42" t="n">
        <f aca="false">(datos_base!$B$10+datos_base!$B$24)*parametros_manuales!G$13</f>
        <v>0.3</v>
      </c>
      <c r="J7" s="42" t="n">
        <f aca="false">(datos_base!$B$10+datos_base!$B$24)*parametros_manuales!H$13</f>
        <v>0.32</v>
      </c>
      <c r="K7" s="42" t="n">
        <f aca="false">(datos_base!$B$10+datos_base!$B$24)*parametros_manuales!I$13</f>
        <v>0.32</v>
      </c>
      <c r="L7" s="42" t="n">
        <f aca="false">(datos_base!$B$10+datos_base!$B$24)*parametros_manuales!J$13</f>
        <v>0.32</v>
      </c>
      <c r="M7" s="42" t="n">
        <f aca="false">(datos_base!$B$10+datos_base!$B$24)*parametros_manuales!K$13</f>
        <v>0.3</v>
      </c>
      <c r="N7" s="42" t="n">
        <f aca="false">(datos_base!$B$10+datos_base!$B$24)*parametros_manuales!L$13</f>
        <v>0.28</v>
      </c>
      <c r="O7" s="42" t="n">
        <f aca="false">(datos_base!$B$10+datos_base!$B$24)*parametros_manuales!M$13</f>
        <v>0.44</v>
      </c>
      <c r="P7" s="9" t="n">
        <f aca="false">SUM(D7:O7)</f>
        <v>4</v>
      </c>
    </row>
    <row r="8" customFormat="false" ht="14.25" hidden="false" customHeight="true" outlineLevel="0" collapsed="false">
      <c r="A8" s="41" t="n">
        <v>2026</v>
      </c>
      <c r="B8" s="8" t="s">
        <v>24</v>
      </c>
      <c r="C8" s="8" t="s">
        <v>185</v>
      </c>
      <c r="D8" s="42" t="n">
        <f aca="false">(datos_base!$B$11+datos_base!$B$25)*parametros_manuales!B$14</f>
        <v>2.2</v>
      </c>
      <c r="E8" s="42" t="n">
        <f aca="false">(datos_base!$B$11+datos_base!$B$25)*parametros_manuales!C$14</f>
        <v>1.76</v>
      </c>
      <c r="F8" s="42" t="n">
        <f aca="false">(datos_base!$B$11+datos_base!$B$25)*parametros_manuales!D$14</f>
        <v>1.87</v>
      </c>
      <c r="G8" s="42" t="n">
        <f aca="false">(datos_base!$B$11+datos_base!$B$25)*parametros_manuales!E$14</f>
        <v>1.87</v>
      </c>
      <c r="H8" s="42" t="n">
        <f aca="false">(datos_base!$B$11+datos_base!$B$25)*parametros_manuales!F$14</f>
        <v>1.76</v>
      </c>
      <c r="I8" s="42" t="n">
        <f aca="false">(datos_base!$B$11+datos_base!$B$25)*parametros_manuales!G$14</f>
        <v>1.65</v>
      </c>
      <c r="J8" s="42" t="n">
        <f aca="false">(datos_base!$B$11+datos_base!$B$25)*parametros_manuales!H$14</f>
        <v>1.76</v>
      </c>
      <c r="K8" s="42" t="n">
        <f aca="false">(datos_base!$B$11+datos_base!$B$25)*parametros_manuales!I$14</f>
        <v>1.76</v>
      </c>
      <c r="L8" s="42" t="n">
        <f aca="false">(datos_base!$B$11+datos_base!$B$25)*parametros_manuales!J$14</f>
        <v>1.76</v>
      </c>
      <c r="M8" s="42" t="n">
        <f aca="false">(datos_base!$B$11+datos_base!$B$25)*parametros_manuales!K$14</f>
        <v>1.65</v>
      </c>
      <c r="N8" s="42" t="n">
        <f aca="false">(datos_base!$B$11+datos_base!$B$25)*parametros_manuales!L$14</f>
        <v>1.54</v>
      </c>
      <c r="O8" s="42" t="n">
        <f aca="false">(datos_base!$B$11+datos_base!$B$25)*parametros_manuales!M$14</f>
        <v>2.42</v>
      </c>
      <c r="P8" s="9" t="n">
        <f aca="false">SUM(D8:O8)</f>
        <v>22</v>
      </c>
    </row>
    <row r="9" customFormat="false" ht="14.25" hidden="false" customHeight="true" outlineLevel="0" collapsed="false">
      <c r="A9" s="41" t="n">
        <v>2026</v>
      </c>
      <c r="B9" s="8" t="s">
        <v>25</v>
      </c>
      <c r="C9" s="8" t="s">
        <v>185</v>
      </c>
      <c r="D9" s="42" t="n">
        <f aca="false">(datos_base!$B$12+datos_base!$B$26)*parametros_manuales!B$15</f>
        <v>0.2</v>
      </c>
      <c r="E9" s="42" t="n">
        <f aca="false">(datos_base!$B$12+datos_base!$B$26)*parametros_manuales!C$15</f>
        <v>0.16</v>
      </c>
      <c r="F9" s="42" t="n">
        <f aca="false">(datos_base!$B$12+datos_base!$B$26)*parametros_manuales!D$15</f>
        <v>0.17</v>
      </c>
      <c r="G9" s="42" t="n">
        <f aca="false">(datos_base!$B$12+datos_base!$B$26)*parametros_manuales!E$15</f>
        <v>0.17</v>
      </c>
      <c r="H9" s="42" t="n">
        <f aca="false">(datos_base!$B$12+datos_base!$B$26)*parametros_manuales!F$15</f>
        <v>0.16</v>
      </c>
      <c r="I9" s="42" t="n">
        <f aca="false">(datos_base!$B$12+datos_base!$B$26)*parametros_manuales!G$15</f>
        <v>0.15</v>
      </c>
      <c r="J9" s="42" t="n">
        <f aca="false">(datos_base!$B$12+datos_base!$B$26)*parametros_manuales!H$15</f>
        <v>0.16</v>
      </c>
      <c r="K9" s="42" t="n">
        <f aca="false">(datos_base!$B$12+datos_base!$B$26)*parametros_manuales!I$15</f>
        <v>0.16</v>
      </c>
      <c r="L9" s="42" t="n">
        <f aca="false">(datos_base!$B$12+datos_base!$B$26)*parametros_manuales!J$15</f>
        <v>0.16</v>
      </c>
      <c r="M9" s="42" t="n">
        <f aca="false">(datos_base!$B$12+datos_base!$B$26)*parametros_manuales!K$15</f>
        <v>0.15</v>
      </c>
      <c r="N9" s="42" t="n">
        <f aca="false">(datos_base!$B$12+datos_base!$B$26)*parametros_manuales!L$15</f>
        <v>0.14</v>
      </c>
      <c r="O9" s="42" t="n">
        <f aca="false">(datos_base!$B$12+datos_base!$B$26)*parametros_manuales!M$15</f>
        <v>0.22</v>
      </c>
      <c r="P9" s="9" t="n">
        <f aca="false">SUM(D9:O9)</f>
        <v>2</v>
      </c>
    </row>
    <row r="10" customFormat="false" ht="14.25" hidden="false" customHeight="true" outlineLevel="0" collapsed="false">
      <c r="B10" s="10" t="s">
        <v>186</v>
      </c>
      <c r="D10" s="11" t="n">
        <f aca="false">SUM(D2:D9)</f>
        <v>770.112041533</v>
      </c>
      <c r="E10" s="11" t="n">
        <f aca="false">SUM(E2:E9)</f>
        <v>591.0172139684</v>
      </c>
      <c r="F10" s="11" t="n">
        <f aca="false">SUM(F2:F9)</f>
        <v>562.66303135705</v>
      </c>
      <c r="G10" s="11" t="n">
        <f aca="false">SUM(G2:G9)</f>
        <v>541.76934864205</v>
      </c>
      <c r="H10" s="11" t="n">
        <f aca="false">SUM(H2:H9)</f>
        <v>507.4424831084</v>
      </c>
      <c r="I10" s="11" t="n">
        <f aca="false">SUM(I2:I9)</f>
        <v>494.00930028975</v>
      </c>
      <c r="J10" s="11" t="n">
        <f aca="false">SUM(J2:J9)</f>
        <v>528.3361658234</v>
      </c>
      <c r="K10" s="11" t="n">
        <f aca="false">SUM(K2:K9)</f>
        <v>528.3361658234</v>
      </c>
      <c r="L10" s="11" t="n">
        <f aca="false">SUM(L2:L9)</f>
        <v>528.3361658234</v>
      </c>
      <c r="M10" s="11" t="n">
        <f aca="false">SUM(M2:M9)</f>
        <v>514.90298300475</v>
      </c>
      <c r="N10" s="11" t="n">
        <f aca="false">SUM(N2:N9)</f>
        <v>501.4698001861</v>
      </c>
      <c r="O10" s="11" t="n">
        <f aca="false">SUM(O2:O9)</f>
        <v>796.9784071703</v>
      </c>
      <c r="P10" s="11" t="n">
        <f aca="false">SUM(P2:P9)</f>
        <v>6865.37310673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181</v>
      </c>
      <c r="C12" s="7" t="s">
        <v>182</v>
      </c>
      <c r="D12" s="7" t="s">
        <v>61</v>
      </c>
      <c r="E12" s="7" t="s">
        <v>62</v>
      </c>
      <c r="F12" s="7" t="s">
        <v>63</v>
      </c>
      <c r="G12" s="7" t="s">
        <v>64</v>
      </c>
      <c r="H12" s="7" t="s">
        <v>65</v>
      </c>
      <c r="I12" s="7" t="s">
        <v>66</v>
      </c>
      <c r="J12" s="7" t="s">
        <v>67</v>
      </c>
      <c r="K12" s="7" t="s">
        <v>68</v>
      </c>
      <c r="L12" s="7" t="s">
        <v>69</v>
      </c>
      <c r="M12" s="7" t="s">
        <v>70</v>
      </c>
      <c r="N12" s="7" t="s">
        <v>71</v>
      </c>
      <c r="O12" s="7" t="s">
        <v>72</v>
      </c>
      <c r="P12" s="7" t="s">
        <v>183</v>
      </c>
    </row>
    <row r="13" customFormat="false" ht="14.25" hidden="false" customHeight="true" outlineLevel="0" collapsed="false">
      <c r="A13" s="41" t="n">
        <v>2027</v>
      </c>
      <c r="B13" s="8" t="s">
        <v>16</v>
      </c>
      <c r="C13" s="8" t="s">
        <v>184</v>
      </c>
      <c r="D13" s="42" t="n">
        <f aca="false">(datos_base!$C$2+datos_base!$C$18)*parametros_manuales!B$12</f>
        <v>719.67647724</v>
      </c>
      <c r="E13" s="42" t="n">
        <f aca="false">(datos_base!$C$2+datos_base!$C$18)*parametros_manuales!C$12</f>
        <v>539.75735793</v>
      </c>
      <c r="F13" s="42" t="n">
        <f aca="false">(datos_base!$C$2+datos_base!$C$18)*parametros_manuales!D$12</f>
        <v>479.78431816</v>
      </c>
      <c r="G13" s="42" t="n">
        <f aca="false">(datos_base!$C$2+datos_base!$C$18)*parametros_manuales!E$12</f>
        <v>449.797798275</v>
      </c>
      <c r="H13" s="42" t="n">
        <f aca="false">(datos_base!$C$2+datos_base!$C$18)*parametros_manuales!F$12</f>
        <v>419.81127839</v>
      </c>
      <c r="I13" s="42" t="n">
        <f aca="false">(datos_base!$C$2+datos_base!$C$18)*parametros_manuales!G$12</f>
        <v>419.81127839</v>
      </c>
      <c r="J13" s="42" t="n">
        <f aca="false">(datos_base!$C$2+datos_base!$C$18)*parametros_manuales!H$12</f>
        <v>449.797798275</v>
      </c>
      <c r="K13" s="42" t="n">
        <f aca="false">(datos_base!$C$2+datos_base!$C$18)*parametros_manuales!I$12</f>
        <v>449.797798275</v>
      </c>
      <c r="L13" s="42" t="n">
        <f aca="false">(datos_base!$C$2+datos_base!$C$18)*parametros_manuales!J$12</f>
        <v>449.797798275</v>
      </c>
      <c r="M13" s="42" t="n">
        <f aca="false">(datos_base!$C$2+datos_base!$C$18)*parametros_manuales!K$12</f>
        <v>449.797798275</v>
      </c>
      <c r="N13" s="42" t="n">
        <f aca="false">(datos_base!$C$2+datos_base!$C$18)*parametros_manuales!L$12</f>
        <v>449.797798275</v>
      </c>
      <c r="O13" s="42" t="n">
        <f aca="false">(datos_base!$C$2+datos_base!$C$18)*parametros_manuales!M$12</f>
        <v>719.67647724</v>
      </c>
      <c r="P13" s="9" t="n">
        <f aca="false">SUM(D13:O13)</f>
        <v>5997.303977</v>
      </c>
    </row>
    <row r="14" customFormat="false" ht="14.25" hidden="false" customHeight="true" outlineLevel="0" collapsed="false">
      <c r="A14" s="41" t="n">
        <v>2027</v>
      </c>
      <c r="B14" s="8" t="s">
        <v>17</v>
      </c>
      <c r="C14" s="8" t="s">
        <v>184</v>
      </c>
      <c r="D14" s="42" t="n">
        <f aca="false">(datos_base!$C$3+datos_base!$C$19)*parametros_manuales!B$13</f>
        <v>71.59674503</v>
      </c>
      <c r="E14" s="42" t="n">
        <f aca="false">(datos_base!$C$3+datos_base!$C$19)*parametros_manuales!C$13</f>
        <v>57.277396024</v>
      </c>
      <c r="F14" s="42" t="n">
        <f aca="false">(datos_base!$C$3+datos_base!$C$19)*parametros_manuales!D$13</f>
        <v>60.8572332755</v>
      </c>
      <c r="G14" s="42" t="n">
        <f aca="false">(datos_base!$C$3+datos_base!$C$19)*parametros_manuales!E$13</f>
        <v>60.8572332755</v>
      </c>
      <c r="H14" s="42" t="n">
        <f aca="false">(datos_base!$C$3+datos_base!$C$19)*parametros_manuales!F$13</f>
        <v>57.277396024</v>
      </c>
      <c r="I14" s="42" t="n">
        <f aca="false">(datos_base!$C$3+datos_base!$C$19)*parametros_manuales!G$13</f>
        <v>53.6975587725</v>
      </c>
      <c r="J14" s="42" t="n">
        <f aca="false">(datos_base!$C$3+datos_base!$C$19)*parametros_manuales!H$13</f>
        <v>57.277396024</v>
      </c>
      <c r="K14" s="42" t="n">
        <f aca="false">(datos_base!$C$3+datos_base!$C$19)*parametros_manuales!I$13</f>
        <v>57.277396024</v>
      </c>
      <c r="L14" s="42" t="n">
        <f aca="false">(datos_base!$C$3+datos_base!$C$19)*parametros_manuales!J$13</f>
        <v>57.277396024</v>
      </c>
      <c r="M14" s="42" t="n">
        <f aca="false">(datos_base!$C$3+datos_base!$C$19)*parametros_manuales!K$13</f>
        <v>53.6975587725</v>
      </c>
      <c r="N14" s="42" t="n">
        <f aca="false">(datos_base!$C$3+datos_base!$C$19)*parametros_manuales!L$13</f>
        <v>50.117721521</v>
      </c>
      <c r="O14" s="42" t="n">
        <f aca="false">(datos_base!$C$3+datos_base!$C$19)*parametros_manuales!M$13</f>
        <v>78.756419533</v>
      </c>
      <c r="P14" s="9" t="n">
        <f aca="false">SUM(D14:O14)</f>
        <v>715.9674503</v>
      </c>
    </row>
    <row r="15" customFormat="false" ht="14.25" hidden="false" customHeight="true" outlineLevel="0" collapsed="false">
      <c r="A15" s="41" t="n">
        <v>2027</v>
      </c>
      <c r="B15" s="8" t="s">
        <v>18</v>
      </c>
      <c r="C15" s="8" t="s">
        <v>184</v>
      </c>
      <c r="D15" s="42" t="n">
        <f aca="false">(datos_base!$C$4+datos_base!$C$20)*parametros_manuales!B$14</f>
        <v>388.2938881</v>
      </c>
      <c r="E15" s="42" t="n">
        <f aca="false">(datos_base!$C$4+datos_base!$C$20)*parametros_manuales!C$14</f>
        <v>310.63511048</v>
      </c>
      <c r="F15" s="42" t="n">
        <f aca="false">(datos_base!$C$4+datos_base!$C$20)*parametros_manuales!D$14</f>
        <v>330.049804885</v>
      </c>
      <c r="G15" s="42" t="n">
        <f aca="false">(datos_base!$C$4+datos_base!$C$20)*parametros_manuales!E$14</f>
        <v>330.049804885</v>
      </c>
      <c r="H15" s="42" t="n">
        <f aca="false">(datos_base!$C$4+datos_base!$C$20)*parametros_manuales!F$14</f>
        <v>310.63511048</v>
      </c>
      <c r="I15" s="42" t="n">
        <f aca="false">(datos_base!$C$4+datos_base!$C$20)*parametros_manuales!G$14</f>
        <v>291.220416075</v>
      </c>
      <c r="J15" s="42" t="n">
        <f aca="false">(datos_base!$C$4+datos_base!$C$20)*parametros_manuales!H$14</f>
        <v>310.63511048</v>
      </c>
      <c r="K15" s="42" t="n">
        <f aca="false">(datos_base!$C$4+datos_base!$C$20)*parametros_manuales!I$14</f>
        <v>310.63511048</v>
      </c>
      <c r="L15" s="42" t="n">
        <f aca="false">(datos_base!$C$4+datos_base!$C$20)*parametros_manuales!J$14</f>
        <v>310.63511048</v>
      </c>
      <c r="M15" s="42" t="n">
        <f aca="false">(datos_base!$C$4+datos_base!$C$20)*parametros_manuales!K$14</f>
        <v>291.220416075</v>
      </c>
      <c r="N15" s="42" t="n">
        <f aca="false">(datos_base!$C$4+datos_base!$C$20)*parametros_manuales!L$14</f>
        <v>271.80572167</v>
      </c>
      <c r="O15" s="42" t="n">
        <f aca="false">(datos_base!$C$4+datos_base!$C$20)*parametros_manuales!M$14</f>
        <v>427.12327691</v>
      </c>
      <c r="P15" s="9" t="n">
        <f aca="false">SUM(D15:O15)</f>
        <v>3882.938881</v>
      </c>
    </row>
    <row r="16" customFormat="false" ht="14.25" hidden="false" customHeight="true" outlineLevel="0" collapsed="false">
      <c r="A16" s="41" t="n">
        <v>2027</v>
      </c>
      <c r="B16" s="8" t="s">
        <v>19</v>
      </c>
      <c r="C16" s="8" t="s">
        <v>184</v>
      </c>
      <c r="D16" s="42" t="n">
        <f aca="false">(datos_base!$C$5+datos_base!$C$21)*parametros_manuales!B$15</f>
        <v>17.93272967</v>
      </c>
      <c r="E16" s="42" t="n">
        <f aca="false">(datos_base!$C$5+datos_base!$C$21)*parametros_manuales!C$15</f>
        <v>14.346183736</v>
      </c>
      <c r="F16" s="42" t="n">
        <f aca="false">(datos_base!$C$5+datos_base!$C$21)*parametros_manuales!D$15</f>
        <v>15.2428202195</v>
      </c>
      <c r="G16" s="42" t="n">
        <f aca="false">(datos_base!$C$5+datos_base!$C$21)*parametros_manuales!E$15</f>
        <v>15.2428202195</v>
      </c>
      <c r="H16" s="42" t="n">
        <f aca="false">(datos_base!$C$5+datos_base!$C$21)*parametros_manuales!F$15</f>
        <v>14.346183736</v>
      </c>
      <c r="I16" s="42" t="n">
        <f aca="false">(datos_base!$C$5+datos_base!$C$21)*parametros_manuales!G$15</f>
        <v>13.4495472525</v>
      </c>
      <c r="J16" s="42" t="n">
        <f aca="false">(datos_base!$C$5+datos_base!$C$21)*parametros_manuales!H$15</f>
        <v>14.346183736</v>
      </c>
      <c r="K16" s="42" t="n">
        <f aca="false">(datos_base!$C$5+datos_base!$C$21)*parametros_manuales!I$15</f>
        <v>14.346183736</v>
      </c>
      <c r="L16" s="42" t="n">
        <f aca="false">(datos_base!$C$5+datos_base!$C$21)*parametros_manuales!J$15</f>
        <v>14.346183736</v>
      </c>
      <c r="M16" s="42" t="n">
        <f aca="false">(datos_base!$C$5+datos_base!$C$21)*parametros_manuales!K$15</f>
        <v>13.4495472525</v>
      </c>
      <c r="N16" s="42" t="n">
        <f aca="false">(datos_base!$C$5+datos_base!$C$21)*parametros_manuales!L$15</f>
        <v>12.552910769</v>
      </c>
      <c r="O16" s="42" t="n">
        <f aca="false">(datos_base!$C$5+datos_base!$C$21)*parametros_manuales!M$15</f>
        <v>19.726002637</v>
      </c>
      <c r="P16" s="9" t="n">
        <f aca="false">SUM(D16:O16)</f>
        <v>179.3272967</v>
      </c>
    </row>
    <row r="17" customFormat="false" ht="14.25" hidden="false" customHeight="true" outlineLevel="0" collapsed="false">
      <c r="A17" s="41" t="n">
        <v>2027</v>
      </c>
      <c r="B17" s="8" t="s">
        <v>22</v>
      </c>
      <c r="C17" s="8" t="s">
        <v>185</v>
      </c>
      <c r="D17" s="42" t="n">
        <f aca="false">(datos_base!$C$9+datos_base!$C$23)*parametros_manuales!B$12</f>
        <v>0</v>
      </c>
      <c r="E17" s="42" t="n">
        <f aca="false">(datos_base!$C$9+datos_base!$C$23)*parametros_manuales!C$12</f>
        <v>0</v>
      </c>
      <c r="F17" s="42" t="n">
        <f aca="false">(datos_base!$C$9+datos_base!$C$23)*parametros_manuales!D$12</f>
        <v>0</v>
      </c>
      <c r="G17" s="42" t="n">
        <f aca="false">(datos_base!$C$9+datos_base!$C$23)*parametros_manuales!E$12</f>
        <v>0</v>
      </c>
      <c r="H17" s="42" t="n">
        <f aca="false">(datos_base!$C$9+datos_base!$C$23)*parametros_manuales!F$12</f>
        <v>0</v>
      </c>
      <c r="I17" s="42" t="n">
        <f aca="false">(datos_base!$C$9+datos_base!$C$23)*parametros_manuales!G$12</f>
        <v>0</v>
      </c>
      <c r="J17" s="42" t="n">
        <f aca="false">(datos_base!$C$9+datos_base!$C$23)*parametros_manuales!H$12</f>
        <v>0</v>
      </c>
      <c r="K17" s="42" t="n">
        <f aca="false">(datos_base!$C$9+datos_base!$C$23)*parametros_manuales!I$12</f>
        <v>0</v>
      </c>
      <c r="L17" s="42" t="n">
        <f aca="false">(datos_base!$C$9+datos_base!$C$23)*parametros_manuales!J$12</f>
        <v>0</v>
      </c>
      <c r="M17" s="42" t="n">
        <f aca="false">(datos_base!$C$9+datos_base!$C$23)*parametros_manuales!K$12</f>
        <v>0</v>
      </c>
      <c r="N17" s="42" t="n">
        <f aca="false">(datos_base!$C$9+datos_base!$C$23)*parametros_manuales!L$12</f>
        <v>0</v>
      </c>
      <c r="O17" s="42" t="n">
        <f aca="false">(datos_base!$C$9+datos_base!$C$23)*parametros_manuales!M$12</f>
        <v>0</v>
      </c>
      <c r="P17" s="9" t="n">
        <f aca="false">SUM(D17:O17)</f>
        <v>0</v>
      </c>
    </row>
    <row r="18" customFormat="false" ht="14.25" hidden="false" customHeight="true" outlineLevel="0" collapsed="false">
      <c r="A18" s="41" t="n">
        <v>2027</v>
      </c>
      <c r="B18" s="8" t="s">
        <v>23</v>
      </c>
      <c r="C18" s="8" t="s">
        <v>185</v>
      </c>
      <c r="D18" s="42" t="n">
        <f aca="false">(datos_base!$C$10+datos_base!$C$24)*parametros_manuales!B$13</f>
        <v>1.132</v>
      </c>
      <c r="E18" s="42" t="n">
        <f aca="false">(datos_base!$C$10+datos_base!$C$24)*parametros_manuales!C$13</f>
        <v>0.9056</v>
      </c>
      <c r="F18" s="42" t="n">
        <f aca="false">(datos_base!$C$10+datos_base!$C$24)*parametros_manuales!D$13</f>
        <v>0.9622</v>
      </c>
      <c r="G18" s="42" t="n">
        <f aca="false">(datos_base!$C$10+datos_base!$C$24)*parametros_manuales!E$13</f>
        <v>0.9622</v>
      </c>
      <c r="H18" s="42" t="n">
        <f aca="false">(datos_base!$C$10+datos_base!$C$24)*parametros_manuales!F$13</f>
        <v>0.9056</v>
      </c>
      <c r="I18" s="42" t="n">
        <f aca="false">(datos_base!$C$10+datos_base!$C$24)*parametros_manuales!G$13</f>
        <v>0.849</v>
      </c>
      <c r="J18" s="42" t="n">
        <f aca="false">(datos_base!$C$10+datos_base!$C$24)*parametros_manuales!H$13</f>
        <v>0.9056</v>
      </c>
      <c r="K18" s="42" t="n">
        <f aca="false">(datos_base!$C$10+datos_base!$C$24)*parametros_manuales!I$13</f>
        <v>0.9056</v>
      </c>
      <c r="L18" s="42" t="n">
        <f aca="false">(datos_base!$C$10+datos_base!$C$24)*parametros_manuales!J$13</f>
        <v>0.9056</v>
      </c>
      <c r="M18" s="42" t="n">
        <f aca="false">(datos_base!$C$10+datos_base!$C$24)*parametros_manuales!K$13</f>
        <v>0.849</v>
      </c>
      <c r="N18" s="42" t="n">
        <f aca="false">(datos_base!$C$10+datos_base!$C$24)*parametros_manuales!L$13</f>
        <v>0.7924</v>
      </c>
      <c r="O18" s="42" t="n">
        <f aca="false">(datos_base!$C$10+datos_base!$C$24)*parametros_manuales!M$13</f>
        <v>1.2452</v>
      </c>
      <c r="P18" s="9" t="n">
        <f aca="false">SUM(D18:O18)</f>
        <v>11.32</v>
      </c>
    </row>
    <row r="19" customFormat="false" ht="14.25" hidden="false" customHeight="true" outlineLevel="0" collapsed="false">
      <c r="A19" s="41" t="n">
        <v>2027</v>
      </c>
      <c r="B19" s="8" t="s">
        <v>24</v>
      </c>
      <c r="C19" s="8" t="s">
        <v>185</v>
      </c>
      <c r="D19" s="42" t="n">
        <f aca="false">(datos_base!$C$11+datos_base!$C$25)*parametros_manuales!B$14</f>
        <v>6.676</v>
      </c>
      <c r="E19" s="42" t="n">
        <f aca="false">(datos_base!$C$11+datos_base!$C$25)*parametros_manuales!C$14</f>
        <v>5.3408</v>
      </c>
      <c r="F19" s="42" t="n">
        <f aca="false">(datos_base!$C$11+datos_base!$C$25)*parametros_manuales!D$14</f>
        <v>5.6746</v>
      </c>
      <c r="G19" s="42" t="n">
        <f aca="false">(datos_base!$C$11+datos_base!$C$25)*parametros_manuales!E$14</f>
        <v>5.6746</v>
      </c>
      <c r="H19" s="42" t="n">
        <f aca="false">(datos_base!$C$11+datos_base!$C$25)*parametros_manuales!F$14</f>
        <v>5.3408</v>
      </c>
      <c r="I19" s="42" t="n">
        <f aca="false">(datos_base!$C$11+datos_base!$C$25)*parametros_manuales!G$14</f>
        <v>5.007</v>
      </c>
      <c r="J19" s="42" t="n">
        <f aca="false">(datos_base!$C$11+datos_base!$C$25)*parametros_manuales!H$14</f>
        <v>5.3408</v>
      </c>
      <c r="K19" s="42" t="n">
        <f aca="false">(datos_base!$C$11+datos_base!$C$25)*parametros_manuales!I$14</f>
        <v>5.3408</v>
      </c>
      <c r="L19" s="42" t="n">
        <f aca="false">(datos_base!$C$11+datos_base!$C$25)*parametros_manuales!J$14</f>
        <v>5.3408</v>
      </c>
      <c r="M19" s="42" t="n">
        <f aca="false">(datos_base!$C$11+datos_base!$C$25)*parametros_manuales!K$14</f>
        <v>5.007</v>
      </c>
      <c r="N19" s="42" t="n">
        <f aca="false">(datos_base!$C$11+datos_base!$C$25)*parametros_manuales!L$14</f>
        <v>4.6732</v>
      </c>
      <c r="O19" s="42" t="n">
        <f aca="false">(datos_base!$C$11+datos_base!$C$25)*parametros_manuales!M$14</f>
        <v>7.3436</v>
      </c>
      <c r="P19" s="9" t="n">
        <f aca="false">SUM(D19:O19)</f>
        <v>66.76</v>
      </c>
    </row>
    <row r="20" customFormat="false" ht="14.25" hidden="false" customHeight="true" outlineLevel="0" collapsed="false">
      <c r="A20" s="41" t="n">
        <v>2027</v>
      </c>
      <c r="B20" s="8" t="s">
        <v>25</v>
      </c>
      <c r="C20" s="8" t="s">
        <v>185</v>
      </c>
      <c r="D20" s="42" t="n">
        <f aca="false">(datos_base!$C$12+datos_base!$C$26)*parametros_manuales!B$15</f>
        <v>0.416</v>
      </c>
      <c r="E20" s="42" t="n">
        <f aca="false">(datos_base!$C$12+datos_base!$C$26)*parametros_manuales!C$15</f>
        <v>0.3328</v>
      </c>
      <c r="F20" s="42" t="n">
        <f aca="false">(datos_base!$C$12+datos_base!$C$26)*parametros_manuales!D$15</f>
        <v>0.3536</v>
      </c>
      <c r="G20" s="42" t="n">
        <f aca="false">(datos_base!$C$12+datos_base!$C$26)*parametros_manuales!E$15</f>
        <v>0.3536</v>
      </c>
      <c r="H20" s="42" t="n">
        <f aca="false">(datos_base!$C$12+datos_base!$C$26)*parametros_manuales!F$15</f>
        <v>0.3328</v>
      </c>
      <c r="I20" s="42" t="n">
        <f aca="false">(datos_base!$C$12+datos_base!$C$26)*parametros_manuales!G$15</f>
        <v>0.312</v>
      </c>
      <c r="J20" s="42" t="n">
        <f aca="false">(datos_base!$C$12+datos_base!$C$26)*parametros_manuales!H$15</f>
        <v>0.3328</v>
      </c>
      <c r="K20" s="42" t="n">
        <f aca="false">(datos_base!$C$12+datos_base!$C$26)*parametros_manuales!I$15</f>
        <v>0.3328</v>
      </c>
      <c r="L20" s="42" t="n">
        <f aca="false">(datos_base!$C$12+datos_base!$C$26)*parametros_manuales!J$15</f>
        <v>0.3328</v>
      </c>
      <c r="M20" s="42" t="n">
        <f aca="false">(datos_base!$C$12+datos_base!$C$26)*parametros_manuales!K$15</f>
        <v>0.312</v>
      </c>
      <c r="N20" s="42" t="n">
        <f aca="false">(datos_base!$C$12+datos_base!$C$26)*parametros_manuales!L$15</f>
        <v>0.2912</v>
      </c>
      <c r="O20" s="42" t="n">
        <f aca="false">(datos_base!$C$12+datos_base!$C$26)*parametros_manuales!M$15</f>
        <v>0.4576</v>
      </c>
      <c r="P20" s="9" t="n">
        <f aca="false">SUM(D20:O20)</f>
        <v>4.16</v>
      </c>
    </row>
    <row r="21" customFormat="false" ht="14.25" hidden="false" customHeight="true" outlineLevel="0" collapsed="false">
      <c r="B21" s="10" t="s">
        <v>186</v>
      </c>
      <c r="D21" s="11" t="n">
        <f aca="false">SUM(D13:D20)</f>
        <v>1205.72384004</v>
      </c>
      <c r="E21" s="11" t="n">
        <f aca="false">SUM(E13:E20)</f>
        <v>928.59524817</v>
      </c>
      <c r="F21" s="11" t="n">
        <f aca="false">SUM(F13:F20)</f>
        <v>892.92457654</v>
      </c>
      <c r="G21" s="11" t="n">
        <f aca="false">SUM(G13:G20)</f>
        <v>862.938056655</v>
      </c>
      <c r="H21" s="11" t="n">
        <f aca="false">SUM(H13:H20)</f>
        <v>808.64916863</v>
      </c>
      <c r="I21" s="11" t="n">
        <f aca="false">SUM(I13:I20)</f>
        <v>784.34680049</v>
      </c>
      <c r="J21" s="11" t="n">
        <f aca="false">SUM(J13:J20)</f>
        <v>838.635688515</v>
      </c>
      <c r="K21" s="11" t="n">
        <f aca="false">SUM(K13:K20)</f>
        <v>838.635688515</v>
      </c>
      <c r="L21" s="11" t="n">
        <f aca="false">SUM(L13:L20)</f>
        <v>838.635688515</v>
      </c>
      <c r="M21" s="11" t="n">
        <f aca="false">SUM(M13:M20)</f>
        <v>814.333320375</v>
      </c>
      <c r="N21" s="11" t="n">
        <f aca="false">SUM(N13:N20)</f>
        <v>790.030952235</v>
      </c>
      <c r="O21" s="11" t="n">
        <f aca="false">SUM(O13:O20)</f>
        <v>1254.32857632</v>
      </c>
      <c r="P21" s="11" t="n">
        <f aca="false">SUM(P13:P20)</f>
        <v>10857.777605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181</v>
      </c>
      <c r="C23" s="7" t="s">
        <v>182</v>
      </c>
      <c r="D23" s="7" t="s">
        <v>61</v>
      </c>
      <c r="E23" s="7" t="s">
        <v>62</v>
      </c>
      <c r="F23" s="7" t="s">
        <v>63</v>
      </c>
      <c r="G23" s="7" t="s">
        <v>64</v>
      </c>
      <c r="H23" s="7" t="s">
        <v>65</v>
      </c>
      <c r="I23" s="7" t="s">
        <v>66</v>
      </c>
      <c r="J23" s="7" t="s">
        <v>67</v>
      </c>
      <c r="K23" s="7" t="s">
        <v>68</v>
      </c>
      <c r="L23" s="7" t="s">
        <v>69</v>
      </c>
      <c r="M23" s="7" t="s">
        <v>70</v>
      </c>
      <c r="N23" s="7" t="s">
        <v>71</v>
      </c>
      <c r="O23" s="7" t="s">
        <v>72</v>
      </c>
      <c r="P23" s="7" t="s">
        <v>183</v>
      </c>
    </row>
    <row r="24" customFormat="false" ht="14.25" hidden="false" customHeight="true" outlineLevel="0" collapsed="false">
      <c r="A24" s="41" t="n">
        <v>2028</v>
      </c>
      <c r="B24" s="8" t="s">
        <v>16</v>
      </c>
      <c r="C24" s="8" t="s">
        <v>184</v>
      </c>
      <c r="D24" s="42" t="n">
        <f aca="false">(datos_base!$D$2+datos_base!$D$18)*parametros_manuales!B$12</f>
        <v>822.20973096</v>
      </c>
      <c r="E24" s="42" t="n">
        <f aca="false">(datos_base!$D$2+datos_base!$D$18)*parametros_manuales!C$12</f>
        <v>616.65729822</v>
      </c>
      <c r="F24" s="42" t="n">
        <f aca="false">(datos_base!$D$2+datos_base!$D$18)*parametros_manuales!D$12</f>
        <v>548.13982064</v>
      </c>
      <c r="G24" s="42" t="n">
        <f aca="false">(datos_base!$D$2+datos_base!$D$18)*parametros_manuales!E$12</f>
        <v>513.88108185</v>
      </c>
      <c r="H24" s="42" t="n">
        <f aca="false">(datos_base!$D$2+datos_base!$D$18)*parametros_manuales!F$12</f>
        <v>479.62234306</v>
      </c>
      <c r="I24" s="42" t="n">
        <f aca="false">(datos_base!$D$2+datos_base!$D$18)*parametros_manuales!G$12</f>
        <v>479.62234306</v>
      </c>
      <c r="J24" s="42" t="n">
        <f aca="false">(datos_base!$D$2+datos_base!$D$18)*parametros_manuales!H$12</f>
        <v>513.88108185</v>
      </c>
      <c r="K24" s="42" t="n">
        <f aca="false">(datos_base!$D$2+datos_base!$D$18)*parametros_manuales!I$12</f>
        <v>513.88108185</v>
      </c>
      <c r="L24" s="42" t="n">
        <f aca="false">(datos_base!$D$2+datos_base!$D$18)*parametros_manuales!J$12</f>
        <v>513.88108185</v>
      </c>
      <c r="M24" s="42" t="n">
        <f aca="false">(datos_base!$D$2+datos_base!$D$18)*parametros_manuales!K$12</f>
        <v>513.88108185</v>
      </c>
      <c r="N24" s="42" t="n">
        <f aca="false">(datos_base!$D$2+datos_base!$D$18)*parametros_manuales!L$12</f>
        <v>513.88108185</v>
      </c>
      <c r="O24" s="42" t="n">
        <f aca="false">(datos_base!$D$2+datos_base!$D$18)*parametros_manuales!M$12</f>
        <v>822.20973096</v>
      </c>
      <c r="P24" s="9" t="n">
        <f aca="false">SUM(D24:O24)</f>
        <v>6851.747758</v>
      </c>
    </row>
    <row r="25" customFormat="false" ht="14.25" hidden="false" customHeight="true" outlineLevel="0" collapsed="false">
      <c r="A25" s="41" t="n">
        <v>2028</v>
      </c>
      <c r="B25" s="8" t="s">
        <v>17</v>
      </c>
      <c r="C25" s="8" t="s">
        <v>184</v>
      </c>
      <c r="D25" s="42" t="n">
        <f aca="false">(datos_base!$D$3+datos_base!$D$19)*parametros_manuales!B$13</f>
        <v>99.75880576</v>
      </c>
      <c r="E25" s="42" t="n">
        <f aca="false">(datos_base!$D$3+datos_base!$D$19)*parametros_manuales!C$13</f>
        <v>79.807044608</v>
      </c>
      <c r="F25" s="42" t="n">
        <f aca="false">(datos_base!$D$3+datos_base!$D$19)*parametros_manuales!D$13</f>
        <v>84.794984896</v>
      </c>
      <c r="G25" s="42" t="n">
        <f aca="false">(datos_base!$D$3+datos_base!$D$19)*parametros_manuales!E$13</f>
        <v>84.794984896</v>
      </c>
      <c r="H25" s="42" t="n">
        <f aca="false">(datos_base!$D$3+datos_base!$D$19)*parametros_manuales!F$13</f>
        <v>79.807044608</v>
      </c>
      <c r="I25" s="42" t="n">
        <f aca="false">(datos_base!$D$3+datos_base!$D$19)*parametros_manuales!G$13</f>
        <v>74.81910432</v>
      </c>
      <c r="J25" s="42" t="n">
        <f aca="false">(datos_base!$D$3+datos_base!$D$19)*parametros_manuales!H$13</f>
        <v>79.807044608</v>
      </c>
      <c r="K25" s="42" t="n">
        <f aca="false">(datos_base!$D$3+datos_base!$D$19)*parametros_manuales!I$13</f>
        <v>79.807044608</v>
      </c>
      <c r="L25" s="42" t="n">
        <f aca="false">(datos_base!$D$3+datos_base!$D$19)*parametros_manuales!J$13</f>
        <v>79.807044608</v>
      </c>
      <c r="M25" s="42" t="n">
        <f aca="false">(datos_base!$D$3+datos_base!$D$19)*parametros_manuales!K$13</f>
        <v>74.81910432</v>
      </c>
      <c r="N25" s="42" t="n">
        <f aca="false">(datos_base!$D$3+datos_base!$D$19)*parametros_manuales!L$13</f>
        <v>69.831164032</v>
      </c>
      <c r="O25" s="42" t="n">
        <f aca="false">(datos_base!$D$3+datos_base!$D$19)*parametros_manuales!M$13</f>
        <v>109.734686336</v>
      </c>
      <c r="P25" s="9" t="n">
        <f aca="false">SUM(D25:O25)</f>
        <v>997.5880576</v>
      </c>
    </row>
    <row r="26" customFormat="false" ht="14.25" hidden="false" customHeight="true" outlineLevel="0" collapsed="false">
      <c r="A26" s="41" t="n">
        <v>2028</v>
      </c>
      <c r="B26" s="8" t="s">
        <v>18</v>
      </c>
      <c r="C26" s="8" t="s">
        <v>184</v>
      </c>
      <c r="D26" s="42" t="n">
        <f aca="false">(datos_base!$D$4+datos_base!$D$20)*parametros_manuales!B$14</f>
        <v>515.6297591</v>
      </c>
      <c r="E26" s="42" t="n">
        <f aca="false">(datos_base!$D$4+datos_base!$D$20)*parametros_manuales!C$14</f>
        <v>412.50380728</v>
      </c>
      <c r="F26" s="42" t="n">
        <f aca="false">(datos_base!$D$4+datos_base!$D$20)*parametros_manuales!D$14</f>
        <v>438.285295235</v>
      </c>
      <c r="G26" s="42" t="n">
        <f aca="false">(datos_base!$D$4+datos_base!$D$20)*parametros_manuales!E$14</f>
        <v>438.285295235</v>
      </c>
      <c r="H26" s="42" t="n">
        <f aca="false">(datos_base!$D$4+datos_base!$D$20)*parametros_manuales!F$14</f>
        <v>412.50380728</v>
      </c>
      <c r="I26" s="42" t="n">
        <f aca="false">(datos_base!$D$4+datos_base!$D$20)*parametros_manuales!G$14</f>
        <v>386.722319325</v>
      </c>
      <c r="J26" s="42" t="n">
        <f aca="false">(datos_base!$D$4+datos_base!$D$20)*parametros_manuales!H$14</f>
        <v>412.50380728</v>
      </c>
      <c r="K26" s="42" t="n">
        <f aca="false">(datos_base!$D$4+datos_base!$D$20)*parametros_manuales!I$14</f>
        <v>412.50380728</v>
      </c>
      <c r="L26" s="42" t="n">
        <f aca="false">(datos_base!$D$4+datos_base!$D$20)*parametros_manuales!J$14</f>
        <v>412.50380728</v>
      </c>
      <c r="M26" s="42" t="n">
        <f aca="false">(datos_base!$D$4+datos_base!$D$20)*parametros_manuales!K$14</f>
        <v>386.722319325</v>
      </c>
      <c r="N26" s="42" t="n">
        <f aca="false">(datos_base!$D$4+datos_base!$D$20)*parametros_manuales!L$14</f>
        <v>360.94083137</v>
      </c>
      <c r="O26" s="42" t="n">
        <f aca="false">(datos_base!$D$4+datos_base!$D$20)*parametros_manuales!M$14</f>
        <v>567.19273501</v>
      </c>
      <c r="P26" s="9" t="n">
        <f aca="false">SUM(D26:O26)</f>
        <v>5156.297591</v>
      </c>
    </row>
    <row r="27" customFormat="false" ht="14.25" hidden="false" customHeight="true" outlineLevel="0" collapsed="false">
      <c r="A27" s="41" t="n">
        <v>2028</v>
      </c>
      <c r="B27" s="8" t="s">
        <v>19</v>
      </c>
      <c r="C27" s="8" t="s">
        <v>184</v>
      </c>
      <c r="D27" s="42" t="n">
        <f aca="false">(datos_base!$D$5+datos_base!$D$21)*parametros_manuales!B$15</f>
        <v>25.82187798</v>
      </c>
      <c r="E27" s="42" t="n">
        <f aca="false">(datos_base!$D$5+datos_base!$D$21)*parametros_manuales!C$15</f>
        <v>20.657502384</v>
      </c>
      <c r="F27" s="42" t="n">
        <f aca="false">(datos_base!$D$5+datos_base!$D$21)*parametros_manuales!D$15</f>
        <v>21.948596283</v>
      </c>
      <c r="G27" s="42" t="n">
        <f aca="false">(datos_base!$D$5+datos_base!$D$21)*parametros_manuales!E$15</f>
        <v>21.948596283</v>
      </c>
      <c r="H27" s="42" t="n">
        <f aca="false">(datos_base!$D$5+datos_base!$D$21)*parametros_manuales!F$15</f>
        <v>20.657502384</v>
      </c>
      <c r="I27" s="42" t="n">
        <f aca="false">(datos_base!$D$5+datos_base!$D$21)*parametros_manuales!G$15</f>
        <v>19.366408485</v>
      </c>
      <c r="J27" s="42" t="n">
        <f aca="false">(datos_base!$D$5+datos_base!$D$21)*parametros_manuales!H$15</f>
        <v>20.657502384</v>
      </c>
      <c r="K27" s="42" t="n">
        <f aca="false">(datos_base!$D$5+datos_base!$D$21)*parametros_manuales!I$15</f>
        <v>20.657502384</v>
      </c>
      <c r="L27" s="42" t="n">
        <f aca="false">(datos_base!$D$5+datos_base!$D$21)*parametros_manuales!J$15</f>
        <v>20.657502384</v>
      </c>
      <c r="M27" s="42" t="n">
        <f aca="false">(datos_base!$D$5+datos_base!$D$21)*parametros_manuales!K$15</f>
        <v>19.366408485</v>
      </c>
      <c r="N27" s="42" t="n">
        <f aca="false">(datos_base!$D$5+datos_base!$D$21)*parametros_manuales!L$15</f>
        <v>18.075314586</v>
      </c>
      <c r="O27" s="42" t="n">
        <f aca="false">(datos_base!$D$5+datos_base!$D$21)*parametros_manuales!M$15</f>
        <v>28.404065778</v>
      </c>
      <c r="P27" s="9" t="n">
        <f aca="false">SUM(D27:O27)</f>
        <v>258.2187798</v>
      </c>
    </row>
    <row r="28" customFormat="false" ht="14.25" hidden="false" customHeight="true" outlineLevel="0" collapsed="false">
      <c r="A28" s="41" t="n">
        <v>2028</v>
      </c>
      <c r="B28" s="8" t="s">
        <v>22</v>
      </c>
      <c r="C28" s="8" t="s">
        <v>185</v>
      </c>
      <c r="D28" s="42" t="n">
        <f aca="false">(datos_base!$D$9+datos_base!$D$23)*parametros_manuales!B$12</f>
        <v>919.488</v>
      </c>
      <c r="E28" s="42" t="n">
        <f aca="false">(datos_base!$D$9+datos_base!$D$23)*parametros_manuales!C$12</f>
        <v>689.616</v>
      </c>
      <c r="F28" s="42" t="n">
        <f aca="false">(datos_base!$D$9+datos_base!$D$23)*parametros_manuales!D$12</f>
        <v>612.992</v>
      </c>
      <c r="G28" s="42" t="n">
        <f aca="false">(datos_base!$D$9+datos_base!$D$23)*parametros_manuales!E$12</f>
        <v>574.68</v>
      </c>
      <c r="H28" s="42" t="n">
        <f aca="false">(datos_base!$D$9+datos_base!$D$23)*parametros_manuales!F$12</f>
        <v>536.368</v>
      </c>
      <c r="I28" s="42" t="n">
        <f aca="false">(datos_base!$D$9+datos_base!$D$23)*parametros_manuales!G$12</f>
        <v>536.368</v>
      </c>
      <c r="J28" s="42" t="n">
        <f aca="false">(datos_base!$D$9+datos_base!$D$23)*parametros_manuales!H$12</f>
        <v>574.68</v>
      </c>
      <c r="K28" s="42" t="n">
        <f aca="false">(datos_base!$D$9+datos_base!$D$23)*parametros_manuales!I$12</f>
        <v>574.68</v>
      </c>
      <c r="L28" s="42" t="n">
        <f aca="false">(datos_base!$D$9+datos_base!$D$23)*parametros_manuales!J$12</f>
        <v>574.68</v>
      </c>
      <c r="M28" s="42" t="n">
        <f aca="false">(datos_base!$D$9+datos_base!$D$23)*parametros_manuales!K$12</f>
        <v>574.68</v>
      </c>
      <c r="N28" s="42" t="n">
        <f aca="false">(datos_base!$D$9+datos_base!$D$23)*parametros_manuales!L$12</f>
        <v>574.68</v>
      </c>
      <c r="O28" s="42" t="n">
        <f aca="false">(datos_base!$D$9+datos_base!$D$23)*parametros_manuales!M$12</f>
        <v>919.488</v>
      </c>
      <c r="P28" s="9" t="n">
        <f aca="false">SUM(D28:O28)</f>
        <v>7662.4</v>
      </c>
    </row>
    <row r="29" customFormat="false" ht="14.25" hidden="false" customHeight="true" outlineLevel="0" collapsed="false">
      <c r="A29" s="41" t="n">
        <v>2028</v>
      </c>
      <c r="B29" s="8" t="s">
        <v>23</v>
      </c>
      <c r="C29" s="8" t="s">
        <v>185</v>
      </c>
      <c r="D29" s="42" t="n">
        <f aca="false">(datos_base!$D$10+datos_base!$D$24)*parametros_manuales!B$13</f>
        <v>31.98</v>
      </c>
      <c r="E29" s="42" t="n">
        <f aca="false">(datos_base!$D$10+datos_base!$D$24)*parametros_manuales!C$13</f>
        <v>25.584</v>
      </c>
      <c r="F29" s="42" t="n">
        <f aca="false">(datos_base!$D$10+datos_base!$D$24)*parametros_manuales!D$13</f>
        <v>27.183</v>
      </c>
      <c r="G29" s="42" t="n">
        <f aca="false">(datos_base!$D$10+datos_base!$D$24)*parametros_manuales!E$13</f>
        <v>27.183</v>
      </c>
      <c r="H29" s="42" t="n">
        <f aca="false">(datos_base!$D$10+datos_base!$D$24)*parametros_manuales!F$13</f>
        <v>25.584</v>
      </c>
      <c r="I29" s="42" t="n">
        <f aca="false">(datos_base!$D$10+datos_base!$D$24)*parametros_manuales!G$13</f>
        <v>23.985</v>
      </c>
      <c r="J29" s="42" t="n">
        <f aca="false">(datos_base!$D$10+datos_base!$D$24)*parametros_manuales!H$13</f>
        <v>25.584</v>
      </c>
      <c r="K29" s="42" t="n">
        <f aca="false">(datos_base!$D$10+datos_base!$D$24)*parametros_manuales!I$13</f>
        <v>25.584</v>
      </c>
      <c r="L29" s="42" t="n">
        <f aca="false">(datos_base!$D$10+datos_base!$D$24)*parametros_manuales!J$13</f>
        <v>25.584</v>
      </c>
      <c r="M29" s="42" t="n">
        <f aca="false">(datos_base!$D$10+datos_base!$D$24)*parametros_manuales!K$13</f>
        <v>23.985</v>
      </c>
      <c r="N29" s="42" t="n">
        <f aca="false">(datos_base!$D$10+datos_base!$D$24)*parametros_manuales!L$13</f>
        <v>22.386</v>
      </c>
      <c r="O29" s="42" t="n">
        <f aca="false">(datos_base!$D$10+datos_base!$D$24)*parametros_manuales!M$13</f>
        <v>35.178</v>
      </c>
      <c r="P29" s="9" t="n">
        <f aca="false">SUM(D29:O29)</f>
        <v>319.8</v>
      </c>
    </row>
    <row r="30" customFormat="false" ht="14.25" hidden="false" customHeight="true" outlineLevel="0" collapsed="false">
      <c r="A30" s="41" t="n">
        <v>2028</v>
      </c>
      <c r="B30" s="8" t="s">
        <v>24</v>
      </c>
      <c r="C30" s="8" t="s">
        <v>185</v>
      </c>
      <c r="D30" s="42" t="n">
        <f aca="false">(datos_base!$D$11+datos_base!$D$25)*parametros_manuales!B$14</f>
        <v>159.576</v>
      </c>
      <c r="E30" s="42" t="n">
        <f aca="false">(datos_base!$D$11+datos_base!$D$25)*parametros_manuales!C$14</f>
        <v>127.6608</v>
      </c>
      <c r="F30" s="42" t="n">
        <f aca="false">(datos_base!$D$11+datos_base!$D$25)*parametros_manuales!D$14</f>
        <v>135.6396</v>
      </c>
      <c r="G30" s="42" t="n">
        <f aca="false">(datos_base!$D$11+datos_base!$D$25)*parametros_manuales!E$14</f>
        <v>135.6396</v>
      </c>
      <c r="H30" s="42" t="n">
        <f aca="false">(datos_base!$D$11+datos_base!$D$25)*parametros_manuales!F$14</f>
        <v>127.6608</v>
      </c>
      <c r="I30" s="42" t="n">
        <f aca="false">(datos_base!$D$11+datos_base!$D$25)*parametros_manuales!G$14</f>
        <v>119.682</v>
      </c>
      <c r="J30" s="42" t="n">
        <f aca="false">(datos_base!$D$11+datos_base!$D$25)*parametros_manuales!H$14</f>
        <v>127.6608</v>
      </c>
      <c r="K30" s="42" t="n">
        <f aca="false">(datos_base!$D$11+datos_base!$D$25)*parametros_manuales!I$14</f>
        <v>127.6608</v>
      </c>
      <c r="L30" s="42" t="n">
        <f aca="false">(datos_base!$D$11+datos_base!$D$25)*parametros_manuales!J$14</f>
        <v>127.6608</v>
      </c>
      <c r="M30" s="42" t="n">
        <f aca="false">(datos_base!$D$11+datos_base!$D$25)*parametros_manuales!K$14</f>
        <v>119.682</v>
      </c>
      <c r="N30" s="42" t="n">
        <f aca="false">(datos_base!$D$11+datos_base!$D$25)*parametros_manuales!L$14</f>
        <v>111.7032</v>
      </c>
      <c r="O30" s="42" t="n">
        <f aca="false">(datos_base!$D$11+datos_base!$D$25)*parametros_manuales!M$14</f>
        <v>175.5336</v>
      </c>
      <c r="P30" s="9" t="n">
        <f aca="false">SUM(D30:O30)</f>
        <v>1595.76</v>
      </c>
    </row>
    <row r="31" customFormat="false" ht="14.25" hidden="false" customHeight="true" outlineLevel="0" collapsed="false">
      <c r="A31" s="41" t="n">
        <v>2028</v>
      </c>
      <c r="B31" s="8" t="s">
        <v>25</v>
      </c>
      <c r="C31" s="8" t="s">
        <v>185</v>
      </c>
      <c r="D31" s="42" t="n">
        <f aca="false">(datos_base!$D$12+datos_base!$D$26)*parametros_manuales!B$15</f>
        <v>9.788</v>
      </c>
      <c r="E31" s="42" t="n">
        <f aca="false">(datos_base!$D$12+datos_base!$D$26)*parametros_manuales!C$15</f>
        <v>7.8304</v>
      </c>
      <c r="F31" s="42" t="n">
        <f aca="false">(datos_base!$D$12+datos_base!$D$26)*parametros_manuales!D$15</f>
        <v>8.3198</v>
      </c>
      <c r="G31" s="42" t="n">
        <f aca="false">(datos_base!$D$12+datos_base!$D$26)*parametros_manuales!E$15</f>
        <v>8.3198</v>
      </c>
      <c r="H31" s="42" t="n">
        <f aca="false">(datos_base!$D$12+datos_base!$D$26)*parametros_manuales!F$15</f>
        <v>7.8304</v>
      </c>
      <c r="I31" s="42" t="n">
        <f aca="false">(datos_base!$D$12+datos_base!$D$26)*parametros_manuales!G$15</f>
        <v>7.341</v>
      </c>
      <c r="J31" s="42" t="n">
        <f aca="false">(datos_base!$D$12+datos_base!$D$26)*parametros_manuales!H$15</f>
        <v>7.8304</v>
      </c>
      <c r="K31" s="42" t="n">
        <f aca="false">(datos_base!$D$12+datos_base!$D$26)*parametros_manuales!I$15</f>
        <v>7.8304</v>
      </c>
      <c r="L31" s="42" t="n">
        <f aca="false">(datos_base!$D$12+datos_base!$D$26)*parametros_manuales!J$15</f>
        <v>7.8304</v>
      </c>
      <c r="M31" s="42" t="n">
        <f aca="false">(datos_base!$D$12+datos_base!$D$26)*parametros_manuales!K$15</f>
        <v>7.341</v>
      </c>
      <c r="N31" s="42" t="n">
        <f aca="false">(datos_base!$D$12+datos_base!$D$26)*parametros_manuales!L$15</f>
        <v>6.8516</v>
      </c>
      <c r="O31" s="42" t="n">
        <f aca="false">(datos_base!$D$12+datos_base!$D$26)*parametros_manuales!M$15</f>
        <v>10.7668</v>
      </c>
      <c r="P31" s="9" t="n">
        <f aca="false">SUM(D31:O31)</f>
        <v>97.88</v>
      </c>
    </row>
    <row r="32" customFormat="false" ht="14.25" hidden="false" customHeight="true" outlineLevel="0" collapsed="false">
      <c r="B32" s="10" t="s">
        <v>186</v>
      </c>
      <c r="D32" s="11" t="n">
        <f aca="false">SUM(D24:D31)</f>
        <v>2584.2521738</v>
      </c>
      <c r="E32" s="11" t="n">
        <f aca="false">SUM(E24:E31)</f>
        <v>1980.316852492</v>
      </c>
      <c r="F32" s="11" t="n">
        <f aca="false">SUM(F24:F31)</f>
        <v>1877.303097054</v>
      </c>
      <c r="G32" s="11" t="n">
        <f aca="false">SUM(G24:G31)</f>
        <v>1804.732358264</v>
      </c>
      <c r="H32" s="11" t="n">
        <f aca="false">SUM(H24:H31)</f>
        <v>1690.033897332</v>
      </c>
      <c r="I32" s="11" t="n">
        <f aca="false">SUM(I24:I31)</f>
        <v>1647.90617519</v>
      </c>
      <c r="J32" s="11" t="n">
        <f aca="false">SUM(J24:J31)</f>
        <v>1762.604636122</v>
      </c>
      <c r="K32" s="11" t="n">
        <f aca="false">SUM(K24:K31)</f>
        <v>1762.604636122</v>
      </c>
      <c r="L32" s="11" t="n">
        <f aca="false">SUM(L24:L31)</f>
        <v>1762.604636122</v>
      </c>
      <c r="M32" s="11" t="n">
        <f aca="false">SUM(M24:M31)</f>
        <v>1720.47691398</v>
      </c>
      <c r="N32" s="11" t="n">
        <f aca="false">SUM(N24:N31)</f>
        <v>1678.349191838</v>
      </c>
      <c r="O32" s="11" t="n">
        <f aca="false">SUM(O24:O31)</f>
        <v>2668.507618084</v>
      </c>
      <c r="P32" s="11" t="n">
        <f aca="false">SUM(P24:P31)</f>
        <v>22939.6921864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181</v>
      </c>
      <c r="C34" s="7" t="s">
        <v>182</v>
      </c>
      <c r="D34" s="7" t="s">
        <v>61</v>
      </c>
      <c r="E34" s="7" t="s">
        <v>62</v>
      </c>
      <c r="F34" s="7" t="s">
        <v>63</v>
      </c>
      <c r="G34" s="7" t="s">
        <v>64</v>
      </c>
      <c r="H34" s="7" t="s">
        <v>65</v>
      </c>
      <c r="I34" s="7" t="s">
        <v>66</v>
      </c>
      <c r="J34" s="7" t="s">
        <v>67</v>
      </c>
      <c r="K34" s="7" t="s">
        <v>68</v>
      </c>
      <c r="L34" s="7" t="s">
        <v>69</v>
      </c>
      <c r="M34" s="7" t="s">
        <v>70</v>
      </c>
      <c r="N34" s="7" t="s">
        <v>71</v>
      </c>
      <c r="O34" s="7" t="s">
        <v>72</v>
      </c>
      <c r="P34" s="7" t="s">
        <v>183</v>
      </c>
    </row>
    <row r="35" customFormat="false" ht="14.25" hidden="false" customHeight="true" outlineLevel="0" collapsed="false">
      <c r="A35" s="41" t="n">
        <v>2029</v>
      </c>
      <c r="B35" s="8" t="s">
        <v>16</v>
      </c>
      <c r="C35" s="8" t="s">
        <v>184</v>
      </c>
      <c r="D35" s="42" t="n">
        <f aca="false">(datos_base!$E$2+datos_base!$E$18)*parametros_manuales!B$12</f>
        <v>1016.05626588</v>
      </c>
      <c r="E35" s="42" t="n">
        <f aca="false">(datos_base!$E$2+datos_base!$E$18)*parametros_manuales!C$12</f>
        <v>762.04219941</v>
      </c>
      <c r="F35" s="42" t="n">
        <f aca="false">(datos_base!$E$2+datos_base!$E$18)*parametros_manuales!D$12</f>
        <v>677.37084392</v>
      </c>
      <c r="G35" s="42" t="n">
        <f aca="false">(datos_base!$E$2+datos_base!$E$18)*parametros_manuales!E$12</f>
        <v>635.035166175</v>
      </c>
      <c r="H35" s="42" t="n">
        <f aca="false">(datos_base!$E$2+datos_base!$E$18)*parametros_manuales!F$12</f>
        <v>592.69948843</v>
      </c>
      <c r="I35" s="42" t="n">
        <f aca="false">(datos_base!$E$2+datos_base!$E$18)*parametros_manuales!G$12</f>
        <v>592.69948843</v>
      </c>
      <c r="J35" s="42" t="n">
        <f aca="false">(datos_base!$E$2+datos_base!$E$18)*parametros_manuales!H$12</f>
        <v>635.035166175</v>
      </c>
      <c r="K35" s="42" t="n">
        <f aca="false">(datos_base!$E$2+datos_base!$E$18)*parametros_manuales!I$12</f>
        <v>635.035166175</v>
      </c>
      <c r="L35" s="42" t="n">
        <f aca="false">(datos_base!$E$2+datos_base!$E$18)*parametros_manuales!J$12</f>
        <v>635.035166175</v>
      </c>
      <c r="M35" s="42" t="n">
        <f aca="false">(datos_base!$E$2+datos_base!$E$18)*parametros_manuales!K$12</f>
        <v>635.035166175</v>
      </c>
      <c r="N35" s="42" t="n">
        <f aca="false">(datos_base!$E$2+datos_base!$E$18)*parametros_manuales!L$12</f>
        <v>635.035166175</v>
      </c>
      <c r="O35" s="42" t="n">
        <f aca="false">(datos_base!$E$2+datos_base!$E$18)*parametros_manuales!M$12</f>
        <v>1016.05626588</v>
      </c>
      <c r="P35" s="9" t="n">
        <f aca="false">SUM(D35:O35)</f>
        <v>8467.135549</v>
      </c>
    </row>
    <row r="36" customFormat="false" ht="14.25" hidden="false" customHeight="true" outlineLevel="0" collapsed="false">
      <c r="A36" s="41" t="n">
        <v>2029</v>
      </c>
      <c r="B36" s="8" t="s">
        <v>17</v>
      </c>
      <c r="C36" s="8" t="s">
        <v>184</v>
      </c>
      <c r="D36" s="42" t="n">
        <f aca="false">(datos_base!$E$3+datos_base!$E$19)*parametros_manuales!B$13</f>
        <v>151.8158174</v>
      </c>
      <c r="E36" s="42" t="n">
        <f aca="false">(datos_base!$E$3+datos_base!$E$19)*parametros_manuales!C$13</f>
        <v>121.45265392</v>
      </c>
      <c r="F36" s="42" t="n">
        <f aca="false">(datos_base!$E$3+datos_base!$E$19)*parametros_manuales!D$13</f>
        <v>129.04344479</v>
      </c>
      <c r="G36" s="42" t="n">
        <f aca="false">(datos_base!$E$3+datos_base!$E$19)*parametros_manuales!E$13</f>
        <v>129.04344479</v>
      </c>
      <c r="H36" s="42" t="n">
        <f aca="false">(datos_base!$E$3+datos_base!$E$19)*parametros_manuales!F$13</f>
        <v>121.45265392</v>
      </c>
      <c r="I36" s="42" t="n">
        <f aca="false">(datos_base!$E$3+datos_base!$E$19)*parametros_manuales!G$13</f>
        <v>113.86186305</v>
      </c>
      <c r="J36" s="42" t="n">
        <f aca="false">(datos_base!$E$3+datos_base!$E$19)*parametros_manuales!H$13</f>
        <v>121.45265392</v>
      </c>
      <c r="K36" s="42" t="n">
        <f aca="false">(datos_base!$E$3+datos_base!$E$19)*parametros_manuales!I$13</f>
        <v>121.45265392</v>
      </c>
      <c r="L36" s="42" t="n">
        <f aca="false">(datos_base!$E$3+datos_base!$E$19)*parametros_manuales!J$13</f>
        <v>121.45265392</v>
      </c>
      <c r="M36" s="42" t="n">
        <f aca="false">(datos_base!$E$3+datos_base!$E$19)*parametros_manuales!K$13</f>
        <v>113.86186305</v>
      </c>
      <c r="N36" s="42" t="n">
        <f aca="false">(datos_base!$E$3+datos_base!$E$19)*parametros_manuales!L$13</f>
        <v>106.27107218</v>
      </c>
      <c r="O36" s="42" t="n">
        <f aca="false">(datos_base!$E$3+datos_base!$E$19)*parametros_manuales!M$13</f>
        <v>166.99739914</v>
      </c>
      <c r="P36" s="9" t="n">
        <f aca="false">SUM(D36:O36)</f>
        <v>1518.158174</v>
      </c>
    </row>
    <row r="37" customFormat="false" ht="14.25" hidden="false" customHeight="true" outlineLevel="0" collapsed="false">
      <c r="A37" s="41" t="n">
        <v>2029</v>
      </c>
      <c r="B37" s="8" t="s">
        <v>18</v>
      </c>
      <c r="C37" s="8" t="s">
        <v>184</v>
      </c>
      <c r="D37" s="42" t="n">
        <f aca="false">(datos_base!$E$4+datos_base!$E$20)*parametros_manuales!B$14</f>
        <v>692.6595313</v>
      </c>
      <c r="E37" s="42" t="n">
        <f aca="false">(datos_base!$E$4+datos_base!$E$20)*parametros_manuales!C$14</f>
        <v>554.12762504</v>
      </c>
      <c r="F37" s="42" t="n">
        <f aca="false">(datos_base!$E$4+datos_base!$E$20)*parametros_manuales!D$14</f>
        <v>588.760601605</v>
      </c>
      <c r="G37" s="42" t="n">
        <f aca="false">(datos_base!$E$4+datos_base!$E$20)*parametros_manuales!E$14</f>
        <v>588.760601605</v>
      </c>
      <c r="H37" s="42" t="n">
        <f aca="false">(datos_base!$E$4+datos_base!$E$20)*parametros_manuales!F$14</f>
        <v>554.12762504</v>
      </c>
      <c r="I37" s="42" t="n">
        <f aca="false">(datos_base!$E$4+datos_base!$E$20)*parametros_manuales!G$14</f>
        <v>519.494648475</v>
      </c>
      <c r="J37" s="42" t="n">
        <f aca="false">(datos_base!$E$4+datos_base!$E$20)*parametros_manuales!H$14</f>
        <v>554.12762504</v>
      </c>
      <c r="K37" s="42" t="n">
        <f aca="false">(datos_base!$E$4+datos_base!$E$20)*parametros_manuales!I$14</f>
        <v>554.12762504</v>
      </c>
      <c r="L37" s="42" t="n">
        <f aca="false">(datos_base!$E$4+datos_base!$E$20)*parametros_manuales!J$14</f>
        <v>554.12762504</v>
      </c>
      <c r="M37" s="42" t="n">
        <f aca="false">(datos_base!$E$4+datos_base!$E$20)*parametros_manuales!K$14</f>
        <v>519.494648475</v>
      </c>
      <c r="N37" s="42" t="n">
        <f aca="false">(datos_base!$E$4+datos_base!$E$20)*parametros_manuales!L$14</f>
        <v>484.86167191</v>
      </c>
      <c r="O37" s="42" t="n">
        <f aca="false">(datos_base!$E$4+datos_base!$E$20)*parametros_manuales!M$14</f>
        <v>761.92548443</v>
      </c>
      <c r="P37" s="9" t="n">
        <f aca="false">SUM(D37:O37)</f>
        <v>6926.595313</v>
      </c>
    </row>
    <row r="38" customFormat="false" ht="14.25" hidden="false" customHeight="true" outlineLevel="0" collapsed="false">
      <c r="A38" s="41" t="n">
        <v>2029</v>
      </c>
      <c r="B38" s="8" t="s">
        <v>19</v>
      </c>
      <c r="C38" s="8" t="s">
        <v>184</v>
      </c>
      <c r="D38" s="42" t="n">
        <f aca="false">(datos_base!$E$5+datos_base!$E$21)*parametros_manuales!B$15</f>
        <v>36.46604941</v>
      </c>
      <c r="E38" s="42" t="n">
        <f aca="false">(datos_base!$E$5+datos_base!$E$21)*parametros_manuales!C$15</f>
        <v>29.172839528</v>
      </c>
      <c r="F38" s="42" t="n">
        <f aca="false">(datos_base!$E$5+datos_base!$E$21)*parametros_manuales!D$15</f>
        <v>30.9961419985</v>
      </c>
      <c r="G38" s="42" t="n">
        <f aca="false">(datos_base!$E$5+datos_base!$E$21)*parametros_manuales!E$15</f>
        <v>30.9961419985</v>
      </c>
      <c r="H38" s="42" t="n">
        <f aca="false">(datos_base!$E$5+datos_base!$E$21)*parametros_manuales!F$15</f>
        <v>29.172839528</v>
      </c>
      <c r="I38" s="42" t="n">
        <f aca="false">(datos_base!$E$5+datos_base!$E$21)*parametros_manuales!G$15</f>
        <v>27.3495370575</v>
      </c>
      <c r="J38" s="42" t="n">
        <f aca="false">(datos_base!$E$5+datos_base!$E$21)*parametros_manuales!H$15</f>
        <v>29.172839528</v>
      </c>
      <c r="K38" s="42" t="n">
        <f aca="false">(datos_base!$E$5+datos_base!$E$21)*parametros_manuales!I$15</f>
        <v>29.172839528</v>
      </c>
      <c r="L38" s="42" t="n">
        <f aca="false">(datos_base!$E$5+datos_base!$E$21)*parametros_manuales!J$15</f>
        <v>29.172839528</v>
      </c>
      <c r="M38" s="42" t="n">
        <f aca="false">(datos_base!$E$5+datos_base!$E$21)*parametros_manuales!K$15</f>
        <v>27.3495370575</v>
      </c>
      <c r="N38" s="42" t="n">
        <f aca="false">(datos_base!$E$5+datos_base!$E$21)*parametros_manuales!L$15</f>
        <v>25.526234587</v>
      </c>
      <c r="O38" s="42" t="n">
        <f aca="false">(datos_base!$E$5+datos_base!$E$21)*parametros_manuales!M$15</f>
        <v>40.112654351</v>
      </c>
      <c r="P38" s="9" t="n">
        <f aca="false">SUM(D38:O38)</f>
        <v>364.6604941</v>
      </c>
    </row>
    <row r="39" customFormat="false" ht="14.25" hidden="false" customHeight="true" outlineLevel="0" collapsed="false">
      <c r="A39" s="41" t="n">
        <v>2029</v>
      </c>
      <c r="B39" s="8" t="s">
        <v>22</v>
      </c>
      <c r="C39" s="8" t="s">
        <v>185</v>
      </c>
      <c r="D39" s="42" t="n">
        <f aca="false">(datos_base!$E$9+datos_base!$E$23)*parametros_manuales!B$12</f>
        <v>3203.376</v>
      </c>
      <c r="E39" s="42" t="n">
        <f aca="false">(datos_base!$E$9+datos_base!$E$23)*parametros_manuales!C$12</f>
        <v>2402.532</v>
      </c>
      <c r="F39" s="42" t="n">
        <f aca="false">(datos_base!$E$9+datos_base!$E$23)*parametros_manuales!D$12</f>
        <v>2135.584</v>
      </c>
      <c r="G39" s="42" t="n">
        <f aca="false">(datos_base!$E$9+datos_base!$E$23)*parametros_manuales!E$12</f>
        <v>2002.11</v>
      </c>
      <c r="H39" s="42" t="n">
        <f aca="false">(datos_base!$E$9+datos_base!$E$23)*parametros_manuales!F$12</f>
        <v>1868.636</v>
      </c>
      <c r="I39" s="42" t="n">
        <f aca="false">(datos_base!$E$9+datos_base!$E$23)*parametros_manuales!G$12</f>
        <v>1868.636</v>
      </c>
      <c r="J39" s="42" t="n">
        <f aca="false">(datos_base!$E$9+datos_base!$E$23)*parametros_manuales!H$12</f>
        <v>2002.11</v>
      </c>
      <c r="K39" s="42" t="n">
        <f aca="false">(datos_base!$E$9+datos_base!$E$23)*parametros_manuales!I$12</f>
        <v>2002.11</v>
      </c>
      <c r="L39" s="42" t="n">
        <f aca="false">(datos_base!$E$9+datos_base!$E$23)*parametros_manuales!J$12</f>
        <v>2002.11</v>
      </c>
      <c r="M39" s="42" t="n">
        <f aca="false">(datos_base!$E$9+datos_base!$E$23)*parametros_manuales!K$12</f>
        <v>2002.11</v>
      </c>
      <c r="N39" s="42" t="n">
        <f aca="false">(datos_base!$E$9+datos_base!$E$23)*parametros_manuales!L$12</f>
        <v>2002.11</v>
      </c>
      <c r="O39" s="42" t="n">
        <f aca="false">(datos_base!$E$9+datos_base!$E$23)*parametros_manuales!M$12</f>
        <v>3203.376</v>
      </c>
      <c r="P39" s="9" t="n">
        <f aca="false">SUM(D39:O39)</f>
        <v>26694.8</v>
      </c>
    </row>
    <row r="40" customFormat="false" ht="14.25" hidden="false" customHeight="true" outlineLevel="0" collapsed="false">
      <c r="A40" s="41" t="n">
        <v>2029</v>
      </c>
      <c r="B40" s="8" t="s">
        <v>23</v>
      </c>
      <c r="C40" s="8" t="s">
        <v>185</v>
      </c>
      <c r="D40" s="42" t="n">
        <f aca="false">(datos_base!$E$10+datos_base!$E$24)*parametros_manuales!B$13</f>
        <v>107.452</v>
      </c>
      <c r="E40" s="42" t="n">
        <f aca="false">(datos_base!$E$10+datos_base!$E$24)*parametros_manuales!C$13</f>
        <v>85.9616</v>
      </c>
      <c r="F40" s="42" t="n">
        <f aca="false">(datos_base!$E$10+datos_base!$E$24)*parametros_manuales!D$13</f>
        <v>91.3342</v>
      </c>
      <c r="G40" s="42" t="n">
        <f aca="false">(datos_base!$E$10+datos_base!$E$24)*parametros_manuales!E$13</f>
        <v>91.3342</v>
      </c>
      <c r="H40" s="42" t="n">
        <f aca="false">(datos_base!$E$10+datos_base!$E$24)*parametros_manuales!F$13</f>
        <v>85.9616</v>
      </c>
      <c r="I40" s="42" t="n">
        <f aca="false">(datos_base!$E$10+datos_base!$E$24)*parametros_manuales!G$13</f>
        <v>80.589</v>
      </c>
      <c r="J40" s="42" t="n">
        <f aca="false">(datos_base!$E$10+datos_base!$E$24)*parametros_manuales!H$13</f>
        <v>85.9616</v>
      </c>
      <c r="K40" s="42" t="n">
        <f aca="false">(datos_base!$E$10+datos_base!$E$24)*parametros_manuales!I$13</f>
        <v>85.9616</v>
      </c>
      <c r="L40" s="42" t="n">
        <f aca="false">(datos_base!$E$10+datos_base!$E$24)*parametros_manuales!J$13</f>
        <v>85.9616</v>
      </c>
      <c r="M40" s="42" t="n">
        <f aca="false">(datos_base!$E$10+datos_base!$E$24)*parametros_manuales!K$13</f>
        <v>80.589</v>
      </c>
      <c r="N40" s="42" t="n">
        <f aca="false">(datos_base!$E$10+datos_base!$E$24)*parametros_manuales!L$13</f>
        <v>75.2164</v>
      </c>
      <c r="O40" s="42" t="n">
        <f aca="false">(datos_base!$E$10+datos_base!$E$24)*parametros_manuales!M$13</f>
        <v>118.1972</v>
      </c>
      <c r="P40" s="9" t="n">
        <f aca="false">SUM(D40:O40)</f>
        <v>1074.52</v>
      </c>
    </row>
    <row r="41" customFormat="false" ht="14.25" hidden="false" customHeight="true" outlineLevel="0" collapsed="false">
      <c r="A41" s="41" t="n">
        <v>2029</v>
      </c>
      <c r="B41" s="8" t="s">
        <v>24</v>
      </c>
      <c r="C41" s="8" t="s">
        <v>185</v>
      </c>
      <c r="D41" s="42" t="n">
        <f aca="false">(datos_base!$E$11+datos_base!$E$25)*parametros_manuales!B$14</f>
        <v>534.276</v>
      </c>
      <c r="E41" s="42" t="n">
        <f aca="false">(datos_base!$E$11+datos_base!$E$25)*parametros_manuales!C$14</f>
        <v>427.4208</v>
      </c>
      <c r="F41" s="42" t="n">
        <f aca="false">(datos_base!$E$11+datos_base!$E$25)*parametros_manuales!D$14</f>
        <v>454.1346</v>
      </c>
      <c r="G41" s="42" t="n">
        <f aca="false">(datos_base!$E$11+datos_base!$E$25)*parametros_manuales!E$14</f>
        <v>454.1346</v>
      </c>
      <c r="H41" s="42" t="n">
        <f aca="false">(datos_base!$E$11+datos_base!$E$25)*parametros_manuales!F$14</f>
        <v>427.4208</v>
      </c>
      <c r="I41" s="42" t="n">
        <f aca="false">(datos_base!$E$11+datos_base!$E$25)*parametros_manuales!G$14</f>
        <v>400.707</v>
      </c>
      <c r="J41" s="42" t="n">
        <f aca="false">(datos_base!$E$11+datos_base!$E$25)*parametros_manuales!H$14</f>
        <v>427.4208</v>
      </c>
      <c r="K41" s="42" t="n">
        <f aca="false">(datos_base!$E$11+datos_base!$E$25)*parametros_manuales!I$14</f>
        <v>427.4208</v>
      </c>
      <c r="L41" s="42" t="n">
        <f aca="false">(datos_base!$E$11+datos_base!$E$25)*parametros_manuales!J$14</f>
        <v>427.4208</v>
      </c>
      <c r="M41" s="42" t="n">
        <f aca="false">(datos_base!$E$11+datos_base!$E$25)*parametros_manuales!K$14</f>
        <v>400.707</v>
      </c>
      <c r="N41" s="42" t="n">
        <f aca="false">(datos_base!$E$11+datos_base!$E$25)*parametros_manuales!L$14</f>
        <v>373.9932</v>
      </c>
      <c r="O41" s="42" t="n">
        <f aca="false">(datos_base!$E$11+datos_base!$E$25)*parametros_manuales!M$14</f>
        <v>587.7036</v>
      </c>
      <c r="P41" s="9" t="n">
        <f aca="false">SUM(D41:O41)</f>
        <v>5342.76</v>
      </c>
    </row>
    <row r="42" customFormat="false" ht="14.25" hidden="false" customHeight="true" outlineLevel="0" collapsed="false">
      <c r="A42" s="41" t="n">
        <v>2029</v>
      </c>
      <c r="B42" s="8" t="s">
        <v>25</v>
      </c>
      <c r="C42" s="8" t="s">
        <v>185</v>
      </c>
      <c r="D42" s="42" t="n">
        <f aca="false">(datos_base!$E$12+datos_base!$E$26)*parametros_manuales!B$15</f>
        <v>32.804</v>
      </c>
      <c r="E42" s="42" t="n">
        <f aca="false">(datos_base!$E$12+datos_base!$E$26)*parametros_manuales!C$15</f>
        <v>26.2432</v>
      </c>
      <c r="F42" s="42" t="n">
        <f aca="false">(datos_base!$E$12+datos_base!$E$26)*parametros_manuales!D$15</f>
        <v>27.8834</v>
      </c>
      <c r="G42" s="42" t="n">
        <f aca="false">(datos_base!$E$12+datos_base!$E$26)*parametros_manuales!E$15</f>
        <v>27.8834</v>
      </c>
      <c r="H42" s="42" t="n">
        <f aca="false">(datos_base!$E$12+datos_base!$E$26)*parametros_manuales!F$15</f>
        <v>26.2432</v>
      </c>
      <c r="I42" s="42" t="n">
        <f aca="false">(datos_base!$E$12+datos_base!$E$26)*parametros_manuales!G$15</f>
        <v>24.603</v>
      </c>
      <c r="J42" s="42" t="n">
        <f aca="false">(datos_base!$E$12+datos_base!$E$26)*parametros_manuales!H$15</f>
        <v>26.2432</v>
      </c>
      <c r="K42" s="42" t="n">
        <f aca="false">(datos_base!$E$12+datos_base!$E$26)*parametros_manuales!I$15</f>
        <v>26.2432</v>
      </c>
      <c r="L42" s="42" t="n">
        <f aca="false">(datos_base!$E$12+datos_base!$E$26)*parametros_manuales!J$15</f>
        <v>26.2432</v>
      </c>
      <c r="M42" s="42" t="n">
        <f aca="false">(datos_base!$E$12+datos_base!$E$26)*parametros_manuales!K$15</f>
        <v>24.603</v>
      </c>
      <c r="N42" s="42" t="n">
        <f aca="false">(datos_base!$E$12+datos_base!$E$26)*parametros_manuales!L$15</f>
        <v>22.9628</v>
      </c>
      <c r="O42" s="42" t="n">
        <f aca="false">(datos_base!$E$12+datos_base!$E$26)*parametros_manuales!M$15</f>
        <v>36.0844</v>
      </c>
      <c r="P42" s="9" t="n">
        <f aca="false">SUM(D42:O42)</f>
        <v>328.04</v>
      </c>
    </row>
    <row r="43" customFormat="false" ht="14.25" hidden="false" customHeight="true" outlineLevel="0" collapsed="false">
      <c r="B43" s="10" t="s">
        <v>186</v>
      </c>
      <c r="D43" s="11" t="n">
        <f aca="false">SUM(D35:D42)</f>
        <v>5774.90566399</v>
      </c>
      <c r="E43" s="11" t="n">
        <f aca="false">SUM(E35:E42)</f>
        <v>4408.952917898</v>
      </c>
      <c r="F43" s="11" t="n">
        <f aca="false">SUM(F35:F42)</f>
        <v>4135.1072323135</v>
      </c>
      <c r="G43" s="11" t="n">
        <f aca="false">SUM(G35:G42)</f>
        <v>3959.2975545685</v>
      </c>
      <c r="H43" s="11" t="n">
        <f aca="false">SUM(H35:H42)</f>
        <v>3705.714206918</v>
      </c>
      <c r="I43" s="11" t="n">
        <f aca="false">SUM(I35:I42)</f>
        <v>3627.9405370125</v>
      </c>
      <c r="J43" s="11" t="n">
        <f aca="false">SUM(J35:J42)</f>
        <v>3881.523884663</v>
      </c>
      <c r="K43" s="11" t="n">
        <f aca="false">SUM(K35:K42)</f>
        <v>3881.523884663</v>
      </c>
      <c r="L43" s="11" t="n">
        <f aca="false">SUM(L35:L42)</f>
        <v>3881.523884663</v>
      </c>
      <c r="M43" s="11" t="n">
        <f aca="false">SUM(M35:M42)</f>
        <v>3803.7502147575</v>
      </c>
      <c r="N43" s="11" t="n">
        <f aca="false">SUM(N35:N42)</f>
        <v>3725.976544852</v>
      </c>
      <c r="O43" s="11" t="n">
        <f aca="false">SUM(O35:O42)</f>
        <v>5930.453003801</v>
      </c>
      <c r="P43" s="11" t="n">
        <f aca="false">SUM(P35:P42)</f>
        <v>50716.6695301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181</v>
      </c>
      <c r="C45" s="7" t="s">
        <v>182</v>
      </c>
      <c r="D45" s="7" t="s">
        <v>61</v>
      </c>
      <c r="E45" s="7" t="s">
        <v>62</v>
      </c>
      <c r="F45" s="7" t="s">
        <v>63</v>
      </c>
      <c r="G45" s="7" t="s">
        <v>64</v>
      </c>
      <c r="H45" s="7" t="s">
        <v>65</v>
      </c>
      <c r="I45" s="7" t="s">
        <v>66</v>
      </c>
      <c r="J45" s="7" t="s">
        <v>67</v>
      </c>
      <c r="K45" s="7" t="s">
        <v>68</v>
      </c>
      <c r="L45" s="7" t="s">
        <v>69</v>
      </c>
      <c r="M45" s="7" t="s">
        <v>70</v>
      </c>
      <c r="N45" s="7" t="s">
        <v>71</v>
      </c>
      <c r="O45" s="7" t="s">
        <v>72</v>
      </c>
      <c r="P45" s="7" t="s">
        <v>183</v>
      </c>
    </row>
    <row r="46" customFormat="false" ht="14.25" hidden="false" customHeight="true" outlineLevel="0" collapsed="false">
      <c r="A46" s="41" t="n">
        <v>2030</v>
      </c>
      <c r="B46" s="8" t="s">
        <v>16</v>
      </c>
      <c r="C46" s="8" t="s">
        <v>184</v>
      </c>
      <c r="D46" s="42" t="n">
        <f aca="false">(datos_base!$F$2+datos_base!$F$18)*parametros_manuales!B$12</f>
        <v>1521.6759252</v>
      </c>
      <c r="E46" s="42" t="n">
        <f aca="false">(datos_base!$F$2+datos_base!$F$18)*parametros_manuales!C$12</f>
        <v>1141.2569439</v>
      </c>
      <c r="F46" s="42" t="n">
        <f aca="false">(datos_base!$F$2+datos_base!$F$18)*parametros_manuales!D$12</f>
        <v>1014.4506168</v>
      </c>
      <c r="G46" s="42" t="n">
        <f aca="false">(datos_base!$F$2+datos_base!$F$18)*parametros_manuales!E$12</f>
        <v>951.04745325</v>
      </c>
      <c r="H46" s="42" t="n">
        <f aca="false">(datos_base!$F$2+datos_base!$F$18)*parametros_manuales!F$12</f>
        <v>887.6442897</v>
      </c>
      <c r="I46" s="42" t="n">
        <f aca="false">(datos_base!$F$2+datos_base!$F$18)*parametros_manuales!G$12</f>
        <v>887.6442897</v>
      </c>
      <c r="J46" s="42" t="n">
        <f aca="false">(datos_base!$F$2+datos_base!$F$18)*parametros_manuales!H$12</f>
        <v>951.04745325</v>
      </c>
      <c r="K46" s="42" t="n">
        <f aca="false">(datos_base!$F$2+datos_base!$F$18)*parametros_manuales!I$12</f>
        <v>951.04745325</v>
      </c>
      <c r="L46" s="42" t="n">
        <f aca="false">(datos_base!$F$2+datos_base!$F$18)*parametros_manuales!J$12</f>
        <v>951.04745325</v>
      </c>
      <c r="M46" s="42" t="n">
        <f aca="false">(datos_base!$F$2+datos_base!$F$18)*parametros_manuales!K$12</f>
        <v>951.04745325</v>
      </c>
      <c r="N46" s="42" t="n">
        <f aca="false">(datos_base!$F$2+datos_base!$F$18)*parametros_manuales!L$12</f>
        <v>951.04745325</v>
      </c>
      <c r="O46" s="42" t="n">
        <f aca="false">(datos_base!$F$2+datos_base!$F$18)*parametros_manuales!M$12</f>
        <v>1521.6759252</v>
      </c>
      <c r="P46" s="9" t="n">
        <f aca="false">SUM(D46:O46)</f>
        <v>12680.63271</v>
      </c>
    </row>
    <row r="47" customFormat="false" ht="14.25" hidden="false" customHeight="true" outlineLevel="0" collapsed="false">
      <c r="A47" s="41" t="n">
        <v>2030</v>
      </c>
      <c r="B47" s="8" t="s">
        <v>17</v>
      </c>
      <c r="C47" s="8" t="s">
        <v>184</v>
      </c>
      <c r="D47" s="42" t="n">
        <f aca="false">(datos_base!$F$3+datos_base!$F$19)*parametros_manuales!B$13</f>
        <v>233.0427726</v>
      </c>
      <c r="E47" s="42" t="n">
        <f aca="false">(datos_base!$F$3+datos_base!$F$19)*parametros_manuales!C$13</f>
        <v>186.43421808</v>
      </c>
      <c r="F47" s="42" t="n">
        <f aca="false">(datos_base!$F$3+datos_base!$F$19)*parametros_manuales!D$13</f>
        <v>198.08635671</v>
      </c>
      <c r="G47" s="42" t="n">
        <f aca="false">(datos_base!$F$3+datos_base!$F$19)*parametros_manuales!E$13</f>
        <v>198.08635671</v>
      </c>
      <c r="H47" s="42" t="n">
        <f aca="false">(datos_base!$F$3+datos_base!$F$19)*parametros_manuales!F$13</f>
        <v>186.43421808</v>
      </c>
      <c r="I47" s="42" t="n">
        <f aca="false">(datos_base!$F$3+datos_base!$F$19)*parametros_manuales!G$13</f>
        <v>174.78207945</v>
      </c>
      <c r="J47" s="42" t="n">
        <f aca="false">(datos_base!$F$3+datos_base!$F$19)*parametros_manuales!H$13</f>
        <v>186.43421808</v>
      </c>
      <c r="K47" s="42" t="n">
        <f aca="false">(datos_base!$F$3+datos_base!$F$19)*parametros_manuales!I$13</f>
        <v>186.43421808</v>
      </c>
      <c r="L47" s="42" t="n">
        <f aca="false">(datos_base!$F$3+datos_base!$F$19)*parametros_manuales!J$13</f>
        <v>186.43421808</v>
      </c>
      <c r="M47" s="42" t="n">
        <f aca="false">(datos_base!$F$3+datos_base!$F$19)*parametros_manuales!K$13</f>
        <v>174.78207945</v>
      </c>
      <c r="N47" s="42" t="n">
        <f aca="false">(datos_base!$F$3+datos_base!$F$19)*parametros_manuales!L$13</f>
        <v>163.12994082</v>
      </c>
      <c r="O47" s="42" t="n">
        <f aca="false">(datos_base!$F$3+datos_base!$F$19)*parametros_manuales!M$13</f>
        <v>256.34704986</v>
      </c>
      <c r="P47" s="9" t="n">
        <f aca="false">SUM(D47:O47)</f>
        <v>2330.427726</v>
      </c>
    </row>
    <row r="48" customFormat="false" ht="14.25" hidden="false" customHeight="true" outlineLevel="0" collapsed="false">
      <c r="A48" s="41" t="n">
        <v>2030</v>
      </c>
      <c r="B48" s="8" t="s">
        <v>18</v>
      </c>
      <c r="C48" s="8" t="s">
        <v>184</v>
      </c>
      <c r="D48" s="42" t="n">
        <f aca="false">(datos_base!$F$4+datos_base!$F$20)*parametros_manuales!B$14</f>
        <v>1092.338694</v>
      </c>
      <c r="E48" s="42" t="n">
        <f aca="false">(datos_base!$F$4+datos_base!$F$20)*parametros_manuales!C$14</f>
        <v>873.8709552</v>
      </c>
      <c r="F48" s="42" t="n">
        <f aca="false">(datos_base!$F$4+datos_base!$F$20)*parametros_manuales!D$14</f>
        <v>928.4878899</v>
      </c>
      <c r="G48" s="42" t="n">
        <f aca="false">(datos_base!$F$4+datos_base!$F$20)*parametros_manuales!E$14</f>
        <v>928.4878899</v>
      </c>
      <c r="H48" s="42" t="n">
        <f aca="false">(datos_base!$F$4+datos_base!$F$20)*parametros_manuales!F$14</f>
        <v>873.8709552</v>
      </c>
      <c r="I48" s="42" t="n">
        <f aca="false">(datos_base!$F$4+datos_base!$F$20)*parametros_manuales!G$14</f>
        <v>819.2540205</v>
      </c>
      <c r="J48" s="42" t="n">
        <f aca="false">(datos_base!$F$4+datos_base!$F$20)*parametros_manuales!H$14</f>
        <v>873.8709552</v>
      </c>
      <c r="K48" s="42" t="n">
        <f aca="false">(datos_base!$F$4+datos_base!$F$20)*parametros_manuales!I$14</f>
        <v>873.8709552</v>
      </c>
      <c r="L48" s="42" t="n">
        <f aca="false">(datos_base!$F$4+datos_base!$F$20)*parametros_manuales!J$14</f>
        <v>873.8709552</v>
      </c>
      <c r="M48" s="42" t="n">
        <f aca="false">(datos_base!$F$4+datos_base!$F$20)*parametros_manuales!K$14</f>
        <v>819.2540205</v>
      </c>
      <c r="N48" s="42" t="n">
        <f aca="false">(datos_base!$F$4+datos_base!$F$20)*parametros_manuales!L$14</f>
        <v>764.6370858</v>
      </c>
      <c r="O48" s="42" t="n">
        <f aca="false">(datos_base!$F$4+datos_base!$F$20)*parametros_manuales!M$14</f>
        <v>1201.5725634</v>
      </c>
      <c r="P48" s="9" t="n">
        <f aca="false">SUM(D48:O48)</f>
        <v>10923.38694</v>
      </c>
    </row>
    <row r="49" customFormat="false" ht="14.25" hidden="false" customHeight="true" outlineLevel="0" collapsed="false">
      <c r="A49" s="41" t="n">
        <v>2030</v>
      </c>
      <c r="B49" s="8" t="s">
        <v>19</v>
      </c>
      <c r="C49" s="8" t="s">
        <v>184</v>
      </c>
      <c r="D49" s="42" t="n">
        <f aca="false">(datos_base!$F$5+datos_base!$F$21)*parametros_manuales!B$15</f>
        <v>60.98381519</v>
      </c>
      <c r="E49" s="42" t="n">
        <f aca="false">(datos_base!$F$5+datos_base!$F$21)*parametros_manuales!C$15</f>
        <v>48.787052152</v>
      </c>
      <c r="F49" s="42" t="n">
        <f aca="false">(datos_base!$F$5+datos_base!$F$21)*parametros_manuales!D$15</f>
        <v>51.8362429115</v>
      </c>
      <c r="G49" s="42" t="n">
        <f aca="false">(datos_base!$F$5+datos_base!$F$21)*parametros_manuales!E$15</f>
        <v>51.8362429115</v>
      </c>
      <c r="H49" s="42" t="n">
        <f aca="false">(datos_base!$F$5+datos_base!$F$21)*parametros_manuales!F$15</f>
        <v>48.787052152</v>
      </c>
      <c r="I49" s="42" t="n">
        <f aca="false">(datos_base!$F$5+datos_base!$F$21)*parametros_manuales!G$15</f>
        <v>45.7378613925</v>
      </c>
      <c r="J49" s="42" t="n">
        <f aca="false">(datos_base!$F$5+datos_base!$F$21)*parametros_manuales!H$15</f>
        <v>48.787052152</v>
      </c>
      <c r="K49" s="42" t="n">
        <f aca="false">(datos_base!$F$5+datos_base!$F$21)*parametros_manuales!I$15</f>
        <v>48.787052152</v>
      </c>
      <c r="L49" s="42" t="n">
        <f aca="false">(datos_base!$F$5+datos_base!$F$21)*parametros_manuales!J$15</f>
        <v>48.787052152</v>
      </c>
      <c r="M49" s="42" t="n">
        <f aca="false">(datos_base!$F$5+datos_base!$F$21)*parametros_manuales!K$15</f>
        <v>45.7378613925</v>
      </c>
      <c r="N49" s="42" t="n">
        <f aca="false">(datos_base!$F$5+datos_base!$F$21)*parametros_manuales!L$15</f>
        <v>42.688670633</v>
      </c>
      <c r="O49" s="42" t="n">
        <f aca="false">(datos_base!$F$5+datos_base!$F$21)*parametros_manuales!M$15</f>
        <v>67.082196709</v>
      </c>
      <c r="P49" s="9" t="n">
        <f aca="false">SUM(D49:O49)</f>
        <v>609.8381519</v>
      </c>
    </row>
    <row r="50" customFormat="false" ht="14.25" hidden="false" customHeight="true" outlineLevel="0" collapsed="false">
      <c r="A50" s="41" t="n">
        <v>2030</v>
      </c>
      <c r="B50" s="8" t="s">
        <v>22</v>
      </c>
      <c r="C50" s="8" t="s">
        <v>185</v>
      </c>
      <c r="D50" s="42" t="n">
        <f aca="false">(datos_base!$F$9+datos_base!$F$23)*parametros_manuales!B$12</f>
        <v>5932.176</v>
      </c>
      <c r="E50" s="42" t="n">
        <f aca="false">(datos_base!$F$9+datos_base!$F$23)*parametros_manuales!C$12</f>
        <v>4449.132</v>
      </c>
      <c r="F50" s="42" t="n">
        <f aca="false">(datos_base!$F$9+datos_base!$F$23)*parametros_manuales!D$12</f>
        <v>3954.784</v>
      </c>
      <c r="G50" s="42" t="n">
        <f aca="false">(datos_base!$F$9+datos_base!$F$23)*parametros_manuales!E$12</f>
        <v>3707.61</v>
      </c>
      <c r="H50" s="42" t="n">
        <f aca="false">(datos_base!$F$9+datos_base!$F$23)*parametros_manuales!F$12</f>
        <v>3460.436</v>
      </c>
      <c r="I50" s="42" t="n">
        <f aca="false">(datos_base!$F$9+datos_base!$F$23)*parametros_manuales!G$12</f>
        <v>3460.436</v>
      </c>
      <c r="J50" s="42" t="n">
        <f aca="false">(datos_base!$F$9+datos_base!$F$23)*parametros_manuales!H$12</f>
        <v>3707.61</v>
      </c>
      <c r="K50" s="42" t="n">
        <f aca="false">(datos_base!$F$9+datos_base!$F$23)*parametros_manuales!I$12</f>
        <v>3707.61</v>
      </c>
      <c r="L50" s="42" t="n">
        <f aca="false">(datos_base!$F$9+datos_base!$F$23)*parametros_manuales!J$12</f>
        <v>3707.61</v>
      </c>
      <c r="M50" s="42" t="n">
        <f aca="false">(datos_base!$F$9+datos_base!$F$23)*parametros_manuales!K$12</f>
        <v>3707.61</v>
      </c>
      <c r="N50" s="42" t="n">
        <f aca="false">(datos_base!$F$9+datos_base!$F$23)*parametros_manuales!L$12</f>
        <v>3707.61</v>
      </c>
      <c r="O50" s="42" t="n">
        <f aca="false">(datos_base!$F$9+datos_base!$F$23)*parametros_manuales!M$12</f>
        <v>5932.176</v>
      </c>
      <c r="P50" s="9" t="n">
        <f aca="false">SUM(D50:O50)</f>
        <v>49434.8</v>
      </c>
    </row>
    <row r="51" customFormat="false" ht="14.25" hidden="false" customHeight="true" outlineLevel="0" collapsed="false">
      <c r="A51" s="41" t="n">
        <v>2030</v>
      </c>
      <c r="B51" s="8" t="s">
        <v>23</v>
      </c>
      <c r="C51" s="8" t="s">
        <v>185</v>
      </c>
      <c r="D51" s="42" t="n">
        <f aca="false">(datos_base!$F$10+datos_base!$F$24)*parametros_manuales!B$13</f>
        <v>196.496</v>
      </c>
      <c r="E51" s="42" t="n">
        <f aca="false">(datos_base!$F$10+datos_base!$F$24)*parametros_manuales!C$13</f>
        <v>157.1968</v>
      </c>
      <c r="F51" s="42" t="n">
        <f aca="false">(datos_base!$F$10+datos_base!$F$24)*parametros_manuales!D$13</f>
        <v>167.0216</v>
      </c>
      <c r="G51" s="42" t="n">
        <f aca="false">(datos_base!$F$10+datos_base!$F$24)*parametros_manuales!E$13</f>
        <v>167.0216</v>
      </c>
      <c r="H51" s="42" t="n">
        <f aca="false">(datos_base!$F$10+datos_base!$F$24)*parametros_manuales!F$13</f>
        <v>157.1968</v>
      </c>
      <c r="I51" s="42" t="n">
        <f aca="false">(datos_base!$F$10+datos_base!$F$24)*parametros_manuales!G$13</f>
        <v>147.372</v>
      </c>
      <c r="J51" s="42" t="n">
        <f aca="false">(datos_base!$F$10+datos_base!$F$24)*parametros_manuales!H$13</f>
        <v>157.1968</v>
      </c>
      <c r="K51" s="42" t="n">
        <f aca="false">(datos_base!$F$10+datos_base!$F$24)*parametros_manuales!I$13</f>
        <v>157.1968</v>
      </c>
      <c r="L51" s="42" t="n">
        <f aca="false">(datos_base!$F$10+datos_base!$F$24)*parametros_manuales!J$13</f>
        <v>157.1968</v>
      </c>
      <c r="M51" s="42" t="n">
        <f aca="false">(datos_base!$F$10+datos_base!$F$24)*parametros_manuales!K$13</f>
        <v>147.372</v>
      </c>
      <c r="N51" s="42" t="n">
        <f aca="false">(datos_base!$F$10+datos_base!$F$24)*parametros_manuales!L$13</f>
        <v>137.5472</v>
      </c>
      <c r="O51" s="42" t="n">
        <f aca="false">(datos_base!$F$10+datos_base!$F$24)*parametros_manuales!M$13</f>
        <v>216.1456</v>
      </c>
      <c r="P51" s="9" t="n">
        <f aca="false">SUM(D51:O51)</f>
        <v>1964.96</v>
      </c>
    </row>
    <row r="52" customFormat="false" ht="14.25" hidden="false" customHeight="true" outlineLevel="0" collapsed="false">
      <c r="A52" s="41" t="n">
        <v>2030</v>
      </c>
      <c r="B52" s="8" t="s">
        <v>24</v>
      </c>
      <c r="C52" s="8" t="s">
        <v>185</v>
      </c>
      <c r="D52" s="42" t="n">
        <f aca="false">(datos_base!$F$11+datos_base!$F$25)*parametros_manuales!B$14</f>
        <v>973.456</v>
      </c>
      <c r="E52" s="42" t="n">
        <f aca="false">(datos_base!$F$11+datos_base!$F$25)*parametros_manuales!C$14</f>
        <v>778.7648</v>
      </c>
      <c r="F52" s="42" t="n">
        <f aca="false">(datos_base!$F$11+datos_base!$F$25)*parametros_manuales!D$14</f>
        <v>827.4376</v>
      </c>
      <c r="G52" s="42" t="n">
        <f aca="false">(datos_base!$F$11+datos_base!$F$25)*parametros_manuales!E$14</f>
        <v>827.4376</v>
      </c>
      <c r="H52" s="42" t="n">
        <f aca="false">(datos_base!$F$11+datos_base!$F$25)*parametros_manuales!F$14</f>
        <v>778.7648</v>
      </c>
      <c r="I52" s="42" t="n">
        <f aca="false">(datos_base!$F$11+datos_base!$F$25)*parametros_manuales!G$14</f>
        <v>730.092</v>
      </c>
      <c r="J52" s="42" t="n">
        <f aca="false">(datos_base!$F$11+datos_base!$F$25)*parametros_manuales!H$14</f>
        <v>778.7648</v>
      </c>
      <c r="K52" s="42" t="n">
        <f aca="false">(datos_base!$F$11+datos_base!$F$25)*parametros_manuales!I$14</f>
        <v>778.7648</v>
      </c>
      <c r="L52" s="42" t="n">
        <f aca="false">(datos_base!$F$11+datos_base!$F$25)*parametros_manuales!J$14</f>
        <v>778.7648</v>
      </c>
      <c r="M52" s="42" t="n">
        <f aca="false">(datos_base!$F$11+datos_base!$F$25)*parametros_manuales!K$14</f>
        <v>730.092</v>
      </c>
      <c r="N52" s="42" t="n">
        <f aca="false">(datos_base!$F$11+datos_base!$F$25)*parametros_manuales!L$14</f>
        <v>681.4192</v>
      </c>
      <c r="O52" s="42" t="n">
        <f aca="false">(datos_base!$F$11+datos_base!$F$25)*parametros_manuales!M$14</f>
        <v>1070.8016</v>
      </c>
      <c r="P52" s="9" t="n">
        <f aca="false">SUM(D52:O52)</f>
        <v>9734.56</v>
      </c>
    </row>
    <row r="53" customFormat="false" ht="14.25" hidden="false" customHeight="true" outlineLevel="0" collapsed="false">
      <c r="A53" s="41" t="n">
        <v>2030</v>
      </c>
      <c r="B53" s="8" t="s">
        <v>25</v>
      </c>
      <c r="C53" s="8" t="s">
        <v>185</v>
      </c>
      <c r="D53" s="42" t="n">
        <f aca="false">(datos_base!$F$12+datos_base!$F$26)*parametros_manuales!B$15</f>
        <v>59.64</v>
      </c>
      <c r="E53" s="42" t="n">
        <f aca="false">(datos_base!$F$12+datos_base!$F$26)*parametros_manuales!C$15</f>
        <v>47.712</v>
      </c>
      <c r="F53" s="42" t="n">
        <f aca="false">(datos_base!$F$12+datos_base!$F$26)*parametros_manuales!D$15</f>
        <v>50.694</v>
      </c>
      <c r="G53" s="42" t="n">
        <f aca="false">(datos_base!$F$12+datos_base!$F$26)*parametros_manuales!E$15</f>
        <v>50.694</v>
      </c>
      <c r="H53" s="42" t="n">
        <f aca="false">(datos_base!$F$12+datos_base!$F$26)*parametros_manuales!F$15</f>
        <v>47.712</v>
      </c>
      <c r="I53" s="42" t="n">
        <f aca="false">(datos_base!$F$12+datos_base!$F$26)*parametros_manuales!G$15</f>
        <v>44.73</v>
      </c>
      <c r="J53" s="42" t="n">
        <f aca="false">(datos_base!$F$12+datos_base!$F$26)*parametros_manuales!H$15</f>
        <v>47.712</v>
      </c>
      <c r="K53" s="42" t="n">
        <f aca="false">(datos_base!$F$12+datos_base!$F$26)*parametros_manuales!I$15</f>
        <v>47.712</v>
      </c>
      <c r="L53" s="42" t="n">
        <f aca="false">(datos_base!$F$12+datos_base!$F$26)*parametros_manuales!J$15</f>
        <v>47.712</v>
      </c>
      <c r="M53" s="42" t="n">
        <f aca="false">(datos_base!$F$12+datos_base!$F$26)*parametros_manuales!K$15</f>
        <v>44.73</v>
      </c>
      <c r="N53" s="42" t="n">
        <f aca="false">(datos_base!$F$12+datos_base!$F$26)*parametros_manuales!L$15</f>
        <v>41.748</v>
      </c>
      <c r="O53" s="42" t="n">
        <f aca="false">(datos_base!$F$12+datos_base!$F$26)*parametros_manuales!M$15</f>
        <v>65.604</v>
      </c>
      <c r="P53" s="9" t="n">
        <f aca="false">SUM(D53:O53)</f>
        <v>596.4</v>
      </c>
    </row>
    <row r="54" customFormat="false" ht="14.25" hidden="false" customHeight="true" outlineLevel="0" collapsed="false">
      <c r="B54" s="10" t="s">
        <v>186</v>
      </c>
      <c r="D54" s="11" t="n">
        <f aca="false">SUM(D46:D53)</f>
        <v>10069.80920699</v>
      </c>
      <c r="E54" s="11" t="n">
        <f aca="false">SUM(E46:E53)</f>
        <v>7683.154769332</v>
      </c>
      <c r="F54" s="11" t="n">
        <f aca="false">SUM(F46:F53)</f>
        <v>7192.7983063215</v>
      </c>
      <c r="G54" s="11" t="n">
        <f aca="false">SUM(G46:G53)</f>
        <v>6882.2211427715</v>
      </c>
      <c r="H54" s="11" t="n">
        <f aca="false">SUM(H46:H53)</f>
        <v>6440.846115132</v>
      </c>
      <c r="I54" s="11" t="n">
        <f aca="false">SUM(I46:I53)</f>
        <v>6310.0482510425</v>
      </c>
      <c r="J54" s="11" t="n">
        <f aca="false">SUM(J46:J53)</f>
        <v>6751.423278682</v>
      </c>
      <c r="K54" s="11" t="n">
        <f aca="false">SUM(K46:K53)</f>
        <v>6751.423278682</v>
      </c>
      <c r="L54" s="11" t="n">
        <f aca="false">SUM(L46:L53)</f>
        <v>6751.423278682</v>
      </c>
      <c r="M54" s="11" t="n">
        <f aca="false">SUM(M46:M53)</f>
        <v>6620.6254145925</v>
      </c>
      <c r="N54" s="11" t="n">
        <f aca="false">SUM(N46:N53)</f>
        <v>6489.827550503</v>
      </c>
      <c r="O54" s="11" t="n">
        <f aca="false">SUM(O46:O53)</f>
        <v>10331.404935169</v>
      </c>
      <c r="P54" s="11" t="n">
        <f aca="false">SUM(P46:P53)</f>
        <v>88275.0055279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181</v>
      </c>
      <c r="C56" s="7" t="s">
        <v>182</v>
      </c>
      <c r="D56" s="7" t="s">
        <v>61</v>
      </c>
      <c r="E56" s="7" t="s">
        <v>62</v>
      </c>
      <c r="F56" s="7" t="s">
        <v>63</v>
      </c>
      <c r="G56" s="7" t="s">
        <v>64</v>
      </c>
      <c r="H56" s="7" t="s">
        <v>65</v>
      </c>
      <c r="I56" s="7" t="s">
        <v>66</v>
      </c>
      <c r="J56" s="7" t="s">
        <v>67</v>
      </c>
      <c r="K56" s="7" t="s">
        <v>68</v>
      </c>
      <c r="L56" s="7" t="s">
        <v>69</v>
      </c>
      <c r="M56" s="7" t="s">
        <v>70</v>
      </c>
      <c r="N56" s="7" t="s">
        <v>71</v>
      </c>
      <c r="O56" s="7" t="s">
        <v>72</v>
      </c>
      <c r="P56" s="7" t="s">
        <v>183</v>
      </c>
    </row>
    <row r="57" customFormat="false" ht="14.25" hidden="false" customHeight="true" outlineLevel="0" collapsed="false">
      <c r="A57" s="41" t="n">
        <v>2031</v>
      </c>
      <c r="B57" s="8" t="s">
        <v>16</v>
      </c>
      <c r="C57" s="8" t="s">
        <v>184</v>
      </c>
      <c r="D57" s="42" t="n">
        <f aca="false">(datos_base!$G$2+datos_base!$G$18)*parametros_manuales!B$12</f>
        <v>1874.4303684</v>
      </c>
      <c r="E57" s="42" t="n">
        <f aca="false">(datos_base!$G$2+datos_base!$G$18)*parametros_manuales!C$12</f>
        <v>1405.8227763</v>
      </c>
      <c r="F57" s="42" t="n">
        <f aca="false">(datos_base!$G$2+datos_base!$G$18)*parametros_manuales!D$12</f>
        <v>1249.6202456</v>
      </c>
      <c r="G57" s="42" t="n">
        <f aca="false">(datos_base!$G$2+datos_base!$G$18)*parametros_manuales!E$12</f>
        <v>1171.51898025</v>
      </c>
      <c r="H57" s="42" t="n">
        <f aca="false">(datos_base!$G$2+datos_base!$G$18)*parametros_manuales!F$12</f>
        <v>1093.4177149</v>
      </c>
      <c r="I57" s="42" t="n">
        <f aca="false">(datos_base!$G$2+datos_base!$G$18)*parametros_manuales!G$12</f>
        <v>1093.4177149</v>
      </c>
      <c r="J57" s="42" t="n">
        <f aca="false">(datos_base!$G$2+datos_base!$G$18)*parametros_manuales!H$12</f>
        <v>1171.51898025</v>
      </c>
      <c r="K57" s="42" t="n">
        <f aca="false">(datos_base!$G$2+datos_base!$G$18)*parametros_manuales!I$12</f>
        <v>1171.51898025</v>
      </c>
      <c r="L57" s="42" t="n">
        <f aca="false">(datos_base!$G$2+datos_base!$G$18)*parametros_manuales!J$12</f>
        <v>1171.51898025</v>
      </c>
      <c r="M57" s="42" t="n">
        <f aca="false">(datos_base!$G$2+datos_base!$G$18)*parametros_manuales!K$12</f>
        <v>1171.51898025</v>
      </c>
      <c r="N57" s="42" t="n">
        <f aca="false">(datos_base!$G$2+datos_base!$G$18)*parametros_manuales!L$12</f>
        <v>1171.51898025</v>
      </c>
      <c r="O57" s="42" t="n">
        <f aca="false">(datos_base!$G$2+datos_base!$G$18)*parametros_manuales!M$12</f>
        <v>1874.4303684</v>
      </c>
      <c r="P57" s="9" t="n">
        <f aca="false">SUM(D57:O57)</f>
        <v>15620.25307</v>
      </c>
    </row>
    <row r="58" customFormat="false" ht="14.25" hidden="false" customHeight="true" outlineLevel="0" collapsed="false">
      <c r="A58" s="41" t="n">
        <v>2031</v>
      </c>
      <c r="B58" s="8" t="s">
        <v>17</v>
      </c>
      <c r="C58" s="8" t="s">
        <v>184</v>
      </c>
      <c r="D58" s="42" t="n">
        <f aca="false">(datos_base!$G$3+datos_base!$G$19)*parametros_manuales!B$13</f>
        <v>327.2869887</v>
      </c>
      <c r="E58" s="42" t="n">
        <f aca="false">(datos_base!$G$3+datos_base!$G$19)*parametros_manuales!C$13</f>
        <v>261.82959096</v>
      </c>
      <c r="F58" s="42" t="n">
        <f aca="false">(datos_base!$G$3+datos_base!$G$19)*parametros_manuales!D$13</f>
        <v>278.193940395</v>
      </c>
      <c r="G58" s="42" t="n">
        <f aca="false">(datos_base!$G$3+datos_base!$G$19)*parametros_manuales!E$13</f>
        <v>278.193940395</v>
      </c>
      <c r="H58" s="42" t="n">
        <f aca="false">(datos_base!$G$3+datos_base!$G$19)*parametros_manuales!F$13</f>
        <v>261.82959096</v>
      </c>
      <c r="I58" s="42" t="n">
        <f aca="false">(datos_base!$G$3+datos_base!$G$19)*parametros_manuales!G$13</f>
        <v>245.465241525</v>
      </c>
      <c r="J58" s="42" t="n">
        <f aca="false">(datos_base!$G$3+datos_base!$G$19)*parametros_manuales!H$13</f>
        <v>261.82959096</v>
      </c>
      <c r="K58" s="42" t="n">
        <f aca="false">(datos_base!$G$3+datos_base!$G$19)*parametros_manuales!I$13</f>
        <v>261.82959096</v>
      </c>
      <c r="L58" s="42" t="n">
        <f aca="false">(datos_base!$G$3+datos_base!$G$19)*parametros_manuales!J$13</f>
        <v>261.82959096</v>
      </c>
      <c r="M58" s="42" t="n">
        <f aca="false">(datos_base!$G$3+datos_base!$G$19)*parametros_manuales!K$13</f>
        <v>245.465241525</v>
      </c>
      <c r="N58" s="42" t="n">
        <f aca="false">(datos_base!$G$3+datos_base!$G$19)*parametros_manuales!L$13</f>
        <v>229.10089209</v>
      </c>
      <c r="O58" s="42" t="n">
        <f aca="false">(datos_base!$G$3+datos_base!$G$19)*parametros_manuales!M$13</f>
        <v>360.01568757</v>
      </c>
      <c r="P58" s="9" t="n">
        <f aca="false">SUM(D58:O58)</f>
        <v>3272.869887</v>
      </c>
    </row>
    <row r="59" customFormat="false" ht="14.25" hidden="false" customHeight="true" outlineLevel="0" collapsed="false">
      <c r="A59" s="41" t="n">
        <v>2031</v>
      </c>
      <c r="B59" s="8" t="s">
        <v>18</v>
      </c>
      <c r="C59" s="8" t="s">
        <v>184</v>
      </c>
      <c r="D59" s="42" t="n">
        <f aca="false">(datos_base!$G$4+datos_base!$G$20)*parametros_manuales!B$14</f>
        <v>1472.408411</v>
      </c>
      <c r="E59" s="42" t="n">
        <f aca="false">(datos_base!$G$4+datos_base!$G$20)*parametros_manuales!C$14</f>
        <v>1177.9267288</v>
      </c>
      <c r="F59" s="42" t="n">
        <f aca="false">(datos_base!$G$4+datos_base!$G$20)*parametros_manuales!D$14</f>
        <v>1251.54714935</v>
      </c>
      <c r="G59" s="42" t="n">
        <f aca="false">(datos_base!$G$4+datos_base!$G$20)*parametros_manuales!E$14</f>
        <v>1251.54714935</v>
      </c>
      <c r="H59" s="42" t="n">
        <f aca="false">(datos_base!$G$4+datos_base!$G$20)*parametros_manuales!F$14</f>
        <v>1177.9267288</v>
      </c>
      <c r="I59" s="42" t="n">
        <f aca="false">(datos_base!$G$4+datos_base!$G$20)*parametros_manuales!G$14</f>
        <v>1104.30630825</v>
      </c>
      <c r="J59" s="42" t="n">
        <f aca="false">(datos_base!$G$4+datos_base!$G$20)*parametros_manuales!H$14</f>
        <v>1177.9267288</v>
      </c>
      <c r="K59" s="42" t="n">
        <f aca="false">(datos_base!$G$4+datos_base!$G$20)*parametros_manuales!I$14</f>
        <v>1177.9267288</v>
      </c>
      <c r="L59" s="42" t="n">
        <f aca="false">(datos_base!$G$4+datos_base!$G$20)*parametros_manuales!J$14</f>
        <v>1177.9267288</v>
      </c>
      <c r="M59" s="42" t="n">
        <f aca="false">(datos_base!$G$4+datos_base!$G$20)*parametros_manuales!K$14</f>
        <v>1104.30630825</v>
      </c>
      <c r="N59" s="42" t="n">
        <f aca="false">(datos_base!$G$4+datos_base!$G$20)*parametros_manuales!L$14</f>
        <v>1030.6858877</v>
      </c>
      <c r="O59" s="42" t="n">
        <f aca="false">(datos_base!$G$4+datos_base!$G$20)*parametros_manuales!M$14</f>
        <v>1619.6492521</v>
      </c>
      <c r="P59" s="9" t="n">
        <f aca="false">SUM(D59:O59)</f>
        <v>14724.08411</v>
      </c>
    </row>
    <row r="60" customFormat="false" ht="14.25" hidden="false" customHeight="true" outlineLevel="0" collapsed="false">
      <c r="A60" s="41" t="n">
        <v>2031</v>
      </c>
      <c r="B60" s="8" t="s">
        <v>19</v>
      </c>
      <c r="C60" s="8" t="s">
        <v>184</v>
      </c>
      <c r="D60" s="42" t="n">
        <f aca="false">(datos_base!$G$5+datos_base!$G$21)*parametros_manuales!B$15</f>
        <v>88.1205032</v>
      </c>
      <c r="E60" s="42" t="n">
        <f aca="false">(datos_base!$G$5+datos_base!$G$21)*parametros_manuales!C$15</f>
        <v>70.49640256</v>
      </c>
      <c r="F60" s="42" t="n">
        <f aca="false">(datos_base!$G$5+datos_base!$G$21)*parametros_manuales!D$15</f>
        <v>74.90242772</v>
      </c>
      <c r="G60" s="42" t="n">
        <f aca="false">(datos_base!$G$5+datos_base!$G$21)*parametros_manuales!E$15</f>
        <v>74.90242772</v>
      </c>
      <c r="H60" s="42" t="n">
        <f aca="false">(datos_base!$G$5+datos_base!$G$21)*parametros_manuales!F$15</f>
        <v>70.49640256</v>
      </c>
      <c r="I60" s="42" t="n">
        <f aca="false">(datos_base!$G$5+datos_base!$G$21)*parametros_manuales!G$15</f>
        <v>66.0903774</v>
      </c>
      <c r="J60" s="42" t="n">
        <f aca="false">(datos_base!$G$5+datos_base!$G$21)*parametros_manuales!H$15</f>
        <v>70.49640256</v>
      </c>
      <c r="K60" s="42" t="n">
        <f aca="false">(datos_base!$G$5+datos_base!$G$21)*parametros_manuales!I$15</f>
        <v>70.49640256</v>
      </c>
      <c r="L60" s="42" t="n">
        <f aca="false">(datos_base!$G$5+datos_base!$G$21)*parametros_manuales!J$15</f>
        <v>70.49640256</v>
      </c>
      <c r="M60" s="42" t="n">
        <f aca="false">(datos_base!$G$5+datos_base!$G$21)*parametros_manuales!K$15</f>
        <v>66.0903774</v>
      </c>
      <c r="N60" s="42" t="n">
        <f aca="false">(datos_base!$G$5+datos_base!$G$21)*parametros_manuales!L$15</f>
        <v>61.68435224</v>
      </c>
      <c r="O60" s="42" t="n">
        <f aca="false">(datos_base!$G$5+datos_base!$G$21)*parametros_manuales!M$15</f>
        <v>96.93255352</v>
      </c>
      <c r="P60" s="9" t="n">
        <f aca="false">SUM(D60:O60)</f>
        <v>881.205032</v>
      </c>
    </row>
    <row r="61" customFormat="false" ht="14.25" hidden="false" customHeight="true" outlineLevel="0" collapsed="false">
      <c r="A61" s="41" t="n">
        <v>2031</v>
      </c>
      <c r="B61" s="8" t="s">
        <v>22</v>
      </c>
      <c r="C61" s="8" t="s">
        <v>185</v>
      </c>
      <c r="D61" s="42" t="n">
        <f aca="false">(datos_base!$G$9+datos_base!$G$23)*parametros_manuales!B$12</f>
        <v>8601.624</v>
      </c>
      <c r="E61" s="42" t="n">
        <f aca="false">(datos_base!$G$9+datos_base!$G$23)*parametros_manuales!C$12</f>
        <v>6451.218</v>
      </c>
      <c r="F61" s="42" t="n">
        <f aca="false">(datos_base!$G$9+datos_base!$G$23)*parametros_manuales!D$12</f>
        <v>5734.416</v>
      </c>
      <c r="G61" s="42" t="n">
        <f aca="false">(datos_base!$G$9+datos_base!$G$23)*parametros_manuales!E$12</f>
        <v>5376.015</v>
      </c>
      <c r="H61" s="42" t="n">
        <f aca="false">(datos_base!$G$9+datos_base!$G$23)*parametros_manuales!F$12</f>
        <v>5017.614</v>
      </c>
      <c r="I61" s="42" t="n">
        <f aca="false">(datos_base!$G$9+datos_base!$G$23)*parametros_manuales!G$12</f>
        <v>5017.614</v>
      </c>
      <c r="J61" s="42" t="n">
        <f aca="false">(datos_base!$G$9+datos_base!$G$23)*parametros_manuales!H$12</f>
        <v>5376.015</v>
      </c>
      <c r="K61" s="42" t="n">
        <f aca="false">(datos_base!$G$9+datos_base!$G$23)*parametros_manuales!I$12</f>
        <v>5376.015</v>
      </c>
      <c r="L61" s="42" t="n">
        <f aca="false">(datos_base!$G$9+datos_base!$G$23)*parametros_manuales!J$12</f>
        <v>5376.015</v>
      </c>
      <c r="M61" s="42" t="n">
        <f aca="false">(datos_base!$G$9+datos_base!$G$23)*parametros_manuales!K$12</f>
        <v>5376.015</v>
      </c>
      <c r="N61" s="42" t="n">
        <f aca="false">(datos_base!$G$9+datos_base!$G$23)*parametros_manuales!L$12</f>
        <v>5376.015</v>
      </c>
      <c r="O61" s="42" t="n">
        <f aca="false">(datos_base!$G$9+datos_base!$G$23)*parametros_manuales!M$12</f>
        <v>8601.624</v>
      </c>
      <c r="P61" s="9" t="n">
        <f aca="false">SUM(D61:O61)</f>
        <v>71680.2</v>
      </c>
    </row>
    <row r="62" customFormat="false" ht="14.25" hidden="false" customHeight="true" outlineLevel="0" collapsed="false">
      <c r="A62" s="41" t="n">
        <v>2031</v>
      </c>
      <c r="B62" s="8" t="s">
        <v>23</v>
      </c>
      <c r="C62" s="8" t="s">
        <v>185</v>
      </c>
      <c r="D62" s="42" t="n">
        <f aca="false">(datos_base!$G$10+datos_base!$G$24)*parametros_manuales!B$13</f>
        <v>284.012</v>
      </c>
      <c r="E62" s="42" t="n">
        <f aca="false">(datos_base!$G$10+datos_base!$G$24)*parametros_manuales!C$13</f>
        <v>227.2096</v>
      </c>
      <c r="F62" s="42" t="n">
        <f aca="false">(datos_base!$G$10+datos_base!$G$24)*parametros_manuales!D$13</f>
        <v>241.4102</v>
      </c>
      <c r="G62" s="42" t="n">
        <f aca="false">(datos_base!$G$10+datos_base!$G$24)*parametros_manuales!E$13</f>
        <v>241.4102</v>
      </c>
      <c r="H62" s="42" t="n">
        <f aca="false">(datos_base!$G$10+datos_base!$G$24)*parametros_manuales!F$13</f>
        <v>227.2096</v>
      </c>
      <c r="I62" s="42" t="n">
        <f aca="false">(datos_base!$G$10+datos_base!$G$24)*parametros_manuales!G$13</f>
        <v>213.009</v>
      </c>
      <c r="J62" s="42" t="n">
        <f aca="false">(datos_base!$G$10+datos_base!$G$24)*parametros_manuales!H$13</f>
        <v>227.2096</v>
      </c>
      <c r="K62" s="42" t="n">
        <f aca="false">(datos_base!$G$10+datos_base!$G$24)*parametros_manuales!I$13</f>
        <v>227.2096</v>
      </c>
      <c r="L62" s="42" t="n">
        <f aca="false">(datos_base!$G$10+datos_base!$G$24)*parametros_manuales!J$13</f>
        <v>227.2096</v>
      </c>
      <c r="M62" s="42" t="n">
        <f aca="false">(datos_base!$G$10+datos_base!$G$24)*parametros_manuales!K$13</f>
        <v>213.009</v>
      </c>
      <c r="N62" s="42" t="n">
        <f aca="false">(datos_base!$G$10+datos_base!$G$24)*parametros_manuales!L$13</f>
        <v>198.8084</v>
      </c>
      <c r="O62" s="42" t="n">
        <f aca="false">(datos_base!$G$10+datos_base!$G$24)*parametros_manuales!M$13</f>
        <v>312.4132</v>
      </c>
      <c r="P62" s="9" t="n">
        <f aca="false">SUM(D62:O62)</f>
        <v>2840.12</v>
      </c>
    </row>
    <row r="63" customFormat="false" ht="14.25" hidden="false" customHeight="true" outlineLevel="0" collapsed="false">
      <c r="A63" s="41" t="n">
        <v>2031</v>
      </c>
      <c r="B63" s="8" t="s">
        <v>24</v>
      </c>
      <c r="C63" s="8" t="s">
        <v>185</v>
      </c>
      <c r="D63" s="42" t="n">
        <f aca="false">(datos_base!$G$11+datos_base!$G$25)*parametros_manuales!B$14</f>
        <v>1405.308</v>
      </c>
      <c r="E63" s="42" t="n">
        <f aca="false">(datos_base!$G$11+datos_base!$G$25)*parametros_manuales!C$14</f>
        <v>1124.2464</v>
      </c>
      <c r="F63" s="42" t="n">
        <f aca="false">(datos_base!$G$11+datos_base!$G$25)*parametros_manuales!D$14</f>
        <v>1194.5118</v>
      </c>
      <c r="G63" s="42" t="n">
        <f aca="false">(datos_base!$G$11+datos_base!$G$25)*parametros_manuales!E$14</f>
        <v>1194.5118</v>
      </c>
      <c r="H63" s="42" t="n">
        <f aca="false">(datos_base!$G$11+datos_base!$G$25)*parametros_manuales!F$14</f>
        <v>1124.2464</v>
      </c>
      <c r="I63" s="42" t="n">
        <f aca="false">(datos_base!$G$11+datos_base!$G$25)*parametros_manuales!G$14</f>
        <v>1053.981</v>
      </c>
      <c r="J63" s="42" t="n">
        <f aca="false">(datos_base!$G$11+datos_base!$G$25)*parametros_manuales!H$14</f>
        <v>1124.2464</v>
      </c>
      <c r="K63" s="42" t="n">
        <f aca="false">(datos_base!$G$11+datos_base!$G$25)*parametros_manuales!I$14</f>
        <v>1124.2464</v>
      </c>
      <c r="L63" s="42" t="n">
        <f aca="false">(datos_base!$G$11+datos_base!$G$25)*parametros_manuales!J$14</f>
        <v>1124.2464</v>
      </c>
      <c r="M63" s="42" t="n">
        <f aca="false">(datos_base!$G$11+datos_base!$G$25)*parametros_manuales!K$14</f>
        <v>1053.981</v>
      </c>
      <c r="N63" s="42" t="n">
        <f aca="false">(datos_base!$G$11+datos_base!$G$25)*parametros_manuales!L$14</f>
        <v>983.7156</v>
      </c>
      <c r="O63" s="42" t="n">
        <f aca="false">(datos_base!$G$11+datos_base!$G$25)*parametros_manuales!M$14</f>
        <v>1545.8388</v>
      </c>
      <c r="P63" s="9" t="n">
        <f aca="false">SUM(D63:O63)</f>
        <v>14053.08</v>
      </c>
    </row>
    <row r="64" customFormat="false" ht="14.25" hidden="false" customHeight="true" outlineLevel="0" collapsed="false">
      <c r="A64" s="41" t="n">
        <v>2031</v>
      </c>
      <c r="B64" s="8" t="s">
        <v>25</v>
      </c>
      <c r="C64" s="8" t="s">
        <v>185</v>
      </c>
      <c r="D64" s="42" t="n">
        <f aca="false">(datos_base!$G$12+datos_base!$G$26)*parametros_manuales!B$15</f>
        <v>86.068</v>
      </c>
      <c r="E64" s="42" t="n">
        <f aca="false">(datos_base!$G$12+datos_base!$G$26)*parametros_manuales!C$15</f>
        <v>68.8544</v>
      </c>
      <c r="F64" s="42" t="n">
        <f aca="false">(datos_base!$G$12+datos_base!$G$26)*parametros_manuales!D$15</f>
        <v>73.1578</v>
      </c>
      <c r="G64" s="42" t="n">
        <f aca="false">(datos_base!$G$12+datos_base!$G$26)*parametros_manuales!E$15</f>
        <v>73.1578</v>
      </c>
      <c r="H64" s="42" t="n">
        <f aca="false">(datos_base!$G$12+datos_base!$G$26)*parametros_manuales!F$15</f>
        <v>68.8544</v>
      </c>
      <c r="I64" s="42" t="n">
        <f aca="false">(datos_base!$G$12+datos_base!$G$26)*parametros_manuales!G$15</f>
        <v>64.551</v>
      </c>
      <c r="J64" s="42" t="n">
        <f aca="false">(datos_base!$G$12+datos_base!$G$26)*parametros_manuales!H$15</f>
        <v>68.8544</v>
      </c>
      <c r="K64" s="42" t="n">
        <f aca="false">(datos_base!$G$12+datos_base!$G$26)*parametros_manuales!I$15</f>
        <v>68.8544</v>
      </c>
      <c r="L64" s="42" t="n">
        <f aca="false">(datos_base!$G$12+datos_base!$G$26)*parametros_manuales!J$15</f>
        <v>68.8544</v>
      </c>
      <c r="M64" s="42" t="n">
        <f aca="false">(datos_base!$G$12+datos_base!$G$26)*parametros_manuales!K$15</f>
        <v>64.551</v>
      </c>
      <c r="N64" s="42" t="n">
        <f aca="false">(datos_base!$G$12+datos_base!$G$26)*parametros_manuales!L$15</f>
        <v>60.2476</v>
      </c>
      <c r="O64" s="42" t="n">
        <f aca="false">(datos_base!$G$12+datos_base!$G$26)*parametros_manuales!M$15</f>
        <v>94.6748</v>
      </c>
      <c r="P64" s="9" t="n">
        <f aca="false">SUM(D64:O64)</f>
        <v>860.68</v>
      </c>
    </row>
    <row r="65" customFormat="false" ht="14.25" hidden="false" customHeight="true" outlineLevel="0" collapsed="false">
      <c r="B65" s="10" t="s">
        <v>186</v>
      </c>
      <c r="D65" s="11" t="n">
        <f aca="false">SUM(D57:D64)</f>
        <v>14139.2582713</v>
      </c>
      <c r="E65" s="11" t="n">
        <f aca="false">SUM(E57:E64)</f>
        <v>10787.60389862</v>
      </c>
      <c r="F65" s="11" t="n">
        <f aca="false">SUM(F57:F64)</f>
        <v>10097.759563065</v>
      </c>
      <c r="G65" s="11" t="n">
        <f aca="false">SUM(G57:G64)</f>
        <v>9661.257297715</v>
      </c>
      <c r="H65" s="11" t="n">
        <f aca="false">SUM(H57:H64)</f>
        <v>9041.59483722</v>
      </c>
      <c r="I65" s="11" t="n">
        <f aca="false">SUM(I57:I64)</f>
        <v>8858.434642075</v>
      </c>
      <c r="J65" s="11" t="n">
        <f aca="false">SUM(J57:J64)</f>
        <v>9478.09710257</v>
      </c>
      <c r="K65" s="11" t="n">
        <f aca="false">SUM(K57:K64)</f>
        <v>9478.09710257</v>
      </c>
      <c r="L65" s="11" t="n">
        <f aca="false">SUM(L57:L64)</f>
        <v>9478.09710257</v>
      </c>
      <c r="M65" s="11" t="n">
        <f aca="false">SUM(M57:M64)</f>
        <v>9294.936907425</v>
      </c>
      <c r="N65" s="11" t="n">
        <f aca="false">SUM(N57:N64)</f>
        <v>9111.77671228</v>
      </c>
      <c r="O65" s="11" t="n">
        <f aca="false">SUM(O57:O64)</f>
        <v>14505.57866159</v>
      </c>
      <c r="P65" s="11" t="n">
        <f aca="false">SUM(P57:P64)</f>
        <v>123932.492099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181</v>
      </c>
      <c r="C67" s="7" t="s">
        <v>182</v>
      </c>
      <c r="D67" s="7" t="s">
        <v>61</v>
      </c>
      <c r="E67" s="7" t="s">
        <v>62</v>
      </c>
      <c r="F67" s="7" t="s">
        <v>63</v>
      </c>
      <c r="G67" s="7" t="s">
        <v>64</v>
      </c>
      <c r="H67" s="7" t="s">
        <v>65</v>
      </c>
      <c r="I67" s="7" t="s">
        <v>66</v>
      </c>
      <c r="J67" s="7" t="s">
        <v>67</v>
      </c>
      <c r="K67" s="7" t="s">
        <v>68</v>
      </c>
      <c r="L67" s="7" t="s">
        <v>69</v>
      </c>
      <c r="M67" s="7" t="s">
        <v>70</v>
      </c>
      <c r="N67" s="7" t="s">
        <v>71</v>
      </c>
      <c r="O67" s="7" t="s">
        <v>72</v>
      </c>
      <c r="P67" s="7" t="s">
        <v>183</v>
      </c>
    </row>
    <row r="68" customFormat="false" ht="14.25" hidden="false" customHeight="true" outlineLevel="0" collapsed="false">
      <c r="A68" s="41" t="n">
        <v>2032</v>
      </c>
      <c r="B68" s="8" t="s">
        <v>16</v>
      </c>
      <c r="C68" s="8" t="s">
        <v>184</v>
      </c>
      <c r="D68" s="42" t="n">
        <f aca="false">(datos_base!$H$2+datos_base!$H$18)*parametros_manuales!B$12</f>
        <v>2439.9063912</v>
      </c>
      <c r="E68" s="42" t="n">
        <f aca="false">(datos_base!$H$2+datos_base!$H$18)*parametros_manuales!C$12</f>
        <v>1829.9297934</v>
      </c>
      <c r="F68" s="42" t="n">
        <f aca="false">(datos_base!$H$2+datos_base!$H$18)*parametros_manuales!D$12</f>
        <v>1626.6042608</v>
      </c>
      <c r="G68" s="42" t="n">
        <f aca="false">(datos_base!$H$2+datos_base!$H$18)*parametros_manuales!E$12</f>
        <v>1524.9414945</v>
      </c>
      <c r="H68" s="42" t="n">
        <f aca="false">(datos_base!$H$2+datos_base!$H$18)*parametros_manuales!F$12</f>
        <v>1423.2787282</v>
      </c>
      <c r="I68" s="42" t="n">
        <f aca="false">(datos_base!$H$2+datos_base!$H$18)*parametros_manuales!G$12</f>
        <v>1423.2787282</v>
      </c>
      <c r="J68" s="42" t="n">
        <f aca="false">(datos_base!$H$2+datos_base!$H$18)*parametros_manuales!H$12</f>
        <v>1524.9414945</v>
      </c>
      <c r="K68" s="42" t="n">
        <f aca="false">(datos_base!$H$2+datos_base!$H$18)*parametros_manuales!I$12</f>
        <v>1524.9414945</v>
      </c>
      <c r="L68" s="42" t="n">
        <f aca="false">(datos_base!$H$2+datos_base!$H$18)*parametros_manuales!J$12</f>
        <v>1524.9414945</v>
      </c>
      <c r="M68" s="42" t="n">
        <f aca="false">(datos_base!$H$2+datos_base!$H$18)*parametros_manuales!K$12</f>
        <v>1524.9414945</v>
      </c>
      <c r="N68" s="42" t="n">
        <f aca="false">(datos_base!$H$2+datos_base!$H$18)*parametros_manuales!L$12</f>
        <v>1524.9414945</v>
      </c>
      <c r="O68" s="42" t="n">
        <f aca="false">(datos_base!$H$2+datos_base!$H$18)*parametros_manuales!M$12</f>
        <v>2439.9063912</v>
      </c>
      <c r="P68" s="9" t="n">
        <f aca="false">SUM(D68:O68)</f>
        <v>20332.55326</v>
      </c>
    </row>
    <row r="69" customFormat="false" ht="14.25" hidden="false" customHeight="true" outlineLevel="0" collapsed="false">
      <c r="A69" s="41" t="n">
        <v>2032</v>
      </c>
      <c r="B69" s="8" t="s">
        <v>17</v>
      </c>
      <c r="C69" s="8" t="s">
        <v>184</v>
      </c>
      <c r="D69" s="42" t="n">
        <f aca="false">(datos_base!$H$3+datos_base!$H$19)*parametros_manuales!B$13</f>
        <v>412.1595524</v>
      </c>
      <c r="E69" s="42" t="n">
        <f aca="false">(datos_base!$H$3+datos_base!$H$19)*parametros_manuales!C$13</f>
        <v>329.72764192</v>
      </c>
      <c r="F69" s="42" t="n">
        <f aca="false">(datos_base!$H$3+datos_base!$H$19)*parametros_manuales!D$13</f>
        <v>350.33561954</v>
      </c>
      <c r="G69" s="42" t="n">
        <f aca="false">(datos_base!$H$3+datos_base!$H$19)*parametros_manuales!E$13</f>
        <v>350.33561954</v>
      </c>
      <c r="H69" s="42" t="n">
        <f aca="false">(datos_base!$H$3+datos_base!$H$19)*parametros_manuales!F$13</f>
        <v>329.72764192</v>
      </c>
      <c r="I69" s="42" t="n">
        <f aca="false">(datos_base!$H$3+datos_base!$H$19)*parametros_manuales!G$13</f>
        <v>309.1196643</v>
      </c>
      <c r="J69" s="42" t="n">
        <f aca="false">(datos_base!$H$3+datos_base!$H$19)*parametros_manuales!H$13</f>
        <v>329.72764192</v>
      </c>
      <c r="K69" s="42" t="n">
        <f aca="false">(datos_base!$H$3+datos_base!$H$19)*parametros_manuales!I$13</f>
        <v>329.72764192</v>
      </c>
      <c r="L69" s="42" t="n">
        <f aca="false">(datos_base!$H$3+datos_base!$H$19)*parametros_manuales!J$13</f>
        <v>329.72764192</v>
      </c>
      <c r="M69" s="42" t="n">
        <f aca="false">(datos_base!$H$3+datos_base!$H$19)*parametros_manuales!K$13</f>
        <v>309.1196643</v>
      </c>
      <c r="N69" s="42" t="n">
        <f aca="false">(datos_base!$H$3+datos_base!$H$19)*parametros_manuales!L$13</f>
        <v>288.51168668</v>
      </c>
      <c r="O69" s="42" t="n">
        <f aca="false">(datos_base!$H$3+datos_base!$H$19)*parametros_manuales!M$13</f>
        <v>453.37550764</v>
      </c>
      <c r="P69" s="9" t="n">
        <f aca="false">SUM(D69:O69)</f>
        <v>4121.595524</v>
      </c>
    </row>
    <row r="70" customFormat="false" ht="14.25" hidden="false" customHeight="true" outlineLevel="0" collapsed="false">
      <c r="A70" s="41" t="n">
        <v>2032</v>
      </c>
      <c r="B70" s="8" t="s">
        <v>18</v>
      </c>
      <c r="C70" s="8" t="s">
        <v>184</v>
      </c>
      <c r="D70" s="42" t="n">
        <f aca="false">(datos_base!$H$4+datos_base!$H$20)*parametros_manuales!B$14</f>
        <v>1895.347984</v>
      </c>
      <c r="E70" s="42" t="n">
        <f aca="false">(datos_base!$H$4+datos_base!$H$20)*parametros_manuales!C$14</f>
        <v>1516.2783872</v>
      </c>
      <c r="F70" s="42" t="n">
        <f aca="false">(datos_base!$H$4+datos_base!$H$20)*parametros_manuales!D$14</f>
        <v>1611.0457864</v>
      </c>
      <c r="G70" s="42" t="n">
        <f aca="false">(datos_base!$H$4+datos_base!$H$20)*parametros_manuales!E$14</f>
        <v>1611.0457864</v>
      </c>
      <c r="H70" s="42" t="n">
        <f aca="false">(datos_base!$H$4+datos_base!$H$20)*parametros_manuales!F$14</f>
        <v>1516.2783872</v>
      </c>
      <c r="I70" s="42" t="n">
        <f aca="false">(datos_base!$H$4+datos_base!$H$20)*parametros_manuales!G$14</f>
        <v>1421.510988</v>
      </c>
      <c r="J70" s="42" t="n">
        <f aca="false">(datos_base!$H$4+datos_base!$H$20)*parametros_manuales!H$14</f>
        <v>1516.2783872</v>
      </c>
      <c r="K70" s="42" t="n">
        <f aca="false">(datos_base!$H$4+datos_base!$H$20)*parametros_manuales!I$14</f>
        <v>1516.2783872</v>
      </c>
      <c r="L70" s="42" t="n">
        <f aca="false">(datos_base!$H$4+datos_base!$H$20)*parametros_manuales!J$14</f>
        <v>1516.2783872</v>
      </c>
      <c r="M70" s="42" t="n">
        <f aca="false">(datos_base!$H$4+datos_base!$H$20)*parametros_manuales!K$14</f>
        <v>1421.510988</v>
      </c>
      <c r="N70" s="42" t="n">
        <f aca="false">(datos_base!$H$4+datos_base!$H$20)*parametros_manuales!L$14</f>
        <v>1326.7435888</v>
      </c>
      <c r="O70" s="42" t="n">
        <f aca="false">(datos_base!$H$4+datos_base!$H$20)*parametros_manuales!M$14</f>
        <v>2084.8827824</v>
      </c>
      <c r="P70" s="9" t="n">
        <f aca="false">SUM(D70:O70)</f>
        <v>18953.47984</v>
      </c>
    </row>
    <row r="71" customFormat="false" ht="14.25" hidden="false" customHeight="true" outlineLevel="0" collapsed="false">
      <c r="A71" s="41" t="n">
        <v>2032</v>
      </c>
      <c r="B71" s="8" t="s">
        <v>19</v>
      </c>
      <c r="C71" s="8" t="s">
        <v>184</v>
      </c>
      <c r="D71" s="42" t="n">
        <f aca="false">(datos_base!$H$5+datos_base!$H$21)*parametros_manuales!B$15</f>
        <v>113.3320545</v>
      </c>
      <c r="E71" s="42" t="n">
        <f aca="false">(datos_base!$H$5+datos_base!$H$21)*parametros_manuales!C$15</f>
        <v>90.6656436</v>
      </c>
      <c r="F71" s="42" t="n">
        <f aca="false">(datos_base!$H$5+datos_base!$H$21)*parametros_manuales!D$15</f>
        <v>96.332246325</v>
      </c>
      <c r="G71" s="42" t="n">
        <f aca="false">(datos_base!$H$5+datos_base!$H$21)*parametros_manuales!E$15</f>
        <v>96.332246325</v>
      </c>
      <c r="H71" s="42" t="n">
        <f aca="false">(datos_base!$H$5+datos_base!$H$21)*parametros_manuales!F$15</f>
        <v>90.6656436</v>
      </c>
      <c r="I71" s="42" t="n">
        <f aca="false">(datos_base!$H$5+datos_base!$H$21)*parametros_manuales!G$15</f>
        <v>84.999040875</v>
      </c>
      <c r="J71" s="42" t="n">
        <f aca="false">(datos_base!$H$5+datos_base!$H$21)*parametros_manuales!H$15</f>
        <v>90.6656436</v>
      </c>
      <c r="K71" s="42" t="n">
        <f aca="false">(datos_base!$H$5+datos_base!$H$21)*parametros_manuales!I$15</f>
        <v>90.6656436</v>
      </c>
      <c r="L71" s="42" t="n">
        <f aca="false">(datos_base!$H$5+datos_base!$H$21)*parametros_manuales!J$15</f>
        <v>90.6656436</v>
      </c>
      <c r="M71" s="42" t="n">
        <f aca="false">(datos_base!$H$5+datos_base!$H$21)*parametros_manuales!K$15</f>
        <v>84.999040875</v>
      </c>
      <c r="N71" s="42" t="n">
        <f aca="false">(datos_base!$H$5+datos_base!$H$21)*parametros_manuales!L$15</f>
        <v>79.33243815</v>
      </c>
      <c r="O71" s="42" t="n">
        <f aca="false">(datos_base!$H$5+datos_base!$H$21)*parametros_manuales!M$15</f>
        <v>124.66525995</v>
      </c>
      <c r="P71" s="9" t="n">
        <f aca="false">SUM(D71:O71)</f>
        <v>1133.320545</v>
      </c>
    </row>
    <row r="72" customFormat="false" ht="14.25" hidden="false" customHeight="true" outlineLevel="0" collapsed="false">
      <c r="A72" s="41" t="n">
        <v>2032</v>
      </c>
      <c r="B72" s="8" t="s">
        <v>22</v>
      </c>
      <c r="C72" s="8" t="s">
        <v>185</v>
      </c>
      <c r="D72" s="42" t="n">
        <f aca="false">(datos_base!$H$9+datos_base!$H$23)*parametros_manuales!B$12</f>
        <v>12160.872</v>
      </c>
      <c r="E72" s="42" t="n">
        <f aca="false">(datos_base!$H$9+datos_base!$H$23)*parametros_manuales!C$12</f>
        <v>9120.654</v>
      </c>
      <c r="F72" s="42" t="n">
        <f aca="false">(datos_base!$H$9+datos_base!$H$23)*parametros_manuales!D$12</f>
        <v>8107.248</v>
      </c>
      <c r="G72" s="42" t="n">
        <f aca="false">(datos_base!$H$9+datos_base!$H$23)*parametros_manuales!E$12</f>
        <v>7600.545</v>
      </c>
      <c r="H72" s="42" t="n">
        <f aca="false">(datos_base!$H$9+datos_base!$H$23)*parametros_manuales!F$12</f>
        <v>7093.842</v>
      </c>
      <c r="I72" s="42" t="n">
        <f aca="false">(datos_base!$H$9+datos_base!$H$23)*parametros_manuales!G$12</f>
        <v>7093.842</v>
      </c>
      <c r="J72" s="42" t="n">
        <f aca="false">(datos_base!$H$9+datos_base!$H$23)*parametros_manuales!H$12</f>
        <v>7600.545</v>
      </c>
      <c r="K72" s="42" t="n">
        <f aca="false">(datos_base!$H$9+datos_base!$H$23)*parametros_manuales!I$12</f>
        <v>7600.545</v>
      </c>
      <c r="L72" s="42" t="n">
        <f aca="false">(datos_base!$H$9+datos_base!$H$23)*parametros_manuales!J$12</f>
        <v>7600.545</v>
      </c>
      <c r="M72" s="42" t="n">
        <f aca="false">(datos_base!$H$9+datos_base!$H$23)*parametros_manuales!K$12</f>
        <v>7600.545</v>
      </c>
      <c r="N72" s="42" t="n">
        <f aca="false">(datos_base!$H$9+datos_base!$H$23)*parametros_manuales!L$12</f>
        <v>7600.545</v>
      </c>
      <c r="O72" s="42" t="n">
        <f aca="false">(datos_base!$H$9+datos_base!$H$23)*parametros_manuales!M$12</f>
        <v>12160.872</v>
      </c>
      <c r="P72" s="9" t="n">
        <f aca="false">SUM(D72:O72)</f>
        <v>101340.6</v>
      </c>
    </row>
    <row r="73" customFormat="false" ht="14.25" hidden="false" customHeight="true" outlineLevel="0" collapsed="false">
      <c r="A73" s="41" t="n">
        <v>2032</v>
      </c>
      <c r="B73" s="8" t="s">
        <v>23</v>
      </c>
      <c r="C73" s="8" t="s">
        <v>185</v>
      </c>
      <c r="D73" s="42" t="n">
        <f aca="false">(datos_base!$H$10+datos_base!$H$24)*parametros_manuales!B$13</f>
        <v>399.752</v>
      </c>
      <c r="E73" s="42" t="n">
        <f aca="false">(datos_base!$H$10+datos_base!$H$24)*parametros_manuales!C$13</f>
        <v>319.8016</v>
      </c>
      <c r="F73" s="42" t="n">
        <f aca="false">(datos_base!$H$10+datos_base!$H$24)*parametros_manuales!D$13</f>
        <v>339.7892</v>
      </c>
      <c r="G73" s="42" t="n">
        <f aca="false">(datos_base!$H$10+datos_base!$H$24)*parametros_manuales!E$13</f>
        <v>339.7892</v>
      </c>
      <c r="H73" s="42" t="n">
        <f aca="false">(datos_base!$H$10+datos_base!$H$24)*parametros_manuales!F$13</f>
        <v>319.8016</v>
      </c>
      <c r="I73" s="42" t="n">
        <f aca="false">(datos_base!$H$10+datos_base!$H$24)*parametros_manuales!G$13</f>
        <v>299.814</v>
      </c>
      <c r="J73" s="42" t="n">
        <f aca="false">(datos_base!$H$10+datos_base!$H$24)*parametros_manuales!H$13</f>
        <v>319.8016</v>
      </c>
      <c r="K73" s="42" t="n">
        <f aca="false">(datos_base!$H$10+datos_base!$H$24)*parametros_manuales!I$13</f>
        <v>319.8016</v>
      </c>
      <c r="L73" s="42" t="n">
        <f aca="false">(datos_base!$H$10+datos_base!$H$24)*parametros_manuales!J$13</f>
        <v>319.8016</v>
      </c>
      <c r="M73" s="42" t="n">
        <f aca="false">(datos_base!$H$10+datos_base!$H$24)*parametros_manuales!K$13</f>
        <v>299.814</v>
      </c>
      <c r="N73" s="42" t="n">
        <f aca="false">(datos_base!$H$10+datos_base!$H$24)*parametros_manuales!L$13</f>
        <v>279.8264</v>
      </c>
      <c r="O73" s="42" t="n">
        <f aca="false">(datos_base!$H$10+datos_base!$H$24)*parametros_manuales!M$13</f>
        <v>439.7272</v>
      </c>
      <c r="P73" s="9" t="n">
        <f aca="false">SUM(D73:O73)</f>
        <v>3997.52</v>
      </c>
    </row>
    <row r="74" customFormat="false" ht="14.25" hidden="false" customHeight="true" outlineLevel="0" collapsed="false">
      <c r="A74" s="41" t="n">
        <v>2032</v>
      </c>
      <c r="B74" s="8" t="s">
        <v>24</v>
      </c>
      <c r="C74" s="8" t="s">
        <v>185</v>
      </c>
      <c r="D74" s="42" t="n">
        <f aca="false">(datos_base!$H$11+datos_base!$H$25)*parametros_manuales!B$14</f>
        <v>1969.056</v>
      </c>
      <c r="E74" s="42" t="n">
        <f aca="false">(datos_base!$H$11+datos_base!$H$25)*parametros_manuales!C$14</f>
        <v>1575.2448</v>
      </c>
      <c r="F74" s="42" t="n">
        <f aca="false">(datos_base!$H$11+datos_base!$H$25)*parametros_manuales!D$14</f>
        <v>1673.6976</v>
      </c>
      <c r="G74" s="42" t="n">
        <f aca="false">(datos_base!$H$11+datos_base!$H$25)*parametros_manuales!E$14</f>
        <v>1673.6976</v>
      </c>
      <c r="H74" s="42" t="n">
        <f aca="false">(datos_base!$H$11+datos_base!$H$25)*parametros_manuales!F$14</f>
        <v>1575.2448</v>
      </c>
      <c r="I74" s="42" t="n">
        <f aca="false">(datos_base!$H$11+datos_base!$H$25)*parametros_manuales!G$14</f>
        <v>1476.792</v>
      </c>
      <c r="J74" s="42" t="n">
        <f aca="false">(datos_base!$H$11+datos_base!$H$25)*parametros_manuales!H$14</f>
        <v>1575.2448</v>
      </c>
      <c r="K74" s="42" t="n">
        <f aca="false">(datos_base!$H$11+datos_base!$H$25)*parametros_manuales!I$14</f>
        <v>1575.2448</v>
      </c>
      <c r="L74" s="42" t="n">
        <f aca="false">(datos_base!$H$11+datos_base!$H$25)*parametros_manuales!J$14</f>
        <v>1575.2448</v>
      </c>
      <c r="M74" s="42" t="n">
        <f aca="false">(datos_base!$H$11+datos_base!$H$25)*parametros_manuales!K$14</f>
        <v>1476.792</v>
      </c>
      <c r="N74" s="42" t="n">
        <f aca="false">(datos_base!$H$11+datos_base!$H$25)*parametros_manuales!L$14</f>
        <v>1378.3392</v>
      </c>
      <c r="O74" s="42" t="n">
        <f aca="false">(datos_base!$H$11+datos_base!$H$25)*parametros_manuales!M$14</f>
        <v>2165.9616</v>
      </c>
      <c r="P74" s="9" t="n">
        <f aca="false">SUM(D74:O74)</f>
        <v>19690.56</v>
      </c>
    </row>
    <row r="75" customFormat="false" ht="14.25" hidden="false" customHeight="true" outlineLevel="0" collapsed="false">
      <c r="A75" s="41" t="n">
        <v>2032</v>
      </c>
      <c r="B75" s="8" t="s">
        <v>25</v>
      </c>
      <c r="C75" s="8" t="s">
        <v>185</v>
      </c>
      <c r="D75" s="42" t="n">
        <f aca="false">(datos_base!$H$12+datos_base!$H$26)*parametros_manuales!B$15</f>
        <v>120.724</v>
      </c>
      <c r="E75" s="42" t="n">
        <f aca="false">(datos_base!$H$12+datos_base!$H$26)*parametros_manuales!C$15</f>
        <v>96.5792</v>
      </c>
      <c r="F75" s="42" t="n">
        <f aca="false">(datos_base!$H$12+datos_base!$H$26)*parametros_manuales!D$15</f>
        <v>102.6154</v>
      </c>
      <c r="G75" s="42" t="n">
        <f aca="false">(datos_base!$H$12+datos_base!$H$26)*parametros_manuales!E$15</f>
        <v>102.6154</v>
      </c>
      <c r="H75" s="42" t="n">
        <f aca="false">(datos_base!$H$12+datos_base!$H$26)*parametros_manuales!F$15</f>
        <v>96.5792</v>
      </c>
      <c r="I75" s="42" t="n">
        <f aca="false">(datos_base!$H$12+datos_base!$H$26)*parametros_manuales!G$15</f>
        <v>90.543</v>
      </c>
      <c r="J75" s="42" t="n">
        <f aca="false">(datos_base!$H$12+datos_base!$H$26)*parametros_manuales!H$15</f>
        <v>96.5792</v>
      </c>
      <c r="K75" s="42" t="n">
        <f aca="false">(datos_base!$H$12+datos_base!$H$26)*parametros_manuales!I$15</f>
        <v>96.5792</v>
      </c>
      <c r="L75" s="42" t="n">
        <f aca="false">(datos_base!$H$12+datos_base!$H$26)*parametros_manuales!J$15</f>
        <v>96.5792</v>
      </c>
      <c r="M75" s="42" t="n">
        <f aca="false">(datos_base!$H$12+datos_base!$H$26)*parametros_manuales!K$15</f>
        <v>90.543</v>
      </c>
      <c r="N75" s="42" t="n">
        <f aca="false">(datos_base!$H$12+datos_base!$H$26)*parametros_manuales!L$15</f>
        <v>84.5068</v>
      </c>
      <c r="O75" s="42" t="n">
        <f aca="false">(datos_base!$H$12+datos_base!$H$26)*parametros_manuales!M$15</f>
        <v>132.7964</v>
      </c>
      <c r="P75" s="9" t="n">
        <f aca="false">SUM(D75:O75)</f>
        <v>1207.24</v>
      </c>
    </row>
    <row r="76" customFormat="false" ht="14.25" hidden="false" customHeight="true" outlineLevel="0" collapsed="false">
      <c r="B76" s="10" t="s">
        <v>186</v>
      </c>
      <c r="D76" s="11" t="n">
        <f aca="false">SUM(D68:D75)</f>
        <v>19511.1499821</v>
      </c>
      <c r="E76" s="11" t="n">
        <f aca="false">SUM(E68:E75)</f>
        <v>14878.88106612</v>
      </c>
      <c r="F76" s="11" t="n">
        <f aca="false">SUM(F68:F75)</f>
        <v>13907.668113065</v>
      </c>
      <c r="G76" s="11" t="n">
        <f aca="false">SUM(G68:G75)</f>
        <v>13299.302346765</v>
      </c>
      <c r="H76" s="11" t="n">
        <f aca="false">SUM(H68:H75)</f>
        <v>12445.41800092</v>
      </c>
      <c r="I76" s="11" t="n">
        <f aca="false">SUM(I68:I75)</f>
        <v>12199.899421375</v>
      </c>
      <c r="J76" s="11" t="n">
        <f aca="false">SUM(J68:J75)</f>
        <v>13053.78376722</v>
      </c>
      <c r="K76" s="11" t="n">
        <f aca="false">SUM(K68:K75)</f>
        <v>13053.78376722</v>
      </c>
      <c r="L76" s="11" t="n">
        <f aca="false">SUM(L68:L75)</f>
        <v>13053.78376722</v>
      </c>
      <c r="M76" s="11" t="n">
        <f aca="false">SUM(M68:M75)</f>
        <v>12808.265187675</v>
      </c>
      <c r="N76" s="11" t="n">
        <f aca="false">SUM(N68:N75)</f>
        <v>12562.74660813</v>
      </c>
      <c r="O76" s="11" t="n">
        <f aca="false">SUM(O68:O75)</f>
        <v>20002.18714119</v>
      </c>
      <c r="P76" s="11" t="n">
        <f aca="false">SUM(P68:P75)</f>
        <v>170776.869169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181</v>
      </c>
      <c r="C78" s="7" t="s">
        <v>182</v>
      </c>
      <c r="D78" s="7" t="s">
        <v>61</v>
      </c>
      <c r="E78" s="7" t="s">
        <v>62</v>
      </c>
      <c r="F78" s="7" t="s">
        <v>63</v>
      </c>
      <c r="G78" s="7" t="s">
        <v>64</v>
      </c>
      <c r="H78" s="7" t="s">
        <v>65</v>
      </c>
      <c r="I78" s="7" t="s">
        <v>66</v>
      </c>
      <c r="J78" s="7" t="s">
        <v>67</v>
      </c>
      <c r="K78" s="7" t="s">
        <v>68</v>
      </c>
      <c r="L78" s="7" t="s">
        <v>69</v>
      </c>
      <c r="M78" s="7" t="s">
        <v>70</v>
      </c>
      <c r="N78" s="7" t="s">
        <v>71</v>
      </c>
      <c r="O78" s="7" t="s">
        <v>72</v>
      </c>
      <c r="P78" s="7" t="s">
        <v>183</v>
      </c>
    </row>
    <row r="79" customFormat="false" ht="14.25" hidden="false" customHeight="true" outlineLevel="0" collapsed="false">
      <c r="A79" s="41" t="n">
        <v>2033</v>
      </c>
      <c r="B79" s="8" t="s">
        <v>16</v>
      </c>
      <c r="C79" s="8" t="s">
        <v>184</v>
      </c>
      <c r="D79" s="42" t="n">
        <f aca="false">(datos_base!$I$2+datos_base!$I$18)*parametros_manuales!B$12</f>
        <v>3015.8494176</v>
      </c>
      <c r="E79" s="42" t="n">
        <f aca="false">(datos_base!$I$2+datos_base!$I$18)*parametros_manuales!C$12</f>
        <v>2261.8870632</v>
      </c>
      <c r="F79" s="42" t="n">
        <f aca="false">(datos_base!$I$2+datos_base!$I$18)*parametros_manuales!D$12</f>
        <v>2010.5662784</v>
      </c>
      <c r="G79" s="42" t="n">
        <f aca="false">(datos_base!$I$2+datos_base!$I$18)*parametros_manuales!E$12</f>
        <v>1884.905886</v>
      </c>
      <c r="H79" s="42" t="n">
        <f aca="false">(datos_base!$I$2+datos_base!$I$18)*parametros_manuales!F$12</f>
        <v>1759.2454936</v>
      </c>
      <c r="I79" s="42" t="n">
        <f aca="false">(datos_base!$I$2+datos_base!$I$18)*parametros_manuales!G$12</f>
        <v>1759.2454936</v>
      </c>
      <c r="J79" s="42" t="n">
        <f aca="false">(datos_base!$I$2+datos_base!$I$18)*parametros_manuales!H$12</f>
        <v>1884.905886</v>
      </c>
      <c r="K79" s="42" t="n">
        <f aca="false">(datos_base!$I$2+datos_base!$I$18)*parametros_manuales!I$12</f>
        <v>1884.905886</v>
      </c>
      <c r="L79" s="42" t="n">
        <f aca="false">(datos_base!$I$2+datos_base!$I$18)*parametros_manuales!J$12</f>
        <v>1884.905886</v>
      </c>
      <c r="M79" s="42" t="n">
        <f aca="false">(datos_base!$I$2+datos_base!$I$18)*parametros_manuales!K$12</f>
        <v>1884.905886</v>
      </c>
      <c r="N79" s="42" t="n">
        <f aca="false">(datos_base!$I$2+datos_base!$I$18)*parametros_manuales!L$12</f>
        <v>1884.905886</v>
      </c>
      <c r="O79" s="42" t="n">
        <f aca="false">(datos_base!$I$2+datos_base!$I$18)*parametros_manuales!M$12</f>
        <v>3015.8494176</v>
      </c>
      <c r="P79" s="9" t="n">
        <f aca="false">SUM(D79:O79)</f>
        <v>25132.07848</v>
      </c>
    </row>
    <row r="80" customFormat="false" ht="14.25" hidden="false" customHeight="true" outlineLevel="0" collapsed="false">
      <c r="A80" s="41" t="n">
        <v>2033</v>
      </c>
      <c r="B80" s="8" t="s">
        <v>17</v>
      </c>
      <c r="C80" s="8" t="s">
        <v>184</v>
      </c>
      <c r="D80" s="42" t="n">
        <f aca="false">(datos_base!$I$3+datos_base!$I$19)*parametros_manuales!B$13</f>
        <v>511.9706587</v>
      </c>
      <c r="E80" s="42" t="n">
        <f aca="false">(datos_base!$I$3+datos_base!$I$19)*parametros_manuales!C$13</f>
        <v>409.57652696</v>
      </c>
      <c r="F80" s="42" t="n">
        <f aca="false">(datos_base!$I$3+datos_base!$I$19)*parametros_manuales!D$13</f>
        <v>435.175059895</v>
      </c>
      <c r="G80" s="42" t="n">
        <f aca="false">(datos_base!$I$3+datos_base!$I$19)*parametros_manuales!E$13</f>
        <v>435.175059895</v>
      </c>
      <c r="H80" s="42" t="n">
        <f aca="false">(datos_base!$I$3+datos_base!$I$19)*parametros_manuales!F$13</f>
        <v>409.57652696</v>
      </c>
      <c r="I80" s="42" t="n">
        <f aca="false">(datos_base!$I$3+datos_base!$I$19)*parametros_manuales!G$13</f>
        <v>383.977994025</v>
      </c>
      <c r="J80" s="42" t="n">
        <f aca="false">(datos_base!$I$3+datos_base!$I$19)*parametros_manuales!H$13</f>
        <v>409.57652696</v>
      </c>
      <c r="K80" s="42" t="n">
        <f aca="false">(datos_base!$I$3+datos_base!$I$19)*parametros_manuales!I$13</f>
        <v>409.57652696</v>
      </c>
      <c r="L80" s="42" t="n">
        <f aca="false">(datos_base!$I$3+datos_base!$I$19)*parametros_manuales!J$13</f>
        <v>409.57652696</v>
      </c>
      <c r="M80" s="42" t="n">
        <f aca="false">(datos_base!$I$3+datos_base!$I$19)*parametros_manuales!K$13</f>
        <v>383.977994025</v>
      </c>
      <c r="N80" s="42" t="n">
        <f aca="false">(datos_base!$I$3+datos_base!$I$19)*parametros_manuales!L$13</f>
        <v>358.37946109</v>
      </c>
      <c r="O80" s="42" t="n">
        <f aca="false">(datos_base!$I$3+datos_base!$I$19)*parametros_manuales!M$13</f>
        <v>563.16772457</v>
      </c>
      <c r="P80" s="9" t="n">
        <f aca="false">SUM(D80:O80)</f>
        <v>5119.706587</v>
      </c>
    </row>
    <row r="81" customFormat="false" ht="14.25" hidden="false" customHeight="true" outlineLevel="0" collapsed="false">
      <c r="A81" s="41" t="n">
        <v>2033</v>
      </c>
      <c r="B81" s="8" t="s">
        <v>18</v>
      </c>
      <c r="C81" s="8" t="s">
        <v>184</v>
      </c>
      <c r="D81" s="42" t="n">
        <f aca="false">(datos_base!$I$4+datos_base!$I$20)*parametros_manuales!B$14</f>
        <v>2344.950637</v>
      </c>
      <c r="E81" s="42" t="n">
        <f aca="false">(datos_base!$I$4+datos_base!$I$20)*parametros_manuales!C$14</f>
        <v>1875.9605096</v>
      </c>
      <c r="F81" s="42" t="n">
        <f aca="false">(datos_base!$I$4+datos_base!$I$20)*parametros_manuales!D$14</f>
        <v>1993.20804145</v>
      </c>
      <c r="G81" s="42" t="n">
        <f aca="false">(datos_base!$I$4+datos_base!$I$20)*parametros_manuales!E$14</f>
        <v>1993.20804145</v>
      </c>
      <c r="H81" s="42" t="n">
        <f aca="false">(datos_base!$I$4+datos_base!$I$20)*parametros_manuales!F$14</f>
        <v>1875.9605096</v>
      </c>
      <c r="I81" s="42" t="n">
        <f aca="false">(datos_base!$I$4+datos_base!$I$20)*parametros_manuales!G$14</f>
        <v>1758.71297775</v>
      </c>
      <c r="J81" s="42" t="n">
        <f aca="false">(datos_base!$I$4+datos_base!$I$20)*parametros_manuales!H$14</f>
        <v>1875.9605096</v>
      </c>
      <c r="K81" s="42" t="n">
        <f aca="false">(datos_base!$I$4+datos_base!$I$20)*parametros_manuales!I$14</f>
        <v>1875.9605096</v>
      </c>
      <c r="L81" s="42" t="n">
        <f aca="false">(datos_base!$I$4+datos_base!$I$20)*parametros_manuales!J$14</f>
        <v>1875.9605096</v>
      </c>
      <c r="M81" s="42" t="n">
        <f aca="false">(datos_base!$I$4+datos_base!$I$20)*parametros_manuales!K$14</f>
        <v>1758.71297775</v>
      </c>
      <c r="N81" s="42" t="n">
        <f aca="false">(datos_base!$I$4+datos_base!$I$20)*parametros_manuales!L$14</f>
        <v>1641.4654459</v>
      </c>
      <c r="O81" s="42" t="n">
        <f aca="false">(datos_base!$I$4+datos_base!$I$20)*parametros_manuales!M$14</f>
        <v>2579.4457007</v>
      </c>
      <c r="P81" s="9" t="n">
        <f aca="false">SUM(D81:O81)</f>
        <v>23449.50637</v>
      </c>
    </row>
    <row r="82" customFormat="false" ht="14.25" hidden="false" customHeight="true" outlineLevel="0" collapsed="false">
      <c r="A82" s="41" t="n">
        <v>2033</v>
      </c>
      <c r="B82" s="8" t="s">
        <v>19</v>
      </c>
      <c r="C82" s="8" t="s">
        <v>184</v>
      </c>
      <c r="D82" s="42" t="n">
        <f aca="false">(datos_base!$I$5+datos_base!$I$21)*parametros_manuales!B$15</f>
        <v>140.1924812</v>
      </c>
      <c r="E82" s="42" t="n">
        <f aca="false">(datos_base!$I$5+datos_base!$I$21)*parametros_manuales!C$15</f>
        <v>112.15398496</v>
      </c>
      <c r="F82" s="42" t="n">
        <f aca="false">(datos_base!$I$5+datos_base!$I$21)*parametros_manuales!D$15</f>
        <v>119.16360902</v>
      </c>
      <c r="G82" s="42" t="n">
        <f aca="false">(datos_base!$I$5+datos_base!$I$21)*parametros_manuales!E$15</f>
        <v>119.16360902</v>
      </c>
      <c r="H82" s="42" t="n">
        <f aca="false">(datos_base!$I$5+datos_base!$I$21)*parametros_manuales!F$15</f>
        <v>112.15398496</v>
      </c>
      <c r="I82" s="42" t="n">
        <f aca="false">(datos_base!$I$5+datos_base!$I$21)*parametros_manuales!G$15</f>
        <v>105.1443609</v>
      </c>
      <c r="J82" s="42" t="n">
        <f aca="false">(datos_base!$I$5+datos_base!$I$21)*parametros_manuales!H$15</f>
        <v>112.15398496</v>
      </c>
      <c r="K82" s="42" t="n">
        <f aca="false">(datos_base!$I$5+datos_base!$I$21)*parametros_manuales!I$15</f>
        <v>112.15398496</v>
      </c>
      <c r="L82" s="42" t="n">
        <f aca="false">(datos_base!$I$5+datos_base!$I$21)*parametros_manuales!J$15</f>
        <v>112.15398496</v>
      </c>
      <c r="M82" s="42" t="n">
        <f aca="false">(datos_base!$I$5+datos_base!$I$21)*parametros_manuales!K$15</f>
        <v>105.1443609</v>
      </c>
      <c r="N82" s="42" t="n">
        <f aca="false">(datos_base!$I$5+datos_base!$I$21)*parametros_manuales!L$15</f>
        <v>98.13473684</v>
      </c>
      <c r="O82" s="42" t="n">
        <f aca="false">(datos_base!$I$5+datos_base!$I$21)*parametros_manuales!M$15</f>
        <v>154.21172932</v>
      </c>
      <c r="P82" s="9" t="n">
        <f aca="false">SUM(D82:O82)</f>
        <v>1401.924812</v>
      </c>
    </row>
    <row r="83" customFormat="false" ht="14.25" hidden="false" customHeight="true" outlineLevel="0" collapsed="false">
      <c r="A83" s="41" t="n">
        <v>2033</v>
      </c>
      <c r="B83" s="8" t="s">
        <v>22</v>
      </c>
      <c r="C83" s="8" t="s">
        <v>185</v>
      </c>
      <c r="D83" s="42" t="n">
        <f aca="false">(datos_base!$I$9+datos_base!$I$23)*parametros_manuales!B$12</f>
        <v>15720.12</v>
      </c>
      <c r="E83" s="42" t="n">
        <f aca="false">(datos_base!$I$9+datos_base!$I$23)*parametros_manuales!C$12</f>
        <v>11790.09</v>
      </c>
      <c r="F83" s="42" t="n">
        <f aca="false">(datos_base!$I$9+datos_base!$I$23)*parametros_manuales!D$12</f>
        <v>10480.08</v>
      </c>
      <c r="G83" s="42" t="n">
        <f aca="false">(datos_base!$I$9+datos_base!$I$23)*parametros_manuales!E$12</f>
        <v>9825.075</v>
      </c>
      <c r="H83" s="42" t="n">
        <f aca="false">(datos_base!$I$9+datos_base!$I$23)*parametros_manuales!F$12</f>
        <v>9170.07</v>
      </c>
      <c r="I83" s="42" t="n">
        <f aca="false">(datos_base!$I$9+datos_base!$I$23)*parametros_manuales!G$12</f>
        <v>9170.07</v>
      </c>
      <c r="J83" s="42" t="n">
        <f aca="false">(datos_base!$I$9+datos_base!$I$23)*parametros_manuales!H$12</f>
        <v>9825.075</v>
      </c>
      <c r="K83" s="42" t="n">
        <f aca="false">(datos_base!$I$9+datos_base!$I$23)*parametros_manuales!I$12</f>
        <v>9825.075</v>
      </c>
      <c r="L83" s="42" t="n">
        <f aca="false">(datos_base!$I$9+datos_base!$I$23)*parametros_manuales!J$12</f>
        <v>9825.075</v>
      </c>
      <c r="M83" s="42" t="n">
        <f aca="false">(datos_base!$I$9+datos_base!$I$23)*parametros_manuales!K$12</f>
        <v>9825.075</v>
      </c>
      <c r="N83" s="42" t="n">
        <f aca="false">(datos_base!$I$9+datos_base!$I$23)*parametros_manuales!L$12</f>
        <v>9825.075</v>
      </c>
      <c r="O83" s="42" t="n">
        <f aca="false">(datos_base!$I$9+datos_base!$I$23)*parametros_manuales!M$12</f>
        <v>15720.12</v>
      </c>
      <c r="P83" s="9" t="n">
        <f aca="false">SUM(D83:O83)</f>
        <v>131001</v>
      </c>
    </row>
    <row r="84" customFormat="false" ht="14.25" hidden="false" customHeight="true" outlineLevel="0" collapsed="false">
      <c r="A84" s="41" t="n">
        <v>2033</v>
      </c>
      <c r="B84" s="8" t="s">
        <v>23</v>
      </c>
      <c r="C84" s="8" t="s">
        <v>185</v>
      </c>
      <c r="D84" s="42" t="n">
        <f aca="false">(datos_base!$I$10+datos_base!$I$24)*parametros_manuales!B$13</f>
        <v>515.052</v>
      </c>
      <c r="E84" s="42" t="n">
        <f aca="false">(datos_base!$I$10+datos_base!$I$24)*parametros_manuales!C$13</f>
        <v>412.0416</v>
      </c>
      <c r="F84" s="42" t="n">
        <f aca="false">(datos_base!$I$10+datos_base!$I$24)*parametros_manuales!D$13</f>
        <v>437.7942</v>
      </c>
      <c r="G84" s="42" t="n">
        <f aca="false">(datos_base!$I$10+datos_base!$I$24)*parametros_manuales!E$13</f>
        <v>437.7942</v>
      </c>
      <c r="H84" s="42" t="n">
        <f aca="false">(datos_base!$I$10+datos_base!$I$24)*parametros_manuales!F$13</f>
        <v>412.0416</v>
      </c>
      <c r="I84" s="42" t="n">
        <f aca="false">(datos_base!$I$10+datos_base!$I$24)*parametros_manuales!G$13</f>
        <v>386.289</v>
      </c>
      <c r="J84" s="42" t="n">
        <f aca="false">(datos_base!$I$10+datos_base!$I$24)*parametros_manuales!H$13</f>
        <v>412.0416</v>
      </c>
      <c r="K84" s="42" t="n">
        <f aca="false">(datos_base!$I$10+datos_base!$I$24)*parametros_manuales!I$13</f>
        <v>412.0416</v>
      </c>
      <c r="L84" s="42" t="n">
        <f aca="false">(datos_base!$I$10+datos_base!$I$24)*parametros_manuales!J$13</f>
        <v>412.0416</v>
      </c>
      <c r="M84" s="42" t="n">
        <f aca="false">(datos_base!$I$10+datos_base!$I$24)*parametros_manuales!K$13</f>
        <v>386.289</v>
      </c>
      <c r="N84" s="42" t="n">
        <f aca="false">(datos_base!$I$10+datos_base!$I$24)*parametros_manuales!L$13</f>
        <v>360.5364</v>
      </c>
      <c r="O84" s="42" t="n">
        <f aca="false">(datos_base!$I$10+datos_base!$I$24)*parametros_manuales!M$13</f>
        <v>566.5572</v>
      </c>
      <c r="P84" s="9" t="n">
        <f aca="false">SUM(D84:O84)</f>
        <v>5150.52</v>
      </c>
    </row>
    <row r="85" customFormat="false" ht="14.25" hidden="false" customHeight="true" outlineLevel="0" collapsed="false">
      <c r="A85" s="41" t="n">
        <v>2033</v>
      </c>
      <c r="B85" s="8" t="s">
        <v>24</v>
      </c>
      <c r="C85" s="8" t="s">
        <v>185</v>
      </c>
      <c r="D85" s="42" t="n">
        <f aca="false">(datos_base!$I$11+datos_base!$I$25)*parametros_manuales!B$14</f>
        <v>2543.096</v>
      </c>
      <c r="E85" s="42" t="n">
        <f aca="false">(datos_base!$I$11+datos_base!$I$25)*parametros_manuales!C$14</f>
        <v>2034.4768</v>
      </c>
      <c r="F85" s="42" t="n">
        <f aca="false">(datos_base!$I$11+datos_base!$I$25)*parametros_manuales!D$14</f>
        <v>2161.6316</v>
      </c>
      <c r="G85" s="42" t="n">
        <f aca="false">(datos_base!$I$11+datos_base!$I$25)*parametros_manuales!E$14</f>
        <v>2161.6316</v>
      </c>
      <c r="H85" s="42" t="n">
        <f aca="false">(datos_base!$I$11+datos_base!$I$25)*parametros_manuales!F$14</f>
        <v>2034.4768</v>
      </c>
      <c r="I85" s="42" t="n">
        <f aca="false">(datos_base!$I$11+datos_base!$I$25)*parametros_manuales!G$14</f>
        <v>1907.322</v>
      </c>
      <c r="J85" s="42" t="n">
        <f aca="false">(datos_base!$I$11+datos_base!$I$25)*parametros_manuales!H$14</f>
        <v>2034.4768</v>
      </c>
      <c r="K85" s="42" t="n">
        <f aca="false">(datos_base!$I$11+datos_base!$I$25)*parametros_manuales!I$14</f>
        <v>2034.4768</v>
      </c>
      <c r="L85" s="42" t="n">
        <f aca="false">(datos_base!$I$11+datos_base!$I$25)*parametros_manuales!J$14</f>
        <v>2034.4768</v>
      </c>
      <c r="M85" s="42" t="n">
        <f aca="false">(datos_base!$I$11+datos_base!$I$25)*parametros_manuales!K$14</f>
        <v>1907.322</v>
      </c>
      <c r="N85" s="42" t="n">
        <f aca="false">(datos_base!$I$11+datos_base!$I$25)*parametros_manuales!L$14</f>
        <v>1780.1672</v>
      </c>
      <c r="O85" s="42" t="n">
        <f aca="false">(datos_base!$I$11+datos_base!$I$25)*parametros_manuales!M$14</f>
        <v>2797.4056</v>
      </c>
      <c r="P85" s="9" t="n">
        <f aca="false">SUM(D85:O85)</f>
        <v>25430.96</v>
      </c>
    </row>
    <row r="86" customFormat="false" ht="14.25" hidden="false" customHeight="true" outlineLevel="0" collapsed="false">
      <c r="A86" s="41" t="n">
        <v>2033</v>
      </c>
      <c r="B86" s="8" t="s">
        <v>25</v>
      </c>
      <c r="C86" s="8" t="s">
        <v>185</v>
      </c>
      <c r="D86" s="42" t="n">
        <f aca="false">(datos_base!$I$12+datos_base!$I$26)*parametros_manuales!B$15</f>
        <v>155.548</v>
      </c>
      <c r="E86" s="42" t="n">
        <f aca="false">(datos_base!$I$12+datos_base!$I$26)*parametros_manuales!C$15</f>
        <v>124.4384</v>
      </c>
      <c r="F86" s="42" t="n">
        <f aca="false">(datos_base!$I$12+datos_base!$I$26)*parametros_manuales!D$15</f>
        <v>132.2158</v>
      </c>
      <c r="G86" s="42" t="n">
        <f aca="false">(datos_base!$I$12+datos_base!$I$26)*parametros_manuales!E$15</f>
        <v>132.2158</v>
      </c>
      <c r="H86" s="42" t="n">
        <f aca="false">(datos_base!$I$12+datos_base!$I$26)*parametros_manuales!F$15</f>
        <v>124.4384</v>
      </c>
      <c r="I86" s="42" t="n">
        <f aca="false">(datos_base!$I$12+datos_base!$I$26)*parametros_manuales!G$15</f>
        <v>116.661</v>
      </c>
      <c r="J86" s="42" t="n">
        <f aca="false">(datos_base!$I$12+datos_base!$I$26)*parametros_manuales!H$15</f>
        <v>124.4384</v>
      </c>
      <c r="K86" s="42" t="n">
        <f aca="false">(datos_base!$I$12+datos_base!$I$26)*parametros_manuales!I$15</f>
        <v>124.4384</v>
      </c>
      <c r="L86" s="42" t="n">
        <f aca="false">(datos_base!$I$12+datos_base!$I$26)*parametros_manuales!J$15</f>
        <v>124.4384</v>
      </c>
      <c r="M86" s="42" t="n">
        <f aca="false">(datos_base!$I$12+datos_base!$I$26)*parametros_manuales!K$15</f>
        <v>116.661</v>
      </c>
      <c r="N86" s="42" t="n">
        <f aca="false">(datos_base!$I$12+datos_base!$I$26)*parametros_manuales!L$15</f>
        <v>108.8836</v>
      </c>
      <c r="O86" s="42" t="n">
        <f aca="false">(datos_base!$I$12+datos_base!$I$26)*parametros_manuales!M$15</f>
        <v>171.1028</v>
      </c>
      <c r="P86" s="9" t="n">
        <f aca="false">SUM(D86:O86)</f>
        <v>1555.48</v>
      </c>
    </row>
    <row r="87" customFormat="false" ht="14.25" hidden="false" customHeight="true" outlineLevel="0" collapsed="false">
      <c r="B87" s="10" t="s">
        <v>186</v>
      </c>
      <c r="D87" s="11" t="n">
        <f aca="false">SUM(D79:D86)</f>
        <v>24946.7791945</v>
      </c>
      <c r="E87" s="11" t="n">
        <f aca="false">SUM(E79:E86)</f>
        <v>19020.62488472</v>
      </c>
      <c r="F87" s="11" t="n">
        <f aca="false">SUM(F79:F86)</f>
        <v>17769.834588765</v>
      </c>
      <c r="G87" s="11" t="n">
        <f aca="false">SUM(G79:G86)</f>
        <v>16989.169196365</v>
      </c>
      <c r="H87" s="11" t="n">
        <f aca="false">SUM(H79:H86)</f>
        <v>15897.96331512</v>
      </c>
      <c r="I87" s="11" t="n">
        <f aca="false">SUM(I79:I86)</f>
        <v>15587.422826275</v>
      </c>
      <c r="J87" s="11" t="n">
        <f aca="false">SUM(J79:J86)</f>
        <v>16678.62870752</v>
      </c>
      <c r="K87" s="11" t="n">
        <f aca="false">SUM(K79:K86)</f>
        <v>16678.62870752</v>
      </c>
      <c r="L87" s="11" t="n">
        <f aca="false">SUM(L79:L86)</f>
        <v>16678.62870752</v>
      </c>
      <c r="M87" s="11" t="n">
        <f aca="false">SUM(M79:M86)</f>
        <v>16368.088218675</v>
      </c>
      <c r="N87" s="11" t="n">
        <f aca="false">SUM(N79:N86)</f>
        <v>16057.54772983</v>
      </c>
      <c r="O87" s="11" t="n">
        <f aca="false">SUM(O79:O86)</f>
        <v>25567.86017219</v>
      </c>
      <c r="P87" s="11" t="n">
        <f aca="false">SUM(P79:P86)</f>
        <v>218241.176249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181</v>
      </c>
      <c r="C89" s="7" t="s">
        <v>182</v>
      </c>
      <c r="D89" s="7" t="s">
        <v>61</v>
      </c>
      <c r="E89" s="7" t="s">
        <v>62</v>
      </c>
      <c r="F89" s="7" t="s">
        <v>63</v>
      </c>
      <c r="G89" s="7" t="s">
        <v>64</v>
      </c>
      <c r="H89" s="7" t="s">
        <v>65</v>
      </c>
      <c r="I89" s="7" t="s">
        <v>66</v>
      </c>
      <c r="J89" s="7" t="s">
        <v>67</v>
      </c>
      <c r="K89" s="7" t="s">
        <v>68</v>
      </c>
      <c r="L89" s="7" t="s">
        <v>69</v>
      </c>
      <c r="M89" s="7" t="s">
        <v>70</v>
      </c>
      <c r="N89" s="7" t="s">
        <v>71</v>
      </c>
      <c r="O89" s="7" t="s">
        <v>72</v>
      </c>
      <c r="P89" s="7" t="s">
        <v>183</v>
      </c>
    </row>
    <row r="90" customFormat="false" ht="14.25" hidden="false" customHeight="true" outlineLevel="0" collapsed="false">
      <c r="A90" s="41" t="n">
        <v>2034</v>
      </c>
      <c r="B90" s="8" t="s">
        <v>16</v>
      </c>
      <c r="C90" s="8" t="s">
        <v>184</v>
      </c>
      <c r="D90" s="42" t="n">
        <f aca="false">(datos_base!$J$2+datos_base!$J$18)*parametros_manuales!B$12</f>
        <v>3428.8003368</v>
      </c>
      <c r="E90" s="42" t="n">
        <f aca="false">(datos_base!$J$2+datos_base!$J$18)*parametros_manuales!C$12</f>
        <v>2571.6002526</v>
      </c>
      <c r="F90" s="42" t="n">
        <f aca="false">(datos_base!$J$2+datos_base!$J$18)*parametros_manuales!D$12</f>
        <v>2285.8668912</v>
      </c>
      <c r="G90" s="42" t="n">
        <f aca="false">(datos_base!$J$2+datos_base!$J$18)*parametros_manuales!E$12</f>
        <v>2143.0002105</v>
      </c>
      <c r="H90" s="42" t="n">
        <f aca="false">(datos_base!$J$2+datos_base!$J$18)*parametros_manuales!F$12</f>
        <v>2000.1335298</v>
      </c>
      <c r="I90" s="42" t="n">
        <f aca="false">(datos_base!$J$2+datos_base!$J$18)*parametros_manuales!G$12</f>
        <v>2000.1335298</v>
      </c>
      <c r="J90" s="42" t="n">
        <f aca="false">(datos_base!$J$2+datos_base!$J$18)*parametros_manuales!H$12</f>
        <v>2143.0002105</v>
      </c>
      <c r="K90" s="42" t="n">
        <f aca="false">(datos_base!$J$2+datos_base!$J$18)*parametros_manuales!I$12</f>
        <v>2143.0002105</v>
      </c>
      <c r="L90" s="42" t="n">
        <f aca="false">(datos_base!$J$2+datos_base!$J$18)*parametros_manuales!J$12</f>
        <v>2143.0002105</v>
      </c>
      <c r="M90" s="42" t="n">
        <f aca="false">(datos_base!$J$2+datos_base!$J$18)*parametros_manuales!K$12</f>
        <v>2143.0002105</v>
      </c>
      <c r="N90" s="42" t="n">
        <f aca="false">(datos_base!$J$2+datos_base!$J$18)*parametros_manuales!L$12</f>
        <v>2143.0002105</v>
      </c>
      <c r="O90" s="42" t="n">
        <f aca="false">(datos_base!$J$2+datos_base!$J$18)*parametros_manuales!M$12</f>
        <v>3428.8003368</v>
      </c>
      <c r="P90" s="9" t="n">
        <f aca="false">SUM(D90:O90)</f>
        <v>28573.33614</v>
      </c>
    </row>
    <row r="91" customFormat="false" ht="14.25" hidden="false" customHeight="true" outlineLevel="0" collapsed="false">
      <c r="A91" s="41" t="n">
        <v>2034</v>
      </c>
      <c r="B91" s="8" t="s">
        <v>17</v>
      </c>
      <c r="C91" s="8" t="s">
        <v>184</v>
      </c>
      <c r="D91" s="42" t="n">
        <f aca="false">(datos_base!$J$3+datos_base!$J$19)*parametros_manuales!B$13</f>
        <v>620.9306243</v>
      </c>
      <c r="E91" s="42" t="n">
        <f aca="false">(datos_base!$J$3+datos_base!$J$19)*parametros_manuales!C$13</f>
        <v>496.74449944</v>
      </c>
      <c r="F91" s="42" t="n">
        <f aca="false">(datos_base!$J$3+datos_base!$J$19)*parametros_manuales!D$13</f>
        <v>527.791030655</v>
      </c>
      <c r="G91" s="42" t="n">
        <f aca="false">(datos_base!$J$3+datos_base!$J$19)*parametros_manuales!E$13</f>
        <v>527.791030655</v>
      </c>
      <c r="H91" s="42" t="n">
        <f aca="false">(datos_base!$J$3+datos_base!$J$19)*parametros_manuales!F$13</f>
        <v>496.74449944</v>
      </c>
      <c r="I91" s="42" t="n">
        <f aca="false">(datos_base!$J$3+datos_base!$J$19)*parametros_manuales!G$13</f>
        <v>465.697968225</v>
      </c>
      <c r="J91" s="42" t="n">
        <f aca="false">(datos_base!$J$3+datos_base!$J$19)*parametros_manuales!H$13</f>
        <v>496.74449944</v>
      </c>
      <c r="K91" s="42" t="n">
        <f aca="false">(datos_base!$J$3+datos_base!$J$19)*parametros_manuales!I$13</f>
        <v>496.74449944</v>
      </c>
      <c r="L91" s="42" t="n">
        <f aca="false">(datos_base!$J$3+datos_base!$J$19)*parametros_manuales!J$13</f>
        <v>496.74449944</v>
      </c>
      <c r="M91" s="42" t="n">
        <f aca="false">(datos_base!$J$3+datos_base!$J$19)*parametros_manuales!K$13</f>
        <v>465.697968225</v>
      </c>
      <c r="N91" s="42" t="n">
        <f aca="false">(datos_base!$J$3+datos_base!$J$19)*parametros_manuales!L$13</f>
        <v>434.65143701</v>
      </c>
      <c r="O91" s="42" t="n">
        <f aca="false">(datos_base!$J$3+datos_base!$J$19)*parametros_manuales!M$13</f>
        <v>683.02368673</v>
      </c>
      <c r="P91" s="9" t="n">
        <f aca="false">SUM(D91:O91)</f>
        <v>6209.306243</v>
      </c>
    </row>
    <row r="92" customFormat="false" ht="14.25" hidden="false" customHeight="true" outlineLevel="0" collapsed="false">
      <c r="A92" s="41" t="n">
        <v>2034</v>
      </c>
      <c r="B92" s="8" t="s">
        <v>18</v>
      </c>
      <c r="C92" s="8" t="s">
        <v>184</v>
      </c>
      <c r="D92" s="42" t="n">
        <f aca="false">(datos_base!$J$4+datos_base!$J$20)*parametros_manuales!B$14</f>
        <v>2704.280455</v>
      </c>
      <c r="E92" s="42" t="n">
        <f aca="false">(datos_base!$J$4+datos_base!$J$20)*parametros_manuales!C$14</f>
        <v>2163.424364</v>
      </c>
      <c r="F92" s="42" t="n">
        <f aca="false">(datos_base!$J$4+datos_base!$J$20)*parametros_manuales!D$14</f>
        <v>2298.63838675</v>
      </c>
      <c r="G92" s="42" t="n">
        <f aca="false">(datos_base!$J$4+datos_base!$J$20)*parametros_manuales!E$14</f>
        <v>2298.63838675</v>
      </c>
      <c r="H92" s="42" t="n">
        <f aca="false">(datos_base!$J$4+datos_base!$J$20)*parametros_manuales!F$14</f>
        <v>2163.424364</v>
      </c>
      <c r="I92" s="42" t="n">
        <f aca="false">(datos_base!$J$4+datos_base!$J$20)*parametros_manuales!G$14</f>
        <v>2028.21034125</v>
      </c>
      <c r="J92" s="42" t="n">
        <f aca="false">(datos_base!$J$4+datos_base!$J$20)*parametros_manuales!H$14</f>
        <v>2163.424364</v>
      </c>
      <c r="K92" s="42" t="n">
        <f aca="false">(datos_base!$J$4+datos_base!$J$20)*parametros_manuales!I$14</f>
        <v>2163.424364</v>
      </c>
      <c r="L92" s="42" t="n">
        <f aca="false">(datos_base!$J$4+datos_base!$J$20)*parametros_manuales!J$14</f>
        <v>2163.424364</v>
      </c>
      <c r="M92" s="42" t="n">
        <f aca="false">(datos_base!$J$4+datos_base!$J$20)*parametros_manuales!K$14</f>
        <v>2028.21034125</v>
      </c>
      <c r="N92" s="42" t="n">
        <f aca="false">(datos_base!$J$4+datos_base!$J$20)*parametros_manuales!L$14</f>
        <v>1892.9963185</v>
      </c>
      <c r="O92" s="42" t="n">
        <f aca="false">(datos_base!$J$4+datos_base!$J$20)*parametros_manuales!M$14</f>
        <v>2974.7085005</v>
      </c>
      <c r="P92" s="9" t="n">
        <f aca="false">SUM(D92:O92)</f>
        <v>27042.80455</v>
      </c>
    </row>
    <row r="93" customFormat="false" ht="14.25" hidden="false" customHeight="true" outlineLevel="0" collapsed="false">
      <c r="A93" s="41" t="n">
        <v>2034</v>
      </c>
      <c r="B93" s="8" t="s">
        <v>19</v>
      </c>
      <c r="C93" s="8" t="s">
        <v>184</v>
      </c>
      <c r="D93" s="42" t="n">
        <f aca="false">(datos_base!$J$5+datos_base!$J$21)*parametros_manuales!B$15</f>
        <v>161.7150054</v>
      </c>
      <c r="E93" s="42" t="n">
        <f aca="false">(datos_base!$J$5+datos_base!$J$21)*parametros_manuales!C$15</f>
        <v>129.37200432</v>
      </c>
      <c r="F93" s="42" t="n">
        <f aca="false">(datos_base!$J$5+datos_base!$J$21)*parametros_manuales!D$15</f>
        <v>137.45775459</v>
      </c>
      <c r="G93" s="42" t="n">
        <f aca="false">(datos_base!$J$5+datos_base!$J$21)*parametros_manuales!E$15</f>
        <v>137.45775459</v>
      </c>
      <c r="H93" s="42" t="n">
        <f aca="false">(datos_base!$J$5+datos_base!$J$21)*parametros_manuales!F$15</f>
        <v>129.37200432</v>
      </c>
      <c r="I93" s="42" t="n">
        <f aca="false">(datos_base!$J$5+datos_base!$J$21)*parametros_manuales!G$15</f>
        <v>121.28625405</v>
      </c>
      <c r="J93" s="42" t="n">
        <f aca="false">(datos_base!$J$5+datos_base!$J$21)*parametros_manuales!H$15</f>
        <v>129.37200432</v>
      </c>
      <c r="K93" s="42" t="n">
        <f aca="false">(datos_base!$J$5+datos_base!$J$21)*parametros_manuales!I$15</f>
        <v>129.37200432</v>
      </c>
      <c r="L93" s="42" t="n">
        <f aca="false">(datos_base!$J$5+datos_base!$J$21)*parametros_manuales!J$15</f>
        <v>129.37200432</v>
      </c>
      <c r="M93" s="42" t="n">
        <f aca="false">(datos_base!$J$5+datos_base!$J$21)*parametros_manuales!K$15</f>
        <v>121.28625405</v>
      </c>
      <c r="N93" s="42" t="n">
        <f aca="false">(datos_base!$J$5+datos_base!$J$21)*parametros_manuales!L$15</f>
        <v>113.20050378</v>
      </c>
      <c r="O93" s="42" t="n">
        <f aca="false">(datos_base!$J$5+datos_base!$J$21)*parametros_manuales!M$15</f>
        <v>177.88650594</v>
      </c>
      <c r="P93" s="9" t="n">
        <f aca="false">SUM(D93:O93)</f>
        <v>1617.150054</v>
      </c>
    </row>
    <row r="94" customFormat="false" ht="14.25" hidden="false" customHeight="true" outlineLevel="0" collapsed="false">
      <c r="A94" s="41" t="n">
        <v>2034</v>
      </c>
      <c r="B94" s="8" t="s">
        <v>22</v>
      </c>
      <c r="C94" s="8" t="s">
        <v>185</v>
      </c>
      <c r="D94" s="42" t="n">
        <f aca="false">(datos_base!$J$9+datos_base!$J$23)*parametros_manuales!B$12</f>
        <v>17618.376</v>
      </c>
      <c r="E94" s="42" t="n">
        <f aca="false">(datos_base!$J$9+datos_base!$J$23)*parametros_manuales!C$12</f>
        <v>13213.782</v>
      </c>
      <c r="F94" s="42" t="n">
        <f aca="false">(datos_base!$J$9+datos_base!$J$23)*parametros_manuales!D$12</f>
        <v>11745.584</v>
      </c>
      <c r="G94" s="42" t="n">
        <f aca="false">(datos_base!$J$9+datos_base!$J$23)*parametros_manuales!E$12</f>
        <v>11011.485</v>
      </c>
      <c r="H94" s="42" t="n">
        <f aca="false">(datos_base!$J$9+datos_base!$J$23)*parametros_manuales!F$12</f>
        <v>10277.386</v>
      </c>
      <c r="I94" s="42" t="n">
        <f aca="false">(datos_base!$J$9+datos_base!$J$23)*parametros_manuales!G$12</f>
        <v>10277.386</v>
      </c>
      <c r="J94" s="42" t="n">
        <f aca="false">(datos_base!$J$9+datos_base!$J$23)*parametros_manuales!H$12</f>
        <v>11011.485</v>
      </c>
      <c r="K94" s="42" t="n">
        <f aca="false">(datos_base!$J$9+datos_base!$J$23)*parametros_manuales!I$12</f>
        <v>11011.485</v>
      </c>
      <c r="L94" s="42" t="n">
        <f aca="false">(datos_base!$J$9+datos_base!$J$23)*parametros_manuales!J$12</f>
        <v>11011.485</v>
      </c>
      <c r="M94" s="42" t="n">
        <f aca="false">(datos_base!$J$9+datos_base!$J$23)*parametros_manuales!K$12</f>
        <v>11011.485</v>
      </c>
      <c r="N94" s="42" t="n">
        <f aca="false">(datos_base!$J$9+datos_base!$J$23)*parametros_manuales!L$12</f>
        <v>11011.485</v>
      </c>
      <c r="O94" s="42" t="n">
        <f aca="false">(datos_base!$J$9+datos_base!$J$23)*parametros_manuales!M$12</f>
        <v>17618.376</v>
      </c>
      <c r="P94" s="9" t="n">
        <f aca="false">SUM(D94:O94)</f>
        <v>146819.8</v>
      </c>
    </row>
    <row r="95" customFormat="false" ht="14.25" hidden="false" customHeight="true" outlineLevel="0" collapsed="false">
      <c r="A95" s="41" t="n">
        <v>2034</v>
      </c>
      <c r="B95" s="8" t="s">
        <v>23</v>
      </c>
      <c r="C95" s="8" t="s">
        <v>185</v>
      </c>
      <c r="D95" s="42" t="n">
        <f aca="false">(datos_base!$J$10+datos_base!$J$24)*parametros_manuales!B$13</f>
        <v>576.72</v>
      </c>
      <c r="E95" s="42" t="n">
        <f aca="false">(datos_base!$J$10+datos_base!$J$24)*parametros_manuales!C$13</f>
        <v>461.376</v>
      </c>
      <c r="F95" s="42" t="n">
        <f aca="false">(datos_base!$J$10+datos_base!$J$24)*parametros_manuales!D$13</f>
        <v>490.212</v>
      </c>
      <c r="G95" s="42" t="n">
        <f aca="false">(datos_base!$J$10+datos_base!$J$24)*parametros_manuales!E$13</f>
        <v>490.212</v>
      </c>
      <c r="H95" s="42" t="n">
        <f aca="false">(datos_base!$J$10+datos_base!$J$24)*parametros_manuales!F$13</f>
        <v>461.376</v>
      </c>
      <c r="I95" s="42" t="n">
        <f aca="false">(datos_base!$J$10+datos_base!$J$24)*parametros_manuales!G$13</f>
        <v>432.54</v>
      </c>
      <c r="J95" s="42" t="n">
        <f aca="false">(datos_base!$J$10+datos_base!$J$24)*parametros_manuales!H$13</f>
        <v>461.376</v>
      </c>
      <c r="K95" s="42" t="n">
        <f aca="false">(datos_base!$J$10+datos_base!$J$24)*parametros_manuales!I$13</f>
        <v>461.376</v>
      </c>
      <c r="L95" s="42" t="n">
        <f aca="false">(datos_base!$J$10+datos_base!$J$24)*parametros_manuales!J$13</f>
        <v>461.376</v>
      </c>
      <c r="M95" s="42" t="n">
        <f aca="false">(datos_base!$J$10+datos_base!$J$24)*parametros_manuales!K$13</f>
        <v>432.54</v>
      </c>
      <c r="N95" s="42" t="n">
        <f aca="false">(datos_base!$J$10+datos_base!$J$24)*parametros_manuales!L$13</f>
        <v>403.704</v>
      </c>
      <c r="O95" s="42" t="n">
        <f aca="false">(datos_base!$J$10+datos_base!$J$24)*parametros_manuales!M$13</f>
        <v>634.392</v>
      </c>
      <c r="P95" s="9" t="n">
        <f aca="false">SUM(D95:O95)</f>
        <v>5767.2</v>
      </c>
    </row>
    <row r="96" customFormat="false" ht="14.25" hidden="false" customHeight="true" outlineLevel="0" collapsed="false">
      <c r="A96" s="41" t="n">
        <v>2034</v>
      </c>
      <c r="B96" s="8" t="s">
        <v>24</v>
      </c>
      <c r="C96" s="8" t="s">
        <v>185</v>
      </c>
      <c r="D96" s="42" t="n">
        <f aca="false">(datos_base!$J$11+datos_base!$J$25)*parametros_manuales!B$14</f>
        <v>2847.456</v>
      </c>
      <c r="E96" s="42" t="n">
        <f aca="false">(datos_base!$J$11+datos_base!$J$25)*parametros_manuales!C$14</f>
        <v>2277.9648</v>
      </c>
      <c r="F96" s="42" t="n">
        <f aca="false">(datos_base!$J$11+datos_base!$J$25)*parametros_manuales!D$14</f>
        <v>2420.3376</v>
      </c>
      <c r="G96" s="42" t="n">
        <f aca="false">(datos_base!$J$11+datos_base!$J$25)*parametros_manuales!E$14</f>
        <v>2420.3376</v>
      </c>
      <c r="H96" s="42" t="n">
        <f aca="false">(datos_base!$J$11+datos_base!$J$25)*parametros_manuales!F$14</f>
        <v>2277.9648</v>
      </c>
      <c r="I96" s="42" t="n">
        <f aca="false">(datos_base!$J$11+datos_base!$J$25)*parametros_manuales!G$14</f>
        <v>2135.592</v>
      </c>
      <c r="J96" s="42" t="n">
        <f aca="false">(datos_base!$J$11+datos_base!$J$25)*parametros_manuales!H$14</f>
        <v>2277.9648</v>
      </c>
      <c r="K96" s="42" t="n">
        <f aca="false">(datos_base!$J$11+datos_base!$J$25)*parametros_manuales!I$14</f>
        <v>2277.9648</v>
      </c>
      <c r="L96" s="42" t="n">
        <f aca="false">(datos_base!$J$11+datos_base!$J$25)*parametros_manuales!J$14</f>
        <v>2277.9648</v>
      </c>
      <c r="M96" s="42" t="n">
        <f aca="false">(datos_base!$J$11+datos_base!$J$25)*parametros_manuales!K$14</f>
        <v>2135.592</v>
      </c>
      <c r="N96" s="42" t="n">
        <f aca="false">(datos_base!$J$11+datos_base!$J$25)*parametros_manuales!L$14</f>
        <v>1993.2192</v>
      </c>
      <c r="O96" s="42" t="n">
        <f aca="false">(datos_base!$J$11+datos_base!$J$25)*parametros_manuales!M$14</f>
        <v>3132.2016</v>
      </c>
      <c r="P96" s="9" t="n">
        <f aca="false">SUM(D96:O96)</f>
        <v>28474.56</v>
      </c>
    </row>
    <row r="97" customFormat="false" ht="14.25" hidden="false" customHeight="true" outlineLevel="0" collapsed="false">
      <c r="A97" s="41" t="n">
        <v>2034</v>
      </c>
      <c r="B97" s="8" t="s">
        <v>25</v>
      </c>
      <c r="C97" s="8" t="s">
        <v>185</v>
      </c>
      <c r="D97" s="42" t="n">
        <f aca="false">(datos_base!$J$12+datos_base!$J$26)*parametros_manuales!B$15</f>
        <v>174.136</v>
      </c>
      <c r="E97" s="42" t="n">
        <f aca="false">(datos_base!$J$12+datos_base!$J$26)*parametros_manuales!C$15</f>
        <v>139.3088</v>
      </c>
      <c r="F97" s="42" t="n">
        <f aca="false">(datos_base!$J$12+datos_base!$J$26)*parametros_manuales!D$15</f>
        <v>148.0156</v>
      </c>
      <c r="G97" s="42" t="n">
        <f aca="false">(datos_base!$J$12+datos_base!$J$26)*parametros_manuales!E$15</f>
        <v>148.0156</v>
      </c>
      <c r="H97" s="42" t="n">
        <f aca="false">(datos_base!$J$12+datos_base!$J$26)*parametros_manuales!F$15</f>
        <v>139.3088</v>
      </c>
      <c r="I97" s="42" t="n">
        <f aca="false">(datos_base!$J$12+datos_base!$J$26)*parametros_manuales!G$15</f>
        <v>130.602</v>
      </c>
      <c r="J97" s="42" t="n">
        <f aca="false">(datos_base!$J$12+datos_base!$J$26)*parametros_manuales!H$15</f>
        <v>139.3088</v>
      </c>
      <c r="K97" s="42" t="n">
        <f aca="false">(datos_base!$J$12+datos_base!$J$26)*parametros_manuales!I$15</f>
        <v>139.3088</v>
      </c>
      <c r="L97" s="42" t="n">
        <f aca="false">(datos_base!$J$12+datos_base!$J$26)*parametros_manuales!J$15</f>
        <v>139.3088</v>
      </c>
      <c r="M97" s="42" t="n">
        <f aca="false">(datos_base!$J$12+datos_base!$J$26)*parametros_manuales!K$15</f>
        <v>130.602</v>
      </c>
      <c r="N97" s="42" t="n">
        <f aca="false">(datos_base!$J$12+datos_base!$J$26)*parametros_manuales!L$15</f>
        <v>121.8952</v>
      </c>
      <c r="O97" s="42" t="n">
        <f aca="false">(datos_base!$J$12+datos_base!$J$26)*parametros_manuales!M$15</f>
        <v>191.5496</v>
      </c>
      <c r="P97" s="9" t="n">
        <f aca="false">SUM(D97:O97)</f>
        <v>1741.36</v>
      </c>
    </row>
    <row r="98" customFormat="false" ht="14.25" hidden="false" customHeight="true" outlineLevel="0" collapsed="false">
      <c r="B98" s="10" t="s">
        <v>186</v>
      </c>
      <c r="D98" s="11" t="n">
        <f aca="false">SUM(D90:D97)</f>
        <v>28132.4144215</v>
      </c>
      <c r="E98" s="11" t="n">
        <f aca="false">SUM(E90:E97)</f>
        <v>21453.57272036</v>
      </c>
      <c r="F98" s="11" t="n">
        <f aca="false">SUM(F90:F97)</f>
        <v>20053.903263195</v>
      </c>
      <c r="G98" s="11" t="n">
        <f aca="false">SUM(G90:G97)</f>
        <v>19176.937582495</v>
      </c>
      <c r="H98" s="11" t="n">
        <f aca="false">SUM(H90:H97)</f>
        <v>17945.70999756</v>
      </c>
      <c r="I98" s="11" t="n">
        <f aca="false">SUM(I90:I97)</f>
        <v>17591.448093325</v>
      </c>
      <c r="J98" s="11" t="n">
        <f aca="false">SUM(J90:J97)</f>
        <v>18822.67567826</v>
      </c>
      <c r="K98" s="11" t="n">
        <f aca="false">SUM(K90:K97)</f>
        <v>18822.67567826</v>
      </c>
      <c r="L98" s="11" t="n">
        <f aca="false">SUM(L90:L97)</f>
        <v>18822.67567826</v>
      </c>
      <c r="M98" s="11" t="n">
        <f aca="false">SUM(M90:M97)</f>
        <v>18468.413774025</v>
      </c>
      <c r="N98" s="11" t="n">
        <f aca="false">SUM(N90:N97)</f>
        <v>18114.15186979</v>
      </c>
      <c r="O98" s="11" t="n">
        <f aca="false">SUM(O90:O97)</f>
        <v>28840.93822997</v>
      </c>
      <c r="P98" s="11" t="n">
        <f aca="false">SUM(P90:P97)</f>
        <v>246245.516987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181</v>
      </c>
      <c r="C100" s="7" t="s">
        <v>182</v>
      </c>
      <c r="D100" s="7" t="s">
        <v>61</v>
      </c>
      <c r="E100" s="7" t="s">
        <v>62</v>
      </c>
      <c r="F100" s="7" t="s">
        <v>63</v>
      </c>
      <c r="G100" s="7" t="s">
        <v>64</v>
      </c>
      <c r="H100" s="7" t="s">
        <v>65</v>
      </c>
      <c r="I100" s="7" t="s">
        <v>66</v>
      </c>
      <c r="J100" s="7" t="s">
        <v>67</v>
      </c>
      <c r="K100" s="7" t="s">
        <v>68</v>
      </c>
      <c r="L100" s="7" t="s">
        <v>69</v>
      </c>
      <c r="M100" s="7" t="s">
        <v>70</v>
      </c>
      <c r="N100" s="7" t="s">
        <v>71</v>
      </c>
      <c r="O100" s="7" t="s">
        <v>72</v>
      </c>
      <c r="P100" s="7" t="s">
        <v>183</v>
      </c>
    </row>
    <row r="101" customFormat="false" ht="14.25" hidden="false" customHeight="true" outlineLevel="0" collapsed="false">
      <c r="A101" s="41" t="n">
        <v>2035</v>
      </c>
      <c r="B101" s="8" t="s">
        <v>16</v>
      </c>
      <c r="C101" s="8" t="s">
        <v>184</v>
      </c>
      <c r="D101" s="42" t="n">
        <f aca="false">(datos_base!$K$2+datos_base!$K$18)*parametros_manuales!B$12</f>
        <v>3848.7166956</v>
      </c>
      <c r="E101" s="42" t="n">
        <f aca="false">(datos_base!$K$2+datos_base!$K$18)*parametros_manuales!C$12</f>
        <v>2886.5375217</v>
      </c>
      <c r="F101" s="42" t="n">
        <f aca="false">(datos_base!$K$2+datos_base!$K$18)*parametros_manuales!D$12</f>
        <v>2565.8111304</v>
      </c>
      <c r="G101" s="42" t="n">
        <f aca="false">(datos_base!$K$2+datos_base!$K$18)*parametros_manuales!E$12</f>
        <v>2405.44793475</v>
      </c>
      <c r="H101" s="42" t="n">
        <f aca="false">(datos_base!$K$2+datos_base!$K$18)*parametros_manuales!F$12</f>
        <v>2245.0847391</v>
      </c>
      <c r="I101" s="42" t="n">
        <f aca="false">(datos_base!$K$2+datos_base!$K$18)*parametros_manuales!G$12</f>
        <v>2245.0847391</v>
      </c>
      <c r="J101" s="42" t="n">
        <f aca="false">(datos_base!$K$2+datos_base!$K$18)*parametros_manuales!H$12</f>
        <v>2405.44793475</v>
      </c>
      <c r="K101" s="42" t="n">
        <f aca="false">(datos_base!$K$2+datos_base!$K$18)*parametros_manuales!I$12</f>
        <v>2405.44793475</v>
      </c>
      <c r="L101" s="42" t="n">
        <f aca="false">(datos_base!$K$2+datos_base!$K$18)*parametros_manuales!J$12</f>
        <v>2405.44793475</v>
      </c>
      <c r="M101" s="42" t="n">
        <f aca="false">(datos_base!$K$2+datos_base!$K$18)*parametros_manuales!K$12</f>
        <v>2405.44793475</v>
      </c>
      <c r="N101" s="42" t="n">
        <f aca="false">(datos_base!$K$2+datos_base!$K$18)*parametros_manuales!L$12</f>
        <v>2405.44793475</v>
      </c>
      <c r="O101" s="42" t="n">
        <f aca="false">(datos_base!$K$2+datos_base!$K$18)*parametros_manuales!M$12</f>
        <v>3848.7166956</v>
      </c>
      <c r="P101" s="9" t="n">
        <f aca="false">SUM(D101:O101)</f>
        <v>32072.63913</v>
      </c>
    </row>
    <row r="102" customFormat="false" ht="14.25" hidden="false" customHeight="true" outlineLevel="0" collapsed="false">
      <c r="A102" s="41" t="n">
        <v>2035</v>
      </c>
      <c r="B102" s="8" t="s">
        <v>17</v>
      </c>
      <c r="C102" s="8" t="s">
        <v>184</v>
      </c>
      <c r="D102" s="42" t="n">
        <f aca="false">(datos_base!$K$3+datos_base!$K$19)*parametros_manuales!B$13</f>
        <v>743.9538444</v>
      </c>
      <c r="E102" s="42" t="n">
        <f aca="false">(datos_base!$K$3+datos_base!$K$19)*parametros_manuales!C$13</f>
        <v>595.16307552</v>
      </c>
      <c r="F102" s="42" t="n">
        <f aca="false">(datos_base!$K$3+datos_base!$K$19)*parametros_manuales!D$13</f>
        <v>632.36076774</v>
      </c>
      <c r="G102" s="42" t="n">
        <f aca="false">(datos_base!$K$3+datos_base!$K$19)*parametros_manuales!E$13</f>
        <v>632.36076774</v>
      </c>
      <c r="H102" s="42" t="n">
        <f aca="false">(datos_base!$K$3+datos_base!$K$19)*parametros_manuales!F$13</f>
        <v>595.16307552</v>
      </c>
      <c r="I102" s="42" t="n">
        <f aca="false">(datos_base!$K$3+datos_base!$K$19)*parametros_manuales!G$13</f>
        <v>557.9653833</v>
      </c>
      <c r="J102" s="42" t="n">
        <f aca="false">(datos_base!$K$3+datos_base!$K$19)*parametros_manuales!H$13</f>
        <v>595.16307552</v>
      </c>
      <c r="K102" s="42" t="n">
        <f aca="false">(datos_base!$K$3+datos_base!$K$19)*parametros_manuales!I$13</f>
        <v>595.16307552</v>
      </c>
      <c r="L102" s="42" t="n">
        <f aca="false">(datos_base!$K$3+datos_base!$K$19)*parametros_manuales!J$13</f>
        <v>595.16307552</v>
      </c>
      <c r="M102" s="42" t="n">
        <f aca="false">(datos_base!$K$3+datos_base!$K$19)*parametros_manuales!K$13</f>
        <v>557.9653833</v>
      </c>
      <c r="N102" s="42" t="n">
        <f aca="false">(datos_base!$K$3+datos_base!$K$19)*parametros_manuales!L$13</f>
        <v>520.76769108</v>
      </c>
      <c r="O102" s="42" t="n">
        <f aca="false">(datos_base!$K$3+datos_base!$K$19)*parametros_manuales!M$13</f>
        <v>818.34922884</v>
      </c>
      <c r="P102" s="9" t="n">
        <f aca="false">SUM(D102:O102)</f>
        <v>7439.538444</v>
      </c>
    </row>
    <row r="103" customFormat="false" ht="14.25" hidden="false" customHeight="true" outlineLevel="0" collapsed="false">
      <c r="A103" s="41" t="n">
        <v>2035</v>
      </c>
      <c r="B103" s="8" t="s">
        <v>18</v>
      </c>
      <c r="C103" s="8" t="s">
        <v>184</v>
      </c>
      <c r="D103" s="42" t="n">
        <f aca="false">(datos_base!$K$4+datos_base!$K$20)*parametros_manuales!B$14</f>
        <v>3082.981872</v>
      </c>
      <c r="E103" s="42" t="n">
        <f aca="false">(datos_base!$K$4+datos_base!$K$20)*parametros_manuales!C$14</f>
        <v>2466.3854976</v>
      </c>
      <c r="F103" s="42" t="n">
        <f aca="false">(datos_base!$K$4+datos_base!$K$20)*parametros_manuales!D$14</f>
        <v>2620.5345912</v>
      </c>
      <c r="G103" s="42" t="n">
        <f aca="false">(datos_base!$K$4+datos_base!$K$20)*parametros_manuales!E$14</f>
        <v>2620.5345912</v>
      </c>
      <c r="H103" s="42" t="n">
        <f aca="false">(datos_base!$K$4+datos_base!$K$20)*parametros_manuales!F$14</f>
        <v>2466.3854976</v>
      </c>
      <c r="I103" s="42" t="n">
        <f aca="false">(datos_base!$K$4+datos_base!$K$20)*parametros_manuales!G$14</f>
        <v>2312.236404</v>
      </c>
      <c r="J103" s="42" t="n">
        <f aca="false">(datos_base!$K$4+datos_base!$K$20)*parametros_manuales!H$14</f>
        <v>2466.3854976</v>
      </c>
      <c r="K103" s="42" t="n">
        <f aca="false">(datos_base!$K$4+datos_base!$K$20)*parametros_manuales!I$14</f>
        <v>2466.3854976</v>
      </c>
      <c r="L103" s="42" t="n">
        <f aca="false">(datos_base!$K$4+datos_base!$K$20)*parametros_manuales!J$14</f>
        <v>2466.3854976</v>
      </c>
      <c r="M103" s="42" t="n">
        <f aca="false">(datos_base!$K$4+datos_base!$K$20)*parametros_manuales!K$14</f>
        <v>2312.236404</v>
      </c>
      <c r="N103" s="42" t="n">
        <f aca="false">(datos_base!$K$4+datos_base!$K$20)*parametros_manuales!L$14</f>
        <v>2158.0873104</v>
      </c>
      <c r="O103" s="42" t="n">
        <f aca="false">(datos_base!$K$4+datos_base!$K$20)*parametros_manuales!M$14</f>
        <v>3391.2800592</v>
      </c>
      <c r="P103" s="9" t="n">
        <f aca="false">SUM(D103:O103)</f>
        <v>30829.81872</v>
      </c>
    </row>
    <row r="104" customFormat="false" ht="14.25" hidden="false" customHeight="true" outlineLevel="0" collapsed="false">
      <c r="A104" s="41" t="n">
        <v>2035</v>
      </c>
      <c r="B104" s="8" t="s">
        <v>19</v>
      </c>
      <c r="C104" s="8" t="s">
        <v>184</v>
      </c>
      <c r="D104" s="42" t="n">
        <f aca="false">(datos_base!$K$5+datos_base!$K$21)*parametros_manuales!B$15</f>
        <v>184.6808079</v>
      </c>
      <c r="E104" s="42" t="n">
        <f aca="false">(datos_base!$K$5+datos_base!$K$21)*parametros_manuales!C$15</f>
        <v>147.74464632</v>
      </c>
      <c r="F104" s="42" t="n">
        <f aca="false">(datos_base!$K$5+datos_base!$K$21)*parametros_manuales!D$15</f>
        <v>156.978686715</v>
      </c>
      <c r="G104" s="42" t="n">
        <f aca="false">(datos_base!$K$5+datos_base!$K$21)*parametros_manuales!E$15</f>
        <v>156.978686715</v>
      </c>
      <c r="H104" s="42" t="n">
        <f aca="false">(datos_base!$K$5+datos_base!$K$21)*parametros_manuales!F$15</f>
        <v>147.74464632</v>
      </c>
      <c r="I104" s="42" t="n">
        <f aca="false">(datos_base!$K$5+datos_base!$K$21)*parametros_manuales!G$15</f>
        <v>138.510605925</v>
      </c>
      <c r="J104" s="42" t="n">
        <f aca="false">(datos_base!$K$5+datos_base!$K$21)*parametros_manuales!H$15</f>
        <v>147.74464632</v>
      </c>
      <c r="K104" s="42" t="n">
        <f aca="false">(datos_base!$K$5+datos_base!$K$21)*parametros_manuales!I$15</f>
        <v>147.74464632</v>
      </c>
      <c r="L104" s="42" t="n">
        <f aca="false">(datos_base!$K$5+datos_base!$K$21)*parametros_manuales!J$15</f>
        <v>147.74464632</v>
      </c>
      <c r="M104" s="42" t="n">
        <f aca="false">(datos_base!$K$5+datos_base!$K$21)*parametros_manuales!K$15</f>
        <v>138.510605925</v>
      </c>
      <c r="N104" s="42" t="n">
        <f aca="false">(datos_base!$K$5+datos_base!$K$21)*parametros_manuales!L$15</f>
        <v>129.27656553</v>
      </c>
      <c r="O104" s="42" t="n">
        <f aca="false">(datos_base!$K$5+datos_base!$K$21)*parametros_manuales!M$15</f>
        <v>203.14888869</v>
      </c>
      <c r="P104" s="9" t="n">
        <f aca="false">SUM(D104:O104)</f>
        <v>1846.808079</v>
      </c>
    </row>
    <row r="105" customFormat="false" ht="14.25" hidden="false" customHeight="true" outlineLevel="0" collapsed="false">
      <c r="A105" s="41" t="n">
        <v>2035</v>
      </c>
      <c r="B105" s="8" t="s">
        <v>22</v>
      </c>
      <c r="C105" s="8" t="s">
        <v>185</v>
      </c>
      <c r="D105" s="42" t="n">
        <f aca="false">(datos_base!$K$9+datos_base!$K$23)*parametros_manuales!B$12</f>
        <v>20465.76</v>
      </c>
      <c r="E105" s="42" t="n">
        <f aca="false">(datos_base!$K$9+datos_base!$K$23)*parametros_manuales!C$12</f>
        <v>15349.32</v>
      </c>
      <c r="F105" s="42" t="n">
        <f aca="false">(datos_base!$K$9+datos_base!$K$23)*parametros_manuales!D$12</f>
        <v>13643.84</v>
      </c>
      <c r="G105" s="42" t="n">
        <f aca="false">(datos_base!$K$9+datos_base!$K$23)*parametros_manuales!E$12</f>
        <v>12791.1</v>
      </c>
      <c r="H105" s="42" t="n">
        <f aca="false">(datos_base!$K$9+datos_base!$K$23)*parametros_manuales!F$12</f>
        <v>11938.36</v>
      </c>
      <c r="I105" s="42" t="n">
        <f aca="false">(datos_base!$K$9+datos_base!$K$23)*parametros_manuales!G$12</f>
        <v>11938.36</v>
      </c>
      <c r="J105" s="42" t="n">
        <f aca="false">(datos_base!$K$9+datos_base!$K$23)*parametros_manuales!H$12</f>
        <v>12791.1</v>
      </c>
      <c r="K105" s="42" t="n">
        <f aca="false">(datos_base!$K$9+datos_base!$K$23)*parametros_manuales!I$12</f>
        <v>12791.1</v>
      </c>
      <c r="L105" s="42" t="n">
        <f aca="false">(datos_base!$K$9+datos_base!$K$23)*parametros_manuales!J$12</f>
        <v>12791.1</v>
      </c>
      <c r="M105" s="42" t="n">
        <f aca="false">(datos_base!$K$9+datos_base!$K$23)*parametros_manuales!K$12</f>
        <v>12791.1</v>
      </c>
      <c r="N105" s="42" t="n">
        <f aca="false">(datos_base!$K$9+datos_base!$K$23)*parametros_manuales!L$12</f>
        <v>12791.1</v>
      </c>
      <c r="O105" s="42" t="n">
        <f aca="false">(datos_base!$K$9+datos_base!$K$23)*parametros_manuales!M$12</f>
        <v>20465.76</v>
      </c>
      <c r="P105" s="9" t="n">
        <f aca="false">SUM(D105:O105)</f>
        <v>170548</v>
      </c>
    </row>
    <row r="106" customFormat="false" ht="14.25" hidden="false" customHeight="true" outlineLevel="0" collapsed="false">
      <c r="A106" s="41" t="n">
        <v>2035</v>
      </c>
      <c r="B106" s="8" t="s">
        <v>23</v>
      </c>
      <c r="C106" s="8" t="s">
        <v>185</v>
      </c>
      <c r="D106" s="42" t="n">
        <f aca="false">(datos_base!$K$10+datos_base!$K$24)*parametros_manuales!B$13</f>
        <v>669.584</v>
      </c>
      <c r="E106" s="42" t="n">
        <f aca="false">(datos_base!$K$10+datos_base!$K$24)*parametros_manuales!C$13</f>
        <v>535.6672</v>
      </c>
      <c r="F106" s="42" t="n">
        <f aca="false">(datos_base!$K$10+datos_base!$K$24)*parametros_manuales!D$13</f>
        <v>569.1464</v>
      </c>
      <c r="G106" s="42" t="n">
        <f aca="false">(datos_base!$K$10+datos_base!$K$24)*parametros_manuales!E$13</f>
        <v>569.1464</v>
      </c>
      <c r="H106" s="42" t="n">
        <f aca="false">(datos_base!$K$10+datos_base!$K$24)*parametros_manuales!F$13</f>
        <v>535.6672</v>
      </c>
      <c r="I106" s="42" t="n">
        <f aca="false">(datos_base!$K$10+datos_base!$K$24)*parametros_manuales!G$13</f>
        <v>502.188</v>
      </c>
      <c r="J106" s="42" t="n">
        <f aca="false">(datos_base!$K$10+datos_base!$K$24)*parametros_manuales!H$13</f>
        <v>535.6672</v>
      </c>
      <c r="K106" s="42" t="n">
        <f aca="false">(datos_base!$K$10+datos_base!$K$24)*parametros_manuales!I$13</f>
        <v>535.6672</v>
      </c>
      <c r="L106" s="42" t="n">
        <f aca="false">(datos_base!$K$10+datos_base!$K$24)*parametros_manuales!J$13</f>
        <v>535.6672</v>
      </c>
      <c r="M106" s="42" t="n">
        <f aca="false">(datos_base!$K$10+datos_base!$K$24)*parametros_manuales!K$13</f>
        <v>502.188</v>
      </c>
      <c r="N106" s="42" t="n">
        <f aca="false">(datos_base!$K$10+datos_base!$K$24)*parametros_manuales!L$13</f>
        <v>468.7088</v>
      </c>
      <c r="O106" s="42" t="n">
        <f aca="false">(datos_base!$K$10+datos_base!$K$24)*parametros_manuales!M$13</f>
        <v>736.5424</v>
      </c>
      <c r="P106" s="9" t="n">
        <f aca="false">SUM(D106:O106)</f>
        <v>6695.84</v>
      </c>
    </row>
    <row r="107" customFormat="false" ht="14.25" hidden="false" customHeight="true" outlineLevel="0" collapsed="false">
      <c r="A107" s="41" t="n">
        <v>2035</v>
      </c>
      <c r="B107" s="8" t="s">
        <v>24</v>
      </c>
      <c r="C107" s="8" t="s">
        <v>185</v>
      </c>
      <c r="D107" s="42" t="n">
        <f aca="false">(datos_base!$K$11+datos_base!$K$25)*parametros_manuales!B$14</f>
        <v>3305.928</v>
      </c>
      <c r="E107" s="42" t="n">
        <f aca="false">(datos_base!$K$11+datos_base!$K$25)*parametros_manuales!C$14</f>
        <v>2644.7424</v>
      </c>
      <c r="F107" s="42" t="n">
        <f aca="false">(datos_base!$K$11+datos_base!$K$25)*parametros_manuales!D$14</f>
        <v>2810.0388</v>
      </c>
      <c r="G107" s="42" t="n">
        <f aca="false">(datos_base!$K$11+datos_base!$K$25)*parametros_manuales!E$14</f>
        <v>2810.0388</v>
      </c>
      <c r="H107" s="42" t="n">
        <f aca="false">(datos_base!$K$11+datos_base!$K$25)*parametros_manuales!F$14</f>
        <v>2644.7424</v>
      </c>
      <c r="I107" s="42" t="n">
        <f aca="false">(datos_base!$K$11+datos_base!$K$25)*parametros_manuales!G$14</f>
        <v>2479.446</v>
      </c>
      <c r="J107" s="42" t="n">
        <f aca="false">(datos_base!$K$11+datos_base!$K$25)*parametros_manuales!H$14</f>
        <v>2644.7424</v>
      </c>
      <c r="K107" s="42" t="n">
        <f aca="false">(datos_base!$K$11+datos_base!$K$25)*parametros_manuales!I$14</f>
        <v>2644.7424</v>
      </c>
      <c r="L107" s="42" t="n">
        <f aca="false">(datos_base!$K$11+datos_base!$K$25)*parametros_manuales!J$14</f>
        <v>2644.7424</v>
      </c>
      <c r="M107" s="42" t="n">
        <f aca="false">(datos_base!$K$11+datos_base!$K$25)*parametros_manuales!K$14</f>
        <v>2479.446</v>
      </c>
      <c r="N107" s="42" t="n">
        <f aca="false">(datos_base!$K$11+datos_base!$K$25)*parametros_manuales!L$14</f>
        <v>2314.1496</v>
      </c>
      <c r="O107" s="42" t="n">
        <f aca="false">(datos_base!$K$11+datos_base!$K$25)*parametros_manuales!M$14</f>
        <v>3636.5208</v>
      </c>
      <c r="P107" s="9" t="n">
        <f aca="false">SUM(D107:O107)</f>
        <v>33059.28</v>
      </c>
    </row>
    <row r="108" customFormat="false" ht="14.25" hidden="false" customHeight="true" outlineLevel="0" collapsed="false">
      <c r="A108" s="41" t="n">
        <v>2035</v>
      </c>
      <c r="B108" s="8" t="s">
        <v>25</v>
      </c>
      <c r="C108" s="8" t="s">
        <v>185</v>
      </c>
      <c r="D108" s="42" t="n">
        <f aca="false">(datos_base!$K$12+datos_base!$K$26)*parametros_manuales!B$15</f>
        <v>202.136</v>
      </c>
      <c r="E108" s="42" t="n">
        <f aca="false">(datos_base!$K$12+datos_base!$K$26)*parametros_manuales!C$15</f>
        <v>161.7088</v>
      </c>
      <c r="F108" s="42" t="n">
        <f aca="false">(datos_base!$K$12+datos_base!$K$26)*parametros_manuales!D$15</f>
        <v>171.8156</v>
      </c>
      <c r="G108" s="42" t="n">
        <f aca="false">(datos_base!$K$12+datos_base!$K$26)*parametros_manuales!E$15</f>
        <v>171.8156</v>
      </c>
      <c r="H108" s="42" t="n">
        <f aca="false">(datos_base!$K$12+datos_base!$K$26)*parametros_manuales!F$15</f>
        <v>161.7088</v>
      </c>
      <c r="I108" s="42" t="n">
        <f aca="false">(datos_base!$K$12+datos_base!$K$26)*parametros_manuales!G$15</f>
        <v>151.602</v>
      </c>
      <c r="J108" s="42" t="n">
        <f aca="false">(datos_base!$K$12+datos_base!$K$26)*parametros_manuales!H$15</f>
        <v>161.7088</v>
      </c>
      <c r="K108" s="42" t="n">
        <f aca="false">(datos_base!$K$12+datos_base!$K$26)*parametros_manuales!I$15</f>
        <v>161.7088</v>
      </c>
      <c r="L108" s="42" t="n">
        <f aca="false">(datos_base!$K$12+datos_base!$K$26)*parametros_manuales!J$15</f>
        <v>161.7088</v>
      </c>
      <c r="M108" s="42" t="n">
        <f aca="false">(datos_base!$K$12+datos_base!$K$26)*parametros_manuales!K$15</f>
        <v>151.602</v>
      </c>
      <c r="N108" s="42" t="n">
        <f aca="false">(datos_base!$K$12+datos_base!$K$26)*parametros_manuales!L$15</f>
        <v>141.4952</v>
      </c>
      <c r="O108" s="42" t="n">
        <f aca="false">(datos_base!$K$12+datos_base!$K$26)*parametros_manuales!M$15</f>
        <v>222.3496</v>
      </c>
      <c r="P108" s="9" t="n">
        <f aca="false">SUM(D108:O108)</f>
        <v>2021.36</v>
      </c>
    </row>
    <row r="109" customFormat="false" ht="14.25" hidden="false" customHeight="true" outlineLevel="0" collapsed="false">
      <c r="B109" s="10" t="s">
        <v>186</v>
      </c>
      <c r="D109" s="11" t="n">
        <f aca="false">SUM(D101:D108)</f>
        <v>32503.7412199</v>
      </c>
      <c r="E109" s="11" t="n">
        <f aca="false">SUM(E101:E108)</f>
        <v>24787.26914114</v>
      </c>
      <c r="F109" s="11" t="n">
        <f aca="false">SUM(F101:F108)</f>
        <v>23170.525976055</v>
      </c>
      <c r="G109" s="11" t="n">
        <f aca="false">SUM(G101:G108)</f>
        <v>22157.422780405</v>
      </c>
      <c r="H109" s="11" t="n">
        <f aca="false">SUM(H101:H108)</f>
        <v>20734.85635854</v>
      </c>
      <c r="I109" s="11" t="n">
        <f aca="false">SUM(I101:I108)</f>
        <v>20325.393132325</v>
      </c>
      <c r="J109" s="11" t="n">
        <f aca="false">SUM(J101:J108)</f>
        <v>21747.95955419</v>
      </c>
      <c r="K109" s="11" t="n">
        <f aca="false">SUM(K101:K108)</f>
        <v>21747.95955419</v>
      </c>
      <c r="L109" s="11" t="n">
        <f aca="false">SUM(L101:L108)</f>
        <v>21747.95955419</v>
      </c>
      <c r="M109" s="11" t="n">
        <f aca="false">SUM(M101:M108)</f>
        <v>21338.496327975</v>
      </c>
      <c r="N109" s="11" t="n">
        <f aca="false">SUM(N101:N108)</f>
        <v>20929.03310176</v>
      </c>
      <c r="O109" s="11" t="n">
        <f aca="false">SUM(O101:O108)</f>
        <v>33322.66767233</v>
      </c>
      <c r="P109" s="11" t="n">
        <f aca="false">SUM(P101:P108)</f>
        <v>284513.284373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7" t="s">
        <v>187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7" t="s">
        <v>68</v>
      </c>
      <c r="J1" s="7" t="s">
        <v>69</v>
      </c>
      <c r="K1" s="7" t="s">
        <v>70</v>
      </c>
      <c r="L1" s="7" t="s">
        <v>71</v>
      </c>
      <c r="M1" s="7" t="s">
        <v>72</v>
      </c>
      <c r="N1" s="7" t="s">
        <v>183</v>
      </c>
      <c r="O1" s="7" t="s">
        <v>188</v>
      </c>
      <c r="P1" s="7" t="s">
        <v>189</v>
      </c>
      <c r="Q1" s="7" t="s">
        <v>190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770.112041533</v>
      </c>
      <c r="C2" s="9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591.0172139684</v>
      </c>
      <c r="D2" s="9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562.66303135705</v>
      </c>
      <c r="E2" s="9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541.76934864205</v>
      </c>
      <c r="F2" s="9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507.4424831084</v>
      </c>
      <c r="G2" s="9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494.00930028975</v>
      </c>
      <c r="H2" s="9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528.3361658234</v>
      </c>
      <c r="I2" s="9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528.3361658234</v>
      </c>
      <c r="J2" s="9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528.3361658234</v>
      </c>
      <c r="K2" s="9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514.90298300475</v>
      </c>
      <c r="L2" s="9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501.4698001861</v>
      </c>
      <c r="M2" s="9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796.9784071703</v>
      </c>
      <c r="N2" s="9" t="n">
        <f aca="false">SUM(B2:M2)</f>
        <v>6865.37310673</v>
      </c>
      <c r="O2" s="9" t="n">
        <f aca="false">MAX(B2:M2)</f>
        <v>796.9784071703</v>
      </c>
      <c r="P2" s="43" t="n">
        <f aca="false">O2/(parametros_manuales!$B$7)</f>
        <v>5.31318938113533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</f>
        <v>268.663656373</v>
      </c>
      <c r="C3" s="9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</f>
        <v>214.9309250984</v>
      </c>
      <c r="D3" s="9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</f>
        <v>228.36410791705</v>
      </c>
      <c r="E3" s="9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</f>
        <v>228.36410791705</v>
      </c>
      <c r="F3" s="9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</f>
        <v>214.9309250984</v>
      </c>
      <c r="G3" s="9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</f>
        <v>201.49774227975</v>
      </c>
      <c r="H3" s="9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</f>
        <v>214.9309250984</v>
      </c>
      <c r="I3" s="9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</f>
        <v>214.9309250984</v>
      </c>
      <c r="J3" s="9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</f>
        <v>214.9309250984</v>
      </c>
      <c r="K3" s="9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</f>
        <v>201.49774227975</v>
      </c>
      <c r="L3" s="9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</f>
        <v>188.0645594611</v>
      </c>
      <c r="M3" s="9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</f>
        <v>295.5300220103</v>
      </c>
      <c r="N3" s="9" t="n">
        <f aca="false">SUM(B3:M3)</f>
        <v>2686.63656373</v>
      </c>
      <c r="O3" s="9" t="n">
        <f aca="false">MAX(B3:M3)</f>
        <v>295.5300220103</v>
      </c>
      <c r="P3" s="43" t="n">
        <f aca="false">O3/(parametros_manuales!$B$7)</f>
        <v>1.97020014673533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</f>
        <v>501.44838516</v>
      </c>
      <c r="C4" s="9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</f>
        <v>376.08628887</v>
      </c>
      <c r="D4" s="9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</f>
        <v>334.29892344</v>
      </c>
      <c r="E4" s="9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</f>
        <v>313.405240725</v>
      </c>
      <c r="F4" s="9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</f>
        <v>292.51155801</v>
      </c>
      <c r="G4" s="9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</f>
        <v>292.51155801</v>
      </c>
      <c r="H4" s="9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</f>
        <v>313.405240725</v>
      </c>
      <c r="I4" s="9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</f>
        <v>313.405240725</v>
      </c>
      <c r="J4" s="9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</f>
        <v>313.405240725</v>
      </c>
      <c r="K4" s="9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</f>
        <v>313.405240725</v>
      </c>
      <c r="L4" s="9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</f>
        <v>313.405240725</v>
      </c>
      <c r="M4" s="9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</f>
        <v>501.44838516</v>
      </c>
      <c r="N4" s="9" t="n">
        <f aca="false">SUM(B4:M4)</f>
        <v>4178.736543</v>
      </c>
      <c r="O4" s="9" t="n">
        <f aca="false">MAX(B4:M4)</f>
        <v>501.44838516</v>
      </c>
      <c r="P4" s="43" t="n">
        <f aca="false">O4/(parametros_manuales!$B$7)</f>
        <v>3.3429892344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1540.224083066</v>
      </c>
      <c r="C5" s="9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1182.0344279368</v>
      </c>
      <c r="D5" s="9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1125.3260627141</v>
      </c>
      <c r="E5" s="9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1083.5386972841</v>
      </c>
      <c r="F5" s="9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1014.8849662168</v>
      </c>
      <c r="G5" s="9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988.0186005795</v>
      </c>
      <c r="H5" s="9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1056.6723316468</v>
      </c>
      <c r="I5" s="9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1056.6723316468</v>
      </c>
      <c r="J5" s="9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1056.6723316468</v>
      </c>
      <c r="K5" s="9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1029.8059660095</v>
      </c>
      <c r="L5" s="9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1002.9396003722</v>
      </c>
      <c r="M5" s="9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1593.9568143406</v>
      </c>
      <c r="N5" s="9" t="n">
        <f aca="false">SUM(B5:M5)</f>
        <v>13730.74621346</v>
      </c>
      <c r="O5" s="9" t="n">
        <f aca="false">MAX(B5:M5)</f>
        <v>1593.9568143406</v>
      </c>
      <c r="P5" s="43" t="n">
        <f aca="false">O5/(parametros_manuales!$B$7)</f>
        <v>10.6263787622707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770.112041533</v>
      </c>
      <c r="C6" s="9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591.0172139684</v>
      </c>
      <c r="D6" s="9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562.66303135705</v>
      </c>
      <c r="E6" s="9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541.76934864205</v>
      </c>
      <c r="F6" s="9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507.4424831084</v>
      </c>
      <c r="G6" s="9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494.00930028975</v>
      </c>
      <c r="H6" s="9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528.3361658234</v>
      </c>
      <c r="I6" s="9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528.3361658234</v>
      </c>
      <c r="J6" s="9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528.3361658234</v>
      </c>
      <c r="K6" s="9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514.90298300475</v>
      </c>
      <c r="L6" s="9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501.4698001861</v>
      </c>
      <c r="M6" s="9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796.9784071703</v>
      </c>
      <c r="N6" s="9" t="n">
        <f aca="false">SUM(B6:M6)</f>
        <v>6865.37310673</v>
      </c>
      <c r="O6" s="9" t="n">
        <f aca="false">MAX(B6:M6)</f>
        <v>796.9784071703</v>
      </c>
      <c r="P6" s="43" t="n">
        <f aca="false">O6/(parametros_manuales!$B$7)</f>
        <v>5.31318938113533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770.112041533</v>
      </c>
      <c r="C7" s="9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591.0172139684</v>
      </c>
      <c r="D7" s="9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562.66303135705</v>
      </c>
      <c r="E7" s="9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541.76934864205</v>
      </c>
      <c r="F7" s="9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507.4424831084</v>
      </c>
      <c r="G7" s="9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494.00930028975</v>
      </c>
      <c r="H7" s="9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528.3361658234</v>
      </c>
      <c r="I7" s="9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528.3361658234</v>
      </c>
      <c r="J7" s="9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528.3361658234</v>
      </c>
      <c r="K7" s="9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514.90298300475</v>
      </c>
      <c r="L7" s="9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501.4698001861</v>
      </c>
      <c r="M7" s="9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796.9784071703</v>
      </c>
      <c r="N7" s="9" t="n">
        <f aca="false">SUM(B7:M7)</f>
        <v>6865.37310673</v>
      </c>
      <c r="O7" s="9" t="n">
        <f aca="false">MAX(B7:M7)</f>
        <v>796.9784071703</v>
      </c>
      <c r="P7" s="43" t="n">
        <f aca="false">O7/(parametros_manuales!$B$7)</f>
        <v>5.31318938113533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770.112041533</v>
      </c>
      <c r="C8" s="9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591.0172139684</v>
      </c>
      <c r="D8" s="9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562.66303135705</v>
      </c>
      <c r="E8" s="9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541.76934864205</v>
      </c>
      <c r="F8" s="9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507.4424831084</v>
      </c>
      <c r="G8" s="9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494.00930028975</v>
      </c>
      <c r="H8" s="9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528.3361658234</v>
      </c>
      <c r="I8" s="9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528.3361658234</v>
      </c>
      <c r="J8" s="9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528.3361658234</v>
      </c>
      <c r="K8" s="9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514.90298300475</v>
      </c>
      <c r="L8" s="9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501.4698001861</v>
      </c>
      <c r="M8" s="9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796.9784071703</v>
      </c>
      <c r="N8" s="9" t="n">
        <f aca="false">SUM(B8:M8)</f>
        <v>6865.37310673</v>
      </c>
      <c r="O8" s="9" t="n">
        <f aca="false">MAX(B8:M8)</f>
        <v>796.9784071703</v>
      </c>
      <c r="P8" s="43" t="n">
        <f aca="false">O8/(parametros_manuales!$B$7)</f>
        <v>5.31318938113533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268.663656373</v>
      </c>
      <c r="C9" s="9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214.9309250984</v>
      </c>
      <c r="D9" s="9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228.36410791705</v>
      </c>
      <c r="E9" s="9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228.36410791705</v>
      </c>
      <c r="F9" s="9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214.9309250984</v>
      </c>
      <c r="G9" s="9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201.49774227975</v>
      </c>
      <c r="H9" s="9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214.9309250984</v>
      </c>
      <c r="I9" s="9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214.9309250984</v>
      </c>
      <c r="J9" s="9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214.9309250984</v>
      </c>
      <c r="K9" s="9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201.49774227975</v>
      </c>
      <c r="L9" s="9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188.0645594611</v>
      </c>
      <c r="M9" s="9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295.5300220103</v>
      </c>
      <c r="N9" s="9" t="n">
        <f aca="false">SUM(B9:M9)</f>
        <v>2686.63656373</v>
      </c>
      <c r="O9" s="9" t="n">
        <f aca="false">MAX(B9:M9)</f>
        <v>295.5300220103</v>
      </c>
      <c r="P9" s="43" t="n">
        <f aca="false">O9/(parametros_manuales!$B$7)</f>
        <v>1.97020014673533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268.663656373</v>
      </c>
      <c r="C10" s="9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214.9309250984</v>
      </c>
      <c r="D10" s="9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228.36410791705</v>
      </c>
      <c r="E10" s="9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228.36410791705</v>
      </c>
      <c r="F10" s="9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214.9309250984</v>
      </c>
      <c r="G10" s="9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201.49774227975</v>
      </c>
      <c r="H10" s="9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214.9309250984</v>
      </c>
      <c r="I10" s="9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214.9309250984</v>
      </c>
      <c r="J10" s="9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214.9309250984</v>
      </c>
      <c r="K10" s="9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201.49774227975</v>
      </c>
      <c r="L10" s="9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188.0645594611</v>
      </c>
      <c r="M10" s="9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295.5300220103</v>
      </c>
      <c r="N10" s="9" t="n">
        <f aca="false">SUM(B10:M10)</f>
        <v>2686.63656373</v>
      </c>
      <c r="O10" s="9" t="n">
        <f aca="false">MAX(B10:M10)</f>
        <v>295.5300220103</v>
      </c>
      <c r="P10" s="43" t="n">
        <f aca="false">O10/(parametros_manuales!$B$7)</f>
        <v>1.97020014673533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770.112041533</v>
      </c>
      <c r="C11" s="9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591.0172139684</v>
      </c>
      <c r="D11" s="9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562.66303135705</v>
      </c>
      <c r="E11" s="9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541.76934864205</v>
      </c>
      <c r="F11" s="9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507.4424831084</v>
      </c>
      <c r="G11" s="9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494.00930028975</v>
      </c>
      <c r="H11" s="9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528.3361658234</v>
      </c>
      <c r="I11" s="9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528.3361658234</v>
      </c>
      <c r="J11" s="9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528.3361658234</v>
      </c>
      <c r="K11" s="9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514.90298300475</v>
      </c>
      <c r="L11" s="9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501.4698001861</v>
      </c>
      <c r="M11" s="9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796.9784071703</v>
      </c>
      <c r="N11" s="9" t="n">
        <f aca="false">SUM(B11:M11)</f>
        <v>6865.37310673</v>
      </c>
      <c r="O11" s="9" t="n">
        <f aca="false">MAX(B11:M11)</f>
        <v>796.9784071703</v>
      </c>
      <c r="P11" s="43" t="n">
        <f aca="false">O11/(parametros_manuales!$B$7)</f>
        <v>5.31318938113533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770.112041533</v>
      </c>
      <c r="C12" s="9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591.0172139684</v>
      </c>
      <c r="D12" s="9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562.66303135705</v>
      </c>
      <c r="E12" s="9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541.76934864205</v>
      </c>
      <c r="F12" s="9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507.4424831084</v>
      </c>
      <c r="G12" s="9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494.00930028975</v>
      </c>
      <c r="H12" s="9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528.3361658234</v>
      </c>
      <c r="I12" s="9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528.3361658234</v>
      </c>
      <c r="J12" s="9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528.3361658234</v>
      </c>
      <c r="K12" s="9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514.90298300475</v>
      </c>
      <c r="L12" s="9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501.4698001861</v>
      </c>
      <c r="M12" s="9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796.9784071703</v>
      </c>
      <c r="N12" s="9" t="n">
        <f aca="false">SUM(B12:M12)</f>
        <v>6865.37310673</v>
      </c>
      <c r="O12" s="9" t="n">
        <f aca="false">MAX(B12:M12)</f>
        <v>796.9784071703</v>
      </c>
      <c r="P12" s="43" t="n">
        <f aca="false">O12/(parametros_manuales!$B$7)</f>
        <v>5.31318938113533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770.112041533</v>
      </c>
      <c r="C13" s="9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591.0172139684</v>
      </c>
      <c r="D13" s="9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562.66303135705</v>
      </c>
      <c r="E13" s="9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541.76934864205</v>
      </c>
      <c r="F13" s="9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507.4424831084</v>
      </c>
      <c r="G13" s="9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494.00930028975</v>
      </c>
      <c r="H13" s="9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528.3361658234</v>
      </c>
      <c r="I13" s="9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528.3361658234</v>
      </c>
      <c r="J13" s="9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528.3361658234</v>
      </c>
      <c r="K13" s="9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514.90298300475</v>
      </c>
      <c r="L13" s="9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501.4698001861</v>
      </c>
      <c r="M13" s="9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796.9784071703</v>
      </c>
      <c r="N13" s="9" t="n">
        <f aca="false">SUM(B13:M13)</f>
        <v>6865.37310673</v>
      </c>
      <c r="O13" s="9" t="n">
        <f aca="false">MAX(B13:M13)</f>
        <v>796.9784071703</v>
      </c>
      <c r="P13" s="43" t="n">
        <f aca="false">O13/(parametros_manuales!$B$7)</f>
        <v>5.31318938113533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15.40224083066</v>
      </c>
      <c r="C14" s="9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11.820344279368</v>
      </c>
      <c r="D14" s="9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11.253260627141</v>
      </c>
      <c r="E14" s="9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10.835386972841</v>
      </c>
      <c r="F14" s="9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10.148849662168</v>
      </c>
      <c r="G14" s="9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9.880186005795</v>
      </c>
      <c r="H14" s="9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10.566723316468</v>
      </c>
      <c r="I14" s="9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10.566723316468</v>
      </c>
      <c r="J14" s="9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10.566723316468</v>
      </c>
      <c r="K14" s="9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10.298059660095</v>
      </c>
      <c r="L14" s="9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10.029396003722</v>
      </c>
      <c r="M14" s="9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15.939568143406</v>
      </c>
      <c r="N14" s="9" t="n">
        <f aca="false">SUM(B14:M14)</f>
        <v>137.3074621346</v>
      </c>
      <c r="O14" s="9" t="n">
        <f aca="false">MAX(B14:M14)</f>
        <v>15.939568143406</v>
      </c>
      <c r="P14" s="43" t="n">
        <f aca="false">O14/(parametros_manuales!$B$7)</f>
        <v>0.106263787622707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770.112041533</v>
      </c>
      <c r="C15" s="9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591.0172139684</v>
      </c>
      <c r="D15" s="9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562.66303135705</v>
      </c>
      <c r="E15" s="9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541.76934864205</v>
      </c>
      <c r="F15" s="9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507.4424831084</v>
      </c>
      <c r="G15" s="9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494.00930028975</v>
      </c>
      <c r="H15" s="9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528.3361658234</v>
      </c>
      <c r="I15" s="9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528.3361658234</v>
      </c>
      <c r="J15" s="9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528.3361658234</v>
      </c>
      <c r="K15" s="9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514.90298300475</v>
      </c>
      <c r="L15" s="9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501.4698001861</v>
      </c>
      <c r="M15" s="9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796.9784071703</v>
      </c>
      <c r="N15" s="9" t="n">
        <f aca="false">SUM(B15:M15)</f>
        <v>6865.37310673</v>
      </c>
      <c r="O15" s="9" t="n">
        <f aca="false">MAX(B15:M15)</f>
        <v>796.9784071703</v>
      </c>
      <c r="P15" s="43" t="n">
        <f aca="false">O15/(parametros_manuales!$B$7)</f>
        <v>5.31318938113533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770.112041533</v>
      </c>
      <c r="C16" s="9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591.0172139684</v>
      </c>
      <c r="D16" s="9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562.66303135705</v>
      </c>
      <c r="E16" s="9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541.76934864205</v>
      </c>
      <c r="F16" s="9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507.4424831084</v>
      </c>
      <c r="G16" s="9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494.00930028975</v>
      </c>
      <c r="H16" s="9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528.3361658234</v>
      </c>
      <c r="I16" s="9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528.3361658234</v>
      </c>
      <c r="J16" s="9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528.3361658234</v>
      </c>
      <c r="K16" s="9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514.90298300475</v>
      </c>
      <c r="L16" s="9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501.4698001861</v>
      </c>
      <c r="M16" s="9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796.9784071703</v>
      </c>
      <c r="N16" s="9" t="n">
        <f aca="false">SUM(B16:M16)</f>
        <v>6865.37310673</v>
      </c>
      <c r="O16" s="9" t="n">
        <f aca="false">MAX(B16:M16)</f>
        <v>796.9784071703</v>
      </c>
      <c r="P16" s="43" t="n">
        <f aca="false">O16/(parametros_manuales!$B$7)</f>
        <v>5.31318938113533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770.112041533</v>
      </c>
      <c r="C17" s="9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591.0172139684</v>
      </c>
      <c r="D17" s="9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562.66303135705</v>
      </c>
      <c r="E17" s="9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541.76934864205</v>
      </c>
      <c r="F17" s="9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507.4424831084</v>
      </c>
      <c r="G17" s="9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494.00930028975</v>
      </c>
      <c r="H17" s="9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528.3361658234</v>
      </c>
      <c r="I17" s="9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528.3361658234</v>
      </c>
      <c r="J17" s="9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528.3361658234</v>
      </c>
      <c r="K17" s="9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514.90298300475</v>
      </c>
      <c r="L17" s="9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501.4698001861</v>
      </c>
      <c r="M17" s="9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796.9784071703</v>
      </c>
      <c r="N17" s="9" t="n">
        <f aca="false">SUM(B17:M17)</f>
        <v>6865.37310673</v>
      </c>
      <c r="O17" s="9" t="n">
        <f aca="false">MAX(B17:M17)</f>
        <v>796.9784071703</v>
      </c>
      <c r="P17" s="43" t="n">
        <f aca="false">O17/(parametros_manuales!$B$7)</f>
        <v>5.31318938113533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770.112041533</v>
      </c>
      <c r="C18" s="9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591.0172139684</v>
      </c>
      <c r="D18" s="9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562.66303135705</v>
      </c>
      <c r="E18" s="9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541.76934864205</v>
      </c>
      <c r="F18" s="9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507.4424831084</v>
      </c>
      <c r="G18" s="9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494.00930028975</v>
      </c>
      <c r="H18" s="9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528.3361658234</v>
      </c>
      <c r="I18" s="9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528.3361658234</v>
      </c>
      <c r="J18" s="9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528.3361658234</v>
      </c>
      <c r="K18" s="9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514.90298300475</v>
      </c>
      <c r="L18" s="9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501.4698001861</v>
      </c>
      <c r="M18" s="9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796.9784071703</v>
      </c>
      <c r="N18" s="9" t="n">
        <f aca="false">SUM(B18:M18)</f>
        <v>6865.37310673</v>
      </c>
      <c r="O18" s="9" t="n">
        <f aca="false">MAX(B18:M18)</f>
        <v>796.9784071703</v>
      </c>
      <c r="P18" s="43" t="n">
        <f aca="false">O18/(parametros_manuales!$B$7)</f>
        <v>5.31318938113533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38.50560207665</v>
      </c>
      <c r="C19" s="9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29.55086069842</v>
      </c>
      <c r="D19" s="9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28.1331515678525</v>
      </c>
      <c r="E19" s="9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27.0884674321025</v>
      </c>
      <c r="F19" s="9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25.37212415542</v>
      </c>
      <c r="G19" s="9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24.7004650144875</v>
      </c>
      <c r="H19" s="9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26.41680829117</v>
      </c>
      <c r="I19" s="9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26.41680829117</v>
      </c>
      <c r="J19" s="9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26.41680829117</v>
      </c>
      <c r="K19" s="9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25.7451491502375</v>
      </c>
      <c r="L19" s="9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25.073490009305</v>
      </c>
      <c r="M19" s="9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39.848920358515</v>
      </c>
      <c r="N19" s="9" t="n">
        <f aca="false">SUM(B19:M19)</f>
        <v>343.2686553365</v>
      </c>
      <c r="O19" s="9" t="n">
        <f aca="false">MAX(B19:M19)</f>
        <v>39.848920358515</v>
      </c>
      <c r="P19" s="43" t="n">
        <f aca="false">O19/(parametros_manuales!$B$7)</f>
        <v>0.265659469056767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770.112041533</v>
      </c>
      <c r="C20" s="9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591.0172139684</v>
      </c>
      <c r="D20" s="9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562.66303135705</v>
      </c>
      <c r="E20" s="9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541.76934864205</v>
      </c>
      <c r="F20" s="9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507.4424831084</v>
      </c>
      <c r="G20" s="9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494.00930028975</v>
      </c>
      <c r="H20" s="9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528.3361658234</v>
      </c>
      <c r="I20" s="9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528.3361658234</v>
      </c>
      <c r="J20" s="9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528.3361658234</v>
      </c>
      <c r="K20" s="9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514.90298300475</v>
      </c>
      <c r="L20" s="9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501.4698001861</v>
      </c>
      <c r="M20" s="9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796.9784071703</v>
      </c>
      <c r="N20" s="9" t="n">
        <f aca="false">SUM(B20:M20)</f>
        <v>6865.37310673</v>
      </c>
      <c r="O20" s="9" t="n">
        <f aca="false">MAX(B20:M20)</f>
        <v>796.9784071703</v>
      </c>
      <c r="P20" s="43" t="n">
        <f aca="false">O20/(parametros_manuales!$B$7)</f>
        <v>5.31318938113533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767.312041533</v>
      </c>
      <c r="C21" s="9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588.7772139684</v>
      </c>
      <c r="D21" s="9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560.28303135705</v>
      </c>
      <c r="E21" s="9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539.38934864205</v>
      </c>
      <c r="F21" s="9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505.2024831084</v>
      </c>
      <c r="G21" s="9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491.90930028975</v>
      </c>
      <c r="H21" s="9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526.0961658234</v>
      </c>
      <c r="I21" s="9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526.0961658234</v>
      </c>
      <c r="J21" s="9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526.0961658234</v>
      </c>
      <c r="K21" s="9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512.80298300475</v>
      </c>
      <c r="L21" s="9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499.5098001861</v>
      </c>
      <c r="M21" s="9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793.8984071703</v>
      </c>
      <c r="N21" s="9" t="n">
        <f aca="false">SUM(B21:M21)</f>
        <v>6837.37310673</v>
      </c>
      <c r="O21" s="9" t="n">
        <f aca="false">MAX(B21:M21)</f>
        <v>793.8984071703</v>
      </c>
      <c r="P21" s="43" t="n">
        <f aca="false">O21/(parametros_manuales!$B$7)</f>
        <v>5.292656047802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767.312041533</v>
      </c>
      <c r="C22" s="9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588.7772139684</v>
      </c>
      <c r="D22" s="9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560.28303135705</v>
      </c>
      <c r="E22" s="9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539.38934864205</v>
      </c>
      <c r="F22" s="9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505.2024831084</v>
      </c>
      <c r="G22" s="9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491.90930028975</v>
      </c>
      <c r="H22" s="9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526.0961658234</v>
      </c>
      <c r="I22" s="9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526.0961658234</v>
      </c>
      <c r="J22" s="9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526.0961658234</v>
      </c>
      <c r="K22" s="9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512.80298300475</v>
      </c>
      <c r="L22" s="9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499.5098001861</v>
      </c>
      <c r="M22" s="9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793.8984071703</v>
      </c>
      <c r="N22" s="9" t="n">
        <f aca="false">SUM(B22:M22)</f>
        <v>6837.37310673</v>
      </c>
      <c r="O22" s="9" t="n">
        <f aca="false">MAX(B22:M22)</f>
        <v>793.8984071703</v>
      </c>
      <c r="P22" s="43" t="n">
        <f aca="false">O22/(parametros_manuales!$B$7)</f>
        <v>5.292656047802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767.312041533</v>
      </c>
      <c r="C23" s="9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588.7772139684</v>
      </c>
      <c r="D23" s="9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560.28303135705</v>
      </c>
      <c r="E23" s="9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539.38934864205</v>
      </c>
      <c r="F23" s="9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505.2024831084</v>
      </c>
      <c r="G23" s="9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491.90930028975</v>
      </c>
      <c r="H23" s="9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526.0961658234</v>
      </c>
      <c r="I23" s="9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526.0961658234</v>
      </c>
      <c r="J23" s="9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526.0961658234</v>
      </c>
      <c r="K23" s="9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512.80298300475</v>
      </c>
      <c r="L23" s="9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499.5098001861</v>
      </c>
      <c r="M23" s="9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793.8984071703</v>
      </c>
      <c r="N23" s="9" t="n">
        <f aca="false">SUM(B23:M23)</f>
        <v>6837.37310673</v>
      </c>
      <c r="O23" s="9" t="n">
        <f aca="false">MAX(B23:M23)</f>
        <v>793.8984071703</v>
      </c>
      <c r="P23" s="43" t="n">
        <f aca="false">O23/(parametros_manuales!$B$7)</f>
        <v>5.292656047802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767.312041533</v>
      </c>
      <c r="C24" s="9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588.7772139684</v>
      </c>
      <c r="D24" s="9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560.28303135705</v>
      </c>
      <c r="E24" s="9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539.38934864205</v>
      </c>
      <c r="F24" s="9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505.2024831084</v>
      </c>
      <c r="G24" s="9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491.90930028975</v>
      </c>
      <c r="H24" s="9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526.0961658234</v>
      </c>
      <c r="I24" s="9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526.0961658234</v>
      </c>
      <c r="J24" s="9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526.0961658234</v>
      </c>
      <c r="K24" s="9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512.80298300475</v>
      </c>
      <c r="L24" s="9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499.5098001861</v>
      </c>
      <c r="M24" s="9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793.8984071703</v>
      </c>
      <c r="N24" s="9" t="n">
        <f aca="false">SUM(B24:M24)</f>
        <v>6837.37310673</v>
      </c>
      <c r="O24" s="9" t="n">
        <f aca="false">MAX(B24:M24)</f>
        <v>793.8984071703</v>
      </c>
      <c r="P24" s="43" t="n">
        <f aca="false">O24/(parametros_manuales!$B$7)</f>
        <v>5.292656047802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767.312041533</v>
      </c>
      <c r="C25" s="9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588.7772139684</v>
      </c>
      <c r="D25" s="9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560.28303135705</v>
      </c>
      <c r="E25" s="9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539.38934864205</v>
      </c>
      <c r="F25" s="9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505.2024831084</v>
      </c>
      <c r="G25" s="9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491.90930028975</v>
      </c>
      <c r="H25" s="9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526.0961658234</v>
      </c>
      <c r="I25" s="9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526.0961658234</v>
      </c>
      <c r="J25" s="9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526.0961658234</v>
      </c>
      <c r="K25" s="9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512.80298300475</v>
      </c>
      <c r="L25" s="9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499.5098001861</v>
      </c>
      <c r="M25" s="9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793.8984071703</v>
      </c>
      <c r="N25" s="9" t="n">
        <f aca="false">SUM(B25:M25)</f>
        <v>6837.37310673</v>
      </c>
      <c r="O25" s="9" t="n">
        <f aca="false">MAX(B25:M25)</f>
        <v>793.8984071703</v>
      </c>
      <c r="P25" s="43" t="n">
        <f aca="false">O25/(parametros_manuales!$B$7)</f>
        <v>5.292656047802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770.112041533</v>
      </c>
      <c r="C26" s="9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591.0172139684</v>
      </c>
      <c r="D26" s="9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562.66303135705</v>
      </c>
      <c r="E26" s="9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541.76934864205</v>
      </c>
      <c r="F26" s="9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507.4424831084</v>
      </c>
      <c r="G26" s="9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494.00930028975</v>
      </c>
      <c r="H26" s="9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528.3361658234</v>
      </c>
      <c r="I26" s="9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528.3361658234</v>
      </c>
      <c r="J26" s="9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528.3361658234</v>
      </c>
      <c r="K26" s="9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514.90298300475</v>
      </c>
      <c r="L26" s="9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501.4698001861</v>
      </c>
      <c r="M26" s="9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796.9784071703</v>
      </c>
      <c r="N26" s="9" t="n">
        <f aca="false">SUM(B26:M26)</f>
        <v>6865.37310673</v>
      </c>
      <c r="O26" s="9" t="n">
        <f aca="false">MAX(B26:M26)</f>
        <v>796.9784071703</v>
      </c>
      <c r="P26" s="43" t="n">
        <f aca="false">O26/(parametros_manuales!$B$7)</f>
        <v>5.31318938113533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191</v>
      </c>
      <c r="B28" s="7" t="s">
        <v>61</v>
      </c>
      <c r="C28" s="7" t="s">
        <v>62</v>
      </c>
      <c r="D28" s="7" t="s">
        <v>63</v>
      </c>
      <c r="E28" s="7" t="s">
        <v>64</v>
      </c>
      <c r="F28" s="7" t="s">
        <v>65</v>
      </c>
      <c r="G28" s="7" t="s">
        <v>66</v>
      </c>
      <c r="H28" s="7" t="s">
        <v>67</v>
      </c>
      <c r="I28" s="7" t="s">
        <v>68</v>
      </c>
      <c r="J28" s="7" t="s">
        <v>69</v>
      </c>
      <c r="K28" s="7" t="s">
        <v>70</v>
      </c>
      <c r="L28" s="7" t="s">
        <v>71</v>
      </c>
      <c r="M28" s="7" t="s">
        <v>72</v>
      </c>
      <c r="N28" s="7" t="s">
        <v>183</v>
      </c>
      <c r="O28" s="7" t="s">
        <v>188</v>
      </c>
      <c r="P28" s="7" t="s">
        <v>189</v>
      </c>
      <c r="Q28" s="7" t="s">
        <v>190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1205.72384004</v>
      </c>
      <c r="C29" s="9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928.59524817</v>
      </c>
      <c r="D29" s="9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892.92457654</v>
      </c>
      <c r="E29" s="9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862.938056655</v>
      </c>
      <c r="F29" s="9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808.64916863</v>
      </c>
      <c r="G29" s="9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784.34680049</v>
      </c>
      <c r="H29" s="9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838.635688515</v>
      </c>
      <c r="I29" s="9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838.635688515</v>
      </c>
      <c r="J29" s="9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838.635688515</v>
      </c>
      <c r="K29" s="9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814.333320375</v>
      </c>
      <c r="L29" s="9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790.030952235</v>
      </c>
      <c r="M29" s="9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1254.32857632</v>
      </c>
      <c r="N29" s="9" t="n">
        <f aca="false">SUM(B29:M29)</f>
        <v>10857.777605</v>
      </c>
      <c r="O29" s="9" t="n">
        <f aca="false">MAX(B29:M29)</f>
        <v>1254.32857632</v>
      </c>
      <c r="P29" s="43" t="n">
        <f aca="false">O29/(parametros_manuales!$B$7)</f>
        <v>8.3621905088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</f>
        <v>486.0473628</v>
      </c>
      <c r="C30" s="9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</f>
        <v>388.83789024</v>
      </c>
      <c r="D30" s="9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</f>
        <v>413.14025838</v>
      </c>
      <c r="E30" s="9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</f>
        <v>413.14025838</v>
      </c>
      <c r="F30" s="9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</f>
        <v>388.83789024</v>
      </c>
      <c r="G30" s="9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</f>
        <v>364.5355221</v>
      </c>
      <c r="H30" s="9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</f>
        <v>388.83789024</v>
      </c>
      <c r="I30" s="9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</f>
        <v>388.83789024</v>
      </c>
      <c r="J30" s="9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</f>
        <v>388.83789024</v>
      </c>
      <c r="K30" s="9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</f>
        <v>364.5355221</v>
      </c>
      <c r="L30" s="9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</f>
        <v>340.23315396</v>
      </c>
      <c r="M30" s="9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</f>
        <v>534.65209908</v>
      </c>
      <c r="N30" s="9" t="n">
        <f aca="false">SUM(B30:M30)</f>
        <v>4860.473628</v>
      </c>
      <c r="O30" s="9" t="n">
        <f aca="false">MAX(B30:M30)</f>
        <v>534.65209908</v>
      </c>
      <c r="P30" s="43" t="n">
        <f aca="false">O30/(parametros_manuales!$B$7)</f>
        <v>3.5643473272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</f>
        <v>719.67647724</v>
      </c>
      <c r="C31" s="9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</f>
        <v>539.75735793</v>
      </c>
      <c r="D31" s="9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</f>
        <v>479.78431816</v>
      </c>
      <c r="E31" s="9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</f>
        <v>449.797798275</v>
      </c>
      <c r="F31" s="9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</f>
        <v>419.81127839</v>
      </c>
      <c r="G31" s="9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</f>
        <v>419.81127839</v>
      </c>
      <c r="H31" s="9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</f>
        <v>449.797798275</v>
      </c>
      <c r="I31" s="9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</f>
        <v>449.797798275</v>
      </c>
      <c r="J31" s="9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</f>
        <v>449.797798275</v>
      </c>
      <c r="K31" s="9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</f>
        <v>449.797798275</v>
      </c>
      <c r="L31" s="9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</f>
        <v>449.797798275</v>
      </c>
      <c r="M31" s="9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</f>
        <v>719.67647724</v>
      </c>
      <c r="N31" s="9" t="n">
        <f aca="false">SUM(B31:M31)</f>
        <v>5997.303977</v>
      </c>
      <c r="O31" s="9" t="n">
        <f aca="false">MAX(B31:M31)</f>
        <v>719.67647724</v>
      </c>
      <c r="P31" s="43" t="n">
        <f aca="false">O31/(parametros_manuales!$B$7)</f>
        <v>4.7978431816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2411.44768008</v>
      </c>
      <c r="C32" s="9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1857.19049634</v>
      </c>
      <c r="D32" s="9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1785.84915308</v>
      </c>
      <c r="E32" s="9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1725.87611331</v>
      </c>
      <c r="F32" s="9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1617.29833726</v>
      </c>
      <c r="G32" s="9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1568.69360098</v>
      </c>
      <c r="H32" s="9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1677.27137703</v>
      </c>
      <c r="I32" s="9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1677.27137703</v>
      </c>
      <c r="J32" s="9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1677.27137703</v>
      </c>
      <c r="K32" s="9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1628.66664075</v>
      </c>
      <c r="L32" s="9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1580.06190447</v>
      </c>
      <c r="M32" s="9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2508.65715264</v>
      </c>
      <c r="N32" s="9" t="n">
        <f aca="false">SUM(B32:M32)</f>
        <v>21715.55521</v>
      </c>
      <c r="O32" s="9" t="n">
        <f aca="false">MAX(B32:M32)</f>
        <v>2508.65715264</v>
      </c>
      <c r="P32" s="43" t="n">
        <f aca="false">O32/(parametros_manuales!$B$7)</f>
        <v>16.7243810176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1205.72384004</v>
      </c>
      <c r="C33" s="9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928.59524817</v>
      </c>
      <c r="D33" s="9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892.92457654</v>
      </c>
      <c r="E33" s="9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862.938056655</v>
      </c>
      <c r="F33" s="9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808.64916863</v>
      </c>
      <c r="G33" s="9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784.34680049</v>
      </c>
      <c r="H33" s="9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838.635688515</v>
      </c>
      <c r="I33" s="9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838.635688515</v>
      </c>
      <c r="J33" s="9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838.635688515</v>
      </c>
      <c r="K33" s="9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814.333320375</v>
      </c>
      <c r="L33" s="9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790.030952235</v>
      </c>
      <c r="M33" s="9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1254.32857632</v>
      </c>
      <c r="N33" s="9" t="n">
        <f aca="false">SUM(B33:M33)</f>
        <v>10857.777605</v>
      </c>
      <c r="O33" s="9" t="n">
        <f aca="false">MAX(B33:M33)</f>
        <v>1254.32857632</v>
      </c>
      <c r="P33" s="43" t="n">
        <f aca="false">O33/(parametros_manuales!$B$7)</f>
        <v>8.3621905088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1205.72384004</v>
      </c>
      <c r="C34" s="9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928.59524817</v>
      </c>
      <c r="D34" s="9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892.92457654</v>
      </c>
      <c r="E34" s="9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862.938056655</v>
      </c>
      <c r="F34" s="9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808.64916863</v>
      </c>
      <c r="G34" s="9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784.34680049</v>
      </c>
      <c r="H34" s="9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838.635688515</v>
      </c>
      <c r="I34" s="9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838.635688515</v>
      </c>
      <c r="J34" s="9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838.635688515</v>
      </c>
      <c r="K34" s="9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814.333320375</v>
      </c>
      <c r="L34" s="9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790.030952235</v>
      </c>
      <c r="M34" s="9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1254.32857632</v>
      </c>
      <c r="N34" s="9" t="n">
        <f aca="false">SUM(B34:M34)</f>
        <v>10857.777605</v>
      </c>
      <c r="O34" s="9" t="n">
        <f aca="false">MAX(B34:M34)</f>
        <v>1254.32857632</v>
      </c>
      <c r="P34" s="43" t="n">
        <f aca="false">O34/(parametros_manuales!$B$7)</f>
        <v>8.3621905088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1205.72384004</v>
      </c>
      <c r="C35" s="9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928.59524817</v>
      </c>
      <c r="D35" s="9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892.92457654</v>
      </c>
      <c r="E35" s="9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862.938056655</v>
      </c>
      <c r="F35" s="9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808.64916863</v>
      </c>
      <c r="G35" s="9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784.34680049</v>
      </c>
      <c r="H35" s="9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838.635688515</v>
      </c>
      <c r="I35" s="9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838.635688515</v>
      </c>
      <c r="J35" s="9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838.635688515</v>
      </c>
      <c r="K35" s="9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814.333320375</v>
      </c>
      <c r="L35" s="9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790.030952235</v>
      </c>
      <c r="M35" s="9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1254.32857632</v>
      </c>
      <c r="N35" s="9" t="n">
        <f aca="false">SUM(B35:M35)</f>
        <v>10857.777605</v>
      </c>
      <c r="O35" s="9" t="n">
        <f aca="false">MAX(B35:M35)</f>
        <v>1254.32857632</v>
      </c>
      <c r="P35" s="43" t="n">
        <f aca="false">O35/(parametros_manuales!$B$7)</f>
        <v>8.3621905088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486.0473628</v>
      </c>
      <c r="C36" s="9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388.83789024</v>
      </c>
      <c r="D36" s="9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413.14025838</v>
      </c>
      <c r="E36" s="9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413.14025838</v>
      </c>
      <c r="F36" s="9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388.83789024</v>
      </c>
      <c r="G36" s="9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364.5355221</v>
      </c>
      <c r="H36" s="9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388.83789024</v>
      </c>
      <c r="I36" s="9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388.83789024</v>
      </c>
      <c r="J36" s="9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388.83789024</v>
      </c>
      <c r="K36" s="9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364.5355221</v>
      </c>
      <c r="L36" s="9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340.23315396</v>
      </c>
      <c r="M36" s="9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534.65209908</v>
      </c>
      <c r="N36" s="9" t="n">
        <f aca="false">SUM(B36:M36)</f>
        <v>4860.473628</v>
      </c>
      <c r="O36" s="9" t="n">
        <f aca="false">MAX(B36:M36)</f>
        <v>534.65209908</v>
      </c>
      <c r="P36" s="43" t="n">
        <f aca="false">O36/(parametros_manuales!$B$7)</f>
        <v>3.5643473272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486.0473628</v>
      </c>
      <c r="C37" s="9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388.83789024</v>
      </c>
      <c r="D37" s="9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413.14025838</v>
      </c>
      <c r="E37" s="9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413.14025838</v>
      </c>
      <c r="F37" s="9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388.83789024</v>
      </c>
      <c r="G37" s="9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364.5355221</v>
      </c>
      <c r="H37" s="9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388.83789024</v>
      </c>
      <c r="I37" s="9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388.83789024</v>
      </c>
      <c r="J37" s="9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388.83789024</v>
      </c>
      <c r="K37" s="9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364.5355221</v>
      </c>
      <c r="L37" s="9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340.23315396</v>
      </c>
      <c r="M37" s="9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534.65209908</v>
      </c>
      <c r="N37" s="9" t="n">
        <f aca="false">SUM(B37:M37)</f>
        <v>4860.473628</v>
      </c>
      <c r="O37" s="9" t="n">
        <f aca="false">MAX(B37:M37)</f>
        <v>534.65209908</v>
      </c>
      <c r="P37" s="43" t="n">
        <f aca="false">O37/(parametros_manuales!$B$7)</f>
        <v>3.5643473272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1205.72384004</v>
      </c>
      <c r="C38" s="9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928.59524817</v>
      </c>
      <c r="D38" s="9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892.92457654</v>
      </c>
      <c r="E38" s="9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862.938056655</v>
      </c>
      <c r="F38" s="9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808.64916863</v>
      </c>
      <c r="G38" s="9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784.34680049</v>
      </c>
      <c r="H38" s="9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838.635688515</v>
      </c>
      <c r="I38" s="9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838.635688515</v>
      </c>
      <c r="J38" s="9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838.635688515</v>
      </c>
      <c r="K38" s="9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814.333320375</v>
      </c>
      <c r="L38" s="9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790.030952235</v>
      </c>
      <c r="M38" s="9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1254.32857632</v>
      </c>
      <c r="N38" s="9" t="n">
        <f aca="false">SUM(B38:M38)</f>
        <v>10857.777605</v>
      </c>
      <c r="O38" s="9" t="n">
        <f aca="false">MAX(B38:M38)</f>
        <v>1254.32857632</v>
      </c>
      <c r="P38" s="43" t="n">
        <f aca="false">O38/(parametros_manuales!$B$7)</f>
        <v>8.3621905088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1205.72384004</v>
      </c>
      <c r="C39" s="9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928.59524817</v>
      </c>
      <c r="D39" s="9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892.92457654</v>
      </c>
      <c r="E39" s="9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862.938056655</v>
      </c>
      <c r="F39" s="9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808.64916863</v>
      </c>
      <c r="G39" s="9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784.34680049</v>
      </c>
      <c r="H39" s="9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838.635688515</v>
      </c>
      <c r="I39" s="9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838.635688515</v>
      </c>
      <c r="J39" s="9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838.635688515</v>
      </c>
      <c r="K39" s="9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814.333320375</v>
      </c>
      <c r="L39" s="9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790.030952235</v>
      </c>
      <c r="M39" s="9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1254.32857632</v>
      </c>
      <c r="N39" s="9" t="n">
        <f aca="false">SUM(B39:M39)</f>
        <v>10857.777605</v>
      </c>
      <c r="O39" s="9" t="n">
        <f aca="false">MAX(B39:M39)</f>
        <v>1254.32857632</v>
      </c>
      <c r="P39" s="43" t="n">
        <f aca="false">O39/(parametros_manuales!$B$7)</f>
        <v>8.3621905088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1205.72384004</v>
      </c>
      <c r="C40" s="9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928.59524817</v>
      </c>
      <c r="D40" s="9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892.92457654</v>
      </c>
      <c r="E40" s="9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862.938056655</v>
      </c>
      <c r="F40" s="9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808.64916863</v>
      </c>
      <c r="G40" s="9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784.34680049</v>
      </c>
      <c r="H40" s="9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838.635688515</v>
      </c>
      <c r="I40" s="9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838.635688515</v>
      </c>
      <c r="J40" s="9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838.635688515</v>
      </c>
      <c r="K40" s="9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814.333320375</v>
      </c>
      <c r="L40" s="9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790.030952235</v>
      </c>
      <c r="M40" s="9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1254.32857632</v>
      </c>
      <c r="N40" s="9" t="n">
        <f aca="false">SUM(B40:M40)</f>
        <v>10857.777605</v>
      </c>
      <c r="O40" s="9" t="n">
        <f aca="false">MAX(B40:M40)</f>
        <v>1254.32857632</v>
      </c>
      <c r="P40" s="43" t="n">
        <f aca="false">O40/(parametros_manuales!$B$7)</f>
        <v>8.3621905088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24.1144768008</v>
      </c>
      <c r="C41" s="9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18.5719049634</v>
      </c>
      <c r="D41" s="9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17.8584915308</v>
      </c>
      <c r="E41" s="9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17.2587611331</v>
      </c>
      <c r="F41" s="9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16.1729833726</v>
      </c>
      <c r="G41" s="9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15.6869360098</v>
      </c>
      <c r="H41" s="9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16.7727137703</v>
      </c>
      <c r="I41" s="9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16.7727137703</v>
      </c>
      <c r="J41" s="9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16.7727137703</v>
      </c>
      <c r="K41" s="9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16.2866664075</v>
      </c>
      <c r="L41" s="9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15.8006190447</v>
      </c>
      <c r="M41" s="9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25.0865715264</v>
      </c>
      <c r="N41" s="9" t="n">
        <f aca="false">SUM(B41:M41)</f>
        <v>217.1555521</v>
      </c>
      <c r="O41" s="9" t="n">
        <f aca="false">MAX(B41:M41)</f>
        <v>25.0865715264</v>
      </c>
      <c r="P41" s="43" t="n">
        <f aca="false">O41/(parametros_manuales!$B$7)</f>
        <v>0.167243810176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1205.72384004</v>
      </c>
      <c r="C42" s="9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928.59524817</v>
      </c>
      <c r="D42" s="9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892.92457654</v>
      </c>
      <c r="E42" s="9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862.938056655</v>
      </c>
      <c r="F42" s="9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808.64916863</v>
      </c>
      <c r="G42" s="9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784.34680049</v>
      </c>
      <c r="H42" s="9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838.635688515</v>
      </c>
      <c r="I42" s="9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838.635688515</v>
      </c>
      <c r="J42" s="9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838.635688515</v>
      </c>
      <c r="K42" s="9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814.333320375</v>
      </c>
      <c r="L42" s="9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790.030952235</v>
      </c>
      <c r="M42" s="9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1254.32857632</v>
      </c>
      <c r="N42" s="9" t="n">
        <f aca="false">SUM(B42:M42)</f>
        <v>10857.777605</v>
      </c>
      <c r="O42" s="9" t="n">
        <f aca="false">MAX(B42:M42)</f>
        <v>1254.32857632</v>
      </c>
      <c r="P42" s="43" t="n">
        <f aca="false">O42/(parametros_manuales!$B$7)</f>
        <v>8.3621905088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1205.72384004</v>
      </c>
      <c r="C43" s="9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928.59524817</v>
      </c>
      <c r="D43" s="9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892.92457654</v>
      </c>
      <c r="E43" s="9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862.938056655</v>
      </c>
      <c r="F43" s="9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808.64916863</v>
      </c>
      <c r="G43" s="9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784.34680049</v>
      </c>
      <c r="H43" s="9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838.635688515</v>
      </c>
      <c r="I43" s="9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838.635688515</v>
      </c>
      <c r="J43" s="9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838.635688515</v>
      </c>
      <c r="K43" s="9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814.333320375</v>
      </c>
      <c r="L43" s="9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790.030952235</v>
      </c>
      <c r="M43" s="9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1254.32857632</v>
      </c>
      <c r="N43" s="9" t="n">
        <f aca="false">SUM(B43:M43)</f>
        <v>10857.777605</v>
      </c>
      <c r="O43" s="9" t="n">
        <f aca="false">MAX(B43:M43)</f>
        <v>1254.32857632</v>
      </c>
      <c r="P43" s="43" t="n">
        <f aca="false">O43/(parametros_manuales!$B$7)</f>
        <v>8.3621905088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1205.72384004</v>
      </c>
      <c r="C44" s="9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928.59524817</v>
      </c>
      <c r="D44" s="9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892.92457654</v>
      </c>
      <c r="E44" s="9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862.938056655</v>
      </c>
      <c r="F44" s="9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808.64916863</v>
      </c>
      <c r="G44" s="9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784.34680049</v>
      </c>
      <c r="H44" s="9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838.635688515</v>
      </c>
      <c r="I44" s="9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838.635688515</v>
      </c>
      <c r="J44" s="9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838.635688515</v>
      </c>
      <c r="K44" s="9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814.333320375</v>
      </c>
      <c r="L44" s="9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790.030952235</v>
      </c>
      <c r="M44" s="9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1254.32857632</v>
      </c>
      <c r="N44" s="9" t="n">
        <f aca="false">SUM(B44:M44)</f>
        <v>10857.777605</v>
      </c>
      <c r="O44" s="9" t="n">
        <f aca="false">MAX(B44:M44)</f>
        <v>1254.32857632</v>
      </c>
      <c r="P44" s="43" t="n">
        <f aca="false">O44/(parametros_manuales!$B$7)</f>
        <v>8.3621905088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1205.72384004</v>
      </c>
      <c r="C45" s="9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928.59524817</v>
      </c>
      <c r="D45" s="9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892.92457654</v>
      </c>
      <c r="E45" s="9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862.938056655</v>
      </c>
      <c r="F45" s="9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808.64916863</v>
      </c>
      <c r="G45" s="9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784.34680049</v>
      </c>
      <c r="H45" s="9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838.635688515</v>
      </c>
      <c r="I45" s="9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838.635688515</v>
      </c>
      <c r="J45" s="9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838.635688515</v>
      </c>
      <c r="K45" s="9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814.333320375</v>
      </c>
      <c r="L45" s="9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790.030952235</v>
      </c>
      <c r="M45" s="9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1254.32857632</v>
      </c>
      <c r="N45" s="9" t="n">
        <f aca="false">SUM(B45:M45)</f>
        <v>10857.777605</v>
      </c>
      <c r="O45" s="9" t="n">
        <f aca="false">MAX(B45:M45)</f>
        <v>1254.32857632</v>
      </c>
      <c r="P45" s="43" t="n">
        <f aca="false">O45/(parametros_manuales!$B$7)</f>
        <v>8.3621905088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60.286192002</v>
      </c>
      <c r="C46" s="9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46.4297624085</v>
      </c>
      <c r="D46" s="9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44.646228827</v>
      </c>
      <c r="E46" s="9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43.14690283275</v>
      </c>
      <c r="F46" s="9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40.4324584315</v>
      </c>
      <c r="G46" s="9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39.2173400245</v>
      </c>
      <c r="H46" s="9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41.93178442575</v>
      </c>
      <c r="I46" s="9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41.93178442575</v>
      </c>
      <c r="J46" s="9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41.93178442575</v>
      </c>
      <c r="K46" s="9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40.71666601875</v>
      </c>
      <c r="L46" s="9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39.50154761175</v>
      </c>
      <c r="M46" s="9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62.716428816</v>
      </c>
      <c r="N46" s="9" t="n">
        <f aca="false">SUM(B46:M46)</f>
        <v>542.88888025</v>
      </c>
      <c r="O46" s="9" t="n">
        <f aca="false">MAX(B46:M46)</f>
        <v>62.716428816</v>
      </c>
      <c r="P46" s="43" t="n">
        <f aca="false">O46/(parametros_manuales!$B$7)</f>
        <v>0.41810952544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1205.72384004</v>
      </c>
      <c r="C47" s="9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928.59524817</v>
      </c>
      <c r="D47" s="9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892.92457654</v>
      </c>
      <c r="E47" s="9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862.938056655</v>
      </c>
      <c r="F47" s="9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808.64916863</v>
      </c>
      <c r="G47" s="9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784.34680049</v>
      </c>
      <c r="H47" s="9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838.635688515</v>
      </c>
      <c r="I47" s="9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838.635688515</v>
      </c>
      <c r="J47" s="9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838.635688515</v>
      </c>
      <c r="K47" s="9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814.333320375</v>
      </c>
      <c r="L47" s="9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790.030952235</v>
      </c>
      <c r="M47" s="9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1254.32857632</v>
      </c>
      <c r="N47" s="9" t="n">
        <f aca="false">SUM(B47:M47)</f>
        <v>10857.777605</v>
      </c>
      <c r="O47" s="9" t="n">
        <f aca="false">MAX(B47:M47)</f>
        <v>1254.32857632</v>
      </c>
      <c r="P47" s="43" t="n">
        <f aca="false">O47/(parametros_manuales!$B$7)</f>
        <v>8.3621905088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1197.49984004</v>
      </c>
      <c r="C48" s="9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922.01604817</v>
      </c>
      <c r="D48" s="9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885.93417654</v>
      </c>
      <c r="E48" s="9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855.947656655</v>
      </c>
      <c r="F48" s="9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802.06996863</v>
      </c>
      <c r="G48" s="9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778.17880049</v>
      </c>
      <c r="H48" s="9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832.056488515</v>
      </c>
      <c r="I48" s="9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832.056488515</v>
      </c>
      <c r="J48" s="9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832.056488515</v>
      </c>
      <c r="K48" s="9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808.165320375</v>
      </c>
      <c r="L48" s="9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784.274152235</v>
      </c>
      <c r="M48" s="9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1245.28217632</v>
      </c>
      <c r="N48" s="9" t="n">
        <f aca="false">SUM(B48:M48)</f>
        <v>10775.537605</v>
      </c>
      <c r="O48" s="9" t="n">
        <f aca="false">MAX(B48:M48)</f>
        <v>1245.28217632</v>
      </c>
      <c r="P48" s="43" t="n">
        <f aca="false">O48/(parametros_manuales!$B$7)</f>
        <v>8.30188117546667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1197.49984004</v>
      </c>
      <c r="C49" s="9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922.01604817</v>
      </c>
      <c r="D49" s="9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885.93417654</v>
      </c>
      <c r="E49" s="9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855.947656655</v>
      </c>
      <c r="F49" s="9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802.06996863</v>
      </c>
      <c r="G49" s="9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778.17880049</v>
      </c>
      <c r="H49" s="9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832.056488515</v>
      </c>
      <c r="I49" s="9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832.056488515</v>
      </c>
      <c r="J49" s="9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832.056488515</v>
      </c>
      <c r="K49" s="9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808.165320375</v>
      </c>
      <c r="L49" s="9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784.274152235</v>
      </c>
      <c r="M49" s="9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1245.28217632</v>
      </c>
      <c r="N49" s="9" t="n">
        <f aca="false">SUM(B49:M49)</f>
        <v>10775.537605</v>
      </c>
      <c r="O49" s="9" t="n">
        <f aca="false">MAX(B49:M49)</f>
        <v>1245.28217632</v>
      </c>
      <c r="P49" s="43" t="n">
        <f aca="false">O49/(parametros_manuales!$B$7)</f>
        <v>8.30188117546667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1197.49984004</v>
      </c>
      <c r="C50" s="9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922.01604817</v>
      </c>
      <c r="D50" s="9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885.93417654</v>
      </c>
      <c r="E50" s="9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855.947656655</v>
      </c>
      <c r="F50" s="9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802.06996863</v>
      </c>
      <c r="G50" s="9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778.17880049</v>
      </c>
      <c r="H50" s="9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832.056488515</v>
      </c>
      <c r="I50" s="9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832.056488515</v>
      </c>
      <c r="J50" s="9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832.056488515</v>
      </c>
      <c r="K50" s="9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808.165320375</v>
      </c>
      <c r="L50" s="9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784.274152235</v>
      </c>
      <c r="M50" s="9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1245.28217632</v>
      </c>
      <c r="N50" s="9" t="n">
        <f aca="false">SUM(B50:M50)</f>
        <v>10775.537605</v>
      </c>
      <c r="O50" s="9" t="n">
        <f aca="false">MAX(B50:M50)</f>
        <v>1245.28217632</v>
      </c>
      <c r="P50" s="43" t="n">
        <f aca="false">O50/(parametros_manuales!$B$7)</f>
        <v>8.30188117546667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1197.49984004</v>
      </c>
      <c r="C51" s="9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922.01604817</v>
      </c>
      <c r="D51" s="9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885.93417654</v>
      </c>
      <c r="E51" s="9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855.947656655</v>
      </c>
      <c r="F51" s="9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802.06996863</v>
      </c>
      <c r="G51" s="9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778.17880049</v>
      </c>
      <c r="H51" s="9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832.056488515</v>
      </c>
      <c r="I51" s="9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832.056488515</v>
      </c>
      <c r="J51" s="9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832.056488515</v>
      </c>
      <c r="K51" s="9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808.165320375</v>
      </c>
      <c r="L51" s="9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784.274152235</v>
      </c>
      <c r="M51" s="9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1245.28217632</v>
      </c>
      <c r="N51" s="9" t="n">
        <f aca="false">SUM(B51:M51)</f>
        <v>10775.537605</v>
      </c>
      <c r="O51" s="9" t="n">
        <f aca="false">MAX(B51:M51)</f>
        <v>1245.28217632</v>
      </c>
      <c r="P51" s="43" t="n">
        <f aca="false">O51/(parametros_manuales!$B$7)</f>
        <v>8.30188117546667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1197.49984004</v>
      </c>
      <c r="C52" s="9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922.01604817</v>
      </c>
      <c r="D52" s="9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885.93417654</v>
      </c>
      <c r="E52" s="9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855.947656655</v>
      </c>
      <c r="F52" s="9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802.06996863</v>
      </c>
      <c r="G52" s="9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778.17880049</v>
      </c>
      <c r="H52" s="9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832.056488515</v>
      </c>
      <c r="I52" s="9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832.056488515</v>
      </c>
      <c r="J52" s="9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832.056488515</v>
      </c>
      <c r="K52" s="9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808.165320375</v>
      </c>
      <c r="L52" s="9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784.274152235</v>
      </c>
      <c r="M52" s="9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1245.28217632</v>
      </c>
      <c r="N52" s="9" t="n">
        <f aca="false">SUM(B52:M52)</f>
        <v>10775.537605</v>
      </c>
      <c r="O52" s="9" t="n">
        <f aca="false">MAX(B52:M52)</f>
        <v>1245.28217632</v>
      </c>
      <c r="P52" s="43" t="n">
        <f aca="false">O52/(parametros_manuales!$B$7)</f>
        <v>8.30188117546667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1205.72384004</v>
      </c>
      <c r="C53" s="9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928.59524817</v>
      </c>
      <c r="D53" s="9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892.92457654</v>
      </c>
      <c r="E53" s="9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862.938056655</v>
      </c>
      <c r="F53" s="9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808.64916863</v>
      </c>
      <c r="G53" s="9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784.34680049</v>
      </c>
      <c r="H53" s="9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838.635688515</v>
      </c>
      <c r="I53" s="9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838.635688515</v>
      </c>
      <c r="J53" s="9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838.635688515</v>
      </c>
      <c r="K53" s="9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814.333320375</v>
      </c>
      <c r="L53" s="9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790.030952235</v>
      </c>
      <c r="M53" s="9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1254.32857632</v>
      </c>
      <c r="N53" s="9" t="n">
        <f aca="false">SUM(B53:M53)</f>
        <v>10857.777605</v>
      </c>
      <c r="O53" s="9" t="n">
        <f aca="false">MAX(B53:M53)</f>
        <v>1254.32857632</v>
      </c>
      <c r="P53" s="43" t="n">
        <f aca="false">O53/(parametros_manuales!$B$7)</f>
        <v>8.3621905088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192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  <c r="G55" s="7" t="s">
        <v>66</v>
      </c>
      <c r="H55" s="7" t="s">
        <v>67</v>
      </c>
      <c r="I55" s="7" t="s">
        <v>68</v>
      </c>
      <c r="J55" s="7" t="s">
        <v>69</v>
      </c>
      <c r="K55" s="7" t="s">
        <v>70</v>
      </c>
      <c r="L55" s="7" t="s">
        <v>71</v>
      </c>
      <c r="M55" s="7" t="s">
        <v>72</v>
      </c>
      <c r="N55" s="7" t="s">
        <v>183</v>
      </c>
      <c r="O55" s="7" t="s">
        <v>188</v>
      </c>
      <c r="P55" s="7" t="s">
        <v>189</v>
      </c>
      <c r="Q55" s="7" t="s">
        <v>190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2584.2521738</v>
      </c>
      <c r="C56" s="9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1980.316852492</v>
      </c>
      <c r="D56" s="9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1877.303097054</v>
      </c>
      <c r="E56" s="9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1804.732358264</v>
      </c>
      <c r="F56" s="9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1690.033897332</v>
      </c>
      <c r="G56" s="9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1647.90617519</v>
      </c>
      <c r="H56" s="9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1762.604636122</v>
      </c>
      <c r="I56" s="9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1762.604636122</v>
      </c>
      <c r="J56" s="9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1762.604636122</v>
      </c>
      <c r="K56" s="9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1720.47691398</v>
      </c>
      <c r="L56" s="9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1678.349191838</v>
      </c>
      <c r="M56" s="9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2668.507618084</v>
      </c>
      <c r="N56" s="9" t="n">
        <f aca="false">SUM(B56:M56)</f>
        <v>22939.6921864</v>
      </c>
      <c r="O56" s="9" t="n">
        <f aca="false">MAX(B56:M56)</f>
        <v>2668.507618084</v>
      </c>
      <c r="P56" s="43" t="n">
        <f aca="false">O56/(parametros_manuales!$B$7)</f>
        <v>17.7900507872267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</f>
        <v>842.55444284</v>
      </c>
      <c r="C57" s="9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</f>
        <v>674.043554272</v>
      </c>
      <c r="D57" s="9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</f>
        <v>716.171276414</v>
      </c>
      <c r="E57" s="9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</f>
        <v>716.171276414</v>
      </c>
      <c r="F57" s="9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</f>
        <v>674.043554272</v>
      </c>
      <c r="G57" s="9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</f>
        <v>631.91583213</v>
      </c>
      <c r="H57" s="9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</f>
        <v>674.043554272</v>
      </c>
      <c r="I57" s="9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</f>
        <v>674.043554272</v>
      </c>
      <c r="J57" s="9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</f>
        <v>674.043554272</v>
      </c>
      <c r="K57" s="9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</f>
        <v>631.91583213</v>
      </c>
      <c r="L57" s="9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</f>
        <v>589.788109988</v>
      </c>
      <c r="M57" s="9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</f>
        <v>926.809887124</v>
      </c>
      <c r="N57" s="9" t="n">
        <f aca="false">SUM(B57:M57)</f>
        <v>8425.5444284</v>
      </c>
      <c r="O57" s="9" t="n">
        <f aca="false">MAX(B57:M57)</f>
        <v>926.809887124</v>
      </c>
      <c r="P57" s="43" t="n">
        <f aca="false">O57/(parametros_manuales!$B$7)</f>
        <v>6.17873258082667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</f>
        <v>1741.69773096</v>
      </c>
      <c r="C58" s="9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</f>
        <v>1306.27329822</v>
      </c>
      <c r="D58" s="9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</f>
        <v>1161.13182064</v>
      </c>
      <c r="E58" s="9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</f>
        <v>1088.56108185</v>
      </c>
      <c r="F58" s="9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</f>
        <v>1015.99034306</v>
      </c>
      <c r="G58" s="9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</f>
        <v>1015.99034306</v>
      </c>
      <c r="H58" s="9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</f>
        <v>1088.56108185</v>
      </c>
      <c r="I58" s="9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</f>
        <v>1088.56108185</v>
      </c>
      <c r="J58" s="9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</f>
        <v>1088.56108185</v>
      </c>
      <c r="K58" s="9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</f>
        <v>1088.56108185</v>
      </c>
      <c r="L58" s="9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</f>
        <v>1088.56108185</v>
      </c>
      <c r="M58" s="9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</f>
        <v>1741.69773096</v>
      </c>
      <c r="N58" s="9" t="n">
        <f aca="false">SUM(B58:M58)</f>
        <v>14514.147758</v>
      </c>
      <c r="O58" s="9" t="n">
        <f aca="false">MAX(B58:M58)</f>
        <v>1741.69773096</v>
      </c>
      <c r="P58" s="43" t="n">
        <f aca="false">O58/(parametros_manuales!$B$7)</f>
        <v>11.6113182064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5168.5043476</v>
      </c>
      <c r="C59" s="9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3960.633704984</v>
      </c>
      <c r="D59" s="9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3754.606194108</v>
      </c>
      <c r="E59" s="9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3609.464716528</v>
      </c>
      <c r="F59" s="9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3380.067794664</v>
      </c>
      <c r="G59" s="9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3295.81235038</v>
      </c>
      <c r="H59" s="9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3525.209272244</v>
      </c>
      <c r="I59" s="9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3525.209272244</v>
      </c>
      <c r="J59" s="9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3525.209272244</v>
      </c>
      <c r="K59" s="9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3440.95382796</v>
      </c>
      <c r="L59" s="9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3356.698383676</v>
      </c>
      <c r="M59" s="9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5337.015236168</v>
      </c>
      <c r="N59" s="9" t="n">
        <f aca="false">SUM(B59:M59)</f>
        <v>45879.3843728</v>
      </c>
      <c r="O59" s="9" t="n">
        <f aca="false">MAX(B59:M59)</f>
        <v>5337.015236168</v>
      </c>
      <c r="P59" s="43" t="n">
        <f aca="false">O59/(parametros_manuales!$B$7)</f>
        <v>35.5801015744533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2584.2521738</v>
      </c>
      <c r="C60" s="9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1980.316852492</v>
      </c>
      <c r="D60" s="9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1877.303097054</v>
      </c>
      <c r="E60" s="9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1804.732358264</v>
      </c>
      <c r="F60" s="9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1690.033897332</v>
      </c>
      <c r="G60" s="9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1647.90617519</v>
      </c>
      <c r="H60" s="9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1762.604636122</v>
      </c>
      <c r="I60" s="9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1762.604636122</v>
      </c>
      <c r="J60" s="9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1762.604636122</v>
      </c>
      <c r="K60" s="9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1720.47691398</v>
      </c>
      <c r="L60" s="9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1678.349191838</v>
      </c>
      <c r="M60" s="9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2668.507618084</v>
      </c>
      <c r="N60" s="9" t="n">
        <f aca="false">SUM(B60:M60)</f>
        <v>22939.6921864</v>
      </c>
      <c r="O60" s="9" t="n">
        <f aca="false">MAX(B60:M60)</f>
        <v>2668.507618084</v>
      </c>
      <c r="P60" s="43" t="n">
        <f aca="false">O60/(parametros_manuales!$B$7)</f>
        <v>17.7900507872267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2584.2521738</v>
      </c>
      <c r="C61" s="9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1980.316852492</v>
      </c>
      <c r="D61" s="9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1877.303097054</v>
      </c>
      <c r="E61" s="9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1804.732358264</v>
      </c>
      <c r="F61" s="9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1690.033897332</v>
      </c>
      <c r="G61" s="9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1647.90617519</v>
      </c>
      <c r="H61" s="9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1762.604636122</v>
      </c>
      <c r="I61" s="9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1762.604636122</v>
      </c>
      <c r="J61" s="9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1762.604636122</v>
      </c>
      <c r="K61" s="9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1720.47691398</v>
      </c>
      <c r="L61" s="9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1678.349191838</v>
      </c>
      <c r="M61" s="9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2668.507618084</v>
      </c>
      <c r="N61" s="9" t="n">
        <f aca="false">SUM(B61:M61)</f>
        <v>22939.6921864</v>
      </c>
      <c r="O61" s="9" t="n">
        <f aca="false">MAX(B61:M61)</f>
        <v>2668.507618084</v>
      </c>
      <c r="P61" s="43" t="n">
        <f aca="false">O61/(parametros_manuales!$B$7)</f>
        <v>17.7900507872267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2584.2521738</v>
      </c>
      <c r="C62" s="9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1980.316852492</v>
      </c>
      <c r="D62" s="9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1877.303097054</v>
      </c>
      <c r="E62" s="9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1804.732358264</v>
      </c>
      <c r="F62" s="9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1690.033897332</v>
      </c>
      <c r="G62" s="9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1647.90617519</v>
      </c>
      <c r="H62" s="9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1762.604636122</v>
      </c>
      <c r="I62" s="9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1762.604636122</v>
      </c>
      <c r="J62" s="9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1762.604636122</v>
      </c>
      <c r="K62" s="9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1720.47691398</v>
      </c>
      <c r="L62" s="9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1678.349191838</v>
      </c>
      <c r="M62" s="9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2668.507618084</v>
      </c>
      <c r="N62" s="9" t="n">
        <f aca="false">SUM(B62:M62)</f>
        <v>22939.6921864</v>
      </c>
      <c r="O62" s="9" t="n">
        <f aca="false">MAX(B62:M62)</f>
        <v>2668.507618084</v>
      </c>
      <c r="P62" s="43" t="n">
        <f aca="false">O62/(parametros_manuales!$B$7)</f>
        <v>17.7900507872267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842.55444284</v>
      </c>
      <c r="C63" s="9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674.043554272</v>
      </c>
      <c r="D63" s="9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716.171276414</v>
      </c>
      <c r="E63" s="9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716.171276414</v>
      </c>
      <c r="F63" s="9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674.043554272</v>
      </c>
      <c r="G63" s="9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631.91583213</v>
      </c>
      <c r="H63" s="9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674.043554272</v>
      </c>
      <c r="I63" s="9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674.043554272</v>
      </c>
      <c r="J63" s="9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674.043554272</v>
      </c>
      <c r="K63" s="9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631.91583213</v>
      </c>
      <c r="L63" s="9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589.788109988</v>
      </c>
      <c r="M63" s="9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926.809887124</v>
      </c>
      <c r="N63" s="9" t="n">
        <f aca="false">SUM(B63:M63)</f>
        <v>8425.5444284</v>
      </c>
      <c r="O63" s="9" t="n">
        <f aca="false">MAX(B63:M63)</f>
        <v>926.809887124</v>
      </c>
      <c r="P63" s="43" t="n">
        <f aca="false">O63/(parametros_manuales!$B$7)</f>
        <v>6.17873258082667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842.55444284</v>
      </c>
      <c r="C64" s="9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674.043554272</v>
      </c>
      <c r="D64" s="9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716.171276414</v>
      </c>
      <c r="E64" s="9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716.171276414</v>
      </c>
      <c r="F64" s="9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674.043554272</v>
      </c>
      <c r="G64" s="9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631.91583213</v>
      </c>
      <c r="H64" s="9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674.043554272</v>
      </c>
      <c r="I64" s="9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674.043554272</v>
      </c>
      <c r="J64" s="9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674.043554272</v>
      </c>
      <c r="K64" s="9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631.91583213</v>
      </c>
      <c r="L64" s="9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589.788109988</v>
      </c>
      <c r="M64" s="9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926.809887124</v>
      </c>
      <c r="N64" s="9" t="n">
        <f aca="false">SUM(B64:M64)</f>
        <v>8425.5444284</v>
      </c>
      <c r="O64" s="9" t="n">
        <f aca="false">MAX(B64:M64)</f>
        <v>926.809887124</v>
      </c>
      <c r="P64" s="43" t="n">
        <f aca="false">O64/(parametros_manuales!$B$7)</f>
        <v>6.17873258082667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2584.2521738</v>
      </c>
      <c r="C65" s="9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1980.316852492</v>
      </c>
      <c r="D65" s="9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1877.303097054</v>
      </c>
      <c r="E65" s="9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1804.732358264</v>
      </c>
      <c r="F65" s="9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1690.033897332</v>
      </c>
      <c r="G65" s="9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1647.90617519</v>
      </c>
      <c r="H65" s="9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1762.604636122</v>
      </c>
      <c r="I65" s="9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1762.604636122</v>
      </c>
      <c r="J65" s="9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1762.604636122</v>
      </c>
      <c r="K65" s="9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1720.47691398</v>
      </c>
      <c r="L65" s="9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1678.349191838</v>
      </c>
      <c r="M65" s="9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2668.507618084</v>
      </c>
      <c r="N65" s="9" t="n">
        <f aca="false">SUM(B65:M65)</f>
        <v>22939.6921864</v>
      </c>
      <c r="O65" s="9" t="n">
        <f aca="false">MAX(B65:M65)</f>
        <v>2668.507618084</v>
      </c>
      <c r="P65" s="43" t="n">
        <f aca="false">O65/(parametros_manuales!$B$7)</f>
        <v>17.7900507872267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2584.2521738</v>
      </c>
      <c r="C66" s="9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1980.316852492</v>
      </c>
      <c r="D66" s="9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1877.303097054</v>
      </c>
      <c r="E66" s="9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1804.732358264</v>
      </c>
      <c r="F66" s="9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1690.033897332</v>
      </c>
      <c r="G66" s="9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1647.90617519</v>
      </c>
      <c r="H66" s="9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1762.604636122</v>
      </c>
      <c r="I66" s="9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1762.604636122</v>
      </c>
      <c r="J66" s="9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1762.604636122</v>
      </c>
      <c r="K66" s="9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1720.47691398</v>
      </c>
      <c r="L66" s="9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1678.349191838</v>
      </c>
      <c r="M66" s="9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2668.507618084</v>
      </c>
      <c r="N66" s="9" t="n">
        <f aca="false">SUM(B66:M66)</f>
        <v>22939.6921864</v>
      </c>
      <c r="O66" s="9" t="n">
        <f aca="false">MAX(B66:M66)</f>
        <v>2668.507618084</v>
      </c>
      <c r="P66" s="43" t="n">
        <f aca="false">O66/(parametros_manuales!$B$7)</f>
        <v>17.7900507872267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2584.2521738</v>
      </c>
      <c r="C67" s="9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1980.316852492</v>
      </c>
      <c r="D67" s="9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1877.303097054</v>
      </c>
      <c r="E67" s="9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1804.732358264</v>
      </c>
      <c r="F67" s="9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1690.033897332</v>
      </c>
      <c r="G67" s="9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1647.90617519</v>
      </c>
      <c r="H67" s="9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1762.604636122</v>
      </c>
      <c r="I67" s="9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1762.604636122</v>
      </c>
      <c r="J67" s="9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1762.604636122</v>
      </c>
      <c r="K67" s="9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1720.47691398</v>
      </c>
      <c r="L67" s="9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1678.349191838</v>
      </c>
      <c r="M67" s="9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2668.507618084</v>
      </c>
      <c r="N67" s="9" t="n">
        <f aca="false">SUM(B67:M67)</f>
        <v>22939.6921864</v>
      </c>
      <c r="O67" s="9" t="n">
        <f aca="false">MAX(B67:M67)</f>
        <v>2668.507618084</v>
      </c>
      <c r="P67" s="43" t="n">
        <f aca="false">O67/(parametros_manuales!$B$7)</f>
        <v>17.7900507872267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51.685043476</v>
      </c>
      <c r="C68" s="9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39.60633704984</v>
      </c>
      <c r="D68" s="9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37.54606194108</v>
      </c>
      <c r="E68" s="9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36.09464716528</v>
      </c>
      <c r="F68" s="9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33.80067794664</v>
      </c>
      <c r="G68" s="9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32.9581235038</v>
      </c>
      <c r="H68" s="9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35.25209272244</v>
      </c>
      <c r="I68" s="9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35.25209272244</v>
      </c>
      <c r="J68" s="9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35.25209272244</v>
      </c>
      <c r="K68" s="9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34.4095382796</v>
      </c>
      <c r="L68" s="9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33.56698383676</v>
      </c>
      <c r="M68" s="9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53.37015236168</v>
      </c>
      <c r="N68" s="9" t="n">
        <f aca="false">SUM(B68:M68)</f>
        <v>458.793843728</v>
      </c>
      <c r="O68" s="9" t="n">
        <f aca="false">MAX(B68:M68)</f>
        <v>53.37015236168</v>
      </c>
      <c r="P68" s="43" t="n">
        <f aca="false">O68/(parametros_manuales!$B$7)</f>
        <v>0.355801015744533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2584.2521738</v>
      </c>
      <c r="C69" s="9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1980.316852492</v>
      </c>
      <c r="D69" s="9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1877.303097054</v>
      </c>
      <c r="E69" s="9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1804.732358264</v>
      </c>
      <c r="F69" s="9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1690.033897332</v>
      </c>
      <c r="G69" s="9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1647.90617519</v>
      </c>
      <c r="H69" s="9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1762.604636122</v>
      </c>
      <c r="I69" s="9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1762.604636122</v>
      </c>
      <c r="J69" s="9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1762.604636122</v>
      </c>
      <c r="K69" s="9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1720.47691398</v>
      </c>
      <c r="L69" s="9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1678.349191838</v>
      </c>
      <c r="M69" s="9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2668.507618084</v>
      </c>
      <c r="N69" s="9" t="n">
        <f aca="false">SUM(B69:M69)</f>
        <v>22939.6921864</v>
      </c>
      <c r="O69" s="9" t="n">
        <f aca="false">MAX(B69:M69)</f>
        <v>2668.507618084</v>
      </c>
      <c r="P69" s="43" t="n">
        <f aca="false">O69/(parametros_manuales!$B$7)</f>
        <v>17.7900507872267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2584.2521738</v>
      </c>
      <c r="C70" s="9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1980.316852492</v>
      </c>
      <c r="D70" s="9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1877.303097054</v>
      </c>
      <c r="E70" s="9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1804.732358264</v>
      </c>
      <c r="F70" s="9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1690.033897332</v>
      </c>
      <c r="G70" s="9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1647.90617519</v>
      </c>
      <c r="H70" s="9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1762.604636122</v>
      </c>
      <c r="I70" s="9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1762.604636122</v>
      </c>
      <c r="J70" s="9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1762.604636122</v>
      </c>
      <c r="K70" s="9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1720.47691398</v>
      </c>
      <c r="L70" s="9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1678.349191838</v>
      </c>
      <c r="M70" s="9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2668.507618084</v>
      </c>
      <c r="N70" s="9" t="n">
        <f aca="false">SUM(B70:M70)</f>
        <v>22939.6921864</v>
      </c>
      <c r="O70" s="9" t="n">
        <f aca="false">MAX(B70:M70)</f>
        <v>2668.507618084</v>
      </c>
      <c r="P70" s="43" t="n">
        <f aca="false">O70/(parametros_manuales!$B$7)</f>
        <v>17.7900507872267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2584.2521738</v>
      </c>
      <c r="C71" s="9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1980.316852492</v>
      </c>
      <c r="D71" s="9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1877.303097054</v>
      </c>
      <c r="E71" s="9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1804.732358264</v>
      </c>
      <c r="F71" s="9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1690.033897332</v>
      </c>
      <c r="G71" s="9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1647.90617519</v>
      </c>
      <c r="H71" s="9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1762.604636122</v>
      </c>
      <c r="I71" s="9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1762.604636122</v>
      </c>
      <c r="J71" s="9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1762.604636122</v>
      </c>
      <c r="K71" s="9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1720.47691398</v>
      </c>
      <c r="L71" s="9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1678.349191838</v>
      </c>
      <c r="M71" s="9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2668.507618084</v>
      </c>
      <c r="N71" s="9" t="n">
        <f aca="false">SUM(B71:M71)</f>
        <v>22939.6921864</v>
      </c>
      <c r="O71" s="9" t="n">
        <f aca="false">MAX(B71:M71)</f>
        <v>2668.507618084</v>
      </c>
      <c r="P71" s="43" t="n">
        <f aca="false">O71/(parametros_manuales!$B$7)</f>
        <v>17.7900507872267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2584.2521738</v>
      </c>
      <c r="C72" s="9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1980.316852492</v>
      </c>
      <c r="D72" s="9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1877.303097054</v>
      </c>
      <c r="E72" s="9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1804.732358264</v>
      </c>
      <c r="F72" s="9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1690.033897332</v>
      </c>
      <c r="G72" s="9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1647.90617519</v>
      </c>
      <c r="H72" s="9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1762.604636122</v>
      </c>
      <c r="I72" s="9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1762.604636122</v>
      </c>
      <c r="J72" s="9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1762.604636122</v>
      </c>
      <c r="K72" s="9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1720.47691398</v>
      </c>
      <c r="L72" s="9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1678.349191838</v>
      </c>
      <c r="M72" s="9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2668.507618084</v>
      </c>
      <c r="N72" s="9" t="n">
        <f aca="false">SUM(B72:M72)</f>
        <v>22939.6921864</v>
      </c>
      <c r="O72" s="9" t="n">
        <f aca="false">MAX(B72:M72)</f>
        <v>2668.507618084</v>
      </c>
      <c r="P72" s="43" t="n">
        <f aca="false">O72/(parametros_manuales!$B$7)</f>
        <v>17.7900507872267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129.21260869</v>
      </c>
      <c r="C73" s="9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99.0158426246</v>
      </c>
      <c r="D73" s="9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93.8651548527</v>
      </c>
      <c r="E73" s="9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90.2366179132</v>
      </c>
      <c r="F73" s="9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84.5016948666</v>
      </c>
      <c r="G73" s="9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82.3953087595</v>
      </c>
      <c r="H73" s="9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88.1302318061</v>
      </c>
      <c r="I73" s="9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88.1302318061</v>
      </c>
      <c r="J73" s="9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88.1302318061</v>
      </c>
      <c r="K73" s="9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86.023845699</v>
      </c>
      <c r="L73" s="9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83.9174595919</v>
      </c>
      <c r="M73" s="9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133.4253809042</v>
      </c>
      <c r="N73" s="9" t="n">
        <f aca="false">SUM(B73:M73)</f>
        <v>1146.98460932</v>
      </c>
      <c r="O73" s="9" t="n">
        <f aca="false">MAX(B73:M73)</f>
        <v>133.4253809042</v>
      </c>
      <c r="P73" s="43" t="n">
        <f aca="false">O73/(parametros_manuales!$B$7)</f>
        <v>0.889502539361333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2584.2521738</v>
      </c>
      <c r="C74" s="9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1980.316852492</v>
      </c>
      <c r="D74" s="9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1877.303097054</v>
      </c>
      <c r="E74" s="9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1804.732358264</v>
      </c>
      <c r="F74" s="9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1690.033897332</v>
      </c>
      <c r="G74" s="9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1647.90617519</v>
      </c>
      <c r="H74" s="9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1762.604636122</v>
      </c>
      <c r="I74" s="9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1762.604636122</v>
      </c>
      <c r="J74" s="9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1762.604636122</v>
      </c>
      <c r="K74" s="9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1720.47691398</v>
      </c>
      <c r="L74" s="9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1678.349191838</v>
      </c>
      <c r="M74" s="9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2668.507618084</v>
      </c>
      <c r="N74" s="9" t="n">
        <f aca="false">SUM(B74:M74)</f>
        <v>22939.6921864</v>
      </c>
      <c r="O74" s="9" t="n">
        <f aca="false">MAX(B74:M74)</f>
        <v>2668.507618084</v>
      </c>
      <c r="P74" s="43" t="n">
        <f aca="false">O74/(parametros_manuales!$B$7)</f>
        <v>17.7900507872267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1463.4201738</v>
      </c>
      <c r="C75" s="9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1129.625652492</v>
      </c>
      <c r="D75" s="9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1093.168697054</v>
      </c>
      <c r="E75" s="9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1058.909958264</v>
      </c>
      <c r="F75" s="9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992.590697332</v>
      </c>
      <c r="G75" s="9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960.53017519</v>
      </c>
      <c r="H75" s="9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1026.849436122</v>
      </c>
      <c r="I75" s="9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1026.849436122</v>
      </c>
      <c r="J75" s="9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1026.849436122</v>
      </c>
      <c r="K75" s="9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994.78891398</v>
      </c>
      <c r="L75" s="9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962.728391838</v>
      </c>
      <c r="M75" s="9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1527.541218084</v>
      </c>
      <c r="N75" s="9" t="n">
        <f aca="false">SUM(B75:M75)</f>
        <v>13263.8521864</v>
      </c>
      <c r="O75" s="9" t="n">
        <f aca="false">MAX(B75:M75)</f>
        <v>1527.541218084</v>
      </c>
      <c r="P75" s="43" t="n">
        <f aca="false">O75/(parametros_manuales!$B$7)</f>
        <v>10.18360812056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1463.4201738</v>
      </c>
      <c r="C76" s="9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1129.625652492</v>
      </c>
      <c r="D76" s="9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1093.168697054</v>
      </c>
      <c r="E76" s="9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1058.909958264</v>
      </c>
      <c r="F76" s="9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992.590697332</v>
      </c>
      <c r="G76" s="9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960.53017519</v>
      </c>
      <c r="H76" s="9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1026.849436122</v>
      </c>
      <c r="I76" s="9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1026.849436122</v>
      </c>
      <c r="J76" s="9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1026.849436122</v>
      </c>
      <c r="K76" s="9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994.78891398</v>
      </c>
      <c r="L76" s="9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962.728391838</v>
      </c>
      <c r="M76" s="9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1527.541218084</v>
      </c>
      <c r="N76" s="9" t="n">
        <f aca="false">SUM(B76:M76)</f>
        <v>13263.8521864</v>
      </c>
      <c r="O76" s="9" t="n">
        <f aca="false">MAX(B76:M76)</f>
        <v>1527.541218084</v>
      </c>
      <c r="P76" s="43" t="n">
        <f aca="false">O76/(parametros_manuales!$B$7)</f>
        <v>10.18360812056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1463.4201738</v>
      </c>
      <c r="C77" s="9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1129.625652492</v>
      </c>
      <c r="D77" s="9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1093.168697054</v>
      </c>
      <c r="E77" s="9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1058.909958264</v>
      </c>
      <c r="F77" s="9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992.590697332</v>
      </c>
      <c r="G77" s="9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960.53017519</v>
      </c>
      <c r="H77" s="9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1026.849436122</v>
      </c>
      <c r="I77" s="9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1026.849436122</v>
      </c>
      <c r="J77" s="9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1026.849436122</v>
      </c>
      <c r="K77" s="9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994.78891398</v>
      </c>
      <c r="L77" s="9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962.728391838</v>
      </c>
      <c r="M77" s="9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1527.541218084</v>
      </c>
      <c r="N77" s="9" t="n">
        <f aca="false">SUM(B77:M77)</f>
        <v>13263.8521864</v>
      </c>
      <c r="O77" s="9" t="n">
        <f aca="false">MAX(B77:M77)</f>
        <v>1527.541218084</v>
      </c>
      <c r="P77" s="43" t="n">
        <f aca="false">O77/(parametros_manuales!$B$7)</f>
        <v>10.18360812056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1463.4201738</v>
      </c>
      <c r="C78" s="9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1129.625652492</v>
      </c>
      <c r="D78" s="9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1093.168697054</v>
      </c>
      <c r="E78" s="9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1058.909958264</v>
      </c>
      <c r="F78" s="9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992.590697332</v>
      </c>
      <c r="G78" s="9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960.53017519</v>
      </c>
      <c r="H78" s="9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1026.849436122</v>
      </c>
      <c r="I78" s="9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1026.849436122</v>
      </c>
      <c r="J78" s="9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1026.849436122</v>
      </c>
      <c r="K78" s="9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994.78891398</v>
      </c>
      <c r="L78" s="9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962.728391838</v>
      </c>
      <c r="M78" s="9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1527.541218084</v>
      </c>
      <c r="N78" s="9" t="n">
        <f aca="false">SUM(B78:M78)</f>
        <v>13263.8521864</v>
      </c>
      <c r="O78" s="9" t="n">
        <f aca="false">MAX(B78:M78)</f>
        <v>1527.541218084</v>
      </c>
      <c r="P78" s="43" t="n">
        <f aca="false">O78/(parametros_manuales!$B$7)</f>
        <v>10.18360812056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1463.4201738</v>
      </c>
      <c r="C79" s="9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1129.625652492</v>
      </c>
      <c r="D79" s="9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1093.168697054</v>
      </c>
      <c r="E79" s="9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1058.909958264</v>
      </c>
      <c r="F79" s="9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992.590697332</v>
      </c>
      <c r="G79" s="9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960.53017519</v>
      </c>
      <c r="H79" s="9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1026.849436122</v>
      </c>
      <c r="I79" s="9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1026.849436122</v>
      </c>
      <c r="J79" s="9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1026.849436122</v>
      </c>
      <c r="K79" s="9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994.78891398</v>
      </c>
      <c r="L79" s="9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962.728391838</v>
      </c>
      <c r="M79" s="9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1527.541218084</v>
      </c>
      <c r="N79" s="9" t="n">
        <f aca="false">SUM(B79:M79)</f>
        <v>13263.8521864</v>
      </c>
      <c r="O79" s="9" t="n">
        <f aca="false">MAX(B79:M79)</f>
        <v>1527.541218084</v>
      </c>
      <c r="P79" s="43" t="n">
        <f aca="false">O79/(parametros_manuales!$B$7)</f>
        <v>10.18360812056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2584.2521738</v>
      </c>
      <c r="C80" s="9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1980.316852492</v>
      </c>
      <c r="D80" s="9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1877.303097054</v>
      </c>
      <c r="E80" s="9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1804.732358264</v>
      </c>
      <c r="F80" s="9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1690.033897332</v>
      </c>
      <c r="G80" s="9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1647.90617519</v>
      </c>
      <c r="H80" s="9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1762.604636122</v>
      </c>
      <c r="I80" s="9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1762.604636122</v>
      </c>
      <c r="J80" s="9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1762.604636122</v>
      </c>
      <c r="K80" s="9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1720.47691398</v>
      </c>
      <c r="L80" s="9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1678.349191838</v>
      </c>
      <c r="M80" s="9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2668.507618084</v>
      </c>
      <c r="N80" s="9" t="n">
        <f aca="false">SUM(B80:M80)</f>
        <v>22939.6921864</v>
      </c>
      <c r="O80" s="9" t="n">
        <f aca="false">MAX(B80:M80)</f>
        <v>2668.507618084</v>
      </c>
      <c r="P80" s="43" t="n">
        <f aca="false">O80/(parametros_manuales!$B$7)</f>
        <v>17.7900507872267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193</v>
      </c>
      <c r="B82" s="7" t="s">
        <v>61</v>
      </c>
      <c r="C82" s="7" t="s">
        <v>62</v>
      </c>
      <c r="D82" s="7" t="s">
        <v>63</v>
      </c>
      <c r="E82" s="7" t="s">
        <v>64</v>
      </c>
      <c r="F82" s="7" t="s">
        <v>65</v>
      </c>
      <c r="G82" s="7" t="s">
        <v>66</v>
      </c>
      <c r="H82" s="7" t="s">
        <v>67</v>
      </c>
      <c r="I82" s="7" t="s">
        <v>68</v>
      </c>
      <c r="J82" s="7" t="s">
        <v>69</v>
      </c>
      <c r="K82" s="7" t="s">
        <v>70</v>
      </c>
      <c r="L82" s="7" t="s">
        <v>71</v>
      </c>
      <c r="M82" s="7" t="s">
        <v>72</v>
      </c>
      <c r="N82" s="7" t="s">
        <v>183</v>
      </c>
      <c r="O82" s="7" t="s">
        <v>188</v>
      </c>
      <c r="P82" s="7" t="s">
        <v>189</v>
      </c>
      <c r="Q82" s="7" t="s">
        <v>190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5774.90566399</v>
      </c>
      <c r="C83" s="9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4408.952917898</v>
      </c>
      <c r="D83" s="9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4135.1072323135</v>
      </c>
      <c r="E83" s="9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3959.2975545685</v>
      </c>
      <c r="F83" s="9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3705.714206918</v>
      </c>
      <c r="G83" s="9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3627.9405370125</v>
      </c>
      <c r="H83" s="9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3881.523884663</v>
      </c>
      <c r="I83" s="9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3881.523884663</v>
      </c>
      <c r="J83" s="9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3881.523884663</v>
      </c>
      <c r="K83" s="9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3803.7502147575</v>
      </c>
      <c r="L83" s="9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3725.976544852</v>
      </c>
      <c r="M83" s="9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5930.453003801</v>
      </c>
      <c r="N83" s="9" t="n">
        <f aca="false">SUM(B83:M83)</f>
        <v>50716.6695301</v>
      </c>
      <c r="O83" s="9" t="n">
        <f aca="false">MAX(B83:M83)</f>
        <v>5930.453003801</v>
      </c>
      <c r="P83" s="43" t="n">
        <f aca="false">O83/(parametros_manuales!$B$7)</f>
        <v>39.5363533586733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</f>
        <v>1555.47339811</v>
      </c>
      <c r="C84" s="9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</f>
        <v>1244.378718488</v>
      </c>
      <c r="D84" s="9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</f>
        <v>1322.1523883935</v>
      </c>
      <c r="E84" s="9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</f>
        <v>1322.1523883935</v>
      </c>
      <c r="F84" s="9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</f>
        <v>1244.378718488</v>
      </c>
      <c r="G84" s="9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</f>
        <v>1166.6050485825</v>
      </c>
      <c r="H84" s="9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</f>
        <v>1244.378718488</v>
      </c>
      <c r="I84" s="9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</f>
        <v>1244.378718488</v>
      </c>
      <c r="J84" s="9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</f>
        <v>1244.378718488</v>
      </c>
      <c r="K84" s="9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</f>
        <v>1166.6050485825</v>
      </c>
      <c r="L84" s="9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</f>
        <v>1088.831378677</v>
      </c>
      <c r="M84" s="9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</f>
        <v>1711.020737921</v>
      </c>
      <c r="N84" s="9" t="n">
        <f aca="false">SUM(B84:M84)</f>
        <v>15554.7339811</v>
      </c>
      <c r="O84" s="9" t="n">
        <f aca="false">MAX(B84:M84)</f>
        <v>1711.020737921</v>
      </c>
      <c r="P84" s="43" t="n">
        <f aca="false">O84/(parametros_manuales!$B$7)</f>
        <v>11.4068049194733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</f>
        <v>4219.43226588</v>
      </c>
      <c r="C85" s="9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</f>
        <v>3164.57419941</v>
      </c>
      <c r="D85" s="9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</f>
        <v>2812.95484392</v>
      </c>
      <c r="E85" s="9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</f>
        <v>2637.145166175</v>
      </c>
      <c r="F85" s="9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</f>
        <v>2461.33548843</v>
      </c>
      <c r="G85" s="9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</f>
        <v>2461.33548843</v>
      </c>
      <c r="H85" s="9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</f>
        <v>2637.145166175</v>
      </c>
      <c r="I85" s="9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</f>
        <v>2637.145166175</v>
      </c>
      <c r="J85" s="9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</f>
        <v>2637.145166175</v>
      </c>
      <c r="K85" s="9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</f>
        <v>2637.145166175</v>
      </c>
      <c r="L85" s="9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</f>
        <v>2637.145166175</v>
      </c>
      <c r="M85" s="9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</f>
        <v>4219.43226588</v>
      </c>
      <c r="N85" s="9" t="n">
        <f aca="false">SUM(B85:M85)</f>
        <v>35161.935549</v>
      </c>
      <c r="O85" s="9" t="n">
        <f aca="false">MAX(B85:M85)</f>
        <v>4219.43226588</v>
      </c>
      <c r="P85" s="43" t="n">
        <f aca="false">O85/(parametros_manuales!$B$7)</f>
        <v>28.1295484392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11549.81132798</v>
      </c>
      <c r="C86" s="9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8817.905835796</v>
      </c>
      <c r="D86" s="9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8270.214464627</v>
      </c>
      <c r="E86" s="9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7918.595109137</v>
      </c>
      <c r="F86" s="9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7411.428413836</v>
      </c>
      <c r="G86" s="9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7255.881074025</v>
      </c>
      <c r="H86" s="9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7763.047769326</v>
      </c>
      <c r="I86" s="9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7763.047769326</v>
      </c>
      <c r="J86" s="9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7763.047769326</v>
      </c>
      <c r="K86" s="9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7607.500429515</v>
      </c>
      <c r="L86" s="9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7451.953089704</v>
      </c>
      <c r="M86" s="9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11860.906007602</v>
      </c>
      <c r="N86" s="9" t="n">
        <f aca="false">SUM(B86:M86)</f>
        <v>101433.3390602</v>
      </c>
      <c r="O86" s="9" t="n">
        <f aca="false">MAX(B86:M86)</f>
        <v>11860.906007602</v>
      </c>
      <c r="P86" s="43" t="n">
        <f aca="false">O86/(parametros_manuales!$B$7)</f>
        <v>79.0727067173467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5774.90566399</v>
      </c>
      <c r="C87" s="9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4408.952917898</v>
      </c>
      <c r="D87" s="9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4135.1072323135</v>
      </c>
      <c r="E87" s="9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3959.2975545685</v>
      </c>
      <c r="F87" s="9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3705.714206918</v>
      </c>
      <c r="G87" s="9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3627.9405370125</v>
      </c>
      <c r="H87" s="9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3881.523884663</v>
      </c>
      <c r="I87" s="9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3881.523884663</v>
      </c>
      <c r="J87" s="9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3881.523884663</v>
      </c>
      <c r="K87" s="9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3803.7502147575</v>
      </c>
      <c r="L87" s="9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3725.976544852</v>
      </c>
      <c r="M87" s="9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5930.453003801</v>
      </c>
      <c r="N87" s="9" t="n">
        <f aca="false">SUM(B87:M87)</f>
        <v>50716.6695301</v>
      </c>
      <c r="O87" s="9" t="n">
        <f aca="false">MAX(B87:M87)</f>
        <v>5930.453003801</v>
      </c>
      <c r="P87" s="43" t="n">
        <f aca="false">O87/(parametros_manuales!$B$7)</f>
        <v>39.5363533586733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5774.90566399</v>
      </c>
      <c r="C88" s="9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4408.952917898</v>
      </c>
      <c r="D88" s="9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4135.1072323135</v>
      </c>
      <c r="E88" s="9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3959.2975545685</v>
      </c>
      <c r="F88" s="9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3705.714206918</v>
      </c>
      <c r="G88" s="9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3627.9405370125</v>
      </c>
      <c r="H88" s="9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3881.523884663</v>
      </c>
      <c r="I88" s="9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3881.523884663</v>
      </c>
      <c r="J88" s="9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3881.523884663</v>
      </c>
      <c r="K88" s="9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3803.7502147575</v>
      </c>
      <c r="L88" s="9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3725.976544852</v>
      </c>
      <c r="M88" s="9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5930.453003801</v>
      </c>
      <c r="N88" s="9" t="n">
        <f aca="false">SUM(B88:M88)</f>
        <v>50716.6695301</v>
      </c>
      <c r="O88" s="9" t="n">
        <f aca="false">MAX(B88:M88)</f>
        <v>5930.453003801</v>
      </c>
      <c r="P88" s="43" t="n">
        <f aca="false">O88/(parametros_manuales!$B$7)</f>
        <v>39.5363533586733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5774.90566399</v>
      </c>
      <c r="C89" s="9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4408.952917898</v>
      </c>
      <c r="D89" s="9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4135.1072323135</v>
      </c>
      <c r="E89" s="9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3959.2975545685</v>
      </c>
      <c r="F89" s="9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3705.714206918</v>
      </c>
      <c r="G89" s="9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3627.9405370125</v>
      </c>
      <c r="H89" s="9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3881.523884663</v>
      </c>
      <c r="I89" s="9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3881.523884663</v>
      </c>
      <c r="J89" s="9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3881.523884663</v>
      </c>
      <c r="K89" s="9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3803.7502147575</v>
      </c>
      <c r="L89" s="9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3725.976544852</v>
      </c>
      <c r="M89" s="9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5930.453003801</v>
      </c>
      <c r="N89" s="9" t="n">
        <f aca="false">SUM(B89:M89)</f>
        <v>50716.6695301</v>
      </c>
      <c r="O89" s="9" t="n">
        <f aca="false">MAX(B89:M89)</f>
        <v>5930.453003801</v>
      </c>
      <c r="P89" s="43" t="n">
        <f aca="false">O89/(parametros_manuales!$B$7)</f>
        <v>39.5363533586733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1555.47339811</v>
      </c>
      <c r="C90" s="9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1244.378718488</v>
      </c>
      <c r="D90" s="9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1322.1523883935</v>
      </c>
      <c r="E90" s="9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1322.1523883935</v>
      </c>
      <c r="F90" s="9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1244.378718488</v>
      </c>
      <c r="G90" s="9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1166.6050485825</v>
      </c>
      <c r="H90" s="9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1244.378718488</v>
      </c>
      <c r="I90" s="9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1244.378718488</v>
      </c>
      <c r="J90" s="9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1244.378718488</v>
      </c>
      <c r="K90" s="9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1166.6050485825</v>
      </c>
      <c r="L90" s="9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1088.831378677</v>
      </c>
      <c r="M90" s="9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1711.020737921</v>
      </c>
      <c r="N90" s="9" t="n">
        <f aca="false">SUM(B90:M90)</f>
        <v>15554.7339811</v>
      </c>
      <c r="O90" s="9" t="n">
        <f aca="false">MAX(B90:M90)</f>
        <v>1711.020737921</v>
      </c>
      <c r="P90" s="43" t="n">
        <f aca="false">O90/(parametros_manuales!$B$7)</f>
        <v>11.4068049194733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1555.47339811</v>
      </c>
      <c r="C91" s="9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1244.378718488</v>
      </c>
      <c r="D91" s="9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1322.1523883935</v>
      </c>
      <c r="E91" s="9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1322.1523883935</v>
      </c>
      <c r="F91" s="9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1244.378718488</v>
      </c>
      <c r="G91" s="9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1166.6050485825</v>
      </c>
      <c r="H91" s="9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1244.378718488</v>
      </c>
      <c r="I91" s="9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1244.378718488</v>
      </c>
      <c r="J91" s="9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1244.378718488</v>
      </c>
      <c r="K91" s="9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1166.6050485825</v>
      </c>
      <c r="L91" s="9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1088.831378677</v>
      </c>
      <c r="M91" s="9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1711.020737921</v>
      </c>
      <c r="N91" s="9" t="n">
        <f aca="false">SUM(B91:M91)</f>
        <v>15554.7339811</v>
      </c>
      <c r="O91" s="9" t="n">
        <f aca="false">MAX(B91:M91)</f>
        <v>1711.020737921</v>
      </c>
      <c r="P91" s="43" t="n">
        <f aca="false">O91/(parametros_manuales!$B$7)</f>
        <v>11.4068049194733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5774.90566399</v>
      </c>
      <c r="C92" s="9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4408.952917898</v>
      </c>
      <c r="D92" s="9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4135.1072323135</v>
      </c>
      <c r="E92" s="9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3959.2975545685</v>
      </c>
      <c r="F92" s="9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3705.714206918</v>
      </c>
      <c r="G92" s="9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3627.9405370125</v>
      </c>
      <c r="H92" s="9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3881.523884663</v>
      </c>
      <c r="I92" s="9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3881.523884663</v>
      </c>
      <c r="J92" s="9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3881.523884663</v>
      </c>
      <c r="K92" s="9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3803.7502147575</v>
      </c>
      <c r="L92" s="9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3725.976544852</v>
      </c>
      <c r="M92" s="9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5930.453003801</v>
      </c>
      <c r="N92" s="9" t="n">
        <f aca="false">SUM(B92:M92)</f>
        <v>50716.6695301</v>
      </c>
      <c r="O92" s="9" t="n">
        <f aca="false">MAX(B92:M92)</f>
        <v>5930.453003801</v>
      </c>
      <c r="P92" s="43" t="n">
        <f aca="false">O92/(parametros_manuales!$B$7)</f>
        <v>39.5363533586733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5774.90566399</v>
      </c>
      <c r="C93" s="9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4408.952917898</v>
      </c>
      <c r="D93" s="9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4135.1072323135</v>
      </c>
      <c r="E93" s="9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3959.2975545685</v>
      </c>
      <c r="F93" s="9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3705.714206918</v>
      </c>
      <c r="G93" s="9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3627.9405370125</v>
      </c>
      <c r="H93" s="9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3881.523884663</v>
      </c>
      <c r="I93" s="9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3881.523884663</v>
      </c>
      <c r="J93" s="9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3881.523884663</v>
      </c>
      <c r="K93" s="9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3803.7502147575</v>
      </c>
      <c r="L93" s="9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3725.976544852</v>
      </c>
      <c r="M93" s="9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5930.453003801</v>
      </c>
      <c r="N93" s="9" t="n">
        <f aca="false">SUM(B93:M93)</f>
        <v>50716.6695301</v>
      </c>
      <c r="O93" s="9" t="n">
        <f aca="false">MAX(B93:M93)</f>
        <v>5930.453003801</v>
      </c>
      <c r="P93" s="43" t="n">
        <f aca="false">O93/(parametros_manuales!$B$7)</f>
        <v>39.5363533586733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5774.90566399</v>
      </c>
      <c r="C94" s="9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4408.952917898</v>
      </c>
      <c r="D94" s="9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4135.1072323135</v>
      </c>
      <c r="E94" s="9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3959.2975545685</v>
      </c>
      <c r="F94" s="9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3705.714206918</v>
      </c>
      <c r="G94" s="9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3627.9405370125</v>
      </c>
      <c r="H94" s="9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3881.523884663</v>
      </c>
      <c r="I94" s="9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3881.523884663</v>
      </c>
      <c r="J94" s="9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3881.523884663</v>
      </c>
      <c r="K94" s="9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3803.7502147575</v>
      </c>
      <c r="L94" s="9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3725.976544852</v>
      </c>
      <c r="M94" s="9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5930.453003801</v>
      </c>
      <c r="N94" s="9" t="n">
        <f aca="false">SUM(B94:M94)</f>
        <v>50716.6695301</v>
      </c>
      <c r="O94" s="9" t="n">
        <f aca="false">MAX(B94:M94)</f>
        <v>5930.453003801</v>
      </c>
      <c r="P94" s="43" t="n">
        <f aca="false">O94/(parametros_manuales!$B$7)</f>
        <v>39.5363533586733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115.4981132798</v>
      </c>
      <c r="C95" s="9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88.17905835796</v>
      </c>
      <c r="D95" s="9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82.70214464627</v>
      </c>
      <c r="E95" s="9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79.18595109137</v>
      </c>
      <c r="F95" s="9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74.11428413836</v>
      </c>
      <c r="G95" s="9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72.55881074025</v>
      </c>
      <c r="H95" s="9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77.63047769326</v>
      </c>
      <c r="I95" s="9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77.63047769326</v>
      </c>
      <c r="J95" s="9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77.63047769326</v>
      </c>
      <c r="K95" s="9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76.07500429515</v>
      </c>
      <c r="L95" s="9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74.51953089704</v>
      </c>
      <c r="M95" s="9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118.60906007602</v>
      </c>
      <c r="N95" s="9" t="n">
        <f aca="false">SUM(B95:M95)</f>
        <v>1014.333390602</v>
      </c>
      <c r="O95" s="9" t="n">
        <f aca="false">MAX(B95:M95)</f>
        <v>118.60906007602</v>
      </c>
      <c r="P95" s="43" t="n">
        <f aca="false">O95/(parametros_manuales!$B$7)</f>
        <v>0.790727067173467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5774.90566399</v>
      </c>
      <c r="C96" s="9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4408.952917898</v>
      </c>
      <c r="D96" s="9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4135.1072323135</v>
      </c>
      <c r="E96" s="9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3959.2975545685</v>
      </c>
      <c r="F96" s="9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3705.714206918</v>
      </c>
      <c r="G96" s="9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3627.9405370125</v>
      </c>
      <c r="H96" s="9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3881.523884663</v>
      </c>
      <c r="I96" s="9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3881.523884663</v>
      </c>
      <c r="J96" s="9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3881.523884663</v>
      </c>
      <c r="K96" s="9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3803.7502147575</v>
      </c>
      <c r="L96" s="9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3725.976544852</v>
      </c>
      <c r="M96" s="9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5930.453003801</v>
      </c>
      <c r="N96" s="9" t="n">
        <f aca="false">SUM(B96:M96)</f>
        <v>50716.6695301</v>
      </c>
      <c r="O96" s="9" t="n">
        <f aca="false">MAX(B96:M96)</f>
        <v>5930.453003801</v>
      </c>
      <c r="P96" s="43" t="n">
        <f aca="false">O96/(parametros_manuales!$B$7)</f>
        <v>39.5363533586733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5774.90566399</v>
      </c>
      <c r="C97" s="9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4408.952917898</v>
      </c>
      <c r="D97" s="9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4135.1072323135</v>
      </c>
      <c r="E97" s="9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3959.2975545685</v>
      </c>
      <c r="F97" s="9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3705.714206918</v>
      </c>
      <c r="G97" s="9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3627.9405370125</v>
      </c>
      <c r="H97" s="9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3881.523884663</v>
      </c>
      <c r="I97" s="9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3881.523884663</v>
      </c>
      <c r="J97" s="9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3881.523884663</v>
      </c>
      <c r="K97" s="9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3803.7502147575</v>
      </c>
      <c r="L97" s="9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3725.976544852</v>
      </c>
      <c r="M97" s="9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5930.453003801</v>
      </c>
      <c r="N97" s="9" t="n">
        <f aca="false">SUM(B97:M97)</f>
        <v>50716.6695301</v>
      </c>
      <c r="O97" s="9" t="n">
        <f aca="false">MAX(B97:M97)</f>
        <v>5930.453003801</v>
      </c>
      <c r="P97" s="43" t="n">
        <f aca="false">O97/(parametros_manuales!$B$7)</f>
        <v>39.5363533586733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5774.90566399</v>
      </c>
      <c r="C98" s="9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4408.952917898</v>
      </c>
      <c r="D98" s="9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4135.1072323135</v>
      </c>
      <c r="E98" s="9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3959.2975545685</v>
      </c>
      <c r="F98" s="9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3705.714206918</v>
      </c>
      <c r="G98" s="9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3627.9405370125</v>
      </c>
      <c r="H98" s="9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3881.523884663</v>
      </c>
      <c r="I98" s="9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3881.523884663</v>
      </c>
      <c r="J98" s="9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3881.523884663</v>
      </c>
      <c r="K98" s="9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3803.7502147575</v>
      </c>
      <c r="L98" s="9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3725.976544852</v>
      </c>
      <c r="M98" s="9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5930.453003801</v>
      </c>
      <c r="N98" s="9" t="n">
        <f aca="false">SUM(B98:M98)</f>
        <v>50716.6695301</v>
      </c>
      <c r="O98" s="9" t="n">
        <f aca="false">MAX(B98:M98)</f>
        <v>5930.453003801</v>
      </c>
      <c r="P98" s="43" t="n">
        <f aca="false">O98/(parametros_manuales!$B$7)</f>
        <v>39.5363533586733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5774.90566399</v>
      </c>
      <c r="C99" s="9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4408.952917898</v>
      </c>
      <c r="D99" s="9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4135.1072323135</v>
      </c>
      <c r="E99" s="9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3959.2975545685</v>
      </c>
      <c r="F99" s="9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3705.714206918</v>
      </c>
      <c r="G99" s="9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3627.9405370125</v>
      </c>
      <c r="H99" s="9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3881.523884663</v>
      </c>
      <c r="I99" s="9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3881.523884663</v>
      </c>
      <c r="J99" s="9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3881.523884663</v>
      </c>
      <c r="K99" s="9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3803.7502147575</v>
      </c>
      <c r="L99" s="9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3725.976544852</v>
      </c>
      <c r="M99" s="9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5930.453003801</v>
      </c>
      <c r="N99" s="9" t="n">
        <f aca="false">SUM(B99:M99)</f>
        <v>50716.6695301</v>
      </c>
      <c r="O99" s="9" t="n">
        <f aca="false">MAX(B99:M99)</f>
        <v>5930.453003801</v>
      </c>
      <c r="P99" s="43" t="n">
        <f aca="false">O99/(parametros_manuales!$B$7)</f>
        <v>39.5363533586733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288.7452831995</v>
      </c>
      <c r="C100" s="9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220.4476458949</v>
      </c>
      <c r="D100" s="9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206.755361615675</v>
      </c>
      <c r="E100" s="9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197.964877728425</v>
      </c>
      <c r="F100" s="9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185.2857103459</v>
      </c>
      <c r="G100" s="9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181.397026850625</v>
      </c>
      <c r="H100" s="9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194.07619423315</v>
      </c>
      <c r="I100" s="9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194.07619423315</v>
      </c>
      <c r="J100" s="9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194.07619423315</v>
      </c>
      <c r="K100" s="9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190.187510737875</v>
      </c>
      <c r="L100" s="9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186.2988272426</v>
      </c>
      <c r="M100" s="9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296.52265019005</v>
      </c>
      <c r="N100" s="9" t="n">
        <f aca="false">SUM(B100:M100)</f>
        <v>2535.833476505</v>
      </c>
      <c r="O100" s="9" t="n">
        <f aca="false">MAX(B100:M100)</f>
        <v>296.52265019005</v>
      </c>
      <c r="P100" s="43" t="n">
        <f aca="false">O100/(parametros_manuales!$B$7)</f>
        <v>1.97681766793367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5774.90566399</v>
      </c>
      <c r="C101" s="9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4408.952917898</v>
      </c>
      <c r="D101" s="9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4135.1072323135</v>
      </c>
      <c r="E101" s="9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3959.2975545685</v>
      </c>
      <c r="F101" s="9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3705.714206918</v>
      </c>
      <c r="G101" s="9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3627.9405370125</v>
      </c>
      <c r="H101" s="9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3881.523884663</v>
      </c>
      <c r="I101" s="9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3881.523884663</v>
      </c>
      <c r="J101" s="9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3881.523884663</v>
      </c>
      <c r="K101" s="9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3803.7502147575</v>
      </c>
      <c r="L101" s="9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3725.976544852</v>
      </c>
      <c r="M101" s="9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5930.453003801</v>
      </c>
      <c r="N101" s="9" t="n">
        <f aca="false">SUM(B101:M101)</f>
        <v>50716.6695301</v>
      </c>
      <c r="O101" s="9" t="n">
        <f aca="false">MAX(B101:M101)</f>
        <v>5930.453003801</v>
      </c>
      <c r="P101" s="43" t="n">
        <f aca="false">O101/(parametros_manuales!$B$7)</f>
        <v>39.5363533586733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1896.99766399</v>
      </c>
      <c r="C102" s="9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1466.795317898</v>
      </c>
      <c r="D102" s="9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1426.1710323135</v>
      </c>
      <c r="E102" s="9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1383.8353545685</v>
      </c>
      <c r="F102" s="9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1297.452606918</v>
      </c>
      <c r="G102" s="9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1253.4055370125</v>
      </c>
      <c r="H102" s="9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1339.788284663</v>
      </c>
      <c r="I102" s="9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1339.788284663</v>
      </c>
      <c r="J102" s="9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1339.788284663</v>
      </c>
      <c r="K102" s="9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1295.7412147575</v>
      </c>
      <c r="L102" s="9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1251.694144852</v>
      </c>
      <c r="M102" s="9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1985.091803801</v>
      </c>
      <c r="N102" s="9" t="n">
        <f aca="false">SUM(B102:M102)</f>
        <v>17276.5495301</v>
      </c>
      <c r="O102" s="9" t="n">
        <f aca="false">MAX(B102:M102)</f>
        <v>1985.091803801</v>
      </c>
      <c r="P102" s="43" t="n">
        <f aca="false">O102/(parametros_manuales!$B$7)</f>
        <v>13.2339453586733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1896.99766399</v>
      </c>
      <c r="C103" s="9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1466.795317898</v>
      </c>
      <c r="D103" s="9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1426.1710323135</v>
      </c>
      <c r="E103" s="9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1383.8353545685</v>
      </c>
      <c r="F103" s="9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1297.452606918</v>
      </c>
      <c r="G103" s="9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1253.4055370125</v>
      </c>
      <c r="H103" s="9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1339.788284663</v>
      </c>
      <c r="I103" s="9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1339.788284663</v>
      </c>
      <c r="J103" s="9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1339.788284663</v>
      </c>
      <c r="K103" s="9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1295.7412147575</v>
      </c>
      <c r="L103" s="9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1251.694144852</v>
      </c>
      <c r="M103" s="9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1985.091803801</v>
      </c>
      <c r="N103" s="9" t="n">
        <f aca="false">SUM(B103:M103)</f>
        <v>17276.5495301</v>
      </c>
      <c r="O103" s="9" t="n">
        <f aca="false">MAX(B103:M103)</f>
        <v>1985.091803801</v>
      </c>
      <c r="P103" s="43" t="n">
        <f aca="false">O103/(parametros_manuales!$B$7)</f>
        <v>13.2339453586733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1896.99766399</v>
      </c>
      <c r="C104" s="9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1466.795317898</v>
      </c>
      <c r="D104" s="9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1426.1710323135</v>
      </c>
      <c r="E104" s="9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1383.8353545685</v>
      </c>
      <c r="F104" s="9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1297.452606918</v>
      </c>
      <c r="G104" s="9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1253.4055370125</v>
      </c>
      <c r="H104" s="9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1339.788284663</v>
      </c>
      <c r="I104" s="9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1339.788284663</v>
      </c>
      <c r="J104" s="9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1339.788284663</v>
      </c>
      <c r="K104" s="9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1295.7412147575</v>
      </c>
      <c r="L104" s="9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1251.694144852</v>
      </c>
      <c r="M104" s="9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1985.091803801</v>
      </c>
      <c r="N104" s="9" t="n">
        <f aca="false">SUM(B104:M104)</f>
        <v>17276.5495301</v>
      </c>
      <c r="O104" s="9" t="n">
        <f aca="false">MAX(B104:M104)</f>
        <v>1985.091803801</v>
      </c>
      <c r="P104" s="43" t="n">
        <f aca="false">O104/(parametros_manuales!$B$7)</f>
        <v>13.2339453586733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1896.99766399</v>
      </c>
      <c r="C105" s="9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1466.795317898</v>
      </c>
      <c r="D105" s="9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1426.1710323135</v>
      </c>
      <c r="E105" s="9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1383.8353545685</v>
      </c>
      <c r="F105" s="9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1297.452606918</v>
      </c>
      <c r="G105" s="9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1253.4055370125</v>
      </c>
      <c r="H105" s="9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1339.788284663</v>
      </c>
      <c r="I105" s="9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1339.788284663</v>
      </c>
      <c r="J105" s="9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1339.788284663</v>
      </c>
      <c r="K105" s="9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1295.7412147575</v>
      </c>
      <c r="L105" s="9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1251.694144852</v>
      </c>
      <c r="M105" s="9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1985.091803801</v>
      </c>
      <c r="N105" s="9" t="n">
        <f aca="false">SUM(B105:M105)</f>
        <v>17276.5495301</v>
      </c>
      <c r="O105" s="9" t="n">
        <f aca="false">MAX(B105:M105)</f>
        <v>1985.091803801</v>
      </c>
      <c r="P105" s="43" t="n">
        <f aca="false">O105/(parametros_manuales!$B$7)</f>
        <v>13.2339453586733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1896.99766399</v>
      </c>
      <c r="C106" s="9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1466.795317898</v>
      </c>
      <c r="D106" s="9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1426.1710323135</v>
      </c>
      <c r="E106" s="9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1383.8353545685</v>
      </c>
      <c r="F106" s="9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1297.452606918</v>
      </c>
      <c r="G106" s="9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1253.4055370125</v>
      </c>
      <c r="H106" s="9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1339.788284663</v>
      </c>
      <c r="I106" s="9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1339.788284663</v>
      </c>
      <c r="J106" s="9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1339.788284663</v>
      </c>
      <c r="K106" s="9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1295.7412147575</v>
      </c>
      <c r="L106" s="9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1251.694144852</v>
      </c>
      <c r="M106" s="9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1985.091803801</v>
      </c>
      <c r="N106" s="9" t="n">
        <f aca="false">SUM(B106:M106)</f>
        <v>17276.5495301</v>
      </c>
      <c r="O106" s="9" t="n">
        <f aca="false">MAX(B106:M106)</f>
        <v>1985.091803801</v>
      </c>
      <c r="P106" s="43" t="n">
        <f aca="false">O106/(parametros_manuales!$B$7)</f>
        <v>13.2339453586733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5774.90566399</v>
      </c>
      <c r="C107" s="9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4408.952917898</v>
      </c>
      <c r="D107" s="9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4135.1072323135</v>
      </c>
      <c r="E107" s="9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3959.2975545685</v>
      </c>
      <c r="F107" s="9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3705.714206918</v>
      </c>
      <c r="G107" s="9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3627.9405370125</v>
      </c>
      <c r="H107" s="9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3881.523884663</v>
      </c>
      <c r="I107" s="9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3881.523884663</v>
      </c>
      <c r="J107" s="9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3881.523884663</v>
      </c>
      <c r="K107" s="9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3803.7502147575</v>
      </c>
      <c r="L107" s="9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3725.976544852</v>
      </c>
      <c r="M107" s="9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5930.453003801</v>
      </c>
      <c r="N107" s="9" t="n">
        <f aca="false">SUM(B107:M107)</f>
        <v>50716.6695301</v>
      </c>
      <c r="O107" s="9" t="n">
        <f aca="false">MAX(B107:M107)</f>
        <v>5930.453003801</v>
      </c>
      <c r="P107" s="43" t="n">
        <f aca="false">O107/(parametros_manuales!$B$7)</f>
        <v>39.5363533586733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194</v>
      </c>
      <c r="B109" s="7" t="s">
        <v>61</v>
      </c>
      <c r="C109" s="7" t="s">
        <v>62</v>
      </c>
      <c r="D109" s="7" t="s">
        <v>63</v>
      </c>
      <c r="E109" s="7" t="s">
        <v>64</v>
      </c>
      <c r="F109" s="7" t="s">
        <v>65</v>
      </c>
      <c r="G109" s="7" t="s">
        <v>66</v>
      </c>
      <c r="H109" s="7" t="s">
        <v>67</v>
      </c>
      <c r="I109" s="7" t="s">
        <v>68</v>
      </c>
      <c r="J109" s="7" t="s">
        <v>69</v>
      </c>
      <c r="K109" s="7" t="s">
        <v>70</v>
      </c>
      <c r="L109" s="7" t="s">
        <v>71</v>
      </c>
      <c r="M109" s="7" t="s">
        <v>72</v>
      </c>
      <c r="N109" s="7" t="s">
        <v>183</v>
      </c>
      <c r="O109" s="7" t="s">
        <v>188</v>
      </c>
      <c r="P109" s="7" t="s">
        <v>189</v>
      </c>
      <c r="Q109" s="7" t="s">
        <v>190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10069.80920699</v>
      </c>
      <c r="C110" s="9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7683.154769332</v>
      </c>
      <c r="D110" s="9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7192.7983063215</v>
      </c>
      <c r="E110" s="9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6882.2211427715</v>
      </c>
      <c r="F110" s="9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6440.846115132</v>
      </c>
      <c r="G110" s="9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6310.0482510425</v>
      </c>
      <c r="H110" s="9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6751.423278682</v>
      </c>
      <c r="I110" s="9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6751.423278682</v>
      </c>
      <c r="J110" s="9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6751.423278682</v>
      </c>
      <c r="K110" s="9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6620.6254145925</v>
      </c>
      <c r="L110" s="9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6489.827550503</v>
      </c>
      <c r="M110" s="9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10331.404935169</v>
      </c>
      <c r="N110" s="9" t="n">
        <f aca="false">SUM(B110:M110)</f>
        <v>88275.0055279</v>
      </c>
      <c r="O110" s="9" t="n">
        <f aca="false">MAX(B110:M110)</f>
        <v>10331.404935169</v>
      </c>
      <c r="P110" s="43" t="n">
        <f aca="false">O110/(parametros_manuales!$B$7)</f>
        <v>68.8760329011267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</f>
        <v>2615.95728179</v>
      </c>
      <c r="C111" s="9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</f>
        <v>2092.765825432</v>
      </c>
      <c r="D111" s="9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</f>
        <v>2223.5636895215</v>
      </c>
      <c r="E111" s="9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</f>
        <v>2223.5636895215</v>
      </c>
      <c r="F111" s="9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</f>
        <v>2092.765825432</v>
      </c>
      <c r="G111" s="9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</f>
        <v>1961.9679613425</v>
      </c>
      <c r="H111" s="9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</f>
        <v>2092.765825432</v>
      </c>
      <c r="I111" s="9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</f>
        <v>2092.765825432</v>
      </c>
      <c r="J111" s="9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</f>
        <v>2092.765825432</v>
      </c>
      <c r="K111" s="9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</f>
        <v>1961.9679613425</v>
      </c>
      <c r="L111" s="9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</f>
        <v>1831.170097253</v>
      </c>
      <c r="M111" s="9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</f>
        <v>2877.553009969</v>
      </c>
      <c r="N111" s="9" t="n">
        <f aca="false">SUM(B111:M111)</f>
        <v>26159.5728179</v>
      </c>
      <c r="O111" s="9" t="n">
        <f aca="false">MAX(B111:M111)</f>
        <v>2877.553009969</v>
      </c>
      <c r="P111" s="43" t="n">
        <f aca="false">O111/(parametros_manuales!$B$7)</f>
        <v>19.1836867331267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</f>
        <v>7453.8519252</v>
      </c>
      <c r="C112" s="9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</f>
        <v>5590.3889439</v>
      </c>
      <c r="D112" s="9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</f>
        <v>4969.2346168</v>
      </c>
      <c r="E112" s="9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</f>
        <v>4658.65745325</v>
      </c>
      <c r="F112" s="9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</f>
        <v>4348.0802897</v>
      </c>
      <c r="G112" s="9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</f>
        <v>4348.0802897</v>
      </c>
      <c r="H112" s="9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</f>
        <v>4658.65745325</v>
      </c>
      <c r="I112" s="9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</f>
        <v>4658.65745325</v>
      </c>
      <c r="J112" s="9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</f>
        <v>4658.65745325</v>
      </c>
      <c r="K112" s="9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</f>
        <v>4658.65745325</v>
      </c>
      <c r="L112" s="9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</f>
        <v>4658.65745325</v>
      </c>
      <c r="M112" s="9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</f>
        <v>7453.8519252</v>
      </c>
      <c r="N112" s="9" t="n">
        <f aca="false">SUM(B112:M112)</f>
        <v>62115.43271</v>
      </c>
      <c r="O112" s="9" t="n">
        <f aca="false">MAX(B112:M112)</f>
        <v>7453.8519252</v>
      </c>
      <c r="P112" s="43" t="n">
        <f aca="false">O112/(parametros_manuales!$B$7)</f>
        <v>49.692346168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20139.61841398</v>
      </c>
      <c r="C113" s="9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15366.309538664</v>
      </c>
      <c r="D113" s="9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14385.596612643</v>
      </c>
      <c r="E113" s="9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13764.442285543</v>
      </c>
      <c r="F113" s="9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12881.692230264</v>
      </c>
      <c r="G113" s="9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12620.096502085</v>
      </c>
      <c r="H113" s="9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13502.846557364</v>
      </c>
      <c r="I113" s="9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13502.846557364</v>
      </c>
      <c r="J113" s="9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13502.846557364</v>
      </c>
      <c r="K113" s="9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13241.250829185</v>
      </c>
      <c r="L113" s="9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12979.655101006</v>
      </c>
      <c r="M113" s="9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20662.809870338</v>
      </c>
      <c r="N113" s="9" t="n">
        <f aca="false">SUM(B113:M113)</f>
        <v>176550.0110558</v>
      </c>
      <c r="O113" s="9" t="n">
        <f aca="false">MAX(B113:M113)</f>
        <v>20662.809870338</v>
      </c>
      <c r="P113" s="43" t="n">
        <f aca="false">O113/(parametros_manuales!$B$7)</f>
        <v>137.752065802253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10069.80920699</v>
      </c>
      <c r="C114" s="9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7683.154769332</v>
      </c>
      <c r="D114" s="9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7192.7983063215</v>
      </c>
      <c r="E114" s="9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6882.2211427715</v>
      </c>
      <c r="F114" s="9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6440.846115132</v>
      </c>
      <c r="G114" s="9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6310.0482510425</v>
      </c>
      <c r="H114" s="9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6751.423278682</v>
      </c>
      <c r="I114" s="9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6751.423278682</v>
      </c>
      <c r="J114" s="9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6751.423278682</v>
      </c>
      <c r="K114" s="9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6620.6254145925</v>
      </c>
      <c r="L114" s="9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6489.827550503</v>
      </c>
      <c r="M114" s="9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10331.404935169</v>
      </c>
      <c r="N114" s="9" t="n">
        <f aca="false">SUM(B114:M114)</f>
        <v>88275.0055279</v>
      </c>
      <c r="O114" s="9" t="n">
        <f aca="false">MAX(B114:M114)</f>
        <v>10331.404935169</v>
      </c>
      <c r="P114" s="43" t="n">
        <f aca="false">O114/(parametros_manuales!$B$7)</f>
        <v>68.8760329011267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10069.80920699</v>
      </c>
      <c r="C115" s="9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7683.154769332</v>
      </c>
      <c r="D115" s="9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7192.7983063215</v>
      </c>
      <c r="E115" s="9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6882.2211427715</v>
      </c>
      <c r="F115" s="9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6440.846115132</v>
      </c>
      <c r="G115" s="9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6310.0482510425</v>
      </c>
      <c r="H115" s="9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6751.423278682</v>
      </c>
      <c r="I115" s="9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6751.423278682</v>
      </c>
      <c r="J115" s="9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6751.423278682</v>
      </c>
      <c r="K115" s="9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6620.6254145925</v>
      </c>
      <c r="L115" s="9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6489.827550503</v>
      </c>
      <c r="M115" s="9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10331.404935169</v>
      </c>
      <c r="N115" s="9" t="n">
        <f aca="false">SUM(B115:M115)</f>
        <v>88275.0055279</v>
      </c>
      <c r="O115" s="9" t="n">
        <f aca="false">MAX(B115:M115)</f>
        <v>10331.404935169</v>
      </c>
      <c r="P115" s="43" t="n">
        <f aca="false">O115/(parametros_manuales!$B$7)</f>
        <v>68.8760329011267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10069.80920699</v>
      </c>
      <c r="C116" s="9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7683.154769332</v>
      </c>
      <c r="D116" s="9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7192.7983063215</v>
      </c>
      <c r="E116" s="9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6882.2211427715</v>
      </c>
      <c r="F116" s="9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6440.846115132</v>
      </c>
      <c r="G116" s="9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6310.0482510425</v>
      </c>
      <c r="H116" s="9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6751.423278682</v>
      </c>
      <c r="I116" s="9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6751.423278682</v>
      </c>
      <c r="J116" s="9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6751.423278682</v>
      </c>
      <c r="K116" s="9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6620.6254145925</v>
      </c>
      <c r="L116" s="9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6489.827550503</v>
      </c>
      <c r="M116" s="9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10331.404935169</v>
      </c>
      <c r="N116" s="9" t="n">
        <f aca="false">SUM(B116:M116)</f>
        <v>88275.0055279</v>
      </c>
      <c r="O116" s="9" t="n">
        <f aca="false">MAX(B116:M116)</f>
        <v>10331.404935169</v>
      </c>
      <c r="P116" s="43" t="n">
        <f aca="false">O116/(parametros_manuales!$B$7)</f>
        <v>68.8760329011267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2615.95728179</v>
      </c>
      <c r="C117" s="9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2092.765825432</v>
      </c>
      <c r="D117" s="9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2223.5636895215</v>
      </c>
      <c r="E117" s="9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2223.5636895215</v>
      </c>
      <c r="F117" s="9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2092.765825432</v>
      </c>
      <c r="G117" s="9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1961.9679613425</v>
      </c>
      <c r="H117" s="9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2092.765825432</v>
      </c>
      <c r="I117" s="9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2092.765825432</v>
      </c>
      <c r="J117" s="9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2092.765825432</v>
      </c>
      <c r="K117" s="9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1961.9679613425</v>
      </c>
      <c r="L117" s="9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1831.170097253</v>
      </c>
      <c r="M117" s="9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2877.553009969</v>
      </c>
      <c r="N117" s="9" t="n">
        <f aca="false">SUM(B117:M117)</f>
        <v>26159.5728179</v>
      </c>
      <c r="O117" s="9" t="n">
        <f aca="false">MAX(B117:M117)</f>
        <v>2877.553009969</v>
      </c>
      <c r="P117" s="43" t="n">
        <f aca="false">O117/(parametros_manuales!$B$7)</f>
        <v>19.1836867331267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2615.95728179</v>
      </c>
      <c r="C118" s="9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2092.765825432</v>
      </c>
      <c r="D118" s="9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2223.5636895215</v>
      </c>
      <c r="E118" s="9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2223.5636895215</v>
      </c>
      <c r="F118" s="9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2092.765825432</v>
      </c>
      <c r="G118" s="9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1961.9679613425</v>
      </c>
      <c r="H118" s="9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2092.765825432</v>
      </c>
      <c r="I118" s="9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2092.765825432</v>
      </c>
      <c r="J118" s="9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2092.765825432</v>
      </c>
      <c r="K118" s="9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1961.9679613425</v>
      </c>
      <c r="L118" s="9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1831.170097253</v>
      </c>
      <c r="M118" s="9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2877.553009969</v>
      </c>
      <c r="N118" s="9" t="n">
        <f aca="false">SUM(B118:M118)</f>
        <v>26159.5728179</v>
      </c>
      <c r="O118" s="9" t="n">
        <f aca="false">MAX(B118:M118)</f>
        <v>2877.553009969</v>
      </c>
      <c r="P118" s="43" t="n">
        <f aca="false">O118/(parametros_manuales!$B$7)</f>
        <v>19.1836867331267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10069.80920699</v>
      </c>
      <c r="C119" s="9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7683.154769332</v>
      </c>
      <c r="D119" s="9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7192.7983063215</v>
      </c>
      <c r="E119" s="9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6882.2211427715</v>
      </c>
      <c r="F119" s="9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6440.846115132</v>
      </c>
      <c r="G119" s="9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6310.0482510425</v>
      </c>
      <c r="H119" s="9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6751.423278682</v>
      </c>
      <c r="I119" s="9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6751.423278682</v>
      </c>
      <c r="J119" s="9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6751.423278682</v>
      </c>
      <c r="K119" s="9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6620.6254145925</v>
      </c>
      <c r="L119" s="9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6489.827550503</v>
      </c>
      <c r="M119" s="9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10331.404935169</v>
      </c>
      <c r="N119" s="9" t="n">
        <f aca="false">SUM(B119:M119)</f>
        <v>88275.0055279</v>
      </c>
      <c r="O119" s="9" t="n">
        <f aca="false">MAX(B119:M119)</f>
        <v>10331.404935169</v>
      </c>
      <c r="P119" s="43" t="n">
        <f aca="false">O119/(parametros_manuales!$B$7)</f>
        <v>68.8760329011267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10069.80920699</v>
      </c>
      <c r="C120" s="9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7683.154769332</v>
      </c>
      <c r="D120" s="9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7192.7983063215</v>
      </c>
      <c r="E120" s="9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6882.2211427715</v>
      </c>
      <c r="F120" s="9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6440.846115132</v>
      </c>
      <c r="G120" s="9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6310.0482510425</v>
      </c>
      <c r="H120" s="9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6751.423278682</v>
      </c>
      <c r="I120" s="9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6751.423278682</v>
      </c>
      <c r="J120" s="9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6751.423278682</v>
      </c>
      <c r="K120" s="9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6620.6254145925</v>
      </c>
      <c r="L120" s="9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6489.827550503</v>
      </c>
      <c r="M120" s="9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10331.404935169</v>
      </c>
      <c r="N120" s="9" t="n">
        <f aca="false">SUM(B120:M120)</f>
        <v>88275.0055279</v>
      </c>
      <c r="O120" s="9" t="n">
        <f aca="false">MAX(B120:M120)</f>
        <v>10331.404935169</v>
      </c>
      <c r="P120" s="43" t="n">
        <f aca="false">O120/(parametros_manuales!$B$7)</f>
        <v>68.8760329011267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10069.80920699</v>
      </c>
      <c r="C121" s="9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7683.154769332</v>
      </c>
      <c r="D121" s="9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7192.7983063215</v>
      </c>
      <c r="E121" s="9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6882.2211427715</v>
      </c>
      <c r="F121" s="9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6440.846115132</v>
      </c>
      <c r="G121" s="9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6310.0482510425</v>
      </c>
      <c r="H121" s="9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6751.423278682</v>
      </c>
      <c r="I121" s="9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6751.423278682</v>
      </c>
      <c r="J121" s="9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6751.423278682</v>
      </c>
      <c r="K121" s="9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6620.6254145925</v>
      </c>
      <c r="L121" s="9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6489.827550503</v>
      </c>
      <c r="M121" s="9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10331.404935169</v>
      </c>
      <c r="N121" s="9" t="n">
        <f aca="false">SUM(B121:M121)</f>
        <v>88275.0055279</v>
      </c>
      <c r="O121" s="9" t="n">
        <f aca="false">MAX(B121:M121)</f>
        <v>10331.404935169</v>
      </c>
      <c r="P121" s="43" t="n">
        <f aca="false">O121/(parametros_manuales!$B$7)</f>
        <v>68.8760329011267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201.3961841398</v>
      </c>
      <c r="C122" s="9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153.66309538664</v>
      </c>
      <c r="D122" s="9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143.85596612643</v>
      </c>
      <c r="E122" s="9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137.64442285543</v>
      </c>
      <c r="F122" s="9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128.81692230264</v>
      </c>
      <c r="G122" s="9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126.20096502085</v>
      </c>
      <c r="H122" s="9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135.02846557364</v>
      </c>
      <c r="I122" s="9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135.02846557364</v>
      </c>
      <c r="J122" s="9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135.02846557364</v>
      </c>
      <c r="K122" s="9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132.41250829185</v>
      </c>
      <c r="L122" s="9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129.79655101006</v>
      </c>
      <c r="M122" s="9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206.62809870338</v>
      </c>
      <c r="N122" s="9" t="n">
        <f aca="false">SUM(B122:M122)</f>
        <v>1765.500110558</v>
      </c>
      <c r="O122" s="9" t="n">
        <f aca="false">MAX(B122:M122)</f>
        <v>206.62809870338</v>
      </c>
      <c r="P122" s="43" t="n">
        <f aca="false">O122/(parametros_manuales!$B$7)</f>
        <v>1.37752065802253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10069.80920699</v>
      </c>
      <c r="C123" s="9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7683.154769332</v>
      </c>
      <c r="D123" s="9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7192.7983063215</v>
      </c>
      <c r="E123" s="9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6882.2211427715</v>
      </c>
      <c r="F123" s="9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6440.846115132</v>
      </c>
      <c r="G123" s="9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6310.0482510425</v>
      </c>
      <c r="H123" s="9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6751.423278682</v>
      </c>
      <c r="I123" s="9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6751.423278682</v>
      </c>
      <c r="J123" s="9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6751.423278682</v>
      </c>
      <c r="K123" s="9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6620.6254145925</v>
      </c>
      <c r="L123" s="9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6489.827550503</v>
      </c>
      <c r="M123" s="9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10331.404935169</v>
      </c>
      <c r="N123" s="9" t="n">
        <f aca="false">SUM(B123:M123)</f>
        <v>88275.0055279</v>
      </c>
      <c r="O123" s="9" t="n">
        <f aca="false">MAX(B123:M123)</f>
        <v>10331.404935169</v>
      </c>
      <c r="P123" s="43" t="n">
        <f aca="false">O123/(parametros_manuales!$B$7)</f>
        <v>68.8760329011267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10069.80920699</v>
      </c>
      <c r="C124" s="9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7683.154769332</v>
      </c>
      <c r="D124" s="9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7192.7983063215</v>
      </c>
      <c r="E124" s="9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6882.2211427715</v>
      </c>
      <c r="F124" s="9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6440.846115132</v>
      </c>
      <c r="G124" s="9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6310.0482510425</v>
      </c>
      <c r="H124" s="9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6751.423278682</v>
      </c>
      <c r="I124" s="9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6751.423278682</v>
      </c>
      <c r="J124" s="9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6751.423278682</v>
      </c>
      <c r="K124" s="9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6620.6254145925</v>
      </c>
      <c r="L124" s="9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6489.827550503</v>
      </c>
      <c r="M124" s="9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10331.404935169</v>
      </c>
      <c r="N124" s="9" t="n">
        <f aca="false">SUM(B124:M124)</f>
        <v>88275.0055279</v>
      </c>
      <c r="O124" s="9" t="n">
        <f aca="false">MAX(B124:M124)</f>
        <v>10331.404935169</v>
      </c>
      <c r="P124" s="43" t="n">
        <f aca="false">O124/(parametros_manuales!$B$7)</f>
        <v>68.8760329011267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10069.80920699</v>
      </c>
      <c r="C125" s="9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7683.154769332</v>
      </c>
      <c r="D125" s="9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7192.7983063215</v>
      </c>
      <c r="E125" s="9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6882.2211427715</v>
      </c>
      <c r="F125" s="9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6440.846115132</v>
      </c>
      <c r="G125" s="9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6310.0482510425</v>
      </c>
      <c r="H125" s="9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6751.423278682</v>
      </c>
      <c r="I125" s="9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6751.423278682</v>
      </c>
      <c r="J125" s="9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6751.423278682</v>
      </c>
      <c r="K125" s="9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6620.6254145925</v>
      </c>
      <c r="L125" s="9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6489.827550503</v>
      </c>
      <c r="M125" s="9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10331.404935169</v>
      </c>
      <c r="N125" s="9" t="n">
        <f aca="false">SUM(B125:M125)</f>
        <v>88275.0055279</v>
      </c>
      <c r="O125" s="9" t="n">
        <f aca="false">MAX(B125:M125)</f>
        <v>10331.404935169</v>
      </c>
      <c r="P125" s="43" t="n">
        <f aca="false">O125/(parametros_manuales!$B$7)</f>
        <v>68.8760329011267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10069.80920699</v>
      </c>
      <c r="C126" s="9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7683.154769332</v>
      </c>
      <c r="D126" s="9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7192.7983063215</v>
      </c>
      <c r="E126" s="9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6882.2211427715</v>
      </c>
      <c r="F126" s="9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6440.846115132</v>
      </c>
      <c r="G126" s="9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6310.0482510425</v>
      </c>
      <c r="H126" s="9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6751.423278682</v>
      </c>
      <c r="I126" s="9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6751.423278682</v>
      </c>
      <c r="J126" s="9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6751.423278682</v>
      </c>
      <c r="K126" s="9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6620.6254145925</v>
      </c>
      <c r="L126" s="9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6489.827550503</v>
      </c>
      <c r="M126" s="9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10331.404935169</v>
      </c>
      <c r="N126" s="9" t="n">
        <f aca="false">SUM(B126:M126)</f>
        <v>88275.0055279</v>
      </c>
      <c r="O126" s="9" t="n">
        <f aca="false">MAX(B126:M126)</f>
        <v>10331.404935169</v>
      </c>
      <c r="P126" s="43" t="n">
        <f aca="false">O126/(parametros_manuales!$B$7)</f>
        <v>68.8760329011267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503.4904603495</v>
      </c>
      <c r="C127" s="9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384.1577384666</v>
      </c>
      <c r="D127" s="9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359.639915316075</v>
      </c>
      <c r="E127" s="9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344.111057138575</v>
      </c>
      <c r="F127" s="9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322.0423057566</v>
      </c>
      <c r="G127" s="9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315.502412552125</v>
      </c>
      <c r="H127" s="9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337.5711639341</v>
      </c>
      <c r="I127" s="9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337.5711639341</v>
      </c>
      <c r="J127" s="9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337.5711639341</v>
      </c>
      <c r="K127" s="9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331.031270729625</v>
      </c>
      <c r="L127" s="9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324.49137752515</v>
      </c>
      <c r="M127" s="9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516.57024675845</v>
      </c>
      <c r="N127" s="9" t="n">
        <f aca="false">SUM(B127:M127)</f>
        <v>4413.750276395</v>
      </c>
      <c r="O127" s="9" t="n">
        <f aca="false">MAX(B127:M127)</f>
        <v>516.57024675845</v>
      </c>
      <c r="P127" s="43" t="n">
        <f aca="false">O127/(parametros_manuales!$B$7)</f>
        <v>3.44380164505633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10069.80920699</v>
      </c>
      <c r="C128" s="9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7683.154769332</v>
      </c>
      <c r="D128" s="9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7192.7983063215</v>
      </c>
      <c r="E128" s="9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6882.2211427715</v>
      </c>
      <c r="F128" s="9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6440.846115132</v>
      </c>
      <c r="G128" s="9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6310.0482510425</v>
      </c>
      <c r="H128" s="9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6751.423278682</v>
      </c>
      <c r="I128" s="9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6751.423278682</v>
      </c>
      <c r="J128" s="9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6751.423278682</v>
      </c>
      <c r="K128" s="9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6620.6254145925</v>
      </c>
      <c r="L128" s="9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6489.827550503</v>
      </c>
      <c r="M128" s="9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10331.404935169</v>
      </c>
      <c r="N128" s="9" t="n">
        <f aca="false">SUM(B128:M128)</f>
        <v>88275.0055279</v>
      </c>
      <c r="O128" s="9" t="n">
        <f aca="false">MAX(B128:M128)</f>
        <v>10331.404935169</v>
      </c>
      <c r="P128" s="43" t="n">
        <f aca="false">O128/(parametros_manuales!$B$7)</f>
        <v>68.8760329011267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2908.04120699</v>
      </c>
      <c r="C129" s="9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2250.349169332</v>
      </c>
      <c r="D129" s="9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2192.8611063215</v>
      </c>
      <c r="E129" s="9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2129.4579427715</v>
      </c>
      <c r="F129" s="9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1996.736515132</v>
      </c>
      <c r="G129" s="9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1927.4182510425</v>
      </c>
      <c r="H129" s="9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2060.139678682</v>
      </c>
      <c r="I129" s="9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2060.139678682</v>
      </c>
      <c r="J129" s="9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2060.139678682</v>
      </c>
      <c r="K129" s="9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1990.8214145925</v>
      </c>
      <c r="L129" s="9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1921.503150503</v>
      </c>
      <c r="M129" s="9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3046.677735169</v>
      </c>
      <c r="N129" s="9" t="n">
        <f aca="false">SUM(B129:M129)</f>
        <v>26544.2855279</v>
      </c>
      <c r="O129" s="9" t="n">
        <f aca="false">MAX(B129:M129)</f>
        <v>3046.677735169</v>
      </c>
      <c r="P129" s="43" t="n">
        <f aca="false">O129/(parametros_manuales!$B$7)</f>
        <v>20.3111849011267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2908.04120699</v>
      </c>
      <c r="C130" s="9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2250.349169332</v>
      </c>
      <c r="D130" s="9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2192.8611063215</v>
      </c>
      <c r="E130" s="9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2129.4579427715</v>
      </c>
      <c r="F130" s="9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1996.736515132</v>
      </c>
      <c r="G130" s="9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1927.4182510425</v>
      </c>
      <c r="H130" s="9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2060.139678682</v>
      </c>
      <c r="I130" s="9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2060.139678682</v>
      </c>
      <c r="J130" s="9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2060.139678682</v>
      </c>
      <c r="K130" s="9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1990.8214145925</v>
      </c>
      <c r="L130" s="9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1921.503150503</v>
      </c>
      <c r="M130" s="9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3046.677735169</v>
      </c>
      <c r="N130" s="9" t="n">
        <f aca="false">SUM(B130:M130)</f>
        <v>26544.2855279</v>
      </c>
      <c r="O130" s="9" t="n">
        <f aca="false">MAX(B130:M130)</f>
        <v>3046.677735169</v>
      </c>
      <c r="P130" s="43" t="n">
        <f aca="false">O130/(parametros_manuales!$B$7)</f>
        <v>20.3111849011267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2908.04120699</v>
      </c>
      <c r="C131" s="9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2250.349169332</v>
      </c>
      <c r="D131" s="9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2192.8611063215</v>
      </c>
      <c r="E131" s="9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2129.4579427715</v>
      </c>
      <c r="F131" s="9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1996.736515132</v>
      </c>
      <c r="G131" s="9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1927.4182510425</v>
      </c>
      <c r="H131" s="9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2060.139678682</v>
      </c>
      <c r="I131" s="9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2060.139678682</v>
      </c>
      <c r="J131" s="9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2060.139678682</v>
      </c>
      <c r="K131" s="9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1990.8214145925</v>
      </c>
      <c r="L131" s="9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1921.503150503</v>
      </c>
      <c r="M131" s="9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3046.677735169</v>
      </c>
      <c r="N131" s="9" t="n">
        <f aca="false">SUM(B131:M131)</f>
        <v>26544.2855279</v>
      </c>
      <c r="O131" s="9" t="n">
        <f aca="false">MAX(B131:M131)</f>
        <v>3046.677735169</v>
      </c>
      <c r="P131" s="43" t="n">
        <f aca="false">O131/(parametros_manuales!$B$7)</f>
        <v>20.3111849011267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2908.04120699</v>
      </c>
      <c r="C132" s="9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2250.349169332</v>
      </c>
      <c r="D132" s="9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2192.8611063215</v>
      </c>
      <c r="E132" s="9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2129.4579427715</v>
      </c>
      <c r="F132" s="9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1996.736515132</v>
      </c>
      <c r="G132" s="9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1927.4182510425</v>
      </c>
      <c r="H132" s="9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2060.139678682</v>
      </c>
      <c r="I132" s="9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2060.139678682</v>
      </c>
      <c r="J132" s="9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2060.139678682</v>
      </c>
      <c r="K132" s="9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1990.8214145925</v>
      </c>
      <c r="L132" s="9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1921.503150503</v>
      </c>
      <c r="M132" s="9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3046.677735169</v>
      </c>
      <c r="N132" s="9" t="n">
        <f aca="false">SUM(B132:M132)</f>
        <v>26544.2855279</v>
      </c>
      <c r="O132" s="9" t="n">
        <f aca="false">MAX(B132:M132)</f>
        <v>3046.677735169</v>
      </c>
      <c r="P132" s="43" t="n">
        <f aca="false">O132/(parametros_manuales!$B$7)</f>
        <v>20.3111849011267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2908.04120699</v>
      </c>
      <c r="C133" s="9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2250.349169332</v>
      </c>
      <c r="D133" s="9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2192.8611063215</v>
      </c>
      <c r="E133" s="9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2129.4579427715</v>
      </c>
      <c r="F133" s="9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1996.736515132</v>
      </c>
      <c r="G133" s="9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1927.4182510425</v>
      </c>
      <c r="H133" s="9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2060.139678682</v>
      </c>
      <c r="I133" s="9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2060.139678682</v>
      </c>
      <c r="J133" s="9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2060.139678682</v>
      </c>
      <c r="K133" s="9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1990.8214145925</v>
      </c>
      <c r="L133" s="9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1921.503150503</v>
      </c>
      <c r="M133" s="9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3046.677735169</v>
      </c>
      <c r="N133" s="9" t="n">
        <f aca="false">SUM(B133:M133)</f>
        <v>26544.2855279</v>
      </c>
      <c r="O133" s="9" t="n">
        <f aca="false">MAX(B133:M133)</f>
        <v>3046.677735169</v>
      </c>
      <c r="P133" s="43" t="n">
        <f aca="false">O133/(parametros_manuales!$B$7)</f>
        <v>20.3111849011267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10069.80920699</v>
      </c>
      <c r="C134" s="9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7683.154769332</v>
      </c>
      <c r="D134" s="9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7192.7983063215</v>
      </c>
      <c r="E134" s="9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6882.2211427715</v>
      </c>
      <c r="F134" s="9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6440.846115132</v>
      </c>
      <c r="G134" s="9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6310.0482510425</v>
      </c>
      <c r="H134" s="9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6751.423278682</v>
      </c>
      <c r="I134" s="9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6751.423278682</v>
      </c>
      <c r="J134" s="9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6751.423278682</v>
      </c>
      <c r="K134" s="9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6620.6254145925</v>
      </c>
      <c r="L134" s="9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6489.827550503</v>
      </c>
      <c r="M134" s="9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10331.404935169</v>
      </c>
      <c r="N134" s="9" t="n">
        <f aca="false">SUM(B134:M134)</f>
        <v>88275.0055279</v>
      </c>
      <c r="O134" s="9" t="n">
        <f aca="false">MAX(B134:M134)</f>
        <v>10331.404935169</v>
      </c>
      <c r="P134" s="43" t="n">
        <f aca="false">O134/(parametros_manuales!$B$7)</f>
        <v>68.8760329011267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195</v>
      </c>
      <c r="B136" s="7" t="s">
        <v>61</v>
      </c>
      <c r="C136" s="7" t="s">
        <v>62</v>
      </c>
      <c r="D136" s="7" t="s">
        <v>63</v>
      </c>
      <c r="E136" s="7" t="s">
        <v>64</v>
      </c>
      <c r="F136" s="7" t="s">
        <v>65</v>
      </c>
      <c r="G136" s="7" t="s">
        <v>66</v>
      </c>
      <c r="H136" s="7" t="s">
        <v>67</v>
      </c>
      <c r="I136" s="7" t="s">
        <v>68</v>
      </c>
      <c r="J136" s="7" t="s">
        <v>69</v>
      </c>
      <c r="K136" s="7" t="s">
        <v>70</v>
      </c>
      <c r="L136" s="7" t="s">
        <v>71</v>
      </c>
      <c r="M136" s="7" t="s">
        <v>72</v>
      </c>
      <c r="N136" s="7" t="s">
        <v>183</v>
      </c>
      <c r="O136" s="7" t="s">
        <v>188</v>
      </c>
      <c r="P136" s="7" t="s">
        <v>189</v>
      </c>
      <c r="Q136" s="7" t="s">
        <v>190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14139.2582713</v>
      </c>
      <c r="C137" s="9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10787.60389862</v>
      </c>
      <c r="D137" s="9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10097.759563065</v>
      </c>
      <c r="E137" s="9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9661.257297715</v>
      </c>
      <c r="F137" s="9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9041.59483722</v>
      </c>
      <c r="G137" s="9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8858.434642075</v>
      </c>
      <c r="H137" s="9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9478.09710257</v>
      </c>
      <c r="I137" s="9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9478.09710257</v>
      </c>
      <c r="J137" s="9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9478.09710257</v>
      </c>
      <c r="K137" s="9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9294.936907425</v>
      </c>
      <c r="L137" s="9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9111.77671228</v>
      </c>
      <c r="M137" s="9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14505.57866159</v>
      </c>
      <c r="N137" s="9" t="n">
        <f aca="false">SUM(B137:M137)</f>
        <v>123932.492099</v>
      </c>
      <c r="O137" s="9" t="n">
        <f aca="false">MAX(B137:M137)</f>
        <v>14505.57866159</v>
      </c>
      <c r="P137" s="43" t="n">
        <f aca="false">O137/(parametros_manuales!$B$7)</f>
        <v>96.7038577439333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</f>
        <v>3663.2039029</v>
      </c>
      <c r="C138" s="9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</f>
        <v>2930.56312232</v>
      </c>
      <c r="D138" s="9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</f>
        <v>3113.723317465</v>
      </c>
      <c r="E138" s="9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</f>
        <v>3113.723317465</v>
      </c>
      <c r="F138" s="9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</f>
        <v>2930.56312232</v>
      </c>
      <c r="G138" s="9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</f>
        <v>2747.402927175</v>
      </c>
      <c r="H138" s="9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</f>
        <v>2930.56312232</v>
      </c>
      <c r="I138" s="9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</f>
        <v>2930.56312232</v>
      </c>
      <c r="J138" s="9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</f>
        <v>2930.56312232</v>
      </c>
      <c r="K138" s="9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</f>
        <v>2747.402927175</v>
      </c>
      <c r="L138" s="9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</f>
        <v>2564.24273203</v>
      </c>
      <c r="M138" s="9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</f>
        <v>4029.52429319</v>
      </c>
      <c r="N138" s="9" t="n">
        <f aca="false">SUM(B138:M138)</f>
        <v>36632.039029</v>
      </c>
      <c r="O138" s="9" t="n">
        <f aca="false">MAX(B138:M138)</f>
        <v>4029.52429319</v>
      </c>
      <c r="P138" s="43" t="n">
        <f aca="false">O138/(parametros_manuales!$B$7)</f>
        <v>26.8634952879333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</f>
        <v>10476.0543684</v>
      </c>
      <c r="C139" s="9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</f>
        <v>7857.0407763</v>
      </c>
      <c r="D139" s="9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</f>
        <v>6984.0362456</v>
      </c>
      <c r="E139" s="9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</f>
        <v>6547.53398025</v>
      </c>
      <c r="F139" s="9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</f>
        <v>6111.0317149</v>
      </c>
      <c r="G139" s="9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</f>
        <v>6111.0317149</v>
      </c>
      <c r="H139" s="9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</f>
        <v>6547.53398025</v>
      </c>
      <c r="I139" s="9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</f>
        <v>6547.53398025</v>
      </c>
      <c r="J139" s="9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</f>
        <v>6547.53398025</v>
      </c>
      <c r="K139" s="9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</f>
        <v>6547.53398025</v>
      </c>
      <c r="L139" s="9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</f>
        <v>6547.53398025</v>
      </c>
      <c r="M139" s="9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</f>
        <v>10476.0543684</v>
      </c>
      <c r="N139" s="9" t="n">
        <f aca="false">SUM(B139:M139)</f>
        <v>87300.45307</v>
      </c>
      <c r="O139" s="9" t="n">
        <f aca="false">MAX(B139:M139)</f>
        <v>10476.0543684</v>
      </c>
      <c r="P139" s="43" t="n">
        <f aca="false">O139/(parametros_manuales!$B$7)</f>
        <v>69.840362456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28278.5165426</v>
      </c>
      <c r="C140" s="9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21575.20779724</v>
      </c>
      <c r="D140" s="9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20195.51912613</v>
      </c>
      <c r="E140" s="9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19322.51459543</v>
      </c>
      <c r="F140" s="9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18083.18967444</v>
      </c>
      <c r="G140" s="9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17716.86928415</v>
      </c>
      <c r="H140" s="9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18956.19420514</v>
      </c>
      <c r="I140" s="9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18956.19420514</v>
      </c>
      <c r="J140" s="9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18956.19420514</v>
      </c>
      <c r="K140" s="9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18589.87381485</v>
      </c>
      <c r="L140" s="9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18223.55342456</v>
      </c>
      <c r="M140" s="9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29011.15732318</v>
      </c>
      <c r="N140" s="9" t="n">
        <f aca="false">SUM(B140:M140)</f>
        <v>247864.984198</v>
      </c>
      <c r="O140" s="9" t="n">
        <f aca="false">MAX(B140:M140)</f>
        <v>29011.15732318</v>
      </c>
      <c r="P140" s="43" t="n">
        <f aca="false">O140/(parametros_manuales!$B$7)</f>
        <v>193.407715487867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14139.2582713</v>
      </c>
      <c r="C141" s="9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10787.60389862</v>
      </c>
      <c r="D141" s="9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10097.759563065</v>
      </c>
      <c r="E141" s="9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9661.257297715</v>
      </c>
      <c r="F141" s="9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9041.59483722</v>
      </c>
      <c r="G141" s="9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8858.434642075</v>
      </c>
      <c r="H141" s="9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9478.09710257</v>
      </c>
      <c r="I141" s="9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9478.09710257</v>
      </c>
      <c r="J141" s="9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9478.09710257</v>
      </c>
      <c r="K141" s="9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9294.936907425</v>
      </c>
      <c r="L141" s="9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9111.77671228</v>
      </c>
      <c r="M141" s="9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14505.57866159</v>
      </c>
      <c r="N141" s="9" t="n">
        <f aca="false">SUM(B141:M141)</f>
        <v>123932.492099</v>
      </c>
      <c r="O141" s="9" t="n">
        <f aca="false">MAX(B141:M141)</f>
        <v>14505.57866159</v>
      </c>
      <c r="P141" s="43" t="n">
        <f aca="false">O141/(parametros_manuales!$B$7)</f>
        <v>96.7038577439333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14139.2582713</v>
      </c>
      <c r="C142" s="9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10787.60389862</v>
      </c>
      <c r="D142" s="9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10097.759563065</v>
      </c>
      <c r="E142" s="9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9661.257297715</v>
      </c>
      <c r="F142" s="9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9041.59483722</v>
      </c>
      <c r="G142" s="9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8858.434642075</v>
      </c>
      <c r="H142" s="9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9478.09710257</v>
      </c>
      <c r="I142" s="9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9478.09710257</v>
      </c>
      <c r="J142" s="9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9478.09710257</v>
      </c>
      <c r="K142" s="9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9294.936907425</v>
      </c>
      <c r="L142" s="9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9111.77671228</v>
      </c>
      <c r="M142" s="9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14505.57866159</v>
      </c>
      <c r="N142" s="9" t="n">
        <f aca="false">SUM(B142:M142)</f>
        <v>123932.492099</v>
      </c>
      <c r="O142" s="9" t="n">
        <f aca="false">MAX(B142:M142)</f>
        <v>14505.57866159</v>
      </c>
      <c r="P142" s="43" t="n">
        <f aca="false">O142/(parametros_manuales!$B$7)</f>
        <v>96.7038577439333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14139.2582713</v>
      </c>
      <c r="C143" s="9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10787.60389862</v>
      </c>
      <c r="D143" s="9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10097.759563065</v>
      </c>
      <c r="E143" s="9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9661.257297715</v>
      </c>
      <c r="F143" s="9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9041.59483722</v>
      </c>
      <c r="G143" s="9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8858.434642075</v>
      </c>
      <c r="H143" s="9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9478.09710257</v>
      </c>
      <c r="I143" s="9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9478.09710257</v>
      </c>
      <c r="J143" s="9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9478.09710257</v>
      </c>
      <c r="K143" s="9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9294.936907425</v>
      </c>
      <c r="L143" s="9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9111.77671228</v>
      </c>
      <c r="M143" s="9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14505.57866159</v>
      </c>
      <c r="N143" s="9" t="n">
        <f aca="false">SUM(B143:M143)</f>
        <v>123932.492099</v>
      </c>
      <c r="O143" s="9" t="n">
        <f aca="false">MAX(B143:M143)</f>
        <v>14505.57866159</v>
      </c>
      <c r="P143" s="43" t="n">
        <f aca="false">O143/(parametros_manuales!$B$7)</f>
        <v>96.7038577439333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3663.2039029</v>
      </c>
      <c r="C144" s="9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2930.56312232</v>
      </c>
      <c r="D144" s="9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3113.723317465</v>
      </c>
      <c r="E144" s="9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3113.723317465</v>
      </c>
      <c r="F144" s="9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2930.56312232</v>
      </c>
      <c r="G144" s="9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2747.402927175</v>
      </c>
      <c r="H144" s="9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2930.56312232</v>
      </c>
      <c r="I144" s="9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2930.56312232</v>
      </c>
      <c r="J144" s="9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2930.56312232</v>
      </c>
      <c r="K144" s="9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2747.402927175</v>
      </c>
      <c r="L144" s="9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2564.24273203</v>
      </c>
      <c r="M144" s="9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4029.52429319</v>
      </c>
      <c r="N144" s="9" t="n">
        <f aca="false">SUM(B144:M144)</f>
        <v>36632.039029</v>
      </c>
      <c r="O144" s="9" t="n">
        <f aca="false">MAX(B144:M144)</f>
        <v>4029.52429319</v>
      </c>
      <c r="P144" s="43" t="n">
        <f aca="false">O144/(parametros_manuales!$B$7)</f>
        <v>26.8634952879333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3663.2039029</v>
      </c>
      <c r="C145" s="9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2930.56312232</v>
      </c>
      <c r="D145" s="9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3113.723317465</v>
      </c>
      <c r="E145" s="9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3113.723317465</v>
      </c>
      <c r="F145" s="9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2930.56312232</v>
      </c>
      <c r="G145" s="9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2747.402927175</v>
      </c>
      <c r="H145" s="9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2930.56312232</v>
      </c>
      <c r="I145" s="9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2930.56312232</v>
      </c>
      <c r="J145" s="9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2930.56312232</v>
      </c>
      <c r="K145" s="9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2747.402927175</v>
      </c>
      <c r="L145" s="9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2564.24273203</v>
      </c>
      <c r="M145" s="9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4029.52429319</v>
      </c>
      <c r="N145" s="9" t="n">
        <f aca="false">SUM(B145:M145)</f>
        <v>36632.039029</v>
      </c>
      <c r="O145" s="9" t="n">
        <f aca="false">MAX(B145:M145)</f>
        <v>4029.52429319</v>
      </c>
      <c r="P145" s="43" t="n">
        <f aca="false">O145/(parametros_manuales!$B$7)</f>
        <v>26.8634952879333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14139.2582713</v>
      </c>
      <c r="C146" s="9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10787.60389862</v>
      </c>
      <c r="D146" s="9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10097.759563065</v>
      </c>
      <c r="E146" s="9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9661.257297715</v>
      </c>
      <c r="F146" s="9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9041.59483722</v>
      </c>
      <c r="G146" s="9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8858.434642075</v>
      </c>
      <c r="H146" s="9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9478.09710257</v>
      </c>
      <c r="I146" s="9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9478.09710257</v>
      </c>
      <c r="J146" s="9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9478.09710257</v>
      </c>
      <c r="K146" s="9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9294.936907425</v>
      </c>
      <c r="L146" s="9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9111.77671228</v>
      </c>
      <c r="M146" s="9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14505.57866159</v>
      </c>
      <c r="N146" s="9" t="n">
        <f aca="false">SUM(B146:M146)</f>
        <v>123932.492099</v>
      </c>
      <c r="O146" s="9" t="n">
        <f aca="false">MAX(B146:M146)</f>
        <v>14505.57866159</v>
      </c>
      <c r="P146" s="43" t="n">
        <f aca="false">O146/(parametros_manuales!$B$7)</f>
        <v>96.7038577439333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14139.2582713</v>
      </c>
      <c r="C147" s="9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10787.60389862</v>
      </c>
      <c r="D147" s="9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10097.759563065</v>
      </c>
      <c r="E147" s="9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9661.257297715</v>
      </c>
      <c r="F147" s="9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9041.59483722</v>
      </c>
      <c r="G147" s="9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8858.434642075</v>
      </c>
      <c r="H147" s="9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9478.09710257</v>
      </c>
      <c r="I147" s="9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9478.09710257</v>
      </c>
      <c r="J147" s="9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9478.09710257</v>
      </c>
      <c r="K147" s="9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9294.936907425</v>
      </c>
      <c r="L147" s="9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9111.77671228</v>
      </c>
      <c r="M147" s="9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14505.57866159</v>
      </c>
      <c r="N147" s="9" t="n">
        <f aca="false">SUM(B147:M147)</f>
        <v>123932.492099</v>
      </c>
      <c r="O147" s="9" t="n">
        <f aca="false">MAX(B147:M147)</f>
        <v>14505.57866159</v>
      </c>
      <c r="P147" s="43" t="n">
        <f aca="false">O147/(parametros_manuales!$B$7)</f>
        <v>96.7038577439333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14139.2582713</v>
      </c>
      <c r="C148" s="9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10787.60389862</v>
      </c>
      <c r="D148" s="9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10097.759563065</v>
      </c>
      <c r="E148" s="9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9661.257297715</v>
      </c>
      <c r="F148" s="9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9041.59483722</v>
      </c>
      <c r="G148" s="9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8858.434642075</v>
      </c>
      <c r="H148" s="9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9478.09710257</v>
      </c>
      <c r="I148" s="9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9478.09710257</v>
      </c>
      <c r="J148" s="9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9478.09710257</v>
      </c>
      <c r="K148" s="9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9294.936907425</v>
      </c>
      <c r="L148" s="9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9111.77671228</v>
      </c>
      <c r="M148" s="9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14505.57866159</v>
      </c>
      <c r="N148" s="9" t="n">
        <f aca="false">SUM(B148:M148)</f>
        <v>123932.492099</v>
      </c>
      <c r="O148" s="9" t="n">
        <f aca="false">MAX(B148:M148)</f>
        <v>14505.57866159</v>
      </c>
      <c r="P148" s="43" t="n">
        <f aca="false">O148/(parametros_manuales!$B$7)</f>
        <v>96.7038577439333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282.785165426</v>
      </c>
      <c r="C149" s="9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215.7520779724</v>
      </c>
      <c r="D149" s="9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201.9551912613</v>
      </c>
      <c r="E149" s="9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193.2251459543</v>
      </c>
      <c r="F149" s="9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180.8318967444</v>
      </c>
      <c r="G149" s="9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177.1686928415</v>
      </c>
      <c r="H149" s="9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189.5619420514</v>
      </c>
      <c r="I149" s="9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189.5619420514</v>
      </c>
      <c r="J149" s="9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189.5619420514</v>
      </c>
      <c r="K149" s="9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185.8987381485</v>
      </c>
      <c r="L149" s="9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182.2355342456</v>
      </c>
      <c r="M149" s="9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290.1115732318</v>
      </c>
      <c r="N149" s="9" t="n">
        <f aca="false">SUM(B149:M149)</f>
        <v>2478.64984198</v>
      </c>
      <c r="O149" s="9" t="n">
        <f aca="false">MAX(B149:M149)</f>
        <v>290.1115732318</v>
      </c>
      <c r="P149" s="43" t="n">
        <f aca="false">O149/(parametros_manuales!$B$7)</f>
        <v>1.93407715487867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14139.2582713</v>
      </c>
      <c r="C150" s="9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10787.60389862</v>
      </c>
      <c r="D150" s="9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10097.759563065</v>
      </c>
      <c r="E150" s="9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9661.257297715</v>
      </c>
      <c r="F150" s="9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9041.59483722</v>
      </c>
      <c r="G150" s="9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8858.434642075</v>
      </c>
      <c r="H150" s="9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9478.09710257</v>
      </c>
      <c r="I150" s="9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9478.09710257</v>
      </c>
      <c r="J150" s="9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9478.09710257</v>
      </c>
      <c r="K150" s="9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9294.936907425</v>
      </c>
      <c r="L150" s="9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9111.77671228</v>
      </c>
      <c r="M150" s="9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14505.57866159</v>
      </c>
      <c r="N150" s="9" t="n">
        <f aca="false">SUM(B150:M150)</f>
        <v>123932.492099</v>
      </c>
      <c r="O150" s="9" t="n">
        <f aca="false">MAX(B150:M150)</f>
        <v>14505.57866159</v>
      </c>
      <c r="P150" s="43" t="n">
        <f aca="false">O150/(parametros_manuales!$B$7)</f>
        <v>96.7038577439333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14139.2582713</v>
      </c>
      <c r="C151" s="9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10787.60389862</v>
      </c>
      <c r="D151" s="9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10097.759563065</v>
      </c>
      <c r="E151" s="9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9661.257297715</v>
      </c>
      <c r="F151" s="9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9041.59483722</v>
      </c>
      <c r="G151" s="9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8858.434642075</v>
      </c>
      <c r="H151" s="9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9478.09710257</v>
      </c>
      <c r="I151" s="9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9478.09710257</v>
      </c>
      <c r="J151" s="9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9478.09710257</v>
      </c>
      <c r="K151" s="9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9294.936907425</v>
      </c>
      <c r="L151" s="9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9111.77671228</v>
      </c>
      <c r="M151" s="9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14505.57866159</v>
      </c>
      <c r="N151" s="9" t="n">
        <f aca="false">SUM(B151:M151)</f>
        <v>123932.492099</v>
      </c>
      <c r="O151" s="9" t="n">
        <f aca="false">MAX(B151:M151)</f>
        <v>14505.57866159</v>
      </c>
      <c r="P151" s="43" t="n">
        <f aca="false">O151/(parametros_manuales!$B$7)</f>
        <v>96.7038577439333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14139.2582713</v>
      </c>
      <c r="C152" s="9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10787.60389862</v>
      </c>
      <c r="D152" s="9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10097.759563065</v>
      </c>
      <c r="E152" s="9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9661.257297715</v>
      </c>
      <c r="F152" s="9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9041.59483722</v>
      </c>
      <c r="G152" s="9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8858.434642075</v>
      </c>
      <c r="H152" s="9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9478.09710257</v>
      </c>
      <c r="I152" s="9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9478.09710257</v>
      </c>
      <c r="J152" s="9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9478.09710257</v>
      </c>
      <c r="K152" s="9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9294.936907425</v>
      </c>
      <c r="L152" s="9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9111.77671228</v>
      </c>
      <c r="M152" s="9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14505.57866159</v>
      </c>
      <c r="N152" s="9" t="n">
        <f aca="false">SUM(B152:M152)</f>
        <v>123932.492099</v>
      </c>
      <c r="O152" s="9" t="n">
        <f aca="false">MAX(B152:M152)</f>
        <v>14505.57866159</v>
      </c>
      <c r="P152" s="43" t="n">
        <f aca="false">O152/(parametros_manuales!$B$7)</f>
        <v>96.7038577439333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14139.2582713</v>
      </c>
      <c r="C153" s="9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10787.60389862</v>
      </c>
      <c r="D153" s="9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10097.759563065</v>
      </c>
      <c r="E153" s="9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9661.257297715</v>
      </c>
      <c r="F153" s="9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9041.59483722</v>
      </c>
      <c r="G153" s="9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8858.434642075</v>
      </c>
      <c r="H153" s="9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9478.09710257</v>
      </c>
      <c r="I153" s="9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9478.09710257</v>
      </c>
      <c r="J153" s="9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9478.09710257</v>
      </c>
      <c r="K153" s="9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9294.936907425</v>
      </c>
      <c r="L153" s="9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9111.77671228</v>
      </c>
      <c r="M153" s="9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14505.57866159</v>
      </c>
      <c r="N153" s="9" t="n">
        <f aca="false">SUM(B153:M153)</f>
        <v>123932.492099</v>
      </c>
      <c r="O153" s="9" t="n">
        <f aca="false">MAX(B153:M153)</f>
        <v>14505.57866159</v>
      </c>
      <c r="P153" s="43" t="n">
        <f aca="false">O153/(parametros_manuales!$B$7)</f>
        <v>96.7038577439333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706.962913565</v>
      </c>
      <c r="C154" s="9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539.380194931</v>
      </c>
      <c r="D154" s="9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504.88797815325</v>
      </c>
      <c r="E154" s="9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483.06286488575</v>
      </c>
      <c r="F154" s="9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452.079741861</v>
      </c>
      <c r="G154" s="9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442.92173210375</v>
      </c>
      <c r="H154" s="9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473.9048551285</v>
      </c>
      <c r="I154" s="9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473.9048551285</v>
      </c>
      <c r="J154" s="9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473.9048551285</v>
      </c>
      <c r="K154" s="9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464.74684537125</v>
      </c>
      <c r="L154" s="9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455.588835614</v>
      </c>
      <c r="M154" s="9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725.2789330795</v>
      </c>
      <c r="N154" s="9" t="n">
        <f aca="false">SUM(B154:M154)</f>
        <v>6196.62460495</v>
      </c>
      <c r="O154" s="9" t="n">
        <f aca="false">MAX(B154:M154)</f>
        <v>725.2789330795</v>
      </c>
      <c r="P154" s="43" t="n">
        <f aca="false">O154/(parametros_manuales!$B$7)</f>
        <v>4.83519288719667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14139.2582713</v>
      </c>
      <c r="C155" s="9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10787.60389862</v>
      </c>
      <c r="D155" s="9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10097.759563065</v>
      </c>
      <c r="E155" s="9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9661.257297715</v>
      </c>
      <c r="F155" s="9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9041.59483722</v>
      </c>
      <c r="G155" s="9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8858.434642075</v>
      </c>
      <c r="H155" s="9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9478.09710257</v>
      </c>
      <c r="I155" s="9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9478.09710257</v>
      </c>
      <c r="J155" s="9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9478.09710257</v>
      </c>
      <c r="K155" s="9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9294.936907425</v>
      </c>
      <c r="L155" s="9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9111.77671228</v>
      </c>
      <c r="M155" s="9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14505.57866159</v>
      </c>
      <c r="N155" s="9" t="n">
        <f aca="false">SUM(B155:M155)</f>
        <v>123932.492099</v>
      </c>
      <c r="O155" s="9" t="n">
        <f aca="false">MAX(B155:M155)</f>
        <v>14505.57866159</v>
      </c>
      <c r="P155" s="43" t="n">
        <f aca="false">O155/(parametros_manuales!$B$7)</f>
        <v>96.7038577439333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3762.2462713</v>
      </c>
      <c r="C156" s="9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2916.07549862</v>
      </c>
      <c r="D156" s="9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2854.263763065</v>
      </c>
      <c r="E156" s="9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2776.162497715</v>
      </c>
      <c r="F156" s="9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2603.67043722</v>
      </c>
      <c r="G156" s="9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2509.279642075</v>
      </c>
      <c r="H156" s="9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2681.77170257</v>
      </c>
      <c r="I156" s="9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2681.77170257</v>
      </c>
      <c r="J156" s="9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2681.77170257</v>
      </c>
      <c r="K156" s="9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2587.380907425</v>
      </c>
      <c r="L156" s="9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2492.99011228</v>
      </c>
      <c r="M156" s="9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3951.02786159</v>
      </c>
      <c r="N156" s="9" t="n">
        <f aca="false">SUM(B156:M156)</f>
        <v>34498.412099</v>
      </c>
      <c r="O156" s="9" t="n">
        <f aca="false">MAX(B156:M156)</f>
        <v>3951.02786159</v>
      </c>
      <c r="P156" s="43" t="n">
        <f aca="false">O156/(parametros_manuales!$B$7)</f>
        <v>26.3401857439333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3762.2462713</v>
      </c>
      <c r="C157" s="9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2916.07549862</v>
      </c>
      <c r="D157" s="9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2854.263763065</v>
      </c>
      <c r="E157" s="9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2776.162497715</v>
      </c>
      <c r="F157" s="9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2603.67043722</v>
      </c>
      <c r="G157" s="9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2509.279642075</v>
      </c>
      <c r="H157" s="9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2681.77170257</v>
      </c>
      <c r="I157" s="9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2681.77170257</v>
      </c>
      <c r="J157" s="9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2681.77170257</v>
      </c>
      <c r="K157" s="9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2587.380907425</v>
      </c>
      <c r="L157" s="9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2492.99011228</v>
      </c>
      <c r="M157" s="9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3951.02786159</v>
      </c>
      <c r="N157" s="9" t="n">
        <f aca="false">SUM(B157:M157)</f>
        <v>34498.412099</v>
      </c>
      <c r="O157" s="9" t="n">
        <f aca="false">MAX(B157:M157)</f>
        <v>3951.02786159</v>
      </c>
      <c r="P157" s="43" t="n">
        <f aca="false">O157/(parametros_manuales!$B$7)</f>
        <v>26.3401857439333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3762.2462713</v>
      </c>
      <c r="C158" s="9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2916.07549862</v>
      </c>
      <c r="D158" s="9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2854.263763065</v>
      </c>
      <c r="E158" s="9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2776.162497715</v>
      </c>
      <c r="F158" s="9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2603.67043722</v>
      </c>
      <c r="G158" s="9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2509.279642075</v>
      </c>
      <c r="H158" s="9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2681.77170257</v>
      </c>
      <c r="I158" s="9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2681.77170257</v>
      </c>
      <c r="J158" s="9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2681.77170257</v>
      </c>
      <c r="K158" s="9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2587.380907425</v>
      </c>
      <c r="L158" s="9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2492.99011228</v>
      </c>
      <c r="M158" s="9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3951.02786159</v>
      </c>
      <c r="N158" s="9" t="n">
        <f aca="false">SUM(B158:M158)</f>
        <v>34498.412099</v>
      </c>
      <c r="O158" s="9" t="n">
        <f aca="false">MAX(B158:M158)</f>
        <v>3951.02786159</v>
      </c>
      <c r="P158" s="43" t="n">
        <f aca="false">O158/(parametros_manuales!$B$7)</f>
        <v>26.3401857439333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3762.2462713</v>
      </c>
      <c r="C159" s="9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2916.07549862</v>
      </c>
      <c r="D159" s="9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2854.263763065</v>
      </c>
      <c r="E159" s="9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2776.162497715</v>
      </c>
      <c r="F159" s="9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2603.67043722</v>
      </c>
      <c r="G159" s="9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2509.279642075</v>
      </c>
      <c r="H159" s="9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2681.77170257</v>
      </c>
      <c r="I159" s="9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2681.77170257</v>
      </c>
      <c r="J159" s="9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2681.77170257</v>
      </c>
      <c r="K159" s="9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2587.380907425</v>
      </c>
      <c r="L159" s="9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2492.99011228</v>
      </c>
      <c r="M159" s="9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3951.02786159</v>
      </c>
      <c r="N159" s="9" t="n">
        <f aca="false">SUM(B159:M159)</f>
        <v>34498.412099</v>
      </c>
      <c r="O159" s="9" t="n">
        <f aca="false">MAX(B159:M159)</f>
        <v>3951.02786159</v>
      </c>
      <c r="P159" s="43" t="n">
        <f aca="false">O159/(parametros_manuales!$B$7)</f>
        <v>26.3401857439333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3762.2462713</v>
      </c>
      <c r="C160" s="9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2916.07549862</v>
      </c>
      <c r="D160" s="9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2854.263763065</v>
      </c>
      <c r="E160" s="9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2776.162497715</v>
      </c>
      <c r="F160" s="9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2603.67043722</v>
      </c>
      <c r="G160" s="9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2509.279642075</v>
      </c>
      <c r="H160" s="9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2681.77170257</v>
      </c>
      <c r="I160" s="9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2681.77170257</v>
      </c>
      <c r="J160" s="9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2681.77170257</v>
      </c>
      <c r="K160" s="9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2587.380907425</v>
      </c>
      <c r="L160" s="9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2492.99011228</v>
      </c>
      <c r="M160" s="9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3951.02786159</v>
      </c>
      <c r="N160" s="9" t="n">
        <f aca="false">SUM(B160:M160)</f>
        <v>34498.412099</v>
      </c>
      <c r="O160" s="9" t="n">
        <f aca="false">MAX(B160:M160)</f>
        <v>3951.02786159</v>
      </c>
      <c r="P160" s="43" t="n">
        <f aca="false">O160/(parametros_manuales!$B$7)</f>
        <v>26.3401857439333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14139.2582713</v>
      </c>
      <c r="C161" s="9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10787.60389862</v>
      </c>
      <c r="D161" s="9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10097.759563065</v>
      </c>
      <c r="E161" s="9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9661.257297715</v>
      </c>
      <c r="F161" s="9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9041.59483722</v>
      </c>
      <c r="G161" s="9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8858.434642075</v>
      </c>
      <c r="H161" s="9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9478.09710257</v>
      </c>
      <c r="I161" s="9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9478.09710257</v>
      </c>
      <c r="J161" s="9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9478.09710257</v>
      </c>
      <c r="K161" s="9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9294.936907425</v>
      </c>
      <c r="L161" s="9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9111.77671228</v>
      </c>
      <c r="M161" s="9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14505.57866159</v>
      </c>
      <c r="N161" s="9" t="n">
        <f aca="false">SUM(B161:M161)</f>
        <v>123932.492099</v>
      </c>
      <c r="O161" s="9" t="n">
        <f aca="false">MAX(B161:M161)</f>
        <v>14505.57866159</v>
      </c>
      <c r="P161" s="43" t="n">
        <f aca="false">O161/(parametros_manuales!$B$7)</f>
        <v>96.7038577439333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196</v>
      </c>
      <c r="B163" s="7" t="s">
        <v>61</v>
      </c>
      <c r="C163" s="7" t="s">
        <v>62</v>
      </c>
      <c r="D163" s="7" t="s">
        <v>63</v>
      </c>
      <c r="E163" s="7" t="s">
        <v>64</v>
      </c>
      <c r="F163" s="7" t="s">
        <v>65</v>
      </c>
      <c r="G163" s="7" t="s">
        <v>66</v>
      </c>
      <c r="H163" s="7" t="s">
        <v>67</v>
      </c>
      <c r="I163" s="7" t="s">
        <v>68</v>
      </c>
      <c r="J163" s="7" t="s">
        <v>69</v>
      </c>
      <c r="K163" s="7" t="s">
        <v>70</v>
      </c>
      <c r="L163" s="7" t="s">
        <v>71</v>
      </c>
      <c r="M163" s="7" t="s">
        <v>72</v>
      </c>
      <c r="N163" s="7" t="s">
        <v>183</v>
      </c>
      <c r="O163" s="7" t="s">
        <v>188</v>
      </c>
      <c r="P163" s="7" t="s">
        <v>189</v>
      </c>
      <c r="Q163" s="7" t="s">
        <v>190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19511.1499821</v>
      </c>
      <c r="C164" s="9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14878.88106612</v>
      </c>
      <c r="D164" s="9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13907.668113065</v>
      </c>
      <c r="E164" s="9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13299.302346765</v>
      </c>
      <c r="F164" s="9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12445.41800092</v>
      </c>
      <c r="G164" s="9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12199.899421375</v>
      </c>
      <c r="H164" s="9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13053.78376722</v>
      </c>
      <c r="I164" s="9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13053.78376722</v>
      </c>
      <c r="J164" s="9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13053.78376722</v>
      </c>
      <c r="K164" s="9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12808.265187675</v>
      </c>
      <c r="L164" s="9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12562.74660813</v>
      </c>
      <c r="M164" s="9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20002.18714119</v>
      </c>
      <c r="N164" s="9" t="n">
        <f aca="false">SUM(B164:M164)</f>
        <v>170776.869169</v>
      </c>
      <c r="O164" s="9" t="n">
        <f aca="false">MAX(B164:M164)</f>
        <v>20002.18714119</v>
      </c>
      <c r="P164" s="43" t="n">
        <f aca="false">O164/(parametros_manuales!$B$7)</f>
        <v>133.3479142746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</f>
        <v>4910.3715909</v>
      </c>
      <c r="C165" s="9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</f>
        <v>3928.29727272</v>
      </c>
      <c r="D165" s="9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</f>
        <v>4173.815852265</v>
      </c>
      <c r="E165" s="9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</f>
        <v>4173.815852265</v>
      </c>
      <c r="F165" s="9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</f>
        <v>3928.29727272</v>
      </c>
      <c r="G165" s="9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</f>
        <v>3682.778693175</v>
      </c>
      <c r="H165" s="9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</f>
        <v>3928.29727272</v>
      </c>
      <c r="I165" s="9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</f>
        <v>3928.29727272</v>
      </c>
      <c r="J165" s="9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</f>
        <v>3928.29727272</v>
      </c>
      <c r="K165" s="9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</f>
        <v>3682.778693175</v>
      </c>
      <c r="L165" s="9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</f>
        <v>3437.26011363</v>
      </c>
      <c r="M165" s="9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</f>
        <v>5401.40874999</v>
      </c>
      <c r="N165" s="9" t="n">
        <f aca="false">SUM(B165:M165)</f>
        <v>49103.715909</v>
      </c>
      <c r="O165" s="9" t="n">
        <f aca="false">MAX(B165:M165)</f>
        <v>5401.40874999</v>
      </c>
      <c r="P165" s="43" t="n">
        <f aca="false">O165/(parametros_manuales!$B$7)</f>
        <v>36.0093916666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</f>
        <v>14600.7783912</v>
      </c>
      <c r="C166" s="9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</f>
        <v>10950.5837934</v>
      </c>
      <c r="D166" s="9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</f>
        <v>9733.8522608</v>
      </c>
      <c r="E166" s="9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</f>
        <v>9125.4864945</v>
      </c>
      <c r="F166" s="9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</f>
        <v>8517.1207282</v>
      </c>
      <c r="G166" s="9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</f>
        <v>8517.1207282</v>
      </c>
      <c r="H166" s="9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</f>
        <v>9125.4864945</v>
      </c>
      <c r="I166" s="9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</f>
        <v>9125.4864945</v>
      </c>
      <c r="J166" s="9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</f>
        <v>9125.4864945</v>
      </c>
      <c r="K166" s="9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</f>
        <v>9125.4864945</v>
      </c>
      <c r="L166" s="9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</f>
        <v>9125.4864945</v>
      </c>
      <c r="M166" s="9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</f>
        <v>14600.7783912</v>
      </c>
      <c r="N166" s="9" t="n">
        <f aca="false">SUM(B166:M166)</f>
        <v>121673.15326</v>
      </c>
      <c r="O166" s="9" t="n">
        <f aca="false">MAX(B166:M166)</f>
        <v>14600.7783912</v>
      </c>
      <c r="P166" s="43" t="n">
        <f aca="false">O166/(parametros_manuales!$B$7)</f>
        <v>97.338522608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39022.2999642</v>
      </c>
      <c r="C167" s="9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29757.76213224</v>
      </c>
      <c r="D167" s="9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27815.33622613</v>
      </c>
      <c r="E167" s="9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26598.60469353</v>
      </c>
      <c r="F167" s="9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24890.83600184</v>
      </c>
      <c r="G167" s="9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24399.79884275</v>
      </c>
      <c r="H167" s="9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26107.56753444</v>
      </c>
      <c r="I167" s="9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26107.56753444</v>
      </c>
      <c r="J167" s="9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26107.56753444</v>
      </c>
      <c r="K167" s="9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25616.53037535</v>
      </c>
      <c r="L167" s="9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25125.49321626</v>
      </c>
      <c r="M167" s="9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40004.37428238</v>
      </c>
      <c r="N167" s="9" t="n">
        <f aca="false">SUM(B167:M167)</f>
        <v>341553.738338</v>
      </c>
      <c r="O167" s="9" t="n">
        <f aca="false">MAX(B167:M167)</f>
        <v>40004.37428238</v>
      </c>
      <c r="P167" s="43" t="n">
        <f aca="false">O167/(parametros_manuales!$B$7)</f>
        <v>266.6958285492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19511.1499821</v>
      </c>
      <c r="C168" s="9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14878.88106612</v>
      </c>
      <c r="D168" s="9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13907.668113065</v>
      </c>
      <c r="E168" s="9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13299.302346765</v>
      </c>
      <c r="F168" s="9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12445.41800092</v>
      </c>
      <c r="G168" s="9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12199.899421375</v>
      </c>
      <c r="H168" s="9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13053.78376722</v>
      </c>
      <c r="I168" s="9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13053.78376722</v>
      </c>
      <c r="J168" s="9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13053.78376722</v>
      </c>
      <c r="K168" s="9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12808.265187675</v>
      </c>
      <c r="L168" s="9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12562.74660813</v>
      </c>
      <c r="M168" s="9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20002.18714119</v>
      </c>
      <c r="N168" s="9" t="n">
        <f aca="false">SUM(B168:M168)</f>
        <v>170776.869169</v>
      </c>
      <c r="O168" s="9" t="n">
        <f aca="false">MAX(B168:M168)</f>
        <v>20002.18714119</v>
      </c>
      <c r="P168" s="43" t="n">
        <f aca="false">O168/(parametros_manuales!$B$7)</f>
        <v>133.3479142746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19511.1499821</v>
      </c>
      <c r="C169" s="9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14878.88106612</v>
      </c>
      <c r="D169" s="9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13907.668113065</v>
      </c>
      <c r="E169" s="9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13299.302346765</v>
      </c>
      <c r="F169" s="9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12445.41800092</v>
      </c>
      <c r="G169" s="9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12199.899421375</v>
      </c>
      <c r="H169" s="9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13053.78376722</v>
      </c>
      <c r="I169" s="9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13053.78376722</v>
      </c>
      <c r="J169" s="9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13053.78376722</v>
      </c>
      <c r="K169" s="9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12808.265187675</v>
      </c>
      <c r="L169" s="9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12562.74660813</v>
      </c>
      <c r="M169" s="9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20002.18714119</v>
      </c>
      <c r="N169" s="9" t="n">
        <f aca="false">SUM(B169:M169)</f>
        <v>170776.869169</v>
      </c>
      <c r="O169" s="9" t="n">
        <f aca="false">MAX(B169:M169)</f>
        <v>20002.18714119</v>
      </c>
      <c r="P169" s="43" t="n">
        <f aca="false">O169/(parametros_manuales!$B$7)</f>
        <v>133.3479142746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19511.1499821</v>
      </c>
      <c r="C170" s="9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14878.88106612</v>
      </c>
      <c r="D170" s="9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13907.668113065</v>
      </c>
      <c r="E170" s="9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13299.302346765</v>
      </c>
      <c r="F170" s="9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12445.41800092</v>
      </c>
      <c r="G170" s="9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12199.899421375</v>
      </c>
      <c r="H170" s="9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13053.78376722</v>
      </c>
      <c r="I170" s="9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13053.78376722</v>
      </c>
      <c r="J170" s="9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13053.78376722</v>
      </c>
      <c r="K170" s="9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12808.265187675</v>
      </c>
      <c r="L170" s="9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12562.74660813</v>
      </c>
      <c r="M170" s="9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20002.18714119</v>
      </c>
      <c r="N170" s="9" t="n">
        <f aca="false">SUM(B170:M170)</f>
        <v>170776.869169</v>
      </c>
      <c r="O170" s="9" t="n">
        <f aca="false">MAX(B170:M170)</f>
        <v>20002.18714119</v>
      </c>
      <c r="P170" s="43" t="n">
        <f aca="false">O170/(parametros_manuales!$B$7)</f>
        <v>133.3479142746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4910.3715909</v>
      </c>
      <c r="C171" s="9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3928.29727272</v>
      </c>
      <c r="D171" s="9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4173.815852265</v>
      </c>
      <c r="E171" s="9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4173.815852265</v>
      </c>
      <c r="F171" s="9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3928.29727272</v>
      </c>
      <c r="G171" s="9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3682.778693175</v>
      </c>
      <c r="H171" s="9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3928.29727272</v>
      </c>
      <c r="I171" s="9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3928.29727272</v>
      </c>
      <c r="J171" s="9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3928.29727272</v>
      </c>
      <c r="K171" s="9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3682.778693175</v>
      </c>
      <c r="L171" s="9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3437.26011363</v>
      </c>
      <c r="M171" s="9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5401.40874999</v>
      </c>
      <c r="N171" s="9" t="n">
        <f aca="false">SUM(B171:M171)</f>
        <v>49103.715909</v>
      </c>
      <c r="O171" s="9" t="n">
        <f aca="false">MAX(B171:M171)</f>
        <v>5401.40874999</v>
      </c>
      <c r="P171" s="43" t="n">
        <f aca="false">O171/(parametros_manuales!$B$7)</f>
        <v>36.0093916666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4910.3715909</v>
      </c>
      <c r="C172" s="9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3928.29727272</v>
      </c>
      <c r="D172" s="9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4173.815852265</v>
      </c>
      <c r="E172" s="9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4173.815852265</v>
      </c>
      <c r="F172" s="9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3928.29727272</v>
      </c>
      <c r="G172" s="9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3682.778693175</v>
      </c>
      <c r="H172" s="9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3928.29727272</v>
      </c>
      <c r="I172" s="9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3928.29727272</v>
      </c>
      <c r="J172" s="9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3928.29727272</v>
      </c>
      <c r="K172" s="9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3682.778693175</v>
      </c>
      <c r="L172" s="9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3437.26011363</v>
      </c>
      <c r="M172" s="9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5401.40874999</v>
      </c>
      <c r="N172" s="9" t="n">
        <f aca="false">SUM(B172:M172)</f>
        <v>49103.715909</v>
      </c>
      <c r="O172" s="9" t="n">
        <f aca="false">MAX(B172:M172)</f>
        <v>5401.40874999</v>
      </c>
      <c r="P172" s="43" t="n">
        <f aca="false">O172/(parametros_manuales!$B$7)</f>
        <v>36.0093916666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19511.1499821</v>
      </c>
      <c r="C173" s="9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14878.88106612</v>
      </c>
      <c r="D173" s="9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13907.668113065</v>
      </c>
      <c r="E173" s="9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13299.302346765</v>
      </c>
      <c r="F173" s="9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12445.41800092</v>
      </c>
      <c r="G173" s="9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12199.899421375</v>
      </c>
      <c r="H173" s="9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13053.78376722</v>
      </c>
      <c r="I173" s="9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13053.78376722</v>
      </c>
      <c r="J173" s="9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13053.78376722</v>
      </c>
      <c r="K173" s="9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12808.265187675</v>
      </c>
      <c r="L173" s="9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12562.74660813</v>
      </c>
      <c r="M173" s="9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20002.18714119</v>
      </c>
      <c r="N173" s="9" t="n">
        <f aca="false">SUM(B173:M173)</f>
        <v>170776.869169</v>
      </c>
      <c r="O173" s="9" t="n">
        <f aca="false">MAX(B173:M173)</f>
        <v>20002.18714119</v>
      </c>
      <c r="P173" s="43" t="n">
        <f aca="false">O173/(parametros_manuales!$B$7)</f>
        <v>133.3479142746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19511.1499821</v>
      </c>
      <c r="C174" s="9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14878.88106612</v>
      </c>
      <c r="D174" s="9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13907.668113065</v>
      </c>
      <c r="E174" s="9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13299.302346765</v>
      </c>
      <c r="F174" s="9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12445.41800092</v>
      </c>
      <c r="G174" s="9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12199.899421375</v>
      </c>
      <c r="H174" s="9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13053.78376722</v>
      </c>
      <c r="I174" s="9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13053.78376722</v>
      </c>
      <c r="J174" s="9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13053.78376722</v>
      </c>
      <c r="K174" s="9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12808.265187675</v>
      </c>
      <c r="L174" s="9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12562.74660813</v>
      </c>
      <c r="M174" s="9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20002.18714119</v>
      </c>
      <c r="N174" s="9" t="n">
        <f aca="false">SUM(B174:M174)</f>
        <v>170776.869169</v>
      </c>
      <c r="O174" s="9" t="n">
        <f aca="false">MAX(B174:M174)</f>
        <v>20002.18714119</v>
      </c>
      <c r="P174" s="43" t="n">
        <f aca="false">O174/(parametros_manuales!$B$7)</f>
        <v>133.3479142746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19511.1499821</v>
      </c>
      <c r="C175" s="9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14878.88106612</v>
      </c>
      <c r="D175" s="9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13907.668113065</v>
      </c>
      <c r="E175" s="9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13299.302346765</v>
      </c>
      <c r="F175" s="9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12445.41800092</v>
      </c>
      <c r="G175" s="9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12199.899421375</v>
      </c>
      <c r="H175" s="9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13053.78376722</v>
      </c>
      <c r="I175" s="9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13053.78376722</v>
      </c>
      <c r="J175" s="9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13053.78376722</v>
      </c>
      <c r="K175" s="9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12808.265187675</v>
      </c>
      <c r="L175" s="9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12562.74660813</v>
      </c>
      <c r="M175" s="9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20002.18714119</v>
      </c>
      <c r="N175" s="9" t="n">
        <f aca="false">SUM(B175:M175)</f>
        <v>170776.869169</v>
      </c>
      <c r="O175" s="9" t="n">
        <f aca="false">MAX(B175:M175)</f>
        <v>20002.18714119</v>
      </c>
      <c r="P175" s="43" t="n">
        <f aca="false">O175/(parametros_manuales!$B$7)</f>
        <v>133.3479142746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390.222999642</v>
      </c>
      <c r="C176" s="9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297.5776213224</v>
      </c>
      <c r="D176" s="9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278.1533622613</v>
      </c>
      <c r="E176" s="9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265.9860469353</v>
      </c>
      <c r="F176" s="9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248.9083600184</v>
      </c>
      <c r="G176" s="9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243.9979884275</v>
      </c>
      <c r="H176" s="9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261.0756753444</v>
      </c>
      <c r="I176" s="9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261.0756753444</v>
      </c>
      <c r="J176" s="9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261.0756753444</v>
      </c>
      <c r="K176" s="9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256.1653037535</v>
      </c>
      <c r="L176" s="9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251.2549321626</v>
      </c>
      <c r="M176" s="9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400.0437428238</v>
      </c>
      <c r="N176" s="9" t="n">
        <f aca="false">SUM(B176:M176)</f>
        <v>3415.53738338</v>
      </c>
      <c r="O176" s="9" t="n">
        <f aca="false">MAX(B176:M176)</f>
        <v>400.0437428238</v>
      </c>
      <c r="P176" s="43" t="n">
        <f aca="false">O176/(parametros_manuales!$B$7)</f>
        <v>2.666958285492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19511.1499821</v>
      </c>
      <c r="C177" s="9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14878.88106612</v>
      </c>
      <c r="D177" s="9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13907.668113065</v>
      </c>
      <c r="E177" s="9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13299.302346765</v>
      </c>
      <c r="F177" s="9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12445.41800092</v>
      </c>
      <c r="G177" s="9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12199.899421375</v>
      </c>
      <c r="H177" s="9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13053.78376722</v>
      </c>
      <c r="I177" s="9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13053.78376722</v>
      </c>
      <c r="J177" s="9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13053.78376722</v>
      </c>
      <c r="K177" s="9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12808.265187675</v>
      </c>
      <c r="L177" s="9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12562.74660813</v>
      </c>
      <c r="M177" s="9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20002.18714119</v>
      </c>
      <c r="N177" s="9" t="n">
        <f aca="false">SUM(B177:M177)</f>
        <v>170776.869169</v>
      </c>
      <c r="O177" s="9" t="n">
        <f aca="false">MAX(B177:M177)</f>
        <v>20002.18714119</v>
      </c>
      <c r="P177" s="43" t="n">
        <f aca="false">O177/(parametros_manuales!$B$7)</f>
        <v>133.3479142746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19511.1499821</v>
      </c>
      <c r="C178" s="9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14878.88106612</v>
      </c>
      <c r="D178" s="9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13907.668113065</v>
      </c>
      <c r="E178" s="9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13299.302346765</v>
      </c>
      <c r="F178" s="9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12445.41800092</v>
      </c>
      <c r="G178" s="9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12199.899421375</v>
      </c>
      <c r="H178" s="9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13053.78376722</v>
      </c>
      <c r="I178" s="9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13053.78376722</v>
      </c>
      <c r="J178" s="9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13053.78376722</v>
      </c>
      <c r="K178" s="9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12808.265187675</v>
      </c>
      <c r="L178" s="9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12562.74660813</v>
      </c>
      <c r="M178" s="9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20002.18714119</v>
      </c>
      <c r="N178" s="9" t="n">
        <f aca="false">SUM(B178:M178)</f>
        <v>170776.869169</v>
      </c>
      <c r="O178" s="9" t="n">
        <f aca="false">MAX(B178:M178)</f>
        <v>20002.18714119</v>
      </c>
      <c r="P178" s="43" t="n">
        <f aca="false">O178/(parametros_manuales!$B$7)</f>
        <v>133.3479142746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19511.1499821</v>
      </c>
      <c r="C179" s="9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14878.88106612</v>
      </c>
      <c r="D179" s="9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13907.668113065</v>
      </c>
      <c r="E179" s="9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13299.302346765</v>
      </c>
      <c r="F179" s="9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12445.41800092</v>
      </c>
      <c r="G179" s="9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12199.899421375</v>
      </c>
      <c r="H179" s="9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13053.78376722</v>
      </c>
      <c r="I179" s="9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13053.78376722</v>
      </c>
      <c r="J179" s="9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13053.78376722</v>
      </c>
      <c r="K179" s="9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12808.265187675</v>
      </c>
      <c r="L179" s="9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12562.74660813</v>
      </c>
      <c r="M179" s="9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20002.18714119</v>
      </c>
      <c r="N179" s="9" t="n">
        <f aca="false">SUM(B179:M179)</f>
        <v>170776.869169</v>
      </c>
      <c r="O179" s="9" t="n">
        <f aca="false">MAX(B179:M179)</f>
        <v>20002.18714119</v>
      </c>
      <c r="P179" s="43" t="n">
        <f aca="false">O179/(parametros_manuales!$B$7)</f>
        <v>133.3479142746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19511.1499821</v>
      </c>
      <c r="C180" s="9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14878.88106612</v>
      </c>
      <c r="D180" s="9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13907.668113065</v>
      </c>
      <c r="E180" s="9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13299.302346765</v>
      </c>
      <c r="F180" s="9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12445.41800092</v>
      </c>
      <c r="G180" s="9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12199.899421375</v>
      </c>
      <c r="H180" s="9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13053.78376722</v>
      </c>
      <c r="I180" s="9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13053.78376722</v>
      </c>
      <c r="J180" s="9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13053.78376722</v>
      </c>
      <c r="K180" s="9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12808.265187675</v>
      </c>
      <c r="L180" s="9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12562.74660813</v>
      </c>
      <c r="M180" s="9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20002.18714119</v>
      </c>
      <c r="N180" s="9" t="n">
        <f aca="false">SUM(B180:M180)</f>
        <v>170776.869169</v>
      </c>
      <c r="O180" s="9" t="n">
        <f aca="false">MAX(B180:M180)</f>
        <v>20002.18714119</v>
      </c>
      <c r="P180" s="43" t="n">
        <f aca="false">O180/(parametros_manuales!$B$7)</f>
        <v>133.3479142746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975.557499105</v>
      </c>
      <c r="C181" s="9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743.944053306</v>
      </c>
      <c r="D181" s="9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695.38340565325</v>
      </c>
      <c r="E181" s="9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664.96511733825</v>
      </c>
      <c r="F181" s="9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622.270900046</v>
      </c>
      <c r="G181" s="9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609.99497106875</v>
      </c>
      <c r="H181" s="9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652.689188361</v>
      </c>
      <c r="I181" s="9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652.689188361</v>
      </c>
      <c r="J181" s="9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652.689188361</v>
      </c>
      <c r="K181" s="9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640.41325938375</v>
      </c>
      <c r="L181" s="9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628.1373304065</v>
      </c>
      <c r="M181" s="9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1000.1093570595</v>
      </c>
      <c r="N181" s="9" t="n">
        <f aca="false">SUM(B181:M181)</f>
        <v>8538.84345845</v>
      </c>
      <c r="O181" s="9" t="n">
        <f aca="false">MAX(B181:M181)</f>
        <v>1000.1093570595</v>
      </c>
      <c r="P181" s="43" t="n">
        <f aca="false">O181/(parametros_manuales!$B$7)</f>
        <v>6.66739571373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19511.1499821</v>
      </c>
      <c r="C182" s="9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14878.88106612</v>
      </c>
      <c r="D182" s="9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13907.668113065</v>
      </c>
      <c r="E182" s="9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13299.302346765</v>
      </c>
      <c r="F182" s="9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12445.41800092</v>
      </c>
      <c r="G182" s="9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12199.899421375</v>
      </c>
      <c r="H182" s="9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13053.78376722</v>
      </c>
      <c r="I182" s="9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13053.78376722</v>
      </c>
      <c r="J182" s="9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13053.78376722</v>
      </c>
      <c r="K182" s="9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12808.265187675</v>
      </c>
      <c r="L182" s="9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12562.74660813</v>
      </c>
      <c r="M182" s="9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20002.18714119</v>
      </c>
      <c r="N182" s="9" t="n">
        <f aca="false">SUM(B182:M182)</f>
        <v>170776.869169</v>
      </c>
      <c r="O182" s="9" t="n">
        <f aca="false">MAX(B182:M182)</f>
        <v>20002.18714119</v>
      </c>
      <c r="P182" s="43" t="n">
        <f aca="false">O182/(parametros_manuales!$B$7)</f>
        <v>133.3479142746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4860.7459821</v>
      </c>
      <c r="C183" s="9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3766.60146612</v>
      </c>
      <c r="D183" s="9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3684.317913065</v>
      </c>
      <c r="E183" s="9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3582.655146765</v>
      </c>
      <c r="F183" s="9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3359.95040092</v>
      </c>
      <c r="G183" s="9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3238.908421375</v>
      </c>
      <c r="H183" s="9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3461.61316722</v>
      </c>
      <c r="I183" s="9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3461.61316722</v>
      </c>
      <c r="J183" s="9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3461.61316722</v>
      </c>
      <c r="K183" s="9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3340.571187675</v>
      </c>
      <c r="L183" s="9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3219.52920813</v>
      </c>
      <c r="M183" s="9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5102.82994119</v>
      </c>
      <c r="N183" s="9" t="n">
        <f aca="false">SUM(B183:M183)</f>
        <v>44540.949169</v>
      </c>
      <c r="O183" s="9" t="n">
        <f aca="false">MAX(B183:M183)</f>
        <v>5102.82994119</v>
      </c>
      <c r="P183" s="43" t="n">
        <f aca="false">O183/(parametros_manuales!$B$7)</f>
        <v>34.0188662746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4860.7459821</v>
      </c>
      <c r="C184" s="9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3766.60146612</v>
      </c>
      <c r="D184" s="9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3684.317913065</v>
      </c>
      <c r="E184" s="9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3582.655146765</v>
      </c>
      <c r="F184" s="9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3359.95040092</v>
      </c>
      <c r="G184" s="9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3238.908421375</v>
      </c>
      <c r="H184" s="9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3461.61316722</v>
      </c>
      <c r="I184" s="9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3461.61316722</v>
      </c>
      <c r="J184" s="9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3461.61316722</v>
      </c>
      <c r="K184" s="9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3340.571187675</v>
      </c>
      <c r="L184" s="9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3219.52920813</v>
      </c>
      <c r="M184" s="9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5102.82994119</v>
      </c>
      <c r="N184" s="9" t="n">
        <f aca="false">SUM(B184:M184)</f>
        <v>44540.949169</v>
      </c>
      <c r="O184" s="9" t="n">
        <f aca="false">MAX(B184:M184)</f>
        <v>5102.82994119</v>
      </c>
      <c r="P184" s="43" t="n">
        <f aca="false">O184/(parametros_manuales!$B$7)</f>
        <v>34.0188662746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4860.7459821</v>
      </c>
      <c r="C185" s="9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3766.60146612</v>
      </c>
      <c r="D185" s="9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3684.317913065</v>
      </c>
      <c r="E185" s="9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3582.655146765</v>
      </c>
      <c r="F185" s="9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3359.95040092</v>
      </c>
      <c r="G185" s="9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3238.908421375</v>
      </c>
      <c r="H185" s="9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3461.61316722</v>
      </c>
      <c r="I185" s="9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3461.61316722</v>
      </c>
      <c r="J185" s="9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3461.61316722</v>
      </c>
      <c r="K185" s="9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3340.571187675</v>
      </c>
      <c r="L185" s="9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3219.52920813</v>
      </c>
      <c r="M185" s="9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5102.82994119</v>
      </c>
      <c r="N185" s="9" t="n">
        <f aca="false">SUM(B185:M185)</f>
        <v>44540.949169</v>
      </c>
      <c r="O185" s="9" t="n">
        <f aca="false">MAX(B185:M185)</f>
        <v>5102.82994119</v>
      </c>
      <c r="P185" s="43" t="n">
        <f aca="false">O185/(parametros_manuales!$B$7)</f>
        <v>34.0188662746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4860.7459821</v>
      </c>
      <c r="C186" s="9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3766.60146612</v>
      </c>
      <c r="D186" s="9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3684.317913065</v>
      </c>
      <c r="E186" s="9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3582.655146765</v>
      </c>
      <c r="F186" s="9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3359.95040092</v>
      </c>
      <c r="G186" s="9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3238.908421375</v>
      </c>
      <c r="H186" s="9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3461.61316722</v>
      </c>
      <c r="I186" s="9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3461.61316722</v>
      </c>
      <c r="J186" s="9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3461.61316722</v>
      </c>
      <c r="K186" s="9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3340.571187675</v>
      </c>
      <c r="L186" s="9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3219.52920813</v>
      </c>
      <c r="M186" s="9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5102.82994119</v>
      </c>
      <c r="N186" s="9" t="n">
        <f aca="false">SUM(B186:M186)</f>
        <v>44540.949169</v>
      </c>
      <c r="O186" s="9" t="n">
        <f aca="false">MAX(B186:M186)</f>
        <v>5102.82994119</v>
      </c>
      <c r="P186" s="43" t="n">
        <f aca="false">O186/(parametros_manuales!$B$7)</f>
        <v>34.0188662746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4860.7459821</v>
      </c>
      <c r="C187" s="9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3766.60146612</v>
      </c>
      <c r="D187" s="9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3684.317913065</v>
      </c>
      <c r="E187" s="9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3582.655146765</v>
      </c>
      <c r="F187" s="9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3359.95040092</v>
      </c>
      <c r="G187" s="9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3238.908421375</v>
      </c>
      <c r="H187" s="9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3461.61316722</v>
      </c>
      <c r="I187" s="9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3461.61316722</v>
      </c>
      <c r="J187" s="9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3461.61316722</v>
      </c>
      <c r="K187" s="9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3340.571187675</v>
      </c>
      <c r="L187" s="9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3219.52920813</v>
      </c>
      <c r="M187" s="9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5102.82994119</v>
      </c>
      <c r="N187" s="9" t="n">
        <f aca="false">SUM(B187:M187)</f>
        <v>44540.949169</v>
      </c>
      <c r="O187" s="9" t="n">
        <f aca="false">MAX(B187:M187)</f>
        <v>5102.82994119</v>
      </c>
      <c r="P187" s="43" t="n">
        <f aca="false">O187/(parametros_manuales!$B$7)</f>
        <v>34.0188662746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19511.1499821</v>
      </c>
      <c r="C188" s="9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14878.88106612</v>
      </c>
      <c r="D188" s="9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13907.668113065</v>
      </c>
      <c r="E188" s="9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13299.302346765</v>
      </c>
      <c r="F188" s="9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12445.41800092</v>
      </c>
      <c r="G188" s="9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12199.899421375</v>
      </c>
      <c r="H188" s="9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13053.78376722</v>
      </c>
      <c r="I188" s="9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13053.78376722</v>
      </c>
      <c r="J188" s="9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13053.78376722</v>
      </c>
      <c r="K188" s="9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12808.265187675</v>
      </c>
      <c r="L188" s="9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12562.74660813</v>
      </c>
      <c r="M188" s="9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20002.18714119</v>
      </c>
      <c r="N188" s="9" t="n">
        <f aca="false">SUM(B188:M188)</f>
        <v>170776.869169</v>
      </c>
      <c r="O188" s="9" t="n">
        <f aca="false">MAX(B188:M188)</f>
        <v>20002.18714119</v>
      </c>
      <c r="P188" s="43" t="n">
        <f aca="false">O188/(parametros_manuales!$B$7)</f>
        <v>133.3479142746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197</v>
      </c>
      <c r="B190" s="7" t="s">
        <v>61</v>
      </c>
      <c r="C190" s="7" t="s">
        <v>62</v>
      </c>
      <c r="D190" s="7" t="s">
        <v>63</v>
      </c>
      <c r="E190" s="7" t="s">
        <v>64</v>
      </c>
      <c r="F190" s="7" t="s">
        <v>65</v>
      </c>
      <c r="G190" s="7" t="s">
        <v>66</v>
      </c>
      <c r="H190" s="7" t="s">
        <v>67</v>
      </c>
      <c r="I190" s="7" t="s">
        <v>68</v>
      </c>
      <c r="J190" s="7" t="s">
        <v>69</v>
      </c>
      <c r="K190" s="7" t="s">
        <v>70</v>
      </c>
      <c r="L190" s="7" t="s">
        <v>71</v>
      </c>
      <c r="M190" s="7" t="s">
        <v>72</v>
      </c>
      <c r="N190" s="7" t="s">
        <v>183</v>
      </c>
      <c r="O190" s="7" t="s">
        <v>188</v>
      </c>
      <c r="P190" s="7" t="s">
        <v>189</v>
      </c>
      <c r="Q190" s="7" t="s">
        <v>190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24946.7791945</v>
      </c>
      <c r="C191" s="9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19020.62488472</v>
      </c>
      <c r="D191" s="9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17769.834588765</v>
      </c>
      <c r="E191" s="9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16989.169196365</v>
      </c>
      <c r="F191" s="9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15897.96331512</v>
      </c>
      <c r="G191" s="9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15587.422826275</v>
      </c>
      <c r="H191" s="9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16678.62870752</v>
      </c>
      <c r="I191" s="9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16678.62870752</v>
      </c>
      <c r="J191" s="9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16678.62870752</v>
      </c>
      <c r="K191" s="9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16368.088218675</v>
      </c>
      <c r="L191" s="9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16057.54772983</v>
      </c>
      <c r="M191" s="9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25567.86017219</v>
      </c>
      <c r="N191" s="9" t="n">
        <f aca="false">SUM(B191:M191)</f>
        <v>218241.176249</v>
      </c>
      <c r="O191" s="9" t="n">
        <f aca="false">MAX(B191:M191)</f>
        <v>25567.86017219</v>
      </c>
      <c r="P191" s="43" t="n">
        <f aca="false">O191/(parametros_manuales!$B$7)</f>
        <v>170.452401147933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</f>
        <v>6210.8097769</v>
      </c>
      <c r="C192" s="9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</f>
        <v>4968.64782152</v>
      </c>
      <c r="D192" s="9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</f>
        <v>5279.188310365</v>
      </c>
      <c r="E192" s="9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</f>
        <v>5279.188310365</v>
      </c>
      <c r="F192" s="9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</f>
        <v>4968.64782152</v>
      </c>
      <c r="G192" s="9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</f>
        <v>4658.107332675</v>
      </c>
      <c r="H192" s="9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</f>
        <v>4968.64782152</v>
      </c>
      <c r="I192" s="9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</f>
        <v>4968.64782152</v>
      </c>
      <c r="J192" s="9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</f>
        <v>4968.64782152</v>
      </c>
      <c r="K192" s="9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</f>
        <v>4658.107332675</v>
      </c>
      <c r="L192" s="9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</f>
        <v>4347.56684383</v>
      </c>
      <c r="M192" s="9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</f>
        <v>6831.89075459</v>
      </c>
      <c r="N192" s="9" t="n">
        <f aca="false">SUM(B192:M192)</f>
        <v>62108.097769</v>
      </c>
      <c r="O192" s="9" t="n">
        <f aca="false">MAX(B192:M192)</f>
        <v>6831.89075459</v>
      </c>
      <c r="P192" s="43" t="n">
        <f aca="false">O192/(parametros_manuales!$B$7)</f>
        <v>45.5459383639333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</f>
        <v>18735.9694176</v>
      </c>
      <c r="C193" s="9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</f>
        <v>14051.9770632</v>
      </c>
      <c r="D193" s="9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</f>
        <v>12490.6462784</v>
      </c>
      <c r="E193" s="9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</f>
        <v>11709.980886</v>
      </c>
      <c r="F193" s="9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</f>
        <v>10929.3154936</v>
      </c>
      <c r="G193" s="9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</f>
        <v>10929.3154936</v>
      </c>
      <c r="H193" s="9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</f>
        <v>11709.980886</v>
      </c>
      <c r="I193" s="9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</f>
        <v>11709.980886</v>
      </c>
      <c r="J193" s="9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</f>
        <v>11709.980886</v>
      </c>
      <c r="K193" s="9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</f>
        <v>11709.980886</v>
      </c>
      <c r="L193" s="9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</f>
        <v>11709.980886</v>
      </c>
      <c r="M193" s="9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</f>
        <v>18735.9694176</v>
      </c>
      <c r="N193" s="9" t="n">
        <f aca="false">SUM(B193:M193)</f>
        <v>156133.07848</v>
      </c>
      <c r="O193" s="9" t="n">
        <f aca="false">MAX(B193:M193)</f>
        <v>18735.9694176</v>
      </c>
      <c r="P193" s="43" t="n">
        <f aca="false">O193/(parametros_manuales!$B$7)</f>
        <v>124.906462784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49893.558389</v>
      </c>
      <c r="C194" s="9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38041.24976944</v>
      </c>
      <c r="D194" s="9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35539.66917753</v>
      </c>
      <c r="E194" s="9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33978.33839273</v>
      </c>
      <c r="F194" s="9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31795.92663024</v>
      </c>
      <c r="G194" s="9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31174.84565255</v>
      </c>
      <c r="H194" s="9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33357.25741504</v>
      </c>
      <c r="I194" s="9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33357.25741504</v>
      </c>
      <c r="J194" s="9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33357.25741504</v>
      </c>
      <c r="K194" s="9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32736.17643735</v>
      </c>
      <c r="L194" s="9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32115.09545966</v>
      </c>
      <c r="M194" s="9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51135.72034438</v>
      </c>
      <c r="N194" s="9" t="n">
        <f aca="false">SUM(B194:M194)</f>
        <v>436482.352498</v>
      </c>
      <c r="O194" s="9" t="n">
        <f aca="false">MAX(B194:M194)</f>
        <v>51135.72034438</v>
      </c>
      <c r="P194" s="43" t="n">
        <f aca="false">O194/(parametros_manuales!$B$7)</f>
        <v>340.904802295867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24946.7791945</v>
      </c>
      <c r="C195" s="9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19020.62488472</v>
      </c>
      <c r="D195" s="9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17769.834588765</v>
      </c>
      <c r="E195" s="9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16989.169196365</v>
      </c>
      <c r="F195" s="9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15897.96331512</v>
      </c>
      <c r="G195" s="9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15587.422826275</v>
      </c>
      <c r="H195" s="9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16678.62870752</v>
      </c>
      <c r="I195" s="9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16678.62870752</v>
      </c>
      <c r="J195" s="9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16678.62870752</v>
      </c>
      <c r="K195" s="9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16368.088218675</v>
      </c>
      <c r="L195" s="9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16057.54772983</v>
      </c>
      <c r="M195" s="9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25567.86017219</v>
      </c>
      <c r="N195" s="9" t="n">
        <f aca="false">SUM(B195:M195)</f>
        <v>218241.176249</v>
      </c>
      <c r="O195" s="9" t="n">
        <f aca="false">MAX(B195:M195)</f>
        <v>25567.86017219</v>
      </c>
      <c r="P195" s="43" t="n">
        <f aca="false">O195/(parametros_manuales!$B$7)</f>
        <v>170.452401147933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24946.7791945</v>
      </c>
      <c r="C196" s="9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19020.62488472</v>
      </c>
      <c r="D196" s="9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17769.834588765</v>
      </c>
      <c r="E196" s="9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16989.169196365</v>
      </c>
      <c r="F196" s="9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15897.96331512</v>
      </c>
      <c r="G196" s="9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15587.422826275</v>
      </c>
      <c r="H196" s="9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16678.62870752</v>
      </c>
      <c r="I196" s="9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16678.62870752</v>
      </c>
      <c r="J196" s="9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16678.62870752</v>
      </c>
      <c r="K196" s="9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16368.088218675</v>
      </c>
      <c r="L196" s="9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16057.54772983</v>
      </c>
      <c r="M196" s="9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25567.86017219</v>
      </c>
      <c r="N196" s="9" t="n">
        <f aca="false">SUM(B196:M196)</f>
        <v>218241.176249</v>
      </c>
      <c r="O196" s="9" t="n">
        <f aca="false">MAX(B196:M196)</f>
        <v>25567.86017219</v>
      </c>
      <c r="P196" s="43" t="n">
        <f aca="false">O196/(parametros_manuales!$B$7)</f>
        <v>170.452401147933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24946.7791945</v>
      </c>
      <c r="C197" s="9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19020.62488472</v>
      </c>
      <c r="D197" s="9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17769.834588765</v>
      </c>
      <c r="E197" s="9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16989.169196365</v>
      </c>
      <c r="F197" s="9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15897.96331512</v>
      </c>
      <c r="G197" s="9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15587.422826275</v>
      </c>
      <c r="H197" s="9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16678.62870752</v>
      </c>
      <c r="I197" s="9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16678.62870752</v>
      </c>
      <c r="J197" s="9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16678.62870752</v>
      </c>
      <c r="K197" s="9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16368.088218675</v>
      </c>
      <c r="L197" s="9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16057.54772983</v>
      </c>
      <c r="M197" s="9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25567.86017219</v>
      </c>
      <c r="N197" s="9" t="n">
        <f aca="false">SUM(B197:M197)</f>
        <v>218241.176249</v>
      </c>
      <c r="O197" s="9" t="n">
        <f aca="false">MAX(B197:M197)</f>
        <v>25567.86017219</v>
      </c>
      <c r="P197" s="43" t="n">
        <f aca="false">O197/(parametros_manuales!$B$7)</f>
        <v>170.452401147933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6210.8097769</v>
      </c>
      <c r="C198" s="9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4968.64782152</v>
      </c>
      <c r="D198" s="9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5279.188310365</v>
      </c>
      <c r="E198" s="9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5279.188310365</v>
      </c>
      <c r="F198" s="9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4968.64782152</v>
      </c>
      <c r="G198" s="9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4658.107332675</v>
      </c>
      <c r="H198" s="9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4968.64782152</v>
      </c>
      <c r="I198" s="9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4968.64782152</v>
      </c>
      <c r="J198" s="9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4968.64782152</v>
      </c>
      <c r="K198" s="9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4658.107332675</v>
      </c>
      <c r="L198" s="9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4347.56684383</v>
      </c>
      <c r="M198" s="9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6831.89075459</v>
      </c>
      <c r="N198" s="9" t="n">
        <f aca="false">SUM(B198:M198)</f>
        <v>62108.097769</v>
      </c>
      <c r="O198" s="9" t="n">
        <f aca="false">MAX(B198:M198)</f>
        <v>6831.89075459</v>
      </c>
      <c r="P198" s="43" t="n">
        <f aca="false">O198/(parametros_manuales!$B$7)</f>
        <v>45.5459383639333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6210.8097769</v>
      </c>
      <c r="C199" s="9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4968.64782152</v>
      </c>
      <c r="D199" s="9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5279.188310365</v>
      </c>
      <c r="E199" s="9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5279.188310365</v>
      </c>
      <c r="F199" s="9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4968.64782152</v>
      </c>
      <c r="G199" s="9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4658.107332675</v>
      </c>
      <c r="H199" s="9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4968.64782152</v>
      </c>
      <c r="I199" s="9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4968.64782152</v>
      </c>
      <c r="J199" s="9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4968.64782152</v>
      </c>
      <c r="K199" s="9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4658.107332675</v>
      </c>
      <c r="L199" s="9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4347.56684383</v>
      </c>
      <c r="M199" s="9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6831.89075459</v>
      </c>
      <c r="N199" s="9" t="n">
        <f aca="false">SUM(B199:M199)</f>
        <v>62108.097769</v>
      </c>
      <c r="O199" s="9" t="n">
        <f aca="false">MAX(B199:M199)</f>
        <v>6831.89075459</v>
      </c>
      <c r="P199" s="43" t="n">
        <f aca="false">O199/(parametros_manuales!$B$7)</f>
        <v>45.5459383639333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24946.7791945</v>
      </c>
      <c r="C200" s="9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19020.62488472</v>
      </c>
      <c r="D200" s="9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17769.834588765</v>
      </c>
      <c r="E200" s="9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16989.169196365</v>
      </c>
      <c r="F200" s="9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15897.96331512</v>
      </c>
      <c r="G200" s="9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15587.422826275</v>
      </c>
      <c r="H200" s="9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16678.62870752</v>
      </c>
      <c r="I200" s="9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16678.62870752</v>
      </c>
      <c r="J200" s="9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16678.62870752</v>
      </c>
      <c r="K200" s="9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16368.088218675</v>
      </c>
      <c r="L200" s="9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16057.54772983</v>
      </c>
      <c r="M200" s="9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25567.86017219</v>
      </c>
      <c r="N200" s="9" t="n">
        <f aca="false">SUM(B200:M200)</f>
        <v>218241.176249</v>
      </c>
      <c r="O200" s="9" t="n">
        <f aca="false">MAX(B200:M200)</f>
        <v>25567.86017219</v>
      </c>
      <c r="P200" s="43" t="n">
        <f aca="false">O200/(parametros_manuales!$B$7)</f>
        <v>170.452401147933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24946.7791945</v>
      </c>
      <c r="C201" s="9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19020.62488472</v>
      </c>
      <c r="D201" s="9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17769.834588765</v>
      </c>
      <c r="E201" s="9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16989.169196365</v>
      </c>
      <c r="F201" s="9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15897.96331512</v>
      </c>
      <c r="G201" s="9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15587.422826275</v>
      </c>
      <c r="H201" s="9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16678.62870752</v>
      </c>
      <c r="I201" s="9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16678.62870752</v>
      </c>
      <c r="J201" s="9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16678.62870752</v>
      </c>
      <c r="K201" s="9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16368.088218675</v>
      </c>
      <c r="L201" s="9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16057.54772983</v>
      </c>
      <c r="M201" s="9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25567.86017219</v>
      </c>
      <c r="N201" s="9" t="n">
        <f aca="false">SUM(B201:M201)</f>
        <v>218241.176249</v>
      </c>
      <c r="O201" s="9" t="n">
        <f aca="false">MAX(B201:M201)</f>
        <v>25567.86017219</v>
      </c>
      <c r="P201" s="43" t="n">
        <f aca="false">O201/(parametros_manuales!$B$7)</f>
        <v>170.452401147933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24946.7791945</v>
      </c>
      <c r="C202" s="9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19020.62488472</v>
      </c>
      <c r="D202" s="9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17769.834588765</v>
      </c>
      <c r="E202" s="9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16989.169196365</v>
      </c>
      <c r="F202" s="9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15897.96331512</v>
      </c>
      <c r="G202" s="9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15587.422826275</v>
      </c>
      <c r="H202" s="9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16678.62870752</v>
      </c>
      <c r="I202" s="9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16678.62870752</v>
      </c>
      <c r="J202" s="9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16678.62870752</v>
      </c>
      <c r="K202" s="9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16368.088218675</v>
      </c>
      <c r="L202" s="9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16057.54772983</v>
      </c>
      <c r="M202" s="9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25567.86017219</v>
      </c>
      <c r="N202" s="9" t="n">
        <f aca="false">SUM(B202:M202)</f>
        <v>218241.176249</v>
      </c>
      <c r="O202" s="9" t="n">
        <f aca="false">MAX(B202:M202)</f>
        <v>25567.86017219</v>
      </c>
      <c r="P202" s="43" t="n">
        <f aca="false">O202/(parametros_manuales!$B$7)</f>
        <v>170.452401147933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498.93558389</v>
      </c>
      <c r="C203" s="9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380.4124976944</v>
      </c>
      <c r="D203" s="9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355.3966917753</v>
      </c>
      <c r="E203" s="9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339.7833839273</v>
      </c>
      <c r="F203" s="9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317.9592663024</v>
      </c>
      <c r="G203" s="9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311.7484565255</v>
      </c>
      <c r="H203" s="9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333.5725741504</v>
      </c>
      <c r="I203" s="9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333.5725741504</v>
      </c>
      <c r="J203" s="9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333.5725741504</v>
      </c>
      <c r="K203" s="9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327.3617643735</v>
      </c>
      <c r="L203" s="9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321.1509545966</v>
      </c>
      <c r="M203" s="9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511.3572034438</v>
      </c>
      <c r="N203" s="9" t="n">
        <f aca="false">SUM(B203:M203)</f>
        <v>4364.82352498</v>
      </c>
      <c r="O203" s="9" t="n">
        <f aca="false">MAX(B203:M203)</f>
        <v>511.3572034438</v>
      </c>
      <c r="P203" s="43" t="n">
        <f aca="false">O203/(parametros_manuales!$B$7)</f>
        <v>3.40904802295867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24946.7791945</v>
      </c>
      <c r="C204" s="9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19020.62488472</v>
      </c>
      <c r="D204" s="9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17769.834588765</v>
      </c>
      <c r="E204" s="9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16989.169196365</v>
      </c>
      <c r="F204" s="9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15897.96331512</v>
      </c>
      <c r="G204" s="9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15587.422826275</v>
      </c>
      <c r="H204" s="9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16678.62870752</v>
      </c>
      <c r="I204" s="9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16678.62870752</v>
      </c>
      <c r="J204" s="9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16678.62870752</v>
      </c>
      <c r="K204" s="9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16368.088218675</v>
      </c>
      <c r="L204" s="9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16057.54772983</v>
      </c>
      <c r="M204" s="9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25567.86017219</v>
      </c>
      <c r="N204" s="9" t="n">
        <f aca="false">SUM(B204:M204)</f>
        <v>218241.176249</v>
      </c>
      <c r="O204" s="9" t="n">
        <f aca="false">MAX(B204:M204)</f>
        <v>25567.86017219</v>
      </c>
      <c r="P204" s="43" t="n">
        <f aca="false">O204/(parametros_manuales!$B$7)</f>
        <v>170.452401147933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24946.7791945</v>
      </c>
      <c r="C205" s="9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19020.62488472</v>
      </c>
      <c r="D205" s="9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17769.834588765</v>
      </c>
      <c r="E205" s="9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16989.169196365</v>
      </c>
      <c r="F205" s="9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15897.96331512</v>
      </c>
      <c r="G205" s="9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15587.422826275</v>
      </c>
      <c r="H205" s="9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16678.62870752</v>
      </c>
      <c r="I205" s="9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16678.62870752</v>
      </c>
      <c r="J205" s="9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16678.62870752</v>
      </c>
      <c r="K205" s="9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16368.088218675</v>
      </c>
      <c r="L205" s="9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16057.54772983</v>
      </c>
      <c r="M205" s="9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25567.86017219</v>
      </c>
      <c r="N205" s="9" t="n">
        <f aca="false">SUM(B205:M205)</f>
        <v>218241.176249</v>
      </c>
      <c r="O205" s="9" t="n">
        <f aca="false">MAX(B205:M205)</f>
        <v>25567.86017219</v>
      </c>
      <c r="P205" s="43" t="n">
        <f aca="false">O205/(parametros_manuales!$B$7)</f>
        <v>170.452401147933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24946.7791945</v>
      </c>
      <c r="C206" s="9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19020.62488472</v>
      </c>
      <c r="D206" s="9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17769.834588765</v>
      </c>
      <c r="E206" s="9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16989.169196365</v>
      </c>
      <c r="F206" s="9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15897.96331512</v>
      </c>
      <c r="G206" s="9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15587.422826275</v>
      </c>
      <c r="H206" s="9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16678.62870752</v>
      </c>
      <c r="I206" s="9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16678.62870752</v>
      </c>
      <c r="J206" s="9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16678.62870752</v>
      </c>
      <c r="K206" s="9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16368.088218675</v>
      </c>
      <c r="L206" s="9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16057.54772983</v>
      </c>
      <c r="M206" s="9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25567.86017219</v>
      </c>
      <c r="N206" s="9" t="n">
        <f aca="false">SUM(B206:M206)</f>
        <v>218241.176249</v>
      </c>
      <c r="O206" s="9" t="n">
        <f aca="false">MAX(B206:M206)</f>
        <v>25567.86017219</v>
      </c>
      <c r="P206" s="43" t="n">
        <f aca="false">O206/(parametros_manuales!$B$7)</f>
        <v>170.452401147933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24946.7791945</v>
      </c>
      <c r="C207" s="9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19020.62488472</v>
      </c>
      <c r="D207" s="9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17769.834588765</v>
      </c>
      <c r="E207" s="9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16989.169196365</v>
      </c>
      <c r="F207" s="9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15897.96331512</v>
      </c>
      <c r="G207" s="9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15587.422826275</v>
      </c>
      <c r="H207" s="9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16678.62870752</v>
      </c>
      <c r="I207" s="9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16678.62870752</v>
      </c>
      <c r="J207" s="9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16678.62870752</v>
      </c>
      <c r="K207" s="9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16368.088218675</v>
      </c>
      <c r="L207" s="9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16057.54772983</v>
      </c>
      <c r="M207" s="9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25567.86017219</v>
      </c>
      <c r="N207" s="9" t="n">
        <f aca="false">SUM(B207:M207)</f>
        <v>218241.176249</v>
      </c>
      <c r="O207" s="9" t="n">
        <f aca="false">MAX(B207:M207)</f>
        <v>25567.86017219</v>
      </c>
      <c r="P207" s="43" t="n">
        <f aca="false">O207/(parametros_manuales!$B$7)</f>
        <v>170.452401147933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1247.338959725</v>
      </c>
      <c r="C208" s="9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951.031244236</v>
      </c>
      <c r="D208" s="9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888.49172943825</v>
      </c>
      <c r="E208" s="9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849.45845981825</v>
      </c>
      <c r="F208" s="9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794.898165756</v>
      </c>
      <c r="G208" s="9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779.37114131375</v>
      </c>
      <c r="H208" s="9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833.931435376</v>
      </c>
      <c r="I208" s="9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833.931435376</v>
      </c>
      <c r="J208" s="9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833.931435376</v>
      </c>
      <c r="K208" s="9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818.40441093375</v>
      </c>
      <c r="L208" s="9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802.8773864915</v>
      </c>
      <c r="M208" s="9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1278.3930086095</v>
      </c>
      <c r="N208" s="9" t="n">
        <f aca="false">SUM(B208:M208)</f>
        <v>10912.05881245</v>
      </c>
      <c r="O208" s="9" t="n">
        <f aca="false">MAX(B208:M208)</f>
        <v>1278.3930086095</v>
      </c>
      <c r="P208" s="43" t="n">
        <f aca="false">O208/(parametros_manuales!$B$7)</f>
        <v>8.52262005739667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24946.7791945</v>
      </c>
      <c r="C209" s="9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19020.62488472</v>
      </c>
      <c r="D209" s="9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17769.834588765</v>
      </c>
      <c r="E209" s="9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16989.169196365</v>
      </c>
      <c r="F209" s="9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15897.96331512</v>
      </c>
      <c r="G209" s="9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15587.422826275</v>
      </c>
      <c r="H209" s="9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16678.62870752</v>
      </c>
      <c r="I209" s="9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16678.62870752</v>
      </c>
      <c r="J209" s="9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16678.62870752</v>
      </c>
      <c r="K209" s="9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16368.088218675</v>
      </c>
      <c r="L209" s="9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16057.54772983</v>
      </c>
      <c r="M209" s="9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25567.86017219</v>
      </c>
      <c r="N209" s="9" t="n">
        <f aca="false">SUM(B209:M209)</f>
        <v>218241.176249</v>
      </c>
      <c r="O209" s="9" t="n">
        <f aca="false">MAX(B209:M209)</f>
        <v>25567.86017219</v>
      </c>
      <c r="P209" s="43" t="n">
        <f aca="false">O209/(parametros_manuales!$B$7)</f>
        <v>170.452401147933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6012.9631945</v>
      </c>
      <c r="C210" s="9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4659.57808472</v>
      </c>
      <c r="D210" s="9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4558.112988765</v>
      </c>
      <c r="E210" s="9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4432.452596365</v>
      </c>
      <c r="F210" s="9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4156.93651512</v>
      </c>
      <c r="G210" s="9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4007.080826275</v>
      </c>
      <c r="H210" s="9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4282.59690752</v>
      </c>
      <c r="I210" s="9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4282.59690752</v>
      </c>
      <c r="J210" s="9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4282.59690752</v>
      </c>
      <c r="K210" s="9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4132.741218675</v>
      </c>
      <c r="L210" s="9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3982.88552983</v>
      </c>
      <c r="M210" s="9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6312.67457219</v>
      </c>
      <c r="N210" s="9" t="n">
        <f aca="false">SUM(B210:M210)</f>
        <v>55103.216249</v>
      </c>
      <c r="O210" s="9" t="n">
        <f aca="false">MAX(B210:M210)</f>
        <v>6312.67457219</v>
      </c>
      <c r="P210" s="43" t="n">
        <f aca="false">O210/(parametros_manuales!$B$7)</f>
        <v>42.0844971479333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6012.9631945</v>
      </c>
      <c r="C211" s="9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4659.57808472</v>
      </c>
      <c r="D211" s="9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4558.112988765</v>
      </c>
      <c r="E211" s="9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4432.452596365</v>
      </c>
      <c r="F211" s="9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4156.93651512</v>
      </c>
      <c r="G211" s="9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4007.080826275</v>
      </c>
      <c r="H211" s="9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4282.59690752</v>
      </c>
      <c r="I211" s="9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4282.59690752</v>
      </c>
      <c r="J211" s="9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4282.59690752</v>
      </c>
      <c r="K211" s="9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4132.741218675</v>
      </c>
      <c r="L211" s="9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3982.88552983</v>
      </c>
      <c r="M211" s="9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6312.67457219</v>
      </c>
      <c r="N211" s="9" t="n">
        <f aca="false">SUM(B211:M211)</f>
        <v>55103.216249</v>
      </c>
      <c r="O211" s="9" t="n">
        <f aca="false">MAX(B211:M211)</f>
        <v>6312.67457219</v>
      </c>
      <c r="P211" s="43" t="n">
        <f aca="false">O211/(parametros_manuales!$B$7)</f>
        <v>42.0844971479333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6012.9631945</v>
      </c>
      <c r="C212" s="9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4659.57808472</v>
      </c>
      <c r="D212" s="9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4558.112988765</v>
      </c>
      <c r="E212" s="9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4432.452596365</v>
      </c>
      <c r="F212" s="9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4156.93651512</v>
      </c>
      <c r="G212" s="9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4007.080826275</v>
      </c>
      <c r="H212" s="9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4282.59690752</v>
      </c>
      <c r="I212" s="9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4282.59690752</v>
      </c>
      <c r="J212" s="9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4282.59690752</v>
      </c>
      <c r="K212" s="9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4132.741218675</v>
      </c>
      <c r="L212" s="9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3982.88552983</v>
      </c>
      <c r="M212" s="9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6312.67457219</v>
      </c>
      <c r="N212" s="9" t="n">
        <f aca="false">SUM(B212:M212)</f>
        <v>55103.216249</v>
      </c>
      <c r="O212" s="9" t="n">
        <f aca="false">MAX(B212:M212)</f>
        <v>6312.67457219</v>
      </c>
      <c r="P212" s="43" t="n">
        <f aca="false">O212/(parametros_manuales!$B$7)</f>
        <v>42.0844971479333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6012.9631945</v>
      </c>
      <c r="C213" s="9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4659.57808472</v>
      </c>
      <c r="D213" s="9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4558.112988765</v>
      </c>
      <c r="E213" s="9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4432.452596365</v>
      </c>
      <c r="F213" s="9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4156.93651512</v>
      </c>
      <c r="G213" s="9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4007.080826275</v>
      </c>
      <c r="H213" s="9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4282.59690752</v>
      </c>
      <c r="I213" s="9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4282.59690752</v>
      </c>
      <c r="J213" s="9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4282.59690752</v>
      </c>
      <c r="K213" s="9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4132.741218675</v>
      </c>
      <c r="L213" s="9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3982.88552983</v>
      </c>
      <c r="M213" s="9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6312.67457219</v>
      </c>
      <c r="N213" s="9" t="n">
        <f aca="false">SUM(B213:M213)</f>
        <v>55103.216249</v>
      </c>
      <c r="O213" s="9" t="n">
        <f aca="false">MAX(B213:M213)</f>
        <v>6312.67457219</v>
      </c>
      <c r="P213" s="43" t="n">
        <f aca="false">O213/(parametros_manuales!$B$7)</f>
        <v>42.0844971479333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6012.9631945</v>
      </c>
      <c r="C214" s="9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4659.57808472</v>
      </c>
      <c r="D214" s="9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4558.112988765</v>
      </c>
      <c r="E214" s="9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4432.452596365</v>
      </c>
      <c r="F214" s="9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4156.93651512</v>
      </c>
      <c r="G214" s="9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4007.080826275</v>
      </c>
      <c r="H214" s="9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4282.59690752</v>
      </c>
      <c r="I214" s="9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4282.59690752</v>
      </c>
      <c r="J214" s="9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4282.59690752</v>
      </c>
      <c r="K214" s="9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4132.741218675</v>
      </c>
      <c r="L214" s="9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3982.88552983</v>
      </c>
      <c r="M214" s="9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6312.67457219</v>
      </c>
      <c r="N214" s="9" t="n">
        <f aca="false">SUM(B214:M214)</f>
        <v>55103.216249</v>
      </c>
      <c r="O214" s="9" t="n">
        <f aca="false">MAX(B214:M214)</f>
        <v>6312.67457219</v>
      </c>
      <c r="P214" s="43" t="n">
        <f aca="false">O214/(parametros_manuales!$B$7)</f>
        <v>42.0844971479333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24946.7791945</v>
      </c>
      <c r="C215" s="9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19020.62488472</v>
      </c>
      <c r="D215" s="9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17769.834588765</v>
      </c>
      <c r="E215" s="9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16989.169196365</v>
      </c>
      <c r="F215" s="9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15897.96331512</v>
      </c>
      <c r="G215" s="9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15587.422826275</v>
      </c>
      <c r="H215" s="9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16678.62870752</v>
      </c>
      <c r="I215" s="9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16678.62870752</v>
      </c>
      <c r="J215" s="9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16678.62870752</v>
      </c>
      <c r="K215" s="9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16368.088218675</v>
      </c>
      <c r="L215" s="9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16057.54772983</v>
      </c>
      <c r="M215" s="9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25567.86017219</v>
      </c>
      <c r="N215" s="9" t="n">
        <f aca="false">SUM(B215:M215)</f>
        <v>218241.176249</v>
      </c>
      <c r="O215" s="9" t="n">
        <f aca="false">MAX(B215:M215)</f>
        <v>25567.86017219</v>
      </c>
      <c r="P215" s="43" t="n">
        <f aca="false">O215/(parametros_manuales!$B$7)</f>
        <v>170.452401147933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198</v>
      </c>
      <c r="B217" s="7" t="s">
        <v>61</v>
      </c>
      <c r="C217" s="7" t="s">
        <v>62</v>
      </c>
      <c r="D217" s="7" t="s">
        <v>63</v>
      </c>
      <c r="E217" s="7" t="s">
        <v>64</v>
      </c>
      <c r="F217" s="7" t="s">
        <v>65</v>
      </c>
      <c r="G217" s="7" t="s">
        <v>66</v>
      </c>
      <c r="H217" s="7" t="s">
        <v>67</v>
      </c>
      <c r="I217" s="7" t="s">
        <v>68</v>
      </c>
      <c r="J217" s="7" t="s">
        <v>69</v>
      </c>
      <c r="K217" s="7" t="s">
        <v>70</v>
      </c>
      <c r="L217" s="7" t="s">
        <v>71</v>
      </c>
      <c r="M217" s="7" t="s">
        <v>72</v>
      </c>
      <c r="N217" s="7" t="s">
        <v>183</v>
      </c>
      <c r="O217" s="7" t="s">
        <v>188</v>
      </c>
      <c r="P217" s="7" t="s">
        <v>189</v>
      </c>
      <c r="Q217" s="7" t="s">
        <v>190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28132.4144215</v>
      </c>
      <c r="C218" s="9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21453.57272036</v>
      </c>
      <c r="D218" s="9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20053.903263195</v>
      </c>
      <c r="E218" s="9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19176.937582495</v>
      </c>
      <c r="F218" s="9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17945.70999756</v>
      </c>
      <c r="G218" s="9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17591.448093325</v>
      </c>
      <c r="H218" s="9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18822.67567826</v>
      </c>
      <c r="I218" s="9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18822.67567826</v>
      </c>
      <c r="J218" s="9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18822.67567826</v>
      </c>
      <c r="K218" s="9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18468.413774025</v>
      </c>
      <c r="L218" s="9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18114.15186979</v>
      </c>
      <c r="M218" s="9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28840.93822997</v>
      </c>
      <c r="N218" s="9" t="n">
        <f aca="false">SUM(B218:M218)</f>
        <v>246245.516987</v>
      </c>
      <c r="O218" s="9" t="n">
        <f aca="false">MAX(B218:M218)</f>
        <v>28840.93822997</v>
      </c>
      <c r="P218" s="43" t="n">
        <f aca="false">O218/(parametros_manuales!$B$7)</f>
        <v>192.272921533133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</f>
        <v>7085.2380847</v>
      </c>
      <c r="C219" s="9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</f>
        <v>5668.19046776</v>
      </c>
      <c r="D219" s="9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</f>
        <v>6022.452371995</v>
      </c>
      <c r="E219" s="9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</f>
        <v>6022.452371995</v>
      </c>
      <c r="F219" s="9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</f>
        <v>5668.19046776</v>
      </c>
      <c r="G219" s="9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</f>
        <v>5313.928563525</v>
      </c>
      <c r="H219" s="9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</f>
        <v>5668.19046776</v>
      </c>
      <c r="I219" s="9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</f>
        <v>5668.19046776</v>
      </c>
      <c r="J219" s="9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</f>
        <v>5668.19046776</v>
      </c>
      <c r="K219" s="9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</f>
        <v>5313.928563525</v>
      </c>
      <c r="L219" s="9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</f>
        <v>4959.66665929</v>
      </c>
      <c r="M219" s="9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</f>
        <v>7793.76189317</v>
      </c>
      <c r="N219" s="9" t="n">
        <f aca="false">SUM(B219:M219)</f>
        <v>70852.380847</v>
      </c>
      <c r="O219" s="9" t="n">
        <f aca="false">MAX(B219:M219)</f>
        <v>7793.76189317</v>
      </c>
      <c r="P219" s="43" t="n">
        <f aca="false">O219/(parametros_manuales!$B$7)</f>
        <v>51.9584126211333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</f>
        <v>21047.1763368</v>
      </c>
      <c r="C220" s="9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</f>
        <v>15785.3822526</v>
      </c>
      <c r="D220" s="9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</f>
        <v>14031.4508912</v>
      </c>
      <c r="E220" s="9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</f>
        <v>13154.4852105</v>
      </c>
      <c r="F220" s="9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</f>
        <v>12277.5195298</v>
      </c>
      <c r="G220" s="9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</f>
        <v>12277.5195298</v>
      </c>
      <c r="H220" s="9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</f>
        <v>13154.4852105</v>
      </c>
      <c r="I220" s="9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</f>
        <v>13154.4852105</v>
      </c>
      <c r="J220" s="9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</f>
        <v>13154.4852105</v>
      </c>
      <c r="K220" s="9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</f>
        <v>13154.4852105</v>
      </c>
      <c r="L220" s="9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</f>
        <v>13154.4852105</v>
      </c>
      <c r="M220" s="9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</f>
        <v>21047.1763368</v>
      </c>
      <c r="N220" s="9" t="n">
        <f aca="false">SUM(B220:M220)</f>
        <v>175393.13614</v>
      </c>
      <c r="O220" s="9" t="n">
        <f aca="false">MAX(B220:M220)</f>
        <v>21047.1763368</v>
      </c>
      <c r="P220" s="43" t="n">
        <f aca="false">O220/(parametros_manuales!$B$7)</f>
        <v>140.314508912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56264.828843</v>
      </c>
      <c r="C221" s="9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42907.14544072</v>
      </c>
      <c r="D221" s="9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40107.80652639</v>
      </c>
      <c r="E221" s="9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38353.87516499</v>
      </c>
      <c r="F221" s="9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35891.41999512</v>
      </c>
      <c r="G221" s="9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35182.89618665</v>
      </c>
      <c r="H221" s="9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37645.35135652</v>
      </c>
      <c r="I221" s="9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37645.35135652</v>
      </c>
      <c r="J221" s="9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37645.35135652</v>
      </c>
      <c r="K221" s="9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36936.82754805</v>
      </c>
      <c r="L221" s="9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36228.30373958</v>
      </c>
      <c r="M221" s="9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57681.87645994</v>
      </c>
      <c r="N221" s="9" t="n">
        <f aca="false">SUM(B221:M221)</f>
        <v>492491.033974</v>
      </c>
      <c r="O221" s="9" t="n">
        <f aca="false">MAX(B221:M221)</f>
        <v>57681.87645994</v>
      </c>
      <c r="P221" s="43" t="n">
        <f aca="false">O221/(parametros_manuales!$B$7)</f>
        <v>384.545843066267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28132.4144215</v>
      </c>
      <c r="C222" s="9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21453.57272036</v>
      </c>
      <c r="D222" s="9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20053.903263195</v>
      </c>
      <c r="E222" s="9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19176.937582495</v>
      </c>
      <c r="F222" s="9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17945.70999756</v>
      </c>
      <c r="G222" s="9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17591.448093325</v>
      </c>
      <c r="H222" s="9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18822.67567826</v>
      </c>
      <c r="I222" s="9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18822.67567826</v>
      </c>
      <c r="J222" s="9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18822.67567826</v>
      </c>
      <c r="K222" s="9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18468.413774025</v>
      </c>
      <c r="L222" s="9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18114.15186979</v>
      </c>
      <c r="M222" s="9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28840.93822997</v>
      </c>
      <c r="N222" s="9" t="n">
        <f aca="false">SUM(B222:M222)</f>
        <v>246245.516987</v>
      </c>
      <c r="O222" s="9" t="n">
        <f aca="false">MAX(B222:M222)</f>
        <v>28840.93822997</v>
      </c>
      <c r="P222" s="43" t="n">
        <f aca="false">O222/(parametros_manuales!$B$7)</f>
        <v>192.272921533133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28132.4144215</v>
      </c>
      <c r="C223" s="9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21453.57272036</v>
      </c>
      <c r="D223" s="9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20053.903263195</v>
      </c>
      <c r="E223" s="9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19176.937582495</v>
      </c>
      <c r="F223" s="9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17945.70999756</v>
      </c>
      <c r="G223" s="9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17591.448093325</v>
      </c>
      <c r="H223" s="9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18822.67567826</v>
      </c>
      <c r="I223" s="9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18822.67567826</v>
      </c>
      <c r="J223" s="9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18822.67567826</v>
      </c>
      <c r="K223" s="9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18468.413774025</v>
      </c>
      <c r="L223" s="9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18114.15186979</v>
      </c>
      <c r="M223" s="9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28840.93822997</v>
      </c>
      <c r="N223" s="9" t="n">
        <f aca="false">SUM(B223:M223)</f>
        <v>246245.516987</v>
      </c>
      <c r="O223" s="9" t="n">
        <f aca="false">MAX(B223:M223)</f>
        <v>28840.93822997</v>
      </c>
      <c r="P223" s="43" t="n">
        <f aca="false">O223/(parametros_manuales!$B$7)</f>
        <v>192.272921533133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28132.4144215</v>
      </c>
      <c r="C224" s="9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21453.57272036</v>
      </c>
      <c r="D224" s="9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20053.903263195</v>
      </c>
      <c r="E224" s="9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19176.937582495</v>
      </c>
      <c r="F224" s="9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17945.70999756</v>
      </c>
      <c r="G224" s="9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17591.448093325</v>
      </c>
      <c r="H224" s="9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18822.67567826</v>
      </c>
      <c r="I224" s="9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18822.67567826</v>
      </c>
      <c r="J224" s="9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18822.67567826</v>
      </c>
      <c r="K224" s="9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18468.413774025</v>
      </c>
      <c r="L224" s="9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18114.15186979</v>
      </c>
      <c r="M224" s="9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28840.93822997</v>
      </c>
      <c r="N224" s="9" t="n">
        <f aca="false">SUM(B224:M224)</f>
        <v>246245.516987</v>
      </c>
      <c r="O224" s="9" t="n">
        <f aca="false">MAX(B224:M224)</f>
        <v>28840.93822997</v>
      </c>
      <c r="P224" s="43" t="n">
        <f aca="false">O224/(parametros_manuales!$B$7)</f>
        <v>192.272921533133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7085.2380847</v>
      </c>
      <c r="C225" s="9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5668.19046776</v>
      </c>
      <c r="D225" s="9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6022.452371995</v>
      </c>
      <c r="E225" s="9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6022.452371995</v>
      </c>
      <c r="F225" s="9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5668.19046776</v>
      </c>
      <c r="G225" s="9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5313.928563525</v>
      </c>
      <c r="H225" s="9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5668.19046776</v>
      </c>
      <c r="I225" s="9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5668.19046776</v>
      </c>
      <c r="J225" s="9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5668.19046776</v>
      </c>
      <c r="K225" s="9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5313.928563525</v>
      </c>
      <c r="L225" s="9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4959.66665929</v>
      </c>
      <c r="M225" s="9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7793.76189317</v>
      </c>
      <c r="N225" s="9" t="n">
        <f aca="false">SUM(B225:M225)</f>
        <v>70852.380847</v>
      </c>
      <c r="O225" s="9" t="n">
        <f aca="false">MAX(B225:M225)</f>
        <v>7793.76189317</v>
      </c>
      <c r="P225" s="43" t="n">
        <f aca="false">O225/(parametros_manuales!$B$7)</f>
        <v>51.9584126211333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7085.2380847</v>
      </c>
      <c r="C226" s="9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5668.19046776</v>
      </c>
      <c r="D226" s="9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6022.452371995</v>
      </c>
      <c r="E226" s="9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6022.452371995</v>
      </c>
      <c r="F226" s="9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5668.19046776</v>
      </c>
      <c r="G226" s="9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5313.928563525</v>
      </c>
      <c r="H226" s="9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5668.19046776</v>
      </c>
      <c r="I226" s="9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5668.19046776</v>
      </c>
      <c r="J226" s="9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5668.19046776</v>
      </c>
      <c r="K226" s="9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5313.928563525</v>
      </c>
      <c r="L226" s="9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4959.66665929</v>
      </c>
      <c r="M226" s="9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7793.76189317</v>
      </c>
      <c r="N226" s="9" t="n">
        <f aca="false">SUM(B226:M226)</f>
        <v>70852.380847</v>
      </c>
      <c r="O226" s="9" t="n">
        <f aca="false">MAX(B226:M226)</f>
        <v>7793.76189317</v>
      </c>
      <c r="P226" s="43" t="n">
        <f aca="false">O226/(parametros_manuales!$B$7)</f>
        <v>51.9584126211333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28132.4144215</v>
      </c>
      <c r="C227" s="9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21453.57272036</v>
      </c>
      <c r="D227" s="9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20053.903263195</v>
      </c>
      <c r="E227" s="9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19176.937582495</v>
      </c>
      <c r="F227" s="9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17945.70999756</v>
      </c>
      <c r="G227" s="9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17591.448093325</v>
      </c>
      <c r="H227" s="9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18822.67567826</v>
      </c>
      <c r="I227" s="9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18822.67567826</v>
      </c>
      <c r="J227" s="9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18822.67567826</v>
      </c>
      <c r="K227" s="9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18468.413774025</v>
      </c>
      <c r="L227" s="9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18114.15186979</v>
      </c>
      <c r="M227" s="9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28840.93822997</v>
      </c>
      <c r="N227" s="9" t="n">
        <f aca="false">SUM(B227:M227)</f>
        <v>246245.516987</v>
      </c>
      <c r="O227" s="9" t="n">
        <f aca="false">MAX(B227:M227)</f>
        <v>28840.93822997</v>
      </c>
      <c r="P227" s="43" t="n">
        <f aca="false">O227/(parametros_manuales!$B$7)</f>
        <v>192.272921533133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28132.4144215</v>
      </c>
      <c r="C228" s="9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21453.57272036</v>
      </c>
      <c r="D228" s="9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20053.903263195</v>
      </c>
      <c r="E228" s="9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19176.937582495</v>
      </c>
      <c r="F228" s="9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17945.70999756</v>
      </c>
      <c r="G228" s="9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17591.448093325</v>
      </c>
      <c r="H228" s="9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18822.67567826</v>
      </c>
      <c r="I228" s="9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18822.67567826</v>
      </c>
      <c r="J228" s="9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18822.67567826</v>
      </c>
      <c r="K228" s="9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18468.413774025</v>
      </c>
      <c r="L228" s="9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18114.15186979</v>
      </c>
      <c r="M228" s="9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28840.93822997</v>
      </c>
      <c r="N228" s="9" t="n">
        <f aca="false">SUM(B228:M228)</f>
        <v>246245.516987</v>
      </c>
      <c r="O228" s="9" t="n">
        <f aca="false">MAX(B228:M228)</f>
        <v>28840.93822997</v>
      </c>
      <c r="P228" s="43" t="n">
        <f aca="false">O228/(parametros_manuales!$B$7)</f>
        <v>192.272921533133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28132.4144215</v>
      </c>
      <c r="C229" s="9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21453.57272036</v>
      </c>
      <c r="D229" s="9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20053.903263195</v>
      </c>
      <c r="E229" s="9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19176.937582495</v>
      </c>
      <c r="F229" s="9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17945.70999756</v>
      </c>
      <c r="G229" s="9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17591.448093325</v>
      </c>
      <c r="H229" s="9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18822.67567826</v>
      </c>
      <c r="I229" s="9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18822.67567826</v>
      </c>
      <c r="J229" s="9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18822.67567826</v>
      </c>
      <c r="K229" s="9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18468.413774025</v>
      </c>
      <c r="L229" s="9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18114.15186979</v>
      </c>
      <c r="M229" s="9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28840.93822997</v>
      </c>
      <c r="N229" s="9" t="n">
        <f aca="false">SUM(B229:M229)</f>
        <v>246245.516987</v>
      </c>
      <c r="O229" s="9" t="n">
        <f aca="false">MAX(B229:M229)</f>
        <v>28840.93822997</v>
      </c>
      <c r="P229" s="43" t="n">
        <f aca="false">O229/(parametros_manuales!$B$7)</f>
        <v>192.272921533133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562.64828843</v>
      </c>
      <c r="C230" s="9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429.0714544072</v>
      </c>
      <c r="D230" s="9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401.0780652639</v>
      </c>
      <c r="E230" s="9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383.5387516499</v>
      </c>
      <c r="F230" s="9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358.9141999512</v>
      </c>
      <c r="G230" s="9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351.8289618665</v>
      </c>
      <c r="H230" s="9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376.4535135652</v>
      </c>
      <c r="I230" s="9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376.4535135652</v>
      </c>
      <c r="J230" s="9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376.4535135652</v>
      </c>
      <c r="K230" s="9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369.3682754805</v>
      </c>
      <c r="L230" s="9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362.2830373958</v>
      </c>
      <c r="M230" s="9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576.8187645994</v>
      </c>
      <c r="N230" s="9" t="n">
        <f aca="false">SUM(B230:M230)</f>
        <v>4924.91033974</v>
      </c>
      <c r="O230" s="9" t="n">
        <f aca="false">MAX(B230:M230)</f>
        <v>576.8187645994</v>
      </c>
      <c r="P230" s="43" t="n">
        <f aca="false">O230/(parametros_manuales!$B$7)</f>
        <v>3.84545843066267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28132.4144215</v>
      </c>
      <c r="C231" s="9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21453.57272036</v>
      </c>
      <c r="D231" s="9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20053.903263195</v>
      </c>
      <c r="E231" s="9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19176.937582495</v>
      </c>
      <c r="F231" s="9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17945.70999756</v>
      </c>
      <c r="G231" s="9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17591.448093325</v>
      </c>
      <c r="H231" s="9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18822.67567826</v>
      </c>
      <c r="I231" s="9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18822.67567826</v>
      </c>
      <c r="J231" s="9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18822.67567826</v>
      </c>
      <c r="K231" s="9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18468.413774025</v>
      </c>
      <c r="L231" s="9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18114.15186979</v>
      </c>
      <c r="M231" s="9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28840.93822997</v>
      </c>
      <c r="N231" s="9" t="n">
        <f aca="false">SUM(B231:M231)</f>
        <v>246245.516987</v>
      </c>
      <c r="O231" s="9" t="n">
        <f aca="false">MAX(B231:M231)</f>
        <v>28840.93822997</v>
      </c>
      <c r="P231" s="43" t="n">
        <f aca="false">O231/(parametros_manuales!$B$7)</f>
        <v>192.272921533133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28132.4144215</v>
      </c>
      <c r="C232" s="9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21453.57272036</v>
      </c>
      <c r="D232" s="9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20053.903263195</v>
      </c>
      <c r="E232" s="9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19176.937582495</v>
      </c>
      <c r="F232" s="9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17945.70999756</v>
      </c>
      <c r="G232" s="9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17591.448093325</v>
      </c>
      <c r="H232" s="9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18822.67567826</v>
      </c>
      <c r="I232" s="9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18822.67567826</v>
      </c>
      <c r="J232" s="9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18822.67567826</v>
      </c>
      <c r="K232" s="9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18468.413774025</v>
      </c>
      <c r="L232" s="9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18114.15186979</v>
      </c>
      <c r="M232" s="9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28840.93822997</v>
      </c>
      <c r="N232" s="9" t="n">
        <f aca="false">SUM(B232:M232)</f>
        <v>246245.516987</v>
      </c>
      <c r="O232" s="9" t="n">
        <f aca="false">MAX(B232:M232)</f>
        <v>28840.93822997</v>
      </c>
      <c r="P232" s="43" t="n">
        <f aca="false">O232/(parametros_manuales!$B$7)</f>
        <v>192.272921533133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28132.4144215</v>
      </c>
      <c r="C233" s="9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21453.57272036</v>
      </c>
      <c r="D233" s="9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20053.903263195</v>
      </c>
      <c r="E233" s="9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19176.937582495</v>
      </c>
      <c r="F233" s="9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17945.70999756</v>
      </c>
      <c r="G233" s="9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17591.448093325</v>
      </c>
      <c r="H233" s="9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18822.67567826</v>
      </c>
      <c r="I233" s="9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18822.67567826</v>
      </c>
      <c r="J233" s="9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18822.67567826</v>
      </c>
      <c r="K233" s="9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18468.413774025</v>
      </c>
      <c r="L233" s="9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18114.15186979</v>
      </c>
      <c r="M233" s="9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28840.93822997</v>
      </c>
      <c r="N233" s="9" t="n">
        <f aca="false">SUM(B233:M233)</f>
        <v>246245.516987</v>
      </c>
      <c r="O233" s="9" t="n">
        <f aca="false">MAX(B233:M233)</f>
        <v>28840.93822997</v>
      </c>
      <c r="P233" s="43" t="n">
        <f aca="false">O233/(parametros_manuales!$B$7)</f>
        <v>192.272921533133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28132.4144215</v>
      </c>
      <c r="C234" s="9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21453.57272036</v>
      </c>
      <c r="D234" s="9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20053.903263195</v>
      </c>
      <c r="E234" s="9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19176.937582495</v>
      </c>
      <c r="F234" s="9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17945.70999756</v>
      </c>
      <c r="G234" s="9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17591.448093325</v>
      </c>
      <c r="H234" s="9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18822.67567826</v>
      </c>
      <c r="I234" s="9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18822.67567826</v>
      </c>
      <c r="J234" s="9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18822.67567826</v>
      </c>
      <c r="K234" s="9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18468.413774025</v>
      </c>
      <c r="L234" s="9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18114.15186979</v>
      </c>
      <c r="M234" s="9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28840.93822997</v>
      </c>
      <c r="N234" s="9" t="n">
        <f aca="false">SUM(B234:M234)</f>
        <v>246245.516987</v>
      </c>
      <c r="O234" s="9" t="n">
        <f aca="false">MAX(B234:M234)</f>
        <v>28840.93822997</v>
      </c>
      <c r="P234" s="43" t="n">
        <f aca="false">O234/(parametros_manuales!$B$7)</f>
        <v>192.272921533133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1406.620721075</v>
      </c>
      <c r="C235" s="9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1072.678636018</v>
      </c>
      <c r="D235" s="9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1002.69516315975</v>
      </c>
      <c r="E235" s="9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958.84687912475</v>
      </c>
      <c r="F235" s="9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897.285499878</v>
      </c>
      <c r="G235" s="9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879.57240466625</v>
      </c>
      <c r="H235" s="9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941.133783913</v>
      </c>
      <c r="I235" s="9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941.133783913</v>
      </c>
      <c r="J235" s="9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941.133783913</v>
      </c>
      <c r="K235" s="9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923.42068870125</v>
      </c>
      <c r="L235" s="9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905.7075934895</v>
      </c>
      <c r="M235" s="9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1442.0469114985</v>
      </c>
      <c r="N235" s="9" t="n">
        <f aca="false">SUM(B235:M235)</f>
        <v>12312.27584935</v>
      </c>
      <c r="O235" s="9" t="n">
        <f aca="false">MAX(B235:M235)</f>
        <v>1442.0469114985</v>
      </c>
      <c r="P235" s="43" t="n">
        <f aca="false">O235/(parametros_manuales!$B$7)</f>
        <v>9.61364607665667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28132.4144215</v>
      </c>
      <c r="C236" s="9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21453.57272036</v>
      </c>
      <c r="D236" s="9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20053.903263195</v>
      </c>
      <c r="E236" s="9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19176.937582495</v>
      </c>
      <c r="F236" s="9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17945.70999756</v>
      </c>
      <c r="G236" s="9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17591.448093325</v>
      </c>
      <c r="H236" s="9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18822.67567826</v>
      </c>
      <c r="I236" s="9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18822.67567826</v>
      </c>
      <c r="J236" s="9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18822.67567826</v>
      </c>
      <c r="K236" s="9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18468.413774025</v>
      </c>
      <c r="L236" s="9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18114.15186979</v>
      </c>
      <c r="M236" s="9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28840.93822997</v>
      </c>
      <c r="N236" s="9" t="n">
        <f aca="false">SUM(B236:M236)</f>
        <v>246245.516987</v>
      </c>
      <c r="O236" s="9" t="n">
        <f aca="false">MAX(B236:M236)</f>
        <v>28840.93822997</v>
      </c>
      <c r="P236" s="43" t="n">
        <f aca="false">O236/(parametros_manuales!$B$7)</f>
        <v>192.272921533133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6915.7264215</v>
      </c>
      <c r="C237" s="9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5361.14112036</v>
      </c>
      <c r="D237" s="9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5249.754063195</v>
      </c>
      <c r="E237" s="9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5106.887382495</v>
      </c>
      <c r="F237" s="9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4789.67439756</v>
      </c>
      <c r="G237" s="9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4615.328093325</v>
      </c>
      <c r="H237" s="9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4932.54107826</v>
      </c>
      <c r="I237" s="9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4932.54107826</v>
      </c>
      <c r="J237" s="9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4932.54107826</v>
      </c>
      <c r="K237" s="9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4758.194774025</v>
      </c>
      <c r="L237" s="9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4583.84846979</v>
      </c>
      <c r="M237" s="9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7264.41902997</v>
      </c>
      <c r="N237" s="9" t="n">
        <f aca="false">SUM(B237:M237)</f>
        <v>63442.596987</v>
      </c>
      <c r="O237" s="9" t="n">
        <f aca="false">MAX(B237:M237)</f>
        <v>7264.41902997</v>
      </c>
      <c r="P237" s="43" t="n">
        <f aca="false">O237/(parametros_manuales!$B$7)</f>
        <v>48.4294601998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6915.7264215</v>
      </c>
      <c r="C238" s="9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5361.14112036</v>
      </c>
      <c r="D238" s="9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5249.754063195</v>
      </c>
      <c r="E238" s="9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5106.887382495</v>
      </c>
      <c r="F238" s="9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4789.67439756</v>
      </c>
      <c r="G238" s="9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4615.328093325</v>
      </c>
      <c r="H238" s="9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4932.54107826</v>
      </c>
      <c r="I238" s="9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4932.54107826</v>
      </c>
      <c r="J238" s="9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4932.54107826</v>
      </c>
      <c r="K238" s="9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4758.194774025</v>
      </c>
      <c r="L238" s="9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4583.84846979</v>
      </c>
      <c r="M238" s="9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7264.41902997</v>
      </c>
      <c r="N238" s="9" t="n">
        <f aca="false">SUM(B238:M238)</f>
        <v>63442.596987</v>
      </c>
      <c r="O238" s="9" t="n">
        <f aca="false">MAX(B238:M238)</f>
        <v>7264.41902997</v>
      </c>
      <c r="P238" s="43" t="n">
        <f aca="false">O238/(parametros_manuales!$B$7)</f>
        <v>48.4294601998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6915.7264215</v>
      </c>
      <c r="C239" s="9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5361.14112036</v>
      </c>
      <c r="D239" s="9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5249.754063195</v>
      </c>
      <c r="E239" s="9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5106.887382495</v>
      </c>
      <c r="F239" s="9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4789.67439756</v>
      </c>
      <c r="G239" s="9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4615.328093325</v>
      </c>
      <c r="H239" s="9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4932.54107826</v>
      </c>
      <c r="I239" s="9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4932.54107826</v>
      </c>
      <c r="J239" s="9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4932.54107826</v>
      </c>
      <c r="K239" s="9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4758.194774025</v>
      </c>
      <c r="L239" s="9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4583.84846979</v>
      </c>
      <c r="M239" s="9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7264.41902997</v>
      </c>
      <c r="N239" s="9" t="n">
        <f aca="false">SUM(B239:M239)</f>
        <v>63442.596987</v>
      </c>
      <c r="O239" s="9" t="n">
        <f aca="false">MAX(B239:M239)</f>
        <v>7264.41902997</v>
      </c>
      <c r="P239" s="43" t="n">
        <f aca="false">O239/(parametros_manuales!$B$7)</f>
        <v>48.4294601998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6915.7264215</v>
      </c>
      <c r="C240" s="9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5361.14112036</v>
      </c>
      <c r="D240" s="9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5249.754063195</v>
      </c>
      <c r="E240" s="9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5106.887382495</v>
      </c>
      <c r="F240" s="9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4789.67439756</v>
      </c>
      <c r="G240" s="9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4615.328093325</v>
      </c>
      <c r="H240" s="9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4932.54107826</v>
      </c>
      <c r="I240" s="9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4932.54107826</v>
      </c>
      <c r="J240" s="9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4932.54107826</v>
      </c>
      <c r="K240" s="9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4758.194774025</v>
      </c>
      <c r="L240" s="9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4583.84846979</v>
      </c>
      <c r="M240" s="9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7264.41902997</v>
      </c>
      <c r="N240" s="9" t="n">
        <f aca="false">SUM(B240:M240)</f>
        <v>63442.596987</v>
      </c>
      <c r="O240" s="9" t="n">
        <f aca="false">MAX(B240:M240)</f>
        <v>7264.41902997</v>
      </c>
      <c r="P240" s="43" t="n">
        <f aca="false">O240/(parametros_manuales!$B$7)</f>
        <v>48.4294601998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6915.7264215</v>
      </c>
      <c r="C241" s="9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5361.14112036</v>
      </c>
      <c r="D241" s="9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5249.754063195</v>
      </c>
      <c r="E241" s="9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5106.887382495</v>
      </c>
      <c r="F241" s="9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4789.67439756</v>
      </c>
      <c r="G241" s="9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4615.328093325</v>
      </c>
      <c r="H241" s="9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4932.54107826</v>
      </c>
      <c r="I241" s="9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4932.54107826</v>
      </c>
      <c r="J241" s="9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4932.54107826</v>
      </c>
      <c r="K241" s="9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4758.194774025</v>
      </c>
      <c r="L241" s="9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4583.84846979</v>
      </c>
      <c r="M241" s="9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7264.41902997</v>
      </c>
      <c r="N241" s="9" t="n">
        <f aca="false">SUM(B241:M241)</f>
        <v>63442.596987</v>
      </c>
      <c r="O241" s="9" t="n">
        <f aca="false">MAX(B241:M241)</f>
        <v>7264.41902997</v>
      </c>
      <c r="P241" s="43" t="n">
        <f aca="false">O241/(parametros_manuales!$B$7)</f>
        <v>48.4294601998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28132.4144215</v>
      </c>
      <c r="C242" s="9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21453.57272036</v>
      </c>
      <c r="D242" s="9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20053.903263195</v>
      </c>
      <c r="E242" s="9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19176.937582495</v>
      </c>
      <c r="F242" s="9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17945.70999756</v>
      </c>
      <c r="G242" s="9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17591.448093325</v>
      </c>
      <c r="H242" s="9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18822.67567826</v>
      </c>
      <c r="I242" s="9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18822.67567826</v>
      </c>
      <c r="J242" s="9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18822.67567826</v>
      </c>
      <c r="K242" s="9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18468.413774025</v>
      </c>
      <c r="L242" s="9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18114.15186979</v>
      </c>
      <c r="M242" s="9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28840.93822997</v>
      </c>
      <c r="N242" s="9" t="n">
        <f aca="false">SUM(B242:M242)</f>
        <v>246245.516987</v>
      </c>
      <c r="O242" s="9" t="n">
        <f aca="false">MAX(B242:M242)</f>
        <v>28840.93822997</v>
      </c>
      <c r="P242" s="43" t="n">
        <f aca="false">O242/(parametros_manuales!$B$7)</f>
        <v>192.272921533133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199</v>
      </c>
      <c r="B244" s="7" t="s">
        <v>61</v>
      </c>
      <c r="C244" s="7" t="s">
        <v>62</v>
      </c>
      <c r="D244" s="7" t="s">
        <v>63</v>
      </c>
      <c r="E244" s="7" t="s">
        <v>64</v>
      </c>
      <c r="F244" s="7" t="s">
        <v>65</v>
      </c>
      <c r="G244" s="7" t="s">
        <v>66</v>
      </c>
      <c r="H244" s="7" t="s">
        <v>67</v>
      </c>
      <c r="I244" s="7" t="s">
        <v>68</v>
      </c>
      <c r="J244" s="7" t="s">
        <v>69</v>
      </c>
      <c r="K244" s="7" t="s">
        <v>70</v>
      </c>
      <c r="L244" s="7" t="s">
        <v>71</v>
      </c>
      <c r="M244" s="7" t="s">
        <v>72</v>
      </c>
      <c r="N244" s="7" t="s">
        <v>183</v>
      </c>
      <c r="O244" s="7" t="s">
        <v>188</v>
      </c>
      <c r="P244" s="7" t="s">
        <v>189</v>
      </c>
      <c r="Q244" s="7" t="s">
        <v>190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32503.7412199</v>
      </c>
      <c r="C245" s="9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24787.26914114</v>
      </c>
      <c r="D245" s="9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23170.525976055</v>
      </c>
      <c r="E245" s="9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22157.422780405</v>
      </c>
      <c r="F245" s="9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20734.85635854</v>
      </c>
      <c r="G245" s="9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20325.393132325</v>
      </c>
      <c r="H245" s="9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21747.95955419</v>
      </c>
      <c r="I245" s="9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21747.95955419</v>
      </c>
      <c r="J245" s="9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21747.95955419</v>
      </c>
      <c r="K245" s="9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21338.496327975</v>
      </c>
      <c r="L245" s="9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20929.03310176</v>
      </c>
      <c r="M245" s="9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33322.66767233</v>
      </c>
      <c r="N245" s="9" t="n">
        <f aca="false">SUM(B245:M245)</f>
        <v>284513.284373</v>
      </c>
      <c r="O245" s="9" t="n">
        <f aca="false">MAX(B245:M245)</f>
        <v>33322.66767233</v>
      </c>
      <c r="P245" s="43" t="n">
        <f aca="false">O245/(parametros_manuales!$B$7)</f>
        <v>222.151117815533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</f>
        <v>8189.2645243</v>
      </c>
      <c r="C246" s="9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</f>
        <v>6551.41161944</v>
      </c>
      <c r="D246" s="9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</f>
        <v>6960.874845655</v>
      </c>
      <c r="E246" s="9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</f>
        <v>6960.874845655</v>
      </c>
      <c r="F246" s="9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</f>
        <v>6551.41161944</v>
      </c>
      <c r="G246" s="9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</f>
        <v>6141.948393225</v>
      </c>
      <c r="H246" s="9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</f>
        <v>6551.41161944</v>
      </c>
      <c r="I246" s="9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</f>
        <v>6551.41161944</v>
      </c>
      <c r="J246" s="9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</f>
        <v>6551.41161944</v>
      </c>
      <c r="K246" s="9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</f>
        <v>6141.948393225</v>
      </c>
      <c r="L246" s="9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</f>
        <v>5732.48516701</v>
      </c>
      <c r="M246" s="9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</f>
        <v>9008.19097673</v>
      </c>
      <c r="N246" s="9" t="n">
        <f aca="false">SUM(B246:M246)</f>
        <v>81892.645243</v>
      </c>
      <c r="O246" s="9" t="n">
        <f aca="false">MAX(B246:M246)</f>
        <v>9008.19097673</v>
      </c>
      <c r="P246" s="43" t="n">
        <f aca="false">O246/(parametros_manuales!$B$7)</f>
        <v>60.0546065115333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</f>
        <v>24314.4766956</v>
      </c>
      <c r="C247" s="9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</f>
        <v>18235.8575217</v>
      </c>
      <c r="D247" s="9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</f>
        <v>16209.6511304</v>
      </c>
      <c r="E247" s="9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</f>
        <v>15196.54793475</v>
      </c>
      <c r="F247" s="9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</f>
        <v>14183.4447391</v>
      </c>
      <c r="G247" s="9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</f>
        <v>14183.4447391</v>
      </c>
      <c r="H247" s="9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</f>
        <v>15196.54793475</v>
      </c>
      <c r="I247" s="9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</f>
        <v>15196.54793475</v>
      </c>
      <c r="J247" s="9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</f>
        <v>15196.54793475</v>
      </c>
      <c r="K247" s="9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</f>
        <v>15196.54793475</v>
      </c>
      <c r="L247" s="9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</f>
        <v>15196.54793475</v>
      </c>
      <c r="M247" s="9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</f>
        <v>24314.4766956</v>
      </c>
      <c r="N247" s="9" t="n">
        <f aca="false">SUM(B247:M247)</f>
        <v>202620.63913</v>
      </c>
      <c r="O247" s="9" t="n">
        <f aca="false">MAX(B247:M247)</f>
        <v>24314.4766956</v>
      </c>
      <c r="P247" s="43" t="n">
        <f aca="false">O247/(parametros_manuales!$B$7)</f>
        <v>162.096511304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65007.4824398</v>
      </c>
      <c r="C248" s="9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49574.53828228</v>
      </c>
      <c r="D248" s="9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46341.05195211</v>
      </c>
      <c r="E248" s="9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44314.84556081</v>
      </c>
      <c r="F248" s="9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41469.71271708</v>
      </c>
      <c r="G248" s="9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40650.78626465</v>
      </c>
      <c r="H248" s="9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43495.91910838</v>
      </c>
      <c r="I248" s="9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43495.91910838</v>
      </c>
      <c r="J248" s="9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43495.91910838</v>
      </c>
      <c r="K248" s="9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42676.99265595</v>
      </c>
      <c r="L248" s="9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41858.06620352</v>
      </c>
      <c r="M248" s="9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66645.33534466</v>
      </c>
      <c r="N248" s="9" t="n">
        <f aca="false">SUM(B248:M248)</f>
        <v>569026.568746</v>
      </c>
      <c r="O248" s="9" t="n">
        <f aca="false">MAX(B248:M248)</f>
        <v>66645.33534466</v>
      </c>
      <c r="P248" s="43" t="n">
        <f aca="false">O248/(parametros_manuales!$B$7)</f>
        <v>444.302235631067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32503.7412199</v>
      </c>
      <c r="C249" s="9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24787.26914114</v>
      </c>
      <c r="D249" s="9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23170.525976055</v>
      </c>
      <c r="E249" s="9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22157.422780405</v>
      </c>
      <c r="F249" s="9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20734.85635854</v>
      </c>
      <c r="G249" s="9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20325.393132325</v>
      </c>
      <c r="H249" s="9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21747.95955419</v>
      </c>
      <c r="I249" s="9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21747.95955419</v>
      </c>
      <c r="J249" s="9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21747.95955419</v>
      </c>
      <c r="K249" s="9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21338.496327975</v>
      </c>
      <c r="L249" s="9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20929.03310176</v>
      </c>
      <c r="M249" s="9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33322.66767233</v>
      </c>
      <c r="N249" s="9" t="n">
        <f aca="false">SUM(B249:M249)</f>
        <v>284513.284373</v>
      </c>
      <c r="O249" s="9" t="n">
        <f aca="false">MAX(B249:M249)</f>
        <v>33322.66767233</v>
      </c>
      <c r="P249" s="43" t="n">
        <f aca="false">O249/(parametros_manuales!$B$7)</f>
        <v>222.151117815533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32503.7412199</v>
      </c>
      <c r="C250" s="9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24787.26914114</v>
      </c>
      <c r="D250" s="9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23170.525976055</v>
      </c>
      <c r="E250" s="9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22157.422780405</v>
      </c>
      <c r="F250" s="9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20734.85635854</v>
      </c>
      <c r="G250" s="9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20325.393132325</v>
      </c>
      <c r="H250" s="9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21747.95955419</v>
      </c>
      <c r="I250" s="9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21747.95955419</v>
      </c>
      <c r="J250" s="9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21747.95955419</v>
      </c>
      <c r="K250" s="9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21338.496327975</v>
      </c>
      <c r="L250" s="9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20929.03310176</v>
      </c>
      <c r="M250" s="9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33322.66767233</v>
      </c>
      <c r="N250" s="9" t="n">
        <f aca="false">SUM(B250:M250)</f>
        <v>284513.284373</v>
      </c>
      <c r="O250" s="9" t="n">
        <f aca="false">MAX(B250:M250)</f>
        <v>33322.66767233</v>
      </c>
      <c r="P250" s="43" t="n">
        <f aca="false">O250/(parametros_manuales!$B$7)</f>
        <v>222.151117815533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32503.7412199</v>
      </c>
      <c r="C251" s="9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24787.26914114</v>
      </c>
      <c r="D251" s="9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23170.525976055</v>
      </c>
      <c r="E251" s="9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22157.422780405</v>
      </c>
      <c r="F251" s="9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20734.85635854</v>
      </c>
      <c r="G251" s="9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20325.393132325</v>
      </c>
      <c r="H251" s="9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21747.95955419</v>
      </c>
      <c r="I251" s="9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21747.95955419</v>
      </c>
      <c r="J251" s="9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21747.95955419</v>
      </c>
      <c r="K251" s="9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21338.496327975</v>
      </c>
      <c r="L251" s="9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20929.03310176</v>
      </c>
      <c r="M251" s="9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33322.66767233</v>
      </c>
      <c r="N251" s="9" t="n">
        <f aca="false">SUM(B251:M251)</f>
        <v>284513.284373</v>
      </c>
      <c r="O251" s="9" t="n">
        <f aca="false">MAX(B251:M251)</f>
        <v>33322.66767233</v>
      </c>
      <c r="P251" s="43" t="n">
        <f aca="false">O251/(parametros_manuales!$B$7)</f>
        <v>222.151117815533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8189.2645243</v>
      </c>
      <c r="C252" s="9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6551.41161944</v>
      </c>
      <c r="D252" s="9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6960.874845655</v>
      </c>
      <c r="E252" s="9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6960.874845655</v>
      </c>
      <c r="F252" s="9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6551.41161944</v>
      </c>
      <c r="G252" s="9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6141.948393225</v>
      </c>
      <c r="H252" s="9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6551.41161944</v>
      </c>
      <c r="I252" s="9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6551.41161944</v>
      </c>
      <c r="J252" s="9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6551.41161944</v>
      </c>
      <c r="K252" s="9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6141.948393225</v>
      </c>
      <c r="L252" s="9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5732.48516701</v>
      </c>
      <c r="M252" s="9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9008.19097673</v>
      </c>
      <c r="N252" s="9" t="n">
        <f aca="false">SUM(B252:M252)</f>
        <v>81892.645243</v>
      </c>
      <c r="O252" s="9" t="n">
        <f aca="false">MAX(B252:M252)</f>
        <v>9008.19097673</v>
      </c>
      <c r="P252" s="43" t="n">
        <f aca="false">O252/(parametros_manuales!$B$7)</f>
        <v>60.0546065115333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8189.2645243</v>
      </c>
      <c r="C253" s="9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6551.41161944</v>
      </c>
      <c r="D253" s="9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6960.874845655</v>
      </c>
      <c r="E253" s="9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6960.874845655</v>
      </c>
      <c r="F253" s="9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6551.41161944</v>
      </c>
      <c r="G253" s="9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6141.948393225</v>
      </c>
      <c r="H253" s="9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6551.41161944</v>
      </c>
      <c r="I253" s="9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6551.41161944</v>
      </c>
      <c r="J253" s="9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6551.41161944</v>
      </c>
      <c r="K253" s="9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6141.948393225</v>
      </c>
      <c r="L253" s="9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5732.48516701</v>
      </c>
      <c r="M253" s="9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9008.19097673</v>
      </c>
      <c r="N253" s="9" t="n">
        <f aca="false">SUM(B253:M253)</f>
        <v>81892.645243</v>
      </c>
      <c r="O253" s="9" t="n">
        <f aca="false">MAX(B253:M253)</f>
        <v>9008.19097673</v>
      </c>
      <c r="P253" s="43" t="n">
        <f aca="false">O253/(parametros_manuales!$B$7)</f>
        <v>60.0546065115333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32503.7412199</v>
      </c>
      <c r="C254" s="9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24787.26914114</v>
      </c>
      <c r="D254" s="9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23170.525976055</v>
      </c>
      <c r="E254" s="9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22157.422780405</v>
      </c>
      <c r="F254" s="9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20734.85635854</v>
      </c>
      <c r="G254" s="9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20325.393132325</v>
      </c>
      <c r="H254" s="9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21747.95955419</v>
      </c>
      <c r="I254" s="9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21747.95955419</v>
      </c>
      <c r="J254" s="9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21747.95955419</v>
      </c>
      <c r="K254" s="9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21338.496327975</v>
      </c>
      <c r="L254" s="9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20929.03310176</v>
      </c>
      <c r="M254" s="9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33322.66767233</v>
      </c>
      <c r="N254" s="9" t="n">
        <f aca="false">SUM(B254:M254)</f>
        <v>284513.284373</v>
      </c>
      <c r="O254" s="9" t="n">
        <f aca="false">MAX(B254:M254)</f>
        <v>33322.66767233</v>
      </c>
      <c r="P254" s="43" t="n">
        <f aca="false">O254/(parametros_manuales!$B$7)</f>
        <v>222.151117815533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32503.7412199</v>
      </c>
      <c r="C255" s="9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24787.26914114</v>
      </c>
      <c r="D255" s="9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23170.525976055</v>
      </c>
      <c r="E255" s="9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22157.422780405</v>
      </c>
      <c r="F255" s="9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20734.85635854</v>
      </c>
      <c r="G255" s="9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20325.393132325</v>
      </c>
      <c r="H255" s="9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21747.95955419</v>
      </c>
      <c r="I255" s="9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21747.95955419</v>
      </c>
      <c r="J255" s="9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21747.95955419</v>
      </c>
      <c r="K255" s="9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21338.496327975</v>
      </c>
      <c r="L255" s="9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20929.03310176</v>
      </c>
      <c r="M255" s="9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33322.66767233</v>
      </c>
      <c r="N255" s="9" t="n">
        <f aca="false">SUM(B255:M255)</f>
        <v>284513.284373</v>
      </c>
      <c r="O255" s="9" t="n">
        <f aca="false">MAX(B255:M255)</f>
        <v>33322.66767233</v>
      </c>
      <c r="P255" s="43" t="n">
        <f aca="false">O255/(parametros_manuales!$B$7)</f>
        <v>222.151117815533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32503.7412199</v>
      </c>
      <c r="C256" s="9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24787.26914114</v>
      </c>
      <c r="D256" s="9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23170.525976055</v>
      </c>
      <c r="E256" s="9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22157.422780405</v>
      </c>
      <c r="F256" s="9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20734.85635854</v>
      </c>
      <c r="G256" s="9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20325.393132325</v>
      </c>
      <c r="H256" s="9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21747.95955419</v>
      </c>
      <c r="I256" s="9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21747.95955419</v>
      </c>
      <c r="J256" s="9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21747.95955419</v>
      </c>
      <c r="K256" s="9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21338.496327975</v>
      </c>
      <c r="L256" s="9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20929.03310176</v>
      </c>
      <c r="M256" s="9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33322.66767233</v>
      </c>
      <c r="N256" s="9" t="n">
        <f aca="false">SUM(B256:M256)</f>
        <v>284513.284373</v>
      </c>
      <c r="O256" s="9" t="n">
        <f aca="false">MAX(B256:M256)</f>
        <v>33322.66767233</v>
      </c>
      <c r="P256" s="43" t="n">
        <f aca="false">O256/(parametros_manuales!$B$7)</f>
        <v>222.151117815533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650.074824398</v>
      </c>
      <c r="C257" s="9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495.7453828228</v>
      </c>
      <c r="D257" s="9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463.4105195211</v>
      </c>
      <c r="E257" s="9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443.1484556081</v>
      </c>
      <c r="F257" s="9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414.6971271708</v>
      </c>
      <c r="G257" s="9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406.5078626465</v>
      </c>
      <c r="H257" s="9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434.9591910838</v>
      </c>
      <c r="I257" s="9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434.9591910838</v>
      </c>
      <c r="J257" s="9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434.9591910838</v>
      </c>
      <c r="K257" s="9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426.7699265595</v>
      </c>
      <c r="L257" s="9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418.5806620352</v>
      </c>
      <c r="M257" s="9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666.4533534466</v>
      </c>
      <c r="N257" s="9" t="n">
        <f aca="false">SUM(B257:M257)</f>
        <v>5690.26568746</v>
      </c>
      <c r="O257" s="9" t="n">
        <f aca="false">MAX(B257:M257)</f>
        <v>666.4533534466</v>
      </c>
      <c r="P257" s="43" t="n">
        <f aca="false">O257/(parametros_manuales!$B$7)</f>
        <v>4.44302235631067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32503.7412199</v>
      </c>
      <c r="C258" s="9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24787.26914114</v>
      </c>
      <c r="D258" s="9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23170.525976055</v>
      </c>
      <c r="E258" s="9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22157.422780405</v>
      </c>
      <c r="F258" s="9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20734.85635854</v>
      </c>
      <c r="G258" s="9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20325.393132325</v>
      </c>
      <c r="H258" s="9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21747.95955419</v>
      </c>
      <c r="I258" s="9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21747.95955419</v>
      </c>
      <c r="J258" s="9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21747.95955419</v>
      </c>
      <c r="K258" s="9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21338.496327975</v>
      </c>
      <c r="L258" s="9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20929.03310176</v>
      </c>
      <c r="M258" s="9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33322.66767233</v>
      </c>
      <c r="N258" s="9" t="n">
        <f aca="false">SUM(B258:M258)</f>
        <v>284513.284373</v>
      </c>
      <c r="O258" s="9" t="n">
        <f aca="false">MAX(B258:M258)</f>
        <v>33322.66767233</v>
      </c>
      <c r="P258" s="43" t="n">
        <f aca="false">O258/(parametros_manuales!$B$7)</f>
        <v>222.151117815533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32503.7412199</v>
      </c>
      <c r="C259" s="9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24787.26914114</v>
      </c>
      <c r="D259" s="9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23170.525976055</v>
      </c>
      <c r="E259" s="9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22157.422780405</v>
      </c>
      <c r="F259" s="9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20734.85635854</v>
      </c>
      <c r="G259" s="9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20325.393132325</v>
      </c>
      <c r="H259" s="9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21747.95955419</v>
      </c>
      <c r="I259" s="9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21747.95955419</v>
      </c>
      <c r="J259" s="9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21747.95955419</v>
      </c>
      <c r="K259" s="9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21338.496327975</v>
      </c>
      <c r="L259" s="9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20929.03310176</v>
      </c>
      <c r="M259" s="9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33322.66767233</v>
      </c>
      <c r="N259" s="9" t="n">
        <f aca="false">SUM(B259:M259)</f>
        <v>284513.284373</v>
      </c>
      <c r="O259" s="9" t="n">
        <f aca="false">MAX(B259:M259)</f>
        <v>33322.66767233</v>
      </c>
      <c r="P259" s="43" t="n">
        <f aca="false">O259/(parametros_manuales!$B$7)</f>
        <v>222.151117815533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32503.7412199</v>
      </c>
      <c r="C260" s="9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24787.26914114</v>
      </c>
      <c r="D260" s="9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23170.525976055</v>
      </c>
      <c r="E260" s="9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22157.422780405</v>
      </c>
      <c r="F260" s="9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20734.85635854</v>
      </c>
      <c r="G260" s="9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20325.393132325</v>
      </c>
      <c r="H260" s="9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21747.95955419</v>
      </c>
      <c r="I260" s="9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21747.95955419</v>
      </c>
      <c r="J260" s="9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21747.95955419</v>
      </c>
      <c r="K260" s="9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21338.496327975</v>
      </c>
      <c r="L260" s="9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20929.03310176</v>
      </c>
      <c r="M260" s="9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33322.66767233</v>
      </c>
      <c r="N260" s="9" t="n">
        <f aca="false">SUM(B260:M260)</f>
        <v>284513.284373</v>
      </c>
      <c r="O260" s="9" t="n">
        <f aca="false">MAX(B260:M260)</f>
        <v>33322.66767233</v>
      </c>
      <c r="P260" s="43" t="n">
        <f aca="false">O260/(parametros_manuales!$B$7)</f>
        <v>222.151117815533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32503.7412199</v>
      </c>
      <c r="C261" s="9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24787.26914114</v>
      </c>
      <c r="D261" s="9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23170.525976055</v>
      </c>
      <c r="E261" s="9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22157.422780405</v>
      </c>
      <c r="F261" s="9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20734.85635854</v>
      </c>
      <c r="G261" s="9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20325.393132325</v>
      </c>
      <c r="H261" s="9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21747.95955419</v>
      </c>
      <c r="I261" s="9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21747.95955419</v>
      </c>
      <c r="J261" s="9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21747.95955419</v>
      </c>
      <c r="K261" s="9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21338.496327975</v>
      </c>
      <c r="L261" s="9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20929.03310176</v>
      </c>
      <c r="M261" s="9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33322.66767233</v>
      </c>
      <c r="N261" s="9" t="n">
        <f aca="false">SUM(B261:M261)</f>
        <v>284513.284373</v>
      </c>
      <c r="O261" s="9" t="n">
        <f aca="false">MAX(B261:M261)</f>
        <v>33322.66767233</v>
      </c>
      <c r="P261" s="43" t="n">
        <f aca="false">O261/(parametros_manuales!$B$7)</f>
        <v>222.151117815533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1625.187060995</v>
      </c>
      <c r="C262" s="9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1239.363457057</v>
      </c>
      <c r="D262" s="9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1158.52629880275</v>
      </c>
      <c r="E262" s="9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1107.87113902025</v>
      </c>
      <c r="F262" s="9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1036.742817927</v>
      </c>
      <c r="G262" s="9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1016.26965661625</v>
      </c>
      <c r="H262" s="9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1087.3979777095</v>
      </c>
      <c r="I262" s="9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1087.3979777095</v>
      </c>
      <c r="J262" s="9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1087.3979777095</v>
      </c>
      <c r="K262" s="9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1066.92481639875</v>
      </c>
      <c r="L262" s="9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1046.451655088</v>
      </c>
      <c r="M262" s="9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1666.1333836165</v>
      </c>
      <c r="N262" s="9" t="n">
        <f aca="false">SUM(B262:M262)</f>
        <v>14225.66421865</v>
      </c>
      <c r="O262" s="9" t="n">
        <f aca="false">MAX(B262:M262)</f>
        <v>1666.1333836165</v>
      </c>
      <c r="P262" s="43" t="n">
        <f aca="false">O262/(parametros_manuales!$B$7)</f>
        <v>11.1075558907767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32503.7412199</v>
      </c>
      <c r="C263" s="9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24787.26914114</v>
      </c>
      <c r="D263" s="9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23170.525976055</v>
      </c>
      <c r="E263" s="9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22157.422780405</v>
      </c>
      <c r="F263" s="9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20734.85635854</v>
      </c>
      <c r="G263" s="9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20325.393132325</v>
      </c>
      <c r="H263" s="9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21747.95955419</v>
      </c>
      <c r="I263" s="9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21747.95955419</v>
      </c>
      <c r="J263" s="9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21747.95955419</v>
      </c>
      <c r="K263" s="9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21338.496327975</v>
      </c>
      <c r="L263" s="9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20929.03310176</v>
      </c>
      <c r="M263" s="9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33322.66767233</v>
      </c>
      <c r="N263" s="9" t="n">
        <f aca="false">SUM(B263:M263)</f>
        <v>284513.284373</v>
      </c>
      <c r="O263" s="9" t="n">
        <f aca="false">MAX(B263:M263)</f>
        <v>33322.66767233</v>
      </c>
      <c r="P263" s="43" t="n">
        <f aca="false">O263/(parametros_manuales!$B$7)</f>
        <v>222.151117815533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7860.3332199</v>
      </c>
      <c r="C264" s="9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6095.83074114</v>
      </c>
      <c r="D264" s="9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5975.685176055</v>
      </c>
      <c r="E264" s="9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5815.321980405</v>
      </c>
      <c r="F264" s="9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5454.37795854</v>
      </c>
      <c r="G264" s="9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5253.797132325</v>
      </c>
      <c r="H264" s="9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5614.74115419</v>
      </c>
      <c r="I264" s="9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5614.74115419</v>
      </c>
      <c r="J264" s="9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5614.74115419</v>
      </c>
      <c r="K264" s="9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5414.160327975</v>
      </c>
      <c r="L264" s="9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5213.57950176</v>
      </c>
      <c r="M264" s="9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8261.49487233</v>
      </c>
      <c r="N264" s="9" t="n">
        <f aca="false">SUM(B264:M264)</f>
        <v>72188.804373</v>
      </c>
      <c r="O264" s="9" t="n">
        <f aca="false">MAX(B264:M264)</f>
        <v>8261.49487233</v>
      </c>
      <c r="P264" s="43" t="n">
        <f aca="false">O264/(parametros_manuales!$B$7)</f>
        <v>55.0766324822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7860.3332199</v>
      </c>
      <c r="C265" s="9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6095.83074114</v>
      </c>
      <c r="D265" s="9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5975.685176055</v>
      </c>
      <c r="E265" s="9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5815.321980405</v>
      </c>
      <c r="F265" s="9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5454.37795854</v>
      </c>
      <c r="G265" s="9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5253.797132325</v>
      </c>
      <c r="H265" s="9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5614.74115419</v>
      </c>
      <c r="I265" s="9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5614.74115419</v>
      </c>
      <c r="J265" s="9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5614.74115419</v>
      </c>
      <c r="K265" s="9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5414.160327975</v>
      </c>
      <c r="L265" s="9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5213.57950176</v>
      </c>
      <c r="M265" s="9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8261.49487233</v>
      </c>
      <c r="N265" s="9" t="n">
        <f aca="false">SUM(B265:M265)</f>
        <v>72188.804373</v>
      </c>
      <c r="O265" s="9" t="n">
        <f aca="false">MAX(B265:M265)</f>
        <v>8261.49487233</v>
      </c>
      <c r="P265" s="43" t="n">
        <f aca="false">O265/(parametros_manuales!$B$7)</f>
        <v>55.0766324822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7860.3332199</v>
      </c>
      <c r="C266" s="9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6095.83074114</v>
      </c>
      <c r="D266" s="9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5975.685176055</v>
      </c>
      <c r="E266" s="9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5815.321980405</v>
      </c>
      <c r="F266" s="9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5454.37795854</v>
      </c>
      <c r="G266" s="9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5253.797132325</v>
      </c>
      <c r="H266" s="9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5614.74115419</v>
      </c>
      <c r="I266" s="9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5614.74115419</v>
      </c>
      <c r="J266" s="9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5614.74115419</v>
      </c>
      <c r="K266" s="9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5414.160327975</v>
      </c>
      <c r="L266" s="9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5213.57950176</v>
      </c>
      <c r="M266" s="9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8261.49487233</v>
      </c>
      <c r="N266" s="9" t="n">
        <f aca="false">SUM(B266:M266)</f>
        <v>72188.804373</v>
      </c>
      <c r="O266" s="9" t="n">
        <f aca="false">MAX(B266:M266)</f>
        <v>8261.49487233</v>
      </c>
      <c r="P266" s="43" t="n">
        <f aca="false">O266/(parametros_manuales!$B$7)</f>
        <v>55.0766324822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7860.3332199</v>
      </c>
      <c r="C267" s="9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6095.83074114</v>
      </c>
      <c r="D267" s="9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5975.685176055</v>
      </c>
      <c r="E267" s="9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5815.321980405</v>
      </c>
      <c r="F267" s="9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5454.37795854</v>
      </c>
      <c r="G267" s="9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5253.797132325</v>
      </c>
      <c r="H267" s="9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5614.74115419</v>
      </c>
      <c r="I267" s="9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5614.74115419</v>
      </c>
      <c r="J267" s="9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5614.74115419</v>
      </c>
      <c r="K267" s="9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5414.160327975</v>
      </c>
      <c r="L267" s="9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5213.57950176</v>
      </c>
      <c r="M267" s="9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8261.49487233</v>
      </c>
      <c r="N267" s="9" t="n">
        <f aca="false">SUM(B267:M267)</f>
        <v>72188.804373</v>
      </c>
      <c r="O267" s="9" t="n">
        <f aca="false">MAX(B267:M267)</f>
        <v>8261.49487233</v>
      </c>
      <c r="P267" s="43" t="n">
        <f aca="false">O267/(parametros_manuales!$B$7)</f>
        <v>55.0766324822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7860.3332199</v>
      </c>
      <c r="C268" s="9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6095.83074114</v>
      </c>
      <c r="D268" s="9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5975.685176055</v>
      </c>
      <c r="E268" s="9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5815.321980405</v>
      </c>
      <c r="F268" s="9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5454.37795854</v>
      </c>
      <c r="G268" s="9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5253.797132325</v>
      </c>
      <c r="H268" s="9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5614.74115419</v>
      </c>
      <c r="I268" s="9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5614.74115419</v>
      </c>
      <c r="J268" s="9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5614.74115419</v>
      </c>
      <c r="K268" s="9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5414.160327975</v>
      </c>
      <c r="L268" s="9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5213.57950176</v>
      </c>
      <c r="M268" s="9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8261.49487233</v>
      </c>
      <c r="N268" s="9" t="n">
        <f aca="false">SUM(B268:M268)</f>
        <v>72188.804373</v>
      </c>
      <c r="O268" s="9" t="n">
        <f aca="false">MAX(B268:M268)</f>
        <v>8261.49487233</v>
      </c>
      <c r="P268" s="43" t="n">
        <f aca="false">O268/(parametros_manuales!$B$7)</f>
        <v>55.0766324822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32503.7412199</v>
      </c>
      <c r="C269" s="9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24787.26914114</v>
      </c>
      <c r="D269" s="9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23170.525976055</v>
      </c>
      <c r="E269" s="9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22157.422780405</v>
      </c>
      <c r="F269" s="9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20734.85635854</v>
      </c>
      <c r="G269" s="9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20325.393132325</v>
      </c>
      <c r="H269" s="9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21747.95955419</v>
      </c>
      <c r="I269" s="9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21747.95955419</v>
      </c>
      <c r="J269" s="9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21747.95955419</v>
      </c>
      <c r="K269" s="9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21338.496327975</v>
      </c>
      <c r="L269" s="9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20929.03310176</v>
      </c>
      <c r="M269" s="9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33322.66767233</v>
      </c>
      <c r="N269" s="9" t="n">
        <f aca="false">SUM(B269:M269)</f>
        <v>284513.284373</v>
      </c>
      <c r="O269" s="9" t="n">
        <f aca="false">MAX(B269:M269)</f>
        <v>33322.66767233</v>
      </c>
      <c r="P269" s="43" t="n">
        <f aca="false">O269/(parametros_manuales!$B$7)</f>
        <v>222.151117815533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7" t="s">
        <v>200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201</v>
      </c>
    </row>
    <row r="2" customFormat="false" ht="14.25" hidden="false" customHeight="true" outlineLevel="0" collapsed="false">
      <c r="A2" s="44" t="str">
        <f aca="false">parametros_manuales!$B$19</f>
        <v>Recepción de materia prima</v>
      </c>
      <c r="B2" s="45" t="n">
        <f aca="false">IF(B30*B58*parametros_manuales!$M$19*parametros_manuales!$B$6=0,0,'Demanda puesto sin sobrestock'!$P$2/(parametros_manuales!$M$19*B30*B58*parametros_manuales!$B$6))</f>
        <v>0.0885531563522556</v>
      </c>
      <c r="C2" s="45" t="n">
        <f aca="false">IF(C30*C58*parametros_manuales!$M$19*parametros_manuales!$B$6=0,0,'Demanda puesto sin sobrestock'!$P$29/(parametros_manuales!$M$19*C30*C58*parametros_manuales!$B$6))</f>
        <v>0.139369841813333</v>
      </c>
      <c r="D2" s="45" t="n">
        <f aca="false">IF(D30*D58*parametros_manuales!$M$19*parametros_manuales!$B$6=0,0,'Demanda puesto sin sobrestock'!$P$56/(parametros_manuales!$M$19*D30*D58*parametros_manuales!$B$6))</f>
        <v>0.296500846453778</v>
      </c>
      <c r="E2" s="45" t="n">
        <f aca="false">IF(E30*E58*parametros_manuales!$M$19*parametros_manuales!$B$6=0,0,'Demanda puesto sin sobrestock'!$P$83/(parametros_manuales!$M$19*E30*E58*parametros_manuales!$B$6))</f>
        <v>0.658939222644556</v>
      </c>
      <c r="F2" s="46" t="n">
        <f aca="false">IF(F30*F58*parametros_manuales!$M$19*parametros_manuales!$B$6=0,0,'Demanda puesto sin sobrestock'!$P$110/(parametros_manuales!$M$19*F30*F58*parametros_manuales!$B$6))</f>
        <v>0.573966940842722</v>
      </c>
      <c r="G2" s="46" t="n">
        <f aca="false">IF(G30*G58*parametros_manuales!$M$19*parametros_manuales!$B$6=0,0,'Demanda puesto sin sobrestock'!$P$137/(parametros_manuales!$M$19*G30*G58*parametros_manuales!$B$6))</f>
        <v>0.537243654132963</v>
      </c>
      <c r="H2" s="45" t="n">
        <f aca="false">IF(H30*H58*parametros_manuales!$M$19*parametros_manuales!$B$6=0,0,'Demanda puesto sin sobrestock'!$P$164/(parametros_manuales!$M$19*H30*H58*parametros_manuales!$B$6))</f>
        <v>0.370410872985</v>
      </c>
      <c r="I2" s="46" t="n">
        <f aca="false">IF(I30*I58*parametros_manuales!$M$19*parametros_manuales!$B$6=0,0,'Demanda puesto sin sobrestock'!$P$191/(parametros_manuales!$M$19*I30*I58*parametros_manuales!$B$6))</f>
        <v>0.473478892077593</v>
      </c>
      <c r="J2" s="45" t="n">
        <f aca="false">IF(J30*J58*parametros_manuales!$M$19*parametros_manuales!$B$6=0,0,'Demanda puesto sin sobrestock'!$P$218/(parametros_manuales!$M$19*J30*J58*parametros_manuales!$B$6))</f>
        <v>0.534091448703148</v>
      </c>
      <c r="K2" s="45" t="n">
        <f aca="false">IF(K30*K58*parametros_manuales!$M$19*parametros_manuales!$B$6=0,0,'Demanda puesto sin sobrestock'!$P$245/(parametros_manuales!$M$19*K30*K58*parametros_manuales!$B$6))</f>
        <v>0.617086438376482</v>
      </c>
      <c r="L2" s="44" t="s">
        <v>202</v>
      </c>
    </row>
    <row r="3" customFormat="false" ht="14.25" hidden="false" customHeight="true" outlineLevel="0" collapsed="false">
      <c r="A3" s="44" t="str">
        <f aca="false">parametros_manuales!$B$20</f>
        <v>Corte de chapa (guillotina) — 2,5 a 10 kg</v>
      </c>
      <c r="B3" s="45" t="n">
        <f aca="false">IF(B31*B59*parametros_manuales!$M$20*parametros_manuales!$B$6=0,0,'Demanda puesto sin sobrestock'!$P$3/(parametros_manuales!$M$20*B31*B59*parametros_manuales!$B$6))</f>
        <v>0.049585574162802</v>
      </c>
      <c r="C3" s="45" t="n">
        <f aca="false">IF(C31*C59*parametros_manuales!$M$20*parametros_manuales!$B$6=0,0,'Demanda puesto sin sobrestock'!$P$30/(parametros_manuales!$M$20*C31*C59*parametros_manuales!$B$6))</f>
        <v>0.0897067280335571</v>
      </c>
      <c r="D3" s="45" t="n">
        <f aca="false">IF(D31*D59*parametros_manuales!$M$20*parametros_manuales!$B$6=0,0,'Demanda puesto sin sobrestock'!$P$57/(parametros_manuales!$M$20*D31*D59*parametros_manuales!$B$6))</f>
        <v>0.155505014618121</v>
      </c>
      <c r="E3" s="45" t="n">
        <f aca="false">IF(E31*E59*parametros_manuales!$M$20*parametros_manuales!$B$6=0,0,'Demanda puesto sin sobrestock'!$P$84/(parametros_manuales!$M$20*E31*E59*parametros_manuales!$B$6))</f>
        <v>0.287084016429698</v>
      </c>
      <c r="F3" s="45" t="n">
        <f aca="false">IF(F31*F59*parametros_manuales!$M$20*parametros_manuales!$B$6=0,0,'Demanda puesto sin sobrestock'!$P$111/(parametros_manuales!$M$20*F31*F59*parametros_manuales!$B$6))</f>
        <v>0.482810907712919</v>
      </c>
      <c r="G3" s="45" t="n">
        <f aca="false">IF(G31*G59*parametros_manuales!$M$20*parametros_manuales!$B$6=0,0,'Demanda puesto sin sobrestock'!$P$138/(parametros_manuales!$M$20*G31*G59*parametros_manuales!$B$6))</f>
        <v>0.676094680065436</v>
      </c>
      <c r="H3" s="45" t="n">
        <f aca="false">IF(H31*H59*parametros_manuales!$M$20*parametros_manuales!$B$6=0,0,'Demanda puesto sin sobrestock'!$P$165/(parametros_manuales!$M$20*H31*H59*parametros_manuales!$B$6))</f>
        <v>0.453138317952181</v>
      </c>
      <c r="I3" s="46" t="n">
        <f aca="false">IF(I31*I59*parametros_manuales!$M$20*parametros_manuales!$B$6=0,0,'Demanda puesto sin sobrestock'!$P$192/(parametros_manuales!$M$20*I31*I59*parametros_manuales!$B$6))</f>
        <v>0.573145197532718</v>
      </c>
      <c r="J3" s="45" t="n">
        <f aca="false">IF(J31*J59*parametros_manuales!$M$20*parametros_manuales!$B$6=0,0,'Demanda puesto sin sobrestock'!$P$219/(parametros_manuales!$M$20*J31*J59*parametros_manuales!$B$6))</f>
        <v>0.653839084997483</v>
      </c>
      <c r="K3" s="45" t="n">
        <f aca="false">IF(K31*K59*parametros_manuales!$M$20*parametros_manuales!$B$6=0,0,'Demanda puesto sin sobrestock'!$P$246/(parametros_manuales!$M$20*K31*K59*parametros_manuales!$B$6))</f>
        <v>0.755720719524329</v>
      </c>
      <c r="L3" s="44" t="s">
        <v>83</v>
      </c>
    </row>
    <row r="4" customFormat="false" ht="14.25" hidden="false" customHeight="true" outlineLevel="0" collapsed="false">
      <c r="A4" s="44" t="str">
        <f aca="false">parametros_manuales!$B$21</f>
        <v>Corte de tubo — 1 kg</v>
      </c>
      <c r="B4" s="45" t="n">
        <f aca="false">IF(B32*B60*parametros_manuales!$M$21*parametros_manuales!$B$6=0,0,'Demanda puesto sin sobrestock'!$P$4/(parametros_manuales!$M$21*B32*B60*parametros_manuales!$B$6))</f>
        <v>0.02785824362</v>
      </c>
      <c r="C4" s="45" t="n">
        <f aca="false">IF(C32*C60*parametros_manuales!$M$21*parametros_manuales!$B$6=0,0,'Demanda puesto sin sobrestock'!$P$31/(parametros_manuales!$M$21*C32*C60*parametros_manuales!$B$6))</f>
        <v>0.0399820265133333</v>
      </c>
      <c r="D4" s="45" t="n">
        <f aca="false">IF(D32*D60*parametros_manuales!$M$21*parametros_manuales!$B$6=0,0,'Demanda puesto sin sobrestock'!$P$58/(parametros_manuales!$M$21*D32*D60*parametros_manuales!$B$6))</f>
        <v>0.0967609850533333</v>
      </c>
      <c r="E4" s="45" t="n">
        <f aca="false">IF(E32*E60*parametros_manuales!$M$21*parametros_manuales!$B$6=0,0,'Demanda puesto sin sobrestock'!$P$85/(parametros_manuales!$M$21*E32*E60*parametros_manuales!$B$6))</f>
        <v>0.23441290366</v>
      </c>
      <c r="F4" s="45" t="n">
        <f aca="false">IF(F32*F60*parametros_manuales!$M$21*parametros_manuales!$B$6=0,0,'Demanda puesto sin sobrestock'!$P$112/(parametros_manuales!$M$21*F32*F60*parametros_manuales!$B$6))</f>
        <v>0.414102884733333</v>
      </c>
      <c r="G4" s="45" t="n">
        <f aca="false">IF(G32*G60*parametros_manuales!$M$21*parametros_manuales!$B$6=0,0,'Demanda puesto sin sobrestock'!$P$139/(parametros_manuales!$M$21*G32*G60*parametros_manuales!$B$6))</f>
        <v>0.582003020466667</v>
      </c>
      <c r="H4" s="45" t="n">
        <f aca="false">IF(H32*H60*parametros_manuales!$M$21*parametros_manuales!$B$6=0,0,'Demanda puesto sin sobrestock'!$P$166/(parametros_manuales!$M$21*H32*H60*parametros_manuales!$B$6))</f>
        <v>0.405577177533333</v>
      </c>
      <c r="I4" s="46" t="n">
        <f aca="false">IF(I32*I60*parametros_manuales!$M$21*parametros_manuales!$B$6=0,0,'Demanda puesto sin sobrestock'!$P$193/(parametros_manuales!$M$21*I32*I60*parametros_manuales!$B$6))</f>
        <v>0.520443594933333</v>
      </c>
      <c r="J4" s="45" t="n">
        <f aca="false">IF(J32*J60*parametros_manuales!$M$21*parametros_manuales!$B$6=0,0,'Demanda puesto sin sobrestock'!$P$220/(parametros_manuales!$M$21*J32*J60*parametros_manuales!$B$6))</f>
        <v>0.584643787133333</v>
      </c>
      <c r="K4" s="45" t="n">
        <f aca="false">IF(K32*K60*parametros_manuales!$M$21*parametros_manuales!$B$6=0,0,'Demanda puesto sin sobrestock'!$P$247/(parametros_manuales!$M$21*K32*K60*parametros_manuales!$B$6))</f>
        <v>0.675402130433333</v>
      </c>
      <c r="L4" s="44" t="s">
        <v>83</v>
      </c>
    </row>
    <row r="5" customFormat="false" ht="14.25" hidden="false" customHeight="true" outlineLevel="0" collapsed="false">
      <c r="A5" s="44" t="str">
        <f aca="false">parametros_manuales!$B$22</f>
        <v>Corte de disco y embutido (cúpula y fondo)</v>
      </c>
      <c r="B5" s="45" t="n">
        <f aca="false">IF(B33*B61*parametros_manuales!$M$22*parametros_manuales!$B$6=0,0,'Demanda puesto sin sobrestock'!$P$5/(parametros_manuales!$M$22*B33*B61*parametros_manuales!$B$6))</f>
        <v>0.0347267279812767</v>
      </c>
      <c r="C5" s="45" t="n">
        <f aca="false">IF(C33*C61*parametros_manuales!$M$22*parametros_manuales!$B$6=0,0,'Demanda puesto sin sobrestock'!$P$32/(parametros_manuales!$M$22*C33*C61*parametros_manuales!$B$6))</f>
        <v>0.0546548399267974</v>
      </c>
      <c r="D5" s="45" t="n">
        <f aca="false">IF(D33*D61*parametros_manuales!$M$22*parametros_manuales!$B$6=0,0,'Demanda puesto sin sobrestock'!$P$59/(parametros_manuales!$M$22*D33*D61*parametros_manuales!$B$6))</f>
        <v>0.11627484174658</v>
      </c>
      <c r="E5" s="45" t="n">
        <f aca="false">IF(E33*E61*parametros_manuales!$M$22*parametros_manuales!$B$6=0,0,'Demanda puesto sin sobrestock'!$P$86/(parametros_manuales!$M$22*E33*E61*parametros_manuales!$B$6))</f>
        <v>0.258407538291983</v>
      </c>
      <c r="F5" s="45" t="n">
        <f aca="false">IF(F33*F61*parametros_manuales!$M$22*parametros_manuales!$B$6=0,0,'Demanda puesto sin sobrestock'!$P$113/(parametros_manuales!$M$22*F33*F61*parametros_manuales!$B$6))</f>
        <v>0.450170149680567</v>
      </c>
      <c r="G5" s="45" t="n">
        <f aca="false">IF(G33*G61*parametros_manuales!$M$22*parametros_manuales!$B$6=0,0,'Demanda puesto sin sobrestock'!$P$140/(parametros_manuales!$M$22*G33*G61*parametros_manuales!$B$6))</f>
        <v>0.632051357803486</v>
      </c>
      <c r="H5" s="45" t="n">
        <f aca="false">IF(H33*H61*parametros_manuales!$M$22*parametros_manuales!$B$6=0,0,'Demanda puesto sin sobrestock'!$P$167/(parametros_manuales!$M$22*H33*H61*parametros_manuales!$B$6))</f>
        <v>0.435777497629412</v>
      </c>
      <c r="I5" s="46" t="n">
        <f aca="false">IF(I33*I61*parametros_manuales!$M$22*parametros_manuales!$B$6=0,0,'Demanda puesto sin sobrestock'!$P$194/(parametros_manuales!$M$22*I33*I61*parametros_manuales!$B$6))</f>
        <v>0.557033990679521</v>
      </c>
      <c r="J5" s="45" t="n">
        <f aca="false">IF(J33*J61*parametros_manuales!$M$22*parametros_manuales!$B$6=0,0,'Demanda puesto sin sobrestock'!$P$221/(parametros_manuales!$M$22*J33*J61*parametros_manuales!$B$6))</f>
        <v>0.628342880827233</v>
      </c>
      <c r="K5" s="45" t="n">
        <f aca="false">IF(K33*K61*parametros_manuales!$M$22*parametros_manuales!$B$6=0,0,'Demanda puesto sin sobrestock'!$P$248/(parametros_manuales!$M$22*K33*K61*parametros_manuales!$B$6))</f>
        <v>0.725984045148802</v>
      </c>
      <c r="L5" s="44" t="s">
        <v>83</v>
      </c>
    </row>
    <row r="6" customFormat="false" ht="14.25" hidden="false" customHeight="true" outlineLevel="0" collapsed="false">
      <c r="A6" s="44" t="str">
        <f aca="false">parametros_manuales!$B$23</f>
        <v>Preparación de cuello</v>
      </c>
      <c r="B6" s="45" t="n">
        <f aca="false">IF(B34*B62*parametros_manuales!$M$23*parametros_manuales!$B$6=0,0,'Demanda puesto sin sobrestock'!$P$6/(parametros_manuales!$M$23*B34*B62*parametros_manuales!$B$6))</f>
        <v>0.0885531563522556</v>
      </c>
      <c r="C6" s="45" t="n">
        <f aca="false">IF(C34*C62*parametros_manuales!$M$23*parametros_manuales!$B$6=0,0,'Demanda puesto sin sobrestock'!$P$33/(parametros_manuales!$M$23*C34*C62*parametros_manuales!$B$6))</f>
        <v>0.139369841813333</v>
      </c>
      <c r="D6" s="45" t="n">
        <f aca="false">IF(D34*D62*parametros_manuales!$M$23*parametros_manuales!$B$6=0,0,'Demanda puesto sin sobrestock'!$P$60/(parametros_manuales!$M$23*D34*D62*parametros_manuales!$B$6))</f>
        <v>0.296500846453778</v>
      </c>
      <c r="E6" s="45" t="n">
        <f aca="false">IF(E34*E62*parametros_manuales!$M$23*parametros_manuales!$B$6=0,0,'Demanda puesto sin sobrestock'!$P$87/(parametros_manuales!$M$23*E34*E62*parametros_manuales!$B$6))</f>
        <v>0.658939222644556</v>
      </c>
      <c r="F6" s="46" t="n">
        <f aca="false">IF(F34*F62*parametros_manuales!$M$23*parametros_manuales!$B$6=0,0,'Demanda puesto sin sobrestock'!$P$114/(parametros_manuales!$M$23*F34*F62*parametros_manuales!$B$6))</f>
        <v>0.573966940842722</v>
      </c>
      <c r="G6" s="45" t="n">
        <f aca="false">IF(G34*G62*parametros_manuales!$M$23*parametros_manuales!$B$6=0,0,'Demanda puesto sin sobrestock'!$P$141/(parametros_manuales!$M$23*G34*G62*parametros_manuales!$B$6))</f>
        <v>0.805865481199445</v>
      </c>
      <c r="H6" s="46" t="n">
        <f aca="false">IF(H34*H62*parametros_manuales!$M$23*parametros_manuales!$B$6=0,0,'Demanda puesto sin sobrestock'!$P$168/(parametros_manuales!$M$23*H34*H62*parametros_manuales!$B$6))</f>
        <v>0.370410872985</v>
      </c>
      <c r="I6" s="45" t="n">
        <f aca="false">IF(I34*I62*parametros_manuales!$M$23*parametros_manuales!$B$6=0,0,'Demanda puesto sin sobrestock'!$P$195/(parametros_manuales!$M$23*I34*I62*parametros_manuales!$B$6))</f>
        <v>0.473478892077593</v>
      </c>
      <c r="J6" s="45" t="n">
        <f aca="false">IF(J34*J62*parametros_manuales!$M$23*parametros_manuales!$B$6=0,0,'Demanda puesto sin sobrestock'!$P$222/(parametros_manuales!$M$23*J34*J62*parametros_manuales!$B$6))</f>
        <v>0.534091448703148</v>
      </c>
      <c r="K6" s="45" t="n">
        <f aca="false">IF(K34*K62*parametros_manuales!$M$23*parametros_manuales!$B$6=0,0,'Demanda puesto sin sobrestock'!$P$249/(parametros_manuales!$M$23*K34*K62*parametros_manuales!$B$6))</f>
        <v>0.617086438376482</v>
      </c>
      <c r="L6" s="44" t="s">
        <v>83</v>
      </c>
    </row>
    <row r="7" customFormat="false" ht="14.25" hidden="false" customHeight="true" outlineLevel="0" collapsed="false">
      <c r="A7" s="44" t="str">
        <f aca="false">parametros_manuales!$B$24</f>
        <v>Numerado de cúpula</v>
      </c>
      <c r="B7" s="45" t="n">
        <f aca="false">IF(B35*B63*parametros_manuales!$M$24*parametros_manuales!$B$6=0,0,'Demanda puesto sin sobrestock'!$P$7/(parametros_manuales!$M$24*B35*B63*parametros_manuales!$B$6))</f>
        <v>0.0295177187840852</v>
      </c>
      <c r="C7" s="45" t="n">
        <f aca="false">IF(C35*C63*parametros_manuales!$M$24*parametros_manuales!$B$6=0,0,'Demanda puesto sin sobrestock'!$P$34/(parametros_manuales!$M$24*C35*C63*parametros_manuales!$B$6))</f>
        <v>0.0464566139377778</v>
      </c>
      <c r="D7" s="45" t="n">
        <f aca="false">IF(D35*D63*parametros_manuales!$M$24*parametros_manuales!$B$6=0,0,'Demanda puesto sin sobrestock'!$P$61/(parametros_manuales!$M$24*D35*D63*parametros_manuales!$B$6))</f>
        <v>0.0988336154845926</v>
      </c>
      <c r="E7" s="45" t="n">
        <f aca="false">IF(E35*E63*parametros_manuales!$M$24*parametros_manuales!$B$6=0,0,'Demanda puesto sin sobrestock'!$P$88/(parametros_manuales!$M$24*E35*E63*parametros_manuales!$B$6))</f>
        <v>0.219646407548185</v>
      </c>
      <c r="F7" s="45" t="n">
        <f aca="false">IF(F35*F63*parametros_manuales!$M$24*parametros_manuales!$B$6=0,0,'Demanda puesto sin sobrestock'!$P$115/(parametros_manuales!$M$24*F35*F63*parametros_manuales!$B$6))</f>
        <v>0.382644627228482</v>
      </c>
      <c r="G7" s="45" t="n">
        <f aca="false">IF(G35*G63*parametros_manuales!$M$24*parametros_manuales!$B$6=0,0,'Demanda puesto sin sobrestock'!$P$142/(parametros_manuales!$M$24*G35*G63*parametros_manuales!$B$6))</f>
        <v>0.537243654132963</v>
      </c>
      <c r="H7" s="45" t="n">
        <f aca="false">IF(H35*H63*parametros_manuales!$M$24*parametros_manuales!$B$6=0,0,'Demanda puesto sin sobrestock'!$P$169/(parametros_manuales!$M$24*H35*H63*parametros_manuales!$B$6))</f>
        <v>0.370410872985</v>
      </c>
      <c r="I7" s="46" t="n">
        <f aca="false">IF(I35*I63*parametros_manuales!$M$24*parametros_manuales!$B$6=0,0,'Demanda puesto sin sobrestock'!$P$196/(parametros_manuales!$M$24*I35*I63*parametros_manuales!$B$6))</f>
        <v>0.473478892077593</v>
      </c>
      <c r="J7" s="45" t="n">
        <f aca="false">IF(J35*J63*parametros_manuales!$M$24*parametros_manuales!$B$6=0,0,'Demanda puesto sin sobrestock'!$P$223/(parametros_manuales!$M$24*J35*J63*parametros_manuales!$B$6))</f>
        <v>0.534091448703148</v>
      </c>
      <c r="K7" s="45" t="n">
        <f aca="false">IF(K35*K63*parametros_manuales!$M$24*parametros_manuales!$B$6=0,0,'Demanda puesto sin sobrestock'!$P$250/(parametros_manuales!$M$24*K35*K63*parametros_manuales!$B$6))</f>
        <v>0.617086438376482</v>
      </c>
      <c r="L7" s="44" t="s">
        <v>83</v>
      </c>
      <c r="M7" s="47" t="s">
        <v>203</v>
      </c>
    </row>
    <row r="8" customFormat="false" ht="14.25" hidden="false" customHeight="true" outlineLevel="0" collapsed="false">
      <c r="A8" s="44" t="str">
        <f aca="false">parametros_manuales!$B$25</f>
        <v>Soldadura del cuello a la cúpula</v>
      </c>
      <c r="B8" s="45" t="n">
        <f aca="false">IF(B36*B64*parametros_manuales!$M$25*parametros_manuales!$B$6=0,0,'Demanda puesto sin sobrestock'!$P$8/(parametros_manuales!$M$25*B36*B64*parametros_manuales!$B$6))</f>
        <v>0.0379080292603834</v>
      </c>
      <c r="C8" s="45" t="n">
        <f aca="false">IF(C36*C64*parametros_manuales!$M$25*parametros_manuales!$B$6=0,0,'Demanda puesto sin sobrestock'!$P$35/(parametros_manuales!$M$25*C36*C64*parametros_manuales!$B$6))</f>
        <v>0.0596617473515982</v>
      </c>
      <c r="D8" s="45" t="n">
        <f aca="false">IF(D36*D64*parametros_manuales!$M$25*parametros_manuales!$B$6=0,0,'Demanda puesto sin sobrestock'!$P$62/(parametros_manuales!$M$25*D36*D64*parametros_manuales!$B$6))</f>
        <v>0.126926732214802</v>
      </c>
      <c r="E8" s="45" t="n">
        <f aca="false">IF(E36*E64*parametros_manuales!$M$25*parametros_manuales!$B$6=0,0,'Demanda puesto sin sobrestock'!$P$89/(parametros_manuales!$M$25*E36*E64*parametros_manuales!$B$6))</f>
        <v>0.282080146680032</v>
      </c>
      <c r="F8" s="45" t="n">
        <f aca="false">IF(F36*F64*parametros_manuales!$M$25*parametros_manuales!$B$6=0,0,'Demanda puesto sin sobrestock'!$P$116/(parametros_manuales!$M$25*F36*F64*parametros_manuales!$B$6))</f>
        <v>0.491410052091372</v>
      </c>
      <c r="G8" s="45" t="n">
        <f aca="false">IF(G36*G64*parametros_manuales!$M$25*parametros_manuales!$B$6=0,0,'Demanda puesto sin sobrestock'!$P$143/(parametros_manuales!$M$25*G36*G64*parametros_manuales!$B$6))</f>
        <v>0.68995332294473</v>
      </c>
      <c r="H8" s="46" t="n">
        <f aca="false">IF(H36*H64*parametros_manuales!$M$25*parametros_manuales!$B$6=0,0,'Demanda puesto sin sobrestock'!$P$170/(parametros_manuales!$M$25*H36*H64*parametros_manuales!$B$6))</f>
        <v>0.475698895100599</v>
      </c>
      <c r="I8" s="45" t="n">
        <f aca="false">IF(I36*I64*parametros_manuales!$M$25*parametros_manuales!$B$6=0,0,'Demanda puesto sin sobrestock'!$P$197/(parametros_manuales!$M$25*I36*I64*parametros_manuales!$B$6))</f>
        <v>0.608063645647593</v>
      </c>
      <c r="J8" s="45" t="n">
        <f aca="false">IF(J36*J64*parametros_manuales!$M$25*parametros_manuales!$B$6=0,0,'Demanda puesto sin sobrestock'!$P$224/(parametros_manuales!$M$25*J36*J64*parametros_manuales!$B$6))</f>
        <v>0.685905113916714</v>
      </c>
      <c r="K8" s="45" t="n">
        <f aca="false">IF(K36*K64*parametros_manuales!$M$25*parametros_manuales!$B$6=0,0,'Demanda puesto sin sobrestock'!$P$251/(parametros_manuales!$M$25*K36*K64*parametros_manuales!$B$6))</f>
        <v>0.792491145175276</v>
      </c>
      <c r="L8" s="44" t="s">
        <v>83</v>
      </c>
      <c r="M8" s="48" t="s">
        <v>204</v>
      </c>
    </row>
    <row r="9" customFormat="false" ht="14.25" hidden="false" customHeight="true" outlineLevel="0" collapsed="false">
      <c r="A9" s="44" t="str">
        <f aca="false">parametros_manuales!$B$26</f>
        <v>Cilindrado</v>
      </c>
      <c r="B9" s="45" t="n">
        <f aca="false">IF(B37*B65*parametros_manuales!$M$26*parametros_manuales!$B$6=0,0,'Demanda puesto sin sobrestock'!$P$9/(parametros_manuales!$M$26*B37*B65*parametros_manuales!$B$6))</f>
        <v>0.0443738771787237</v>
      </c>
      <c r="C9" s="45" t="n">
        <f aca="false">IF(C37*C65*parametros_manuales!$M$26*parametros_manuales!$B$6=0,0,'Demanda puesto sin sobrestock'!$P$36/(parametros_manuales!$M$26*C37*C65*parametros_manuales!$B$6))</f>
        <v>0.080278092954955</v>
      </c>
      <c r="D9" s="45" t="n">
        <f aca="false">IF(D37*D65*parametros_manuales!$M$26*parametros_manuales!$B$6=0,0,'Demanda puesto sin sobrestock'!$P$63/(parametros_manuales!$M$26*D37*D65*parametros_manuales!$B$6))</f>
        <v>0.139160643712312</v>
      </c>
      <c r="E9" s="45" t="n">
        <f aca="false">IF(E37*E65*parametros_manuales!$M$26*parametros_manuales!$B$6=0,0,'Demanda puesto sin sobrestock'!$P$90/(parametros_manuales!$M$26*E37*E65*parametros_manuales!$B$6))</f>
        <v>0.256910020708859</v>
      </c>
      <c r="F9" s="45" t="n">
        <f aca="false">IF(F37*F65*parametros_manuales!$M$26*parametros_manuales!$B$6=0,0,'Demanda puesto sin sobrestock'!$P$117/(parametros_manuales!$M$26*F37*F65*parametros_manuales!$B$6))</f>
        <v>0.432065016511862</v>
      </c>
      <c r="G9" s="45" t="n">
        <f aca="false">IF(G37*G65*parametros_manuales!$M$26*parametros_manuales!$B$6=0,0,'Demanda puesto sin sobrestock'!$P$144/(parametros_manuales!$M$26*G37*G65*parametros_manuales!$B$6))</f>
        <v>0.605033677656156</v>
      </c>
      <c r="H9" s="45" t="n">
        <f aca="false">IF(H37*H65*parametros_manuales!$M$26*parametros_manuales!$B$6=0,0,'Demanda puesto sin sobrestock'!$P$171/(parametros_manuales!$M$26*H37*H65*parametros_manuales!$B$6))</f>
        <v>0.405511167416667</v>
      </c>
      <c r="I9" s="46" t="n">
        <f aca="false">IF(I37*I65*parametros_manuales!$M$26*parametros_manuales!$B$6=0,0,'Demanda puesto sin sobrestock'!$P$198/(parametros_manuales!$M$26*I37*I65*parametros_manuales!$B$6))</f>
        <v>0.512904711305556</v>
      </c>
      <c r="J9" s="45" t="n">
        <f aca="false">IF(J37*J65*parametros_manuales!$M$26*parametros_manuales!$B$6=0,0,'Demanda puesto sin sobrestock'!$P$225/(parametros_manuales!$M$26*J37*J65*parametros_manuales!$B$6))</f>
        <v>0.585117259246997</v>
      </c>
      <c r="K9" s="45" t="n">
        <f aca="false">IF(K37*K65*parametros_manuales!$M$26*parametros_manuales!$B$6=0,0,'Demanda puesto sin sobrestock'!$P$252/(parametros_manuales!$M$26*K37*K65*parametros_manuales!$B$6))</f>
        <v>0.676290613868619</v>
      </c>
      <c r="L9" s="44" t="s">
        <v>83</v>
      </c>
      <c r="M9" s="49" t="s">
        <v>205</v>
      </c>
    </row>
    <row r="10" customFormat="false" ht="14.25" hidden="false" customHeight="true" outlineLevel="0" collapsed="false">
      <c r="A10" s="44" t="str">
        <f aca="false">parametros_manuales!$B$27</f>
        <v>Soldadura longitudinal</v>
      </c>
      <c r="B10" s="45" t="n">
        <f aca="false">IF(B38*B66*parametros_manuales!$M$27*parametros_manuales!$B$6=0,0,'Demanda puesto sin sobrestock'!$P$10/(parametros_manuales!$M$27*B38*B66*parametros_manuales!$B$6))</f>
        <v>0.0637874484444154</v>
      </c>
      <c r="C10" s="45" t="n">
        <f aca="false">IF(C38*C66*parametros_manuales!$M$27*parametros_manuales!$B$6=0,0,'Demanda puesto sin sobrestock'!$P$37/(parametros_manuales!$M$27*C38*C66*parametros_manuales!$B$6))</f>
        <v>0.115399758622748</v>
      </c>
      <c r="D10" s="45" t="n">
        <f aca="false">IF(D38*D66*parametros_manuales!$M$27*parametros_manuales!$B$6=0,0,'Demanda puesto sin sobrestock'!$P$64/(parametros_manuales!$M$27*D38*D66*parametros_manuales!$B$6))</f>
        <v>0.200043425336449</v>
      </c>
      <c r="E10" s="45" t="n">
        <f aca="false">IF(E38*E66*parametros_manuales!$M$27*parametros_manuales!$B$6=0,0,'Demanda puesto sin sobrestock'!$P$91/(parametros_manuales!$M$27*E38*E66*parametros_manuales!$B$6))</f>
        <v>0.369308154768985</v>
      </c>
      <c r="F10" s="45" t="n">
        <f aca="false">IF(F38*F66*parametros_manuales!$M$27*parametros_manuales!$B$6=0,0,'Demanda puesto sin sobrestock'!$P$118/(parametros_manuales!$M$27*F38*F66*parametros_manuales!$B$6))</f>
        <v>0.621093461235801</v>
      </c>
      <c r="G10" s="45" t="n">
        <f aca="false">IF(G38*G66*parametros_manuales!$M$27*parametros_manuales!$B$6=0,0,'Demanda puesto sin sobrestock'!$P$145/(parametros_manuales!$M$27*G38*G66*parametros_manuales!$B$6))</f>
        <v>0.869735911630725</v>
      </c>
      <c r="H10" s="46" t="n">
        <f aca="false">IF(H38*H66*parametros_manuales!$M$27*parametros_manuales!$B$6=0,0,'Demanda puesto sin sobrestock'!$P$172/(parametros_manuales!$M$27*H38*H66*parametros_manuales!$B$6))</f>
        <v>0.291461151580729</v>
      </c>
      <c r="I10" s="45" t="n">
        <f aca="false">IF(I38*I66*parametros_manuales!$M$27*parametros_manuales!$B$6=0,0,'Demanda puesto sin sobrestock'!$P$199/(parametros_manuales!$M$27*I38*I66*parametros_manuales!$B$6))</f>
        <v>0.368650261250868</v>
      </c>
      <c r="J10" s="45" t="n">
        <f aca="false">IF(J38*J66*parametros_manuales!$M$27*parametros_manuales!$B$6=0,0,'Demanda puesto sin sobrestock'!$P$226/(parametros_manuales!$M$27*J38*J66*parametros_manuales!$B$6))</f>
        <v>0.420553030083779</v>
      </c>
      <c r="K10" s="45" t="n">
        <f aca="false">IF(K38*K66*parametros_manuales!$M$27*parametros_manuales!$B$6=0,0,'Demanda puesto sin sobrestock'!$P$253/(parametros_manuales!$M$27*K38*K66*parametros_manuales!$B$6))</f>
        <v>0.48608387871807</v>
      </c>
      <c r="L10" s="44" t="s">
        <v>83</v>
      </c>
      <c r="M10" s="50" t="s">
        <v>206</v>
      </c>
    </row>
    <row r="11" customFormat="false" ht="14.25" hidden="false" customHeight="true" outlineLevel="0" collapsed="false">
      <c r="A11" s="44" t="str">
        <f aca="false">parametros_manuales!$B$28</f>
        <v>Encastre de fondo</v>
      </c>
      <c r="B11" s="45" t="n">
        <f aca="false">IF(B39*B67*parametros_manuales!$M$28*parametros_manuales!$B$6=0,0,'Demanda puesto sin sobrestock'!$P$11/(parametros_manuales!$M$28*B39*B67*parametros_manuales!$B$6))</f>
        <v>0.0450779642064649</v>
      </c>
      <c r="C11" s="45" t="n">
        <f aca="false">IF(C39*C67*parametros_manuales!$M$28*parametros_manuales!$B$6=0,0,'Demanda puesto sin sobrestock'!$P$38/(parametros_manuales!$M$28*C39*C67*parametros_manuales!$B$6))</f>
        <v>0.0709461864434389</v>
      </c>
      <c r="D11" s="45" t="n">
        <f aca="false">IF(D39*D67*parametros_manuales!$M$28*parametros_manuales!$B$6=0,0,'Demanda puesto sin sobrestock'!$P$65/(parametros_manuales!$M$28*D39*D67*parametros_manuales!$B$6))</f>
        <v>0.150933688805656</v>
      </c>
      <c r="E11" s="45" t="n">
        <f aca="false">IF(E39*E67*parametros_manuales!$M$28*parametros_manuales!$B$6=0,0,'Demanda puesto sin sobrestock'!$P$92/(parametros_manuales!$M$28*E39*E67*parametros_manuales!$B$6))</f>
        <v>0.335432862205939</v>
      </c>
      <c r="F11" s="45" t="n">
        <f aca="false">IF(F39*F67*parametros_manuales!$M$28*parametros_manuales!$B$6=0,0,'Demanda puesto sin sobrestock'!$P$119/(parametros_manuales!$M$28*F39*F67*parametros_manuales!$B$6))</f>
        <v>0.584355482758428</v>
      </c>
      <c r="G11" s="45" t="n">
        <f aca="false">IF(G39*G67*parametros_manuales!$M$28*parametros_manuales!$B$6=0,0,'Demanda puesto sin sobrestock'!$P$146/(parametros_manuales!$M$28*G39*G67*parametros_manuales!$B$6))</f>
        <v>0.82045128176414</v>
      </c>
      <c r="H11" s="46" t="n">
        <f aca="false">IF(H39*H67*parametros_manuales!$M$28*parametros_manuales!$B$6=0,0,'Demanda puesto sin sobrestock'!$P$173/(parametros_manuales!$M$28*H39*H67*parametros_manuales!$B$6))</f>
        <v>0.282836356634474</v>
      </c>
      <c r="I11" s="45" t="n">
        <f aca="false">IF(I39*I67*parametros_manuales!$M$28*parametros_manuales!$B$6=0,0,'Demanda puesto sin sobrestock'!$P$200/(parametros_manuales!$M$28*I39*I67*parametros_manuales!$B$6))</f>
        <v>0.361536484335266</v>
      </c>
      <c r="J11" s="45" t="n">
        <f aca="false">IF(J39*J67*parametros_manuales!$M$28*parametros_manuales!$B$6=0,0,'Demanda puesto sin sobrestock'!$P$227/(parametros_manuales!$M$28*J39*J67*parametros_manuales!$B$6))</f>
        <v>0.407818696690752</v>
      </c>
      <c r="K11" s="45" t="n">
        <f aca="false">IF(K39*K67*parametros_manuales!$M$28*parametros_manuales!$B$6=0,0,'Demanda puesto sin sobrestock'!$P$254/(parametros_manuales!$M$28*K39*K67*parametros_manuales!$B$6))</f>
        <v>0.471191567764847</v>
      </c>
      <c r="L11" s="44" t="s">
        <v>83</v>
      </c>
      <c r="M11" s="51" t="s">
        <v>207</v>
      </c>
    </row>
    <row r="12" customFormat="false" ht="14.25" hidden="false" customHeight="true" outlineLevel="0" collapsed="false">
      <c r="A12" s="44" t="str">
        <f aca="false">parametros_manuales!$B$29</f>
        <v>Bordoneado</v>
      </c>
      <c r="B12" s="45" t="n">
        <f aca="false">IF(B40*B68*parametros_manuales!$M$29*parametros_manuales!$B$6=0,0,'Demanda puesto sin sobrestock'!$P$12/(parametros_manuales!$M$29*B40*B68*parametros_manuales!$B$6))</f>
        <v>0.0300519761376433</v>
      </c>
      <c r="C12" s="45" t="n">
        <f aca="false">IF(C40*C68*parametros_manuales!$M$29*parametros_manuales!$B$6=0,0,'Demanda puesto sin sobrestock'!$P$39/(parametros_manuales!$M$29*C40*C68*parametros_manuales!$B$6))</f>
        <v>0.0472974576289593</v>
      </c>
      <c r="D12" s="45" t="n">
        <f aca="false">IF(D40*D68*parametros_manuales!$M$29*parametros_manuales!$B$6=0,0,'Demanda puesto sin sobrestock'!$P$66/(parametros_manuales!$M$29*D40*D68*parametros_manuales!$B$6))</f>
        <v>0.100622459203771</v>
      </c>
      <c r="E12" s="45" t="n">
        <f aca="false">IF(E40*E68*parametros_manuales!$M$29*parametros_manuales!$B$6=0,0,'Demanda puesto sin sobrestock'!$P$93/(parametros_manuales!$M$29*E40*E68*parametros_manuales!$B$6))</f>
        <v>0.223621908137293</v>
      </c>
      <c r="F12" s="45" t="n">
        <f aca="false">IF(F40*F68*parametros_manuales!$M$29*parametros_manuales!$B$6=0,0,'Demanda puesto sin sobrestock'!$P$120/(parametros_manuales!$M$29*F40*F68*parametros_manuales!$B$6))</f>
        <v>0.389570321838952</v>
      </c>
      <c r="G12" s="45" t="n">
        <f aca="false">IF(G40*G68*parametros_manuales!$M$29*parametros_manuales!$B$6=0,0,'Demanda puesto sin sobrestock'!$P$147/(parametros_manuales!$M$29*G40*G68*parametros_manuales!$B$6))</f>
        <v>0.546967521176094</v>
      </c>
      <c r="H12" s="45" t="n">
        <f aca="false">IF(H40*H68*parametros_manuales!$M$29*parametros_manuales!$B$6=0,0,'Demanda puesto sin sobrestock'!$P$174/(parametros_manuales!$M$29*H40*H68*parametros_manuales!$B$6))</f>
        <v>0.377115142179299</v>
      </c>
      <c r="I12" s="46" t="n">
        <f aca="false">IF(I40*I68*parametros_manuales!$M$29*parametros_manuales!$B$6=0,0,'Demanda puesto sin sobrestock'!$P$201/(parametros_manuales!$M$29*I40*I68*parametros_manuales!$B$6))</f>
        <v>0.482048645780354</v>
      </c>
      <c r="J12" s="45" t="n">
        <f aca="false">IF(J40*J68*parametros_manuales!$M$29*parametros_manuales!$B$6=0,0,'Demanda puesto sin sobrestock'!$P$228/(parametros_manuales!$M$29*J40*J68*parametros_manuales!$B$6))</f>
        <v>0.543758262254336</v>
      </c>
      <c r="K12" s="45" t="n">
        <f aca="false">IF(K40*K68*parametros_manuales!$M$29*parametros_manuales!$B$6=0,0,'Demanda puesto sin sobrestock'!$P$255/(parametros_manuales!$M$29*K40*K68*parametros_manuales!$B$6))</f>
        <v>0.628255423686463</v>
      </c>
      <c r="L12" s="44" t="s">
        <v>83</v>
      </c>
    </row>
    <row r="13" customFormat="false" ht="14.25" hidden="false" customHeight="true" outlineLevel="0" collapsed="false">
      <c r="A13" s="44" t="str">
        <f aca="false">parametros_manuales!$B$30</f>
        <v>Soldadura circunferencial de cúpula y fondo</v>
      </c>
      <c r="B13" s="45" t="n">
        <f aca="false">IF(B41*B69*parametros_manuales!$M$30*parametros_manuales!$B$6=0,0,'Demanda puesto sin sobrestock'!$P$13/(parametros_manuales!$M$30*B41*B69*parametros_manuales!$B$6))</f>
        <v>0.0901559284129299</v>
      </c>
      <c r="C13" s="45" t="n">
        <f aca="false">IF(C41*C69*parametros_manuales!$M$30*parametros_manuales!$B$6=0,0,'Demanda puesto sin sobrestock'!$P$40/(parametros_manuales!$M$30*C41*C69*parametros_manuales!$B$6))</f>
        <v>0.141892372886878</v>
      </c>
      <c r="D13" s="45" t="n">
        <f aca="false">IF(D41*D69*parametros_manuales!$M$30*parametros_manuales!$B$6=0,0,'Demanda puesto sin sobrestock'!$P$67/(parametros_manuales!$M$30*D41*D69*parametros_manuales!$B$6))</f>
        <v>0.301867377611312</v>
      </c>
      <c r="E13" s="45" t="n">
        <f aca="false">IF(E41*E69*parametros_manuales!$M$30*parametros_manuales!$B$6=0,0,'Demanda puesto sin sobrestock'!$P$94/(parametros_manuales!$M$30*E41*E69*parametros_manuales!$B$6))</f>
        <v>0.670865724411878</v>
      </c>
      <c r="F13" s="46" t="n">
        <f aca="false">IF(F41*F69*parametros_manuales!$M$30*parametros_manuales!$B$6=0,0,'Demanda puesto sin sobrestock'!$P$121/(parametros_manuales!$M$30*F41*F69*parametros_manuales!$B$6))</f>
        <v>0.584355482758428</v>
      </c>
      <c r="G13" s="45" t="n">
        <f aca="false">IF(G41*G69*parametros_manuales!$M$30*parametros_manuales!$B$6=0,0,'Demanda puesto sin sobrestock'!$P$148/(parametros_manuales!$M$30*G41*G69*parametros_manuales!$B$6))</f>
        <v>0.82045128176414</v>
      </c>
      <c r="H13" s="46" t="n">
        <f aca="false">IF(H41*H69*parametros_manuales!$M$30*parametros_manuales!$B$6=0,0,'Demanda puesto sin sobrestock'!$P$175/(parametros_manuales!$M$30*H41*H69*parametros_manuales!$B$6))</f>
        <v>0.377115142179299</v>
      </c>
      <c r="I13" s="45" t="n">
        <f aca="false">IF(I41*I69*parametros_manuales!$M$30*parametros_manuales!$B$6=0,0,'Demanda puesto sin sobrestock'!$P$202/(parametros_manuales!$M$30*I41*I69*parametros_manuales!$B$6))</f>
        <v>0.482048645780355</v>
      </c>
      <c r="J13" s="45" t="n">
        <f aca="false">IF(J41*J69*parametros_manuales!$M$30*parametros_manuales!$B$6=0,0,'Demanda puesto sin sobrestock'!$P$229/(parametros_manuales!$M$30*J41*J69*parametros_manuales!$B$6))</f>
        <v>0.543758262254336</v>
      </c>
      <c r="K13" s="45" t="n">
        <f aca="false">IF(K41*K69*parametros_manuales!$M$30*parametros_manuales!$B$6=0,0,'Demanda puesto sin sobrestock'!$P$256/(parametros_manuales!$M$30*K41*K69*parametros_manuales!$B$6))</f>
        <v>0.628255423686463</v>
      </c>
      <c r="L13" s="44" t="s">
        <v>83</v>
      </c>
      <c r="M13" s="52" t="s">
        <v>55</v>
      </c>
      <c r="N13" s="53" t="n">
        <f aca="false">parametros_manuales!$B$8</f>
        <v>0.9</v>
      </c>
    </row>
    <row r="14" customFormat="false" ht="14.25" hidden="false" customHeight="true" outlineLevel="0" collapsed="false">
      <c r="A14" s="44" t="str">
        <f aca="false">parametros_manuales!$B$31</f>
        <v>Control de calidad — Espesor</v>
      </c>
      <c r="B14" s="45" t="n">
        <f aca="false">IF(B42*B70*parametros_manuales!$M$31*parametros_manuales!$B$6=0,0,'Demanda puesto sin sobrestock'!$P$14/(parametros_manuales!$M$31*B42*B70*parametros_manuales!$B$6))</f>
        <v>0.00354212625409022</v>
      </c>
      <c r="C14" s="45" t="n">
        <f aca="false">IF(C42*C70*parametros_manuales!$M$31*parametros_manuales!$B$6=0,0,'Demanda puesto sin sobrestock'!$P$41/(parametros_manuales!$M$31*C42*C70*parametros_manuales!$B$6))</f>
        <v>0.00557479367253333</v>
      </c>
      <c r="D14" s="45" t="n">
        <f aca="false">IF(D42*D70*parametros_manuales!$M$31*parametros_manuales!$B$6=0,0,'Demanda puesto sin sobrestock'!$P$68/(parametros_manuales!$M$31*D42*D70*parametros_manuales!$B$6))</f>
        <v>0.0118600338581511</v>
      </c>
      <c r="E14" s="45" t="n">
        <f aca="false">IF(E42*E70*parametros_manuales!$M$31*parametros_manuales!$B$6=0,0,'Demanda puesto sin sobrestock'!$P$95/(parametros_manuales!$M$31*E42*E70*parametros_manuales!$B$6))</f>
        <v>0.0263575689057822</v>
      </c>
      <c r="F14" s="45" t="n">
        <f aca="false">IF(F42*F70*parametros_manuales!$M$31*parametros_manuales!$B$6=0,0,'Demanda puesto sin sobrestock'!$P$122/(parametros_manuales!$M$31*F42*F70*parametros_manuales!$B$6))</f>
        <v>0.0459173552674178</v>
      </c>
      <c r="G14" s="45" t="n">
        <f aca="false">IF(G42*G70*parametros_manuales!$M$31*parametros_manuales!$B$6=0,0,'Demanda puesto sin sobrestock'!$P$149/(parametros_manuales!$M$31*G42*G70*parametros_manuales!$B$6))</f>
        <v>0.0644692384959556</v>
      </c>
      <c r="H14" s="45" t="n">
        <f aca="false">IF(H42*H70*parametros_manuales!$M$31*parametros_manuales!$B$6=0,0,'Demanda puesto sin sobrestock'!$P$176/(parametros_manuales!$M$31*H42*H70*parametros_manuales!$B$6))</f>
        <v>0.0888986095164</v>
      </c>
      <c r="I14" s="45" t="n">
        <f aca="false">IF(I42*I70*parametros_manuales!$M$31*parametros_manuales!$B$6=0,0,'Demanda puesto sin sobrestock'!$P$203/(parametros_manuales!$M$31*I42*I70*parametros_manuales!$B$6))</f>
        <v>0.113634934098622</v>
      </c>
      <c r="J14" s="45" t="n">
        <f aca="false">IF(J42*J70*parametros_manuales!$M$31*parametros_manuales!$B$6=0,0,'Demanda puesto sin sobrestock'!$P$230/(parametros_manuales!$M$31*J42*J70*parametros_manuales!$B$6))</f>
        <v>0.128181947688756</v>
      </c>
      <c r="K14" s="45" t="n">
        <f aca="false">IF(K42*K70*parametros_manuales!$M$31*parametros_manuales!$B$6=0,0,'Demanda puesto sin sobrestock'!$P$257/(parametros_manuales!$M$31*K42*K70*parametros_manuales!$B$6))</f>
        <v>0.148100745210356</v>
      </c>
      <c r="L14" s="44" t="s">
        <v>202</v>
      </c>
      <c r="M14" s="12" t="s">
        <v>208</v>
      </c>
    </row>
    <row r="15" customFormat="false" ht="14.25" hidden="false" customHeight="true" outlineLevel="0" collapsed="false">
      <c r="A15" s="44" t="str">
        <f aca="false">parametros_manuales!$B$32</f>
        <v>Prueba hidráulica</v>
      </c>
      <c r="B15" s="45" t="n">
        <f aca="false">IF(B43*B71*parametros_manuales!$M$32*parametros_manuales!$B$6=0,0,'Demanda puesto sin sobrestock'!$P$15/(parametros_manuales!$M$32*B43*B71*parametros_manuales!$B$6))</f>
        <v>0.0901559284129299</v>
      </c>
      <c r="C15" s="45" t="n">
        <f aca="false">IF(C43*C71*parametros_manuales!$M$32*parametros_manuales!$B$6=0,0,'Demanda puesto sin sobrestock'!$P$42/(parametros_manuales!$M$32*C43*C71*parametros_manuales!$B$6))</f>
        <v>0.141892372886878</v>
      </c>
      <c r="D15" s="45" t="n">
        <f aca="false">IF(D43*D71*parametros_manuales!$M$32*parametros_manuales!$B$6=0,0,'Demanda puesto sin sobrestock'!$P$69/(parametros_manuales!$M$32*D43*D71*parametros_manuales!$B$6))</f>
        <v>0.301867377611312</v>
      </c>
      <c r="E15" s="45" t="n">
        <f aca="false">IF(E43*E71*parametros_manuales!$M$32*parametros_manuales!$B$6=0,0,'Demanda puesto sin sobrestock'!$P$96/(parametros_manuales!$M$32*E43*E71*parametros_manuales!$B$6))</f>
        <v>0.670865724411878</v>
      </c>
      <c r="F15" s="46" t="n">
        <f aca="false">IF(F43*F71*parametros_manuales!$M$32*parametros_manuales!$B$6=0,0,'Demanda puesto sin sobrestock'!$P$123/(parametros_manuales!$M$32*F43*F71*parametros_manuales!$B$6))</f>
        <v>0.584355482758428</v>
      </c>
      <c r="G15" s="45" t="n">
        <f aca="false">IF(G43*G71*parametros_manuales!$M$32*parametros_manuales!$B$6=0,0,'Demanda puesto sin sobrestock'!$P$150/(parametros_manuales!$M$32*G43*G71*parametros_manuales!$B$6))</f>
        <v>0.82045128176414</v>
      </c>
      <c r="H15" s="46" t="n">
        <f aca="false">IF(H43*H71*parametros_manuales!$M$32*parametros_manuales!$B$6=0,0,'Demanda puesto sin sobrestock'!$P$177/(parametros_manuales!$M$32*H43*H71*parametros_manuales!$B$6))</f>
        <v>0.377115142179299</v>
      </c>
      <c r="I15" s="45" t="n">
        <f aca="false">IF(I43*I71*parametros_manuales!$M$32*parametros_manuales!$B$6=0,0,'Demanda puesto sin sobrestock'!$P$204/(parametros_manuales!$M$32*I43*I71*parametros_manuales!$B$6))</f>
        <v>0.482048645780355</v>
      </c>
      <c r="J15" s="45" t="n">
        <f aca="false">IF(J43*J71*parametros_manuales!$M$32*parametros_manuales!$B$6=0,0,'Demanda puesto sin sobrestock'!$P$231/(parametros_manuales!$M$32*J43*J71*parametros_manuales!$B$6))</f>
        <v>0.543758262254336</v>
      </c>
      <c r="K15" s="45" t="n">
        <f aca="false">IF(K43*K71*parametros_manuales!$M$32*parametros_manuales!$B$6=0,0,'Demanda puesto sin sobrestock'!$P$258/(parametros_manuales!$M$32*K43*K71*parametros_manuales!$B$6))</f>
        <v>0.628255423686463</v>
      </c>
      <c r="L15" s="44" t="s">
        <v>83</v>
      </c>
    </row>
    <row r="16" customFormat="false" ht="14.25" hidden="false" customHeight="true" outlineLevel="0" collapsed="false">
      <c r="A16" s="44" t="str">
        <f aca="false">parametros_manuales!$B$33</f>
        <v>Secado</v>
      </c>
      <c r="B16" s="45" t="n">
        <f aca="false">IF(B44*B72*parametros_manuales!$M$33*parametros_manuales!$B$6=0,0,'Demanda puesto sin sobrestock'!$P$16/(parametros_manuales!$M$33*B44*B72*parametros_manuales!$B$6))</f>
        <v>0.177106312704511</v>
      </c>
      <c r="C16" s="45" t="n">
        <f aca="false">IF(C44*C72*parametros_manuales!$M$33*parametros_manuales!$B$6=0,0,'Demanda puesto sin sobrestock'!$P$43/(parametros_manuales!$M$33*C44*C72*parametros_manuales!$B$6))</f>
        <v>0.278739683626667</v>
      </c>
      <c r="D16" s="45" t="n">
        <f aca="false">IF(D44*D72*parametros_manuales!$M$33*parametros_manuales!$B$6=0,0,'Demanda puesto sin sobrestock'!$P$70/(parametros_manuales!$M$33*D44*D72*parametros_manuales!$B$6))</f>
        <v>0.593001692907556</v>
      </c>
      <c r="E16" s="46" t="n">
        <f aca="false">IF(E44*E72*parametros_manuales!$M$33*parametros_manuales!$B$6=0,0,'Demanda puesto sin sobrestock'!$P$97/(parametros_manuales!$M$33*E44*E72*parametros_manuales!$B$6))</f>
        <v>0.658939222644556</v>
      </c>
      <c r="F16" s="46" t="n">
        <f aca="false">IF(F44*F72*parametros_manuales!$M$33*parametros_manuales!$B$6=0,0,'Demanda puesto sin sobrestock'!$P$124/(parametros_manuales!$M$33*F44*F72*parametros_manuales!$B$6))</f>
        <v>0.765289254456963</v>
      </c>
      <c r="G16" s="46" t="n">
        <f aca="false">IF(G44*G72*parametros_manuales!$M$33*parametros_manuales!$B$6=0,0,'Demanda puesto sin sobrestock'!$P$151/(parametros_manuales!$M$33*G44*G72*parametros_manuales!$B$6))</f>
        <v>0.805865481199445</v>
      </c>
      <c r="H16" s="46" t="n">
        <f aca="false">IF(H44*H72*parametros_manuales!$M$33*parametros_manuales!$B$6=0,0,'Demanda puesto sin sobrestock'!$P$178/(parametros_manuales!$M$33*H44*H72*parametros_manuales!$B$6))</f>
        <v>0.444493047582</v>
      </c>
      <c r="I16" s="45" t="n">
        <f aca="false">IF(I44*I72*parametros_manuales!$M$33*parametros_manuales!$B$6=0,0,'Demanda puesto sin sobrestock'!$P$205/(parametros_manuales!$M$33*I44*I72*parametros_manuales!$B$6))</f>
        <v>0.568174670493111</v>
      </c>
      <c r="J16" s="45" t="n">
        <f aca="false">IF(J44*J72*parametros_manuales!$M$33*parametros_manuales!$B$6=0,0,'Demanda puesto sin sobrestock'!$P$232/(parametros_manuales!$M$33*J44*J72*parametros_manuales!$B$6))</f>
        <v>0.640909738443778</v>
      </c>
      <c r="K16" s="45" t="n">
        <f aca="false">IF(K44*K72*parametros_manuales!$M$33*parametros_manuales!$B$6=0,0,'Demanda puesto sin sobrestock'!$P$259/(parametros_manuales!$M$33*K44*K72*parametros_manuales!$B$6))</f>
        <v>0.740503726051778</v>
      </c>
      <c r="L16" s="44" t="s">
        <v>83</v>
      </c>
    </row>
    <row r="17" customFormat="false" ht="14.25" hidden="false" customHeight="true" outlineLevel="0" collapsed="false">
      <c r="A17" s="44" t="str">
        <f aca="false">parametros_manuales!$B$34</f>
        <v>Granallado</v>
      </c>
      <c r="B17" s="45" t="n">
        <f aca="false">IF(B45*B73*parametros_manuales!$M$34*parametros_manuales!$B$6=0,0,'Demanda puesto sin sobrestock'!$P$17/(parametros_manuales!$M$34*B45*B73*parametros_manuales!$B$6))</f>
        <v>0.0442765781761278</v>
      </c>
      <c r="C17" s="45" t="n">
        <f aca="false">IF(C45*C73*parametros_manuales!$M$34*parametros_manuales!$B$6=0,0,'Demanda puesto sin sobrestock'!$P$44/(parametros_manuales!$M$34*C45*C73*parametros_manuales!$B$6))</f>
        <v>0.0696849209066667</v>
      </c>
      <c r="D17" s="45" t="n">
        <f aca="false">IF(D45*D73*parametros_manuales!$M$34*parametros_manuales!$B$6=0,0,'Demanda puesto sin sobrestock'!$P$71/(parametros_manuales!$M$34*D45*D73*parametros_manuales!$B$6))</f>
        <v>0.148250423226889</v>
      </c>
      <c r="E17" s="45" t="n">
        <f aca="false">IF(E45*E73*parametros_manuales!$M$34*parametros_manuales!$B$6=0,0,'Demanda puesto sin sobrestock'!$P$98/(parametros_manuales!$M$34*E45*E73*parametros_manuales!$B$6))</f>
        <v>0.329469611322278</v>
      </c>
      <c r="F17" s="45" t="n">
        <f aca="false">IF(F45*F73*parametros_manuales!$M$34*parametros_manuales!$B$6=0,0,'Demanda puesto sin sobrestock'!$P$125/(parametros_manuales!$M$34*F45*F73*parametros_manuales!$B$6))</f>
        <v>0.573966940842722</v>
      </c>
      <c r="G17" s="45" t="n">
        <f aca="false">IF(G45*G73*parametros_manuales!$M$34*parametros_manuales!$B$6=0,0,'Demanda puesto sin sobrestock'!$P$152/(parametros_manuales!$M$34*G45*G73*parametros_manuales!$B$6))</f>
        <v>0.805865481199445</v>
      </c>
      <c r="H17" s="46" t="n">
        <f aca="false">IF(H45*H73*parametros_manuales!$M$34*parametros_manuales!$B$6=0,0,'Demanda puesto sin sobrestock'!$P$179/(parametros_manuales!$M$34*H45*H73*parametros_manuales!$B$6))</f>
        <v>0.27780815473875</v>
      </c>
      <c r="I17" s="45" t="n">
        <f aca="false">IF(I45*I73*parametros_manuales!$M$34*parametros_manuales!$B$6=0,0,'Demanda puesto sin sobrestock'!$P$206/(parametros_manuales!$M$34*I45*I73*parametros_manuales!$B$6))</f>
        <v>0.355109169058194</v>
      </c>
      <c r="J17" s="45" t="n">
        <f aca="false">IF(J45*J73*parametros_manuales!$M$34*parametros_manuales!$B$6=0,0,'Demanda puesto sin sobrestock'!$P$233/(parametros_manuales!$M$34*J45*J73*parametros_manuales!$B$6))</f>
        <v>0.400568586527361</v>
      </c>
      <c r="K17" s="45" t="n">
        <f aca="false">IF(K45*K73*parametros_manuales!$M$34*parametros_manuales!$B$6=0,0,'Demanda puesto sin sobrestock'!$P$260/(parametros_manuales!$M$34*K45*K73*parametros_manuales!$B$6))</f>
        <v>0.462814828782361</v>
      </c>
      <c r="L17" s="44" t="s">
        <v>83</v>
      </c>
    </row>
    <row r="18" customFormat="false" ht="14.25" hidden="false" customHeight="true" outlineLevel="0" collapsed="false">
      <c r="A18" s="44" t="str">
        <f aca="false">parametros_manuales!$B$35</f>
        <v>Detección de defectos</v>
      </c>
      <c r="B18" s="45" t="n">
        <f aca="false">IF(B46*B74*parametros_manuales!$M$35*parametros_manuales!$B$6=0,0,'Demanda puesto sin sobrestock'!$P$18/(parametros_manuales!$M$35*B46*B74*parametros_manuales!$B$6))</f>
        <v>0.0295177187840852</v>
      </c>
      <c r="C18" s="45" t="n">
        <f aca="false">IF(C46*C74*parametros_manuales!$M$35*parametros_manuales!$B$6=0,0,'Demanda puesto sin sobrestock'!$P$45/(parametros_manuales!$M$35*C46*C74*parametros_manuales!$B$6))</f>
        <v>0.0464566139377778</v>
      </c>
      <c r="D18" s="45" t="n">
        <f aca="false">IF(D46*D74*parametros_manuales!$M$35*parametros_manuales!$B$6=0,0,'Demanda puesto sin sobrestock'!$P$72/(parametros_manuales!$M$35*D46*D74*parametros_manuales!$B$6))</f>
        <v>0.0988336154845926</v>
      </c>
      <c r="E18" s="45" t="n">
        <f aca="false">IF(E46*E74*parametros_manuales!$M$35*parametros_manuales!$B$6=0,0,'Demanda puesto sin sobrestock'!$P$99/(parametros_manuales!$M$35*E46*E74*parametros_manuales!$B$6))</f>
        <v>0.219646407548185</v>
      </c>
      <c r="F18" s="45" t="n">
        <f aca="false">IF(F46*F74*parametros_manuales!$M$35*parametros_manuales!$B$6=0,0,'Demanda puesto sin sobrestock'!$P$126/(parametros_manuales!$M$35*F46*F74*parametros_manuales!$B$6))</f>
        <v>0.382644627228482</v>
      </c>
      <c r="G18" s="45" t="n">
        <f aca="false">IF(G46*G74*parametros_manuales!$M$35*parametros_manuales!$B$6=0,0,'Demanda puesto sin sobrestock'!$P$153/(parametros_manuales!$M$35*G46*G74*parametros_manuales!$B$6))</f>
        <v>0.537243654132963</v>
      </c>
      <c r="H18" s="45" t="n">
        <f aca="false">IF(H46*H74*parametros_manuales!$M$35*parametros_manuales!$B$6=0,0,'Demanda puesto sin sobrestock'!$P$180/(parametros_manuales!$M$35*H46*H74*parametros_manuales!$B$6))</f>
        <v>0.370410872985</v>
      </c>
      <c r="I18" s="46" t="n">
        <f aca="false">IF(I46*I74*parametros_manuales!$M$35*parametros_manuales!$B$6=0,0,'Demanda puesto sin sobrestock'!$P$207/(parametros_manuales!$M$35*I46*I74*parametros_manuales!$B$6))</f>
        <v>0.473478892077593</v>
      </c>
      <c r="J18" s="45" t="n">
        <f aca="false">IF(J46*J74*parametros_manuales!$M$35*parametros_manuales!$B$6=0,0,'Demanda puesto sin sobrestock'!$P$234/(parametros_manuales!$M$35*J46*J74*parametros_manuales!$B$6))</f>
        <v>0.534091448703148</v>
      </c>
      <c r="K18" s="45" t="n">
        <f aca="false">IF(K46*K74*parametros_manuales!$M$35*parametros_manuales!$B$6=0,0,'Demanda puesto sin sobrestock'!$P$261/(parametros_manuales!$M$35*K46*K74*parametros_manuales!$B$6))</f>
        <v>0.617086438376482</v>
      </c>
      <c r="L18" s="44" t="s">
        <v>202</v>
      </c>
    </row>
    <row r="19" customFormat="false" ht="14.25" hidden="false" customHeight="true" outlineLevel="0" collapsed="false">
      <c r="A19" s="44" t="str">
        <f aca="false">parametros_manuales!$B$36</f>
        <v>Corrección de defectos</v>
      </c>
      <c r="B19" s="45" t="n">
        <f aca="false">IF(B47*B75*parametros_manuales!$M$36*parametros_manuales!$B$6=0,0,'Demanda puesto sin sobrestock'!$P$19/(parametros_manuales!$M$36*B47*B75*parametros_manuales!$B$6))</f>
        <v>0.0132829734528383</v>
      </c>
      <c r="C19" s="45" t="n">
        <f aca="false">IF(C47*C75*parametros_manuales!$M$36*parametros_manuales!$B$6=0,0,'Demanda puesto sin sobrestock'!$P$46/(parametros_manuales!$M$36*C47*C75*parametros_manuales!$B$6))</f>
        <v>0.020905476272</v>
      </c>
      <c r="D19" s="45" t="n">
        <f aca="false">IF(D47*D75*parametros_manuales!$M$36*parametros_manuales!$B$6=0,0,'Demanda puesto sin sobrestock'!$P$73/(parametros_manuales!$M$36*D47*D75*parametros_manuales!$B$6))</f>
        <v>0.0444751269680667</v>
      </c>
      <c r="E19" s="45" t="n">
        <f aca="false">IF(E47*E75*parametros_manuales!$M$36*parametros_manuales!$B$6=0,0,'Demanda puesto sin sobrestock'!$P$100/(parametros_manuales!$M$36*E47*E75*parametros_manuales!$B$6))</f>
        <v>0.0988408833966833</v>
      </c>
      <c r="F19" s="45" t="n">
        <f aca="false">IF(F47*F75*parametros_manuales!$M$36*parametros_manuales!$B$6=0,0,'Demanda puesto sin sobrestock'!$P$127/(parametros_manuales!$M$36*F47*F75*parametros_manuales!$B$6))</f>
        <v>0.172190082252817</v>
      </c>
      <c r="G19" s="45" t="n">
        <f aca="false">IF(G47*G75*parametros_manuales!$M$36*parametros_manuales!$B$6=0,0,'Demanda puesto sin sobrestock'!$P$154/(parametros_manuales!$M$36*G47*G75*parametros_manuales!$B$6))</f>
        <v>0.241759644359833</v>
      </c>
      <c r="H19" s="45" t="n">
        <f aca="false">IF(H47*H75*parametros_manuales!$M$36*parametros_manuales!$B$6=0,0,'Demanda puesto sin sobrestock'!$P$181/(parametros_manuales!$M$36*H47*H75*parametros_manuales!$B$6))</f>
        <v>0.3333697856865</v>
      </c>
      <c r="I19" s="45" t="n">
        <f aca="false">IF(I47*I75*parametros_manuales!$M$36*parametros_manuales!$B$6=0,0,'Demanda puesto sin sobrestock'!$P$208/(parametros_manuales!$M$36*I47*I75*parametros_manuales!$B$6))</f>
        <v>0.426131002869833</v>
      </c>
      <c r="J19" s="45" t="n">
        <f aca="false">IF(J47*J75*parametros_manuales!$M$36*parametros_manuales!$B$6=0,0,'Demanda puesto sin sobrestock'!$P$235/(parametros_manuales!$M$36*J47*J75*parametros_manuales!$B$6))</f>
        <v>0.480682303832833</v>
      </c>
      <c r="K19" s="45" t="n">
        <f aca="false">IF(K47*K75*parametros_manuales!$M$36*parametros_manuales!$B$6=0,0,'Demanda puesto sin sobrestock'!$P$262/(parametros_manuales!$M$36*K47*K75*parametros_manuales!$B$6))</f>
        <v>0.555377794538833</v>
      </c>
      <c r="L19" s="44" t="s">
        <v>202</v>
      </c>
    </row>
    <row r="20" customFormat="false" ht="14.25" hidden="false" customHeight="true" outlineLevel="0" collapsed="false">
      <c r="A20" s="44" t="str">
        <f aca="false">parametros_manuales!$B$37</f>
        <v>Pintura en polvo + horno</v>
      </c>
      <c r="B20" s="46" t="n">
        <f aca="false">IF(B48*B76*parametros_manuales!$M$37*parametros_manuales!$B$6=0,0,'Demanda puesto sin sobrestock'!$P$20/(parametros_manuales!$M$37*B48*B76*parametros_manuales!$B$6))</f>
        <v>0</v>
      </c>
      <c r="C20" s="46" t="n">
        <f aca="false">IF(C48*C76*parametros_manuales!$M$37*parametros_manuales!$B$6=0,0,'Demanda puesto sin sobrestock'!$P$47/(parametros_manuales!$M$37*C48*C76*parametros_manuales!$B$6))</f>
        <v>0</v>
      </c>
      <c r="D20" s="46" t="n">
        <f aca="false">IF(D48*D76*parametros_manuales!$M$37*parametros_manuales!$B$6=0,0,'Demanda puesto sin sobrestock'!$P$74/(parametros_manuales!$M$37*D48*D76*parametros_manuales!$B$6))</f>
        <v>0</v>
      </c>
      <c r="E20" s="46" t="n">
        <f aca="false">IF(E48*E76*parametros_manuales!$M$37*parametros_manuales!$B$6=0,0,'Demanda puesto sin sobrestock'!$P$101/(parametros_manuales!$M$37*E48*E76*parametros_manuales!$B$6))</f>
        <v>0</v>
      </c>
      <c r="F20" s="45" t="n">
        <f aca="false">IF(F48*F76*parametros_manuales!$M$37*parametros_manuales!$B$6=0,0,'Demanda puesto sin sobrestock'!$P$128/(parametros_manuales!$M$37*F48*F76*parametros_manuales!$B$6))</f>
        <v>0.505252588770002</v>
      </c>
      <c r="G20" s="45" t="n">
        <f aca="false">IF(G48*G76*parametros_manuales!$M$37*parametros_manuales!$B$6=0,0,'Demanda puesto sin sobrestock'!$P$155/(parametros_manuales!$M$37*G48*G76*parametros_manuales!$B$6))</f>
        <v>0.709388627816412</v>
      </c>
      <c r="H20" s="46" t="n">
        <f aca="false">IF(H48*H76*parametros_manuales!$M$37*parametros_manuales!$B$6=0,0,'Demanda puesto sin sobrestock'!$P$182/(parametros_manuales!$M$37*H48*H76*parametros_manuales!$B$6))</f>
        <v>0.489098863976673</v>
      </c>
      <c r="I20" s="45" t="n">
        <f aca="false">IF(I48*I76*parametros_manuales!$M$37*parametros_manuales!$B$6=0,0,'Demanda puesto sin sobrestock'!$P$209/(parametros_manuales!$M$37*I48*I76*parametros_manuales!$B$6))</f>
        <v>0.625192199046117</v>
      </c>
      <c r="J20" s="45" t="n">
        <f aca="false">IF(J48*J76*parametros_manuales!$M$37*parametros_manuales!$B$6=0,0,'Demanda puesto sin sobrestock'!$P$236/(parametros_manuales!$M$37*J48*J76*parametros_manuales!$B$6))</f>
        <v>0.70522638473127</v>
      </c>
      <c r="K20" s="45" t="n">
        <f aca="false">IF(K48*K76*parametros_manuales!$M$37*parametros_manuales!$B$6=0,0,'Demanda puesto sin sobrestock'!$P$263/(parametros_manuales!$M$37*K48*K76*parametros_manuales!$B$6))</f>
        <v>0.814814839405565</v>
      </c>
      <c r="L20" s="44" t="s">
        <v>83</v>
      </c>
    </row>
    <row r="21" customFormat="false" ht="14.25" hidden="false" customHeight="true" outlineLevel="0" collapsed="false">
      <c r="A21" s="44" t="str">
        <f aca="false">parametros_manuales!$B$38</f>
        <v>Carga de polvo</v>
      </c>
      <c r="B21" s="45" t="n">
        <f aca="false">IF(B49*B77*parametros_manuales!$M$38*parametros_manuales!$B$6=0,0,'Demanda puesto sin sobrestock'!$P$21/(parametros_manuales!$M$38*B49*B77*parametros_manuales!$B$6))</f>
        <v>0.066158200597525</v>
      </c>
      <c r="C21" s="45" t="n">
        <f aca="false">IF(C49*C77*parametros_manuales!$M$38*parametros_manuales!$B$6=0,0,'Demanda puesto sin sobrestock'!$P$48/(parametros_manuales!$M$38*C49*C77*parametros_manuales!$B$6))</f>
        <v>0.103773514693333</v>
      </c>
      <c r="D21" s="45" t="n">
        <f aca="false">IF(D49*D77*parametros_manuales!$M$38*parametros_manuales!$B$6=0,0,'Demanda puesto sin sobrestock'!$P$75/(parametros_manuales!$M$38*D49*D77*parametros_manuales!$B$6))</f>
        <v>0.127295101507</v>
      </c>
      <c r="E21" s="45" t="n">
        <f aca="false">IF(E49*E77*parametros_manuales!$M$38*parametros_manuales!$B$6=0,0,'Demanda puesto sin sobrestock'!$P$102/(parametros_manuales!$M$38*E49*E77*parametros_manuales!$B$6))</f>
        <v>0.165424316983417</v>
      </c>
      <c r="F21" s="45" t="n">
        <f aca="false">IF(F49*F77*parametros_manuales!$M$38*parametros_manuales!$B$6=0,0,'Demanda puesto sin sobrestock'!$P$129/(parametros_manuales!$M$38*F49*F77*parametros_manuales!$B$6))</f>
        <v>0.253889811264083</v>
      </c>
      <c r="G21" s="45" t="n">
        <f aca="false">IF(G49*G77*parametros_manuales!$M$38*parametros_manuales!$B$6=0,0,'Demanda puesto sin sobrestock'!$P$156/(parametros_manuales!$M$38*G49*G77*parametros_manuales!$B$6))</f>
        <v>0.329252321799167</v>
      </c>
      <c r="H21" s="45" t="n">
        <f aca="false">IF(H49*H77*parametros_manuales!$M$38*parametros_manuales!$B$6=0,0,'Demanda puesto sin sobrestock'!$P$183/(parametros_manuales!$M$38*H49*H77*parametros_manuales!$B$6))</f>
        <v>0.4252358284325</v>
      </c>
      <c r="I21" s="45" t="n">
        <f aca="false">IF(I49*I77*parametros_manuales!$M$38*parametros_manuales!$B$6=0,0,'Demanda puesto sin sobrestock'!$P$210/(parametros_manuales!$M$38*I49*I77*parametros_manuales!$B$6))</f>
        <v>0.526056214349167</v>
      </c>
      <c r="J21" s="45" t="n">
        <f aca="false">IF(J49*J77*parametros_manuales!$M$38*parametros_manuales!$B$6=0,0,'Demanda puesto sin sobrestock'!$P$237/(parametros_manuales!$M$38*J49*J77*parametros_manuales!$B$6))</f>
        <v>0.6053682524975</v>
      </c>
      <c r="K21" s="45" t="n">
        <f aca="false">IF(K49*K77*parametros_manuales!$M$38*parametros_manuales!$B$6=0,0,'Demanda puesto sin sobrestock'!$P$264/(parametros_manuales!$M$38*K49*K77*parametros_manuales!$B$6))</f>
        <v>0.6884579060275</v>
      </c>
      <c r="L21" s="44" t="s">
        <v>83</v>
      </c>
    </row>
    <row r="22" customFormat="false" ht="14.25" hidden="false" customHeight="true" outlineLevel="0" collapsed="false">
      <c r="A22" s="44" t="str">
        <f aca="false">parametros_manuales!$B$39</f>
        <v>Ensamblaje</v>
      </c>
      <c r="B22" s="45" t="n">
        <f aca="false">IF(B50*B78*parametros_manuales!$M$39*parametros_manuales!$B$6=0,0,'Demanda puesto sin sobrestock'!$P$22/(parametros_manuales!$M$39*B50*B78*parametros_manuales!$B$6))</f>
        <v>0.149679186872229</v>
      </c>
      <c r="C22" s="45" t="n">
        <f aca="false">IF(C50*C78*parametros_manuales!$M$39*parametros_manuales!$B$6=0,0,'Demanda puesto sin sobrestock'!$P$49/(parametros_manuales!$M$39*C50*C78*parametros_manuales!$B$6))</f>
        <v>0.23478170745098</v>
      </c>
      <c r="D22" s="45" t="n">
        <f aca="false">IF(D50*D78*parametros_manuales!$M$39*parametros_manuales!$B$6=0,0,'Demanda puesto sin sobrestock'!$P$76/(parametros_manuales!$M$39*D50*D78*parametros_manuales!$B$6))</f>
        <v>0.287997967210407</v>
      </c>
      <c r="E22" s="45" t="n">
        <f aca="false">IF(E50*E78*parametros_manuales!$M$39*parametros_manuales!$B$6=0,0,'Demanda puesto sin sobrestock'!$P$103/(parametros_manuales!$M$39*E50*E78*parametros_manuales!$B$6))</f>
        <v>0.374263160595965</v>
      </c>
      <c r="F22" s="45" t="n">
        <f aca="false">IF(F50*F78*parametros_manuales!$M$39*parametros_manuales!$B$6=0,0,'Demanda puesto sin sobrestock'!$P$130/(parametros_manuales!$M$39*F50*F78*parametros_manuales!$B$6))</f>
        <v>0.574411337701546</v>
      </c>
      <c r="G22" s="45" t="n">
        <f aca="false">IF(G50*G78*parametros_manuales!$M$39*parametros_manuales!$B$6=0,0,'Demanda puesto sin sobrestock'!$P$157/(parametros_manuales!$M$39*G50*G78*parametros_manuales!$B$6))</f>
        <v>0.744914755201735</v>
      </c>
      <c r="H22" s="46" t="n">
        <f aca="false">IF(H50*H78*parametros_manuales!$M$39*parametros_manuales!$B$6=0,0,'Demanda puesto sin sobrestock'!$P$184/(parametros_manuales!$M$39*H50*H78*parametros_manuales!$B$6))</f>
        <v>0.48103600501414</v>
      </c>
      <c r="I22" s="45" t="n">
        <f aca="false">IF(I50*I78*parametros_manuales!$M$39*parametros_manuales!$B$6=0,0,'Demanda puesto sin sobrestock'!$P$211/(parametros_manuales!$M$39*I50*I78*parametros_manuales!$B$6))</f>
        <v>0.595086215327112</v>
      </c>
      <c r="J22" s="45" t="n">
        <f aca="false">IF(J50*J78*parametros_manuales!$M$39*parametros_manuales!$B$6=0,0,'Demanda puesto sin sobrestock'!$P$238/(parametros_manuales!$M$39*J50*J78*parametros_manuales!$B$6))</f>
        <v>0.68480571549491</v>
      </c>
      <c r="K22" s="45" t="n">
        <f aca="false">IF(K50*K78*parametros_manuales!$M$39*parametros_manuales!$B$6=0,0,'Demanda puesto sin sobrestock'!$P$265/(parametros_manuales!$M$39*K50*K78*parametros_manuales!$B$6))</f>
        <v>0.778798536230204</v>
      </c>
      <c r="L22" s="44" t="s">
        <v>202</v>
      </c>
    </row>
    <row r="23" customFormat="false" ht="14.25" hidden="false" customHeight="true" outlineLevel="0" collapsed="false">
      <c r="A23" s="44" t="str">
        <f aca="false">parametros_manuales!$B$40</f>
        <v>Presurización</v>
      </c>
      <c r="B23" s="45" t="n">
        <f aca="false">IF(B51*B79*parametros_manuales!$M$40*parametros_manuales!$B$6=0,0,'Demanda puesto sin sobrestock'!$P$23/(parametros_manuales!$M$40*B51*B79*parametros_manuales!$B$6))</f>
        <v>0.0441054670650167</v>
      </c>
      <c r="C23" s="45" t="n">
        <f aca="false">IF(C51*C79*parametros_manuales!$M$40*parametros_manuales!$B$6=0,0,'Demanda puesto sin sobrestock'!$P$50/(parametros_manuales!$M$40*C51*C79*parametros_manuales!$B$6))</f>
        <v>0.0691823431288889</v>
      </c>
      <c r="D23" s="45" t="n">
        <f aca="false">IF(D51*D79*parametros_manuales!$M$40*parametros_manuales!$B$6=0,0,'Demanda puesto sin sobrestock'!$P$77/(parametros_manuales!$M$40*D51*D79*parametros_manuales!$B$6))</f>
        <v>0.0848634010046667</v>
      </c>
      <c r="E23" s="45" t="n">
        <f aca="false">IF(E51*E79*parametros_manuales!$M$40*parametros_manuales!$B$6=0,0,'Demanda puesto sin sobrestock'!$P$104/(parametros_manuales!$M$40*E51*E79*parametros_manuales!$B$6))</f>
        <v>0.110282877988944</v>
      </c>
      <c r="F23" s="45" t="n">
        <f aca="false">IF(F51*F79*parametros_manuales!$M$40*parametros_manuales!$B$6=0,0,'Demanda puesto sin sobrestock'!$P$131/(parametros_manuales!$M$40*F51*F79*parametros_manuales!$B$6))</f>
        <v>0.169259874176056</v>
      </c>
      <c r="G23" s="45" t="n">
        <f aca="false">IF(G51*G79*parametros_manuales!$M$40*parametros_manuales!$B$6=0,0,'Demanda puesto sin sobrestock'!$P$158/(parametros_manuales!$M$40*G51*G79*parametros_manuales!$B$6))</f>
        <v>0.219501547866111</v>
      </c>
      <c r="H23" s="45" t="n">
        <f aca="false">IF(H51*H79*parametros_manuales!$M$40*parametros_manuales!$B$6=0,0,'Demanda puesto sin sobrestock'!$P$185/(parametros_manuales!$M$40*H51*H79*parametros_manuales!$B$6))</f>
        <v>0.283490552288333</v>
      </c>
      <c r="I23" s="45" t="n">
        <f aca="false">IF(I51*I79*parametros_manuales!$M$40*parametros_manuales!$B$6=0,0,'Demanda puesto sin sobrestock'!$P$212/(parametros_manuales!$M$40*I51*I79*parametros_manuales!$B$6))</f>
        <v>0.350704142899444</v>
      </c>
      <c r="J23" s="45" t="n">
        <f aca="false">IF(J51*J79*parametros_manuales!$M$40*parametros_manuales!$B$6=0,0,'Demanda puesto sin sobrestock'!$P$239/(parametros_manuales!$M$40*J51*J79*parametros_manuales!$B$6))</f>
        <v>0.403578834998333</v>
      </c>
      <c r="K23" s="45" t="n">
        <f aca="false">IF(K51*K79*parametros_manuales!$M$40*parametros_manuales!$B$6=0,0,'Demanda puesto sin sobrestock'!$P$266/(parametros_manuales!$M$40*K51*K79*parametros_manuales!$B$6))</f>
        <v>0.458971937351667</v>
      </c>
      <c r="L23" s="44" t="s">
        <v>83</v>
      </c>
    </row>
    <row r="24" customFormat="false" ht="14.25" hidden="false" customHeight="true" outlineLevel="0" collapsed="false">
      <c r="A24" s="44" t="str">
        <f aca="false">parametros_manuales!$B$41</f>
        <v>Control de calidad — Ensayo de pérdidas</v>
      </c>
      <c r="B24" s="45" t="n">
        <f aca="false">IF(B52*B80*parametros_manuales!$M$41*parametros_manuales!$B$6=0,0,'Demanda puesto sin sobrestock'!$P$24/(parametros_manuales!$M$41*B52*B80*parametros_manuales!$B$6))</f>
        <v>0.0808600229525306</v>
      </c>
      <c r="C24" s="45" t="n">
        <f aca="false">IF(C52*C80*parametros_manuales!$M$41*parametros_manuales!$B$6=0,0,'Demanda puesto sin sobrestock'!$P$51/(parametros_manuales!$M$41*C52*C80*parametros_manuales!$B$6))</f>
        <v>0.126834295736296</v>
      </c>
      <c r="D24" s="45" t="n">
        <f aca="false">IF(D52*D80*parametros_manuales!$M$41*parametros_manuales!$B$6=0,0,'Demanda puesto sin sobrestock'!$P$78/(parametros_manuales!$M$41*D52*D80*parametros_manuales!$B$6))</f>
        <v>0.155582901841889</v>
      </c>
      <c r="E24" s="45" t="n">
        <f aca="false">IF(E52*E80*parametros_manuales!$M$41*parametros_manuales!$B$6=0,0,'Demanda puesto sin sobrestock'!$P$105/(parametros_manuales!$M$41*E52*E80*parametros_manuales!$B$6))</f>
        <v>0.202185276313065</v>
      </c>
      <c r="F24" s="45" t="n">
        <f aca="false">IF(F52*F80*parametros_manuales!$M$41*parametros_manuales!$B$6=0,0,'Demanda puesto sin sobrestock'!$P$132/(parametros_manuales!$M$41*F52*F80*parametros_manuales!$B$6))</f>
        <v>0.310309769322769</v>
      </c>
      <c r="G24" s="45" t="n">
        <f aca="false">IF(G52*G80*parametros_manuales!$M$41*parametros_manuales!$B$6=0,0,'Demanda puesto sin sobrestock'!$P$159/(parametros_manuales!$M$41*G52*G80*parametros_manuales!$B$6))</f>
        <v>0.402419504421204</v>
      </c>
      <c r="H24" s="45" t="n">
        <f aca="false">IF(H52*H80*parametros_manuales!$M$41*parametros_manuales!$B$6=0,0,'Demanda puesto sin sobrestock'!$P$186/(parametros_manuales!$M$41*H52*H80*parametros_manuales!$B$6))</f>
        <v>0.259866339597639</v>
      </c>
      <c r="I24" s="45" t="n">
        <f aca="false">IF(I52*I80*parametros_manuales!$M$41*parametros_manuales!$B$6=0,0,'Demanda puesto sin sobrestock'!$P$213/(parametros_manuales!$M$41*I52*I80*parametros_manuales!$B$6))</f>
        <v>0.321478797657824</v>
      </c>
      <c r="J24" s="46" t="n">
        <f aca="false">IF(J52*J80*parametros_manuales!$M$41*parametros_manuales!$B$6=0,0,'Demanda puesto sin sobrestock'!$P$240/(parametros_manuales!$M$41*J52*J80*parametros_manuales!$B$6))</f>
        <v>0.369947265415139</v>
      </c>
      <c r="K24" s="45" t="n">
        <f aca="false">IF(K52*K80*parametros_manuales!$M$41*parametros_manuales!$B$6=0,0,'Demanda puesto sin sobrestock'!$P$267/(parametros_manuales!$M$41*K52*K80*parametros_manuales!$B$6))</f>
        <v>0.420724275905695</v>
      </c>
      <c r="L24" s="44" t="s">
        <v>83</v>
      </c>
    </row>
    <row r="25" customFormat="false" ht="14.25" hidden="false" customHeight="true" outlineLevel="0" collapsed="false">
      <c r="A25" s="44" t="str">
        <f aca="false">parametros_manuales!$B$42</f>
        <v>Etiquetado</v>
      </c>
      <c r="B25" s="45" t="n">
        <f aca="false">IF(B53*B81*parametros_manuales!$M$42*parametros_manuales!$B$6=0,0,'Demanda puesto sin sobrestock'!$P$25/(parametros_manuales!$M$42*B53*B81*parametros_manuales!$B$6))</f>
        <v>0.0882109341300333</v>
      </c>
      <c r="C25" s="45" t="n">
        <f aca="false">IF(C53*C81*parametros_manuales!$M$42*parametros_manuales!$B$6=0,0,'Demanda puesto sin sobrestock'!$P$52/(parametros_manuales!$M$42*C53*C81*parametros_manuales!$B$6))</f>
        <v>0.138364686257778</v>
      </c>
      <c r="D25" s="45" t="n">
        <f aca="false">IF(D53*D81*parametros_manuales!$M$42*parametros_manuales!$B$6=0,0,'Demanda puesto sin sobrestock'!$P$79/(parametros_manuales!$M$42*D53*D81*parametros_manuales!$B$6))</f>
        <v>0.169726802009333</v>
      </c>
      <c r="E25" s="45" t="n">
        <f aca="false">IF(E53*E81*parametros_manuales!$M$42*parametros_manuales!$B$6=0,0,'Demanda puesto sin sobrestock'!$P$106/(parametros_manuales!$M$42*E53*E81*parametros_manuales!$B$6))</f>
        <v>0.220565755977889</v>
      </c>
      <c r="F25" s="45" t="n">
        <f aca="false">IF(F53*F81*parametros_manuales!$M$42*parametros_manuales!$B$6=0,0,'Demanda puesto sin sobrestock'!$P$133/(parametros_manuales!$M$42*F53*F81*parametros_manuales!$B$6))</f>
        <v>0.338519748352111</v>
      </c>
      <c r="G25" s="45" t="n">
        <f aca="false">IF(G53*G81*parametros_manuales!$M$42*parametros_manuales!$B$6=0,0,'Demanda puesto sin sobrestock'!$P$160/(parametros_manuales!$M$42*G53*G81*parametros_manuales!$B$6))</f>
        <v>0.439003095732222</v>
      </c>
      <c r="H25" s="45" t="n">
        <f aca="false">IF(H53*H81*parametros_manuales!$M$42*parametros_manuales!$B$6=0,0,'Demanda puesto sin sobrestock'!$P$187/(parametros_manuales!$M$42*H53*H81*parametros_manuales!$B$6))</f>
        <v>0.283490552288333</v>
      </c>
      <c r="I25" s="45" t="n">
        <f aca="false">IF(I53*I81*parametros_manuales!$M$42*parametros_manuales!$B$6=0,0,'Demanda puesto sin sobrestock'!$P$214/(parametros_manuales!$M$42*I53*I81*parametros_manuales!$B$6))</f>
        <v>0.350704142899444</v>
      </c>
      <c r="J25" s="45" t="n">
        <f aca="false">IF(J53*J81*parametros_manuales!$M$42*parametros_manuales!$B$6=0,0,'Demanda puesto sin sobrestock'!$P$241/(parametros_manuales!$M$42*J53*J81*parametros_manuales!$B$6))</f>
        <v>0.403578834998333</v>
      </c>
      <c r="K25" s="45" t="n">
        <f aca="false">IF(K53*K81*parametros_manuales!$M$42*parametros_manuales!$B$6=0,0,'Demanda puesto sin sobrestock'!$P$268/(parametros_manuales!$M$42*K53*K81*parametros_manuales!$B$6))</f>
        <v>0.458971937351667</v>
      </c>
      <c r="L25" s="44" t="s">
        <v>83</v>
      </c>
    </row>
    <row r="26" customFormat="false" ht="14.25" hidden="false" customHeight="true" outlineLevel="0" collapsed="false">
      <c r="A26" s="44" t="str">
        <f aca="false">parametros_manuales!$B$43</f>
        <v>Embalaje y paletizado</v>
      </c>
      <c r="B26" s="45" t="n">
        <f aca="false">IF(B54*B82*parametros_manuales!$M$43*parametros_manuales!$B$6=0,0,'Demanda puesto sin sobrestock'!$P$26/(parametros_manuales!$M$43*B54*B82*parametros_manuales!$B$6))</f>
        <v>0.0670105162979512</v>
      </c>
      <c r="C26" s="45" t="n">
        <f aca="false">IF(C54*C82*parametros_manuales!$M$43*parametros_manuales!$B$6=0,0,'Demanda puesto sin sobrestock'!$P$53/(parametros_manuales!$M$43*C54*C82*parametros_manuales!$B$6))</f>
        <v>0.105464846663677</v>
      </c>
      <c r="D26" s="45" t="n">
        <f aca="false">IF(D54*D82*parametros_manuales!$M$43*parametros_manuales!$B$6=0,0,'Demanda puesto sin sobrestock'!$P$80/(parametros_manuales!$M$43*D54*D82*parametros_manuales!$B$6))</f>
        <v>0.224370035152803</v>
      </c>
      <c r="E26" s="45" t="n">
        <f aca="false">IF(E54*E82*parametros_manuales!$M$43*parametros_manuales!$B$6=0,0,'Demanda puesto sin sobrestock'!$P$107/(parametros_manuales!$M$43*E54*E82*parametros_manuales!$B$6))</f>
        <v>0.498636743593133</v>
      </c>
      <c r="F26" s="45" t="n">
        <f aca="false">IF(F54*F82*parametros_manuales!$M$43*parametros_manuales!$B$6=0,0,'Demanda puesto sin sobrestock'!$P$134/(parametros_manuales!$M$43*F54*F82*parametros_manuales!$B$6))</f>
        <v>0.868671939616228</v>
      </c>
      <c r="G26" s="46" t="n">
        <f aca="false">IF(G54*G82*parametros_manuales!$M$43*parametros_manuales!$B$6=0,0,'Demanda puesto sin sobrestock'!$P$161/(parametros_manuales!$M$43*G54*G82*parametros_manuales!$B$6))</f>
        <v>0.609819730728279</v>
      </c>
      <c r="H26" s="45" t="n">
        <f aca="false">IF(H54*H82*parametros_manuales!$M$43*parametros_manuales!$B$6=0,0,'Demanda puesto sin sobrestock'!$P$188/(parametros_manuales!$M$43*H54*H82*parametros_manuales!$B$6))</f>
        <v>0.420449561544072</v>
      </c>
      <c r="I26" s="46" t="n">
        <f aca="false">IF(I54*I82*parametros_manuales!$M$43*parametros_manuales!$B$6=0,0,'Demanda puesto sin sobrestock'!$P$215/(parametros_manuales!$M$43*I54*I82*parametros_manuales!$B$6))</f>
        <v>0.537441006982693</v>
      </c>
      <c r="J26" s="45" t="n">
        <f aca="false">IF(J54*J82*parametros_manuales!$M$43*parametros_manuales!$B$6=0,0,'Demanda puesto sin sobrestock'!$P$242/(parametros_manuales!$M$43*J54*J82*parametros_manuales!$B$6))</f>
        <v>0.606241694856432</v>
      </c>
      <c r="K26" s="45" t="n">
        <f aca="false">IF(K54*K82*parametros_manuales!$M$43*parametros_manuales!$B$6=0,0,'Demanda puesto sin sobrestock'!$P$269/(parametros_manuales!$M$43*K54*K82*parametros_manuales!$B$6))</f>
        <v>0.700448451632497</v>
      </c>
      <c r="L26" s="44" t="s">
        <v>202</v>
      </c>
    </row>
    <row r="27" customFormat="false" ht="14.25" hidden="false" customHeight="true" outlineLevel="0" collapsed="false">
      <c r="A27" s="10" t="s">
        <v>209</v>
      </c>
      <c r="B27" s="54" t="n">
        <f aca="false">MAX(B2:B26)</f>
        <v>0.177106312704511</v>
      </c>
      <c r="C27" s="54" t="n">
        <f aca="false">MAX(C2:C26)</f>
        <v>0.278739683626667</v>
      </c>
      <c r="D27" s="54" t="n">
        <f aca="false">MAX(D2:D26)</f>
        <v>0.593001692907556</v>
      </c>
      <c r="E27" s="54" t="n">
        <f aca="false">MAX(E2:E26)</f>
        <v>0.670865724411878</v>
      </c>
      <c r="F27" s="54" t="n">
        <f aca="false">MAX(F2:F26)</f>
        <v>0.868671939616228</v>
      </c>
      <c r="G27" s="54" t="n">
        <f aca="false">MAX(G2:G26)</f>
        <v>0.869735911630725</v>
      </c>
      <c r="H27" s="54" t="n">
        <f aca="false">MAX(H2:H26)</f>
        <v>0.489098863976673</v>
      </c>
      <c r="I27" s="54" t="n">
        <f aca="false">MAX(I2:I26)</f>
        <v>0.625192199046117</v>
      </c>
      <c r="J27" s="54" t="n">
        <f aca="false">MAX(J2:J26)</f>
        <v>0.70522638473127</v>
      </c>
      <c r="K27" s="54" t="n">
        <f aca="false">MAX(K2:K26)</f>
        <v>0.814814839405565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7" t="s">
        <v>210</v>
      </c>
      <c r="B29" s="7" t="n">
        <v>2026</v>
      </c>
      <c r="C29" s="7" t="n">
        <v>2027</v>
      </c>
      <c r="D29" s="7" t="n">
        <v>2028</v>
      </c>
      <c r="E29" s="7" t="n">
        <v>2029</v>
      </c>
      <c r="F29" s="7" t="n">
        <v>2030</v>
      </c>
      <c r="G29" s="7" t="n">
        <v>2031</v>
      </c>
      <c r="H29" s="7" t="n">
        <v>2032</v>
      </c>
      <c r="I29" s="7" t="n">
        <v>2033</v>
      </c>
      <c r="J29" s="7" t="n">
        <v>2034</v>
      </c>
      <c r="K29" s="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3</v>
      </c>
      <c r="H30" s="41" t="n">
        <v>3</v>
      </c>
      <c r="I30" s="41" t="n">
        <v>3</v>
      </c>
      <c r="J30" s="41" t="n">
        <v>3</v>
      </c>
      <c r="K30" s="41" t="n">
        <v>3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2</v>
      </c>
      <c r="G34" s="41" t="n">
        <v>2</v>
      </c>
      <c r="H34" s="41" t="n">
        <v>3</v>
      </c>
      <c r="I34" s="41" t="n">
        <v>3</v>
      </c>
      <c r="J34" s="41" t="n">
        <v>3</v>
      </c>
      <c r="K34" s="41" t="n">
        <v>3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2</v>
      </c>
      <c r="I38" s="41" t="n">
        <v>2</v>
      </c>
      <c r="J38" s="41" t="n">
        <v>2</v>
      </c>
      <c r="K38" s="41" t="n">
        <v>2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2</v>
      </c>
      <c r="I39" s="41" t="n">
        <v>2</v>
      </c>
      <c r="J39" s="41" t="n">
        <v>2</v>
      </c>
      <c r="K39" s="41" t="n">
        <v>2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2</v>
      </c>
      <c r="G41" s="41" t="n">
        <v>2</v>
      </c>
      <c r="H41" s="41" t="n">
        <v>3</v>
      </c>
      <c r="I41" s="41" t="n">
        <v>3</v>
      </c>
      <c r="J41" s="41" t="n">
        <v>3</v>
      </c>
      <c r="K41" s="41" t="n">
        <v>3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2</v>
      </c>
      <c r="G43" s="41" t="n">
        <v>2</v>
      </c>
      <c r="H43" s="41" t="n">
        <v>3</v>
      </c>
      <c r="I43" s="41" t="n">
        <v>3</v>
      </c>
      <c r="J43" s="41" t="n">
        <v>3</v>
      </c>
      <c r="K43" s="41" t="n">
        <v>3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3</v>
      </c>
      <c r="G44" s="41" t="n">
        <v>4</v>
      </c>
      <c r="H44" s="41" t="n">
        <v>5</v>
      </c>
      <c r="I44" s="41" t="n">
        <v>5</v>
      </c>
      <c r="J44" s="41" t="n">
        <v>5</v>
      </c>
      <c r="K44" s="41" t="n">
        <v>5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2</v>
      </c>
      <c r="I45" s="41" t="n">
        <v>2</v>
      </c>
      <c r="J45" s="41" t="n">
        <v>2</v>
      </c>
      <c r="K45" s="41" t="n">
        <v>2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0</v>
      </c>
      <c r="C48" s="41" t="n">
        <v>0</v>
      </c>
      <c r="D48" s="41" t="n">
        <v>0</v>
      </c>
      <c r="E48" s="41" t="n">
        <v>0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211</v>
      </c>
      <c r="B55" s="55" t="n">
        <f aca="false">SUM(B30:B54)</f>
        <v>24</v>
      </c>
      <c r="C55" s="55" t="n">
        <f aca="false">SUM(C30:C54)</f>
        <v>24</v>
      </c>
      <c r="D55" s="55" t="n">
        <f aca="false">SUM(D30:D54)</f>
        <v>24</v>
      </c>
      <c r="E55" s="55" t="n">
        <f aca="false">SUM(E30:E54)</f>
        <v>25</v>
      </c>
      <c r="F55" s="55" t="n">
        <f aca="false">SUM(F30:F54)</f>
        <v>31</v>
      </c>
      <c r="G55" s="55" t="n">
        <f aca="false">SUM(G30:G54)</f>
        <v>34</v>
      </c>
      <c r="H55" s="55" t="n">
        <f aca="false">SUM(H30:H54)</f>
        <v>41</v>
      </c>
      <c r="I55" s="55" t="n">
        <f aca="false">SUM(I30:I54)</f>
        <v>41</v>
      </c>
      <c r="J55" s="55" t="n">
        <f aca="false">SUM(J30:J54)</f>
        <v>41</v>
      </c>
      <c r="K55" s="55" t="n">
        <f aca="false">SUM(K30:K54)</f>
        <v>41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7" t="s">
        <v>212</v>
      </c>
      <c r="B57" s="7" t="n">
        <v>2026</v>
      </c>
      <c r="C57" s="7" t="n">
        <v>2027</v>
      </c>
      <c r="D57" s="7" t="n">
        <v>2028</v>
      </c>
      <c r="E57" s="7" t="n">
        <v>2029</v>
      </c>
      <c r="F57" s="7" t="n">
        <v>2030</v>
      </c>
      <c r="G57" s="7" t="n">
        <v>2031</v>
      </c>
      <c r="H57" s="7" t="n">
        <v>2032</v>
      </c>
      <c r="I57" s="7" t="n">
        <v>2033</v>
      </c>
      <c r="J57" s="7" t="n">
        <v>2034</v>
      </c>
      <c r="K57" s="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2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2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2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2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2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2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2</v>
      </c>
      <c r="I80" s="41" t="n">
        <v>2</v>
      </c>
      <c r="J80" s="41" t="n">
        <v>2</v>
      </c>
      <c r="K80" s="41" t="n">
        <v>2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2</v>
      </c>
      <c r="I81" s="41" t="n">
        <v>2</v>
      </c>
      <c r="J81" s="41" t="n">
        <v>2</v>
      </c>
      <c r="K81" s="41" t="n">
        <v>2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2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213</v>
      </c>
      <c r="B83" s="55" t="n">
        <f aca="false">MAX(B58:B82)</f>
        <v>1</v>
      </c>
      <c r="C83" s="55" t="n">
        <f aca="false">MAX(C58:C82)</f>
        <v>1</v>
      </c>
      <c r="D83" s="55" t="n">
        <f aca="false">MAX(D58:D82)</f>
        <v>1</v>
      </c>
      <c r="E83" s="55" t="n">
        <f aca="false">MAX(E58:E82)</f>
        <v>1</v>
      </c>
      <c r="F83" s="55" t="n">
        <f aca="false">MAX(F58:F82)</f>
        <v>1</v>
      </c>
      <c r="G83" s="55" t="n">
        <f aca="false">MAX(G58:G82)</f>
        <v>1</v>
      </c>
      <c r="H83" s="55" t="n">
        <f aca="false">MAX(H58:H82)</f>
        <v>2</v>
      </c>
      <c r="I83" s="55" t="n">
        <f aca="false">MAX(I58:I82)</f>
        <v>2</v>
      </c>
      <c r="J83" s="55" t="n">
        <f aca="false">MAX(J58:J82)</f>
        <v>2</v>
      </c>
      <c r="K83" s="55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7" t="s">
        <v>187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7" t="s">
        <v>68</v>
      </c>
      <c r="J1" s="7" t="s">
        <v>69</v>
      </c>
      <c r="K1" s="7" t="s">
        <v>70</v>
      </c>
      <c r="L1" s="7" t="s">
        <v>71</v>
      </c>
      <c r="M1" s="7" t="s">
        <v>72</v>
      </c>
      <c r="N1" s="7" t="s">
        <v>183</v>
      </c>
      <c r="O1" s="7" t="s">
        <v>188</v>
      </c>
      <c r="P1" s="7" t="s">
        <v>189</v>
      </c>
      <c r="Q1" s="7" t="s">
        <v>190</v>
      </c>
      <c r="S1" s="56" t="s">
        <v>214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datos_base!$B$2+datos_base!$B$18+IF(parametros_manuales!$H$19="Todos",datos_base!$B$9+datos_base!$B$23,0))*parametros_manuales!$B$95+parametros_manuales!$E$19*(datos_base!$B$3+datos_base!$B$19+IF(parametros_manuales!$H$19="Todos",datos_base!$B$10+datos_base!$B$24,0))*parametros_manuales!$B$100+parametros_manuales!$F$19*(datos_base!$B$4+datos_base!$B$20+IF(parametros_manuales!$H$19="Todos",datos_base!$B$11+datos_base!$B$25,0))*parametros_manuales!$B$105+parametros_manuales!$G$19*(datos_base!$B$5+datos_base!$B$21+IF(parametros_manuales!$H$19="Todos",datos_base!$B$12+datos_base!$B$26,0))*parametros_manuales!$B$110)*parametros_manuales!$I$19*parametros_manuales!$J$19</f>
        <v>617.8835796057</v>
      </c>
      <c r="C2" s="9" t="n">
        <f aca="false">(parametros_manuales!$D$19*(datos_base!$B$2+datos_base!$B$18+IF(parametros_manuales!$H$19="Todos",datos_base!$B$9+datos_base!$B$23,0))*parametros_manuales!$C$95+parametros_manuales!$E$19*(datos_base!$B$3+datos_base!$B$19+IF(parametros_manuales!$H$19="Todos",datos_base!$B$10+datos_base!$B$24,0))*parametros_manuales!$C$100+parametros_manuales!$F$19*(datos_base!$B$4+datos_base!$B$20+IF(parametros_manuales!$H$19="Todos",datos_base!$B$11+datos_base!$B$25,0))*parametros_manuales!$C$105+parametros_manuales!$G$19*(datos_base!$B$5+datos_base!$B$21+IF(parametros_manuales!$H$19="Todos",datos_base!$B$12+datos_base!$B$26,0))*parametros_manuales!$C$110)*parametros_manuales!$I$19*parametros_manuales!$J$19</f>
        <v>591.0172139684</v>
      </c>
      <c r="D2" s="9" t="n">
        <f aca="false">(parametros_manuales!$D$19*(datos_base!$B$2+datos_base!$B$18+IF(parametros_manuales!$H$19="Todos",datos_base!$B$9+datos_base!$B$23,0))*parametros_manuales!$D$95+parametros_manuales!$E$19*(datos_base!$B$3+datos_base!$B$19+IF(parametros_manuales!$H$19="Todos",datos_base!$B$10+datos_base!$B$24,0))*parametros_manuales!$D$100+parametros_manuales!$F$19*(datos_base!$B$4+datos_base!$B$20+IF(parametros_manuales!$H$19="Todos",datos_base!$B$11+datos_base!$B$25,0))*parametros_manuales!$D$105+parametros_manuales!$G$19*(datos_base!$B$5+datos_base!$B$21+IF(parametros_manuales!$H$19="Todos",datos_base!$B$12+datos_base!$B$26,0))*parametros_manuales!$D$110)*parametros_manuales!$I$19*parametros_manuales!$J$19</f>
        <v>562.66303135705</v>
      </c>
      <c r="E2" s="9" t="n">
        <f aca="false">(parametros_manuales!$D$19*(datos_base!$B$2+datos_base!$B$18+IF(parametros_manuales!$H$19="Todos",datos_base!$B$9+datos_base!$B$23,0))*parametros_manuales!$E$95+parametros_manuales!$E$19*(datos_base!$B$3+datos_base!$B$19+IF(parametros_manuales!$H$19="Todos",datos_base!$B$10+datos_base!$B$24,0))*parametros_manuales!$E$100+parametros_manuales!$F$19*(datos_base!$B$4+datos_base!$B$20+IF(parametros_manuales!$H$19="Todos",datos_base!$B$11+datos_base!$B$25,0))*parametros_manuales!$E$105+parametros_manuales!$G$19*(datos_base!$B$5+datos_base!$B$21+IF(parametros_manuales!$H$19="Todos",datos_base!$B$12+datos_base!$B$26,0))*parametros_manuales!$E$110)*parametros_manuales!$I$19*parametros_manuales!$J$19</f>
        <v>541.76934864205</v>
      </c>
      <c r="F2" s="9" t="n">
        <f aca="false">(parametros_manuales!$D$19*(datos_base!$B$2+datos_base!$B$18+IF(parametros_manuales!$H$19="Todos",datos_base!$B$9+datos_base!$B$23,0))*parametros_manuales!$F$95+parametros_manuales!$E$19*(datos_base!$B$3+datos_base!$B$19+IF(parametros_manuales!$H$19="Todos",datos_base!$B$10+datos_base!$B$24,0))*parametros_manuales!$F$100+parametros_manuales!$F$19*(datos_base!$B$4+datos_base!$B$20+IF(parametros_manuales!$H$19="Todos",datos_base!$B$11+datos_base!$B$25,0))*parametros_manuales!$F$105+parametros_manuales!$G$19*(datos_base!$B$5+datos_base!$B$21+IF(parametros_manuales!$H$19="Todos",datos_base!$B$12+datos_base!$B$26,0))*parametros_manuales!$F$110)*parametros_manuales!$I$19*parametros_manuales!$J$19</f>
        <v>507.4424831084</v>
      </c>
      <c r="G2" s="9" t="n">
        <f aca="false">(parametros_manuales!$D$19*(datos_base!$B$2+datos_base!$B$18+IF(parametros_manuales!$H$19="Todos",datos_base!$B$9+datos_base!$B$23,0))*parametros_manuales!$G$95+parametros_manuales!$E$19*(datos_base!$B$3+datos_base!$B$19+IF(parametros_manuales!$H$19="Todos",datos_base!$B$10+datos_base!$B$24,0))*parametros_manuales!$G$100+parametros_manuales!$F$19*(datos_base!$B$4+datos_base!$B$20+IF(parametros_manuales!$H$19="Todos",datos_base!$B$11+datos_base!$B$25,0))*parametros_manuales!$G$105+parametros_manuales!$G$19*(datos_base!$B$5+datos_base!$B$21+IF(parametros_manuales!$H$19="Todos",datos_base!$B$12+datos_base!$B$26,0))*parametros_manuales!$G$110)*parametros_manuales!$I$19*parametros_manuales!$J$19</f>
        <v>494.00930028975</v>
      </c>
      <c r="H2" s="9" t="n">
        <f aca="false">(parametros_manuales!$D$19*(datos_base!$B$2+datos_base!$B$18+IF(parametros_manuales!$H$19="Todos",datos_base!$B$9+datos_base!$B$23,0))*parametros_manuales!$H$95+parametros_manuales!$E$19*(datos_base!$B$3+datos_base!$B$19+IF(parametros_manuales!$H$19="Todos",datos_base!$B$10+datos_base!$B$24,0))*parametros_manuales!$H$100+parametros_manuales!$F$19*(datos_base!$B$4+datos_base!$B$20+IF(parametros_manuales!$H$19="Todos",datos_base!$B$11+datos_base!$B$25,0))*parametros_manuales!$H$105+parametros_manuales!$G$19*(datos_base!$B$5+datos_base!$B$21+IF(parametros_manuales!$H$19="Todos",datos_base!$B$12+datos_base!$B$26,0))*parametros_manuales!$H$110)*parametros_manuales!$I$19*parametros_manuales!$J$19</f>
        <v>528.3361658234</v>
      </c>
      <c r="I2" s="9" t="n">
        <f aca="false">(parametros_manuales!$D$19*(datos_base!$B$2+datos_base!$B$18+IF(parametros_manuales!$H$19="Todos",datos_base!$B$9+datos_base!$B$23,0))*parametros_manuales!$I$95+parametros_manuales!$E$19*(datos_base!$B$3+datos_base!$B$19+IF(parametros_manuales!$H$19="Todos",datos_base!$B$10+datos_base!$B$24,0))*parametros_manuales!$I$100+parametros_manuales!$F$19*(datos_base!$B$4+datos_base!$B$20+IF(parametros_manuales!$H$19="Todos",datos_base!$B$11+datos_base!$B$25,0))*parametros_manuales!$I$105+parametros_manuales!$G$19*(datos_base!$B$5+datos_base!$B$21+IF(parametros_manuales!$H$19="Todos",datos_base!$B$12+datos_base!$B$26,0))*parametros_manuales!$I$110)*parametros_manuales!$I$19*parametros_manuales!$J$19</f>
        <v>591.0172139684</v>
      </c>
      <c r="J2" s="9" t="n">
        <f aca="false">(parametros_manuales!$D$19*(datos_base!$B$2+datos_base!$B$18+IF(parametros_manuales!$H$19="Todos",datos_base!$B$9+datos_base!$B$23,0))*parametros_manuales!$J$95+parametros_manuales!$E$19*(datos_base!$B$3+datos_base!$B$19+IF(parametros_manuales!$H$19="Todos",datos_base!$B$10+datos_base!$B$24,0))*parametros_manuales!$J$100+parametros_manuales!$F$19*(datos_base!$B$4+datos_base!$B$20+IF(parametros_manuales!$H$19="Todos",datos_base!$B$11+datos_base!$B$25,0))*parametros_manuales!$J$105+parametros_manuales!$G$19*(datos_base!$B$5+datos_base!$B$21+IF(parametros_manuales!$H$19="Todos",datos_base!$B$12+datos_base!$B$26,0))*parametros_manuales!$J$110)*parametros_manuales!$I$19*parametros_manuales!$J$19</f>
        <v>591.0172139684</v>
      </c>
      <c r="K2" s="9" t="n">
        <f aca="false">(parametros_manuales!$D$19*(datos_base!$B$2+datos_base!$B$18+IF(parametros_manuales!$H$19="Todos",datos_base!$B$9+datos_base!$B$23,0))*parametros_manuales!$K$95+parametros_manuales!$E$19*(datos_base!$B$3+datos_base!$B$19+IF(parametros_manuales!$H$19="Todos",datos_base!$B$10+datos_base!$B$24,0))*parametros_manuales!$K$100+parametros_manuales!$F$19*(datos_base!$B$4+datos_base!$B$20+IF(parametros_manuales!$H$19="Todos",datos_base!$B$11+datos_base!$B$25,0))*parametros_manuales!$K$105+parametros_manuales!$G$19*(datos_base!$B$5+datos_base!$B$21+IF(parametros_manuales!$H$19="Todos",datos_base!$B$12+datos_base!$B$26,0))*parametros_manuales!$K$110)*parametros_manuales!$I$19*parametros_manuales!$J$19</f>
        <v>604.45039678705</v>
      </c>
      <c r="L2" s="9" t="n">
        <f aca="false">(parametros_manuales!$D$19*(datos_base!$B$2+datos_base!$B$18+IF(parametros_manuales!$H$19="Todos",datos_base!$B$9+datos_base!$B$23,0))*parametros_manuales!$L$95+parametros_manuales!$E$19*(datos_base!$B$3+datos_base!$B$19+IF(parametros_manuales!$H$19="Todos",datos_base!$B$10+datos_base!$B$24,0))*parametros_manuales!$L$100+parametros_manuales!$F$19*(datos_base!$B$4+datos_base!$B$20+IF(parametros_manuales!$H$19="Todos",datos_base!$B$11+datos_base!$B$25,0))*parametros_manuales!$L$105+parametros_manuales!$G$19*(datos_base!$B$5+datos_base!$B$21+IF(parametros_manuales!$H$19="Todos",datos_base!$B$12+datos_base!$B$26,0))*parametros_manuales!$L$110)*parametros_manuales!$I$19*parametros_manuales!$J$19</f>
        <v>617.8835796057</v>
      </c>
      <c r="M2" s="9" t="n">
        <f aca="false">(parametros_manuales!$D$19*(datos_base!$B$2+datos_base!$B$18+IF(parametros_manuales!$H$19="Todos",datos_base!$B$9+datos_base!$B$23,0))*parametros_manuales!$M$95+parametros_manuales!$E$19*(datos_base!$B$3+datos_base!$B$19+IF(parametros_manuales!$H$19="Todos",datos_base!$B$10+datos_base!$B$24,0))*parametros_manuales!$M$100+parametros_manuales!$F$19*(datos_base!$B$4+datos_base!$B$20+IF(parametros_manuales!$H$19="Todos",datos_base!$B$11+datos_base!$B$25,0))*parametros_manuales!$M$105+parametros_manuales!$G$19*(datos_base!$B$5+datos_base!$B$21+IF(parametros_manuales!$H$19="Todos",datos_base!$B$12+datos_base!$B$26,0))*parametros_manuales!$M$110)*parametros_manuales!$I$19*parametros_manuales!$J$19</f>
        <v>617.8835796057</v>
      </c>
      <c r="N2" s="9" t="n">
        <f aca="false">SUM(B2:M2)</f>
        <v>6865.37310673</v>
      </c>
      <c r="O2" s="9" t="n">
        <f aca="false">MAX(B2:M2)</f>
        <v>617.8835796057</v>
      </c>
      <c r="P2" s="43" t="n">
        <f aca="false">O2/(parametros_manuales!$B$7)</f>
        <v>4.119223864038</v>
      </c>
      <c r="Q2" s="8" t="str">
        <f aca="false">IF(O2=0,"-",INDEX($B$1:$M$1,MATCH(O2,B2:M2,0)))</f>
        <v>Ene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datos_base!$B$2+datos_base!$B$18+IF(parametros_manuales!$H$20="Todos",datos_base!$B$9+datos_base!$B$23,0))*parametros_manuales!$B$95+parametros_manuales!$E$20*(datos_base!$B$3+datos_base!$B$19+IF(parametros_manuales!$H$20="Todos",datos_base!$B$10+datos_base!$B$24,0))*parametros_manuales!$B$100+parametros_manuales!$F$20*(datos_base!$B$4+datos_base!$B$20+IF(parametros_manuales!$H$20="Todos",datos_base!$B$11+datos_base!$B$25,0))*parametros_manuales!$B$105+parametros_manuales!$G$20*(datos_base!$B$5+datos_base!$B$21+IF(parametros_manuales!$H$20="Todos",datos_base!$B$12+datos_base!$B$26,0))*parametros_manuales!$B$110)*parametros_manuales!$I$20*parametros_manuales!$J$20</f>
        <v>241.7972907357</v>
      </c>
      <c r="C3" s="9" t="n">
        <f aca="false">(parametros_manuales!$D$20*(datos_base!$B$2+datos_base!$B$18+IF(parametros_manuales!$H$20="Todos",datos_base!$B$9+datos_base!$B$23,0))*parametros_manuales!$C$95+parametros_manuales!$E$20*(datos_base!$B$3+datos_base!$B$19+IF(parametros_manuales!$H$20="Todos",datos_base!$B$10+datos_base!$B$24,0))*parametros_manuales!$C$100+parametros_manuales!$F$20*(datos_base!$B$4+datos_base!$B$20+IF(parametros_manuales!$H$20="Todos",datos_base!$B$11+datos_base!$B$25,0))*parametros_manuales!$C$105+parametros_manuales!$G$20*(datos_base!$B$5+datos_base!$B$21+IF(parametros_manuales!$H$20="Todos",datos_base!$B$12+datos_base!$B$26,0))*parametros_manuales!$C$110)*parametros_manuales!$I$20*parametros_manuales!$J$20</f>
        <v>214.9309250984</v>
      </c>
      <c r="D3" s="9" t="n">
        <f aca="false">(parametros_manuales!$D$20*(datos_base!$B$2+datos_base!$B$18+IF(parametros_manuales!$H$20="Todos",datos_base!$B$9+datos_base!$B$23,0))*parametros_manuales!$D$95+parametros_manuales!$E$20*(datos_base!$B$3+datos_base!$B$19+IF(parametros_manuales!$H$20="Todos",datos_base!$B$10+datos_base!$B$24,0))*parametros_manuales!$D$100+parametros_manuales!$F$20*(datos_base!$B$4+datos_base!$B$20+IF(parametros_manuales!$H$20="Todos",datos_base!$B$11+datos_base!$B$25,0))*parametros_manuales!$D$105+parametros_manuales!$G$20*(datos_base!$B$5+datos_base!$B$21+IF(parametros_manuales!$H$20="Todos",datos_base!$B$12+datos_base!$B$26,0))*parametros_manuales!$D$110)*parametros_manuales!$I$20*parametros_manuales!$J$20</f>
        <v>228.36410791705</v>
      </c>
      <c r="E3" s="9" t="n">
        <f aca="false">(parametros_manuales!$D$20*(datos_base!$B$2+datos_base!$B$18+IF(parametros_manuales!$H$20="Todos",datos_base!$B$9+datos_base!$B$23,0))*parametros_manuales!$E$95+parametros_manuales!$E$20*(datos_base!$B$3+datos_base!$B$19+IF(parametros_manuales!$H$20="Todos",datos_base!$B$10+datos_base!$B$24,0))*parametros_manuales!$E$100+parametros_manuales!$F$20*(datos_base!$B$4+datos_base!$B$20+IF(parametros_manuales!$H$20="Todos",datos_base!$B$11+datos_base!$B$25,0))*parametros_manuales!$E$105+parametros_manuales!$G$20*(datos_base!$B$5+datos_base!$B$21+IF(parametros_manuales!$H$20="Todos",datos_base!$B$12+datos_base!$B$26,0))*parametros_manuales!$E$110)*parametros_manuales!$I$20*parametros_manuales!$J$20</f>
        <v>228.36410791705</v>
      </c>
      <c r="F3" s="9" t="n">
        <f aca="false">(parametros_manuales!$D$20*(datos_base!$B$2+datos_base!$B$18+IF(parametros_manuales!$H$20="Todos",datos_base!$B$9+datos_base!$B$23,0))*parametros_manuales!$F$95+parametros_manuales!$E$20*(datos_base!$B$3+datos_base!$B$19+IF(parametros_manuales!$H$20="Todos",datos_base!$B$10+datos_base!$B$24,0))*parametros_manuales!$F$100+parametros_manuales!$F$20*(datos_base!$B$4+datos_base!$B$20+IF(parametros_manuales!$H$20="Todos",datos_base!$B$11+datos_base!$B$25,0))*parametros_manuales!$F$105+parametros_manuales!$G$20*(datos_base!$B$5+datos_base!$B$21+IF(parametros_manuales!$H$20="Todos",datos_base!$B$12+datos_base!$B$26,0))*parametros_manuales!$F$110)*parametros_manuales!$I$20*parametros_manuales!$J$20</f>
        <v>214.9309250984</v>
      </c>
      <c r="G3" s="9" t="n">
        <f aca="false">(parametros_manuales!$D$20*(datos_base!$B$2+datos_base!$B$18+IF(parametros_manuales!$H$20="Todos",datos_base!$B$9+datos_base!$B$23,0))*parametros_manuales!$G$95+parametros_manuales!$E$20*(datos_base!$B$3+datos_base!$B$19+IF(parametros_manuales!$H$20="Todos",datos_base!$B$10+datos_base!$B$24,0))*parametros_manuales!$G$100+parametros_manuales!$F$20*(datos_base!$B$4+datos_base!$B$20+IF(parametros_manuales!$H$20="Todos",datos_base!$B$11+datos_base!$B$25,0))*parametros_manuales!$G$105+parametros_manuales!$G$20*(datos_base!$B$5+datos_base!$B$21+IF(parametros_manuales!$H$20="Todos",datos_base!$B$12+datos_base!$B$26,0))*parametros_manuales!$G$110)*parametros_manuales!$I$20*parametros_manuales!$J$20</f>
        <v>201.49774227975</v>
      </c>
      <c r="H3" s="9" t="n">
        <f aca="false">(parametros_manuales!$D$20*(datos_base!$B$2+datos_base!$B$18+IF(parametros_manuales!$H$20="Todos",datos_base!$B$9+datos_base!$B$23,0))*parametros_manuales!$H$95+parametros_manuales!$E$20*(datos_base!$B$3+datos_base!$B$19+IF(parametros_manuales!$H$20="Todos",datos_base!$B$10+datos_base!$B$24,0))*parametros_manuales!$H$100+parametros_manuales!$F$20*(datos_base!$B$4+datos_base!$B$20+IF(parametros_manuales!$H$20="Todos",datos_base!$B$11+datos_base!$B$25,0))*parametros_manuales!$H$105+parametros_manuales!$G$20*(datos_base!$B$5+datos_base!$B$21+IF(parametros_manuales!$H$20="Todos",datos_base!$B$12+datos_base!$B$26,0))*parametros_manuales!$H$110)*parametros_manuales!$I$20*parametros_manuales!$J$20</f>
        <v>214.9309250984</v>
      </c>
      <c r="I3" s="9" t="n">
        <f aca="false">(parametros_manuales!$D$20*(datos_base!$B$2+datos_base!$B$18+IF(parametros_manuales!$H$20="Todos",datos_base!$B$9+datos_base!$B$23,0))*parametros_manuales!$I$95+parametros_manuales!$E$20*(datos_base!$B$3+datos_base!$B$19+IF(parametros_manuales!$H$20="Todos",datos_base!$B$10+datos_base!$B$24,0))*parametros_manuales!$I$100+parametros_manuales!$F$20*(datos_base!$B$4+datos_base!$B$20+IF(parametros_manuales!$H$20="Todos",datos_base!$B$11+datos_base!$B$25,0))*parametros_manuales!$I$105+parametros_manuales!$G$20*(datos_base!$B$5+datos_base!$B$21+IF(parametros_manuales!$H$20="Todos",datos_base!$B$12+datos_base!$B$26,0))*parametros_manuales!$I$110)*parametros_manuales!$I$20*parametros_manuales!$J$20</f>
        <v>214.9309250984</v>
      </c>
      <c r="J3" s="9" t="n">
        <f aca="false">(parametros_manuales!$D$20*(datos_base!$B$2+datos_base!$B$18+IF(parametros_manuales!$H$20="Todos",datos_base!$B$9+datos_base!$B$23,0))*parametros_manuales!$J$95+parametros_manuales!$E$20*(datos_base!$B$3+datos_base!$B$19+IF(parametros_manuales!$H$20="Todos",datos_base!$B$10+datos_base!$B$24,0))*parametros_manuales!$J$100+parametros_manuales!$F$20*(datos_base!$B$4+datos_base!$B$20+IF(parametros_manuales!$H$20="Todos",datos_base!$B$11+datos_base!$B$25,0))*parametros_manuales!$J$105+parametros_manuales!$G$20*(datos_base!$B$5+datos_base!$B$21+IF(parametros_manuales!$H$20="Todos",datos_base!$B$12+datos_base!$B$26,0))*parametros_manuales!$J$110)*parametros_manuales!$I$20*parametros_manuales!$J$20</f>
        <v>214.9309250984</v>
      </c>
      <c r="K3" s="9" t="n">
        <f aca="false">(parametros_manuales!$D$20*(datos_base!$B$2+datos_base!$B$18+IF(parametros_manuales!$H$20="Todos",datos_base!$B$9+datos_base!$B$23,0))*parametros_manuales!$K$95+parametros_manuales!$E$20*(datos_base!$B$3+datos_base!$B$19+IF(parametros_manuales!$H$20="Todos",datos_base!$B$10+datos_base!$B$24,0))*parametros_manuales!$K$100+parametros_manuales!$F$20*(datos_base!$B$4+datos_base!$B$20+IF(parametros_manuales!$H$20="Todos",datos_base!$B$11+datos_base!$B$25,0))*parametros_manuales!$K$105+parametros_manuales!$G$20*(datos_base!$B$5+datos_base!$B$21+IF(parametros_manuales!$H$20="Todos",datos_base!$B$12+datos_base!$B$26,0))*parametros_manuales!$K$110)*parametros_manuales!$I$20*parametros_manuales!$J$20</f>
        <v>228.36410791705</v>
      </c>
      <c r="L3" s="9" t="n">
        <f aca="false">(parametros_manuales!$D$20*(datos_base!$B$2+datos_base!$B$18+IF(parametros_manuales!$H$20="Todos",datos_base!$B$9+datos_base!$B$23,0))*parametros_manuales!$L$95+parametros_manuales!$E$20*(datos_base!$B$3+datos_base!$B$19+IF(parametros_manuales!$H$20="Todos",datos_base!$B$10+datos_base!$B$24,0))*parametros_manuales!$L$100+parametros_manuales!$F$20*(datos_base!$B$4+datos_base!$B$20+IF(parametros_manuales!$H$20="Todos",datos_base!$B$11+datos_base!$B$25,0))*parametros_manuales!$L$105+parametros_manuales!$G$20*(datos_base!$B$5+datos_base!$B$21+IF(parametros_manuales!$H$20="Todos",datos_base!$B$12+datos_base!$B$26,0))*parametros_manuales!$L$110)*parametros_manuales!$I$20*parametros_manuales!$J$20</f>
        <v>241.7972907357</v>
      </c>
      <c r="M3" s="9" t="n">
        <f aca="false">(parametros_manuales!$D$20*(datos_base!$B$2+datos_base!$B$18+IF(parametros_manuales!$H$20="Todos",datos_base!$B$9+datos_base!$B$23,0))*parametros_manuales!$M$95+parametros_manuales!$E$20*(datos_base!$B$3+datos_base!$B$19+IF(parametros_manuales!$H$20="Todos",datos_base!$B$10+datos_base!$B$24,0))*parametros_manuales!$M$100+parametros_manuales!$F$20*(datos_base!$B$4+datos_base!$B$20+IF(parametros_manuales!$H$20="Todos",datos_base!$B$11+datos_base!$B$25,0))*parametros_manuales!$M$105+parametros_manuales!$G$20*(datos_base!$B$5+datos_base!$B$21+IF(parametros_manuales!$H$20="Todos",datos_base!$B$12+datos_base!$B$26,0))*parametros_manuales!$M$110)*parametros_manuales!$I$20*parametros_manuales!$J$20</f>
        <v>241.7972907357</v>
      </c>
      <c r="N3" s="9" t="n">
        <f aca="false">SUM(B3:M3)</f>
        <v>2686.63656373</v>
      </c>
      <c r="O3" s="9" t="n">
        <f aca="false">MAX(B3:M3)</f>
        <v>241.7972907357</v>
      </c>
      <c r="P3" s="43" t="n">
        <f aca="false">O3/(parametros_manuales!$B$7)</f>
        <v>1.611981938238</v>
      </c>
      <c r="Q3" s="8" t="str">
        <f aca="false">IF(O3=0,"-",INDEX($B$1:$M$1,MATCH(O3,B3:M3,0)))</f>
        <v>Ene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datos_base!$B$2+datos_base!$B$18+IF(parametros_manuales!$H$21="Todos",datos_base!$B$9+datos_base!$B$23,0))*parametros_manuales!$B$95+parametros_manuales!$E$21*(datos_base!$B$3+datos_base!$B$19+IF(parametros_manuales!$H$21="Todos",datos_base!$B$10+datos_base!$B$24,0))*parametros_manuales!$B$100+parametros_manuales!$F$21*(datos_base!$B$4+datos_base!$B$20+IF(parametros_manuales!$H$21="Todos",datos_base!$B$11+datos_base!$B$25,0))*parametros_manuales!$B$105+parametros_manuales!$G$21*(datos_base!$B$5+datos_base!$B$21+IF(parametros_manuales!$H$21="Todos",datos_base!$B$12+datos_base!$B$26,0))*parametros_manuales!$B$110)*parametros_manuales!$I$21*parametros_manuales!$J$21</f>
        <v>376.08628887</v>
      </c>
      <c r="C4" s="9" t="n">
        <f aca="false">(parametros_manuales!$D$21*(datos_base!$B$2+datos_base!$B$18+IF(parametros_manuales!$H$21="Todos",datos_base!$B$9+datos_base!$B$23,0))*parametros_manuales!$C$95+parametros_manuales!$E$21*(datos_base!$B$3+datos_base!$B$19+IF(parametros_manuales!$H$21="Todos",datos_base!$B$10+datos_base!$B$24,0))*parametros_manuales!$C$100+parametros_manuales!$F$21*(datos_base!$B$4+datos_base!$B$20+IF(parametros_manuales!$H$21="Todos",datos_base!$B$11+datos_base!$B$25,0))*parametros_manuales!$C$105+parametros_manuales!$G$21*(datos_base!$B$5+datos_base!$B$21+IF(parametros_manuales!$H$21="Todos",datos_base!$B$12+datos_base!$B$26,0))*parametros_manuales!$C$110)*parametros_manuales!$I$21*parametros_manuales!$J$21</f>
        <v>376.08628887</v>
      </c>
      <c r="D4" s="9" t="n">
        <f aca="false">(parametros_manuales!$D$21*(datos_base!$B$2+datos_base!$B$18+IF(parametros_manuales!$H$21="Todos",datos_base!$B$9+datos_base!$B$23,0))*parametros_manuales!$D$95+parametros_manuales!$E$21*(datos_base!$B$3+datos_base!$B$19+IF(parametros_manuales!$H$21="Todos",datos_base!$B$10+datos_base!$B$24,0))*parametros_manuales!$D$100+parametros_manuales!$F$21*(datos_base!$B$4+datos_base!$B$20+IF(parametros_manuales!$H$21="Todos",datos_base!$B$11+datos_base!$B$25,0))*parametros_manuales!$D$105+parametros_manuales!$G$21*(datos_base!$B$5+datos_base!$B$21+IF(parametros_manuales!$H$21="Todos",datos_base!$B$12+datos_base!$B$26,0))*parametros_manuales!$D$110)*parametros_manuales!$I$21*parametros_manuales!$J$21</f>
        <v>334.29892344</v>
      </c>
      <c r="E4" s="9" t="n">
        <f aca="false">(parametros_manuales!$D$21*(datos_base!$B$2+datos_base!$B$18+IF(parametros_manuales!$H$21="Todos",datos_base!$B$9+datos_base!$B$23,0))*parametros_manuales!$E$95+parametros_manuales!$E$21*(datos_base!$B$3+datos_base!$B$19+IF(parametros_manuales!$H$21="Todos",datos_base!$B$10+datos_base!$B$24,0))*parametros_manuales!$E$100+parametros_manuales!$F$21*(datos_base!$B$4+datos_base!$B$20+IF(parametros_manuales!$H$21="Todos",datos_base!$B$11+datos_base!$B$25,0))*parametros_manuales!$E$105+parametros_manuales!$G$21*(datos_base!$B$5+datos_base!$B$21+IF(parametros_manuales!$H$21="Todos",datos_base!$B$12+datos_base!$B$26,0))*parametros_manuales!$E$110)*parametros_manuales!$I$21*parametros_manuales!$J$21</f>
        <v>313.405240725</v>
      </c>
      <c r="F4" s="9" t="n">
        <f aca="false">(parametros_manuales!$D$21*(datos_base!$B$2+datos_base!$B$18+IF(parametros_manuales!$H$21="Todos",datos_base!$B$9+datos_base!$B$23,0))*parametros_manuales!$F$95+parametros_manuales!$E$21*(datos_base!$B$3+datos_base!$B$19+IF(parametros_manuales!$H$21="Todos",datos_base!$B$10+datos_base!$B$24,0))*parametros_manuales!$F$100+parametros_manuales!$F$21*(datos_base!$B$4+datos_base!$B$20+IF(parametros_manuales!$H$21="Todos",datos_base!$B$11+datos_base!$B$25,0))*parametros_manuales!$F$105+parametros_manuales!$G$21*(datos_base!$B$5+datos_base!$B$21+IF(parametros_manuales!$H$21="Todos",datos_base!$B$12+datos_base!$B$26,0))*parametros_manuales!$F$110)*parametros_manuales!$I$21*parametros_manuales!$J$21</f>
        <v>292.51155801</v>
      </c>
      <c r="G4" s="9" t="n">
        <f aca="false">(parametros_manuales!$D$21*(datos_base!$B$2+datos_base!$B$18+IF(parametros_manuales!$H$21="Todos",datos_base!$B$9+datos_base!$B$23,0))*parametros_manuales!$G$95+parametros_manuales!$E$21*(datos_base!$B$3+datos_base!$B$19+IF(parametros_manuales!$H$21="Todos",datos_base!$B$10+datos_base!$B$24,0))*parametros_manuales!$G$100+parametros_manuales!$F$21*(datos_base!$B$4+datos_base!$B$20+IF(parametros_manuales!$H$21="Todos",datos_base!$B$11+datos_base!$B$25,0))*parametros_manuales!$G$105+parametros_manuales!$G$21*(datos_base!$B$5+datos_base!$B$21+IF(parametros_manuales!$H$21="Todos",datos_base!$B$12+datos_base!$B$26,0))*parametros_manuales!$G$110)*parametros_manuales!$I$21*parametros_manuales!$J$21</f>
        <v>292.51155801</v>
      </c>
      <c r="H4" s="9" t="n">
        <f aca="false">(parametros_manuales!$D$21*(datos_base!$B$2+datos_base!$B$18+IF(parametros_manuales!$H$21="Todos",datos_base!$B$9+datos_base!$B$23,0))*parametros_manuales!$H$95+parametros_manuales!$E$21*(datos_base!$B$3+datos_base!$B$19+IF(parametros_manuales!$H$21="Todos",datos_base!$B$10+datos_base!$B$24,0))*parametros_manuales!$H$100+parametros_manuales!$F$21*(datos_base!$B$4+datos_base!$B$20+IF(parametros_manuales!$H$21="Todos",datos_base!$B$11+datos_base!$B$25,0))*parametros_manuales!$H$105+parametros_manuales!$G$21*(datos_base!$B$5+datos_base!$B$21+IF(parametros_manuales!$H$21="Todos",datos_base!$B$12+datos_base!$B$26,0))*parametros_manuales!$H$110)*parametros_manuales!$I$21*parametros_manuales!$J$21</f>
        <v>313.405240725</v>
      </c>
      <c r="I4" s="9" t="n">
        <f aca="false">(parametros_manuales!$D$21*(datos_base!$B$2+datos_base!$B$18+IF(parametros_manuales!$H$21="Todos",datos_base!$B$9+datos_base!$B$23,0))*parametros_manuales!$I$95+parametros_manuales!$E$21*(datos_base!$B$3+datos_base!$B$19+IF(parametros_manuales!$H$21="Todos",datos_base!$B$10+datos_base!$B$24,0))*parametros_manuales!$I$100+parametros_manuales!$F$21*(datos_base!$B$4+datos_base!$B$20+IF(parametros_manuales!$H$21="Todos",datos_base!$B$11+datos_base!$B$25,0))*parametros_manuales!$I$105+parametros_manuales!$G$21*(datos_base!$B$5+datos_base!$B$21+IF(parametros_manuales!$H$21="Todos",datos_base!$B$12+datos_base!$B$26,0))*parametros_manuales!$I$110)*parametros_manuales!$I$21*parametros_manuales!$J$21</f>
        <v>376.08628887</v>
      </c>
      <c r="J4" s="9" t="n">
        <f aca="false">(parametros_manuales!$D$21*(datos_base!$B$2+datos_base!$B$18+IF(parametros_manuales!$H$21="Todos",datos_base!$B$9+datos_base!$B$23,0))*parametros_manuales!$J$95+parametros_manuales!$E$21*(datos_base!$B$3+datos_base!$B$19+IF(parametros_manuales!$H$21="Todos",datos_base!$B$10+datos_base!$B$24,0))*parametros_manuales!$J$100+parametros_manuales!$F$21*(datos_base!$B$4+datos_base!$B$20+IF(parametros_manuales!$H$21="Todos",datos_base!$B$11+datos_base!$B$25,0))*parametros_manuales!$J$105+parametros_manuales!$G$21*(datos_base!$B$5+datos_base!$B$21+IF(parametros_manuales!$H$21="Todos",datos_base!$B$12+datos_base!$B$26,0))*parametros_manuales!$J$110)*parametros_manuales!$I$21*parametros_manuales!$J$21</f>
        <v>376.08628887</v>
      </c>
      <c r="K4" s="9" t="n">
        <f aca="false">(parametros_manuales!$D$21*(datos_base!$B$2+datos_base!$B$18+IF(parametros_manuales!$H$21="Todos",datos_base!$B$9+datos_base!$B$23,0))*parametros_manuales!$K$95+parametros_manuales!$E$21*(datos_base!$B$3+datos_base!$B$19+IF(parametros_manuales!$H$21="Todos",datos_base!$B$10+datos_base!$B$24,0))*parametros_manuales!$K$100+parametros_manuales!$F$21*(datos_base!$B$4+datos_base!$B$20+IF(parametros_manuales!$H$21="Todos",datos_base!$B$11+datos_base!$B$25,0))*parametros_manuales!$K$105+parametros_manuales!$G$21*(datos_base!$B$5+datos_base!$B$21+IF(parametros_manuales!$H$21="Todos",datos_base!$B$12+datos_base!$B$26,0))*parametros_manuales!$K$110)*parametros_manuales!$I$21*parametros_manuales!$J$21</f>
        <v>376.08628887</v>
      </c>
      <c r="L4" s="9" t="n">
        <f aca="false">(parametros_manuales!$D$21*(datos_base!$B$2+datos_base!$B$18+IF(parametros_manuales!$H$21="Todos",datos_base!$B$9+datos_base!$B$23,0))*parametros_manuales!$L$95+parametros_manuales!$E$21*(datos_base!$B$3+datos_base!$B$19+IF(parametros_manuales!$H$21="Todos",datos_base!$B$10+datos_base!$B$24,0))*parametros_manuales!$L$100+parametros_manuales!$F$21*(datos_base!$B$4+datos_base!$B$20+IF(parametros_manuales!$H$21="Todos",datos_base!$B$11+datos_base!$B$25,0))*parametros_manuales!$L$105+parametros_manuales!$G$21*(datos_base!$B$5+datos_base!$B$21+IF(parametros_manuales!$H$21="Todos",datos_base!$B$12+datos_base!$B$26,0))*parametros_manuales!$L$110)*parametros_manuales!$I$21*parametros_manuales!$J$21</f>
        <v>376.08628887</v>
      </c>
      <c r="M4" s="9" t="n">
        <f aca="false">(parametros_manuales!$D$21*(datos_base!$B$2+datos_base!$B$18+IF(parametros_manuales!$H$21="Todos",datos_base!$B$9+datos_base!$B$23,0))*parametros_manuales!$M$95+parametros_manuales!$E$21*(datos_base!$B$3+datos_base!$B$19+IF(parametros_manuales!$H$21="Todos",datos_base!$B$10+datos_base!$B$24,0))*parametros_manuales!$M$100+parametros_manuales!$F$21*(datos_base!$B$4+datos_base!$B$20+IF(parametros_manuales!$H$21="Todos",datos_base!$B$11+datos_base!$B$25,0))*parametros_manuales!$M$105+parametros_manuales!$G$21*(datos_base!$B$5+datos_base!$B$21+IF(parametros_manuales!$H$21="Todos",datos_base!$B$12+datos_base!$B$26,0))*parametros_manuales!$M$110)*parametros_manuales!$I$21*parametros_manuales!$J$21</f>
        <v>376.08628887</v>
      </c>
      <c r="N4" s="9" t="n">
        <f aca="false">SUM(B4:M4)</f>
        <v>4178.736543</v>
      </c>
      <c r="O4" s="9" t="n">
        <f aca="false">MAX(B4:M4)</f>
        <v>376.08628887</v>
      </c>
      <c r="P4" s="43" t="n">
        <f aca="false">O4/(parametros_manuales!$B$7)</f>
        <v>2.5072419258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datos_base!$B$2+datos_base!$B$18+IF(parametros_manuales!$H$22="Todos",datos_base!$B$9+datos_base!$B$23,0))*parametros_manuales!$B$95+parametros_manuales!$E$22*(datos_base!$B$3+datos_base!$B$19+IF(parametros_manuales!$H$22="Todos",datos_base!$B$10+datos_base!$B$24,0))*parametros_manuales!$B$100+parametros_manuales!$F$22*(datos_base!$B$4+datos_base!$B$20+IF(parametros_manuales!$H$22="Todos",datos_base!$B$11+datos_base!$B$25,0))*parametros_manuales!$B$105+parametros_manuales!$G$22*(datos_base!$B$5+datos_base!$B$21+IF(parametros_manuales!$H$22="Todos",datos_base!$B$12+datos_base!$B$26,0))*parametros_manuales!$B$110)*parametros_manuales!$I$22*parametros_manuales!$J$22</f>
        <v>1235.7671592114</v>
      </c>
      <c r="C5" s="9" t="n">
        <f aca="false">(parametros_manuales!$D$22*(datos_base!$B$2+datos_base!$B$18+IF(parametros_manuales!$H$22="Todos",datos_base!$B$9+datos_base!$B$23,0))*parametros_manuales!$C$95+parametros_manuales!$E$22*(datos_base!$B$3+datos_base!$B$19+IF(parametros_manuales!$H$22="Todos",datos_base!$B$10+datos_base!$B$24,0))*parametros_manuales!$C$100+parametros_manuales!$F$22*(datos_base!$B$4+datos_base!$B$20+IF(parametros_manuales!$H$22="Todos",datos_base!$B$11+datos_base!$B$25,0))*parametros_manuales!$C$105+parametros_manuales!$G$22*(datos_base!$B$5+datos_base!$B$21+IF(parametros_manuales!$H$22="Todos",datos_base!$B$12+datos_base!$B$26,0))*parametros_manuales!$C$110)*parametros_manuales!$I$22*parametros_manuales!$J$22</f>
        <v>1182.0344279368</v>
      </c>
      <c r="D5" s="9" t="n">
        <f aca="false">(parametros_manuales!$D$22*(datos_base!$B$2+datos_base!$B$18+IF(parametros_manuales!$H$22="Todos",datos_base!$B$9+datos_base!$B$23,0))*parametros_manuales!$D$95+parametros_manuales!$E$22*(datos_base!$B$3+datos_base!$B$19+IF(parametros_manuales!$H$22="Todos",datos_base!$B$10+datos_base!$B$24,0))*parametros_manuales!$D$100+parametros_manuales!$F$22*(datos_base!$B$4+datos_base!$B$20+IF(parametros_manuales!$H$22="Todos",datos_base!$B$11+datos_base!$B$25,0))*parametros_manuales!$D$105+parametros_manuales!$G$22*(datos_base!$B$5+datos_base!$B$21+IF(parametros_manuales!$H$22="Todos",datos_base!$B$12+datos_base!$B$26,0))*parametros_manuales!$D$110)*parametros_manuales!$I$22*parametros_manuales!$J$22</f>
        <v>1125.3260627141</v>
      </c>
      <c r="E5" s="9" t="n">
        <f aca="false">(parametros_manuales!$D$22*(datos_base!$B$2+datos_base!$B$18+IF(parametros_manuales!$H$22="Todos",datos_base!$B$9+datos_base!$B$23,0))*parametros_manuales!$E$95+parametros_manuales!$E$22*(datos_base!$B$3+datos_base!$B$19+IF(parametros_manuales!$H$22="Todos",datos_base!$B$10+datos_base!$B$24,0))*parametros_manuales!$E$100+parametros_manuales!$F$22*(datos_base!$B$4+datos_base!$B$20+IF(parametros_manuales!$H$22="Todos",datos_base!$B$11+datos_base!$B$25,0))*parametros_manuales!$E$105+parametros_manuales!$G$22*(datos_base!$B$5+datos_base!$B$21+IF(parametros_manuales!$H$22="Todos",datos_base!$B$12+datos_base!$B$26,0))*parametros_manuales!$E$110)*parametros_manuales!$I$22*parametros_manuales!$J$22</f>
        <v>1083.5386972841</v>
      </c>
      <c r="F5" s="9" t="n">
        <f aca="false">(parametros_manuales!$D$22*(datos_base!$B$2+datos_base!$B$18+IF(parametros_manuales!$H$22="Todos",datos_base!$B$9+datos_base!$B$23,0))*parametros_manuales!$F$95+parametros_manuales!$E$22*(datos_base!$B$3+datos_base!$B$19+IF(parametros_manuales!$H$22="Todos",datos_base!$B$10+datos_base!$B$24,0))*parametros_manuales!$F$100+parametros_manuales!$F$22*(datos_base!$B$4+datos_base!$B$20+IF(parametros_manuales!$H$22="Todos",datos_base!$B$11+datos_base!$B$25,0))*parametros_manuales!$F$105+parametros_manuales!$G$22*(datos_base!$B$5+datos_base!$B$21+IF(parametros_manuales!$H$22="Todos",datos_base!$B$12+datos_base!$B$26,0))*parametros_manuales!$F$110)*parametros_manuales!$I$22*parametros_manuales!$J$22</f>
        <v>1014.8849662168</v>
      </c>
      <c r="G5" s="9" t="n">
        <f aca="false">(parametros_manuales!$D$22*(datos_base!$B$2+datos_base!$B$18+IF(parametros_manuales!$H$22="Todos",datos_base!$B$9+datos_base!$B$23,0))*parametros_manuales!$G$95+parametros_manuales!$E$22*(datos_base!$B$3+datos_base!$B$19+IF(parametros_manuales!$H$22="Todos",datos_base!$B$10+datos_base!$B$24,0))*parametros_manuales!$G$100+parametros_manuales!$F$22*(datos_base!$B$4+datos_base!$B$20+IF(parametros_manuales!$H$22="Todos",datos_base!$B$11+datos_base!$B$25,0))*parametros_manuales!$G$105+parametros_manuales!$G$22*(datos_base!$B$5+datos_base!$B$21+IF(parametros_manuales!$H$22="Todos",datos_base!$B$12+datos_base!$B$26,0))*parametros_manuales!$G$110)*parametros_manuales!$I$22*parametros_manuales!$J$22</f>
        <v>988.0186005795</v>
      </c>
      <c r="H5" s="9" t="n">
        <f aca="false">(parametros_manuales!$D$22*(datos_base!$B$2+datos_base!$B$18+IF(parametros_manuales!$H$22="Todos",datos_base!$B$9+datos_base!$B$23,0))*parametros_manuales!$H$95+parametros_manuales!$E$22*(datos_base!$B$3+datos_base!$B$19+IF(parametros_manuales!$H$22="Todos",datos_base!$B$10+datos_base!$B$24,0))*parametros_manuales!$H$100+parametros_manuales!$F$22*(datos_base!$B$4+datos_base!$B$20+IF(parametros_manuales!$H$22="Todos",datos_base!$B$11+datos_base!$B$25,0))*parametros_manuales!$H$105+parametros_manuales!$G$22*(datos_base!$B$5+datos_base!$B$21+IF(parametros_manuales!$H$22="Todos",datos_base!$B$12+datos_base!$B$26,0))*parametros_manuales!$H$110)*parametros_manuales!$I$22*parametros_manuales!$J$22</f>
        <v>1056.6723316468</v>
      </c>
      <c r="I5" s="9" t="n">
        <f aca="false">(parametros_manuales!$D$22*(datos_base!$B$2+datos_base!$B$18+IF(parametros_manuales!$H$22="Todos",datos_base!$B$9+datos_base!$B$23,0))*parametros_manuales!$I$95+parametros_manuales!$E$22*(datos_base!$B$3+datos_base!$B$19+IF(parametros_manuales!$H$22="Todos",datos_base!$B$10+datos_base!$B$24,0))*parametros_manuales!$I$100+parametros_manuales!$F$22*(datos_base!$B$4+datos_base!$B$20+IF(parametros_manuales!$H$22="Todos",datos_base!$B$11+datos_base!$B$25,0))*parametros_manuales!$I$105+parametros_manuales!$G$22*(datos_base!$B$5+datos_base!$B$21+IF(parametros_manuales!$H$22="Todos",datos_base!$B$12+datos_base!$B$26,0))*parametros_manuales!$I$110)*parametros_manuales!$I$22*parametros_manuales!$J$22</f>
        <v>1182.0344279368</v>
      </c>
      <c r="J5" s="9" t="n">
        <f aca="false">(parametros_manuales!$D$22*(datos_base!$B$2+datos_base!$B$18+IF(parametros_manuales!$H$22="Todos",datos_base!$B$9+datos_base!$B$23,0))*parametros_manuales!$J$95+parametros_manuales!$E$22*(datos_base!$B$3+datos_base!$B$19+IF(parametros_manuales!$H$22="Todos",datos_base!$B$10+datos_base!$B$24,0))*parametros_manuales!$J$100+parametros_manuales!$F$22*(datos_base!$B$4+datos_base!$B$20+IF(parametros_manuales!$H$22="Todos",datos_base!$B$11+datos_base!$B$25,0))*parametros_manuales!$J$105+parametros_manuales!$G$22*(datos_base!$B$5+datos_base!$B$21+IF(parametros_manuales!$H$22="Todos",datos_base!$B$12+datos_base!$B$26,0))*parametros_manuales!$J$110)*parametros_manuales!$I$22*parametros_manuales!$J$22</f>
        <v>1182.0344279368</v>
      </c>
      <c r="K5" s="9" t="n">
        <f aca="false">(parametros_manuales!$D$22*(datos_base!$B$2+datos_base!$B$18+IF(parametros_manuales!$H$22="Todos",datos_base!$B$9+datos_base!$B$23,0))*parametros_manuales!$K$95+parametros_manuales!$E$22*(datos_base!$B$3+datos_base!$B$19+IF(parametros_manuales!$H$22="Todos",datos_base!$B$10+datos_base!$B$24,0))*parametros_manuales!$K$100+parametros_manuales!$F$22*(datos_base!$B$4+datos_base!$B$20+IF(parametros_manuales!$H$22="Todos",datos_base!$B$11+datos_base!$B$25,0))*parametros_manuales!$K$105+parametros_manuales!$G$22*(datos_base!$B$5+datos_base!$B$21+IF(parametros_manuales!$H$22="Todos",datos_base!$B$12+datos_base!$B$26,0))*parametros_manuales!$K$110)*parametros_manuales!$I$22*parametros_manuales!$J$22</f>
        <v>1208.9007935741</v>
      </c>
      <c r="L5" s="9" t="n">
        <f aca="false">(parametros_manuales!$D$22*(datos_base!$B$2+datos_base!$B$18+IF(parametros_manuales!$H$22="Todos",datos_base!$B$9+datos_base!$B$23,0))*parametros_manuales!$L$95+parametros_manuales!$E$22*(datos_base!$B$3+datos_base!$B$19+IF(parametros_manuales!$H$22="Todos",datos_base!$B$10+datos_base!$B$24,0))*parametros_manuales!$L$100+parametros_manuales!$F$22*(datos_base!$B$4+datos_base!$B$20+IF(parametros_manuales!$H$22="Todos",datos_base!$B$11+datos_base!$B$25,0))*parametros_manuales!$L$105+parametros_manuales!$G$22*(datos_base!$B$5+datos_base!$B$21+IF(parametros_manuales!$H$22="Todos",datos_base!$B$12+datos_base!$B$26,0))*parametros_manuales!$L$110)*parametros_manuales!$I$22*parametros_manuales!$J$22</f>
        <v>1235.7671592114</v>
      </c>
      <c r="M5" s="9" t="n">
        <f aca="false">(parametros_manuales!$D$22*(datos_base!$B$2+datos_base!$B$18+IF(parametros_manuales!$H$22="Todos",datos_base!$B$9+datos_base!$B$23,0))*parametros_manuales!$M$95+parametros_manuales!$E$22*(datos_base!$B$3+datos_base!$B$19+IF(parametros_manuales!$H$22="Todos",datos_base!$B$10+datos_base!$B$24,0))*parametros_manuales!$M$100+parametros_manuales!$F$22*(datos_base!$B$4+datos_base!$B$20+IF(parametros_manuales!$H$22="Todos",datos_base!$B$11+datos_base!$B$25,0))*parametros_manuales!$M$105+parametros_manuales!$G$22*(datos_base!$B$5+datos_base!$B$21+IF(parametros_manuales!$H$22="Todos",datos_base!$B$12+datos_base!$B$26,0))*parametros_manuales!$M$110)*parametros_manuales!$I$22*parametros_manuales!$J$22</f>
        <v>1235.7671592114</v>
      </c>
      <c r="N5" s="9" t="n">
        <f aca="false">SUM(B5:M5)</f>
        <v>13730.74621346</v>
      </c>
      <c r="O5" s="9" t="n">
        <f aca="false">MAX(B5:M5)</f>
        <v>1235.7671592114</v>
      </c>
      <c r="P5" s="43" t="n">
        <f aca="false">O5/(parametros_manuales!$B$7)</f>
        <v>8.238447728076</v>
      </c>
      <c r="Q5" s="8" t="str">
        <f aca="false">IF(O5=0,"-",INDEX($B$1:$M$1,MATCH(O5,B5:M5,0)))</f>
        <v>Ene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datos_base!$B$2+datos_base!$B$18+IF(parametros_manuales!$H$23="Todos",datos_base!$B$9+datos_base!$B$23,0))*parametros_manuales!$B$95+parametros_manuales!$E$23*(datos_base!$B$3+datos_base!$B$19+IF(parametros_manuales!$H$23="Todos",datos_base!$B$10+datos_base!$B$24,0))*parametros_manuales!$B$100+parametros_manuales!$F$23*(datos_base!$B$4+datos_base!$B$20+IF(parametros_manuales!$H$23="Todos",datos_base!$B$11+datos_base!$B$25,0))*parametros_manuales!$B$105+parametros_manuales!$G$23*(datos_base!$B$5+datos_base!$B$21+IF(parametros_manuales!$H$23="Todos",datos_base!$B$12+datos_base!$B$26,0))*parametros_manuales!$B$110)*parametros_manuales!$I$23*parametros_manuales!$J$23</f>
        <v>617.8835796057</v>
      </c>
      <c r="C6" s="9" t="n">
        <f aca="false">(parametros_manuales!$D$23*(datos_base!$B$2+datos_base!$B$18+IF(parametros_manuales!$H$23="Todos",datos_base!$B$9+datos_base!$B$23,0))*parametros_manuales!$C$95+parametros_manuales!$E$23*(datos_base!$B$3+datos_base!$B$19+IF(parametros_manuales!$H$23="Todos",datos_base!$B$10+datos_base!$B$24,0))*parametros_manuales!$C$100+parametros_manuales!$F$23*(datos_base!$B$4+datos_base!$B$20+IF(parametros_manuales!$H$23="Todos",datos_base!$B$11+datos_base!$B$25,0))*parametros_manuales!$C$105+parametros_manuales!$G$23*(datos_base!$B$5+datos_base!$B$21+IF(parametros_manuales!$H$23="Todos",datos_base!$B$12+datos_base!$B$26,0))*parametros_manuales!$C$110)*parametros_manuales!$I$23*parametros_manuales!$J$23</f>
        <v>591.0172139684</v>
      </c>
      <c r="D6" s="9" t="n">
        <f aca="false">(parametros_manuales!$D$23*(datos_base!$B$2+datos_base!$B$18+IF(parametros_manuales!$H$23="Todos",datos_base!$B$9+datos_base!$B$23,0))*parametros_manuales!$D$95+parametros_manuales!$E$23*(datos_base!$B$3+datos_base!$B$19+IF(parametros_manuales!$H$23="Todos",datos_base!$B$10+datos_base!$B$24,0))*parametros_manuales!$D$100+parametros_manuales!$F$23*(datos_base!$B$4+datos_base!$B$20+IF(parametros_manuales!$H$23="Todos",datos_base!$B$11+datos_base!$B$25,0))*parametros_manuales!$D$105+parametros_manuales!$G$23*(datos_base!$B$5+datos_base!$B$21+IF(parametros_manuales!$H$23="Todos",datos_base!$B$12+datos_base!$B$26,0))*parametros_manuales!$D$110)*parametros_manuales!$I$23*parametros_manuales!$J$23</f>
        <v>562.66303135705</v>
      </c>
      <c r="E6" s="9" t="n">
        <f aca="false">(parametros_manuales!$D$23*(datos_base!$B$2+datos_base!$B$18+IF(parametros_manuales!$H$23="Todos",datos_base!$B$9+datos_base!$B$23,0))*parametros_manuales!$E$95+parametros_manuales!$E$23*(datos_base!$B$3+datos_base!$B$19+IF(parametros_manuales!$H$23="Todos",datos_base!$B$10+datos_base!$B$24,0))*parametros_manuales!$E$100+parametros_manuales!$F$23*(datos_base!$B$4+datos_base!$B$20+IF(parametros_manuales!$H$23="Todos",datos_base!$B$11+datos_base!$B$25,0))*parametros_manuales!$E$105+parametros_manuales!$G$23*(datos_base!$B$5+datos_base!$B$21+IF(parametros_manuales!$H$23="Todos",datos_base!$B$12+datos_base!$B$26,0))*parametros_manuales!$E$110)*parametros_manuales!$I$23*parametros_manuales!$J$23</f>
        <v>541.76934864205</v>
      </c>
      <c r="F6" s="9" t="n">
        <f aca="false">(parametros_manuales!$D$23*(datos_base!$B$2+datos_base!$B$18+IF(parametros_manuales!$H$23="Todos",datos_base!$B$9+datos_base!$B$23,0))*parametros_manuales!$F$95+parametros_manuales!$E$23*(datos_base!$B$3+datos_base!$B$19+IF(parametros_manuales!$H$23="Todos",datos_base!$B$10+datos_base!$B$24,0))*parametros_manuales!$F$100+parametros_manuales!$F$23*(datos_base!$B$4+datos_base!$B$20+IF(parametros_manuales!$H$23="Todos",datos_base!$B$11+datos_base!$B$25,0))*parametros_manuales!$F$105+parametros_manuales!$G$23*(datos_base!$B$5+datos_base!$B$21+IF(parametros_manuales!$H$23="Todos",datos_base!$B$12+datos_base!$B$26,0))*parametros_manuales!$F$110)*parametros_manuales!$I$23*parametros_manuales!$J$23</f>
        <v>507.4424831084</v>
      </c>
      <c r="G6" s="9" t="n">
        <f aca="false">(parametros_manuales!$D$23*(datos_base!$B$2+datos_base!$B$18+IF(parametros_manuales!$H$23="Todos",datos_base!$B$9+datos_base!$B$23,0))*parametros_manuales!$G$95+parametros_manuales!$E$23*(datos_base!$B$3+datos_base!$B$19+IF(parametros_manuales!$H$23="Todos",datos_base!$B$10+datos_base!$B$24,0))*parametros_manuales!$G$100+parametros_manuales!$F$23*(datos_base!$B$4+datos_base!$B$20+IF(parametros_manuales!$H$23="Todos",datos_base!$B$11+datos_base!$B$25,0))*parametros_manuales!$G$105+parametros_manuales!$G$23*(datos_base!$B$5+datos_base!$B$21+IF(parametros_manuales!$H$23="Todos",datos_base!$B$12+datos_base!$B$26,0))*parametros_manuales!$G$110)*parametros_manuales!$I$23*parametros_manuales!$J$23</f>
        <v>494.00930028975</v>
      </c>
      <c r="H6" s="9" t="n">
        <f aca="false">(parametros_manuales!$D$23*(datos_base!$B$2+datos_base!$B$18+IF(parametros_manuales!$H$23="Todos",datos_base!$B$9+datos_base!$B$23,0))*parametros_manuales!$H$95+parametros_manuales!$E$23*(datos_base!$B$3+datos_base!$B$19+IF(parametros_manuales!$H$23="Todos",datos_base!$B$10+datos_base!$B$24,0))*parametros_manuales!$H$100+parametros_manuales!$F$23*(datos_base!$B$4+datos_base!$B$20+IF(parametros_manuales!$H$23="Todos",datos_base!$B$11+datos_base!$B$25,0))*parametros_manuales!$H$105+parametros_manuales!$G$23*(datos_base!$B$5+datos_base!$B$21+IF(parametros_manuales!$H$23="Todos",datos_base!$B$12+datos_base!$B$26,0))*parametros_manuales!$H$110)*parametros_manuales!$I$23*parametros_manuales!$J$23</f>
        <v>528.3361658234</v>
      </c>
      <c r="I6" s="9" t="n">
        <f aca="false">(parametros_manuales!$D$23*(datos_base!$B$2+datos_base!$B$18+IF(parametros_manuales!$H$23="Todos",datos_base!$B$9+datos_base!$B$23,0))*parametros_manuales!$I$95+parametros_manuales!$E$23*(datos_base!$B$3+datos_base!$B$19+IF(parametros_manuales!$H$23="Todos",datos_base!$B$10+datos_base!$B$24,0))*parametros_manuales!$I$100+parametros_manuales!$F$23*(datos_base!$B$4+datos_base!$B$20+IF(parametros_manuales!$H$23="Todos",datos_base!$B$11+datos_base!$B$25,0))*parametros_manuales!$I$105+parametros_manuales!$G$23*(datos_base!$B$5+datos_base!$B$21+IF(parametros_manuales!$H$23="Todos",datos_base!$B$12+datos_base!$B$26,0))*parametros_manuales!$I$110)*parametros_manuales!$I$23*parametros_manuales!$J$23</f>
        <v>591.0172139684</v>
      </c>
      <c r="J6" s="9" t="n">
        <f aca="false">(parametros_manuales!$D$23*(datos_base!$B$2+datos_base!$B$18+IF(parametros_manuales!$H$23="Todos",datos_base!$B$9+datos_base!$B$23,0))*parametros_manuales!$J$95+parametros_manuales!$E$23*(datos_base!$B$3+datos_base!$B$19+IF(parametros_manuales!$H$23="Todos",datos_base!$B$10+datos_base!$B$24,0))*parametros_manuales!$J$100+parametros_manuales!$F$23*(datos_base!$B$4+datos_base!$B$20+IF(parametros_manuales!$H$23="Todos",datos_base!$B$11+datos_base!$B$25,0))*parametros_manuales!$J$105+parametros_manuales!$G$23*(datos_base!$B$5+datos_base!$B$21+IF(parametros_manuales!$H$23="Todos",datos_base!$B$12+datos_base!$B$26,0))*parametros_manuales!$J$110)*parametros_manuales!$I$23*parametros_manuales!$J$23</f>
        <v>591.0172139684</v>
      </c>
      <c r="K6" s="9" t="n">
        <f aca="false">(parametros_manuales!$D$23*(datos_base!$B$2+datos_base!$B$18+IF(parametros_manuales!$H$23="Todos",datos_base!$B$9+datos_base!$B$23,0))*parametros_manuales!$K$95+parametros_manuales!$E$23*(datos_base!$B$3+datos_base!$B$19+IF(parametros_manuales!$H$23="Todos",datos_base!$B$10+datos_base!$B$24,0))*parametros_manuales!$K$100+parametros_manuales!$F$23*(datos_base!$B$4+datos_base!$B$20+IF(parametros_manuales!$H$23="Todos",datos_base!$B$11+datos_base!$B$25,0))*parametros_manuales!$K$105+parametros_manuales!$G$23*(datos_base!$B$5+datos_base!$B$21+IF(parametros_manuales!$H$23="Todos",datos_base!$B$12+datos_base!$B$26,0))*parametros_manuales!$K$110)*parametros_manuales!$I$23*parametros_manuales!$J$23</f>
        <v>604.45039678705</v>
      </c>
      <c r="L6" s="9" t="n">
        <f aca="false">(parametros_manuales!$D$23*(datos_base!$B$2+datos_base!$B$18+IF(parametros_manuales!$H$23="Todos",datos_base!$B$9+datos_base!$B$23,0))*parametros_manuales!$L$95+parametros_manuales!$E$23*(datos_base!$B$3+datos_base!$B$19+IF(parametros_manuales!$H$23="Todos",datos_base!$B$10+datos_base!$B$24,0))*parametros_manuales!$L$100+parametros_manuales!$F$23*(datos_base!$B$4+datos_base!$B$20+IF(parametros_manuales!$H$23="Todos",datos_base!$B$11+datos_base!$B$25,0))*parametros_manuales!$L$105+parametros_manuales!$G$23*(datos_base!$B$5+datos_base!$B$21+IF(parametros_manuales!$H$23="Todos",datos_base!$B$12+datos_base!$B$26,0))*parametros_manuales!$L$110)*parametros_manuales!$I$23*parametros_manuales!$J$23</f>
        <v>617.8835796057</v>
      </c>
      <c r="M6" s="9" t="n">
        <f aca="false">(parametros_manuales!$D$23*(datos_base!$B$2+datos_base!$B$18+IF(parametros_manuales!$H$23="Todos",datos_base!$B$9+datos_base!$B$23,0))*parametros_manuales!$M$95+parametros_manuales!$E$23*(datos_base!$B$3+datos_base!$B$19+IF(parametros_manuales!$H$23="Todos",datos_base!$B$10+datos_base!$B$24,0))*parametros_manuales!$M$100+parametros_manuales!$F$23*(datos_base!$B$4+datos_base!$B$20+IF(parametros_manuales!$H$23="Todos",datos_base!$B$11+datos_base!$B$25,0))*parametros_manuales!$M$105+parametros_manuales!$G$23*(datos_base!$B$5+datos_base!$B$21+IF(parametros_manuales!$H$23="Todos",datos_base!$B$12+datos_base!$B$26,0))*parametros_manuales!$M$110)*parametros_manuales!$I$23*parametros_manuales!$J$23</f>
        <v>617.8835796057</v>
      </c>
      <c r="N6" s="9" t="n">
        <f aca="false">SUM(B6:M6)</f>
        <v>6865.37310673</v>
      </c>
      <c r="O6" s="9" t="n">
        <f aca="false">MAX(B6:M6)</f>
        <v>617.8835796057</v>
      </c>
      <c r="P6" s="43" t="n">
        <f aca="false">O6/(parametros_manuales!$B$7)</f>
        <v>4.119223864038</v>
      </c>
      <c r="Q6" s="8" t="str">
        <f aca="false">IF(O6=0,"-",INDEX($B$1:$M$1,MATCH(O6,B6:M6,0)))</f>
        <v>Ene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datos_base!$B$2+datos_base!$B$18+IF(parametros_manuales!$H$24="Todos",datos_base!$B$9+datos_base!$B$23,0))*parametros_manuales!$B$95+parametros_manuales!$E$24*(datos_base!$B$3+datos_base!$B$19+IF(parametros_manuales!$H$24="Todos",datos_base!$B$10+datos_base!$B$24,0))*parametros_manuales!$B$100+parametros_manuales!$F$24*(datos_base!$B$4+datos_base!$B$20+IF(parametros_manuales!$H$24="Todos",datos_base!$B$11+datos_base!$B$25,0))*parametros_manuales!$B$105+parametros_manuales!$G$24*(datos_base!$B$5+datos_base!$B$21+IF(parametros_manuales!$H$24="Todos",datos_base!$B$12+datos_base!$B$26,0))*parametros_manuales!$B$110)*parametros_manuales!$I$24*parametros_manuales!$J$24</f>
        <v>617.8835796057</v>
      </c>
      <c r="C7" s="9" t="n">
        <f aca="false">(parametros_manuales!$D$24*(datos_base!$B$2+datos_base!$B$18+IF(parametros_manuales!$H$24="Todos",datos_base!$B$9+datos_base!$B$23,0))*parametros_manuales!$C$95+parametros_manuales!$E$24*(datos_base!$B$3+datos_base!$B$19+IF(parametros_manuales!$H$24="Todos",datos_base!$B$10+datos_base!$B$24,0))*parametros_manuales!$C$100+parametros_manuales!$F$24*(datos_base!$B$4+datos_base!$B$20+IF(parametros_manuales!$H$24="Todos",datos_base!$B$11+datos_base!$B$25,0))*parametros_manuales!$C$105+parametros_manuales!$G$24*(datos_base!$B$5+datos_base!$B$21+IF(parametros_manuales!$H$24="Todos",datos_base!$B$12+datos_base!$B$26,0))*parametros_manuales!$C$110)*parametros_manuales!$I$24*parametros_manuales!$J$24</f>
        <v>591.0172139684</v>
      </c>
      <c r="D7" s="9" t="n">
        <f aca="false">(parametros_manuales!$D$24*(datos_base!$B$2+datos_base!$B$18+IF(parametros_manuales!$H$24="Todos",datos_base!$B$9+datos_base!$B$23,0))*parametros_manuales!$D$95+parametros_manuales!$E$24*(datos_base!$B$3+datos_base!$B$19+IF(parametros_manuales!$H$24="Todos",datos_base!$B$10+datos_base!$B$24,0))*parametros_manuales!$D$100+parametros_manuales!$F$24*(datos_base!$B$4+datos_base!$B$20+IF(parametros_manuales!$H$24="Todos",datos_base!$B$11+datos_base!$B$25,0))*parametros_manuales!$D$105+parametros_manuales!$G$24*(datos_base!$B$5+datos_base!$B$21+IF(parametros_manuales!$H$24="Todos",datos_base!$B$12+datos_base!$B$26,0))*parametros_manuales!$D$110)*parametros_manuales!$I$24*parametros_manuales!$J$24</f>
        <v>562.66303135705</v>
      </c>
      <c r="E7" s="9" t="n">
        <f aca="false">(parametros_manuales!$D$24*(datos_base!$B$2+datos_base!$B$18+IF(parametros_manuales!$H$24="Todos",datos_base!$B$9+datos_base!$B$23,0))*parametros_manuales!$E$95+parametros_manuales!$E$24*(datos_base!$B$3+datos_base!$B$19+IF(parametros_manuales!$H$24="Todos",datos_base!$B$10+datos_base!$B$24,0))*parametros_manuales!$E$100+parametros_manuales!$F$24*(datos_base!$B$4+datos_base!$B$20+IF(parametros_manuales!$H$24="Todos",datos_base!$B$11+datos_base!$B$25,0))*parametros_manuales!$E$105+parametros_manuales!$G$24*(datos_base!$B$5+datos_base!$B$21+IF(parametros_manuales!$H$24="Todos",datos_base!$B$12+datos_base!$B$26,0))*parametros_manuales!$E$110)*parametros_manuales!$I$24*parametros_manuales!$J$24</f>
        <v>541.76934864205</v>
      </c>
      <c r="F7" s="9" t="n">
        <f aca="false">(parametros_manuales!$D$24*(datos_base!$B$2+datos_base!$B$18+IF(parametros_manuales!$H$24="Todos",datos_base!$B$9+datos_base!$B$23,0))*parametros_manuales!$F$95+parametros_manuales!$E$24*(datos_base!$B$3+datos_base!$B$19+IF(parametros_manuales!$H$24="Todos",datos_base!$B$10+datos_base!$B$24,0))*parametros_manuales!$F$100+parametros_manuales!$F$24*(datos_base!$B$4+datos_base!$B$20+IF(parametros_manuales!$H$24="Todos",datos_base!$B$11+datos_base!$B$25,0))*parametros_manuales!$F$105+parametros_manuales!$G$24*(datos_base!$B$5+datos_base!$B$21+IF(parametros_manuales!$H$24="Todos",datos_base!$B$12+datos_base!$B$26,0))*parametros_manuales!$F$110)*parametros_manuales!$I$24*parametros_manuales!$J$24</f>
        <v>507.4424831084</v>
      </c>
      <c r="G7" s="9" t="n">
        <f aca="false">(parametros_manuales!$D$24*(datos_base!$B$2+datos_base!$B$18+IF(parametros_manuales!$H$24="Todos",datos_base!$B$9+datos_base!$B$23,0))*parametros_manuales!$G$95+parametros_manuales!$E$24*(datos_base!$B$3+datos_base!$B$19+IF(parametros_manuales!$H$24="Todos",datos_base!$B$10+datos_base!$B$24,0))*parametros_manuales!$G$100+parametros_manuales!$F$24*(datos_base!$B$4+datos_base!$B$20+IF(parametros_manuales!$H$24="Todos",datos_base!$B$11+datos_base!$B$25,0))*parametros_manuales!$G$105+parametros_manuales!$G$24*(datos_base!$B$5+datos_base!$B$21+IF(parametros_manuales!$H$24="Todos",datos_base!$B$12+datos_base!$B$26,0))*parametros_manuales!$G$110)*parametros_manuales!$I$24*parametros_manuales!$J$24</f>
        <v>494.00930028975</v>
      </c>
      <c r="H7" s="9" t="n">
        <f aca="false">(parametros_manuales!$D$24*(datos_base!$B$2+datos_base!$B$18+IF(parametros_manuales!$H$24="Todos",datos_base!$B$9+datos_base!$B$23,0))*parametros_manuales!$H$95+parametros_manuales!$E$24*(datos_base!$B$3+datos_base!$B$19+IF(parametros_manuales!$H$24="Todos",datos_base!$B$10+datos_base!$B$24,0))*parametros_manuales!$H$100+parametros_manuales!$F$24*(datos_base!$B$4+datos_base!$B$20+IF(parametros_manuales!$H$24="Todos",datos_base!$B$11+datos_base!$B$25,0))*parametros_manuales!$H$105+parametros_manuales!$G$24*(datos_base!$B$5+datos_base!$B$21+IF(parametros_manuales!$H$24="Todos",datos_base!$B$12+datos_base!$B$26,0))*parametros_manuales!$H$110)*parametros_manuales!$I$24*parametros_manuales!$J$24</f>
        <v>528.3361658234</v>
      </c>
      <c r="I7" s="9" t="n">
        <f aca="false">(parametros_manuales!$D$24*(datos_base!$B$2+datos_base!$B$18+IF(parametros_manuales!$H$24="Todos",datos_base!$B$9+datos_base!$B$23,0))*parametros_manuales!$I$95+parametros_manuales!$E$24*(datos_base!$B$3+datos_base!$B$19+IF(parametros_manuales!$H$24="Todos",datos_base!$B$10+datos_base!$B$24,0))*parametros_manuales!$I$100+parametros_manuales!$F$24*(datos_base!$B$4+datos_base!$B$20+IF(parametros_manuales!$H$24="Todos",datos_base!$B$11+datos_base!$B$25,0))*parametros_manuales!$I$105+parametros_manuales!$G$24*(datos_base!$B$5+datos_base!$B$21+IF(parametros_manuales!$H$24="Todos",datos_base!$B$12+datos_base!$B$26,0))*parametros_manuales!$I$110)*parametros_manuales!$I$24*parametros_manuales!$J$24</f>
        <v>591.0172139684</v>
      </c>
      <c r="J7" s="9" t="n">
        <f aca="false">(parametros_manuales!$D$24*(datos_base!$B$2+datos_base!$B$18+IF(parametros_manuales!$H$24="Todos",datos_base!$B$9+datos_base!$B$23,0))*parametros_manuales!$J$95+parametros_manuales!$E$24*(datos_base!$B$3+datos_base!$B$19+IF(parametros_manuales!$H$24="Todos",datos_base!$B$10+datos_base!$B$24,0))*parametros_manuales!$J$100+parametros_manuales!$F$24*(datos_base!$B$4+datos_base!$B$20+IF(parametros_manuales!$H$24="Todos",datos_base!$B$11+datos_base!$B$25,0))*parametros_manuales!$J$105+parametros_manuales!$G$24*(datos_base!$B$5+datos_base!$B$21+IF(parametros_manuales!$H$24="Todos",datos_base!$B$12+datos_base!$B$26,0))*parametros_manuales!$J$110)*parametros_manuales!$I$24*parametros_manuales!$J$24</f>
        <v>591.0172139684</v>
      </c>
      <c r="K7" s="9" t="n">
        <f aca="false">(parametros_manuales!$D$24*(datos_base!$B$2+datos_base!$B$18+IF(parametros_manuales!$H$24="Todos",datos_base!$B$9+datos_base!$B$23,0))*parametros_manuales!$K$95+parametros_manuales!$E$24*(datos_base!$B$3+datos_base!$B$19+IF(parametros_manuales!$H$24="Todos",datos_base!$B$10+datos_base!$B$24,0))*parametros_manuales!$K$100+parametros_manuales!$F$24*(datos_base!$B$4+datos_base!$B$20+IF(parametros_manuales!$H$24="Todos",datos_base!$B$11+datos_base!$B$25,0))*parametros_manuales!$K$105+parametros_manuales!$G$24*(datos_base!$B$5+datos_base!$B$21+IF(parametros_manuales!$H$24="Todos",datos_base!$B$12+datos_base!$B$26,0))*parametros_manuales!$K$110)*parametros_manuales!$I$24*parametros_manuales!$J$24</f>
        <v>604.45039678705</v>
      </c>
      <c r="L7" s="9" t="n">
        <f aca="false">(parametros_manuales!$D$24*(datos_base!$B$2+datos_base!$B$18+IF(parametros_manuales!$H$24="Todos",datos_base!$B$9+datos_base!$B$23,0))*parametros_manuales!$L$95+parametros_manuales!$E$24*(datos_base!$B$3+datos_base!$B$19+IF(parametros_manuales!$H$24="Todos",datos_base!$B$10+datos_base!$B$24,0))*parametros_manuales!$L$100+parametros_manuales!$F$24*(datos_base!$B$4+datos_base!$B$20+IF(parametros_manuales!$H$24="Todos",datos_base!$B$11+datos_base!$B$25,0))*parametros_manuales!$L$105+parametros_manuales!$G$24*(datos_base!$B$5+datos_base!$B$21+IF(parametros_manuales!$H$24="Todos",datos_base!$B$12+datos_base!$B$26,0))*parametros_manuales!$L$110)*parametros_manuales!$I$24*parametros_manuales!$J$24</f>
        <v>617.8835796057</v>
      </c>
      <c r="M7" s="9" t="n">
        <f aca="false">(parametros_manuales!$D$24*(datos_base!$B$2+datos_base!$B$18+IF(parametros_manuales!$H$24="Todos",datos_base!$B$9+datos_base!$B$23,0))*parametros_manuales!$M$95+parametros_manuales!$E$24*(datos_base!$B$3+datos_base!$B$19+IF(parametros_manuales!$H$24="Todos",datos_base!$B$10+datos_base!$B$24,0))*parametros_manuales!$M$100+parametros_manuales!$F$24*(datos_base!$B$4+datos_base!$B$20+IF(parametros_manuales!$H$24="Todos",datos_base!$B$11+datos_base!$B$25,0))*parametros_manuales!$M$105+parametros_manuales!$G$24*(datos_base!$B$5+datos_base!$B$21+IF(parametros_manuales!$H$24="Todos",datos_base!$B$12+datos_base!$B$26,0))*parametros_manuales!$M$110)*parametros_manuales!$I$24*parametros_manuales!$J$24</f>
        <v>617.8835796057</v>
      </c>
      <c r="N7" s="9" t="n">
        <f aca="false">SUM(B7:M7)</f>
        <v>6865.37310673</v>
      </c>
      <c r="O7" s="9" t="n">
        <f aca="false">MAX(B7:M7)</f>
        <v>617.8835796057</v>
      </c>
      <c r="P7" s="43" t="n">
        <f aca="false">O7/(parametros_manuales!$B$7)</f>
        <v>4.119223864038</v>
      </c>
      <c r="Q7" s="8" t="str">
        <f aca="false">IF(O7=0,"-",INDEX($B$1:$M$1,MATCH(O7,B7:M7,0)))</f>
        <v>Ene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datos_base!$B$2+datos_base!$B$18+IF(parametros_manuales!$H$25="Todos",datos_base!$B$9+datos_base!$B$23,0))*parametros_manuales!$B$95+parametros_manuales!$E$25*(datos_base!$B$3+datos_base!$B$19+IF(parametros_manuales!$H$25="Todos",datos_base!$B$10+datos_base!$B$24,0))*parametros_manuales!$B$100+parametros_manuales!$F$25*(datos_base!$B$4+datos_base!$B$20+IF(parametros_manuales!$H$25="Todos",datos_base!$B$11+datos_base!$B$25,0))*parametros_manuales!$B$105+parametros_manuales!$G$25*(datos_base!$B$5+datos_base!$B$21+IF(parametros_manuales!$H$25="Todos",datos_base!$B$12+datos_base!$B$26,0))*parametros_manuales!$B$110)*parametros_manuales!$I$25*parametros_manuales!$J$25</f>
        <v>617.8835796057</v>
      </c>
      <c r="C8" s="9" t="n">
        <f aca="false">(parametros_manuales!$D$25*(datos_base!$B$2+datos_base!$B$18+IF(parametros_manuales!$H$25="Todos",datos_base!$B$9+datos_base!$B$23,0))*parametros_manuales!$C$95+parametros_manuales!$E$25*(datos_base!$B$3+datos_base!$B$19+IF(parametros_manuales!$H$25="Todos",datos_base!$B$10+datos_base!$B$24,0))*parametros_manuales!$C$100+parametros_manuales!$F$25*(datos_base!$B$4+datos_base!$B$20+IF(parametros_manuales!$H$25="Todos",datos_base!$B$11+datos_base!$B$25,0))*parametros_manuales!$C$105+parametros_manuales!$G$25*(datos_base!$B$5+datos_base!$B$21+IF(parametros_manuales!$H$25="Todos",datos_base!$B$12+datos_base!$B$26,0))*parametros_manuales!$C$110)*parametros_manuales!$I$25*parametros_manuales!$J$25</f>
        <v>591.0172139684</v>
      </c>
      <c r="D8" s="9" t="n">
        <f aca="false">(parametros_manuales!$D$25*(datos_base!$B$2+datos_base!$B$18+IF(parametros_manuales!$H$25="Todos",datos_base!$B$9+datos_base!$B$23,0))*parametros_manuales!$D$95+parametros_manuales!$E$25*(datos_base!$B$3+datos_base!$B$19+IF(parametros_manuales!$H$25="Todos",datos_base!$B$10+datos_base!$B$24,0))*parametros_manuales!$D$100+parametros_manuales!$F$25*(datos_base!$B$4+datos_base!$B$20+IF(parametros_manuales!$H$25="Todos",datos_base!$B$11+datos_base!$B$25,0))*parametros_manuales!$D$105+parametros_manuales!$G$25*(datos_base!$B$5+datos_base!$B$21+IF(parametros_manuales!$H$25="Todos",datos_base!$B$12+datos_base!$B$26,0))*parametros_manuales!$D$110)*parametros_manuales!$I$25*parametros_manuales!$J$25</f>
        <v>562.66303135705</v>
      </c>
      <c r="E8" s="9" t="n">
        <f aca="false">(parametros_manuales!$D$25*(datos_base!$B$2+datos_base!$B$18+IF(parametros_manuales!$H$25="Todos",datos_base!$B$9+datos_base!$B$23,0))*parametros_manuales!$E$95+parametros_manuales!$E$25*(datos_base!$B$3+datos_base!$B$19+IF(parametros_manuales!$H$25="Todos",datos_base!$B$10+datos_base!$B$24,0))*parametros_manuales!$E$100+parametros_manuales!$F$25*(datos_base!$B$4+datos_base!$B$20+IF(parametros_manuales!$H$25="Todos",datos_base!$B$11+datos_base!$B$25,0))*parametros_manuales!$E$105+parametros_manuales!$G$25*(datos_base!$B$5+datos_base!$B$21+IF(parametros_manuales!$H$25="Todos",datos_base!$B$12+datos_base!$B$26,0))*parametros_manuales!$E$110)*parametros_manuales!$I$25*parametros_manuales!$J$25</f>
        <v>541.76934864205</v>
      </c>
      <c r="F8" s="9" t="n">
        <f aca="false">(parametros_manuales!$D$25*(datos_base!$B$2+datos_base!$B$18+IF(parametros_manuales!$H$25="Todos",datos_base!$B$9+datos_base!$B$23,0))*parametros_manuales!$F$95+parametros_manuales!$E$25*(datos_base!$B$3+datos_base!$B$19+IF(parametros_manuales!$H$25="Todos",datos_base!$B$10+datos_base!$B$24,0))*parametros_manuales!$F$100+parametros_manuales!$F$25*(datos_base!$B$4+datos_base!$B$20+IF(parametros_manuales!$H$25="Todos",datos_base!$B$11+datos_base!$B$25,0))*parametros_manuales!$F$105+parametros_manuales!$G$25*(datos_base!$B$5+datos_base!$B$21+IF(parametros_manuales!$H$25="Todos",datos_base!$B$12+datos_base!$B$26,0))*parametros_manuales!$F$110)*parametros_manuales!$I$25*parametros_manuales!$J$25</f>
        <v>507.4424831084</v>
      </c>
      <c r="G8" s="9" t="n">
        <f aca="false">(parametros_manuales!$D$25*(datos_base!$B$2+datos_base!$B$18+IF(parametros_manuales!$H$25="Todos",datos_base!$B$9+datos_base!$B$23,0))*parametros_manuales!$G$95+parametros_manuales!$E$25*(datos_base!$B$3+datos_base!$B$19+IF(parametros_manuales!$H$25="Todos",datos_base!$B$10+datos_base!$B$24,0))*parametros_manuales!$G$100+parametros_manuales!$F$25*(datos_base!$B$4+datos_base!$B$20+IF(parametros_manuales!$H$25="Todos",datos_base!$B$11+datos_base!$B$25,0))*parametros_manuales!$G$105+parametros_manuales!$G$25*(datos_base!$B$5+datos_base!$B$21+IF(parametros_manuales!$H$25="Todos",datos_base!$B$12+datos_base!$B$26,0))*parametros_manuales!$G$110)*parametros_manuales!$I$25*parametros_manuales!$J$25</f>
        <v>494.00930028975</v>
      </c>
      <c r="H8" s="9" t="n">
        <f aca="false">(parametros_manuales!$D$25*(datos_base!$B$2+datos_base!$B$18+IF(parametros_manuales!$H$25="Todos",datos_base!$B$9+datos_base!$B$23,0))*parametros_manuales!$H$95+parametros_manuales!$E$25*(datos_base!$B$3+datos_base!$B$19+IF(parametros_manuales!$H$25="Todos",datos_base!$B$10+datos_base!$B$24,0))*parametros_manuales!$H$100+parametros_manuales!$F$25*(datos_base!$B$4+datos_base!$B$20+IF(parametros_manuales!$H$25="Todos",datos_base!$B$11+datos_base!$B$25,0))*parametros_manuales!$H$105+parametros_manuales!$G$25*(datos_base!$B$5+datos_base!$B$21+IF(parametros_manuales!$H$25="Todos",datos_base!$B$12+datos_base!$B$26,0))*parametros_manuales!$H$110)*parametros_manuales!$I$25*parametros_manuales!$J$25</f>
        <v>528.3361658234</v>
      </c>
      <c r="I8" s="9" t="n">
        <f aca="false">(parametros_manuales!$D$25*(datos_base!$B$2+datos_base!$B$18+IF(parametros_manuales!$H$25="Todos",datos_base!$B$9+datos_base!$B$23,0))*parametros_manuales!$I$95+parametros_manuales!$E$25*(datos_base!$B$3+datos_base!$B$19+IF(parametros_manuales!$H$25="Todos",datos_base!$B$10+datos_base!$B$24,0))*parametros_manuales!$I$100+parametros_manuales!$F$25*(datos_base!$B$4+datos_base!$B$20+IF(parametros_manuales!$H$25="Todos",datos_base!$B$11+datos_base!$B$25,0))*parametros_manuales!$I$105+parametros_manuales!$G$25*(datos_base!$B$5+datos_base!$B$21+IF(parametros_manuales!$H$25="Todos",datos_base!$B$12+datos_base!$B$26,0))*parametros_manuales!$I$110)*parametros_manuales!$I$25*parametros_manuales!$J$25</f>
        <v>591.0172139684</v>
      </c>
      <c r="J8" s="9" t="n">
        <f aca="false">(parametros_manuales!$D$25*(datos_base!$B$2+datos_base!$B$18+IF(parametros_manuales!$H$25="Todos",datos_base!$B$9+datos_base!$B$23,0))*parametros_manuales!$J$95+parametros_manuales!$E$25*(datos_base!$B$3+datos_base!$B$19+IF(parametros_manuales!$H$25="Todos",datos_base!$B$10+datos_base!$B$24,0))*parametros_manuales!$J$100+parametros_manuales!$F$25*(datos_base!$B$4+datos_base!$B$20+IF(parametros_manuales!$H$25="Todos",datos_base!$B$11+datos_base!$B$25,0))*parametros_manuales!$J$105+parametros_manuales!$G$25*(datos_base!$B$5+datos_base!$B$21+IF(parametros_manuales!$H$25="Todos",datos_base!$B$12+datos_base!$B$26,0))*parametros_manuales!$J$110)*parametros_manuales!$I$25*parametros_manuales!$J$25</f>
        <v>591.0172139684</v>
      </c>
      <c r="K8" s="9" t="n">
        <f aca="false">(parametros_manuales!$D$25*(datos_base!$B$2+datos_base!$B$18+IF(parametros_manuales!$H$25="Todos",datos_base!$B$9+datos_base!$B$23,0))*parametros_manuales!$K$95+parametros_manuales!$E$25*(datos_base!$B$3+datos_base!$B$19+IF(parametros_manuales!$H$25="Todos",datos_base!$B$10+datos_base!$B$24,0))*parametros_manuales!$K$100+parametros_manuales!$F$25*(datos_base!$B$4+datos_base!$B$20+IF(parametros_manuales!$H$25="Todos",datos_base!$B$11+datos_base!$B$25,0))*parametros_manuales!$K$105+parametros_manuales!$G$25*(datos_base!$B$5+datos_base!$B$21+IF(parametros_manuales!$H$25="Todos",datos_base!$B$12+datos_base!$B$26,0))*parametros_manuales!$K$110)*parametros_manuales!$I$25*parametros_manuales!$J$25</f>
        <v>604.45039678705</v>
      </c>
      <c r="L8" s="9" t="n">
        <f aca="false">(parametros_manuales!$D$25*(datos_base!$B$2+datos_base!$B$18+IF(parametros_manuales!$H$25="Todos",datos_base!$B$9+datos_base!$B$23,0))*parametros_manuales!$L$95+parametros_manuales!$E$25*(datos_base!$B$3+datos_base!$B$19+IF(parametros_manuales!$H$25="Todos",datos_base!$B$10+datos_base!$B$24,0))*parametros_manuales!$L$100+parametros_manuales!$F$25*(datos_base!$B$4+datos_base!$B$20+IF(parametros_manuales!$H$25="Todos",datos_base!$B$11+datos_base!$B$25,0))*parametros_manuales!$L$105+parametros_manuales!$G$25*(datos_base!$B$5+datos_base!$B$21+IF(parametros_manuales!$H$25="Todos",datos_base!$B$12+datos_base!$B$26,0))*parametros_manuales!$L$110)*parametros_manuales!$I$25*parametros_manuales!$J$25</f>
        <v>617.8835796057</v>
      </c>
      <c r="M8" s="9" t="n">
        <f aca="false">(parametros_manuales!$D$25*(datos_base!$B$2+datos_base!$B$18+IF(parametros_manuales!$H$25="Todos",datos_base!$B$9+datos_base!$B$23,0))*parametros_manuales!$M$95+parametros_manuales!$E$25*(datos_base!$B$3+datos_base!$B$19+IF(parametros_manuales!$H$25="Todos",datos_base!$B$10+datos_base!$B$24,0))*parametros_manuales!$M$100+parametros_manuales!$F$25*(datos_base!$B$4+datos_base!$B$20+IF(parametros_manuales!$H$25="Todos",datos_base!$B$11+datos_base!$B$25,0))*parametros_manuales!$M$105+parametros_manuales!$G$25*(datos_base!$B$5+datos_base!$B$21+IF(parametros_manuales!$H$25="Todos",datos_base!$B$12+datos_base!$B$26,0))*parametros_manuales!$M$110)*parametros_manuales!$I$25*parametros_manuales!$J$25</f>
        <v>617.8835796057</v>
      </c>
      <c r="N8" s="9" t="n">
        <f aca="false">SUM(B8:M8)</f>
        <v>6865.37310673</v>
      </c>
      <c r="O8" s="9" t="n">
        <f aca="false">MAX(B8:M8)</f>
        <v>617.8835796057</v>
      </c>
      <c r="P8" s="43" t="n">
        <f aca="false">O8/(parametros_manuales!$B$7)</f>
        <v>4.119223864038</v>
      </c>
      <c r="Q8" s="8" t="str">
        <f aca="false">IF(O8=0,"-",INDEX($B$1:$M$1,MATCH(O8,B8:M8,0)))</f>
        <v>Ene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datos_base!$B$2+datos_base!$B$18+IF(parametros_manuales!$H$26="Todos",datos_base!$B$9+datos_base!$B$23,0))*parametros_manuales!$B$95+parametros_manuales!$E$26*(datos_base!$B$3+datos_base!$B$19+IF(parametros_manuales!$H$26="Todos",datos_base!$B$10+datos_base!$B$24,0))*parametros_manuales!$B$100+parametros_manuales!$F$26*(datos_base!$B$4+datos_base!$B$20+IF(parametros_manuales!$H$26="Todos",datos_base!$B$11+datos_base!$B$25,0))*parametros_manuales!$B$105+parametros_manuales!$G$26*(datos_base!$B$5+datos_base!$B$21+IF(parametros_manuales!$H$26="Todos",datos_base!$B$12+datos_base!$B$26,0))*parametros_manuales!$B$110)*parametros_manuales!$I$26*parametros_manuales!$J$26</f>
        <v>241.7972907357</v>
      </c>
      <c r="C9" s="9" t="n">
        <f aca="false">(parametros_manuales!$D$26*(datos_base!$B$2+datos_base!$B$18+IF(parametros_manuales!$H$26="Todos",datos_base!$B$9+datos_base!$B$23,0))*parametros_manuales!$C$95+parametros_manuales!$E$26*(datos_base!$B$3+datos_base!$B$19+IF(parametros_manuales!$H$26="Todos",datos_base!$B$10+datos_base!$B$24,0))*parametros_manuales!$C$100+parametros_manuales!$F$26*(datos_base!$B$4+datos_base!$B$20+IF(parametros_manuales!$H$26="Todos",datos_base!$B$11+datos_base!$B$25,0))*parametros_manuales!$C$105+parametros_manuales!$G$26*(datos_base!$B$5+datos_base!$B$21+IF(parametros_manuales!$H$26="Todos",datos_base!$B$12+datos_base!$B$26,0))*parametros_manuales!$C$110)*parametros_manuales!$I$26*parametros_manuales!$J$26</f>
        <v>214.9309250984</v>
      </c>
      <c r="D9" s="9" t="n">
        <f aca="false">(parametros_manuales!$D$26*(datos_base!$B$2+datos_base!$B$18+IF(parametros_manuales!$H$26="Todos",datos_base!$B$9+datos_base!$B$23,0))*parametros_manuales!$D$95+parametros_manuales!$E$26*(datos_base!$B$3+datos_base!$B$19+IF(parametros_manuales!$H$26="Todos",datos_base!$B$10+datos_base!$B$24,0))*parametros_manuales!$D$100+parametros_manuales!$F$26*(datos_base!$B$4+datos_base!$B$20+IF(parametros_manuales!$H$26="Todos",datos_base!$B$11+datos_base!$B$25,0))*parametros_manuales!$D$105+parametros_manuales!$G$26*(datos_base!$B$5+datos_base!$B$21+IF(parametros_manuales!$H$26="Todos",datos_base!$B$12+datos_base!$B$26,0))*parametros_manuales!$D$110)*parametros_manuales!$I$26*parametros_manuales!$J$26</f>
        <v>228.36410791705</v>
      </c>
      <c r="E9" s="9" t="n">
        <f aca="false">(parametros_manuales!$D$26*(datos_base!$B$2+datos_base!$B$18+IF(parametros_manuales!$H$26="Todos",datos_base!$B$9+datos_base!$B$23,0))*parametros_manuales!$E$95+parametros_manuales!$E$26*(datos_base!$B$3+datos_base!$B$19+IF(parametros_manuales!$H$26="Todos",datos_base!$B$10+datos_base!$B$24,0))*parametros_manuales!$E$100+parametros_manuales!$F$26*(datos_base!$B$4+datos_base!$B$20+IF(parametros_manuales!$H$26="Todos",datos_base!$B$11+datos_base!$B$25,0))*parametros_manuales!$E$105+parametros_manuales!$G$26*(datos_base!$B$5+datos_base!$B$21+IF(parametros_manuales!$H$26="Todos",datos_base!$B$12+datos_base!$B$26,0))*parametros_manuales!$E$110)*parametros_manuales!$I$26*parametros_manuales!$J$26</f>
        <v>228.36410791705</v>
      </c>
      <c r="F9" s="9" t="n">
        <f aca="false">(parametros_manuales!$D$26*(datos_base!$B$2+datos_base!$B$18+IF(parametros_manuales!$H$26="Todos",datos_base!$B$9+datos_base!$B$23,0))*parametros_manuales!$F$95+parametros_manuales!$E$26*(datos_base!$B$3+datos_base!$B$19+IF(parametros_manuales!$H$26="Todos",datos_base!$B$10+datos_base!$B$24,0))*parametros_manuales!$F$100+parametros_manuales!$F$26*(datos_base!$B$4+datos_base!$B$20+IF(parametros_manuales!$H$26="Todos",datos_base!$B$11+datos_base!$B$25,0))*parametros_manuales!$F$105+parametros_manuales!$G$26*(datos_base!$B$5+datos_base!$B$21+IF(parametros_manuales!$H$26="Todos",datos_base!$B$12+datos_base!$B$26,0))*parametros_manuales!$F$110)*parametros_manuales!$I$26*parametros_manuales!$J$26</f>
        <v>214.9309250984</v>
      </c>
      <c r="G9" s="9" t="n">
        <f aca="false">(parametros_manuales!$D$26*(datos_base!$B$2+datos_base!$B$18+IF(parametros_manuales!$H$26="Todos",datos_base!$B$9+datos_base!$B$23,0))*parametros_manuales!$G$95+parametros_manuales!$E$26*(datos_base!$B$3+datos_base!$B$19+IF(parametros_manuales!$H$26="Todos",datos_base!$B$10+datos_base!$B$24,0))*parametros_manuales!$G$100+parametros_manuales!$F$26*(datos_base!$B$4+datos_base!$B$20+IF(parametros_manuales!$H$26="Todos",datos_base!$B$11+datos_base!$B$25,0))*parametros_manuales!$G$105+parametros_manuales!$G$26*(datos_base!$B$5+datos_base!$B$21+IF(parametros_manuales!$H$26="Todos",datos_base!$B$12+datos_base!$B$26,0))*parametros_manuales!$G$110)*parametros_manuales!$I$26*parametros_manuales!$J$26</f>
        <v>201.49774227975</v>
      </c>
      <c r="H9" s="9" t="n">
        <f aca="false">(parametros_manuales!$D$26*(datos_base!$B$2+datos_base!$B$18+IF(parametros_manuales!$H$26="Todos",datos_base!$B$9+datos_base!$B$23,0))*parametros_manuales!$H$95+parametros_manuales!$E$26*(datos_base!$B$3+datos_base!$B$19+IF(parametros_manuales!$H$26="Todos",datos_base!$B$10+datos_base!$B$24,0))*parametros_manuales!$H$100+parametros_manuales!$F$26*(datos_base!$B$4+datos_base!$B$20+IF(parametros_manuales!$H$26="Todos",datos_base!$B$11+datos_base!$B$25,0))*parametros_manuales!$H$105+parametros_manuales!$G$26*(datos_base!$B$5+datos_base!$B$21+IF(parametros_manuales!$H$26="Todos",datos_base!$B$12+datos_base!$B$26,0))*parametros_manuales!$H$110)*parametros_manuales!$I$26*parametros_manuales!$J$26</f>
        <v>214.9309250984</v>
      </c>
      <c r="I9" s="9" t="n">
        <f aca="false">(parametros_manuales!$D$26*(datos_base!$B$2+datos_base!$B$18+IF(parametros_manuales!$H$26="Todos",datos_base!$B$9+datos_base!$B$23,0))*parametros_manuales!$I$95+parametros_manuales!$E$26*(datos_base!$B$3+datos_base!$B$19+IF(parametros_manuales!$H$26="Todos",datos_base!$B$10+datos_base!$B$24,0))*parametros_manuales!$I$100+parametros_manuales!$F$26*(datos_base!$B$4+datos_base!$B$20+IF(parametros_manuales!$H$26="Todos",datos_base!$B$11+datos_base!$B$25,0))*parametros_manuales!$I$105+parametros_manuales!$G$26*(datos_base!$B$5+datos_base!$B$21+IF(parametros_manuales!$H$26="Todos",datos_base!$B$12+datos_base!$B$26,0))*parametros_manuales!$I$110)*parametros_manuales!$I$26*parametros_manuales!$J$26</f>
        <v>214.9309250984</v>
      </c>
      <c r="J9" s="9" t="n">
        <f aca="false">(parametros_manuales!$D$26*(datos_base!$B$2+datos_base!$B$18+IF(parametros_manuales!$H$26="Todos",datos_base!$B$9+datos_base!$B$23,0))*parametros_manuales!$J$95+parametros_manuales!$E$26*(datos_base!$B$3+datos_base!$B$19+IF(parametros_manuales!$H$26="Todos",datos_base!$B$10+datos_base!$B$24,0))*parametros_manuales!$J$100+parametros_manuales!$F$26*(datos_base!$B$4+datos_base!$B$20+IF(parametros_manuales!$H$26="Todos",datos_base!$B$11+datos_base!$B$25,0))*parametros_manuales!$J$105+parametros_manuales!$G$26*(datos_base!$B$5+datos_base!$B$21+IF(parametros_manuales!$H$26="Todos",datos_base!$B$12+datos_base!$B$26,0))*parametros_manuales!$J$110)*parametros_manuales!$I$26*parametros_manuales!$J$26</f>
        <v>214.9309250984</v>
      </c>
      <c r="K9" s="9" t="n">
        <f aca="false">(parametros_manuales!$D$26*(datos_base!$B$2+datos_base!$B$18+IF(parametros_manuales!$H$26="Todos",datos_base!$B$9+datos_base!$B$23,0))*parametros_manuales!$K$95+parametros_manuales!$E$26*(datos_base!$B$3+datos_base!$B$19+IF(parametros_manuales!$H$26="Todos",datos_base!$B$10+datos_base!$B$24,0))*parametros_manuales!$K$100+parametros_manuales!$F$26*(datos_base!$B$4+datos_base!$B$20+IF(parametros_manuales!$H$26="Todos",datos_base!$B$11+datos_base!$B$25,0))*parametros_manuales!$K$105+parametros_manuales!$G$26*(datos_base!$B$5+datos_base!$B$21+IF(parametros_manuales!$H$26="Todos",datos_base!$B$12+datos_base!$B$26,0))*parametros_manuales!$K$110)*parametros_manuales!$I$26*parametros_manuales!$J$26</f>
        <v>228.36410791705</v>
      </c>
      <c r="L9" s="9" t="n">
        <f aca="false">(parametros_manuales!$D$26*(datos_base!$B$2+datos_base!$B$18+IF(parametros_manuales!$H$26="Todos",datos_base!$B$9+datos_base!$B$23,0))*parametros_manuales!$L$95+parametros_manuales!$E$26*(datos_base!$B$3+datos_base!$B$19+IF(parametros_manuales!$H$26="Todos",datos_base!$B$10+datos_base!$B$24,0))*parametros_manuales!$L$100+parametros_manuales!$F$26*(datos_base!$B$4+datos_base!$B$20+IF(parametros_manuales!$H$26="Todos",datos_base!$B$11+datos_base!$B$25,0))*parametros_manuales!$L$105+parametros_manuales!$G$26*(datos_base!$B$5+datos_base!$B$21+IF(parametros_manuales!$H$26="Todos",datos_base!$B$12+datos_base!$B$26,0))*parametros_manuales!$L$110)*parametros_manuales!$I$26*parametros_manuales!$J$26</f>
        <v>241.7972907357</v>
      </c>
      <c r="M9" s="9" t="n">
        <f aca="false">(parametros_manuales!$D$26*(datos_base!$B$2+datos_base!$B$18+IF(parametros_manuales!$H$26="Todos",datos_base!$B$9+datos_base!$B$23,0))*parametros_manuales!$M$95+parametros_manuales!$E$26*(datos_base!$B$3+datos_base!$B$19+IF(parametros_manuales!$H$26="Todos",datos_base!$B$10+datos_base!$B$24,0))*parametros_manuales!$M$100+parametros_manuales!$F$26*(datos_base!$B$4+datos_base!$B$20+IF(parametros_manuales!$H$26="Todos",datos_base!$B$11+datos_base!$B$25,0))*parametros_manuales!$M$105+parametros_manuales!$G$26*(datos_base!$B$5+datos_base!$B$21+IF(parametros_manuales!$H$26="Todos",datos_base!$B$12+datos_base!$B$26,0))*parametros_manuales!$M$110)*parametros_manuales!$I$26*parametros_manuales!$J$26</f>
        <v>241.7972907357</v>
      </c>
      <c r="N9" s="9" t="n">
        <f aca="false">SUM(B9:M9)</f>
        <v>2686.63656373</v>
      </c>
      <c r="O9" s="9" t="n">
        <f aca="false">MAX(B9:M9)</f>
        <v>241.7972907357</v>
      </c>
      <c r="P9" s="43" t="n">
        <f aca="false">O9/(parametros_manuales!$B$7)</f>
        <v>1.611981938238</v>
      </c>
      <c r="Q9" s="8" t="str">
        <f aca="false">IF(O9=0,"-",INDEX($B$1:$M$1,MATCH(O9,B9:M9,0)))</f>
        <v>Ene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datos_base!$B$2+datos_base!$B$18+IF(parametros_manuales!$H$27="Todos",datos_base!$B$9+datos_base!$B$23,0))*parametros_manuales!$B$95+parametros_manuales!$E$27*(datos_base!$B$3+datos_base!$B$19+IF(parametros_manuales!$H$27="Todos",datos_base!$B$10+datos_base!$B$24,0))*parametros_manuales!$B$100+parametros_manuales!$F$27*(datos_base!$B$4+datos_base!$B$20+IF(parametros_manuales!$H$27="Todos",datos_base!$B$11+datos_base!$B$25,0))*parametros_manuales!$B$105+parametros_manuales!$G$27*(datos_base!$B$5+datos_base!$B$21+IF(parametros_manuales!$H$27="Todos",datos_base!$B$12+datos_base!$B$26,0))*parametros_manuales!$B$110)*parametros_manuales!$I$27*parametros_manuales!$J$27</f>
        <v>241.7972907357</v>
      </c>
      <c r="C10" s="9" t="n">
        <f aca="false">(parametros_manuales!$D$27*(datos_base!$B$2+datos_base!$B$18+IF(parametros_manuales!$H$27="Todos",datos_base!$B$9+datos_base!$B$23,0))*parametros_manuales!$C$95+parametros_manuales!$E$27*(datos_base!$B$3+datos_base!$B$19+IF(parametros_manuales!$H$27="Todos",datos_base!$B$10+datos_base!$B$24,0))*parametros_manuales!$C$100+parametros_manuales!$F$27*(datos_base!$B$4+datos_base!$B$20+IF(parametros_manuales!$H$27="Todos",datos_base!$B$11+datos_base!$B$25,0))*parametros_manuales!$C$105+parametros_manuales!$G$27*(datos_base!$B$5+datos_base!$B$21+IF(parametros_manuales!$H$27="Todos",datos_base!$B$12+datos_base!$B$26,0))*parametros_manuales!$C$110)*parametros_manuales!$I$27*parametros_manuales!$J$27</f>
        <v>214.9309250984</v>
      </c>
      <c r="D10" s="9" t="n">
        <f aca="false">(parametros_manuales!$D$27*(datos_base!$B$2+datos_base!$B$18+IF(parametros_manuales!$H$27="Todos",datos_base!$B$9+datos_base!$B$23,0))*parametros_manuales!$D$95+parametros_manuales!$E$27*(datos_base!$B$3+datos_base!$B$19+IF(parametros_manuales!$H$27="Todos",datos_base!$B$10+datos_base!$B$24,0))*parametros_manuales!$D$100+parametros_manuales!$F$27*(datos_base!$B$4+datos_base!$B$20+IF(parametros_manuales!$H$27="Todos",datos_base!$B$11+datos_base!$B$25,0))*parametros_manuales!$D$105+parametros_manuales!$G$27*(datos_base!$B$5+datos_base!$B$21+IF(parametros_manuales!$H$27="Todos",datos_base!$B$12+datos_base!$B$26,0))*parametros_manuales!$D$110)*parametros_manuales!$I$27*parametros_manuales!$J$27</f>
        <v>228.36410791705</v>
      </c>
      <c r="E10" s="9" t="n">
        <f aca="false">(parametros_manuales!$D$27*(datos_base!$B$2+datos_base!$B$18+IF(parametros_manuales!$H$27="Todos",datos_base!$B$9+datos_base!$B$23,0))*parametros_manuales!$E$95+parametros_manuales!$E$27*(datos_base!$B$3+datos_base!$B$19+IF(parametros_manuales!$H$27="Todos",datos_base!$B$10+datos_base!$B$24,0))*parametros_manuales!$E$100+parametros_manuales!$F$27*(datos_base!$B$4+datos_base!$B$20+IF(parametros_manuales!$H$27="Todos",datos_base!$B$11+datos_base!$B$25,0))*parametros_manuales!$E$105+parametros_manuales!$G$27*(datos_base!$B$5+datos_base!$B$21+IF(parametros_manuales!$H$27="Todos",datos_base!$B$12+datos_base!$B$26,0))*parametros_manuales!$E$110)*parametros_manuales!$I$27*parametros_manuales!$J$27</f>
        <v>228.36410791705</v>
      </c>
      <c r="F10" s="9" t="n">
        <f aca="false">(parametros_manuales!$D$27*(datos_base!$B$2+datos_base!$B$18+IF(parametros_manuales!$H$27="Todos",datos_base!$B$9+datos_base!$B$23,0))*parametros_manuales!$F$95+parametros_manuales!$E$27*(datos_base!$B$3+datos_base!$B$19+IF(parametros_manuales!$H$27="Todos",datos_base!$B$10+datos_base!$B$24,0))*parametros_manuales!$F$100+parametros_manuales!$F$27*(datos_base!$B$4+datos_base!$B$20+IF(parametros_manuales!$H$27="Todos",datos_base!$B$11+datos_base!$B$25,0))*parametros_manuales!$F$105+parametros_manuales!$G$27*(datos_base!$B$5+datos_base!$B$21+IF(parametros_manuales!$H$27="Todos",datos_base!$B$12+datos_base!$B$26,0))*parametros_manuales!$F$110)*parametros_manuales!$I$27*parametros_manuales!$J$27</f>
        <v>214.9309250984</v>
      </c>
      <c r="G10" s="9" t="n">
        <f aca="false">(parametros_manuales!$D$27*(datos_base!$B$2+datos_base!$B$18+IF(parametros_manuales!$H$27="Todos",datos_base!$B$9+datos_base!$B$23,0))*parametros_manuales!$G$95+parametros_manuales!$E$27*(datos_base!$B$3+datos_base!$B$19+IF(parametros_manuales!$H$27="Todos",datos_base!$B$10+datos_base!$B$24,0))*parametros_manuales!$G$100+parametros_manuales!$F$27*(datos_base!$B$4+datos_base!$B$20+IF(parametros_manuales!$H$27="Todos",datos_base!$B$11+datos_base!$B$25,0))*parametros_manuales!$G$105+parametros_manuales!$G$27*(datos_base!$B$5+datos_base!$B$21+IF(parametros_manuales!$H$27="Todos",datos_base!$B$12+datos_base!$B$26,0))*parametros_manuales!$G$110)*parametros_manuales!$I$27*parametros_manuales!$J$27</f>
        <v>201.49774227975</v>
      </c>
      <c r="H10" s="9" t="n">
        <f aca="false">(parametros_manuales!$D$27*(datos_base!$B$2+datos_base!$B$18+IF(parametros_manuales!$H$27="Todos",datos_base!$B$9+datos_base!$B$23,0))*parametros_manuales!$H$95+parametros_manuales!$E$27*(datos_base!$B$3+datos_base!$B$19+IF(parametros_manuales!$H$27="Todos",datos_base!$B$10+datos_base!$B$24,0))*parametros_manuales!$H$100+parametros_manuales!$F$27*(datos_base!$B$4+datos_base!$B$20+IF(parametros_manuales!$H$27="Todos",datos_base!$B$11+datos_base!$B$25,0))*parametros_manuales!$H$105+parametros_manuales!$G$27*(datos_base!$B$5+datos_base!$B$21+IF(parametros_manuales!$H$27="Todos",datos_base!$B$12+datos_base!$B$26,0))*parametros_manuales!$H$110)*parametros_manuales!$I$27*parametros_manuales!$J$27</f>
        <v>214.9309250984</v>
      </c>
      <c r="I10" s="9" t="n">
        <f aca="false">(parametros_manuales!$D$27*(datos_base!$B$2+datos_base!$B$18+IF(parametros_manuales!$H$27="Todos",datos_base!$B$9+datos_base!$B$23,0))*parametros_manuales!$I$95+parametros_manuales!$E$27*(datos_base!$B$3+datos_base!$B$19+IF(parametros_manuales!$H$27="Todos",datos_base!$B$10+datos_base!$B$24,0))*parametros_manuales!$I$100+parametros_manuales!$F$27*(datos_base!$B$4+datos_base!$B$20+IF(parametros_manuales!$H$27="Todos",datos_base!$B$11+datos_base!$B$25,0))*parametros_manuales!$I$105+parametros_manuales!$G$27*(datos_base!$B$5+datos_base!$B$21+IF(parametros_manuales!$H$27="Todos",datos_base!$B$12+datos_base!$B$26,0))*parametros_manuales!$I$110)*parametros_manuales!$I$27*parametros_manuales!$J$27</f>
        <v>214.9309250984</v>
      </c>
      <c r="J10" s="9" t="n">
        <f aca="false">(parametros_manuales!$D$27*(datos_base!$B$2+datos_base!$B$18+IF(parametros_manuales!$H$27="Todos",datos_base!$B$9+datos_base!$B$23,0))*parametros_manuales!$J$95+parametros_manuales!$E$27*(datos_base!$B$3+datos_base!$B$19+IF(parametros_manuales!$H$27="Todos",datos_base!$B$10+datos_base!$B$24,0))*parametros_manuales!$J$100+parametros_manuales!$F$27*(datos_base!$B$4+datos_base!$B$20+IF(parametros_manuales!$H$27="Todos",datos_base!$B$11+datos_base!$B$25,0))*parametros_manuales!$J$105+parametros_manuales!$G$27*(datos_base!$B$5+datos_base!$B$21+IF(parametros_manuales!$H$27="Todos",datos_base!$B$12+datos_base!$B$26,0))*parametros_manuales!$J$110)*parametros_manuales!$I$27*parametros_manuales!$J$27</f>
        <v>214.9309250984</v>
      </c>
      <c r="K10" s="9" t="n">
        <f aca="false">(parametros_manuales!$D$27*(datos_base!$B$2+datos_base!$B$18+IF(parametros_manuales!$H$27="Todos",datos_base!$B$9+datos_base!$B$23,0))*parametros_manuales!$K$95+parametros_manuales!$E$27*(datos_base!$B$3+datos_base!$B$19+IF(parametros_manuales!$H$27="Todos",datos_base!$B$10+datos_base!$B$24,0))*parametros_manuales!$K$100+parametros_manuales!$F$27*(datos_base!$B$4+datos_base!$B$20+IF(parametros_manuales!$H$27="Todos",datos_base!$B$11+datos_base!$B$25,0))*parametros_manuales!$K$105+parametros_manuales!$G$27*(datos_base!$B$5+datos_base!$B$21+IF(parametros_manuales!$H$27="Todos",datos_base!$B$12+datos_base!$B$26,0))*parametros_manuales!$K$110)*parametros_manuales!$I$27*parametros_manuales!$J$27</f>
        <v>228.36410791705</v>
      </c>
      <c r="L10" s="9" t="n">
        <f aca="false">(parametros_manuales!$D$27*(datos_base!$B$2+datos_base!$B$18+IF(parametros_manuales!$H$27="Todos",datos_base!$B$9+datos_base!$B$23,0))*parametros_manuales!$L$95+parametros_manuales!$E$27*(datos_base!$B$3+datos_base!$B$19+IF(parametros_manuales!$H$27="Todos",datos_base!$B$10+datos_base!$B$24,0))*parametros_manuales!$L$100+parametros_manuales!$F$27*(datos_base!$B$4+datos_base!$B$20+IF(parametros_manuales!$H$27="Todos",datos_base!$B$11+datos_base!$B$25,0))*parametros_manuales!$L$105+parametros_manuales!$G$27*(datos_base!$B$5+datos_base!$B$21+IF(parametros_manuales!$H$27="Todos",datos_base!$B$12+datos_base!$B$26,0))*parametros_manuales!$L$110)*parametros_manuales!$I$27*parametros_manuales!$J$27</f>
        <v>241.7972907357</v>
      </c>
      <c r="M10" s="9" t="n">
        <f aca="false">(parametros_manuales!$D$27*(datos_base!$B$2+datos_base!$B$18+IF(parametros_manuales!$H$27="Todos",datos_base!$B$9+datos_base!$B$23,0))*parametros_manuales!$M$95+parametros_manuales!$E$27*(datos_base!$B$3+datos_base!$B$19+IF(parametros_manuales!$H$27="Todos",datos_base!$B$10+datos_base!$B$24,0))*parametros_manuales!$M$100+parametros_manuales!$F$27*(datos_base!$B$4+datos_base!$B$20+IF(parametros_manuales!$H$27="Todos",datos_base!$B$11+datos_base!$B$25,0))*parametros_manuales!$M$105+parametros_manuales!$G$27*(datos_base!$B$5+datos_base!$B$21+IF(parametros_manuales!$H$27="Todos",datos_base!$B$12+datos_base!$B$26,0))*parametros_manuales!$M$110)*parametros_manuales!$I$27*parametros_manuales!$J$27</f>
        <v>241.7972907357</v>
      </c>
      <c r="N10" s="9" t="n">
        <f aca="false">SUM(B10:M10)</f>
        <v>2686.63656373</v>
      </c>
      <c r="O10" s="9" t="n">
        <f aca="false">MAX(B10:M10)</f>
        <v>241.7972907357</v>
      </c>
      <c r="P10" s="43" t="n">
        <f aca="false">O10/(parametros_manuales!$B$7)</f>
        <v>1.611981938238</v>
      </c>
      <c r="Q10" s="8" t="str">
        <f aca="false">IF(O10=0,"-",INDEX($B$1:$M$1,MATCH(O10,B10:M10,0)))</f>
        <v>Ene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datos_base!$B$2+datos_base!$B$18+IF(parametros_manuales!$H$28="Todos",datos_base!$B$9+datos_base!$B$23,0))*parametros_manuales!$B$95+parametros_manuales!$E$28*(datos_base!$B$3+datos_base!$B$19+IF(parametros_manuales!$H$28="Todos",datos_base!$B$10+datos_base!$B$24,0))*parametros_manuales!$B$100+parametros_manuales!$F$28*(datos_base!$B$4+datos_base!$B$20+IF(parametros_manuales!$H$28="Todos",datos_base!$B$11+datos_base!$B$25,0))*parametros_manuales!$B$105+parametros_manuales!$G$28*(datos_base!$B$5+datos_base!$B$21+IF(parametros_manuales!$H$28="Todos",datos_base!$B$12+datos_base!$B$26,0))*parametros_manuales!$B$110)*parametros_manuales!$I$28*parametros_manuales!$J$28</f>
        <v>617.8835796057</v>
      </c>
      <c r="C11" s="9" t="n">
        <f aca="false">(parametros_manuales!$D$28*(datos_base!$B$2+datos_base!$B$18+IF(parametros_manuales!$H$28="Todos",datos_base!$B$9+datos_base!$B$23,0))*parametros_manuales!$C$95+parametros_manuales!$E$28*(datos_base!$B$3+datos_base!$B$19+IF(parametros_manuales!$H$28="Todos",datos_base!$B$10+datos_base!$B$24,0))*parametros_manuales!$C$100+parametros_manuales!$F$28*(datos_base!$B$4+datos_base!$B$20+IF(parametros_manuales!$H$28="Todos",datos_base!$B$11+datos_base!$B$25,0))*parametros_manuales!$C$105+parametros_manuales!$G$28*(datos_base!$B$5+datos_base!$B$21+IF(parametros_manuales!$H$28="Todos",datos_base!$B$12+datos_base!$B$26,0))*parametros_manuales!$C$110)*parametros_manuales!$I$28*parametros_manuales!$J$28</f>
        <v>591.0172139684</v>
      </c>
      <c r="D11" s="9" t="n">
        <f aca="false">(parametros_manuales!$D$28*(datos_base!$B$2+datos_base!$B$18+IF(parametros_manuales!$H$28="Todos",datos_base!$B$9+datos_base!$B$23,0))*parametros_manuales!$D$95+parametros_manuales!$E$28*(datos_base!$B$3+datos_base!$B$19+IF(parametros_manuales!$H$28="Todos",datos_base!$B$10+datos_base!$B$24,0))*parametros_manuales!$D$100+parametros_manuales!$F$28*(datos_base!$B$4+datos_base!$B$20+IF(parametros_manuales!$H$28="Todos",datos_base!$B$11+datos_base!$B$25,0))*parametros_manuales!$D$105+parametros_manuales!$G$28*(datos_base!$B$5+datos_base!$B$21+IF(parametros_manuales!$H$28="Todos",datos_base!$B$12+datos_base!$B$26,0))*parametros_manuales!$D$110)*parametros_manuales!$I$28*parametros_manuales!$J$28</f>
        <v>562.66303135705</v>
      </c>
      <c r="E11" s="9" t="n">
        <f aca="false">(parametros_manuales!$D$28*(datos_base!$B$2+datos_base!$B$18+IF(parametros_manuales!$H$28="Todos",datos_base!$B$9+datos_base!$B$23,0))*parametros_manuales!$E$95+parametros_manuales!$E$28*(datos_base!$B$3+datos_base!$B$19+IF(parametros_manuales!$H$28="Todos",datos_base!$B$10+datos_base!$B$24,0))*parametros_manuales!$E$100+parametros_manuales!$F$28*(datos_base!$B$4+datos_base!$B$20+IF(parametros_manuales!$H$28="Todos",datos_base!$B$11+datos_base!$B$25,0))*parametros_manuales!$E$105+parametros_manuales!$G$28*(datos_base!$B$5+datos_base!$B$21+IF(parametros_manuales!$H$28="Todos",datos_base!$B$12+datos_base!$B$26,0))*parametros_manuales!$E$110)*parametros_manuales!$I$28*parametros_manuales!$J$28</f>
        <v>541.76934864205</v>
      </c>
      <c r="F11" s="9" t="n">
        <f aca="false">(parametros_manuales!$D$28*(datos_base!$B$2+datos_base!$B$18+IF(parametros_manuales!$H$28="Todos",datos_base!$B$9+datos_base!$B$23,0))*parametros_manuales!$F$95+parametros_manuales!$E$28*(datos_base!$B$3+datos_base!$B$19+IF(parametros_manuales!$H$28="Todos",datos_base!$B$10+datos_base!$B$24,0))*parametros_manuales!$F$100+parametros_manuales!$F$28*(datos_base!$B$4+datos_base!$B$20+IF(parametros_manuales!$H$28="Todos",datos_base!$B$11+datos_base!$B$25,0))*parametros_manuales!$F$105+parametros_manuales!$G$28*(datos_base!$B$5+datos_base!$B$21+IF(parametros_manuales!$H$28="Todos",datos_base!$B$12+datos_base!$B$26,0))*parametros_manuales!$F$110)*parametros_manuales!$I$28*parametros_manuales!$J$28</f>
        <v>507.4424831084</v>
      </c>
      <c r="G11" s="9" t="n">
        <f aca="false">(parametros_manuales!$D$28*(datos_base!$B$2+datos_base!$B$18+IF(parametros_manuales!$H$28="Todos",datos_base!$B$9+datos_base!$B$23,0))*parametros_manuales!$G$95+parametros_manuales!$E$28*(datos_base!$B$3+datos_base!$B$19+IF(parametros_manuales!$H$28="Todos",datos_base!$B$10+datos_base!$B$24,0))*parametros_manuales!$G$100+parametros_manuales!$F$28*(datos_base!$B$4+datos_base!$B$20+IF(parametros_manuales!$H$28="Todos",datos_base!$B$11+datos_base!$B$25,0))*parametros_manuales!$G$105+parametros_manuales!$G$28*(datos_base!$B$5+datos_base!$B$21+IF(parametros_manuales!$H$28="Todos",datos_base!$B$12+datos_base!$B$26,0))*parametros_manuales!$G$110)*parametros_manuales!$I$28*parametros_manuales!$J$28</f>
        <v>494.00930028975</v>
      </c>
      <c r="H11" s="9" t="n">
        <f aca="false">(parametros_manuales!$D$28*(datos_base!$B$2+datos_base!$B$18+IF(parametros_manuales!$H$28="Todos",datos_base!$B$9+datos_base!$B$23,0))*parametros_manuales!$H$95+parametros_manuales!$E$28*(datos_base!$B$3+datos_base!$B$19+IF(parametros_manuales!$H$28="Todos",datos_base!$B$10+datos_base!$B$24,0))*parametros_manuales!$H$100+parametros_manuales!$F$28*(datos_base!$B$4+datos_base!$B$20+IF(parametros_manuales!$H$28="Todos",datos_base!$B$11+datos_base!$B$25,0))*parametros_manuales!$H$105+parametros_manuales!$G$28*(datos_base!$B$5+datos_base!$B$21+IF(parametros_manuales!$H$28="Todos",datos_base!$B$12+datos_base!$B$26,0))*parametros_manuales!$H$110)*parametros_manuales!$I$28*parametros_manuales!$J$28</f>
        <v>528.3361658234</v>
      </c>
      <c r="I11" s="9" t="n">
        <f aca="false">(parametros_manuales!$D$28*(datos_base!$B$2+datos_base!$B$18+IF(parametros_manuales!$H$28="Todos",datos_base!$B$9+datos_base!$B$23,0))*parametros_manuales!$I$95+parametros_manuales!$E$28*(datos_base!$B$3+datos_base!$B$19+IF(parametros_manuales!$H$28="Todos",datos_base!$B$10+datos_base!$B$24,0))*parametros_manuales!$I$100+parametros_manuales!$F$28*(datos_base!$B$4+datos_base!$B$20+IF(parametros_manuales!$H$28="Todos",datos_base!$B$11+datos_base!$B$25,0))*parametros_manuales!$I$105+parametros_manuales!$G$28*(datos_base!$B$5+datos_base!$B$21+IF(parametros_manuales!$H$28="Todos",datos_base!$B$12+datos_base!$B$26,0))*parametros_manuales!$I$110)*parametros_manuales!$I$28*parametros_manuales!$J$28</f>
        <v>591.0172139684</v>
      </c>
      <c r="J11" s="9" t="n">
        <f aca="false">(parametros_manuales!$D$28*(datos_base!$B$2+datos_base!$B$18+IF(parametros_manuales!$H$28="Todos",datos_base!$B$9+datos_base!$B$23,0))*parametros_manuales!$J$95+parametros_manuales!$E$28*(datos_base!$B$3+datos_base!$B$19+IF(parametros_manuales!$H$28="Todos",datos_base!$B$10+datos_base!$B$24,0))*parametros_manuales!$J$100+parametros_manuales!$F$28*(datos_base!$B$4+datos_base!$B$20+IF(parametros_manuales!$H$28="Todos",datos_base!$B$11+datos_base!$B$25,0))*parametros_manuales!$J$105+parametros_manuales!$G$28*(datos_base!$B$5+datos_base!$B$21+IF(parametros_manuales!$H$28="Todos",datos_base!$B$12+datos_base!$B$26,0))*parametros_manuales!$J$110)*parametros_manuales!$I$28*parametros_manuales!$J$28</f>
        <v>591.0172139684</v>
      </c>
      <c r="K11" s="9" t="n">
        <f aca="false">(parametros_manuales!$D$28*(datos_base!$B$2+datos_base!$B$18+IF(parametros_manuales!$H$28="Todos",datos_base!$B$9+datos_base!$B$23,0))*parametros_manuales!$K$95+parametros_manuales!$E$28*(datos_base!$B$3+datos_base!$B$19+IF(parametros_manuales!$H$28="Todos",datos_base!$B$10+datos_base!$B$24,0))*parametros_manuales!$K$100+parametros_manuales!$F$28*(datos_base!$B$4+datos_base!$B$20+IF(parametros_manuales!$H$28="Todos",datos_base!$B$11+datos_base!$B$25,0))*parametros_manuales!$K$105+parametros_manuales!$G$28*(datos_base!$B$5+datos_base!$B$21+IF(parametros_manuales!$H$28="Todos",datos_base!$B$12+datos_base!$B$26,0))*parametros_manuales!$K$110)*parametros_manuales!$I$28*parametros_manuales!$J$28</f>
        <v>604.45039678705</v>
      </c>
      <c r="L11" s="9" t="n">
        <f aca="false">(parametros_manuales!$D$28*(datos_base!$B$2+datos_base!$B$18+IF(parametros_manuales!$H$28="Todos",datos_base!$B$9+datos_base!$B$23,0))*parametros_manuales!$L$95+parametros_manuales!$E$28*(datos_base!$B$3+datos_base!$B$19+IF(parametros_manuales!$H$28="Todos",datos_base!$B$10+datos_base!$B$24,0))*parametros_manuales!$L$100+parametros_manuales!$F$28*(datos_base!$B$4+datos_base!$B$20+IF(parametros_manuales!$H$28="Todos",datos_base!$B$11+datos_base!$B$25,0))*parametros_manuales!$L$105+parametros_manuales!$G$28*(datos_base!$B$5+datos_base!$B$21+IF(parametros_manuales!$H$28="Todos",datos_base!$B$12+datos_base!$B$26,0))*parametros_manuales!$L$110)*parametros_manuales!$I$28*parametros_manuales!$J$28</f>
        <v>617.8835796057</v>
      </c>
      <c r="M11" s="9" t="n">
        <f aca="false">(parametros_manuales!$D$28*(datos_base!$B$2+datos_base!$B$18+IF(parametros_manuales!$H$28="Todos",datos_base!$B$9+datos_base!$B$23,0))*parametros_manuales!$M$95+parametros_manuales!$E$28*(datos_base!$B$3+datos_base!$B$19+IF(parametros_manuales!$H$28="Todos",datos_base!$B$10+datos_base!$B$24,0))*parametros_manuales!$M$100+parametros_manuales!$F$28*(datos_base!$B$4+datos_base!$B$20+IF(parametros_manuales!$H$28="Todos",datos_base!$B$11+datos_base!$B$25,0))*parametros_manuales!$M$105+parametros_manuales!$G$28*(datos_base!$B$5+datos_base!$B$21+IF(parametros_manuales!$H$28="Todos",datos_base!$B$12+datos_base!$B$26,0))*parametros_manuales!$M$110)*parametros_manuales!$I$28*parametros_manuales!$J$28</f>
        <v>617.8835796057</v>
      </c>
      <c r="N11" s="9" t="n">
        <f aca="false">SUM(B11:M11)</f>
        <v>6865.37310673</v>
      </c>
      <c r="O11" s="9" t="n">
        <f aca="false">MAX(B11:M11)</f>
        <v>617.8835796057</v>
      </c>
      <c r="P11" s="43" t="n">
        <f aca="false">O11/(parametros_manuales!$B$7)</f>
        <v>4.119223864038</v>
      </c>
      <c r="Q11" s="8" t="str">
        <f aca="false">IF(O11=0,"-",INDEX($B$1:$M$1,MATCH(O11,B11:M11,0)))</f>
        <v>Ene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datos_base!$B$2+datos_base!$B$18+IF(parametros_manuales!$H$29="Todos",datos_base!$B$9+datos_base!$B$23,0))*parametros_manuales!$B$95+parametros_manuales!$E$29*(datos_base!$B$3+datos_base!$B$19+IF(parametros_manuales!$H$29="Todos",datos_base!$B$10+datos_base!$B$24,0))*parametros_manuales!$B$100+parametros_manuales!$F$29*(datos_base!$B$4+datos_base!$B$20+IF(parametros_manuales!$H$29="Todos",datos_base!$B$11+datos_base!$B$25,0))*parametros_manuales!$B$105+parametros_manuales!$G$29*(datos_base!$B$5+datos_base!$B$21+IF(parametros_manuales!$H$29="Todos",datos_base!$B$12+datos_base!$B$26,0))*parametros_manuales!$B$110)*parametros_manuales!$I$29*parametros_manuales!$J$29</f>
        <v>617.8835796057</v>
      </c>
      <c r="C12" s="9" t="n">
        <f aca="false">(parametros_manuales!$D$29*(datos_base!$B$2+datos_base!$B$18+IF(parametros_manuales!$H$29="Todos",datos_base!$B$9+datos_base!$B$23,0))*parametros_manuales!$C$95+parametros_manuales!$E$29*(datos_base!$B$3+datos_base!$B$19+IF(parametros_manuales!$H$29="Todos",datos_base!$B$10+datos_base!$B$24,0))*parametros_manuales!$C$100+parametros_manuales!$F$29*(datos_base!$B$4+datos_base!$B$20+IF(parametros_manuales!$H$29="Todos",datos_base!$B$11+datos_base!$B$25,0))*parametros_manuales!$C$105+parametros_manuales!$G$29*(datos_base!$B$5+datos_base!$B$21+IF(parametros_manuales!$H$29="Todos",datos_base!$B$12+datos_base!$B$26,0))*parametros_manuales!$C$110)*parametros_manuales!$I$29*parametros_manuales!$J$29</f>
        <v>591.0172139684</v>
      </c>
      <c r="D12" s="9" t="n">
        <f aca="false">(parametros_manuales!$D$29*(datos_base!$B$2+datos_base!$B$18+IF(parametros_manuales!$H$29="Todos",datos_base!$B$9+datos_base!$B$23,0))*parametros_manuales!$D$95+parametros_manuales!$E$29*(datos_base!$B$3+datos_base!$B$19+IF(parametros_manuales!$H$29="Todos",datos_base!$B$10+datos_base!$B$24,0))*parametros_manuales!$D$100+parametros_manuales!$F$29*(datos_base!$B$4+datos_base!$B$20+IF(parametros_manuales!$H$29="Todos",datos_base!$B$11+datos_base!$B$25,0))*parametros_manuales!$D$105+parametros_manuales!$G$29*(datos_base!$B$5+datos_base!$B$21+IF(parametros_manuales!$H$29="Todos",datos_base!$B$12+datos_base!$B$26,0))*parametros_manuales!$D$110)*parametros_manuales!$I$29*parametros_manuales!$J$29</f>
        <v>562.66303135705</v>
      </c>
      <c r="E12" s="9" t="n">
        <f aca="false">(parametros_manuales!$D$29*(datos_base!$B$2+datos_base!$B$18+IF(parametros_manuales!$H$29="Todos",datos_base!$B$9+datos_base!$B$23,0))*parametros_manuales!$E$95+parametros_manuales!$E$29*(datos_base!$B$3+datos_base!$B$19+IF(parametros_manuales!$H$29="Todos",datos_base!$B$10+datos_base!$B$24,0))*parametros_manuales!$E$100+parametros_manuales!$F$29*(datos_base!$B$4+datos_base!$B$20+IF(parametros_manuales!$H$29="Todos",datos_base!$B$11+datos_base!$B$25,0))*parametros_manuales!$E$105+parametros_manuales!$G$29*(datos_base!$B$5+datos_base!$B$21+IF(parametros_manuales!$H$29="Todos",datos_base!$B$12+datos_base!$B$26,0))*parametros_manuales!$E$110)*parametros_manuales!$I$29*parametros_manuales!$J$29</f>
        <v>541.76934864205</v>
      </c>
      <c r="F12" s="9" t="n">
        <f aca="false">(parametros_manuales!$D$29*(datos_base!$B$2+datos_base!$B$18+IF(parametros_manuales!$H$29="Todos",datos_base!$B$9+datos_base!$B$23,0))*parametros_manuales!$F$95+parametros_manuales!$E$29*(datos_base!$B$3+datos_base!$B$19+IF(parametros_manuales!$H$29="Todos",datos_base!$B$10+datos_base!$B$24,0))*parametros_manuales!$F$100+parametros_manuales!$F$29*(datos_base!$B$4+datos_base!$B$20+IF(parametros_manuales!$H$29="Todos",datos_base!$B$11+datos_base!$B$25,0))*parametros_manuales!$F$105+parametros_manuales!$G$29*(datos_base!$B$5+datos_base!$B$21+IF(parametros_manuales!$H$29="Todos",datos_base!$B$12+datos_base!$B$26,0))*parametros_manuales!$F$110)*parametros_manuales!$I$29*parametros_manuales!$J$29</f>
        <v>507.4424831084</v>
      </c>
      <c r="G12" s="9" t="n">
        <f aca="false">(parametros_manuales!$D$29*(datos_base!$B$2+datos_base!$B$18+IF(parametros_manuales!$H$29="Todos",datos_base!$B$9+datos_base!$B$23,0))*parametros_manuales!$G$95+parametros_manuales!$E$29*(datos_base!$B$3+datos_base!$B$19+IF(parametros_manuales!$H$29="Todos",datos_base!$B$10+datos_base!$B$24,0))*parametros_manuales!$G$100+parametros_manuales!$F$29*(datos_base!$B$4+datos_base!$B$20+IF(parametros_manuales!$H$29="Todos",datos_base!$B$11+datos_base!$B$25,0))*parametros_manuales!$G$105+parametros_manuales!$G$29*(datos_base!$B$5+datos_base!$B$21+IF(parametros_manuales!$H$29="Todos",datos_base!$B$12+datos_base!$B$26,0))*parametros_manuales!$G$110)*parametros_manuales!$I$29*parametros_manuales!$J$29</f>
        <v>494.00930028975</v>
      </c>
      <c r="H12" s="9" t="n">
        <f aca="false">(parametros_manuales!$D$29*(datos_base!$B$2+datos_base!$B$18+IF(parametros_manuales!$H$29="Todos",datos_base!$B$9+datos_base!$B$23,0))*parametros_manuales!$H$95+parametros_manuales!$E$29*(datos_base!$B$3+datos_base!$B$19+IF(parametros_manuales!$H$29="Todos",datos_base!$B$10+datos_base!$B$24,0))*parametros_manuales!$H$100+parametros_manuales!$F$29*(datos_base!$B$4+datos_base!$B$20+IF(parametros_manuales!$H$29="Todos",datos_base!$B$11+datos_base!$B$25,0))*parametros_manuales!$H$105+parametros_manuales!$G$29*(datos_base!$B$5+datos_base!$B$21+IF(parametros_manuales!$H$29="Todos",datos_base!$B$12+datos_base!$B$26,0))*parametros_manuales!$H$110)*parametros_manuales!$I$29*parametros_manuales!$J$29</f>
        <v>528.3361658234</v>
      </c>
      <c r="I12" s="9" t="n">
        <f aca="false">(parametros_manuales!$D$29*(datos_base!$B$2+datos_base!$B$18+IF(parametros_manuales!$H$29="Todos",datos_base!$B$9+datos_base!$B$23,0))*parametros_manuales!$I$95+parametros_manuales!$E$29*(datos_base!$B$3+datos_base!$B$19+IF(parametros_manuales!$H$29="Todos",datos_base!$B$10+datos_base!$B$24,0))*parametros_manuales!$I$100+parametros_manuales!$F$29*(datos_base!$B$4+datos_base!$B$20+IF(parametros_manuales!$H$29="Todos",datos_base!$B$11+datos_base!$B$25,0))*parametros_manuales!$I$105+parametros_manuales!$G$29*(datos_base!$B$5+datos_base!$B$21+IF(parametros_manuales!$H$29="Todos",datos_base!$B$12+datos_base!$B$26,0))*parametros_manuales!$I$110)*parametros_manuales!$I$29*parametros_manuales!$J$29</f>
        <v>591.0172139684</v>
      </c>
      <c r="J12" s="9" t="n">
        <f aca="false">(parametros_manuales!$D$29*(datos_base!$B$2+datos_base!$B$18+IF(parametros_manuales!$H$29="Todos",datos_base!$B$9+datos_base!$B$23,0))*parametros_manuales!$J$95+parametros_manuales!$E$29*(datos_base!$B$3+datos_base!$B$19+IF(parametros_manuales!$H$29="Todos",datos_base!$B$10+datos_base!$B$24,0))*parametros_manuales!$J$100+parametros_manuales!$F$29*(datos_base!$B$4+datos_base!$B$20+IF(parametros_manuales!$H$29="Todos",datos_base!$B$11+datos_base!$B$25,0))*parametros_manuales!$J$105+parametros_manuales!$G$29*(datos_base!$B$5+datos_base!$B$21+IF(parametros_manuales!$H$29="Todos",datos_base!$B$12+datos_base!$B$26,0))*parametros_manuales!$J$110)*parametros_manuales!$I$29*parametros_manuales!$J$29</f>
        <v>591.0172139684</v>
      </c>
      <c r="K12" s="9" t="n">
        <f aca="false">(parametros_manuales!$D$29*(datos_base!$B$2+datos_base!$B$18+IF(parametros_manuales!$H$29="Todos",datos_base!$B$9+datos_base!$B$23,0))*parametros_manuales!$K$95+parametros_manuales!$E$29*(datos_base!$B$3+datos_base!$B$19+IF(parametros_manuales!$H$29="Todos",datos_base!$B$10+datos_base!$B$24,0))*parametros_manuales!$K$100+parametros_manuales!$F$29*(datos_base!$B$4+datos_base!$B$20+IF(parametros_manuales!$H$29="Todos",datos_base!$B$11+datos_base!$B$25,0))*parametros_manuales!$K$105+parametros_manuales!$G$29*(datos_base!$B$5+datos_base!$B$21+IF(parametros_manuales!$H$29="Todos",datos_base!$B$12+datos_base!$B$26,0))*parametros_manuales!$K$110)*parametros_manuales!$I$29*parametros_manuales!$J$29</f>
        <v>604.45039678705</v>
      </c>
      <c r="L12" s="9" t="n">
        <f aca="false">(parametros_manuales!$D$29*(datos_base!$B$2+datos_base!$B$18+IF(parametros_manuales!$H$29="Todos",datos_base!$B$9+datos_base!$B$23,0))*parametros_manuales!$L$95+parametros_manuales!$E$29*(datos_base!$B$3+datos_base!$B$19+IF(parametros_manuales!$H$29="Todos",datos_base!$B$10+datos_base!$B$24,0))*parametros_manuales!$L$100+parametros_manuales!$F$29*(datos_base!$B$4+datos_base!$B$20+IF(parametros_manuales!$H$29="Todos",datos_base!$B$11+datos_base!$B$25,0))*parametros_manuales!$L$105+parametros_manuales!$G$29*(datos_base!$B$5+datos_base!$B$21+IF(parametros_manuales!$H$29="Todos",datos_base!$B$12+datos_base!$B$26,0))*parametros_manuales!$L$110)*parametros_manuales!$I$29*parametros_manuales!$J$29</f>
        <v>617.8835796057</v>
      </c>
      <c r="M12" s="9" t="n">
        <f aca="false">(parametros_manuales!$D$29*(datos_base!$B$2+datos_base!$B$18+IF(parametros_manuales!$H$29="Todos",datos_base!$B$9+datos_base!$B$23,0))*parametros_manuales!$M$95+parametros_manuales!$E$29*(datos_base!$B$3+datos_base!$B$19+IF(parametros_manuales!$H$29="Todos",datos_base!$B$10+datos_base!$B$24,0))*parametros_manuales!$M$100+parametros_manuales!$F$29*(datos_base!$B$4+datos_base!$B$20+IF(parametros_manuales!$H$29="Todos",datos_base!$B$11+datos_base!$B$25,0))*parametros_manuales!$M$105+parametros_manuales!$G$29*(datos_base!$B$5+datos_base!$B$21+IF(parametros_manuales!$H$29="Todos",datos_base!$B$12+datos_base!$B$26,0))*parametros_manuales!$M$110)*parametros_manuales!$I$29*parametros_manuales!$J$29</f>
        <v>617.8835796057</v>
      </c>
      <c r="N12" s="9" t="n">
        <f aca="false">SUM(B12:M12)</f>
        <v>6865.37310673</v>
      </c>
      <c r="O12" s="9" t="n">
        <f aca="false">MAX(B12:M12)</f>
        <v>617.8835796057</v>
      </c>
      <c r="P12" s="43" t="n">
        <f aca="false">O12/(parametros_manuales!$B$7)</f>
        <v>4.119223864038</v>
      </c>
      <c r="Q12" s="8" t="str">
        <f aca="false">IF(O12=0,"-",INDEX($B$1:$M$1,MATCH(O12,B12:M12,0)))</f>
        <v>Ene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datos_base!$B$2+datos_base!$B$18+IF(parametros_manuales!$H$30="Todos",datos_base!$B$9+datos_base!$B$23,0))*parametros_manuales!$B$95+parametros_manuales!$E$30*(datos_base!$B$3+datos_base!$B$19+IF(parametros_manuales!$H$30="Todos",datos_base!$B$10+datos_base!$B$24,0))*parametros_manuales!$B$100+parametros_manuales!$F$30*(datos_base!$B$4+datos_base!$B$20+IF(parametros_manuales!$H$30="Todos",datos_base!$B$11+datos_base!$B$25,0))*parametros_manuales!$B$105+parametros_manuales!$G$30*(datos_base!$B$5+datos_base!$B$21+IF(parametros_manuales!$H$30="Todos",datos_base!$B$12+datos_base!$B$26,0))*parametros_manuales!$B$110)*parametros_manuales!$I$30*parametros_manuales!$J$30</f>
        <v>617.8835796057</v>
      </c>
      <c r="C13" s="9" t="n">
        <f aca="false">(parametros_manuales!$D$30*(datos_base!$B$2+datos_base!$B$18+IF(parametros_manuales!$H$30="Todos",datos_base!$B$9+datos_base!$B$23,0))*parametros_manuales!$C$95+parametros_manuales!$E$30*(datos_base!$B$3+datos_base!$B$19+IF(parametros_manuales!$H$30="Todos",datos_base!$B$10+datos_base!$B$24,0))*parametros_manuales!$C$100+parametros_manuales!$F$30*(datos_base!$B$4+datos_base!$B$20+IF(parametros_manuales!$H$30="Todos",datos_base!$B$11+datos_base!$B$25,0))*parametros_manuales!$C$105+parametros_manuales!$G$30*(datos_base!$B$5+datos_base!$B$21+IF(parametros_manuales!$H$30="Todos",datos_base!$B$12+datos_base!$B$26,0))*parametros_manuales!$C$110)*parametros_manuales!$I$30*parametros_manuales!$J$30</f>
        <v>591.0172139684</v>
      </c>
      <c r="D13" s="9" t="n">
        <f aca="false">(parametros_manuales!$D$30*(datos_base!$B$2+datos_base!$B$18+IF(parametros_manuales!$H$30="Todos",datos_base!$B$9+datos_base!$B$23,0))*parametros_manuales!$D$95+parametros_manuales!$E$30*(datos_base!$B$3+datos_base!$B$19+IF(parametros_manuales!$H$30="Todos",datos_base!$B$10+datos_base!$B$24,0))*parametros_manuales!$D$100+parametros_manuales!$F$30*(datos_base!$B$4+datos_base!$B$20+IF(parametros_manuales!$H$30="Todos",datos_base!$B$11+datos_base!$B$25,0))*parametros_manuales!$D$105+parametros_manuales!$G$30*(datos_base!$B$5+datos_base!$B$21+IF(parametros_manuales!$H$30="Todos",datos_base!$B$12+datos_base!$B$26,0))*parametros_manuales!$D$110)*parametros_manuales!$I$30*parametros_manuales!$J$30</f>
        <v>562.66303135705</v>
      </c>
      <c r="E13" s="9" t="n">
        <f aca="false">(parametros_manuales!$D$30*(datos_base!$B$2+datos_base!$B$18+IF(parametros_manuales!$H$30="Todos",datos_base!$B$9+datos_base!$B$23,0))*parametros_manuales!$E$95+parametros_manuales!$E$30*(datos_base!$B$3+datos_base!$B$19+IF(parametros_manuales!$H$30="Todos",datos_base!$B$10+datos_base!$B$24,0))*parametros_manuales!$E$100+parametros_manuales!$F$30*(datos_base!$B$4+datos_base!$B$20+IF(parametros_manuales!$H$30="Todos",datos_base!$B$11+datos_base!$B$25,0))*parametros_manuales!$E$105+parametros_manuales!$G$30*(datos_base!$B$5+datos_base!$B$21+IF(parametros_manuales!$H$30="Todos",datos_base!$B$12+datos_base!$B$26,0))*parametros_manuales!$E$110)*parametros_manuales!$I$30*parametros_manuales!$J$30</f>
        <v>541.76934864205</v>
      </c>
      <c r="F13" s="9" t="n">
        <f aca="false">(parametros_manuales!$D$30*(datos_base!$B$2+datos_base!$B$18+IF(parametros_manuales!$H$30="Todos",datos_base!$B$9+datos_base!$B$23,0))*parametros_manuales!$F$95+parametros_manuales!$E$30*(datos_base!$B$3+datos_base!$B$19+IF(parametros_manuales!$H$30="Todos",datos_base!$B$10+datos_base!$B$24,0))*parametros_manuales!$F$100+parametros_manuales!$F$30*(datos_base!$B$4+datos_base!$B$20+IF(parametros_manuales!$H$30="Todos",datos_base!$B$11+datos_base!$B$25,0))*parametros_manuales!$F$105+parametros_manuales!$G$30*(datos_base!$B$5+datos_base!$B$21+IF(parametros_manuales!$H$30="Todos",datos_base!$B$12+datos_base!$B$26,0))*parametros_manuales!$F$110)*parametros_manuales!$I$30*parametros_manuales!$J$30</f>
        <v>507.4424831084</v>
      </c>
      <c r="G13" s="9" t="n">
        <f aca="false">(parametros_manuales!$D$30*(datos_base!$B$2+datos_base!$B$18+IF(parametros_manuales!$H$30="Todos",datos_base!$B$9+datos_base!$B$23,0))*parametros_manuales!$G$95+parametros_manuales!$E$30*(datos_base!$B$3+datos_base!$B$19+IF(parametros_manuales!$H$30="Todos",datos_base!$B$10+datos_base!$B$24,0))*parametros_manuales!$G$100+parametros_manuales!$F$30*(datos_base!$B$4+datos_base!$B$20+IF(parametros_manuales!$H$30="Todos",datos_base!$B$11+datos_base!$B$25,0))*parametros_manuales!$G$105+parametros_manuales!$G$30*(datos_base!$B$5+datos_base!$B$21+IF(parametros_manuales!$H$30="Todos",datos_base!$B$12+datos_base!$B$26,0))*parametros_manuales!$G$110)*parametros_manuales!$I$30*parametros_manuales!$J$30</f>
        <v>494.00930028975</v>
      </c>
      <c r="H13" s="9" t="n">
        <f aca="false">(parametros_manuales!$D$30*(datos_base!$B$2+datos_base!$B$18+IF(parametros_manuales!$H$30="Todos",datos_base!$B$9+datos_base!$B$23,0))*parametros_manuales!$H$95+parametros_manuales!$E$30*(datos_base!$B$3+datos_base!$B$19+IF(parametros_manuales!$H$30="Todos",datos_base!$B$10+datos_base!$B$24,0))*parametros_manuales!$H$100+parametros_manuales!$F$30*(datos_base!$B$4+datos_base!$B$20+IF(parametros_manuales!$H$30="Todos",datos_base!$B$11+datos_base!$B$25,0))*parametros_manuales!$H$105+parametros_manuales!$G$30*(datos_base!$B$5+datos_base!$B$21+IF(parametros_manuales!$H$30="Todos",datos_base!$B$12+datos_base!$B$26,0))*parametros_manuales!$H$110)*parametros_manuales!$I$30*parametros_manuales!$J$30</f>
        <v>528.3361658234</v>
      </c>
      <c r="I13" s="9" t="n">
        <f aca="false">(parametros_manuales!$D$30*(datos_base!$B$2+datos_base!$B$18+IF(parametros_manuales!$H$30="Todos",datos_base!$B$9+datos_base!$B$23,0))*parametros_manuales!$I$95+parametros_manuales!$E$30*(datos_base!$B$3+datos_base!$B$19+IF(parametros_manuales!$H$30="Todos",datos_base!$B$10+datos_base!$B$24,0))*parametros_manuales!$I$100+parametros_manuales!$F$30*(datos_base!$B$4+datos_base!$B$20+IF(parametros_manuales!$H$30="Todos",datos_base!$B$11+datos_base!$B$25,0))*parametros_manuales!$I$105+parametros_manuales!$G$30*(datos_base!$B$5+datos_base!$B$21+IF(parametros_manuales!$H$30="Todos",datos_base!$B$12+datos_base!$B$26,0))*parametros_manuales!$I$110)*parametros_manuales!$I$30*parametros_manuales!$J$30</f>
        <v>591.0172139684</v>
      </c>
      <c r="J13" s="9" t="n">
        <f aca="false">(parametros_manuales!$D$30*(datos_base!$B$2+datos_base!$B$18+IF(parametros_manuales!$H$30="Todos",datos_base!$B$9+datos_base!$B$23,0))*parametros_manuales!$J$95+parametros_manuales!$E$30*(datos_base!$B$3+datos_base!$B$19+IF(parametros_manuales!$H$30="Todos",datos_base!$B$10+datos_base!$B$24,0))*parametros_manuales!$J$100+parametros_manuales!$F$30*(datos_base!$B$4+datos_base!$B$20+IF(parametros_manuales!$H$30="Todos",datos_base!$B$11+datos_base!$B$25,0))*parametros_manuales!$J$105+parametros_manuales!$G$30*(datos_base!$B$5+datos_base!$B$21+IF(parametros_manuales!$H$30="Todos",datos_base!$B$12+datos_base!$B$26,0))*parametros_manuales!$J$110)*parametros_manuales!$I$30*parametros_manuales!$J$30</f>
        <v>591.0172139684</v>
      </c>
      <c r="K13" s="9" t="n">
        <f aca="false">(parametros_manuales!$D$30*(datos_base!$B$2+datos_base!$B$18+IF(parametros_manuales!$H$30="Todos",datos_base!$B$9+datos_base!$B$23,0))*parametros_manuales!$K$95+parametros_manuales!$E$30*(datos_base!$B$3+datos_base!$B$19+IF(parametros_manuales!$H$30="Todos",datos_base!$B$10+datos_base!$B$24,0))*parametros_manuales!$K$100+parametros_manuales!$F$30*(datos_base!$B$4+datos_base!$B$20+IF(parametros_manuales!$H$30="Todos",datos_base!$B$11+datos_base!$B$25,0))*parametros_manuales!$K$105+parametros_manuales!$G$30*(datos_base!$B$5+datos_base!$B$21+IF(parametros_manuales!$H$30="Todos",datos_base!$B$12+datos_base!$B$26,0))*parametros_manuales!$K$110)*parametros_manuales!$I$30*parametros_manuales!$J$30</f>
        <v>604.45039678705</v>
      </c>
      <c r="L13" s="9" t="n">
        <f aca="false">(parametros_manuales!$D$30*(datos_base!$B$2+datos_base!$B$18+IF(parametros_manuales!$H$30="Todos",datos_base!$B$9+datos_base!$B$23,0))*parametros_manuales!$L$95+parametros_manuales!$E$30*(datos_base!$B$3+datos_base!$B$19+IF(parametros_manuales!$H$30="Todos",datos_base!$B$10+datos_base!$B$24,0))*parametros_manuales!$L$100+parametros_manuales!$F$30*(datos_base!$B$4+datos_base!$B$20+IF(parametros_manuales!$H$30="Todos",datos_base!$B$11+datos_base!$B$25,0))*parametros_manuales!$L$105+parametros_manuales!$G$30*(datos_base!$B$5+datos_base!$B$21+IF(parametros_manuales!$H$30="Todos",datos_base!$B$12+datos_base!$B$26,0))*parametros_manuales!$L$110)*parametros_manuales!$I$30*parametros_manuales!$J$30</f>
        <v>617.8835796057</v>
      </c>
      <c r="M13" s="9" t="n">
        <f aca="false">(parametros_manuales!$D$30*(datos_base!$B$2+datos_base!$B$18+IF(parametros_manuales!$H$30="Todos",datos_base!$B$9+datos_base!$B$23,0))*parametros_manuales!$M$95+parametros_manuales!$E$30*(datos_base!$B$3+datos_base!$B$19+IF(parametros_manuales!$H$30="Todos",datos_base!$B$10+datos_base!$B$24,0))*parametros_manuales!$M$100+parametros_manuales!$F$30*(datos_base!$B$4+datos_base!$B$20+IF(parametros_manuales!$H$30="Todos",datos_base!$B$11+datos_base!$B$25,0))*parametros_manuales!$M$105+parametros_manuales!$G$30*(datos_base!$B$5+datos_base!$B$21+IF(parametros_manuales!$H$30="Todos",datos_base!$B$12+datos_base!$B$26,0))*parametros_manuales!$M$110)*parametros_manuales!$I$30*parametros_manuales!$J$30</f>
        <v>617.8835796057</v>
      </c>
      <c r="N13" s="9" t="n">
        <f aca="false">SUM(B13:M13)</f>
        <v>6865.37310673</v>
      </c>
      <c r="O13" s="9" t="n">
        <f aca="false">MAX(B13:M13)</f>
        <v>617.8835796057</v>
      </c>
      <c r="P13" s="43" t="n">
        <f aca="false">O13/(parametros_manuales!$B$7)</f>
        <v>4.119223864038</v>
      </c>
      <c r="Q13" s="8" t="str">
        <f aca="false">IF(O13=0,"-",INDEX($B$1:$M$1,MATCH(O13,B13:M13,0)))</f>
        <v>Ene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datos_base!$B$2+datos_base!$B$18+IF(parametros_manuales!$H$31="Todos",datos_base!$B$9+datos_base!$B$23,0))*parametros_manuales!$B$95+parametros_manuales!$E$31*(datos_base!$B$3+datos_base!$B$19+IF(parametros_manuales!$H$31="Todos",datos_base!$B$10+datos_base!$B$24,0))*parametros_manuales!$B$100+parametros_manuales!$F$31*(datos_base!$B$4+datos_base!$B$20+IF(parametros_manuales!$H$31="Todos",datos_base!$B$11+datos_base!$B$25,0))*parametros_manuales!$B$105+parametros_manuales!$G$31*(datos_base!$B$5+datos_base!$B$21+IF(parametros_manuales!$H$31="Todos",datos_base!$B$12+datos_base!$B$26,0))*parametros_manuales!$B$110)*parametros_manuales!$I$31*parametros_manuales!$J$31</f>
        <v>12.357671592114</v>
      </c>
      <c r="C14" s="9" t="n">
        <f aca="false">(parametros_manuales!$D$31*(datos_base!$B$2+datos_base!$B$18+IF(parametros_manuales!$H$31="Todos",datos_base!$B$9+datos_base!$B$23,0))*parametros_manuales!$C$95+parametros_manuales!$E$31*(datos_base!$B$3+datos_base!$B$19+IF(parametros_manuales!$H$31="Todos",datos_base!$B$10+datos_base!$B$24,0))*parametros_manuales!$C$100+parametros_manuales!$F$31*(datos_base!$B$4+datos_base!$B$20+IF(parametros_manuales!$H$31="Todos",datos_base!$B$11+datos_base!$B$25,0))*parametros_manuales!$C$105+parametros_manuales!$G$31*(datos_base!$B$5+datos_base!$B$21+IF(parametros_manuales!$H$31="Todos",datos_base!$B$12+datos_base!$B$26,0))*parametros_manuales!$C$110)*parametros_manuales!$I$31*parametros_manuales!$J$31</f>
        <v>11.820344279368</v>
      </c>
      <c r="D14" s="9" t="n">
        <f aca="false">(parametros_manuales!$D$31*(datos_base!$B$2+datos_base!$B$18+IF(parametros_manuales!$H$31="Todos",datos_base!$B$9+datos_base!$B$23,0))*parametros_manuales!$D$95+parametros_manuales!$E$31*(datos_base!$B$3+datos_base!$B$19+IF(parametros_manuales!$H$31="Todos",datos_base!$B$10+datos_base!$B$24,0))*parametros_manuales!$D$100+parametros_manuales!$F$31*(datos_base!$B$4+datos_base!$B$20+IF(parametros_manuales!$H$31="Todos",datos_base!$B$11+datos_base!$B$25,0))*parametros_manuales!$D$105+parametros_manuales!$G$31*(datos_base!$B$5+datos_base!$B$21+IF(parametros_manuales!$H$31="Todos",datos_base!$B$12+datos_base!$B$26,0))*parametros_manuales!$D$110)*parametros_manuales!$I$31*parametros_manuales!$J$31</f>
        <v>11.253260627141</v>
      </c>
      <c r="E14" s="9" t="n">
        <f aca="false">(parametros_manuales!$D$31*(datos_base!$B$2+datos_base!$B$18+IF(parametros_manuales!$H$31="Todos",datos_base!$B$9+datos_base!$B$23,0))*parametros_manuales!$E$95+parametros_manuales!$E$31*(datos_base!$B$3+datos_base!$B$19+IF(parametros_manuales!$H$31="Todos",datos_base!$B$10+datos_base!$B$24,0))*parametros_manuales!$E$100+parametros_manuales!$F$31*(datos_base!$B$4+datos_base!$B$20+IF(parametros_manuales!$H$31="Todos",datos_base!$B$11+datos_base!$B$25,0))*parametros_manuales!$E$105+parametros_manuales!$G$31*(datos_base!$B$5+datos_base!$B$21+IF(parametros_manuales!$H$31="Todos",datos_base!$B$12+datos_base!$B$26,0))*parametros_manuales!$E$110)*parametros_manuales!$I$31*parametros_manuales!$J$31</f>
        <v>10.835386972841</v>
      </c>
      <c r="F14" s="9" t="n">
        <f aca="false">(parametros_manuales!$D$31*(datos_base!$B$2+datos_base!$B$18+IF(parametros_manuales!$H$31="Todos",datos_base!$B$9+datos_base!$B$23,0))*parametros_manuales!$F$95+parametros_manuales!$E$31*(datos_base!$B$3+datos_base!$B$19+IF(parametros_manuales!$H$31="Todos",datos_base!$B$10+datos_base!$B$24,0))*parametros_manuales!$F$100+parametros_manuales!$F$31*(datos_base!$B$4+datos_base!$B$20+IF(parametros_manuales!$H$31="Todos",datos_base!$B$11+datos_base!$B$25,0))*parametros_manuales!$F$105+parametros_manuales!$G$31*(datos_base!$B$5+datos_base!$B$21+IF(parametros_manuales!$H$31="Todos",datos_base!$B$12+datos_base!$B$26,0))*parametros_manuales!$F$110)*parametros_manuales!$I$31*parametros_manuales!$J$31</f>
        <v>10.148849662168</v>
      </c>
      <c r="G14" s="9" t="n">
        <f aca="false">(parametros_manuales!$D$31*(datos_base!$B$2+datos_base!$B$18+IF(parametros_manuales!$H$31="Todos",datos_base!$B$9+datos_base!$B$23,0))*parametros_manuales!$G$95+parametros_manuales!$E$31*(datos_base!$B$3+datos_base!$B$19+IF(parametros_manuales!$H$31="Todos",datos_base!$B$10+datos_base!$B$24,0))*parametros_manuales!$G$100+parametros_manuales!$F$31*(datos_base!$B$4+datos_base!$B$20+IF(parametros_manuales!$H$31="Todos",datos_base!$B$11+datos_base!$B$25,0))*parametros_manuales!$G$105+parametros_manuales!$G$31*(datos_base!$B$5+datos_base!$B$21+IF(parametros_manuales!$H$31="Todos",datos_base!$B$12+datos_base!$B$26,0))*parametros_manuales!$G$110)*parametros_manuales!$I$31*parametros_manuales!$J$31</f>
        <v>9.880186005795</v>
      </c>
      <c r="H14" s="9" t="n">
        <f aca="false">(parametros_manuales!$D$31*(datos_base!$B$2+datos_base!$B$18+IF(parametros_manuales!$H$31="Todos",datos_base!$B$9+datos_base!$B$23,0))*parametros_manuales!$H$95+parametros_manuales!$E$31*(datos_base!$B$3+datos_base!$B$19+IF(parametros_manuales!$H$31="Todos",datos_base!$B$10+datos_base!$B$24,0))*parametros_manuales!$H$100+parametros_manuales!$F$31*(datos_base!$B$4+datos_base!$B$20+IF(parametros_manuales!$H$31="Todos",datos_base!$B$11+datos_base!$B$25,0))*parametros_manuales!$H$105+parametros_manuales!$G$31*(datos_base!$B$5+datos_base!$B$21+IF(parametros_manuales!$H$31="Todos",datos_base!$B$12+datos_base!$B$26,0))*parametros_manuales!$H$110)*parametros_manuales!$I$31*parametros_manuales!$J$31</f>
        <v>10.566723316468</v>
      </c>
      <c r="I14" s="9" t="n">
        <f aca="false">(parametros_manuales!$D$31*(datos_base!$B$2+datos_base!$B$18+IF(parametros_manuales!$H$31="Todos",datos_base!$B$9+datos_base!$B$23,0))*parametros_manuales!$I$95+parametros_manuales!$E$31*(datos_base!$B$3+datos_base!$B$19+IF(parametros_manuales!$H$31="Todos",datos_base!$B$10+datos_base!$B$24,0))*parametros_manuales!$I$100+parametros_manuales!$F$31*(datos_base!$B$4+datos_base!$B$20+IF(parametros_manuales!$H$31="Todos",datos_base!$B$11+datos_base!$B$25,0))*parametros_manuales!$I$105+parametros_manuales!$G$31*(datos_base!$B$5+datos_base!$B$21+IF(parametros_manuales!$H$31="Todos",datos_base!$B$12+datos_base!$B$26,0))*parametros_manuales!$I$110)*parametros_manuales!$I$31*parametros_manuales!$J$31</f>
        <v>11.820344279368</v>
      </c>
      <c r="J14" s="9" t="n">
        <f aca="false">(parametros_manuales!$D$31*(datos_base!$B$2+datos_base!$B$18+IF(parametros_manuales!$H$31="Todos",datos_base!$B$9+datos_base!$B$23,0))*parametros_manuales!$J$95+parametros_manuales!$E$31*(datos_base!$B$3+datos_base!$B$19+IF(parametros_manuales!$H$31="Todos",datos_base!$B$10+datos_base!$B$24,0))*parametros_manuales!$J$100+parametros_manuales!$F$31*(datos_base!$B$4+datos_base!$B$20+IF(parametros_manuales!$H$31="Todos",datos_base!$B$11+datos_base!$B$25,0))*parametros_manuales!$J$105+parametros_manuales!$G$31*(datos_base!$B$5+datos_base!$B$21+IF(parametros_manuales!$H$31="Todos",datos_base!$B$12+datos_base!$B$26,0))*parametros_manuales!$J$110)*parametros_manuales!$I$31*parametros_manuales!$J$31</f>
        <v>11.820344279368</v>
      </c>
      <c r="K14" s="9" t="n">
        <f aca="false">(parametros_manuales!$D$31*(datos_base!$B$2+datos_base!$B$18+IF(parametros_manuales!$H$31="Todos",datos_base!$B$9+datos_base!$B$23,0))*parametros_manuales!$K$95+parametros_manuales!$E$31*(datos_base!$B$3+datos_base!$B$19+IF(parametros_manuales!$H$31="Todos",datos_base!$B$10+datos_base!$B$24,0))*parametros_manuales!$K$100+parametros_manuales!$F$31*(datos_base!$B$4+datos_base!$B$20+IF(parametros_manuales!$H$31="Todos",datos_base!$B$11+datos_base!$B$25,0))*parametros_manuales!$K$105+parametros_manuales!$G$31*(datos_base!$B$5+datos_base!$B$21+IF(parametros_manuales!$H$31="Todos",datos_base!$B$12+datos_base!$B$26,0))*parametros_manuales!$K$110)*parametros_manuales!$I$31*parametros_manuales!$J$31</f>
        <v>12.089007935741</v>
      </c>
      <c r="L14" s="9" t="n">
        <f aca="false">(parametros_manuales!$D$31*(datos_base!$B$2+datos_base!$B$18+IF(parametros_manuales!$H$31="Todos",datos_base!$B$9+datos_base!$B$23,0))*parametros_manuales!$L$95+parametros_manuales!$E$31*(datos_base!$B$3+datos_base!$B$19+IF(parametros_manuales!$H$31="Todos",datos_base!$B$10+datos_base!$B$24,0))*parametros_manuales!$L$100+parametros_manuales!$F$31*(datos_base!$B$4+datos_base!$B$20+IF(parametros_manuales!$H$31="Todos",datos_base!$B$11+datos_base!$B$25,0))*parametros_manuales!$L$105+parametros_manuales!$G$31*(datos_base!$B$5+datos_base!$B$21+IF(parametros_manuales!$H$31="Todos",datos_base!$B$12+datos_base!$B$26,0))*parametros_manuales!$L$110)*parametros_manuales!$I$31*parametros_manuales!$J$31</f>
        <v>12.357671592114</v>
      </c>
      <c r="M14" s="9" t="n">
        <f aca="false">(parametros_manuales!$D$31*(datos_base!$B$2+datos_base!$B$18+IF(parametros_manuales!$H$31="Todos",datos_base!$B$9+datos_base!$B$23,0))*parametros_manuales!$M$95+parametros_manuales!$E$31*(datos_base!$B$3+datos_base!$B$19+IF(parametros_manuales!$H$31="Todos",datos_base!$B$10+datos_base!$B$24,0))*parametros_manuales!$M$100+parametros_manuales!$F$31*(datos_base!$B$4+datos_base!$B$20+IF(parametros_manuales!$H$31="Todos",datos_base!$B$11+datos_base!$B$25,0))*parametros_manuales!$M$105+parametros_manuales!$G$31*(datos_base!$B$5+datos_base!$B$21+IF(parametros_manuales!$H$31="Todos",datos_base!$B$12+datos_base!$B$26,0))*parametros_manuales!$M$110)*parametros_manuales!$I$31*parametros_manuales!$J$31</f>
        <v>12.357671592114</v>
      </c>
      <c r="N14" s="9" t="n">
        <f aca="false">SUM(B14:M14)</f>
        <v>137.3074621346</v>
      </c>
      <c r="O14" s="9" t="n">
        <f aca="false">MAX(B14:M14)</f>
        <v>12.357671592114</v>
      </c>
      <c r="P14" s="43" t="n">
        <f aca="false">O14/(parametros_manuales!$B$7)</f>
        <v>0.08238447728076</v>
      </c>
      <c r="Q14" s="8" t="str">
        <f aca="false">IF(O14=0,"-",INDEX($B$1:$M$1,MATCH(O14,B14:M14,0)))</f>
        <v>Ene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datos_base!$B$2+datos_base!$B$18+IF(parametros_manuales!$H$32="Todos",datos_base!$B$9+datos_base!$B$23,0))*parametros_manuales!$B$95+parametros_manuales!$E$32*(datos_base!$B$3+datos_base!$B$19+IF(parametros_manuales!$H$32="Todos",datos_base!$B$10+datos_base!$B$24,0))*parametros_manuales!$B$100+parametros_manuales!$F$32*(datos_base!$B$4+datos_base!$B$20+IF(parametros_manuales!$H$32="Todos",datos_base!$B$11+datos_base!$B$25,0))*parametros_manuales!$B$105+parametros_manuales!$G$32*(datos_base!$B$5+datos_base!$B$21+IF(parametros_manuales!$H$32="Todos",datos_base!$B$12+datos_base!$B$26,0))*parametros_manuales!$B$110)*parametros_manuales!$I$32*parametros_manuales!$J$32</f>
        <v>617.8835796057</v>
      </c>
      <c r="C15" s="9" t="n">
        <f aca="false">(parametros_manuales!$D$32*(datos_base!$B$2+datos_base!$B$18+IF(parametros_manuales!$H$32="Todos",datos_base!$B$9+datos_base!$B$23,0))*parametros_manuales!$C$95+parametros_manuales!$E$32*(datos_base!$B$3+datos_base!$B$19+IF(parametros_manuales!$H$32="Todos",datos_base!$B$10+datos_base!$B$24,0))*parametros_manuales!$C$100+parametros_manuales!$F$32*(datos_base!$B$4+datos_base!$B$20+IF(parametros_manuales!$H$32="Todos",datos_base!$B$11+datos_base!$B$25,0))*parametros_manuales!$C$105+parametros_manuales!$G$32*(datos_base!$B$5+datos_base!$B$21+IF(parametros_manuales!$H$32="Todos",datos_base!$B$12+datos_base!$B$26,0))*parametros_manuales!$C$110)*parametros_manuales!$I$32*parametros_manuales!$J$32</f>
        <v>591.0172139684</v>
      </c>
      <c r="D15" s="9" t="n">
        <f aca="false">(parametros_manuales!$D$32*(datos_base!$B$2+datos_base!$B$18+IF(parametros_manuales!$H$32="Todos",datos_base!$B$9+datos_base!$B$23,0))*parametros_manuales!$D$95+parametros_manuales!$E$32*(datos_base!$B$3+datos_base!$B$19+IF(parametros_manuales!$H$32="Todos",datos_base!$B$10+datos_base!$B$24,0))*parametros_manuales!$D$100+parametros_manuales!$F$32*(datos_base!$B$4+datos_base!$B$20+IF(parametros_manuales!$H$32="Todos",datos_base!$B$11+datos_base!$B$25,0))*parametros_manuales!$D$105+parametros_manuales!$G$32*(datos_base!$B$5+datos_base!$B$21+IF(parametros_manuales!$H$32="Todos",datos_base!$B$12+datos_base!$B$26,0))*parametros_manuales!$D$110)*parametros_manuales!$I$32*parametros_manuales!$J$32</f>
        <v>562.66303135705</v>
      </c>
      <c r="E15" s="9" t="n">
        <f aca="false">(parametros_manuales!$D$32*(datos_base!$B$2+datos_base!$B$18+IF(parametros_manuales!$H$32="Todos",datos_base!$B$9+datos_base!$B$23,0))*parametros_manuales!$E$95+parametros_manuales!$E$32*(datos_base!$B$3+datos_base!$B$19+IF(parametros_manuales!$H$32="Todos",datos_base!$B$10+datos_base!$B$24,0))*parametros_manuales!$E$100+parametros_manuales!$F$32*(datos_base!$B$4+datos_base!$B$20+IF(parametros_manuales!$H$32="Todos",datos_base!$B$11+datos_base!$B$25,0))*parametros_manuales!$E$105+parametros_manuales!$G$32*(datos_base!$B$5+datos_base!$B$21+IF(parametros_manuales!$H$32="Todos",datos_base!$B$12+datos_base!$B$26,0))*parametros_manuales!$E$110)*parametros_manuales!$I$32*parametros_manuales!$J$32</f>
        <v>541.76934864205</v>
      </c>
      <c r="F15" s="9" t="n">
        <f aca="false">(parametros_manuales!$D$32*(datos_base!$B$2+datos_base!$B$18+IF(parametros_manuales!$H$32="Todos",datos_base!$B$9+datos_base!$B$23,0))*parametros_manuales!$F$95+parametros_manuales!$E$32*(datos_base!$B$3+datos_base!$B$19+IF(parametros_manuales!$H$32="Todos",datos_base!$B$10+datos_base!$B$24,0))*parametros_manuales!$F$100+parametros_manuales!$F$32*(datos_base!$B$4+datos_base!$B$20+IF(parametros_manuales!$H$32="Todos",datos_base!$B$11+datos_base!$B$25,0))*parametros_manuales!$F$105+parametros_manuales!$G$32*(datos_base!$B$5+datos_base!$B$21+IF(parametros_manuales!$H$32="Todos",datos_base!$B$12+datos_base!$B$26,0))*parametros_manuales!$F$110)*parametros_manuales!$I$32*parametros_manuales!$J$32</f>
        <v>507.4424831084</v>
      </c>
      <c r="G15" s="9" t="n">
        <f aca="false">(parametros_manuales!$D$32*(datos_base!$B$2+datos_base!$B$18+IF(parametros_manuales!$H$32="Todos",datos_base!$B$9+datos_base!$B$23,0))*parametros_manuales!$G$95+parametros_manuales!$E$32*(datos_base!$B$3+datos_base!$B$19+IF(parametros_manuales!$H$32="Todos",datos_base!$B$10+datos_base!$B$24,0))*parametros_manuales!$G$100+parametros_manuales!$F$32*(datos_base!$B$4+datos_base!$B$20+IF(parametros_manuales!$H$32="Todos",datos_base!$B$11+datos_base!$B$25,0))*parametros_manuales!$G$105+parametros_manuales!$G$32*(datos_base!$B$5+datos_base!$B$21+IF(parametros_manuales!$H$32="Todos",datos_base!$B$12+datos_base!$B$26,0))*parametros_manuales!$G$110)*parametros_manuales!$I$32*parametros_manuales!$J$32</f>
        <v>494.00930028975</v>
      </c>
      <c r="H15" s="9" t="n">
        <f aca="false">(parametros_manuales!$D$32*(datos_base!$B$2+datos_base!$B$18+IF(parametros_manuales!$H$32="Todos",datos_base!$B$9+datos_base!$B$23,0))*parametros_manuales!$H$95+parametros_manuales!$E$32*(datos_base!$B$3+datos_base!$B$19+IF(parametros_manuales!$H$32="Todos",datos_base!$B$10+datos_base!$B$24,0))*parametros_manuales!$H$100+parametros_manuales!$F$32*(datos_base!$B$4+datos_base!$B$20+IF(parametros_manuales!$H$32="Todos",datos_base!$B$11+datos_base!$B$25,0))*parametros_manuales!$H$105+parametros_manuales!$G$32*(datos_base!$B$5+datos_base!$B$21+IF(parametros_manuales!$H$32="Todos",datos_base!$B$12+datos_base!$B$26,0))*parametros_manuales!$H$110)*parametros_manuales!$I$32*parametros_manuales!$J$32</f>
        <v>528.3361658234</v>
      </c>
      <c r="I15" s="9" t="n">
        <f aca="false">(parametros_manuales!$D$32*(datos_base!$B$2+datos_base!$B$18+IF(parametros_manuales!$H$32="Todos",datos_base!$B$9+datos_base!$B$23,0))*parametros_manuales!$I$95+parametros_manuales!$E$32*(datos_base!$B$3+datos_base!$B$19+IF(parametros_manuales!$H$32="Todos",datos_base!$B$10+datos_base!$B$24,0))*parametros_manuales!$I$100+parametros_manuales!$F$32*(datos_base!$B$4+datos_base!$B$20+IF(parametros_manuales!$H$32="Todos",datos_base!$B$11+datos_base!$B$25,0))*parametros_manuales!$I$105+parametros_manuales!$G$32*(datos_base!$B$5+datos_base!$B$21+IF(parametros_manuales!$H$32="Todos",datos_base!$B$12+datos_base!$B$26,0))*parametros_manuales!$I$110)*parametros_manuales!$I$32*parametros_manuales!$J$32</f>
        <v>591.0172139684</v>
      </c>
      <c r="J15" s="9" t="n">
        <f aca="false">(parametros_manuales!$D$32*(datos_base!$B$2+datos_base!$B$18+IF(parametros_manuales!$H$32="Todos",datos_base!$B$9+datos_base!$B$23,0))*parametros_manuales!$J$95+parametros_manuales!$E$32*(datos_base!$B$3+datos_base!$B$19+IF(parametros_manuales!$H$32="Todos",datos_base!$B$10+datos_base!$B$24,0))*parametros_manuales!$J$100+parametros_manuales!$F$32*(datos_base!$B$4+datos_base!$B$20+IF(parametros_manuales!$H$32="Todos",datos_base!$B$11+datos_base!$B$25,0))*parametros_manuales!$J$105+parametros_manuales!$G$32*(datos_base!$B$5+datos_base!$B$21+IF(parametros_manuales!$H$32="Todos",datos_base!$B$12+datos_base!$B$26,0))*parametros_manuales!$J$110)*parametros_manuales!$I$32*parametros_manuales!$J$32</f>
        <v>591.0172139684</v>
      </c>
      <c r="K15" s="9" t="n">
        <f aca="false">(parametros_manuales!$D$32*(datos_base!$B$2+datos_base!$B$18+IF(parametros_manuales!$H$32="Todos",datos_base!$B$9+datos_base!$B$23,0))*parametros_manuales!$K$95+parametros_manuales!$E$32*(datos_base!$B$3+datos_base!$B$19+IF(parametros_manuales!$H$32="Todos",datos_base!$B$10+datos_base!$B$24,0))*parametros_manuales!$K$100+parametros_manuales!$F$32*(datos_base!$B$4+datos_base!$B$20+IF(parametros_manuales!$H$32="Todos",datos_base!$B$11+datos_base!$B$25,0))*parametros_manuales!$K$105+parametros_manuales!$G$32*(datos_base!$B$5+datos_base!$B$21+IF(parametros_manuales!$H$32="Todos",datos_base!$B$12+datos_base!$B$26,0))*parametros_manuales!$K$110)*parametros_manuales!$I$32*parametros_manuales!$J$32</f>
        <v>604.45039678705</v>
      </c>
      <c r="L15" s="9" t="n">
        <f aca="false">(parametros_manuales!$D$32*(datos_base!$B$2+datos_base!$B$18+IF(parametros_manuales!$H$32="Todos",datos_base!$B$9+datos_base!$B$23,0))*parametros_manuales!$L$95+parametros_manuales!$E$32*(datos_base!$B$3+datos_base!$B$19+IF(parametros_manuales!$H$32="Todos",datos_base!$B$10+datos_base!$B$24,0))*parametros_manuales!$L$100+parametros_manuales!$F$32*(datos_base!$B$4+datos_base!$B$20+IF(parametros_manuales!$H$32="Todos",datos_base!$B$11+datos_base!$B$25,0))*parametros_manuales!$L$105+parametros_manuales!$G$32*(datos_base!$B$5+datos_base!$B$21+IF(parametros_manuales!$H$32="Todos",datos_base!$B$12+datos_base!$B$26,0))*parametros_manuales!$L$110)*parametros_manuales!$I$32*parametros_manuales!$J$32</f>
        <v>617.8835796057</v>
      </c>
      <c r="M15" s="9" t="n">
        <f aca="false">(parametros_manuales!$D$32*(datos_base!$B$2+datos_base!$B$18+IF(parametros_manuales!$H$32="Todos",datos_base!$B$9+datos_base!$B$23,0))*parametros_manuales!$M$95+parametros_manuales!$E$32*(datos_base!$B$3+datos_base!$B$19+IF(parametros_manuales!$H$32="Todos",datos_base!$B$10+datos_base!$B$24,0))*parametros_manuales!$M$100+parametros_manuales!$F$32*(datos_base!$B$4+datos_base!$B$20+IF(parametros_manuales!$H$32="Todos",datos_base!$B$11+datos_base!$B$25,0))*parametros_manuales!$M$105+parametros_manuales!$G$32*(datos_base!$B$5+datos_base!$B$21+IF(parametros_manuales!$H$32="Todos",datos_base!$B$12+datos_base!$B$26,0))*parametros_manuales!$M$110)*parametros_manuales!$I$32*parametros_manuales!$J$32</f>
        <v>617.8835796057</v>
      </c>
      <c r="N15" s="9" t="n">
        <f aca="false">SUM(B15:M15)</f>
        <v>6865.37310673</v>
      </c>
      <c r="O15" s="9" t="n">
        <f aca="false">MAX(B15:M15)</f>
        <v>617.8835796057</v>
      </c>
      <c r="P15" s="43" t="n">
        <f aca="false">O15/(parametros_manuales!$B$7)</f>
        <v>4.119223864038</v>
      </c>
      <c r="Q15" s="8" t="str">
        <f aca="false">IF(O15=0,"-",INDEX($B$1:$M$1,MATCH(O15,B15:M15,0)))</f>
        <v>Ene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datos_base!$B$2+datos_base!$B$18+IF(parametros_manuales!$H$33="Todos",datos_base!$B$9+datos_base!$B$23,0))*parametros_manuales!$B$95+parametros_manuales!$E$33*(datos_base!$B$3+datos_base!$B$19+IF(parametros_manuales!$H$33="Todos",datos_base!$B$10+datos_base!$B$24,0))*parametros_manuales!$B$100+parametros_manuales!$F$33*(datos_base!$B$4+datos_base!$B$20+IF(parametros_manuales!$H$33="Todos",datos_base!$B$11+datos_base!$B$25,0))*parametros_manuales!$B$105+parametros_manuales!$G$33*(datos_base!$B$5+datos_base!$B$21+IF(parametros_manuales!$H$33="Todos",datos_base!$B$12+datos_base!$B$26,0))*parametros_manuales!$B$110)*parametros_manuales!$I$33*parametros_manuales!$J$33</f>
        <v>617.8835796057</v>
      </c>
      <c r="C16" s="9" t="n">
        <f aca="false">(parametros_manuales!$D$33*(datos_base!$B$2+datos_base!$B$18+IF(parametros_manuales!$H$33="Todos",datos_base!$B$9+datos_base!$B$23,0))*parametros_manuales!$C$95+parametros_manuales!$E$33*(datos_base!$B$3+datos_base!$B$19+IF(parametros_manuales!$H$33="Todos",datos_base!$B$10+datos_base!$B$24,0))*parametros_manuales!$C$100+parametros_manuales!$F$33*(datos_base!$B$4+datos_base!$B$20+IF(parametros_manuales!$H$33="Todos",datos_base!$B$11+datos_base!$B$25,0))*parametros_manuales!$C$105+parametros_manuales!$G$33*(datos_base!$B$5+datos_base!$B$21+IF(parametros_manuales!$H$33="Todos",datos_base!$B$12+datos_base!$B$26,0))*parametros_manuales!$C$110)*parametros_manuales!$I$33*parametros_manuales!$J$33</f>
        <v>591.0172139684</v>
      </c>
      <c r="D16" s="9" t="n">
        <f aca="false">(parametros_manuales!$D$33*(datos_base!$B$2+datos_base!$B$18+IF(parametros_manuales!$H$33="Todos",datos_base!$B$9+datos_base!$B$23,0))*parametros_manuales!$D$95+parametros_manuales!$E$33*(datos_base!$B$3+datos_base!$B$19+IF(parametros_manuales!$H$33="Todos",datos_base!$B$10+datos_base!$B$24,0))*parametros_manuales!$D$100+parametros_manuales!$F$33*(datos_base!$B$4+datos_base!$B$20+IF(parametros_manuales!$H$33="Todos",datos_base!$B$11+datos_base!$B$25,0))*parametros_manuales!$D$105+parametros_manuales!$G$33*(datos_base!$B$5+datos_base!$B$21+IF(parametros_manuales!$H$33="Todos",datos_base!$B$12+datos_base!$B$26,0))*parametros_manuales!$D$110)*parametros_manuales!$I$33*parametros_manuales!$J$33</f>
        <v>562.66303135705</v>
      </c>
      <c r="E16" s="9" t="n">
        <f aca="false">(parametros_manuales!$D$33*(datos_base!$B$2+datos_base!$B$18+IF(parametros_manuales!$H$33="Todos",datos_base!$B$9+datos_base!$B$23,0))*parametros_manuales!$E$95+parametros_manuales!$E$33*(datos_base!$B$3+datos_base!$B$19+IF(parametros_manuales!$H$33="Todos",datos_base!$B$10+datos_base!$B$24,0))*parametros_manuales!$E$100+parametros_manuales!$F$33*(datos_base!$B$4+datos_base!$B$20+IF(parametros_manuales!$H$33="Todos",datos_base!$B$11+datos_base!$B$25,0))*parametros_manuales!$E$105+parametros_manuales!$G$33*(datos_base!$B$5+datos_base!$B$21+IF(parametros_manuales!$H$33="Todos",datos_base!$B$12+datos_base!$B$26,0))*parametros_manuales!$E$110)*parametros_manuales!$I$33*parametros_manuales!$J$33</f>
        <v>541.76934864205</v>
      </c>
      <c r="F16" s="9" t="n">
        <f aca="false">(parametros_manuales!$D$33*(datos_base!$B$2+datos_base!$B$18+IF(parametros_manuales!$H$33="Todos",datos_base!$B$9+datos_base!$B$23,0))*parametros_manuales!$F$95+parametros_manuales!$E$33*(datos_base!$B$3+datos_base!$B$19+IF(parametros_manuales!$H$33="Todos",datos_base!$B$10+datos_base!$B$24,0))*parametros_manuales!$F$100+parametros_manuales!$F$33*(datos_base!$B$4+datos_base!$B$20+IF(parametros_manuales!$H$33="Todos",datos_base!$B$11+datos_base!$B$25,0))*parametros_manuales!$F$105+parametros_manuales!$G$33*(datos_base!$B$5+datos_base!$B$21+IF(parametros_manuales!$H$33="Todos",datos_base!$B$12+datos_base!$B$26,0))*parametros_manuales!$F$110)*parametros_manuales!$I$33*parametros_manuales!$J$33</f>
        <v>507.4424831084</v>
      </c>
      <c r="G16" s="9" t="n">
        <f aca="false">(parametros_manuales!$D$33*(datos_base!$B$2+datos_base!$B$18+IF(parametros_manuales!$H$33="Todos",datos_base!$B$9+datos_base!$B$23,0))*parametros_manuales!$G$95+parametros_manuales!$E$33*(datos_base!$B$3+datos_base!$B$19+IF(parametros_manuales!$H$33="Todos",datos_base!$B$10+datos_base!$B$24,0))*parametros_manuales!$G$100+parametros_manuales!$F$33*(datos_base!$B$4+datos_base!$B$20+IF(parametros_manuales!$H$33="Todos",datos_base!$B$11+datos_base!$B$25,0))*parametros_manuales!$G$105+parametros_manuales!$G$33*(datos_base!$B$5+datos_base!$B$21+IF(parametros_manuales!$H$33="Todos",datos_base!$B$12+datos_base!$B$26,0))*parametros_manuales!$G$110)*parametros_manuales!$I$33*parametros_manuales!$J$33</f>
        <v>494.00930028975</v>
      </c>
      <c r="H16" s="9" t="n">
        <f aca="false">(parametros_manuales!$D$33*(datos_base!$B$2+datos_base!$B$18+IF(parametros_manuales!$H$33="Todos",datos_base!$B$9+datos_base!$B$23,0))*parametros_manuales!$H$95+parametros_manuales!$E$33*(datos_base!$B$3+datos_base!$B$19+IF(parametros_manuales!$H$33="Todos",datos_base!$B$10+datos_base!$B$24,0))*parametros_manuales!$H$100+parametros_manuales!$F$33*(datos_base!$B$4+datos_base!$B$20+IF(parametros_manuales!$H$33="Todos",datos_base!$B$11+datos_base!$B$25,0))*parametros_manuales!$H$105+parametros_manuales!$G$33*(datos_base!$B$5+datos_base!$B$21+IF(parametros_manuales!$H$33="Todos",datos_base!$B$12+datos_base!$B$26,0))*parametros_manuales!$H$110)*parametros_manuales!$I$33*parametros_manuales!$J$33</f>
        <v>528.3361658234</v>
      </c>
      <c r="I16" s="9" t="n">
        <f aca="false">(parametros_manuales!$D$33*(datos_base!$B$2+datos_base!$B$18+IF(parametros_manuales!$H$33="Todos",datos_base!$B$9+datos_base!$B$23,0))*parametros_manuales!$I$95+parametros_manuales!$E$33*(datos_base!$B$3+datos_base!$B$19+IF(parametros_manuales!$H$33="Todos",datos_base!$B$10+datos_base!$B$24,0))*parametros_manuales!$I$100+parametros_manuales!$F$33*(datos_base!$B$4+datos_base!$B$20+IF(parametros_manuales!$H$33="Todos",datos_base!$B$11+datos_base!$B$25,0))*parametros_manuales!$I$105+parametros_manuales!$G$33*(datos_base!$B$5+datos_base!$B$21+IF(parametros_manuales!$H$33="Todos",datos_base!$B$12+datos_base!$B$26,0))*parametros_manuales!$I$110)*parametros_manuales!$I$33*parametros_manuales!$J$33</f>
        <v>591.0172139684</v>
      </c>
      <c r="J16" s="9" t="n">
        <f aca="false">(parametros_manuales!$D$33*(datos_base!$B$2+datos_base!$B$18+IF(parametros_manuales!$H$33="Todos",datos_base!$B$9+datos_base!$B$23,0))*parametros_manuales!$J$95+parametros_manuales!$E$33*(datos_base!$B$3+datos_base!$B$19+IF(parametros_manuales!$H$33="Todos",datos_base!$B$10+datos_base!$B$24,0))*parametros_manuales!$J$100+parametros_manuales!$F$33*(datos_base!$B$4+datos_base!$B$20+IF(parametros_manuales!$H$33="Todos",datos_base!$B$11+datos_base!$B$25,0))*parametros_manuales!$J$105+parametros_manuales!$G$33*(datos_base!$B$5+datos_base!$B$21+IF(parametros_manuales!$H$33="Todos",datos_base!$B$12+datos_base!$B$26,0))*parametros_manuales!$J$110)*parametros_manuales!$I$33*parametros_manuales!$J$33</f>
        <v>591.0172139684</v>
      </c>
      <c r="K16" s="9" t="n">
        <f aca="false">(parametros_manuales!$D$33*(datos_base!$B$2+datos_base!$B$18+IF(parametros_manuales!$H$33="Todos",datos_base!$B$9+datos_base!$B$23,0))*parametros_manuales!$K$95+parametros_manuales!$E$33*(datos_base!$B$3+datos_base!$B$19+IF(parametros_manuales!$H$33="Todos",datos_base!$B$10+datos_base!$B$24,0))*parametros_manuales!$K$100+parametros_manuales!$F$33*(datos_base!$B$4+datos_base!$B$20+IF(parametros_manuales!$H$33="Todos",datos_base!$B$11+datos_base!$B$25,0))*parametros_manuales!$K$105+parametros_manuales!$G$33*(datos_base!$B$5+datos_base!$B$21+IF(parametros_manuales!$H$33="Todos",datos_base!$B$12+datos_base!$B$26,0))*parametros_manuales!$K$110)*parametros_manuales!$I$33*parametros_manuales!$J$33</f>
        <v>604.45039678705</v>
      </c>
      <c r="L16" s="9" t="n">
        <f aca="false">(parametros_manuales!$D$33*(datos_base!$B$2+datos_base!$B$18+IF(parametros_manuales!$H$33="Todos",datos_base!$B$9+datos_base!$B$23,0))*parametros_manuales!$L$95+parametros_manuales!$E$33*(datos_base!$B$3+datos_base!$B$19+IF(parametros_manuales!$H$33="Todos",datos_base!$B$10+datos_base!$B$24,0))*parametros_manuales!$L$100+parametros_manuales!$F$33*(datos_base!$B$4+datos_base!$B$20+IF(parametros_manuales!$H$33="Todos",datos_base!$B$11+datos_base!$B$25,0))*parametros_manuales!$L$105+parametros_manuales!$G$33*(datos_base!$B$5+datos_base!$B$21+IF(parametros_manuales!$H$33="Todos",datos_base!$B$12+datos_base!$B$26,0))*parametros_manuales!$L$110)*parametros_manuales!$I$33*parametros_manuales!$J$33</f>
        <v>617.8835796057</v>
      </c>
      <c r="M16" s="9" t="n">
        <f aca="false">(parametros_manuales!$D$33*(datos_base!$B$2+datos_base!$B$18+IF(parametros_manuales!$H$33="Todos",datos_base!$B$9+datos_base!$B$23,0))*parametros_manuales!$M$95+parametros_manuales!$E$33*(datos_base!$B$3+datos_base!$B$19+IF(parametros_manuales!$H$33="Todos",datos_base!$B$10+datos_base!$B$24,0))*parametros_manuales!$M$100+parametros_manuales!$F$33*(datos_base!$B$4+datos_base!$B$20+IF(parametros_manuales!$H$33="Todos",datos_base!$B$11+datos_base!$B$25,0))*parametros_manuales!$M$105+parametros_manuales!$G$33*(datos_base!$B$5+datos_base!$B$21+IF(parametros_manuales!$H$33="Todos",datos_base!$B$12+datos_base!$B$26,0))*parametros_manuales!$M$110)*parametros_manuales!$I$33*parametros_manuales!$J$33</f>
        <v>617.8835796057</v>
      </c>
      <c r="N16" s="9" t="n">
        <f aca="false">SUM(B16:M16)</f>
        <v>6865.37310673</v>
      </c>
      <c r="O16" s="9" t="n">
        <f aca="false">MAX(B16:M16)</f>
        <v>617.8835796057</v>
      </c>
      <c r="P16" s="43" t="n">
        <f aca="false">O16/(parametros_manuales!$B$7)</f>
        <v>4.119223864038</v>
      </c>
      <c r="Q16" s="8" t="str">
        <f aca="false">IF(O16=0,"-",INDEX($B$1:$M$1,MATCH(O16,B16:M16,0)))</f>
        <v>Ene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datos_base!$B$2+datos_base!$B$18+IF(parametros_manuales!$H$34="Todos",datos_base!$B$9+datos_base!$B$23,0))*parametros_manuales!$B$95+parametros_manuales!$E$34*(datos_base!$B$3+datos_base!$B$19+IF(parametros_manuales!$H$34="Todos",datos_base!$B$10+datos_base!$B$24,0))*parametros_manuales!$B$100+parametros_manuales!$F$34*(datos_base!$B$4+datos_base!$B$20+IF(parametros_manuales!$H$34="Todos",datos_base!$B$11+datos_base!$B$25,0))*parametros_manuales!$B$105+parametros_manuales!$G$34*(datos_base!$B$5+datos_base!$B$21+IF(parametros_manuales!$H$34="Todos",datos_base!$B$12+datos_base!$B$26,0))*parametros_manuales!$B$110)*parametros_manuales!$I$34*parametros_manuales!$J$34</f>
        <v>617.8835796057</v>
      </c>
      <c r="C17" s="9" t="n">
        <f aca="false">(parametros_manuales!$D$34*(datos_base!$B$2+datos_base!$B$18+IF(parametros_manuales!$H$34="Todos",datos_base!$B$9+datos_base!$B$23,0))*parametros_manuales!$C$95+parametros_manuales!$E$34*(datos_base!$B$3+datos_base!$B$19+IF(parametros_manuales!$H$34="Todos",datos_base!$B$10+datos_base!$B$24,0))*parametros_manuales!$C$100+parametros_manuales!$F$34*(datos_base!$B$4+datos_base!$B$20+IF(parametros_manuales!$H$34="Todos",datos_base!$B$11+datos_base!$B$25,0))*parametros_manuales!$C$105+parametros_manuales!$G$34*(datos_base!$B$5+datos_base!$B$21+IF(parametros_manuales!$H$34="Todos",datos_base!$B$12+datos_base!$B$26,0))*parametros_manuales!$C$110)*parametros_manuales!$I$34*parametros_manuales!$J$34</f>
        <v>591.0172139684</v>
      </c>
      <c r="D17" s="9" t="n">
        <f aca="false">(parametros_manuales!$D$34*(datos_base!$B$2+datos_base!$B$18+IF(parametros_manuales!$H$34="Todos",datos_base!$B$9+datos_base!$B$23,0))*parametros_manuales!$D$95+parametros_manuales!$E$34*(datos_base!$B$3+datos_base!$B$19+IF(parametros_manuales!$H$34="Todos",datos_base!$B$10+datos_base!$B$24,0))*parametros_manuales!$D$100+parametros_manuales!$F$34*(datos_base!$B$4+datos_base!$B$20+IF(parametros_manuales!$H$34="Todos",datos_base!$B$11+datos_base!$B$25,0))*parametros_manuales!$D$105+parametros_manuales!$G$34*(datos_base!$B$5+datos_base!$B$21+IF(parametros_manuales!$H$34="Todos",datos_base!$B$12+datos_base!$B$26,0))*parametros_manuales!$D$110)*parametros_manuales!$I$34*parametros_manuales!$J$34</f>
        <v>562.66303135705</v>
      </c>
      <c r="E17" s="9" t="n">
        <f aca="false">(parametros_manuales!$D$34*(datos_base!$B$2+datos_base!$B$18+IF(parametros_manuales!$H$34="Todos",datos_base!$B$9+datos_base!$B$23,0))*parametros_manuales!$E$95+parametros_manuales!$E$34*(datos_base!$B$3+datos_base!$B$19+IF(parametros_manuales!$H$34="Todos",datos_base!$B$10+datos_base!$B$24,0))*parametros_manuales!$E$100+parametros_manuales!$F$34*(datos_base!$B$4+datos_base!$B$20+IF(parametros_manuales!$H$34="Todos",datos_base!$B$11+datos_base!$B$25,0))*parametros_manuales!$E$105+parametros_manuales!$G$34*(datos_base!$B$5+datos_base!$B$21+IF(parametros_manuales!$H$34="Todos",datos_base!$B$12+datos_base!$B$26,0))*parametros_manuales!$E$110)*parametros_manuales!$I$34*parametros_manuales!$J$34</f>
        <v>541.76934864205</v>
      </c>
      <c r="F17" s="9" t="n">
        <f aca="false">(parametros_manuales!$D$34*(datos_base!$B$2+datos_base!$B$18+IF(parametros_manuales!$H$34="Todos",datos_base!$B$9+datos_base!$B$23,0))*parametros_manuales!$F$95+parametros_manuales!$E$34*(datos_base!$B$3+datos_base!$B$19+IF(parametros_manuales!$H$34="Todos",datos_base!$B$10+datos_base!$B$24,0))*parametros_manuales!$F$100+parametros_manuales!$F$34*(datos_base!$B$4+datos_base!$B$20+IF(parametros_manuales!$H$34="Todos",datos_base!$B$11+datos_base!$B$25,0))*parametros_manuales!$F$105+parametros_manuales!$G$34*(datos_base!$B$5+datos_base!$B$21+IF(parametros_manuales!$H$34="Todos",datos_base!$B$12+datos_base!$B$26,0))*parametros_manuales!$F$110)*parametros_manuales!$I$34*parametros_manuales!$J$34</f>
        <v>507.4424831084</v>
      </c>
      <c r="G17" s="9" t="n">
        <f aca="false">(parametros_manuales!$D$34*(datos_base!$B$2+datos_base!$B$18+IF(parametros_manuales!$H$34="Todos",datos_base!$B$9+datos_base!$B$23,0))*parametros_manuales!$G$95+parametros_manuales!$E$34*(datos_base!$B$3+datos_base!$B$19+IF(parametros_manuales!$H$34="Todos",datos_base!$B$10+datos_base!$B$24,0))*parametros_manuales!$G$100+parametros_manuales!$F$34*(datos_base!$B$4+datos_base!$B$20+IF(parametros_manuales!$H$34="Todos",datos_base!$B$11+datos_base!$B$25,0))*parametros_manuales!$G$105+parametros_manuales!$G$34*(datos_base!$B$5+datos_base!$B$21+IF(parametros_manuales!$H$34="Todos",datos_base!$B$12+datos_base!$B$26,0))*parametros_manuales!$G$110)*parametros_manuales!$I$34*parametros_manuales!$J$34</f>
        <v>494.00930028975</v>
      </c>
      <c r="H17" s="9" t="n">
        <f aca="false">(parametros_manuales!$D$34*(datos_base!$B$2+datos_base!$B$18+IF(parametros_manuales!$H$34="Todos",datos_base!$B$9+datos_base!$B$23,0))*parametros_manuales!$H$95+parametros_manuales!$E$34*(datos_base!$B$3+datos_base!$B$19+IF(parametros_manuales!$H$34="Todos",datos_base!$B$10+datos_base!$B$24,0))*parametros_manuales!$H$100+parametros_manuales!$F$34*(datos_base!$B$4+datos_base!$B$20+IF(parametros_manuales!$H$34="Todos",datos_base!$B$11+datos_base!$B$25,0))*parametros_manuales!$H$105+parametros_manuales!$G$34*(datos_base!$B$5+datos_base!$B$21+IF(parametros_manuales!$H$34="Todos",datos_base!$B$12+datos_base!$B$26,0))*parametros_manuales!$H$110)*parametros_manuales!$I$34*parametros_manuales!$J$34</f>
        <v>528.3361658234</v>
      </c>
      <c r="I17" s="9" t="n">
        <f aca="false">(parametros_manuales!$D$34*(datos_base!$B$2+datos_base!$B$18+IF(parametros_manuales!$H$34="Todos",datos_base!$B$9+datos_base!$B$23,0))*parametros_manuales!$I$95+parametros_manuales!$E$34*(datos_base!$B$3+datos_base!$B$19+IF(parametros_manuales!$H$34="Todos",datos_base!$B$10+datos_base!$B$24,0))*parametros_manuales!$I$100+parametros_manuales!$F$34*(datos_base!$B$4+datos_base!$B$20+IF(parametros_manuales!$H$34="Todos",datos_base!$B$11+datos_base!$B$25,0))*parametros_manuales!$I$105+parametros_manuales!$G$34*(datos_base!$B$5+datos_base!$B$21+IF(parametros_manuales!$H$34="Todos",datos_base!$B$12+datos_base!$B$26,0))*parametros_manuales!$I$110)*parametros_manuales!$I$34*parametros_manuales!$J$34</f>
        <v>591.0172139684</v>
      </c>
      <c r="J17" s="9" t="n">
        <f aca="false">(parametros_manuales!$D$34*(datos_base!$B$2+datos_base!$B$18+IF(parametros_manuales!$H$34="Todos",datos_base!$B$9+datos_base!$B$23,0))*parametros_manuales!$J$95+parametros_manuales!$E$34*(datos_base!$B$3+datos_base!$B$19+IF(parametros_manuales!$H$34="Todos",datos_base!$B$10+datos_base!$B$24,0))*parametros_manuales!$J$100+parametros_manuales!$F$34*(datos_base!$B$4+datos_base!$B$20+IF(parametros_manuales!$H$34="Todos",datos_base!$B$11+datos_base!$B$25,0))*parametros_manuales!$J$105+parametros_manuales!$G$34*(datos_base!$B$5+datos_base!$B$21+IF(parametros_manuales!$H$34="Todos",datos_base!$B$12+datos_base!$B$26,0))*parametros_manuales!$J$110)*parametros_manuales!$I$34*parametros_manuales!$J$34</f>
        <v>591.0172139684</v>
      </c>
      <c r="K17" s="9" t="n">
        <f aca="false">(parametros_manuales!$D$34*(datos_base!$B$2+datos_base!$B$18+IF(parametros_manuales!$H$34="Todos",datos_base!$B$9+datos_base!$B$23,0))*parametros_manuales!$K$95+parametros_manuales!$E$34*(datos_base!$B$3+datos_base!$B$19+IF(parametros_manuales!$H$34="Todos",datos_base!$B$10+datos_base!$B$24,0))*parametros_manuales!$K$100+parametros_manuales!$F$34*(datos_base!$B$4+datos_base!$B$20+IF(parametros_manuales!$H$34="Todos",datos_base!$B$11+datos_base!$B$25,0))*parametros_manuales!$K$105+parametros_manuales!$G$34*(datos_base!$B$5+datos_base!$B$21+IF(parametros_manuales!$H$34="Todos",datos_base!$B$12+datos_base!$B$26,0))*parametros_manuales!$K$110)*parametros_manuales!$I$34*parametros_manuales!$J$34</f>
        <v>604.45039678705</v>
      </c>
      <c r="L17" s="9" t="n">
        <f aca="false">(parametros_manuales!$D$34*(datos_base!$B$2+datos_base!$B$18+IF(parametros_manuales!$H$34="Todos",datos_base!$B$9+datos_base!$B$23,0))*parametros_manuales!$L$95+parametros_manuales!$E$34*(datos_base!$B$3+datos_base!$B$19+IF(parametros_manuales!$H$34="Todos",datos_base!$B$10+datos_base!$B$24,0))*parametros_manuales!$L$100+parametros_manuales!$F$34*(datos_base!$B$4+datos_base!$B$20+IF(parametros_manuales!$H$34="Todos",datos_base!$B$11+datos_base!$B$25,0))*parametros_manuales!$L$105+parametros_manuales!$G$34*(datos_base!$B$5+datos_base!$B$21+IF(parametros_manuales!$H$34="Todos",datos_base!$B$12+datos_base!$B$26,0))*parametros_manuales!$L$110)*parametros_manuales!$I$34*parametros_manuales!$J$34</f>
        <v>617.8835796057</v>
      </c>
      <c r="M17" s="9" t="n">
        <f aca="false">(parametros_manuales!$D$34*(datos_base!$B$2+datos_base!$B$18+IF(parametros_manuales!$H$34="Todos",datos_base!$B$9+datos_base!$B$23,0))*parametros_manuales!$M$95+parametros_manuales!$E$34*(datos_base!$B$3+datos_base!$B$19+IF(parametros_manuales!$H$34="Todos",datos_base!$B$10+datos_base!$B$24,0))*parametros_manuales!$M$100+parametros_manuales!$F$34*(datos_base!$B$4+datos_base!$B$20+IF(parametros_manuales!$H$34="Todos",datos_base!$B$11+datos_base!$B$25,0))*parametros_manuales!$M$105+parametros_manuales!$G$34*(datos_base!$B$5+datos_base!$B$21+IF(parametros_manuales!$H$34="Todos",datos_base!$B$12+datos_base!$B$26,0))*parametros_manuales!$M$110)*parametros_manuales!$I$34*parametros_manuales!$J$34</f>
        <v>617.8835796057</v>
      </c>
      <c r="N17" s="9" t="n">
        <f aca="false">SUM(B17:M17)</f>
        <v>6865.37310673</v>
      </c>
      <c r="O17" s="9" t="n">
        <f aca="false">MAX(B17:M17)</f>
        <v>617.8835796057</v>
      </c>
      <c r="P17" s="43" t="n">
        <f aca="false">O17/(parametros_manuales!$B$7)</f>
        <v>4.119223864038</v>
      </c>
      <c r="Q17" s="8" t="str">
        <f aca="false">IF(O17=0,"-",INDEX($B$1:$M$1,MATCH(O17,B17:M17,0)))</f>
        <v>Ene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datos_base!$B$2+datos_base!$B$18+IF(parametros_manuales!$H$35="Todos",datos_base!$B$9+datos_base!$B$23,0))*parametros_manuales!$B$95+parametros_manuales!$E$35*(datos_base!$B$3+datos_base!$B$19+IF(parametros_manuales!$H$35="Todos",datos_base!$B$10+datos_base!$B$24,0))*parametros_manuales!$B$100+parametros_manuales!$F$35*(datos_base!$B$4+datos_base!$B$20+IF(parametros_manuales!$H$35="Todos",datos_base!$B$11+datos_base!$B$25,0))*parametros_manuales!$B$105+parametros_manuales!$G$35*(datos_base!$B$5+datos_base!$B$21+IF(parametros_manuales!$H$35="Todos",datos_base!$B$12+datos_base!$B$26,0))*parametros_manuales!$B$110)*parametros_manuales!$I$35*parametros_manuales!$J$35</f>
        <v>617.8835796057</v>
      </c>
      <c r="C18" s="9" t="n">
        <f aca="false">(parametros_manuales!$D$35*(datos_base!$B$2+datos_base!$B$18+IF(parametros_manuales!$H$35="Todos",datos_base!$B$9+datos_base!$B$23,0))*parametros_manuales!$C$95+parametros_manuales!$E$35*(datos_base!$B$3+datos_base!$B$19+IF(parametros_manuales!$H$35="Todos",datos_base!$B$10+datos_base!$B$24,0))*parametros_manuales!$C$100+parametros_manuales!$F$35*(datos_base!$B$4+datos_base!$B$20+IF(parametros_manuales!$H$35="Todos",datos_base!$B$11+datos_base!$B$25,0))*parametros_manuales!$C$105+parametros_manuales!$G$35*(datos_base!$B$5+datos_base!$B$21+IF(parametros_manuales!$H$35="Todos",datos_base!$B$12+datos_base!$B$26,0))*parametros_manuales!$C$110)*parametros_manuales!$I$35*parametros_manuales!$J$35</f>
        <v>591.0172139684</v>
      </c>
      <c r="D18" s="9" t="n">
        <f aca="false">(parametros_manuales!$D$35*(datos_base!$B$2+datos_base!$B$18+IF(parametros_manuales!$H$35="Todos",datos_base!$B$9+datos_base!$B$23,0))*parametros_manuales!$D$95+parametros_manuales!$E$35*(datos_base!$B$3+datos_base!$B$19+IF(parametros_manuales!$H$35="Todos",datos_base!$B$10+datos_base!$B$24,0))*parametros_manuales!$D$100+parametros_manuales!$F$35*(datos_base!$B$4+datos_base!$B$20+IF(parametros_manuales!$H$35="Todos",datos_base!$B$11+datos_base!$B$25,0))*parametros_manuales!$D$105+parametros_manuales!$G$35*(datos_base!$B$5+datos_base!$B$21+IF(parametros_manuales!$H$35="Todos",datos_base!$B$12+datos_base!$B$26,0))*parametros_manuales!$D$110)*parametros_manuales!$I$35*parametros_manuales!$J$35</f>
        <v>562.66303135705</v>
      </c>
      <c r="E18" s="9" t="n">
        <f aca="false">(parametros_manuales!$D$35*(datos_base!$B$2+datos_base!$B$18+IF(parametros_manuales!$H$35="Todos",datos_base!$B$9+datos_base!$B$23,0))*parametros_manuales!$E$95+parametros_manuales!$E$35*(datos_base!$B$3+datos_base!$B$19+IF(parametros_manuales!$H$35="Todos",datos_base!$B$10+datos_base!$B$24,0))*parametros_manuales!$E$100+parametros_manuales!$F$35*(datos_base!$B$4+datos_base!$B$20+IF(parametros_manuales!$H$35="Todos",datos_base!$B$11+datos_base!$B$25,0))*parametros_manuales!$E$105+parametros_manuales!$G$35*(datos_base!$B$5+datos_base!$B$21+IF(parametros_manuales!$H$35="Todos",datos_base!$B$12+datos_base!$B$26,0))*parametros_manuales!$E$110)*parametros_manuales!$I$35*parametros_manuales!$J$35</f>
        <v>541.76934864205</v>
      </c>
      <c r="F18" s="9" t="n">
        <f aca="false">(parametros_manuales!$D$35*(datos_base!$B$2+datos_base!$B$18+IF(parametros_manuales!$H$35="Todos",datos_base!$B$9+datos_base!$B$23,0))*parametros_manuales!$F$95+parametros_manuales!$E$35*(datos_base!$B$3+datos_base!$B$19+IF(parametros_manuales!$H$35="Todos",datos_base!$B$10+datos_base!$B$24,0))*parametros_manuales!$F$100+parametros_manuales!$F$35*(datos_base!$B$4+datos_base!$B$20+IF(parametros_manuales!$H$35="Todos",datos_base!$B$11+datos_base!$B$25,0))*parametros_manuales!$F$105+parametros_manuales!$G$35*(datos_base!$B$5+datos_base!$B$21+IF(parametros_manuales!$H$35="Todos",datos_base!$B$12+datos_base!$B$26,0))*parametros_manuales!$F$110)*parametros_manuales!$I$35*parametros_manuales!$J$35</f>
        <v>507.4424831084</v>
      </c>
      <c r="G18" s="9" t="n">
        <f aca="false">(parametros_manuales!$D$35*(datos_base!$B$2+datos_base!$B$18+IF(parametros_manuales!$H$35="Todos",datos_base!$B$9+datos_base!$B$23,0))*parametros_manuales!$G$95+parametros_manuales!$E$35*(datos_base!$B$3+datos_base!$B$19+IF(parametros_manuales!$H$35="Todos",datos_base!$B$10+datos_base!$B$24,0))*parametros_manuales!$G$100+parametros_manuales!$F$35*(datos_base!$B$4+datos_base!$B$20+IF(parametros_manuales!$H$35="Todos",datos_base!$B$11+datos_base!$B$25,0))*parametros_manuales!$G$105+parametros_manuales!$G$35*(datos_base!$B$5+datos_base!$B$21+IF(parametros_manuales!$H$35="Todos",datos_base!$B$12+datos_base!$B$26,0))*parametros_manuales!$G$110)*parametros_manuales!$I$35*parametros_manuales!$J$35</f>
        <v>494.00930028975</v>
      </c>
      <c r="H18" s="9" t="n">
        <f aca="false">(parametros_manuales!$D$35*(datos_base!$B$2+datos_base!$B$18+IF(parametros_manuales!$H$35="Todos",datos_base!$B$9+datos_base!$B$23,0))*parametros_manuales!$H$95+parametros_manuales!$E$35*(datos_base!$B$3+datos_base!$B$19+IF(parametros_manuales!$H$35="Todos",datos_base!$B$10+datos_base!$B$24,0))*parametros_manuales!$H$100+parametros_manuales!$F$35*(datos_base!$B$4+datos_base!$B$20+IF(parametros_manuales!$H$35="Todos",datos_base!$B$11+datos_base!$B$25,0))*parametros_manuales!$H$105+parametros_manuales!$G$35*(datos_base!$B$5+datos_base!$B$21+IF(parametros_manuales!$H$35="Todos",datos_base!$B$12+datos_base!$B$26,0))*parametros_manuales!$H$110)*parametros_manuales!$I$35*parametros_manuales!$J$35</f>
        <v>528.3361658234</v>
      </c>
      <c r="I18" s="9" t="n">
        <f aca="false">(parametros_manuales!$D$35*(datos_base!$B$2+datos_base!$B$18+IF(parametros_manuales!$H$35="Todos",datos_base!$B$9+datos_base!$B$23,0))*parametros_manuales!$I$95+parametros_manuales!$E$35*(datos_base!$B$3+datos_base!$B$19+IF(parametros_manuales!$H$35="Todos",datos_base!$B$10+datos_base!$B$24,0))*parametros_manuales!$I$100+parametros_manuales!$F$35*(datos_base!$B$4+datos_base!$B$20+IF(parametros_manuales!$H$35="Todos",datos_base!$B$11+datos_base!$B$25,0))*parametros_manuales!$I$105+parametros_manuales!$G$35*(datos_base!$B$5+datos_base!$B$21+IF(parametros_manuales!$H$35="Todos",datos_base!$B$12+datos_base!$B$26,0))*parametros_manuales!$I$110)*parametros_manuales!$I$35*parametros_manuales!$J$35</f>
        <v>591.0172139684</v>
      </c>
      <c r="J18" s="9" t="n">
        <f aca="false">(parametros_manuales!$D$35*(datos_base!$B$2+datos_base!$B$18+IF(parametros_manuales!$H$35="Todos",datos_base!$B$9+datos_base!$B$23,0))*parametros_manuales!$J$95+parametros_manuales!$E$35*(datos_base!$B$3+datos_base!$B$19+IF(parametros_manuales!$H$35="Todos",datos_base!$B$10+datos_base!$B$24,0))*parametros_manuales!$J$100+parametros_manuales!$F$35*(datos_base!$B$4+datos_base!$B$20+IF(parametros_manuales!$H$35="Todos",datos_base!$B$11+datos_base!$B$25,0))*parametros_manuales!$J$105+parametros_manuales!$G$35*(datos_base!$B$5+datos_base!$B$21+IF(parametros_manuales!$H$35="Todos",datos_base!$B$12+datos_base!$B$26,0))*parametros_manuales!$J$110)*parametros_manuales!$I$35*parametros_manuales!$J$35</f>
        <v>591.0172139684</v>
      </c>
      <c r="K18" s="9" t="n">
        <f aca="false">(parametros_manuales!$D$35*(datos_base!$B$2+datos_base!$B$18+IF(parametros_manuales!$H$35="Todos",datos_base!$B$9+datos_base!$B$23,0))*parametros_manuales!$K$95+parametros_manuales!$E$35*(datos_base!$B$3+datos_base!$B$19+IF(parametros_manuales!$H$35="Todos",datos_base!$B$10+datos_base!$B$24,0))*parametros_manuales!$K$100+parametros_manuales!$F$35*(datos_base!$B$4+datos_base!$B$20+IF(parametros_manuales!$H$35="Todos",datos_base!$B$11+datos_base!$B$25,0))*parametros_manuales!$K$105+parametros_manuales!$G$35*(datos_base!$B$5+datos_base!$B$21+IF(parametros_manuales!$H$35="Todos",datos_base!$B$12+datos_base!$B$26,0))*parametros_manuales!$K$110)*parametros_manuales!$I$35*parametros_manuales!$J$35</f>
        <v>604.45039678705</v>
      </c>
      <c r="L18" s="9" t="n">
        <f aca="false">(parametros_manuales!$D$35*(datos_base!$B$2+datos_base!$B$18+IF(parametros_manuales!$H$35="Todos",datos_base!$B$9+datos_base!$B$23,0))*parametros_manuales!$L$95+parametros_manuales!$E$35*(datos_base!$B$3+datos_base!$B$19+IF(parametros_manuales!$H$35="Todos",datos_base!$B$10+datos_base!$B$24,0))*parametros_manuales!$L$100+parametros_manuales!$F$35*(datos_base!$B$4+datos_base!$B$20+IF(parametros_manuales!$H$35="Todos",datos_base!$B$11+datos_base!$B$25,0))*parametros_manuales!$L$105+parametros_manuales!$G$35*(datos_base!$B$5+datos_base!$B$21+IF(parametros_manuales!$H$35="Todos",datos_base!$B$12+datos_base!$B$26,0))*parametros_manuales!$L$110)*parametros_manuales!$I$35*parametros_manuales!$J$35</f>
        <v>617.8835796057</v>
      </c>
      <c r="M18" s="9" t="n">
        <f aca="false">(parametros_manuales!$D$35*(datos_base!$B$2+datos_base!$B$18+IF(parametros_manuales!$H$35="Todos",datos_base!$B$9+datos_base!$B$23,0))*parametros_manuales!$M$95+parametros_manuales!$E$35*(datos_base!$B$3+datos_base!$B$19+IF(parametros_manuales!$H$35="Todos",datos_base!$B$10+datos_base!$B$24,0))*parametros_manuales!$M$100+parametros_manuales!$F$35*(datos_base!$B$4+datos_base!$B$20+IF(parametros_manuales!$H$35="Todos",datos_base!$B$11+datos_base!$B$25,0))*parametros_manuales!$M$105+parametros_manuales!$G$35*(datos_base!$B$5+datos_base!$B$21+IF(parametros_manuales!$H$35="Todos",datos_base!$B$12+datos_base!$B$26,0))*parametros_manuales!$M$110)*parametros_manuales!$I$35*parametros_manuales!$J$35</f>
        <v>617.8835796057</v>
      </c>
      <c r="N18" s="9" t="n">
        <f aca="false">SUM(B18:M18)</f>
        <v>6865.37310673</v>
      </c>
      <c r="O18" s="9" t="n">
        <f aca="false">MAX(B18:M18)</f>
        <v>617.8835796057</v>
      </c>
      <c r="P18" s="43" t="n">
        <f aca="false">O18/(parametros_manuales!$B$7)</f>
        <v>4.119223864038</v>
      </c>
      <c r="Q18" s="8" t="str">
        <f aca="false">IF(O18=0,"-",INDEX($B$1:$M$1,MATCH(O18,B18:M18,0)))</f>
        <v>Ene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datos_base!$B$2+datos_base!$B$18+IF(parametros_manuales!$H$36="Todos",datos_base!$B$9+datos_base!$B$23,0))*parametros_manuales!$B$95+parametros_manuales!$E$36*(datos_base!$B$3+datos_base!$B$19+IF(parametros_manuales!$H$36="Todos",datos_base!$B$10+datos_base!$B$24,0))*parametros_manuales!$B$100+parametros_manuales!$F$36*(datos_base!$B$4+datos_base!$B$20+IF(parametros_manuales!$H$36="Todos",datos_base!$B$11+datos_base!$B$25,0))*parametros_manuales!$B$105+parametros_manuales!$G$36*(datos_base!$B$5+datos_base!$B$21+IF(parametros_manuales!$H$36="Todos",datos_base!$B$12+datos_base!$B$26,0))*parametros_manuales!$B$110)*parametros_manuales!$I$36*parametros_manuales!$J$36</f>
        <v>30.894178980285</v>
      </c>
      <c r="C19" s="9" t="n">
        <f aca="false">(parametros_manuales!$D$36*(datos_base!$B$2+datos_base!$B$18+IF(parametros_manuales!$H$36="Todos",datos_base!$B$9+datos_base!$B$23,0))*parametros_manuales!$C$95+parametros_manuales!$E$36*(datos_base!$B$3+datos_base!$B$19+IF(parametros_manuales!$H$36="Todos",datos_base!$B$10+datos_base!$B$24,0))*parametros_manuales!$C$100+parametros_manuales!$F$36*(datos_base!$B$4+datos_base!$B$20+IF(parametros_manuales!$H$36="Todos",datos_base!$B$11+datos_base!$B$25,0))*parametros_manuales!$C$105+parametros_manuales!$G$36*(datos_base!$B$5+datos_base!$B$21+IF(parametros_manuales!$H$36="Todos",datos_base!$B$12+datos_base!$B$26,0))*parametros_manuales!$C$110)*parametros_manuales!$I$36*parametros_manuales!$J$36</f>
        <v>29.55086069842</v>
      </c>
      <c r="D19" s="9" t="n">
        <f aca="false">(parametros_manuales!$D$36*(datos_base!$B$2+datos_base!$B$18+IF(parametros_manuales!$H$36="Todos",datos_base!$B$9+datos_base!$B$23,0))*parametros_manuales!$D$95+parametros_manuales!$E$36*(datos_base!$B$3+datos_base!$B$19+IF(parametros_manuales!$H$36="Todos",datos_base!$B$10+datos_base!$B$24,0))*parametros_manuales!$D$100+parametros_manuales!$F$36*(datos_base!$B$4+datos_base!$B$20+IF(parametros_manuales!$H$36="Todos",datos_base!$B$11+datos_base!$B$25,0))*parametros_manuales!$D$105+parametros_manuales!$G$36*(datos_base!$B$5+datos_base!$B$21+IF(parametros_manuales!$H$36="Todos",datos_base!$B$12+datos_base!$B$26,0))*parametros_manuales!$D$110)*parametros_manuales!$I$36*parametros_manuales!$J$36</f>
        <v>28.1331515678525</v>
      </c>
      <c r="E19" s="9" t="n">
        <f aca="false">(parametros_manuales!$D$36*(datos_base!$B$2+datos_base!$B$18+IF(parametros_manuales!$H$36="Todos",datos_base!$B$9+datos_base!$B$23,0))*parametros_manuales!$E$95+parametros_manuales!$E$36*(datos_base!$B$3+datos_base!$B$19+IF(parametros_manuales!$H$36="Todos",datos_base!$B$10+datos_base!$B$24,0))*parametros_manuales!$E$100+parametros_manuales!$F$36*(datos_base!$B$4+datos_base!$B$20+IF(parametros_manuales!$H$36="Todos",datos_base!$B$11+datos_base!$B$25,0))*parametros_manuales!$E$105+parametros_manuales!$G$36*(datos_base!$B$5+datos_base!$B$21+IF(parametros_manuales!$H$36="Todos",datos_base!$B$12+datos_base!$B$26,0))*parametros_manuales!$E$110)*parametros_manuales!$I$36*parametros_manuales!$J$36</f>
        <v>27.0884674321025</v>
      </c>
      <c r="F19" s="9" t="n">
        <f aca="false">(parametros_manuales!$D$36*(datos_base!$B$2+datos_base!$B$18+IF(parametros_manuales!$H$36="Todos",datos_base!$B$9+datos_base!$B$23,0))*parametros_manuales!$F$95+parametros_manuales!$E$36*(datos_base!$B$3+datos_base!$B$19+IF(parametros_manuales!$H$36="Todos",datos_base!$B$10+datos_base!$B$24,0))*parametros_manuales!$F$100+parametros_manuales!$F$36*(datos_base!$B$4+datos_base!$B$20+IF(parametros_manuales!$H$36="Todos",datos_base!$B$11+datos_base!$B$25,0))*parametros_manuales!$F$105+parametros_manuales!$G$36*(datos_base!$B$5+datos_base!$B$21+IF(parametros_manuales!$H$36="Todos",datos_base!$B$12+datos_base!$B$26,0))*parametros_manuales!$F$110)*parametros_manuales!$I$36*parametros_manuales!$J$36</f>
        <v>25.37212415542</v>
      </c>
      <c r="G19" s="9" t="n">
        <f aca="false">(parametros_manuales!$D$36*(datos_base!$B$2+datos_base!$B$18+IF(parametros_manuales!$H$36="Todos",datos_base!$B$9+datos_base!$B$23,0))*parametros_manuales!$G$95+parametros_manuales!$E$36*(datos_base!$B$3+datos_base!$B$19+IF(parametros_manuales!$H$36="Todos",datos_base!$B$10+datos_base!$B$24,0))*parametros_manuales!$G$100+parametros_manuales!$F$36*(datos_base!$B$4+datos_base!$B$20+IF(parametros_manuales!$H$36="Todos",datos_base!$B$11+datos_base!$B$25,0))*parametros_manuales!$G$105+parametros_manuales!$G$36*(datos_base!$B$5+datos_base!$B$21+IF(parametros_manuales!$H$36="Todos",datos_base!$B$12+datos_base!$B$26,0))*parametros_manuales!$G$110)*parametros_manuales!$I$36*parametros_manuales!$J$36</f>
        <v>24.7004650144875</v>
      </c>
      <c r="H19" s="9" t="n">
        <f aca="false">(parametros_manuales!$D$36*(datos_base!$B$2+datos_base!$B$18+IF(parametros_manuales!$H$36="Todos",datos_base!$B$9+datos_base!$B$23,0))*parametros_manuales!$H$95+parametros_manuales!$E$36*(datos_base!$B$3+datos_base!$B$19+IF(parametros_manuales!$H$36="Todos",datos_base!$B$10+datos_base!$B$24,0))*parametros_manuales!$H$100+parametros_manuales!$F$36*(datos_base!$B$4+datos_base!$B$20+IF(parametros_manuales!$H$36="Todos",datos_base!$B$11+datos_base!$B$25,0))*parametros_manuales!$H$105+parametros_manuales!$G$36*(datos_base!$B$5+datos_base!$B$21+IF(parametros_manuales!$H$36="Todos",datos_base!$B$12+datos_base!$B$26,0))*parametros_manuales!$H$110)*parametros_manuales!$I$36*parametros_manuales!$J$36</f>
        <v>26.41680829117</v>
      </c>
      <c r="I19" s="9" t="n">
        <f aca="false">(parametros_manuales!$D$36*(datos_base!$B$2+datos_base!$B$18+IF(parametros_manuales!$H$36="Todos",datos_base!$B$9+datos_base!$B$23,0))*parametros_manuales!$I$95+parametros_manuales!$E$36*(datos_base!$B$3+datos_base!$B$19+IF(parametros_manuales!$H$36="Todos",datos_base!$B$10+datos_base!$B$24,0))*parametros_manuales!$I$100+parametros_manuales!$F$36*(datos_base!$B$4+datos_base!$B$20+IF(parametros_manuales!$H$36="Todos",datos_base!$B$11+datos_base!$B$25,0))*parametros_manuales!$I$105+parametros_manuales!$G$36*(datos_base!$B$5+datos_base!$B$21+IF(parametros_manuales!$H$36="Todos",datos_base!$B$12+datos_base!$B$26,0))*parametros_manuales!$I$110)*parametros_manuales!$I$36*parametros_manuales!$J$36</f>
        <v>29.55086069842</v>
      </c>
      <c r="J19" s="9" t="n">
        <f aca="false">(parametros_manuales!$D$36*(datos_base!$B$2+datos_base!$B$18+IF(parametros_manuales!$H$36="Todos",datos_base!$B$9+datos_base!$B$23,0))*parametros_manuales!$J$95+parametros_manuales!$E$36*(datos_base!$B$3+datos_base!$B$19+IF(parametros_manuales!$H$36="Todos",datos_base!$B$10+datos_base!$B$24,0))*parametros_manuales!$J$100+parametros_manuales!$F$36*(datos_base!$B$4+datos_base!$B$20+IF(parametros_manuales!$H$36="Todos",datos_base!$B$11+datos_base!$B$25,0))*parametros_manuales!$J$105+parametros_manuales!$G$36*(datos_base!$B$5+datos_base!$B$21+IF(parametros_manuales!$H$36="Todos",datos_base!$B$12+datos_base!$B$26,0))*parametros_manuales!$J$110)*parametros_manuales!$I$36*parametros_manuales!$J$36</f>
        <v>29.55086069842</v>
      </c>
      <c r="K19" s="9" t="n">
        <f aca="false">(parametros_manuales!$D$36*(datos_base!$B$2+datos_base!$B$18+IF(parametros_manuales!$H$36="Todos",datos_base!$B$9+datos_base!$B$23,0))*parametros_manuales!$K$95+parametros_manuales!$E$36*(datos_base!$B$3+datos_base!$B$19+IF(parametros_manuales!$H$36="Todos",datos_base!$B$10+datos_base!$B$24,0))*parametros_manuales!$K$100+parametros_manuales!$F$36*(datos_base!$B$4+datos_base!$B$20+IF(parametros_manuales!$H$36="Todos",datos_base!$B$11+datos_base!$B$25,0))*parametros_manuales!$K$105+parametros_manuales!$G$36*(datos_base!$B$5+datos_base!$B$21+IF(parametros_manuales!$H$36="Todos",datos_base!$B$12+datos_base!$B$26,0))*parametros_manuales!$K$110)*parametros_manuales!$I$36*parametros_manuales!$J$36</f>
        <v>30.2225198393525</v>
      </c>
      <c r="L19" s="9" t="n">
        <f aca="false">(parametros_manuales!$D$36*(datos_base!$B$2+datos_base!$B$18+IF(parametros_manuales!$H$36="Todos",datos_base!$B$9+datos_base!$B$23,0))*parametros_manuales!$L$95+parametros_manuales!$E$36*(datos_base!$B$3+datos_base!$B$19+IF(parametros_manuales!$H$36="Todos",datos_base!$B$10+datos_base!$B$24,0))*parametros_manuales!$L$100+parametros_manuales!$F$36*(datos_base!$B$4+datos_base!$B$20+IF(parametros_manuales!$H$36="Todos",datos_base!$B$11+datos_base!$B$25,0))*parametros_manuales!$L$105+parametros_manuales!$G$36*(datos_base!$B$5+datos_base!$B$21+IF(parametros_manuales!$H$36="Todos",datos_base!$B$12+datos_base!$B$26,0))*parametros_manuales!$L$110)*parametros_manuales!$I$36*parametros_manuales!$J$36</f>
        <v>30.894178980285</v>
      </c>
      <c r="M19" s="9" t="n">
        <f aca="false">(parametros_manuales!$D$36*(datos_base!$B$2+datos_base!$B$18+IF(parametros_manuales!$H$36="Todos",datos_base!$B$9+datos_base!$B$23,0))*parametros_manuales!$M$95+parametros_manuales!$E$36*(datos_base!$B$3+datos_base!$B$19+IF(parametros_manuales!$H$36="Todos",datos_base!$B$10+datos_base!$B$24,0))*parametros_manuales!$M$100+parametros_manuales!$F$36*(datos_base!$B$4+datos_base!$B$20+IF(parametros_manuales!$H$36="Todos",datos_base!$B$11+datos_base!$B$25,0))*parametros_manuales!$M$105+parametros_manuales!$G$36*(datos_base!$B$5+datos_base!$B$21+IF(parametros_manuales!$H$36="Todos",datos_base!$B$12+datos_base!$B$26,0))*parametros_manuales!$M$110)*parametros_manuales!$I$36*parametros_manuales!$J$36</f>
        <v>30.894178980285</v>
      </c>
      <c r="N19" s="9" t="n">
        <f aca="false">SUM(B19:M19)</f>
        <v>343.2686553365</v>
      </c>
      <c r="O19" s="9" t="n">
        <f aca="false">MAX(B19:M19)</f>
        <v>30.894178980285</v>
      </c>
      <c r="P19" s="43" t="n">
        <f aca="false">O19/(parametros_manuales!$B$7)</f>
        <v>0.2059611932019</v>
      </c>
      <c r="Q19" s="8" t="str">
        <f aca="false">IF(O19=0,"-",INDEX($B$1:$M$1,MATCH(O19,B19:M19,0)))</f>
        <v>Ene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datos_base!$B$2+datos_base!$B$18+IF(parametros_manuales!$H$37="Todos",datos_base!$B$9+datos_base!$B$23,0))*parametros_manuales!$B$95+parametros_manuales!$E$37*(datos_base!$B$3+datos_base!$B$19+IF(parametros_manuales!$H$37="Todos",datos_base!$B$10+datos_base!$B$24,0))*parametros_manuales!$B$100+parametros_manuales!$F$37*(datos_base!$B$4+datos_base!$B$20+IF(parametros_manuales!$H$37="Todos",datos_base!$B$11+datos_base!$B$25,0))*parametros_manuales!$B$105+parametros_manuales!$G$37*(datos_base!$B$5+datos_base!$B$21+IF(parametros_manuales!$H$37="Todos",datos_base!$B$12+datos_base!$B$26,0))*parametros_manuales!$B$110)*parametros_manuales!$I$37*parametros_manuales!$J$37</f>
        <v>617.8835796057</v>
      </c>
      <c r="C20" s="9" t="n">
        <f aca="false">(parametros_manuales!$D$37*(datos_base!$B$2+datos_base!$B$18+IF(parametros_manuales!$H$37="Todos",datos_base!$B$9+datos_base!$B$23,0))*parametros_manuales!$C$95+parametros_manuales!$E$37*(datos_base!$B$3+datos_base!$B$19+IF(parametros_manuales!$H$37="Todos",datos_base!$B$10+datos_base!$B$24,0))*parametros_manuales!$C$100+parametros_manuales!$F$37*(datos_base!$B$4+datos_base!$B$20+IF(parametros_manuales!$H$37="Todos",datos_base!$B$11+datos_base!$B$25,0))*parametros_manuales!$C$105+parametros_manuales!$G$37*(datos_base!$B$5+datos_base!$B$21+IF(parametros_manuales!$H$37="Todos",datos_base!$B$12+datos_base!$B$26,0))*parametros_manuales!$C$110)*parametros_manuales!$I$37*parametros_manuales!$J$37</f>
        <v>591.0172139684</v>
      </c>
      <c r="D20" s="9" t="n">
        <f aca="false">(parametros_manuales!$D$37*(datos_base!$B$2+datos_base!$B$18+IF(parametros_manuales!$H$37="Todos",datos_base!$B$9+datos_base!$B$23,0))*parametros_manuales!$D$95+parametros_manuales!$E$37*(datos_base!$B$3+datos_base!$B$19+IF(parametros_manuales!$H$37="Todos",datos_base!$B$10+datos_base!$B$24,0))*parametros_manuales!$D$100+parametros_manuales!$F$37*(datos_base!$B$4+datos_base!$B$20+IF(parametros_manuales!$H$37="Todos",datos_base!$B$11+datos_base!$B$25,0))*parametros_manuales!$D$105+parametros_manuales!$G$37*(datos_base!$B$5+datos_base!$B$21+IF(parametros_manuales!$H$37="Todos",datos_base!$B$12+datos_base!$B$26,0))*parametros_manuales!$D$110)*parametros_manuales!$I$37*parametros_manuales!$J$37</f>
        <v>562.66303135705</v>
      </c>
      <c r="E20" s="9" t="n">
        <f aca="false">(parametros_manuales!$D$37*(datos_base!$B$2+datos_base!$B$18+IF(parametros_manuales!$H$37="Todos",datos_base!$B$9+datos_base!$B$23,0))*parametros_manuales!$E$95+parametros_manuales!$E$37*(datos_base!$B$3+datos_base!$B$19+IF(parametros_manuales!$H$37="Todos",datos_base!$B$10+datos_base!$B$24,0))*parametros_manuales!$E$100+parametros_manuales!$F$37*(datos_base!$B$4+datos_base!$B$20+IF(parametros_manuales!$H$37="Todos",datos_base!$B$11+datos_base!$B$25,0))*parametros_manuales!$E$105+parametros_manuales!$G$37*(datos_base!$B$5+datos_base!$B$21+IF(parametros_manuales!$H$37="Todos",datos_base!$B$12+datos_base!$B$26,0))*parametros_manuales!$E$110)*parametros_manuales!$I$37*parametros_manuales!$J$37</f>
        <v>541.76934864205</v>
      </c>
      <c r="F20" s="9" t="n">
        <f aca="false">(parametros_manuales!$D$37*(datos_base!$B$2+datos_base!$B$18+IF(parametros_manuales!$H$37="Todos",datos_base!$B$9+datos_base!$B$23,0))*parametros_manuales!$F$95+parametros_manuales!$E$37*(datos_base!$B$3+datos_base!$B$19+IF(parametros_manuales!$H$37="Todos",datos_base!$B$10+datos_base!$B$24,0))*parametros_manuales!$F$100+parametros_manuales!$F$37*(datos_base!$B$4+datos_base!$B$20+IF(parametros_manuales!$H$37="Todos",datos_base!$B$11+datos_base!$B$25,0))*parametros_manuales!$F$105+parametros_manuales!$G$37*(datos_base!$B$5+datos_base!$B$21+IF(parametros_manuales!$H$37="Todos",datos_base!$B$12+datos_base!$B$26,0))*parametros_manuales!$F$110)*parametros_manuales!$I$37*parametros_manuales!$J$37</f>
        <v>507.4424831084</v>
      </c>
      <c r="G20" s="9" t="n">
        <f aca="false">(parametros_manuales!$D$37*(datos_base!$B$2+datos_base!$B$18+IF(parametros_manuales!$H$37="Todos",datos_base!$B$9+datos_base!$B$23,0))*parametros_manuales!$G$95+parametros_manuales!$E$37*(datos_base!$B$3+datos_base!$B$19+IF(parametros_manuales!$H$37="Todos",datos_base!$B$10+datos_base!$B$24,0))*parametros_manuales!$G$100+parametros_manuales!$F$37*(datos_base!$B$4+datos_base!$B$20+IF(parametros_manuales!$H$37="Todos",datos_base!$B$11+datos_base!$B$25,0))*parametros_manuales!$G$105+parametros_manuales!$G$37*(datos_base!$B$5+datos_base!$B$21+IF(parametros_manuales!$H$37="Todos",datos_base!$B$12+datos_base!$B$26,0))*parametros_manuales!$G$110)*parametros_manuales!$I$37*parametros_manuales!$J$37</f>
        <v>494.00930028975</v>
      </c>
      <c r="H20" s="9" t="n">
        <f aca="false">(parametros_manuales!$D$37*(datos_base!$B$2+datos_base!$B$18+IF(parametros_manuales!$H$37="Todos",datos_base!$B$9+datos_base!$B$23,0))*parametros_manuales!$H$95+parametros_manuales!$E$37*(datos_base!$B$3+datos_base!$B$19+IF(parametros_manuales!$H$37="Todos",datos_base!$B$10+datos_base!$B$24,0))*parametros_manuales!$H$100+parametros_manuales!$F$37*(datos_base!$B$4+datos_base!$B$20+IF(parametros_manuales!$H$37="Todos",datos_base!$B$11+datos_base!$B$25,0))*parametros_manuales!$H$105+parametros_manuales!$G$37*(datos_base!$B$5+datos_base!$B$21+IF(parametros_manuales!$H$37="Todos",datos_base!$B$12+datos_base!$B$26,0))*parametros_manuales!$H$110)*parametros_manuales!$I$37*parametros_manuales!$J$37</f>
        <v>528.3361658234</v>
      </c>
      <c r="I20" s="9" t="n">
        <f aca="false">(parametros_manuales!$D$37*(datos_base!$B$2+datos_base!$B$18+IF(parametros_manuales!$H$37="Todos",datos_base!$B$9+datos_base!$B$23,0))*parametros_manuales!$I$95+parametros_manuales!$E$37*(datos_base!$B$3+datos_base!$B$19+IF(parametros_manuales!$H$37="Todos",datos_base!$B$10+datos_base!$B$24,0))*parametros_manuales!$I$100+parametros_manuales!$F$37*(datos_base!$B$4+datos_base!$B$20+IF(parametros_manuales!$H$37="Todos",datos_base!$B$11+datos_base!$B$25,0))*parametros_manuales!$I$105+parametros_manuales!$G$37*(datos_base!$B$5+datos_base!$B$21+IF(parametros_manuales!$H$37="Todos",datos_base!$B$12+datos_base!$B$26,0))*parametros_manuales!$I$110)*parametros_manuales!$I$37*parametros_manuales!$J$37</f>
        <v>591.0172139684</v>
      </c>
      <c r="J20" s="9" t="n">
        <f aca="false">(parametros_manuales!$D$37*(datos_base!$B$2+datos_base!$B$18+IF(parametros_manuales!$H$37="Todos",datos_base!$B$9+datos_base!$B$23,0))*parametros_manuales!$J$95+parametros_manuales!$E$37*(datos_base!$B$3+datos_base!$B$19+IF(parametros_manuales!$H$37="Todos",datos_base!$B$10+datos_base!$B$24,0))*parametros_manuales!$J$100+parametros_manuales!$F$37*(datos_base!$B$4+datos_base!$B$20+IF(parametros_manuales!$H$37="Todos",datos_base!$B$11+datos_base!$B$25,0))*parametros_manuales!$J$105+parametros_manuales!$G$37*(datos_base!$B$5+datos_base!$B$21+IF(parametros_manuales!$H$37="Todos",datos_base!$B$12+datos_base!$B$26,0))*parametros_manuales!$J$110)*parametros_manuales!$I$37*parametros_manuales!$J$37</f>
        <v>591.0172139684</v>
      </c>
      <c r="K20" s="9" t="n">
        <f aca="false">(parametros_manuales!$D$37*(datos_base!$B$2+datos_base!$B$18+IF(parametros_manuales!$H$37="Todos",datos_base!$B$9+datos_base!$B$23,0))*parametros_manuales!$K$95+parametros_manuales!$E$37*(datos_base!$B$3+datos_base!$B$19+IF(parametros_manuales!$H$37="Todos",datos_base!$B$10+datos_base!$B$24,0))*parametros_manuales!$K$100+parametros_manuales!$F$37*(datos_base!$B$4+datos_base!$B$20+IF(parametros_manuales!$H$37="Todos",datos_base!$B$11+datos_base!$B$25,0))*parametros_manuales!$K$105+parametros_manuales!$G$37*(datos_base!$B$5+datos_base!$B$21+IF(parametros_manuales!$H$37="Todos",datos_base!$B$12+datos_base!$B$26,0))*parametros_manuales!$K$110)*parametros_manuales!$I$37*parametros_manuales!$J$37</f>
        <v>604.45039678705</v>
      </c>
      <c r="L20" s="9" t="n">
        <f aca="false">(parametros_manuales!$D$37*(datos_base!$B$2+datos_base!$B$18+IF(parametros_manuales!$H$37="Todos",datos_base!$B$9+datos_base!$B$23,0))*parametros_manuales!$L$95+parametros_manuales!$E$37*(datos_base!$B$3+datos_base!$B$19+IF(parametros_manuales!$H$37="Todos",datos_base!$B$10+datos_base!$B$24,0))*parametros_manuales!$L$100+parametros_manuales!$F$37*(datos_base!$B$4+datos_base!$B$20+IF(parametros_manuales!$H$37="Todos",datos_base!$B$11+datos_base!$B$25,0))*parametros_manuales!$L$105+parametros_manuales!$G$37*(datos_base!$B$5+datos_base!$B$21+IF(parametros_manuales!$H$37="Todos",datos_base!$B$12+datos_base!$B$26,0))*parametros_manuales!$L$110)*parametros_manuales!$I$37*parametros_manuales!$J$37</f>
        <v>617.8835796057</v>
      </c>
      <c r="M20" s="9" t="n">
        <f aca="false">(parametros_manuales!$D$37*(datos_base!$B$2+datos_base!$B$18+IF(parametros_manuales!$H$37="Todos",datos_base!$B$9+datos_base!$B$23,0))*parametros_manuales!$M$95+parametros_manuales!$E$37*(datos_base!$B$3+datos_base!$B$19+IF(parametros_manuales!$H$37="Todos",datos_base!$B$10+datos_base!$B$24,0))*parametros_manuales!$M$100+parametros_manuales!$F$37*(datos_base!$B$4+datos_base!$B$20+IF(parametros_manuales!$H$37="Todos",datos_base!$B$11+datos_base!$B$25,0))*parametros_manuales!$M$105+parametros_manuales!$G$37*(datos_base!$B$5+datos_base!$B$21+IF(parametros_manuales!$H$37="Todos",datos_base!$B$12+datos_base!$B$26,0))*parametros_manuales!$M$110)*parametros_manuales!$I$37*parametros_manuales!$J$37</f>
        <v>617.8835796057</v>
      </c>
      <c r="N20" s="9" t="n">
        <f aca="false">SUM(B20:M20)</f>
        <v>6865.37310673</v>
      </c>
      <c r="O20" s="9" t="n">
        <f aca="false">MAX(B20:M20)</f>
        <v>617.8835796057</v>
      </c>
      <c r="P20" s="43" t="n">
        <f aca="false">O20/(parametros_manuales!$B$7)</f>
        <v>4.119223864038</v>
      </c>
      <c r="Q20" s="8" t="str">
        <f aca="false">IF(O20=0,"-",INDEX($B$1:$M$1,MATCH(O20,B20:M20,0)))</f>
        <v>Ene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datos_base!$B$2+datos_base!$B$18+IF(parametros_manuales!$H$38="Todos",datos_base!$B$9+datos_base!$B$23,0))*parametros_manuales!$B$95+parametros_manuales!$E$38*(datos_base!$B$3+datos_base!$B$19+IF(parametros_manuales!$H$38="Todos",datos_base!$B$10+datos_base!$B$24,0))*parametros_manuales!$B$100+parametros_manuales!$F$38*(datos_base!$B$4+datos_base!$B$20+IF(parametros_manuales!$H$38="Todos",datos_base!$B$11+datos_base!$B$25,0))*parametros_manuales!$B$105+parametros_manuales!$G$38*(datos_base!$B$5+datos_base!$B$21+IF(parametros_manuales!$H$38="Todos",datos_base!$B$12+datos_base!$B$26,0))*parametros_manuales!$B$110)*parametros_manuales!$I$38*parametros_manuales!$J$38</f>
        <v>615.3635796057</v>
      </c>
      <c r="C21" s="9" t="n">
        <f aca="false">(parametros_manuales!$D$38*(datos_base!$B$2+datos_base!$B$18+IF(parametros_manuales!$H$38="Todos",datos_base!$B$9+datos_base!$B$23,0))*parametros_manuales!$C$95+parametros_manuales!$E$38*(datos_base!$B$3+datos_base!$B$19+IF(parametros_manuales!$H$38="Todos",datos_base!$B$10+datos_base!$B$24,0))*parametros_manuales!$C$100+parametros_manuales!$F$38*(datos_base!$B$4+datos_base!$B$20+IF(parametros_manuales!$H$38="Todos",datos_base!$B$11+datos_base!$B$25,0))*parametros_manuales!$C$105+parametros_manuales!$G$38*(datos_base!$B$5+datos_base!$B$21+IF(parametros_manuales!$H$38="Todos",datos_base!$B$12+datos_base!$B$26,0))*parametros_manuales!$C$110)*parametros_manuales!$I$38*parametros_manuales!$J$38</f>
        <v>588.7772139684</v>
      </c>
      <c r="D21" s="9" t="n">
        <f aca="false">(parametros_manuales!$D$38*(datos_base!$B$2+datos_base!$B$18+IF(parametros_manuales!$H$38="Todos",datos_base!$B$9+datos_base!$B$23,0))*parametros_manuales!$D$95+parametros_manuales!$E$38*(datos_base!$B$3+datos_base!$B$19+IF(parametros_manuales!$H$38="Todos",datos_base!$B$10+datos_base!$B$24,0))*parametros_manuales!$D$100+parametros_manuales!$F$38*(datos_base!$B$4+datos_base!$B$20+IF(parametros_manuales!$H$38="Todos",datos_base!$B$11+datos_base!$B$25,0))*parametros_manuales!$D$105+parametros_manuales!$G$38*(datos_base!$B$5+datos_base!$B$21+IF(parametros_manuales!$H$38="Todos",datos_base!$B$12+datos_base!$B$26,0))*parametros_manuales!$D$110)*parametros_manuales!$I$38*parametros_manuales!$J$38</f>
        <v>560.28303135705</v>
      </c>
      <c r="E21" s="9" t="n">
        <f aca="false">(parametros_manuales!$D$38*(datos_base!$B$2+datos_base!$B$18+IF(parametros_manuales!$H$38="Todos",datos_base!$B$9+datos_base!$B$23,0))*parametros_manuales!$E$95+parametros_manuales!$E$38*(datos_base!$B$3+datos_base!$B$19+IF(parametros_manuales!$H$38="Todos",datos_base!$B$10+datos_base!$B$24,0))*parametros_manuales!$E$100+parametros_manuales!$F$38*(datos_base!$B$4+datos_base!$B$20+IF(parametros_manuales!$H$38="Todos",datos_base!$B$11+datos_base!$B$25,0))*parametros_manuales!$E$105+parametros_manuales!$G$38*(datos_base!$B$5+datos_base!$B$21+IF(parametros_manuales!$H$38="Todos",datos_base!$B$12+datos_base!$B$26,0))*parametros_manuales!$E$110)*parametros_manuales!$I$38*parametros_manuales!$J$38</f>
        <v>539.38934864205</v>
      </c>
      <c r="F21" s="9" t="n">
        <f aca="false">(parametros_manuales!$D$38*(datos_base!$B$2+datos_base!$B$18+IF(parametros_manuales!$H$38="Todos",datos_base!$B$9+datos_base!$B$23,0))*parametros_manuales!$F$95+parametros_manuales!$E$38*(datos_base!$B$3+datos_base!$B$19+IF(parametros_manuales!$H$38="Todos",datos_base!$B$10+datos_base!$B$24,0))*parametros_manuales!$F$100+parametros_manuales!$F$38*(datos_base!$B$4+datos_base!$B$20+IF(parametros_manuales!$H$38="Todos",datos_base!$B$11+datos_base!$B$25,0))*parametros_manuales!$F$105+parametros_manuales!$G$38*(datos_base!$B$5+datos_base!$B$21+IF(parametros_manuales!$H$38="Todos",datos_base!$B$12+datos_base!$B$26,0))*parametros_manuales!$F$110)*parametros_manuales!$I$38*parametros_manuales!$J$38</f>
        <v>505.2024831084</v>
      </c>
      <c r="G21" s="9" t="n">
        <f aca="false">(parametros_manuales!$D$38*(datos_base!$B$2+datos_base!$B$18+IF(parametros_manuales!$H$38="Todos",datos_base!$B$9+datos_base!$B$23,0))*parametros_manuales!$G$95+parametros_manuales!$E$38*(datos_base!$B$3+datos_base!$B$19+IF(parametros_manuales!$H$38="Todos",datos_base!$B$10+datos_base!$B$24,0))*parametros_manuales!$G$100+parametros_manuales!$F$38*(datos_base!$B$4+datos_base!$B$20+IF(parametros_manuales!$H$38="Todos",datos_base!$B$11+datos_base!$B$25,0))*parametros_manuales!$G$105+parametros_manuales!$G$38*(datos_base!$B$5+datos_base!$B$21+IF(parametros_manuales!$H$38="Todos",datos_base!$B$12+datos_base!$B$26,0))*parametros_manuales!$G$110)*parametros_manuales!$I$38*parametros_manuales!$J$38</f>
        <v>491.90930028975</v>
      </c>
      <c r="H21" s="9" t="n">
        <f aca="false">(parametros_manuales!$D$38*(datos_base!$B$2+datos_base!$B$18+IF(parametros_manuales!$H$38="Todos",datos_base!$B$9+datos_base!$B$23,0))*parametros_manuales!$H$95+parametros_manuales!$E$38*(datos_base!$B$3+datos_base!$B$19+IF(parametros_manuales!$H$38="Todos",datos_base!$B$10+datos_base!$B$24,0))*parametros_manuales!$H$100+parametros_manuales!$F$38*(datos_base!$B$4+datos_base!$B$20+IF(parametros_manuales!$H$38="Todos",datos_base!$B$11+datos_base!$B$25,0))*parametros_manuales!$H$105+parametros_manuales!$G$38*(datos_base!$B$5+datos_base!$B$21+IF(parametros_manuales!$H$38="Todos",datos_base!$B$12+datos_base!$B$26,0))*parametros_manuales!$H$110)*parametros_manuales!$I$38*parametros_manuales!$J$38</f>
        <v>526.0961658234</v>
      </c>
      <c r="I21" s="9" t="n">
        <f aca="false">(parametros_manuales!$D$38*(datos_base!$B$2+datos_base!$B$18+IF(parametros_manuales!$H$38="Todos",datos_base!$B$9+datos_base!$B$23,0))*parametros_manuales!$I$95+parametros_manuales!$E$38*(datos_base!$B$3+datos_base!$B$19+IF(parametros_manuales!$H$38="Todos",datos_base!$B$10+datos_base!$B$24,0))*parametros_manuales!$I$100+parametros_manuales!$F$38*(datos_base!$B$4+datos_base!$B$20+IF(parametros_manuales!$H$38="Todos",datos_base!$B$11+datos_base!$B$25,0))*parametros_manuales!$I$105+parametros_manuales!$G$38*(datos_base!$B$5+datos_base!$B$21+IF(parametros_manuales!$H$38="Todos",datos_base!$B$12+datos_base!$B$26,0))*parametros_manuales!$I$110)*parametros_manuales!$I$38*parametros_manuales!$J$38</f>
        <v>588.7772139684</v>
      </c>
      <c r="J21" s="9" t="n">
        <f aca="false">(parametros_manuales!$D$38*(datos_base!$B$2+datos_base!$B$18+IF(parametros_manuales!$H$38="Todos",datos_base!$B$9+datos_base!$B$23,0))*parametros_manuales!$J$95+parametros_manuales!$E$38*(datos_base!$B$3+datos_base!$B$19+IF(parametros_manuales!$H$38="Todos",datos_base!$B$10+datos_base!$B$24,0))*parametros_manuales!$J$100+parametros_manuales!$F$38*(datos_base!$B$4+datos_base!$B$20+IF(parametros_manuales!$H$38="Todos",datos_base!$B$11+datos_base!$B$25,0))*parametros_manuales!$J$105+parametros_manuales!$G$38*(datos_base!$B$5+datos_base!$B$21+IF(parametros_manuales!$H$38="Todos",datos_base!$B$12+datos_base!$B$26,0))*parametros_manuales!$J$110)*parametros_manuales!$I$38*parametros_manuales!$J$38</f>
        <v>588.7772139684</v>
      </c>
      <c r="K21" s="9" t="n">
        <f aca="false">(parametros_manuales!$D$38*(datos_base!$B$2+datos_base!$B$18+IF(parametros_manuales!$H$38="Todos",datos_base!$B$9+datos_base!$B$23,0))*parametros_manuales!$K$95+parametros_manuales!$E$38*(datos_base!$B$3+datos_base!$B$19+IF(parametros_manuales!$H$38="Todos",datos_base!$B$10+datos_base!$B$24,0))*parametros_manuales!$K$100+parametros_manuales!$F$38*(datos_base!$B$4+datos_base!$B$20+IF(parametros_manuales!$H$38="Todos",datos_base!$B$11+datos_base!$B$25,0))*parametros_manuales!$K$105+parametros_manuales!$G$38*(datos_base!$B$5+datos_base!$B$21+IF(parametros_manuales!$H$38="Todos",datos_base!$B$12+datos_base!$B$26,0))*parametros_manuales!$K$110)*parametros_manuales!$I$38*parametros_manuales!$J$38</f>
        <v>602.07039678705</v>
      </c>
      <c r="L21" s="9" t="n">
        <f aca="false">(parametros_manuales!$D$38*(datos_base!$B$2+datos_base!$B$18+IF(parametros_manuales!$H$38="Todos",datos_base!$B$9+datos_base!$B$23,0))*parametros_manuales!$L$95+parametros_manuales!$E$38*(datos_base!$B$3+datos_base!$B$19+IF(parametros_manuales!$H$38="Todos",datos_base!$B$10+datos_base!$B$24,0))*parametros_manuales!$L$100+parametros_manuales!$F$38*(datos_base!$B$4+datos_base!$B$20+IF(parametros_manuales!$H$38="Todos",datos_base!$B$11+datos_base!$B$25,0))*parametros_manuales!$L$105+parametros_manuales!$G$38*(datos_base!$B$5+datos_base!$B$21+IF(parametros_manuales!$H$38="Todos",datos_base!$B$12+datos_base!$B$26,0))*parametros_manuales!$L$110)*parametros_manuales!$I$38*parametros_manuales!$J$38</f>
        <v>615.3635796057</v>
      </c>
      <c r="M21" s="9" t="n">
        <f aca="false">(parametros_manuales!$D$38*(datos_base!$B$2+datos_base!$B$18+IF(parametros_manuales!$H$38="Todos",datos_base!$B$9+datos_base!$B$23,0))*parametros_manuales!$M$95+parametros_manuales!$E$38*(datos_base!$B$3+datos_base!$B$19+IF(parametros_manuales!$H$38="Todos",datos_base!$B$10+datos_base!$B$24,0))*parametros_manuales!$M$100+parametros_manuales!$F$38*(datos_base!$B$4+datos_base!$B$20+IF(parametros_manuales!$H$38="Todos",datos_base!$B$11+datos_base!$B$25,0))*parametros_manuales!$M$105+parametros_manuales!$G$38*(datos_base!$B$5+datos_base!$B$21+IF(parametros_manuales!$H$38="Todos",datos_base!$B$12+datos_base!$B$26,0))*parametros_manuales!$M$110)*parametros_manuales!$I$38*parametros_manuales!$J$38</f>
        <v>615.3635796057</v>
      </c>
      <c r="N21" s="9" t="n">
        <f aca="false">SUM(B21:M21)</f>
        <v>6837.37310673</v>
      </c>
      <c r="O21" s="9" t="n">
        <f aca="false">MAX(B21:M21)</f>
        <v>615.3635796057</v>
      </c>
      <c r="P21" s="43" t="n">
        <f aca="false">O21/(parametros_manuales!$B$7)</f>
        <v>4.102423864038</v>
      </c>
      <c r="Q21" s="8" t="str">
        <f aca="false">IF(O21=0,"-",INDEX($B$1:$M$1,MATCH(O21,B21:M21,0)))</f>
        <v>Ene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datos_base!$B$2+datos_base!$B$18+IF(parametros_manuales!$H$39="Todos",datos_base!$B$9+datos_base!$B$23,0))*parametros_manuales!$B$95+parametros_manuales!$E$39*(datos_base!$B$3+datos_base!$B$19+IF(parametros_manuales!$H$39="Todos",datos_base!$B$10+datos_base!$B$24,0))*parametros_manuales!$B$100+parametros_manuales!$F$39*(datos_base!$B$4+datos_base!$B$20+IF(parametros_manuales!$H$39="Todos",datos_base!$B$11+datos_base!$B$25,0))*parametros_manuales!$B$105+parametros_manuales!$G$39*(datos_base!$B$5+datos_base!$B$21+IF(parametros_manuales!$H$39="Todos",datos_base!$B$12+datos_base!$B$26,0))*parametros_manuales!$B$110)*parametros_manuales!$I$39*parametros_manuales!$J$39</f>
        <v>615.3635796057</v>
      </c>
      <c r="C22" s="9" t="n">
        <f aca="false">(parametros_manuales!$D$39*(datos_base!$B$2+datos_base!$B$18+IF(parametros_manuales!$H$39="Todos",datos_base!$B$9+datos_base!$B$23,0))*parametros_manuales!$C$95+parametros_manuales!$E$39*(datos_base!$B$3+datos_base!$B$19+IF(parametros_manuales!$H$39="Todos",datos_base!$B$10+datos_base!$B$24,0))*parametros_manuales!$C$100+parametros_manuales!$F$39*(datos_base!$B$4+datos_base!$B$20+IF(parametros_manuales!$H$39="Todos",datos_base!$B$11+datos_base!$B$25,0))*parametros_manuales!$C$105+parametros_manuales!$G$39*(datos_base!$B$5+datos_base!$B$21+IF(parametros_manuales!$H$39="Todos",datos_base!$B$12+datos_base!$B$26,0))*parametros_manuales!$C$110)*parametros_manuales!$I$39*parametros_manuales!$J$39</f>
        <v>588.7772139684</v>
      </c>
      <c r="D22" s="9" t="n">
        <f aca="false">(parametros_manuales!$D$39*(datos_base!$B$2+datos_base!$B$18+IF(parametros_manuales!$H$39="Todos",datos_base!$B$9+datos_base!$B$23,0))*parametros_manuales!$D$95+parametros_manuales!$E$39*(datos_base!$B$3+datos_base!$B$19+IF(parametros_manuales!$H$39="Todos",datos_base!$B$10+datos_base!$B$24,0))*parametros_manuales!$D$100+parametros_manuales!$F$39*(datos_base!$B$4+datos_base!$B$20+IF(parametros_manuales!$H$39="Todos",datos_base!$B$11+datos_base!$B$25,0))*parametros_manuales!$D$105+parametros_manuales!$G$39*(datos_base!$B$5+datos_base!$B$21+IF(parametros_manuales!$H$39="Todos",datos_base!$B$12+datos_base!$B$26,0))*parametros_manuales!$D$110)*parametros_manuales!$I$39*parametros_manuales!$J$39</f>
        <v>560.28303135705</v>
      </c>
      <c r="E22" s="9" t="n">
        <f aca="false">(parametros_manuales!$D$39*(datos_base!$B$2+datos_base!$B$18+IF(parametros_manuales!$H$39="Todos",datos_base!$B$9+datos_base!$B$23,0))*parametros_manuales!$E$95+parametros_manuales!$E$39*(datos_base!$B$3+datos_base!$B$19+IF(parametros_manuales!$H$39="Todos",datos_base!$B$10+datos_base!$B$24,0))*parametros_manuales!$E$100+parametros_manuales!$F$39*(datos_base!$B$4+datos_base!$B$20+IF(parametros_manuales!$H$39="Todos",datos_base!$B$11+datos_base!$B$25,0))*parametros_manuales!$E$105+parametros_manuales!$G$39*(datos_base!$B$5+datos_base!$B$21+IF(parametros_manuales!$H$39="Todos",datos_base!$B$12+datos_base!$B$26,0))*parametros_manuales!$E$110)*parametros_manuales!$I$39*parametros_manuales!$J$39</f>
        <v>539.38934864205</v>
      </c>
      <c r="F22" s="9" t="n">
        <f aca="false">(parametros_manuales!$D$39*(datos_base!$B$2+datos_base!$B$18+IF(parametros_manuales!$H$39="Todos",datos_base!$B$9+datos_base!$B$23,0))*parametros_manuales!$F$95+parametros_manuales!$E$39*(datos_base!$B$3+datos_base!$B$19+IF(parametros_manuales!$H$39="Todos",datos_base!$B$10+datos_base!$B$24,0))*parametros_manuales!$F$100+parametros_manuales!$F$39*(datos_base!$B$4+datos_base!$B$20+IF(parametros_manuales!$H$39="Todos",datos_base!$B$11+datos_base!$B$25,0))*parametros_manuales!$F$105+parametros_manuales!$G$39*(datos_base!$B$5+datos_base!$B$21+IF(parametros_manuales!$H$39="Todos",datos_base!$B$12+datos_base!$B$26,0))*parametros_manuales!$F$110)*parametros_manuales!$I$39*parametros_manuales!$J$39</f>
        <v>505.2024831084</v>
      </c>
      <c r="G22" s="9" t="n">
        <f aca="false">(parametros_manuales!$D$39*(datos_base!$B$2+datos_base!$B$18+IF(parametros_manuales!$H$39="Todos",datos_base!$B$9+datos_base!$B$23,0))*parametros_manuales!$G$95+parametros_manuales!$E$39*(datos_base!$B$3+datos_base!$B$19+IF(parametros_manuales!$H$39="Todos",datos_base!$B$10+datos_base!$B$24,0))*parametros_manuales!$G$100+parametros_manuales!$F$39*(datos_base!$B$4+datos_base!$B$20+IF(parametros_manuales!$H$39="Todos",datos_base!$B$11+datos_base!$B$25,0))*parametros_manuales!$G$105+parametros_manuales!$G$39*(datos_base!$B$5+datos_base!$B$21+IF(parametros_manuales!$H$39="Todos",datos_base!$B$12+datos_base!$B$26,0))*parametros_manuales!$G$110)*parametros_manuales!$I$39*parametros_manuales!$J$39</f>
        <v>491.90930028975</v>
      </c>
      <c r="H22" s="9" t="n">
        <f aca="false">(parametros_manuales!$D$39*(datos_base!$B$2+datos_base!$B$18+IF(parametros_manuales!$H$39="Todos",datos_base!$B$9+datos_base!$B$23,0))*parametros_manuales!$H$95+parametros_manuales!$E$39*(datos_base!$B$3+datos_base!$B$19+IF(parametros_manuales!$H$39="Todos",datos_base!$B$10+datos_base!$B$24,0))*parametros_manuales!$H$100+parametros_manuales!$F$39*(datos_base!$B$4+datos_base!$B$20+IF(parametros_manuales!$H$39="Todos",datos_base!$B$11+datos_base!$B$25,0))*parametros_manuales!$H$105+parametros_manuales!$G$39*(datos_base!$B$5+datos_base!$B$21+IF(parametros_manuales!$H$39="Todos",datos_base!$B$12+datos_base!$B$26,0))*parametros_manuales!$H$110)*parametros_manuales!$I$39*parametros_manuales!$J$39</f>
        <v>526.0961658234</v>
      </c>
      <c r="I22" s="9" t="n">
        <f aca="false">(parametros_manuales!$D$39*(datos_base!$B$2+datos_base!$B$18+IF(parametros_manuales!$H$39="Todos",datos_base!$B$9+datos_base!$B$23,0))*parametros_manuales!$I$95+parametros_manuales!$E$39*(datos_base!$B$3+datos_base!$B$19+IF(parametros_manuales!$H$39="Todos",datos_base!$B$10+datos_base!$B$24,0))*parametros_manuales!$I$100+parametros_manuales!$F$39*(datos_base!$B$4+datos_base!$B$20+IF(parametros_manuales!$H$39="Todos",datos_base!$B$11+datos_base!$B$25,0))*parametros_manuales!$I$105+parametros_manuales!$G$39*(datos_base!$B$5+datos_base!$B$21+IF(parametros_manuales!$H$39="Todos",datos_base!$B$12+datos_base!$B$26,0))*parametros_manuales!$I$110)*parametros_manuales!$I$39*parametros_manuales!$J$39</f>
        <v>588.7772139684</v>
      </c>
      <c r="J22" s="9" t="n">
        <f aca="false">(parametros_manuales!$D$39*(datos_base!$B$2+datos_base!$B$18+IF(parametros_manuales!$H$39="Todos",datos_base!$B$9+datos_base!$B$23,0))*parametros_manuales!$J$95+parametros_manuales!$E$39*(datos_base!$B$3+datos_base!$B$19+IF(parametros_manuales!$H$39="Todos",datos_base!$B$10+datos_base!$B$24,0))*parametros_manuales!$J$100+parametros_manuales!$F$39*(datos_base!$B$4+datos_base!$B$20+IF(parametros_manuales!$H$39="Todos",datos_base!$B$11+datos_base!$B$25,0))*parametros_manuales!$J$105+parametros_manuales!$G$39*(datos_base!$B$5+datos_base!$B$21+IF(parametros_manuales!$H$39="Todos",datos_base!$B$12+datos_base!$B$26,0))*parametros_manuales!$J$110)*parametros_manuales!$I$39*parametros_manuales!$J$39</f>
        <v>588.7772139684</v>
      </c>
      <c r="K22" s="9" t="n">
        <f aca="false">(parametros_manuales!$D$39*(datos_base!$B$2+datos_base!$B$18+IF(parametros_manuales!$H$39="Todos",datos_base!$B$9+datos_base!$B$23,0))*parametros_manuales!$K$95+parametros_manuales!$E$39*(datos_base!$B$3+datos_base!$B$19+IF(parametros_manuales!$H$39="Todos",datos_base!$B$10+datos_base!$B$24,0))*parametros_manuales!$K$100+parametros_manuales!$F$39*(datos_base!$B$4+datos_base!$B$20+IF(parametros_manuales!$H$39="Todos",datos_base!$B$11+datos_base!$B$25,0))*parametros_manuales!$K$105+parametros_manuales!$G$39*(datos_base!$B$5+datos_base!$B$21+IF(parametros_manuales!$H$39="Todos",datos_base!$B$12+datos_base!$B$26,0))*parametros_manuales!$K$110)*parametros_manuales!$I$39*parametros_manuales!$J$39</f>
        <v>602.07039678705</v>
      </c>
      <c r="L22" s="9" t="n">
        <f aca="false">(parametros_manuales!$D$39*(datos_base!$B$2+datos_base!$B$18+IF(parametros_manuales!$H$39="Todos",datos_base!$B$9+datos_base!$B$23,0))*parametros_manuales!$L$95+parametros_manuales!$E$39*(datos_base!$B$3+datos_base!$B$19+IF(parametros_manuales!$H$39="Todos",datos_base!$B$10+datos_base!$B$24,0))*parametros_manuales!$L$100+parametros_manuales!$F$39*(datos_base!$B$4+datos_base!$B$20+IF(parametros_manuales!$H$39="Todos",datos_base!$B$11+datos_base!$B$25,0))*parametros_manuales!$L$105+parametros_manuales!$G$39*(datos_base!$B$5+datos_base!$B$21+IF(parametros_manuales!$H$39="Todos",datos_base!$B$12+datos_base!$B$26,0))*parametros_manuales!$L$110)*parametros_manuales!$I$39*parametros_manuales!$J$39</f>
        <v>615.3635796057</v>
      </c>
      <c r="M22" s="9" t="n">
        <f aca="false">(parametros_manuales!$D$39*(datos_base!$B$2+datos_base!$B$18+IF(parametros_manuales!$H$39="Todos",datos_base!$B$9+datos_base!$B$23,0))*parametros_manuales!$M$95+parametros_manuales!$E$39*(datos_base!$B$3+datos_base!$B$19+IF(parametros_manuales!$H$39="Todos",datos_base!$B$10+datos_base!$B$24,0))*parametros_manuales!$M$100+parametros_manuales!$F$39*(datos_base!$B$4+datos_base!$B$20+IF(parametros_manuales!$H$39="Todos",datos_base!$B$11+datos_base!$B$25,0))*parametros_manuales!$M$105+parametros_manuales!$G$39*(datos_base!$B$5+datos_base!$B$21+IF(parametros_manuales!$H$39="Todos",datos_base!$B$12+datos_base!$B$26,0))*parametros_manuales!$M$110)*parametros_manuales!$I$39*parametros_manuales!$J$39</f>
        <v>615.3635796057</v>
      </c>
      <c r="N22" s="9" t="n">
        <f aca="false">SUM(B22:M22)</f>
        <v>6837.37310673</v>
      </c>
      <c r="O22" s="9" t="n">
        <f aca="false">MAX(B22:M22)</f>
        <v>615.3635796057</v>
      </c>
      <c r="P22" s="43" t="n">
        <f aca="false">O22/(parametros_manuales!$B$7)</f>
        <v>4.102423864038</v>
      </c>
      <c r="Q22" s="8" t="str">
        <f aca="false">IF(O22=0,"-",INDEX($B$1:$M$1,MATCH(O22,B22:M22,0)))</f>
        <v>Ene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datos_base!$B$2+datos_base!$B$18+IF(parametros_manuales!$H$40="Todos",datos_base!$B$9+datos_base!$B$23,0))*parametros_manuales!$B$95+parametros_manuales!$E$40*(datos_base!$B$3+datos_base!$B$19+IF(parametros_manuales!$H$40="Todos",datos_base!$B$10+datos_base!$B$24,0))*parametros_manuales!$B$100+parametros_manuales!$F$40*(datos_base!$B$4+datos_base!$B$20+IF(parametros_manuales!$H$40="Todos",datos_base!$B$11+datos_base!$B$25,0))*parametros_manuales!$B$105+parametros_manuales!$G$40*(datos_base!$B$5+datos_base!$B$21+IF(parametros_manuales!$H$40="Todos",datos_base!$B$12+datos_base!$B$26,0))*parametros_manuales!$B$110)*parametros_manuales!$I$40*parametros_manuales!$J$40</f>
        <v>615.3635796057</v>
      </c>
      <c r="C23" s="9" t="n">
        <f aca="false">(parametros_manuales!$D$40*(datos_base!$B$2+datos_base!$B$18+IF(parametros_manuales!$H$40="Todos",datos_base!$B$9+datos_base!$B$23,0))*parametros_manuales!$C$95+parametros_manuales!$E$40*(datos_base!$B$3+datos_base!$B$19+IF(parametros_manuales!$H$40="Todos",datos_base!$B$10+datos_base!$B$24,0))*parametros_manuales!$C$100+parametros_manuales!$F$40*(datos_base!$B$4+datos_base!$B$20+IF(parametros_manuales!$H$40="Todos",datos_base!$B$11+datos_base!$B$25,0))*parametros_manuales!$C$105+parametros_manuales!$G$40*(datos_base!$B$5+datos_base!$B$21+IF(parametros_manuales!$H$40="Todos",datos_base!$B$12+datos_base!$B$26,0))*parametros_manuales!$C$110)*parametros_manuales!$I$40*parametros_manuales!$J$40</f>
        <v>588.7772139684</v>
      </c>
      <c r="D23" s="9" t="n">
        <f aca="false">(parametros_manuales!$D$40*(datos_base!$B$2+datos_base!$B$18+IF(parametros_manuales!$H$40="Todos",datos_base!$B$9+datos_base!$B$23,0))*parametros_manuales!$D$95+parametros_manuales!$E$40*(datos_base!$B$3+datos_base!$B$19+IF(parametros_manuales!$H$40="Todos",datos_base!$B$10+datos_base!$B$24,0))*parametros_manuales!$D$100+parametros_manuales!$F$40*(datos_base!$B$4+datos_base!$B$20+IF(parametros_manuales!$H$40="Todos",datos_base!$B$11+datos_base!$B$25,0))*parametros_manuales!$D$105+parametros_manuales!$G$40*(datos_base!$B$5+datos_base!$B$21+IF(parametros_manuales!$H$40="Todos",datos_base!$B$12+datos_base!$B$26,0))*parametros_manuales!$D$110)*parametros_manuales!$I$40*parametros_manuales!$J$40</f>
        <v>560.28303135705</v>
      </c>
      <c r="E23" s="9" t="n">
        <f aca="false">(parametros_manuales!$D$40*(datos_base!$B$2+datos_base!$B$18+IF(parametros_manuales!$H$40="Todos",datos_base!$B$9+datos_base!$B$23,0))*parametros_manuales!$E$95+parametros_manuales!$E$40*(datos_base!$B$3+datos_base!$B$19+IF(parametros_manuales!$H$40="Todos",datos_base!$B$10+datos_base!$B$24,0))*parametros_manuales!$E$100+parametros_manuales!$F$40*(datos_base!$B$4+datos_base!$B$20+IF(parametros_manuales!$H$40="Todos",datos_base!$B$11+datos_base!$B$25,0))*parametros_manuales!$E$105+parametros_manuales!$G$40*(datos_base!$B$5+datos_base!$B$21+IF(parametros_manuales!$H$40="Todos",datos_base!$B$12+datos_base!$B$26,0))*parametros_manuales!$E$110)*parametros_manuales!$I$40*parametros_manuales!$J$40</f>
        <v>539.38934864205</v>
      </c>
      <c r="F23" s="9" t="n">
        <f aca="false">(parametros_manuales!$D$40*(datos_base!$B$2+datos_base!$B$18+IF(parametros_manuales!$H$40="Todos",datos_base!$B$9+datos_base!$B$23,0))*parametros_manuales!$F$95+parametros_manuales!$E$40*(datos_base!$B$3+datos_base!$B$19+IF(parametros_manuales!$H$40="Todos",datos_base!$B$10+datos_base!$B$24,0))*parametros_manuales!$F$100+parametros_manuales!$F$40*(datos_base!$B$4+datos_base!$B$20+IF(parametros_manuales!$H$40="Todos",datos_base!$B$11+datos_base!$B$25,0))*parametros_manuales!$F$105+parametros_manuales!$G$40*(datos_base!$B$5+datos_base!$B$21+IF(parametros_manuales!$H$40="Todos",datos_base!$B$12+datos_base!$B$26,0))*parametros_manuales!$F$110)*parametros_manuales!$I$40*parametros_manuales!$J$40</f>
        <v>505.2024831084</v>
      </c>
      <c r="G23" s="9" t="n">
        <f aca="false">(parametros_manuales!$D$40*(datos_base!$B$2+datos_base!$B$18+IF(parametros_manuales!$H$40="Todos",datos_base!$B$9+datos_base!$B$23,0))*parametros_manuales!$G$95+parametros_manuales!$E$40*(datos_base!$B$3+datos_base!$B$19+IF(parametros_manuales!$H$40="Todos",datos_base!$B$10+datos_base!$B$24,0))*parametros_manuales!$G$100+parametros_manuales!$F$40*(datos_base!$B$4+datos_base!$B$20+IF(parametros_manuales!$H$40="Todos",datos_base!$B$11+datos_base!$B$25,0))*parametros_manuales!$G$105+parametros_manuales!$G$40*(datos_base!$B$5+datos_base!$B$21+IF(parametros_manuales!$H$40="Todos",datos_base!$B$12+datos_base!$B$26,0))*parametros_manuales!$G$110)*parametros_manuales!$I$40*parametros_manuales!$J$40</f>
        <v>491.90930028975</v>
      </c>
      <c r="H23" s="9" t="n">
        <f aca="false">(parametros_manuales!$D$40*(datos_base!$B$2+datos_base!$B$18+IF(parametros_manuales!$H$40="Todos",datos_base!$B$9+datos_base!$B$23,0))*parametros_manuales!$H$95+parametros_manuales!$E$40*(datos_base!$B$3+datos_base!$B$19+IF(parametros_manuales!$H$40="Todos",datos_base!$B$10+datos_base!$B$24,0))*parametros_manuales!$H$100+parametros_manuales!$F$40*(datos_base!$B$4+datos_base!$B$20+IF(parametros_manuales!$H$40="Todos",datos_base!$B$11+datos_base!$B$25,0))*parametros_manuales!$H$105+parametros_manuales!$G$40*(datos_base!$B$5+datos_base!$B$21+IF(parametros_manuales!$H$40="Todos",datos_base!$B$12+datos_base!$B$26,0))*parametros_manuales!$H$110)*parametros_manuales!$I$40*parametros_manuales!$J$40</f>
        <v>526.0961658234</v>
      </c>
      <c r="I23" s="9" t="n">
        <f aca="false">(parametros_manuales!$D$40*(datos_base!$B$2+datos_base!$B$18+IF(parametros_manuales!$H$40="Todos",datos_base!$B$9+datos_base!$B$23,0))*parametros_manuales!$I$95+parametros_manuales!$E$40*(datos_base!$B$3+datos_base!$B$19+IF(parametros_manuales!$H$40="Todos",datos_base!$B$10+datos_base!$B$24,0))*parametros_manuales!$I$100+parametros_manuales!$F$40*(datos_base!$B$4+datos_base!$B$20+IF(parametros_manuales!$H$40="Todos",datos_base!$B$11+datos_base!$B$25,0))*parametros_manuales!$I$105+parametros_manuales!$G$40*(datos_base!$B$5+datos_base!$B$21+IF(parametros_manuales!$H$40="Todos",datos_base!$B$12+datos_base!$B$26,0))*parametros_manuales!$I$110)*parametros_manuales!$I$40*parametros_manuales!$J$40</f>
        <v>588.7772139684</v>
      </c>
      <c r="J23" s="9" t="n">
        <f aca="false">(parametros_manuales!$D$40*(datos_base!$B$2+datos_base!$B$18+IF(parametros_manuales!$H$40="Todos",datos_base!$B$9+datos_base!$B$23,0))*parametros_manuales!$J$95+parametros_manuales!$E$40*(datos_base!$B$3+datos_base!$B$19+IF(parametros_manuales!$H$40="Todos",datos_base!$B$10+datos_base!$B$24,0))*parametros_manuales!$J$100+parametros_manuales!$F$40*(datos_base!$B$4+datos_base!$B$20+IF(parametros_manuales!$H$40="Todos",datos_base!$B$11+datos_base!$B$25,0))*parametros_manuales!$J$105+parametros_manuales!$G$40*(datos_base!$B$5+datos_base!$B$21+IF(parametros_manuales!$H$40="Todos",datos_base!$B$12+datos_base!$B$26,0))*parametros_manuales!$J$110)*parametros_manuales!$I$40*parametros_manuales!$J$40</f>
        <v>588.7772139684</v>
      </c>
      <c r="K23" s="9" t="n">
        <f aca="false">(parametros_manuales!$D$40*(datos_base!$B$2+datos_base!$B$18+IF(parametros_manuales!$H$40="Todos",datos_base!$B$9+datos_base!$B$23,0))*parametros_manuales!$K$95+parametros_manuales!$E$40*(datos_base!$B$3+datos_base!$B$19+IF(parametros_manuales!$H$40="Todos",datos_base!$B$10+datos_base!$B$24,0))*parametros_manuales!$K$100+parametros_manuales!$F$40*(datos_base!$B$4+datos_base!$B$20+IF(parametros_manuales!$H$40="Todos",datos_base!$B$11+datos_base!$B$25,0))*parametros_manuales!$K$105+parametros_manuales!$G$40*(datos_base!$B$5+datos_base!$B$21+IF(parametros_manuales!$H$40="Todos",datos_base!$B$12+datos_base!$B$26,0))*parametros_manuales!$K$110)*parametros_manuales!$I$40*parametros_manuales!$J$40</f>
        <v>602.07039678705</v>
      </c>
      <c r="L23" s="9" t="n">
        <f aca="false">(parametros_manuales!$D$40*(datos_base!$B$2+datos_base!$B$18+IF(parametros_manuales!$H$40="Todos",datos_base!$B$9+datos_base!$B$23,0))*parametros_manuales!$L$95+parametros_manuales!$E$40*(datos_base!$B$3+datos_base!$B$19+IF(parametros_manuales!$H$40="Todos",datos_base!$B$10+datos_base!$B$24,0))*parametros_manuales!$L$100+parametros_manuales!$F$40*(datos_base!$B$4+datos_base!$B$20+IF(parametros_manuales!$H$40="Todos",datos_base!$B$11+datos_base!$B$25,0))*parametros_manuales!$L$105+parametros_manuales!$G$40*(datos_base!$B$5+datos_base!$B$21+IF(parametros_manuales!$H$40="Todos",datos_base!$B$12+datos_base!$B$26,0))*parametros_manuales!$L$110)*parametros_manuales!$I$40*parametros_manuales!$J$40</f>
        <v>615.3635796057</v>
      </c>
      <c r="M23" s="9" t="n">
        <f aca="false">(parametros_manuales!$D$40*(datos_base!$B$2+datos_base!$B$18+IF(parametros_manuales!$H$40="Todos",datos_base!$B$9+datos_base!$B$23,0))*parametros_manuales!$M$95+parametros_manuales!$E$40*(datos_base!$B$3+datos_base!$B$19+IF(parametros_manuales!$H$40="Todos",datos_base!$B$10+datos_base!$B$24,0))*parametros_manuales!$M$100+parametros_manuales!$F$40*(datos_base!$B$4+datos_base!$B$20+IF(parametros_manuales!$H$40="Todos",datos_base!$B$11+datos_base!$B$25,0))*parametros_manuales!$M$105+parametros_manuales!$G$40*(datos_base!$B$5+datos_base!$B$21+IF(parametros_manuales!$H$40="Todos",datos_base!$B$12+datos_base!$B$26,0))*parametros_manuales!$M$110)*parametros_manuales!$I$40*parametros_manuales!$J$40</f>
        <v>615.3635796057</v>
      </c>
      <c r="N23" s="9" t="n">
        <f aca="false">SUM(B23:M23)</f>
        <v>6837.37310673</v>
      </c>
      <c r="O23" s="9" t="n">
        <f aca="false">MAX(B23:M23)</f>
        <v>615.3635796057</v>
      </c>
      <c r="P23" s="43" t="n">
        <f aca="false">O23/(parametros_manuales!$B$7)</f>
        <v>4.102423864038</v>
      </c>
      <c r="Q23" s="8" t="str">
        <f aca="false">IF(O23=0,"-",INDEX($B$1:$M$1,MATCH(O23,B23:M23,0)))</f>
        <v>Ene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datos_base!$B$2+datos_base!$B$18+IF(parametros_manuales!$H$41="Todos",datos_base!$B$9+datos_base!$B$23,0))*parametros_manuales!$B$95+parametros_manuales!$E$41*(datos_base!$B$3+datos_base!$B$19+IF(parametros_manuales!$H$41="Todos",datos_base!$B$10+datos_base!$B$24,0))*parametros_manuales!$B$100+parametros_manuales!$F$41*(datos_base!$B$4+datos_base!$B$20+IF(parametros_manuales!$H$41="Todos",datos_base!$B$11+datos_base!$B$25,0))*parametros_manuales!$B$105+parametros_manuales!$G$41*(datos_base!$B$5+datos_base!$B$21+IF(parametros_manuales!$H$41="Todos",datos_base!$B$12+datos_base!$B$26,0))*parametros_manuales!$B$110)*parametros_manuales!$I$41*parametros_manuales!$J$41</f>
        <v>615.3635796057</v>
      </c>
      <c r="C24" s="9" t="n">
        <f aca="false">(parametros_manuales!$D$41*(datos_base!$B$2+datos_base!$B$18+IF(parametros_manuales!$H$41="Todos",datos_base!$B$9+datos_base!$B$23,0))*parametros_manuales!$C$95+parametros_manuales!$E$41*(datos_base!$B$3+datos_base!$B$19+IF(parametros_manuales!$H$41="Todos",datos_base!$B$10+datos_base!$B$24,0))*parametros_manuales!$C$100+parametros_manuales!$F$41*(datos_base!$B$4+datos_base!$B$20+IF(parametros_manuales!$H$41="Todos",datos_base!$B$11+datos_base!$B$25,0))*parametros_manuales!$C$105+parametros_manuales!$G$41*(datos_base!$B$5+datos_base!$B$21+IF(parametros_manuales!$H$41="Todos",datos_base!$B$12+datos_base!$B$26,0))*parametros_manuales!$C$110)*parametros_manuales!$I$41*parametros_manuales!$J$41</f>
        <v>588.7772139684</v>
      </c>
      <c r="D24" s="9" t="n">
        <f aca="false">(parametros_manuales!$D$41*(datos_base!$B$2+datos_base!$B$18+IF(parametros_manuales!$H$41="Todos",datos_base!$B$9+datos_base!$B$23,0))*parametros_manuales!$D$95+parametros_manuales!$E$41*(datos_base!$B$3+datos_base!$B$19+IF(parametros_manuales!$H$41="Todos",datos_base!$B$10+datos_base!$B$24,0))*parametros_manuales!$D$100+parametros_manuales!$F$41*(datos_base!$B$4+datos_base!$B$20+IF(parametros_manuales!$H$41="Todos",datos_base!$B$11+datos_base!$B$25,0))*parametros_manuales!$D$105+parametros_manuales!$G$41*(datos_base!$B$5+datos_base!$B$21+IF(parametros_manuales!$H$41="Todos",datos_base!$B$12+datos_base!$B$26,0))*parametros_manuales!$D$110)*parametros_manuales!$I$41*parametros_manuales!$J$41</f>
        <v>560.28303135705</v>
      </c>
      <c r="E24" s="9" t="n">
        <f aca="false">(parametros_manuales!$D$41*(datos_base!$B$2+datos_base!$B$18+IF(parametros_manuales!$H$41="Todos",datos_base!$B$9+datos_base!$B$23,0))*parametros_manuales!$E$95+parametros_manuales!$E$41*(datos_base!$B$3+datos_base!$B$19+IF(parametros_manuales!$H$41="Todos",datos_base!$B$10+datos_base!$B$24,0))*parametros_manuales!$E$100+parametros_manuales!$F$41*(datos_base!$B$4+datos_base!$B$20+IF(parametros_manuales!$H$41="Todos",datos_base!$B$11+datos_base!$B$25,0))*parametros_manuales!$E$105+parametros_manuales!$G$41*(datos_base!$B$5+datos_base!$B$21+IF(parametros_manuales!$H$41="Todos",datos_base!$B$12+datos_base!$B$26,0))*parametros_manuales!$E$110)*parametros_manuales!$I$41*parametros_manuales!$J$41</f>
        <v>539.38934864205</v>
      </c>
      <c r="F24" s="9" t="n">
        <f aca="false">(parametros_manuales!$D$41*(datos_base!$B$2+datos_base!$B$18+IF(parametros_manuales!$H$41="Todos",datos_base!$B$9+datos_base!$B$23,0))*parametros_manuales!$F$95+parametros_manuales!$E$41*(datos_base!$B$3+datos_base!$B$19+IF(parametros_manuales!$H$41="Todos",datos_base!$B$10+datos_base!$B$24,0))*parametros_manuales!$F$100+parametros_manuales!$F$41*(datos_base!$B$4+datos_base!$B$20+IF(parametros_manuales!$H$41="Todos",datos_base!$B$11+datos_base!$B$25,0))*parametros_manuales!$F$105+parametros_manuales!$G$41*(datos_base!$B$5+datos_base!$B$21+IF(parametros_manuales!$H$41="Todos",datos_base!$B$12+datos_base!$B$26,0))*parametros_manuales!$F$110)*parametros_manuales!$I$41*parametros_manuales!$J$41</f>
        <v>505.2024831084</v>
      </c>
      <c r="G24" s="9" t="n">
        <f aca="false">(parametros_manuales!$D$41*(datos_base!$B$2+datos_base!$B$18+IF(parametros_manuales!$H$41="Todos",datos_base!$B$9+datos_base!$B$23,0))*parametros_manuales!$G$95+parametros_manuales!$E$41*(datos_base!$B$3+datos_base!$B$19+IF(parametros_manuales!$H$41="Todos",datos_base!$B$10+datos_base!$B$24,0))*parametros_manuales!$G$100+parametros_manuales!$F$41*(datos_base!$B$4+datos_base!$B$20+IF(parametros_manuales!$H$41="Todos",datos_base!$B$11+datos_base!$B$25,0))*parametros_manuales!$G$105+parametros_manuales!$G$41*(datos_base!$B$5+datos_base!$B$21+IF(parametros_manuales!$H$41="Todos",datos_base!$B$12+datos_base!$B$26,0))*parametros_manuales!$G$110)*parametros_manuales!$I$41*parametros_manuales!$J$41</f>
        <v>491.90930028975</v>
      </c>
      <c r="H24" s="9" t="n">
        <f aca="false">(parametros_manuales!$D$41*(datos_base!$B$2+datos_base!$B$18+IF(parametros_manuales!$H$41="Todos",datos_base!$B$9+datos_base!$B$23,0))*parametros_manuales!$H$95+parametros_manuales!$E$41*(datos_base!$B$3+datos_base!$B$19+IF(parametros_manuales!$H$41="Todos",datos_base!$B$10+datos_base!$B$24,0))*parametros_manuales!$H$100+parametros_manuales!$F$41*(datos_base!$B$4+datos_base!$B$20+IF(parametros_manuales!$H$41="Todos",datos_base!$B$11+datos_base!$B$25,0))*parametros_manuales!$H$105+parametros_manuales!$G$41*(datos_base!$B$5+datos_base!$B$21+IF(parametros_manuales!$H$41="Todos",datos_base!$B$12+datos_base!$B$26,0))*parametros_manuales!$H$110)*parametros_manuales!$I$41*parametros_manuales!$J$41</f>
        <v>526.0961658234</v>
      </c>
      <c r="I24" s="9" t="n">
        <f aca="false">(parametros_manuales!$D$41*(datos_base!$B$2+datos_base!$B$18+IF(parametros_manuales!$H$41="Todos",datos_base!$B$9+datos_base!$B$23,0))*parametros_manuales!$I$95+parametros_manuales!$E$41*(datos_base!$B$3+datos_base!$B$19+IF(parametros_manuales!$H$41="Todos",datos_base!$B$10+datos_base!$B$24,0))*parametros_manuales!$I$100+parametros_manuales!$F$41*(datos_base!$B$4+datos_base!$B$20+IF(parametros_manuales!$H$41="Todos",datos_base!$B$11+datos_base!$B$25,0))*parametros_manuales!$I$105+parametros_manuales!$G$41*(datos_base!$B$5+datos_base!$B$21+IF(parametros_manuales!$H$41="Todos",datos_base!$B$12+datos_base!$B$26,0))*parametros_manuales!$I$110)*parametros_manuales!$I$41*parametros_manuales!$J$41</f>
        <v>588.7772139684</v>
      </c>
      <c r="J24" s="9" t="n">
        <f aca="false">(parametros_manuales!$D$41*(datos_base!$B$2+datos_base!$B$18+IF(parametros_manuales!$H$41="Todos",datos_base!$B$9+datos_base!$B$23,0))*parametros_manuales!$J$95+parametros_manuales!$E$41*(datos_base!$B$3+datos_base!$B$19+IF(parametros_manuales!$H$41="Todos",datos_base!$B$10+datos_base!$B$24,0))*parametros_manuales!$J$100+parametros_manuales!$F$41*(datos_base!$B$4+datos_base!$B$20+IF(parametros_manuales!$H$41="Todos",datos_base!$B$11+datos_base!$B$25,0))*parametros_manuales!$J$105+parametros_manuales!$G$41*(datos_base!$B$5+datos_base!$B$21+IF(parametros_manuales!$H$41="Todos",datos_base!$B$12+datos_base!$B$26,0))*parametros_manuales!$J$110)*parametros_manuales!$I$41*parametros_manuales!$J$41</f>
        <v>588.7772139684</v>
      </c>
      <c r="K24" s="9" t="n">
        <f aca="false">(parametros_manuales!$D$41*(datos_base!$B$2+datos_base!$B$18+IF(parametros_manuales!$H$41="Todos",datos_base!$B$9+datos_base!$B$23,0))*parametros_manuales!$K$95+parametros_manuales!$E$41*(datos_base!$B$3+datos_base!$B$19+IF(parametros_manuales!$H$41="Todos",datos_base!$B$10+datos_base!$B$24,0))*parametros_manuales!$K$100+parametros_manuales!$F$41*(datos_base!$B$4+datos_base!$B$20+IF(parametros_manuales!$H$41="Todos",datos_base!$B$11+datos_base!$B$25,0))*parametros_manuales!$K$105+parametros_manuales!$G$41*(datos_base!$B$5+datos_base!$B$21+IF(parametros_manuales!$H$41="Todos",datos_base!$B$12+datos_base!$B$26,0))*parametros_manuales!$K$110)*parametros_manuales!$I$41*parametros_manuales!$J$41</f>
        <v>602.07039678705</v>
      </c>
      <c r="L24" s="9" t="n">
        <f aca="false">(parametros_manuales!$D$41*(datos_base!$B$2+datos_base!$B$18+IF(parametros_manuales!$H$41="Todos",datos_base!$B$9+datos_base!$B$23,0))*parametros_manuales!$L$95+parametros_manuales!$E$41*(datos_base!$B$3+datos_base!$B$19+IF(parametros_manuales!$H$41="Todos",datos_base!$B$10+datos_base!$B$24,0))*parametros_manuales!$L$100+parametros_manuales!$F$41*(datos_base!$B$4+datos_base!$B$20+IF(parametros_manuales!$H$41="Todos",datos_base!$B$11+datos_base!$B$25,0))*parametros_manuales!$L$105+parametros_manuales!$G$41*(datos_base!$B$5+datos_base!$B$21+IF(parametros_manuales!$H$41="Todos",datos_base!$B$12+datos_base!$B$26,0))*parametros_manuales!$L$110)*parametros_manuales!$I$41*parametros_manuales!$J$41</f>
        <v>615.3635796057</v>
      </c>
      <c r="M24" s="9" t="n">
        <f aca="false">(parametros_manuales!$D$41*(datos_base!$B$2+datos_base!$B$18+IF(parametros_manuales!$H$41="Todos",datos_base!$B$9+datos_base!$B$23,0))*parametros_manuales!$M$95+parametros_manuales!$E$41*(datos_base!$B$3+datos_base!$B$19+IF(parametros_manuales!$H$41="Todos",datos_base!$B$10+datos_base!$B$24,0))*parametros_manuales!$M$100+parametros_manuales!$F$41*(datos_base!$B$4+datos_base!$B$20+IF(parametros_manuales!$H$41="Todos",datos_base!$B$11+datos_base!$B$25,0))*parametros_manuales!$M$105+parametros_manuales!$G$41*(datos_base!$B$5+datos_base!$B$21+IF(parametros_manuales!$H$41="Todos",datos_base!$B$12+datos_base!$B$26,0))*parametros_manuales!$M$110)*parametros_manuales!$I$41*parametros_manuales!$J$41</f>
        <v>615.3635796057</v>
      </c>
      <c r="N24" s="9" t="n">
        <f aca="false">SUM(B24:M24)</f>
        <v>6837.37310673</v>
      </c>
      <c r="O24" s="9" t="n">
        <f aca="false">MAX(B24:M24)</f>
        <v>615.3635796057</v>
      </c>
      <c r="P24" s="43" t="n">
        <f aca="false">O24/(parametros_manuales!$B$7)</f>
        <v>4.102423864038</v>
      </c>
      <c r="Q24" s="8" t="str">
        <f aca="false">IF(O24=0,"-",INDEX($B$1:$M$1,MATCH(O24,B24:M24,0)))</f>
        <v>Ene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datos_base!$B$2+datos_base!$B$18+IF(parametros_manuales!$H$42="Todos",datos_base!$B$9+datos_base!$B$23,0))*parametros_manuales!$B$95+parametros_manuales!$E$42*(datos_base!$B$3+datos_base!$B$19+IF(parametros_manuales!$H$42="Todos",datos_base!$B$10+datos_base!$B$24,0))*parametros_manuales!$B$100+parametros_manuales!$F$42*(datos_base!$B$4+datos_base!$B$20+IF(parametros_manuales!$H$42="Todos",datos_base!$B$11+datos_base!$B$25,0))*parametros_manuales!$B$105+parametros_manuales!$G$42*(datos_base!$B$5+datos_base!$B$21+IF(parametros_manuales!$H$42="Todos",datos_base!$B$12+datos_base!$B$26,0))*parametros_manuales!$B$110)*parametros_manuales!$I$42*parametros_manuales!$J$42</f>
        <v>615.3635796057</v>
      </c>
      <c r="C25" s="9" t="n">
        <f aca="false">(parametros_manuales!$D$42*(datos_base!$B$2+datos_base!$B$18+IF(parametros_manuales!$H$42="Todos",datos_base!$B$9+datos_base!$B$23,0))*parametros_manuales!$C$95+parametros_manuales!$E$42*(datos_base!$B$3+datos_base!$B$19+IF(parametros_manuales!$H$42="Todos",datos_base!$B$10+datos_base!$B$24,0))*parametros_manuales!$C$100+parametros_manuales!$F$42*(datos_base!$B$4+datos_base!$B$20+IF(parametros_manuales!$H$42="Todos",datos_base!$B$11+datos_base!$B$25,0))*parametros_manuales!$C$105+parametros_manuales!$G$42*(datos_base!$B$5+datos_base!$B$21+IF(parametros_manuales!$H$42="Todos",datos_base!$B$12+datos_base!$B$26,0))*parametros_manuales!$C$110)*parametros_manuales!$I$42*parametros_manuales!$J$42</f>
        <v>588.7772139684</v>
      </c>
      <c r="D25" s="9" t="n">
        <f aca="false">(parametros_manuales!$D$42*(datos_base!$B$2+datos_base!$B$18+IF(parametros_manuales!$H$42="Todos",datos_base!$B$9+datos_base!$B$23,0))*parametros_manuales!$D$95+parametros_manuales!$E$42*(datos_base!$B$3+datos_base!$B$19+IF(parametros_manuales!$H$42="Todos",datos_base!$B$10+datos_base!$B$24,0))*parametros_manuales!$D$100+parametros_manuales!$F$42*(datos_base!$B$4+datos_base!$B$20+IF(parametros_manuales!$H$42="Todos",datos_base!$B$11+datos_base!$B$25,0))*parametros_manuales!$D$105+parametros_manuales!$G$42*(datos_base!$B$5+datos_base!$B$21+IF(parametros_manuales!$H$42="Todos",datos_base!$B$12+datos_base!$B$26,0))*parametros_manuales!$D$110)*parametros_manuales!$I$42*parametros_manuales!$J$42</f>
        <v>560.28303135705</v>
      </c>
      <c r="E25" s="9" t="n">
        <f aca="false">(parametros_manuales!$D$42*(datos_base!$B$2+datos_base!$B$18+IF(parametros_manuales!$H$42="Todos",datos_base!$B$9+datos_base!$B$23,0))*parametros_manuales!$E$95+parametros_manuales!$E$42*(datos_base!$B$3+datos_base!$B$19+IF(parametros_manuales!$H$42="Todos",datos_base!$B$10+datos_base!$B$24,0))*parametros_manuales!$E$100+parametros_manuales!$F$42*(datos_base!$B$4+datos_base!$B$20+IF(parametros_manuales!$H$42="Todos",datos_base!$B$11+datos_base!$B$25,0))*parametros_manuales!$E$105+parametros_manuales!$G$42*(datos_base!$B$5+datos_base!$B$21+IF(parametros_manuales!$H$42="Todos",datos_base!$B$12+datos_base!$B$26,0))*parametros_manuales!$E$110)*parametros_manuales!$I$42*parametros_manuales!$J$42</f>
        <v>539.38934864205</v>
      </c>
      <c r="F25" s="9" t="n">
        <f aca="false">(parametros_manuales!$D$42*(datos_base!$B$2+datos_base!$B$18+IF(parametros_manuales!$H$42="Todos",datos_base!$B$9+datos_base!$B$23,0))*parametros_manuales!$F$95+parametros_manuales!$E$42*(datos_base!$B$3+datos_base!$B$19+IF(parametros_manuales!$H$42="Todos",datos_base!$B$10+datos_base!$B$24,0))*parametros_manuales!$F$100+parametros_manuales!$F$42*(datos_base!$B$4+datos_base!$B$20+IF(parametros_manuales!$H$42="Todos",datos_base!$B$11+datos_base!$B$25,0))*parametros_manuales!$F$105+parametros_manuales!$G$42*(datos_base!$B$5+datos_base!$B$21+IF(parametros_manuales!$H$42="Todos",datos_base!$B$12+datos_base!$B$26,0))*parametros_manuales!$F$110)*parametros_manuales!$I$42*parametros_manuales!$J$42</f>
        <v>505.2024831084</v>
      </c>
      <c r="G25" s="9" t="n">
        <f aca="false">(parametros_manuales!$D$42*(datos_base!$B$2+datos_base!$B$18+IF(parametros_manuales!$H$42="Todos",datos_base!$B$9+datos_base!$B$23,0))*parametros_manuales!$G$95+parametros_manuales!$E$42*(datos_base!$B$3+datos_base!$B$19+IF(parametros_manuales!$H$42="Todos",datos_base!$B$10+datos_base!$B$24,0))*parametros_manuales!$G$100+parametros_manuales!$F$42*(datos_base!$B$4+datos_base!$B$20+IF(parametros_manuales!$H$42="Todos",datos_base!$B$11+datos_base!$B$25,0))*parametros_manuales!$G$105+parametros_manuales!$G$42*(datos_base!$B$5+datos_base!$B$21+IF(parametros_manuales!$H$42="Todos",datos_base!$B$12+datos_base!$B$26,0))*parametros_manuales!$G$110)*parametros_manuales!$I$42*parametros_manuales!$J$42</f>
        <v>491.90930028975</v>
      </c>
      <c r="H25" s="9" t="n">
        <f aca="false">(parametros_manuales!$D$42*(datos_base!$B$2+datos_base!$B$18+IF(parametros_manuales!$H$42="Todos",datos_base!$B$9+datos_base!$B$23,0))*parametros_manuales!$H$95+parametros_manuales!$E$42*(datos_base!$B$3+datos_base!$B$19+IF(parametros_manuales!$H$42="Todos",datos_base!$B$10+datos_base!$B$24,0))*parametros_manuales!$H$100+parametros_manuales!$F$42*(datos_base!$B$4+datos_base!$B$20+IF(parametros_manuales!$H$42="Todos",datos_base!$B$11+datos_base!$B$25,0))*parametros_manuales!$H$105+parametros_manuales!$G$42*(datos_base!$B$5+datos_base!$B$21+IF(parametros_manuales!$H$42="Todos",datos_base!$B$12+datos_base!$B$26,0))*parametros_manuales!$H$110)*parametros_manuales!$I$42*parametros_manuales!$J$42</f>
        <v>526.0961658234</v>
      </c>
      <c r="I25" s="9" t="n">
        <f aca="false">(parametros_manuales!$D$42*(datos_base!$B$2+datos_base!$B$18+IF(parametros_manuales!$H$42="Todos",datos_base!$B$9+datos_base!$B$23,0))*parametros_manuales!$I$95+parametros_manuales!$E$42*(datos_base!$B$3+datos_base!$B$19+IF(parametros_manuales!$H$42="Todos",datos_base!$B$10+datos_base!$B$24,0))*parametros_manuales!$I$100+parametros_manuales!$F$42*(datos_base!$B$4+datos_base!$B$20+IF(parametros_manuales!$H$42="Todos",datos_base!$B$11+datos_base!$B$25,0))*parametros_manuales!$I$105+parametros_manuales!$G$42*(datos_base!$B$5+datos_base!$B$21+IF(parametros_manuales!$H$42="Todos",datos_base!$B$12+datos_base!$B$26,0))*parametros_manuales!$I$110)*parametros_manuales!$I$42*parametros_manuales!$J$42</f>
        <v>588.7772139684</v>
      </c>
      <c r="J25" s="9" t="n">
        <f aca="false">(parametros_manuales!$D$42*(datos_base!$B$2+datos_base!$B$18+IF(parametros_manuales!$H$42="Todos",datos_base!$B$9+datos_base!$B$23,0))*parametros_manuales!$J$95+parametros_manuales!$E$42*(datos_base!$B$3+datos_base!$B$19+IF(parametros_manuales!$H$42="Todos",datos_base!$B$10+datos_base!$B$24,0))*parametros_manuales!$J$100+parametros_manuales!$F$42*(datos_base!$B$4+datos_base!$B$20+IF(parametros_manuales!$H$42="Todos",datos_base!$B$11+datos_base!$B$25,0))*parametros_manuales!$J$105+parametros_manuales!$G$42*(datos_base!$B$5+datos_base!$B$21+IF(parametros_manuales!$H$42="Todos",datos_base!$B$12+datos_base!$B$26,0))*parametros_manuales!$J$110)*parametros_manuales!$I$42*parametros_manuales!$J$42</f>
        <v>588.7772139684</v>
      </c>
      <c r="K25" s="9" t="n">
        <f aca="false">(parametros_manuales!$D$42*(datos_base!$B$2+datos_base!$B$18+IF(parametros_manuales!$H$42="Todos",datos_base!$B$9+datos_base!$B$23,0))*parametros_manuales!$K$95+parametros_manuales!$E$42*(datos_base!$B$3+datos_base!$B$19+IF(parametros_manuales!$H$42="Todos",datos_base!$B$10+datos_base!$B$24,0))*parametros_manuales!$K$100+parametros_manuales!$F$42*(datos_base!$B$4+datos_base!$B$20+IF(parametros_manuales!$H$42="Todos",datos_base!$B$11+datos_base!$B$25,0))*parametros_manuales!$K$105+parametros_manuales!$G$42*(datos_base!$B$5+datos_base!$B$21+IF(parametros_manuales!$H$42="Todos",datos_base!$B$12+datos_base!$B$26,0))*parametros_manuales!$K$110)*parametros_manuales!$I$42*parametros_manuales!$J$42</f>
        <v>602.07039678705</v>
      </c>
      <c r="L25" s="9" t="n">
        <f aca="false">(parametros_manuales!$D$42*(datos_base!$B$2+datos_base!$B$18+IF(parametros_manuales!$H$42="Todos",datos_base!$B$9+datos_base!$B$23,0))*parametros_manuales!$L$95+parametros_manuales!$E$42*(datos_base!$B$3+datos_base!$B$19+IF(parametros_manuales!$H$42="Todos",datos_base!$B$10+datos_base!$B$24,0))*parametros_manuales!$L$100+parametros_manuales!$F$42*(datos_base!$B$4+datos_base!$B$20+IF(parametros_manuales!$H$42="Todos",datos_base!$B$11+datos_base!$B$25,0))*parametros_manuales!$L$105+parametros_manuales!$G$42*(datos_base!$B$5+datos_base!$B$21+IF(parametros_manuales!$H$42="Todos",datos_base!$B$12+datos_base!$B$26,0))*parametros_manuales!$L$110)*parametros_manuales!$I$42*parametros_manuales!$J$42</f>
        <v>615.3635796057</v>
      </c>
      <c r="M25" s="9" t="n">
        <f aca="false">(parametros_manuales!$D$42*(datos_base!$B$2+datos_base!$B$18+IF(parametros_manuales!$H$42="Todos",datos_base!$B$9+datos_base!$B$23,0))*parametros_manuales!$M$95+parametros_manuales!$E$42*(datos_base!$B$3+datos_base!$B$19+IF(parametros_manuales!$H$42="Todos",datos_base!$B$10+datos_base!$B$24,0))*parametros_manuales!$M$100+parametros_manuales!$F$42*(datos_base!$B$4+datos_base!$B$20+IF(parametros_manuales!$H$42="Todos",datos_base!$B$11+datos_base!$B$25,0))*parametros_manuales!$M$105+parametros_manuales!$G$42*(datos_base!$B$5+datos_base!$B$21+IF(parametros_manuales!$H$42="Todos",datos_base!$B$12+datos_base!$B$26,0))*parametros_manuales!$M$110)*parametros_manuales!$I$42*parametros_manuales!$J$42</f>
        <v>615.3635796057</v>
      </c>
      <c r="N25" s="9" t="n">
        <f aca="false">SUM(B25:M25)</f>
        <v>6837.37310673</v>
      </c>
      <c r="O25" s="9" t="n">
        <f aca="false">MAX(B25:M25)</f>
        <v>615.3635796057</v>
      </c>
      <c r="P25" s="43" t="n">
        <f aca="false">O25/(parametros_manuales!$B$7)</f>
        <v>4.102423864038</v>
      </c>
      <c r="Q25" s="8" t="str">
        <f aca="false">IF(O25=0,"-",INDEX($B$1:$M$1,MATCH(O25,B25:M25,0)))</f>
        <v>Ene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datos_base!$B$2+datos_base!$B$18+IF(parametros_manuales!$H$43="Todos",datos_base!$B$9+datos_base!$B$23,0))*parametros_manuales!$B$95+parametros_manuales!$E$43*(datos_base!$B$3+datos_base!$B$19+IF(parametros_manuales!$H$43="Todos",datos_base!$B$10+datos_base!$B$24,0))*parametros_manuales!$B$100+parametros_manuales!$F$43*(datos_base!$B$4+datos_base!$B$20+IF(parametros_manuales!$H$43="Todos",datos_base!$B$11+datos_base!$B$25,0))*parametros_manuales!$B$105+parametros_manuales!$G$43*(datos_base!$B$5+datos_base!$B$21+IF(parametros_manuales!$H$43="Todos",datos_base!$B$12+datos_base!$B$26,0))*parametros_manuales!$B$110)*parametros_manuales!$I$43*parametros_manuales!$J$43</f>
        <v>617.8835796057</v>
      </c>
      <c r="C26" s="9" t="n">
        <f aca="false">(parametros_manuales!$D$43*(datos_base!$B$2+datos_base!$B$18+IF(parametros_manuales!$H$43="Todos",datos_base!$B$9+datos_base!$B$23,0))*parametros_manuales!$C$95+parametros_manuales!$E$43*(datos_base!$B$3+datos_base!$B$19+IF(parametros_manuales!$H$43="Todos",datos_base!$B$10+datos_base!$B$24,0))*parametros_manuales!$C$100+parametros_manuales!$F$43*(datos_base!$B$4+datos_base!$B$20+IF(parametros_manuales!$H$43="Todos",datos_base!$B$11+datos_base!$B$25,0))*parametros_manuales!$C$105+parametros_manuales!$G$43*(datos_base!$B$5+datos_base!$B$21+IF(parametros_manuales!$H$43="Todos",datos_base!$B$12+datos_base!$B$26,0))*parametros_manuales!$C$110)*parametros_manuales!$I$43*parametros_manuales!$J$43</f>
        <v>591.0172139684</v>
      </c>
      <c r="D26" s="9" t="n">
        <f aca="false">(parametros_manuales!$D$43*(datos_base!$B$2+datos_base!$B$18+IF(parametros_manuales!$H$43="Todos",datos_base!$B$9+datos_base!$B$23,0))*parametros_manuales!$D$95+parametros_manuales!$E$43*(datos_base!$B$3+datos_base!$B$19+IF(parametros_manuales!$H$43="Todos",datos_base!$B$10+datos_base!$B$24,0))*parametros_manuales!$D$100+parametros_manuales!$F$43*(datos_base!$B$4+datos_base!$B$20+IF(parametros_manuales!$H$43="Todos",datos_base!$B$11+datos_base!$B$25,0))*parametros_manuales!$D$105+parametros_manuales!$G$43*(datos_base!$B$5+datos_base!$B$21+IF(parametros_manuales!$H$43="Todos",datos_base!$B$12+datos_base!$B$26,0))*parametros_manuales!$D$110)*parametros_manuales!$I$43*parametros_manuales!$J$43</f>
        <v>562.66303135705</v>
      </c>
      <c r="E26" s="9" t="n">
        <f aca="false">(parametros_manuales!$D$43*(datos_base!$B$2+datos_base!$B$18+IF(parametros_manuales!$H$43="Todos",datos_base!$B$9+datos_base!$B$23,0))*parametros_manuales!$E$95+parametros_manuales!$E$43*(datos_base!$B$3+datos_base!$B$19+IF(parametros_manuales!$H$43="Todos",datos_base!$B$10+datos_base!$B$24,0))*parametros_manuales!$E$100+parametros_manuales!$F$43*(datos_base!$B$4+datos_base!$B$20+IF(parametros_manuales!$H$43="Todos",datos_base!$B$11+datos_base!$B$25,0))*parametros_manuales!$E$105+parametros_manuales!$G$43*(datos_base!$B$5+datos_base!$B$21+IF(parametros_manuales!$H$43="Todos",datos_base!$B$12+datos_base!$B$26,0))*parametros_manuales!$E$110)*parametros_manuales!$I$43*parametros_manuales!$J$43</f>
        <v>541.76934864205</v>
      </c>
      <c r="F26" s="9" t="n">
        <f aca="false">(parametros_manuales!$D$43*(datos_base!$B$2+datos_base!$B$18+IF(parametros_manuales!$H$43="Todos",datos_base!$B$9+datos_base!$B$23,0))*parametros_manuales!$F$95+parametros_manuales!$E$43*(datos_base!$B$3+datos_base!$B$19+IF(parametros_manuales!$H$43="Todos",datos_base!$B$10+datos_base!$B$24,0))*parametros_manuales!$F$100+parametros_manuales!$F$43*(datos_base!$B$4+datos_base!$B$20+IF(parametros_manuales!$H$43="Todos",datos_base!$B$11+datos_base!$B$25,0))*parametros_manuales!$F$105+parametros_manuales!$G$43*(datos_base!$B$5+datos_base!$B$21+IF(parametros_manuales!$H$43="Todos",datos_base!$B$12+datos_base!$B$26,0))*parametros_manuales!$F$110)*parametros_manuales!$I$43*parametros_manuales!$J$43</f>
        <v>507.4424831084</v>
      </c>
      <c r="G26" s="9" t="n">
        <f aca="false">(parametros_manuales!$D$43*(datos_base!$B$2+datos_base!$B$18+IF(parametros_manuales!$H$43="Todos",datos_base!$B$9+datos_base!$B$23,0))*parametros_manuales!$G$95+parametros_manuales!$E$43*(datos_base!$B$3+datos_base!$B$19+IF(parametros_manuales!$H$43="Todos",datos_base!$B$10+datos_base!$B$24,0))*parametros_manuales!$G$100+parametros_manuales!$F$43*(datos_base!$B$4+datos_base!$B$20+IF(parametros_manuales!$H$43="Todos",datos_base!$B$11+datos_base!$B$25,0))*parametros_manuales!$G$105+parametros_manuales!$G$43*(datos_base!$B$5+datos_base!$B$21+IF(parametros_manuales!$H$43="Todos",datos_base!$B$12+datos_base!$B$26,0))*parametros_manuales!$G$110)*parametros_manuales!$I$43*parametros_manuales!$J$43</f>
        <v>494.00930028975</v>
      </c>
      <c r="H26" s="9" t="n">
        <f aca="false">(parametros_manuales!$D$43*(datos_base!$B$2+datos_base!$B$18+IF(parametros_manuales!$H$43="Todos",datos_base!$B$9+datos_base!$B$23,0))*parametros_manuales!$H$95+parametros_manuales!$E$43*(datos_base!$B$3+datos_base!$B$19+IF(parametros_manuales!$H$43="Todos",datos_base!$B$10+datos_base!$B$24,0))*parametros_manuales!$H$100+parametros_manuales!$F$43*(datos_base!$B$4+datos_base!$B$20+IF(parametros_manuales!$H$43="Todos",datos_base!$B$11+datos_base!$B$25,0))*parametros_manuales!$H$105+parametros_manuales!$G$43*(datos_base!$B$5+datos_base!$B$21+IF(parametros_manuales!$H$43="Todos",datos_base!$B$12+datos_base!$B$26,0))*parametros_manuales!$H$110)*parametros_manuales!$I$43*parametros_manuales!$J$43</f>
        <v>528.3361658234</v>
      </c>
      <c r="I26" s="9" t="n">
        <f aca="false">(parametros_manuales!$D$43*(datos_base!$B$2+datos_base!$B$18+IF(parametros_manuales!$H$43="Todos",datos_base!$B$9+datos_base!$B$23,0))*parametros_manuales!$I$95+parametros_manuales!$E$43*(datos_base!$B$3+datos_base!$B$19+IF(parametros_manuales!$H$43="Todos",datos_base!$B$10+datos_base!$B$24,0))*parametros_manuales!$I$100+parametros_manuales!$F$43*(datos_base!$B$4+datos_base!$B$20+IF(parametros_manuales!$H$43="Todos",datos_base!$B$11+datos_base!$B$25,0))*parametros_manuales!$I$105+parametros_manuales!$G$43*(datos_base!$B$5+datos_base!$B$21+IF(parametros_manuales!$H$43="Todos",datos_base!$B$12+datos_base!$B$26,0))*parametros_manuales!$I$110)*parametros_manuales!$I$43*parametros_manuales!$J$43</f>
        <v>591.0172139684</v>
      </c>
      <c r="J26" s="9" t="n">
        <f aca="false">(parametros_manuales!$D$43*(datos_base!$B$2+datos_base!$B$18+IF(parametros_manuales!$H$43="Todos",datos_base!$B$9+datos_base!$B$23,0))*parametros_manuales!$J$95+parametros_manuales!$E$43*(datos_base!$B$3+datos_base!$B$19+IF(parametros_manuales!$H$43="Todos",datos_base!$B$10+datos_base!$B$24,0))*parametros_manuales!$J$100+parametros_manuales!$F$43*(datos_base!$B$4+datos_base!$B$20+IF(parametros_manuales!$H$43="Todos",datos_base!$B$11+datos_base!$B$25,0))*parametros_manuales!$J$105+parametros_manuales!$G$43*(datos_base!$B$5+datos_base!$B$21+IF(parametros_manuales!$H$43="Todos",datos_base!$B$12+datos_base!$B$26,0))*parametros_manuales!$J$110)*parametros_manuales!$I$43*parametros_manuales!$J$43</f>
        <v>591.0172139684</v>
      </c>
      <c r="K26" s="9" t="n">
        <f aca="false">(parametros_manuales!$D$43*(datos_base!$B$2+datos_base!$B$18+IF(parametros_manuales!$H$43="Todos",datos_base!$B$9+datos_base!$B$23,0))*parametros_manuales!$K$95+parametros_manuales!$E$43*(datos_base!$B$3+datos_base!$B$19+IF(parametros_manuales!$H$43="Todos",datos_base!$B$10+datos_base!$B$24,0))*parametros_manuales!$K$100+parametros_manuales!$F$43*(datos_base!$B$4+datos_base!$B$20+IF(parametros_manuales!$H$43="Todos",datos_base!$B$11+datos_base!$B$25,0))*parametros_manuales!$K$105+parametros_manuales!$G$43*(datos_base!$B$5+datos_base!$B$21+IF(parametros_manuales!$H$43="Todos",datos_base!$B$12+datos_base!$B$26,0))*parametros_manuales!$K$110)*parametros_manuales!$I$43*parametros_manuales!$J$43</f>
        <v>604.45039678705</v>
      </c>
      <c r="L26" s="9" t="n">
        <f aca="false">(parametros_manuales!$D$43*(datos_base!$B$2+datos_base!$B$18+IF(parametros_manuales!$H$43="Todos",datos_base!$B$9+datos_base!$B$23,0))*parametros_manuales!$L$95+parametros_manuales!$E$43*(datos_base!$B$3+datos_base!$B$19+IF(parametros_manuales!$H$43="Todos",datos_base!$B$10+datos_base!$B$24,0))*parametros_manuales!$L$100+parametros_manuales!$F$43*(datos_base!$B$4+datos_base!$B$20+IF(parametros_manuales!$H$43="Todos",datos_base!$B$11+datos_base!$B$25,0))*parametros_manuales!$L$105+parametros_manuales!$G$43*(datos_base!$B$5+datos_base!$B$21+IF(parametros_manuales!$H$43="Todos",datos_base!$B$12+datos_base!$B$26,0))*parametros_manuales!$L$110)*parametros_manuales!$I$43*parametros_manuales!$J$43</f>
        <v>617.8835796057</v>
      </c>
      <c r="M26" s="9" t="n">
        <f aca="false">(parametros_manuales!$D$43*(datos_base!$B$2+datos_base!$B$18+IF(parametros_manuales!$H$43="Todos",datos_base!$B$9+datos_base!$B$23,0))*parametros_manuales!$M$95+parametros_manuales!$E$43*(datos_base!$B$3+datos_base!$B$19+IF(parametros_manuales!$H$43="Todos",datos_base!$B$10+datos_base!$B$24,0))*parametros_manuales!$M$100+parametros_manuales!$F$43*(datos_base!$B$4+datos_base!$B$20+IF(parametros_manuales!$H$43="Todos",datos_base!$B$11+datos_base!$B$25,0))*parametros_manuales!$M$105+parametros_manuales!$G$43*(datos_base!$B$5+datos_base!$B$21+IF(parametros_manuales!$H$43="Todos",datos_base!$B$12+datos_base!$B$26,0))*parametros_manuales!$M$110)*parametros_manuales!$I$43*parametros_manuales!$J$43</f>
        <v>617.8835796057</v>
      </c>
      <c r="N26" s="9" t="n">
        <f aca="false">SUM(B26:M26)</f>
        <v>6865.37310673</v>
      </c>
      <c r="O26" s="9" t="n">
        <f aca="false">MAX(B26:M26)</f>
        <v>617.8835796057</v>
      </c>
      <c r="P26" s="43" t="n">
        <f aca="false">O26/(parametros_manuales!$B$7)</f>
        <v>4.119223864038</v>
      </c>
      <c r="Q26" s="8" t="str">
        <f aca="false">IF(O26=0,"-",INDEX($B$1:$M$1,MATCH(O26,B26:M26,0)))</f>
        <v>Ene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191</v>
      </c>
      <c r="B28" s="7" t="s">
        <v>61</v>
      </c>
      <c r="C28" s="7" t="s">
        <v>62</v>
      </c>
      <c r="D28" s="7" t="s">
        <v>63</v>
      </c>
      <c r="E28" s="7" t="s">
        <v>64</v>
      </c>
      <c r="F28" s="7" t="s">
        <v>65</v>
      </c>
      <c r="G28" s="7" t="s">
        <v>66</v>
      </c>
      <c r="H28" s="7" t="s">
        <v>67</v>
      </c>
      <c r="I28" s="7" t="s">
        <v>68</v>
      </c>
      <c r="J28" s="7" t="s">
        <v>69</v>
      </c>
      <c r="K28" s="7" t="s">
        <v>70</v>
      </c>
      <c r="L28" s="7" t="s">
        <v>71</v>
      </c>
      <c r="M28" s="7" t="s">
        <v>72</v>
      </c>
      <c r="N28" s="7" t="s">
        <v>183</v>
      </c>
      <c r="O28" s="7" t="s">
        <v>188</v>
      </c>
      <c r="P28" s="7" t="s">
        <v>189</v>
      </c>
      <c r="Q28" s="7" t="s">
        <v>190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datos_base!$C$2+datos_base!$C$18+IF(parametros_manuales!$H$19="Todos",datos_base!$C$9+datos_base!$C$23,0))*parametros_manuales!$B$95+parametros_manuales!$E$19*(datos_base!$C$3+datos_base!$C$19+IF(parametros_manuales!$H$19="Todos",datos_base!$C$10+datos_base!$C$24,0))*parametros_manuales!$B$100+parametros_manuales!$F$19*(datos_base!$C$4+datos_base!$C$20+IF(parametros_manuales!$H$19="Todos",datos_base!$C$11+datos_base!$C$25,0))*parametros_manuales!$B$105+parametros_manuales!$G$19*(datos_base!$C$5+datos_base!$C$21+IF(parametros_manuales!$H$19="Todos",datos_base!$C$12+datos_base!$C$26,0))*parametros_manuales!$B$110)*parametros_manuales!$I$19*parametros_manuales!$J$19</f>
        <v>977.19998445</v>
      </c>
      <c r="C29" s="9" t="n">
        <f aca="false">(parametros_manuales!$D$19*(datos_base!$C$2+datos_base!$C$18+IF(parametros_manuales!$H$19="Todos",datos_base!$C$9+datos_base!$C$23,0))*parametros_manuales!$C$95+parametros_manuales!$E$19*(datos_base!$C$3+datos_base!$C$19+IF(parametros_manuales!$H$19="Todos",datos_base!$C$10+datos_base!$C$24,0))*parametros_manuales!$C$100+parametros_manuales!$F$19*(datos_base!$C$4+datos_base!$C$20+IF(parametros_manuales!$H$19="Todos",datos_base!$C$11+datos_base!$C$25,0))*parametros_manuales!$C$105+parametros_manuales!$G$19*(datos_base!$C$5+datos_base!$C$21+IF(parametros_manuales!$H$19="Todos",datos_base!$C$12+datos_base!$C$26,0))*parametros_manuales!$C$110)*parametros_manuales!$I$19*parametros_manuales!$J$19</f>
        <v>928.59524817</v>
      </c>
      <c r="D29" s="9" t="n">
        <f aca="false">(parametros_manuales!$D$19*(datos_base!$C$2+datos_base!$C$18+IF(parametros_manuales!$H$19="Todos",datos_base!$C$9+datos_base!$C$23,0))*parametros_manuales!$D$95+parametros_manuales!$E$19*(datos_base!$C$3+datos_base!$C$19+IF(parametros_manuales!$H$19="Todos",datos_base!$C$10+datos_base!$C$24,0))*parametros_manuales!$D$100+parametros_manuales!$F$19*(datos_base!$C$4+datos_base!$C$20+IF(parametros_manuales!$H$19="Todos",datos_base!$C$11+datos_base!$C$25,0))*parametros_manuales!$D$105+parametros_manuales!$G$19*(datos_base!$C$5+datos_base!$C$21+IF(parametros_manuales!$H$19="Todos",datos_base!$C$12+datos_base!$C$26,0))*parametros_manuales!$D$110)*parametros_manuales!$I$19*parametros_manuales!$J$19</f>
        <v>892.92457654</v>
      </c>
      <c r="E29" s="9" t="n">
        <f aca="false">(parametros_manuales!$D$19*(datos_base!$C$2+datos_base!$C$18+IF(parametros_manuales!$H$19="Todos",datos_base!$C$9+datos_base!$C$23,0))*parametros_manuales!$E$95+parametros_manuales!$E$19*(datos_base!$C$3+datos_base!$C$19+IF(parametros_manuales!$H$19="Todos",datos_base!$C$10+datos_base!$C$24,0))*parametros_manuales!$E$100+parametros_manuales!$F$19*(datos_base!$C$4+datos_base!$C$20+IF(parametros_manuales!$H$19="Todos",datos_base!$C$11+datos_base!$C$25,0))*parametros_manuales!$E$105+parametros_manuales!$G$19*(datos_base!$C$5+datos_base!$C$21+IF(parametros_manuales!$H$19="Todos",datos_base!$C$12+datos_base!$C$26,0))*parametros_manuales!$E$110)*parametros_manuales!$I$19*parametros_manuales!$J$19</f>
        <v>862.938056655</v>
      </c>
      <c r="F29" s="9" t="n">
        <f aca="false">(parametros_manuales!$D$19*(datos_base!$C$2+datos_base!$C$18+IF(parametros_manuales!$H$19="Todos",datos_base!$C$9+datos_base!$C$23,0))*parametros_manuales!$F$95+parametros_manuales!$E$19*(datos_base!$C$3+datos_base!$C$19+IF(parametros_manuales!$H$19="Todos",datos_base!$C$10+datos_base!$C$24,0))*parametros_manuales!$F$100+parametros_manuales!$F$19*(datos_base!$C$4+datos_base!$C$20+IF(parametros_manuales!$H$19="Todos",datos_base!$C$11+datos_base!$C$25,0))*parametros_manuales!$F$105+parametros_manuales!$G$19*(datos_base!$C$5+datos_base!$C$21+IF(parametros_manuales!$H$19="Todos",datos_base!$C$12+datos_base!$C$26,0))*parametros_manuales!$F$110)*parametros_manuales!$I$19*parametros_manuales!$J$19</f>
        <v>808.64916863</v>
      </c>
      <c r="G29" s="9" t="n">
        <f aca="false">(parametros_manuales!$D$19*(datos_base!$C$2+datos_base!$C$18+IF(parametros_manuales!$H$19="Todos",datos_base!$C$9+datos_base!$C$23,0))*parametros_manuales!$G$95+parametros_manuales!$E$19*(datos_base!$C$3+datos_base!$C$19+IF(parametros_manuales!$H$19="Todos",datos_base!$C$10+datos_base!$C$24,0))*parametros_manuales!$G$100+parametros_manuales!$F$19*(datos_base!$C$4+datos_base!$C$20+IF(parametros_manuales!$H$19="Todos",datos_base!$C$11+datos_base!$C$25,0))*parametros_manuales!$G$105+parametros_manuales!$G$19*(datos_base!$C$5+datos_base!$C$21+IF(parametros_manuales!$H$19="Todos",datos_base!$C$12+datos_base!$C$26,0))*parametros_manuales!$G$110)*parametros_manuales!$I$19*parametros_manuales!$J$19</f>
        <v>784.34680049</v>
      </c>
      <c r="H29" s="9" t="n">
        <f aca="false">(parametros_manuales!$D$19*(datos_base!$C$2+datos_base!$C$18+IF(parametros_manuales!$H$19="Todos",datos_base!$C$9+datos_base!$C$23,0))*parametros_manuales!$H$95+parametros_manuales!$E$19*(datos_base!$C$3+datos_base!$C$19+IF(parametros_manuales!$H$19="Todos",datos_base!$C$10+datos_base!$C$24,0))*parametros_manuales!$H$100+parametros_manuales!$F$19*(datos_base!$C$4+datos_base!$C$20+IF(parametros_manuales!$H$19="Todos",datos_base!$C$11+datos_base!$C$25,0))*parametros_manuales!$H$105+parametros_manuales!$G$19*(datos_base!$C$5+datos_base!$C$21+IF(parametros_manuales!$H$19="Todos",datos_base!$C$12+datos_base!$C$26,0))*parametros_manuales!$H$110)*parametros_manuales!$I$19*parametros_manuales!$J$19</f>
        <v>838.635688515</v>
      </c>
      <c r="I29" s="9" t="n">
        <f aca="false">(parametros_manuales!$D$19*(datos_base!$C$2+datos_base!$C$18+IF(parametros_manuales!$H$19="Todos",datos_base!$C$9+datos_base!$C$23,0))*parametros_manuales!$I$95+parametros_manuales!$E$19*(datos_base!$C$3+datos_base!$C$19+IF(parametros_manuales!$H$19="Todos",datos_base!$C$10+datos_base!$C$24,0))*parametros_manuales!$I$100+parametros_manuales!$F$19*(datos_base!$C$4+datos_base!$C$20+IF(parametros_manuales!$H$19="Todos",datos_base!$C$11+datos_base!$C$25,0))*parametros_manuales!$I$105+parametros_manuales!$G$19*(datos_base!$C$5+datos_base!$C$21+IF(parametros_manuales!$H$19="Todos",datos_base!$C$12+datos_base!$C$26,0))*parametros_manuales!$I$110)*parametros_manuales!$I$19*parametros_manuales!$J$19</f>
        <v>928.59524817</v>
      </c>
      <c r="J29" s="9" t="n">
        <f aca="false">(parametros_manuales!$D$19*(datos_base!$C$2+datos_base!$C$18+IF(parametros_manuales!$H$19="Todos",datos_base!$C$9+datos_base!$C$23,0))*parametros_manuales!$J$95+parametros_manuales!$E$19*(datos_base!$C$3+datos_base!$C$19+IF(parametros_manuales!$H$19="Todos",datos_base!$C$10+datos_base!$C$24,0))*parametros_manuales!$J$100+parametros_manuales!$F$19*(datos_base!$C$4+datos_base!$C$20+IF(parametros_manuales!$H$19="Todos",datos_base!$C$11+datos_base!$C$25,0))*parametros_manuales!$J$105+parametros_manuales!$G$19*(datos_base!$C$5+datos_base!$C$21+IF(parametros_manuales!$H$19="Todos",datos_base!$C$12+datos_base!$C$26,0))*parametros_manuales!$J$110)*parametros_manuales!$I$19*parametros_manuales!$J$19</f>
        <v>928.59524817</v>
      </c>
      <c r="K29" s="9" t="n">
        <f aca="false">(parametros_manuales!$D$19*(datos_base!$C$2+datos_base!$C$18+IF(parametros_manuales!$H$19="Todos",datos_base!$C$9+datos_base!$C$23,0))*parametros_manuales!$K$95+parametros_manuales!$E$19*(datos_base!$C$3+datos_base!$C$19+IF(parametros_manuales!$H$19="Todos",datos_base!$C$10+datos_base!$C$24,0))*parametros_manuales!$K$100+parametros_manuales!$F$19*(datos_base!$C$4+datos_base!$C$20+IF(parametros_manuales!$H$19="Todos",datos_base!$C$11+datos_base!$C$25,0))*parametros_manuales!$K$105+parametros_manuales!$G$19*(datos_base!$C$5+datos_base!$C$21+IF(parametros_manuales!$H$19="Todos",datos_base!$C$12+datos_base!$C$26,0))*parametros_manuales!$K$110)*parametros_manuales!$I$19*parametros_manuales!$J$19</f>
        <v>952.89761631</v>
      </c>
      <c r="L29" s="9" t="n">
        <f aca="false">(parametros_manuales!$D$19*(datos_base!$C$2+datos_base!$C$18+IF(parametros_manuales!$H$19="Todos",datos_base!$C$9+datos_base!$C$23,0))*parametros_manuales!$L$95+parametros_manuales!$E$19*(datos_base!$C$3+datos_base!$C$19+IF(parametros_manuales!$H$19="Todos",datos_base!$C$10+datos_base!$C$24,0))*parametros_manuales!$L$100+parametros_manuales!$F$19*(datos_base!$C$4+datos_base!$C$20+IF(parametros_manuales!$H$19="Todos",datos_base!$C$11+datos_base!$C$25,0))*parametros_manuales!$L$105+parametros_manuales!$G$19*(datos_base!$C$5+datos_base!$C$21+IF(parametros_manuales!$H$19="Todos",datos_base!$C$12+datos_base!$C$26,0))*parametros_manuales!$L$110)*parametros_manuales!$I$19*parametros_manuales!$J$19</f>
        <v>977.19998445</v>
      </c>
      <c r="M29" s="9" t="n">
        <f aca="false">(parametros_manuales!$D$19*(datos_base!$C$2+datos_base!$C$18+IF(parametros_manuales!$H$19="Todos",datos_base!$C$9+datos_base!$C$23,0))*parametros_manuales!$M$95+parametros_manuales!$E$19*(datos_base!$C$3+datos_base!$C$19+IF(parametros_manuales!$H$19="Todos",datos_base!$C$10+datos_base!$C$24,0))*parametros_manuales!$M$100+parametros_manuales!$F$19*(datos_base!$C$4+datos_base!$C$20+IF(parametros_manuales!$H$19="Todos",datos_base!$C$11+datos_base!$C$25,0))*parametros_manuales!$M$105+parametros_manuales!$G$19*(datos_base!$C$5+datos_base!$C$21+IF(parametros_manuales!$H$19="Todos",datos_base!$C$12+datos_base!$C$26,0))*parametros_manuales!$M$110)*parametros_manuales!$I$19*parametros_manuales!$J$19</f>
        <v>977.19998445</v>
      </c>
      <c r="N29" s="9" t="n">
        <f aca="false">SUM(B29:M29)</f>
        <v>10857.777605</v>
      </c>
      <c r="O29" s="9" t="n">
        <f aca="false">MAX(B29:M29)</f>
        <v>977.19998445</v>
      </c>
      <c r="P29" s="43" t="n">
        <f aca="false">O29/(parametros_manuales!$B$7)</f>
        <v>6.514666563</v>
      </c>
      <c r="Q29" s="8" t="str">
        <f aca="false">IF(O29=0,"-",INDEX($B$28:$M$28,MATCH(O29,B29:M29,0)))</f>
        <v>Ene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datos_base!$C$2+datos_base!$C$18+IF(parametros_manuales!$H$20="Todos",datos_base!$C$9+datos_base!$C$23,0))*parametros_manuales!$B$95+parametros_manuales!$E$20*(datos_base!$C$3+datos_base!$C$19+IF(parametros_manuales!$H$20="Todos",datos_base!$C$10+datos_base!$C$24,0))*parametros_manuales!$B$100+parametros_manuales!$F$20*(datos_base!$C$4+datos_base!$C$20+IF(parametros_manuales!$H$20="Todos",datos_base!$C$11+datos_base!$C$25,0))*parametros_manuales!$B$105+parametros_manuales!$G$20*(datos_base!$C$5+datos_base!$C$21+IF(parametros_manuales!$H$20="Todos",datos_base!$C$12+datos_base!$C$26,0))*parametros_manuales!$B$110)*parametros_manuales!$I$20*parametros_manuales!$J$20</f>
        <v>437.44262652</v>
      </c>
      <c r="C30" s="9" t="n">
        <f aca="false">(parametros_manuales!$D$20*(datos_base!$C$2+datos_base!$C$18+IF(parametros_manuales!$H$20="Todos",datos_base!$C$9+datos_base!$C$23,0))*parametros_manuales!$C$95+parametros_manuales!$E$20*(datos_base!$C$3+datos_base!$C$19+IF(parametros_manuales!$H$20="Todos",datos_base!$C$10+datos_base!$C$24,0))*parametros_manuales!$C$100+parametros_manuales!$F$20*(datos_base!$C$4+datos_base!$C$20+IF(parametros_manuales!$H$20="Todos",datos_base!$C$11+datos_base!$C$25,0))*parametros_manuales!$C$105+parametros_manuales!$G$20*(datos_base!$C$5+datos_base!$C$21+IF(parametros_manuales!$H$20="Todos",datos_base!$C$12+datos_base!$C$26,0))*parametros_manuales!$C$110)*parametros_manuales!$I$20*parametros_manuales!$J$20</f>
        <v>388.83789024</v>
      </c>
      <c r="D30" s="9" t="n">
        <f aca="false">(parametros_manuales!$D$20*(datos_base!$C$2+datos_base!$C$18+IF(parametros_manuales!$H$20="Todos",datos_base!$C$9+datos_base!$C$23,0))*parametros_manuales!$D$95+parametros_manuales!$E$20*(datos_base!$C$3+datos_base!$C$19+IF(parametros_manuales!$H$20="Todos",datos_base!$C$10+datos_base!$C$24,0))*parametros_manuales!$D$100+parametros_manuales!$F$20*(datos_base!$C$4+datos_base!$C$20+IF(parametros_manuales!$H$20="Todos",datos_base!$C$11+datos_base!$C$25,0))*parametros_manuales!$D$105+parametros_manuales!$G$20*(datos_base!$C$5+datos_base!$C$21+IF(parametros_manuales!$H$20="Todos",datos_base!$C$12+datos_base!$C$26,0))*parametros_manuales!$D$110)*parametros_manuales!$I$20*parametros_manuales!$J$20</f>
        <v>413.14025838</v>
      </c>
      <c r="E30" s="9" t="n">
        <f aca="false">(parametros_manuales!$D$20*(datos_base!$C$2+datos_base!$C$18+IF(parametros_manuales!$H$20="Todos",datos_base!$C$9+datos_base!$C$23,0))*parametros_manuales!$E$95+parametros_manuales!$E$20*(datos_base!$C$3+datos_base!$C$19+IF(parametros_manuales!$H$20="Todos",datos_base!$C$10+datos_base!$C$24,0))*parametros_manuales!$E$100+parametros_manuales!$F$20*(datos_base!$C$4+datos_base!$C$20+IF(parametros_manuales!$H$20="Todos",datos_base!$C$11+datos_base!$C$25,0))*parametros_manuales!$E$105+parametros_manuales!$G$20*(datos_base!$C$5+datos_base!$C$21+IF(parametros_manuales!$H$20="Todos",datos_base!$C$12+datos_base!$C$26,0))*parametros_manuales!$E$110)*parametros_manuales!$I$20*parametros_manuales!$J$20</f>
        <v>413.14025838</v>
      </c>
      <c r="F30" s="9" t="n">
        <f aca="false">(parametros_manuales!$D$20*(datos_base!$C$2+datos_base!$C$18+IF(parametros_manuales!$H$20="Todos",datos_base!$C$9+datos_base!$C$23,0))*parametros_manuales!$F$95+parametros_manuales!$E$20*(datos_base!$C$3+datos_base!$C$19+IF(parametros_manuales!$H$20="Todos",datos_base!$C$10+datos_base!$C$24,0))*parametros_manuales!$F$100+parametros_manuales!$F$20*(datos_base!$C$4+datos_base!$C$20+IF(parametros_manuales!$H$20="Todos",datos_base!$C$11+datos_base!$C$25,0))*parametros_manuales!$F$105+parametros_manuales!$G$20*(datos_base!$C$5+datos_base!$C$21+IF(parametros_manuales!$H$20="Todos",datos_base!$C$12+datos_base!$C$26,0))*parametros_manuales!$F$110)*parametros_manuales!$I$20*parametros_manuales!$J$20</f>
        <v>388.83789024</v>
      </c>
      <c r="G30" s="9" t="n">
        <f aca="false">(parametros_manuales!$D$20*(datos_base!$C$2+datos_base!$C$18+IF(parametros_manuales!$H$20="Todos",datos_base!$C$9+datos_base!$C$23,0))*parametros_manuales!$G$95+parametros_manuales!$E$20*(datos_base!$C$3+datos_base!$C$19+IF(parametros_manuales!$H$20="Todos",datos_base!$C$10+datos_base!$C$24,0))*parametros_manuales!$G$100+parametros_manuales!$F$20*(datos_base!$C$4+datos_base!$C$20+IF(parametros_manuales!$H$20="Todos",datos_base!$C$11+datos_base!$C$25,0))*parametros_manuales!$G$105+parametros_manuales!$G$20*(datos_base!$C$5+datos_base!$C$21+IF(parametros_manuales!$H$20="Todos",datos_base!$C$12+datos_base!$C$26,0))*parametros_manuales!$G$110)*parametros_manuales!$I$20*parametros_manuales!$J$20</f>
        <v>364.5355221</v>
      </c>
      <c r="H30" s="9" t="n">
        <f aca="false">(parametros_manuales!$D$20*(datos_base!$C$2+datos_base!$C$18+IF(parametros_manuales!$H$20="Todos",datos_base!$C$9+datos_base!$C$23,0))*parametros_manuales!$H$95+parametros_manuales!$E$20*(datos_base!$C$3+datos_base!$C$19+IF(parametros_manuales!$H$20="Todos",datos_base!$C$10+datos_base!$C$24,0))*parametros_manuales!$H$100+parametros_manuales!$F$20*(datos_base!$C$4+datos_base!$C$20+IF(parametros_manuales!$H$20="Todos",datos_base!$C$11+datos_base!$C$25,0))*parametros_manuales!$H$105+parametros_manuales!$G$20*(datos_base!$C$5+datos_base!$C$21+IF(parametros_manuales!$H$20="Todos",datos_base!$C$12+datos_base!$C$26,0))*parametros_manuales!$H$110)*parametros_manuales!$I$20*parametros_manuales!$J$20</f>
        <v>388.83789024</v>
      </c>
      <c r="I30" s="9" t="n">
        <f aca="false">(parametros_manuales!$D$20*(datos_base!$C$2+datos_base!$C$18+IF(parametros_manuales!$H$20="Todos",datos_base!$C$9+datos_base!$C$23,0))*parametros_manuales!$I$95+parametros_manuales!$E$20*(datos_base!$C$3+datos_base!$C$19+IF(parametros_manuales!$H$20="Todos",datos_base!$C$10+datos_base!$C$24,0))*parametros_manuales!$I$100+parametros_manuales!$F$20*(datos_base!$C$4+datos_base!$C$20+IF(parametros_manuales!$H$20="Todos",datos_base!$C$11+datos_base!$C$25,0))*parametros_manuales!$I$105+parametros_manuales!$G$20*(datos_base!$C$5+datos_base!$C$21+IF(parametros_manuales!$H$20="Todos",datos_base!$C$12+datos_base!$C$26,0))*parametros_manuales!$I$110)*parametros_manuales!$I$20*parametros_manuales!$J$20</f>
        <v>388.83789024</v>
      </c>
      <c r="J30" s="9" t="n">
        <f aca="false">(parametros_manuales!$D$20*(datos_base!$C$2+datos_base!$C$18+IF(parametros_manuales!$H$20="Todos",datos_base!$C$9+datos_base!$C$23,0))*parametros_manuales!$J$95+parametros_manuales!$E$20*(datos_base!$C$3+datos_base!$C$19+IF(parametros_manuales!$H$20="Todos",datos_base!$C$10+datos_base!$C$24,0))*parametros_manuales!$J$100+parametros_manuales!$F$20*(datos_base!$C$4+datos_base!$C$20+IF(parametros_manuales!$H$20="Todos",datos_base!$C$11+datos_base!$C$25,0))*parametros_manuales!$J$105+parametros_manuales!$G$20*(datos_base!$C$5+datos_base!$C$21+IF(parametros_manuales!$H$20="Todos",datos_base!$C$12+datos_base!$C$26,0))*parametros_manuales!$J$110)*parametros_manuales!$I$20*parametros_manuales!$J$20</f>
        <v>388.83789024</v>
      </c>
      <c r="K30" s="9" t="n">
        <f aca="false">(parametros_manuales!$D$20*(datos_base!$C$2+datos_base!$C$18+IF(parametros_manuales!$H$20="Todos",datos_base!$C$9+datos_base!$C$23,0))*parametros_manuales!$K$95+parametros_manuales!$E$20*(datos_base!$C$3+datos_base!$C$19+IF(parametros_manuales!$H$20="Todos",datos_base!$C$10+datos_base!$C$24,0))*parametros_manuales!$K$100+parametros_manuales!$F$20*(datos_base!$C$4+datos_base!$C$20+IF(parametros_manuales!$H$20="Todos",datos_base!$C$11+datos_base!$C$25,0))*parametros_manuales!$K$105+parametros_manuales!$G$20*(datos_base!$C$5+datos_base!$C$21+IF(parametros_manuales!$H$20="Todos",datos_base!$C$12+datos_base!$C$26,0))*parametros_manuales!$K$110)*parametros_manuales!$I$20*parametros_manuales!$J$20</f>
        <v>413.14025838</v>
      </c>
      <c r="L30" s="9" t="n">
        <f aca="false">(parametros_manuales!$D$20*(datos_base!$C$2+datos_base!$C$18+IF(parametros_manuales!$H$20="Todos",datos_base!$C$9+datos_base!$C$23,0))*parametros_manuales!$L$95+parametros_manuales!$E$20*(datos_base!$C$3+datos_base!$C$19+IF(parametros_manuales!$H$20="Todos",datos_base!$C$10+datos_base!$C$24,0))*parametros_manuales!$L$100+parametros_manuales!$F$20*(datos_base!$C$4+datos_base!$C$20+IF(parametros_manuales!$H$20="Todos",datos_base!$C$11+datos_base!$C$25,0))*parametros_manuales!$L$105+parametros_manuales!$G$20*(datos_base!$C$5+datos_base!$C$21+IF(parametros_manuales!$H$20="Todos",datos_base!$C$12+datos_base!$C$26,0))*parametros_manuales!$L$110)*parametros_manuales!$I$20*parametros_manuales!$J$20</f>
        <v>437.44262652</v>
      </c>
      <c r="M30" s="9" t="n">
        <f aca="false">(parametros_manuales!$D$20*(datos_base!$C$2+datos_base!$C$18+IF(parametros_manuales!$H$20="Todos",datos_base!$C$9+datos_base!$C$23,0))*parametros_manuales!$M$95+parametros_manuales!$E$20*(datos_base!$C$3+datos_base!$C$19+IF(parametros_manuales!$H$20="Todos",datos_base!$C$10+datos_base!$C$24,0))*parametros_manuales!$M$100+parametros_manuales!$F$20*(datos_base!$C$4+datos_base!$C$20+IF(parametros_manuales!$H$20="Todos",datos_base!$C$11+datos_base!$C$25,0))*parametros_manuales!$M$105+parametros_manuales!$G$20*(datos_base!$C$5+datos_base!$C$21+IF(parametros_manuales!$H$20="Todos",datos_base!$C$12+datos_base!$C$26,0))*parametros_manuales!$M$110)*parametros_manuales!$I$20*parametros_manuales!$J$20</f>
        <v>437.44262652</v>
      </c>
      <c r="N30" s="9" t="n">
        <f aca="false">SUM(B30:M30)</f>
        <v>4860.473628</v>
      </c>
      <c r="O30" s="9" t="n">
        <f aca="false">MAX(B30:M30)</f>
        <v>437.44262652</v>
      </c>
      <c r="P30" s="43" t="n">
        <f aca="false">O30/(parametros_manuales!$B$7)</f>
        <v>2.9162841768</v>
      </c>
      <c r="Q30" s="8" t="str">
        <f aca="false">IF(O30=0,"-",INDEX($B$28:$M$28,MATCH(O30,B30:M30,0)))</f>
        <v>Ene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datos_base!$C$2+datos_base!$C$18+IF(parametros_manuales!$H$21="Todos",datos_base!$C$9+datos_base!$C$23,0))*parametros_manuales!$B$95+parametros_manuales!$E$21*(datos_base!$C$3+datos_base!$C$19+IF(parametros_manuales!$H$21="Todos",datos_base!$C$10+datos_base!$C$24,0))*parametros_manuales!$B$100+parametros_manuales!$F$21*(datos_base!$C$4+datos_base!$C$20+IF(parametros_manuales!$H$21="Todos",datos_base!$C$11+datos_base!$C$25,0))*parametros_manuales!$B$105+parametros_manuales!$G$21*(datos_base!$C$5+datos_base!$C$21+IF(parametros_manuales!$H$21="Todos",datos_base!$C$12+datos_base!$C$26,0))*parametros_manuales!$B$110)*parametros_manuales!$I$21*parametros_manuales!$J$21</f>
        <v>539.75735793</v>
      </c>
      <c r="C31" s="9" t="n">
        <f aca="false">(parametros_manuales!$D$21*(datos_base!$C$2+datos_base!$C$18+IF(parametros_manuales!$H$21="Todos",datos_base!$C$9+datos_base!$C$23,0))*parametros_manuales!$C$95+parametros_manuales!$E$21*(datos_base!$C$3+datos_base!$C$19+IF(parametros_manuales!$H$21="Todos",datos_base!$C$10+datos_base!$C$24,0))*parametros_manuales!$C$100+parametros_manuales!$F$21*(datos_base!$C$4+datos_base!$C$20+IF(parametros_manuales!$H$21="Todos",datos_base!$C$11+datos_base!$C$25,0))*parametros_manuales!$C$105+parametros_manuales!$G$21*(datos_base!$C$5+datos_base!$C$21+IF(parametros_manuales!$H$21="Todos",datos_base!$C$12+datos_base!$C$26,0))*parametros_manuales!$C$110)*parametros_manuales!$I$21*parametros_manuales!$J$21</f>
        <v>539.75735793</v>
      </c>
      <c r="D31" s="9" t="n">
        <f aca="false">(parametros_manuales!$D$21*(datos_base!$C$2+datos_base!$C$18+IF(parametros_manuales!$H$21="Todos",datos_base!$C$9+datos_base!$C$23,0))*parametros_manuales!$D$95+parametros_manuales!$E$21*(datos_base!$C$3+datos_base!$C$19+IF(parametros_manuales!$H$21="Todos",datos_base!$C$10+datos_base!$C$24,0))*parametros_manuales!$D$100+parametros_manuales!$F$21*(datos_base!$C$4+datos_base!$C$20+IF(parametros_manuales!$H$21="Todos",datos_base!$C$11+datos_base!$C$25,0))*parametros_manuales!$D$105+parametros_manuales!$G$21*(datos_base!$C$5+datos_base!$C$21+IF(parametros_manuales!$H$21="Todos",datos_base!$C$12+datos_base!$C$26,0))*parametros_manuales!$D$110)*parametros_manuales!$I$21*parametros_manuales!$J$21</f>
        <v>479.78431816</v>
      </c>
      <c r="E31" s="9" t="n">
        <f aca="false">(parametros_manuales!$D$21*(datos_base!$C$2+datos_base!$C$18+IF(parametros_manuales!$H$21="Todos",datos_base!$C$9+datos_base!$C$23,0))*parametros_manuales!$E$95+parametros_manuales!$E$21*(datos_base!$C$3+datos_base!$C$19+IF(parametros_manuales!$H$21="Todos",datos_base!$C$10+datos_base!$C$24,0))*parametros_manuales!$E$100+parametros_manuales!$F$21*(datos_base!$C$4+datos_base!$C$20+IF(parametros_manuales!$H$21="Todos",datos_base!$C$11+datos_base!$C$25,0))*parametros_manuales!$E$105+parametros_manuales!$G$21*(datos_base!$C$5+datos_base!$C$21+IF(parametros_manuales!$H$21="Todos",datos_base!$C$12+datos_base!$C$26,0))*parametros_manuales!$E$110)*parametros_manuales!$I$21*parametros_manuales!$J$21</f>
        <v>449.797798275</v>
      </c>
      <c r="F31" s="9" t="n">
        <f aca="false">(parametros_manuales!$D$21*(datos_base!$C$2+datos_base!$C$18+IF(parametros_manuales!$H$21="Todos",datos_base!$C$9+datos_base!$C$23,0))*parametros_manuales!$F$95+parametros_manuales!$E$21*(datos_base!$C$3+datos_base!$C$19+IF(parametros_manuales!$H$21="Todos",datos_base!$C$10+datos_base!$C$24,0))*parametros_manuales!$F$100+parametros_manuales!$F$21*(datos_base!$C$4+datos_base!$C$20+IF(parametros_manuales!$H$21="Todos",datos_base!$C$11+datos_base!$C$25,0))*parametros_manuales!$F$105+parametros_manuales!$G$21*(datos_base!$C$5+datos_base!$C$21+IF(parametros_manuales!$H$21="Todos",datos_base!$C$12+datos_base!$C$26,0))*parametros_manuales!$F$110)*parametros_manuales!$I$21*parametros_manuales!$J$21</f>
        <v>419.81127839</v>
      </c>
      <c r="G31" s="9" t="n">
        <f aca="false">(parametros_manuales!$D$21*(datos_base!$C$2+datos_base!$C$18+IF(parametros_manuales!$H$21="Todos",datos_base!$C$9+datos_base!$C$23,0))*parametros_manuales!$G$95+parametros_manuales!$E$21*(datos_base!$C$3+datos_base!$C$19+IF(parametros_manuales!$H$21="Todos",datos_base!$C$10+datos_base!$C$24,0))*parametros_manuales!$G$100+parametros_manuales!$F$21*(datos_base!$C$4+datos_base!$C$20+IF(parametros_manuales!$H$21="Todos",datos_base!$C$11+datos_base!$C$25,0))*parametros_manuales!$G$105+parametros_manuales!$G$21*(datos_base!$C$5+datos_base!$C$21+IF(parametros_manuales!$H$21="Todos",datos_base!$C$12+datos_base!$C$26,0))*parametros_manuales!$G$110)*parametros_manuales!$I$21*parametros_manuales!$J$21</f>
        <v>419.81127839</v>
      </c>
      <c r="H31" s="9" t="n">
        <f aca="false">(parametros_manuales!$D$21*(datos_base!$C$2+datos_base!$C$18+IF(parametros_manuales!$H$21="Todos",datos_base!$C$9+datos_base!$C$23,0))*parametros_manuales!$H$95+parametros_manuales!$E$21*(datos_base!$C$3+datos_base!$C$19+IF(parametros_manuales!$H$21="Todos",datos_base!$C$10+datos_base!$C$24,0))*parametros_manuales!$H$100+parametros_manuales!$F$21*(datos_base!$C$4+datos_base!$C$20+IF(parametros_manuales!$H$21="Todos",datos_base!$C$11+datos_base!$C$25,0))*parametros_manuales!$H$105+parametros_manuales!$G$21*(datos_base!$C$5+datos_base!$C$21+IF(parametros_manuales!$H$21="Todos",datos_base!$C$12+datos_base!$C$26,0))*parametros_manuales!$H$110)*parametros_manuales!$I$21*parametros_manuales!$J$21</f>
        <v>449.797798275</v>
      </c>
      <c r="I31" s="9" t="n">
        <f aca="false">(parametros_manuales!$D$21*(datos_base!$C$2+datos_base!$C$18+IF(parametros_manuales!$H$21="Todos",datos_base!$C$9+datos_base!$C$23,0))*parametros_manuales!$I$95+parametros_manuales!$E$21*(datos_base!$C$3+datos_base!$C$19+IF(parametros_manuales!$H$21="Todos",datos_base!$C$10+datos_base!$C$24,0))*parametros_manuales!$I$100+parametros_manuales!$F$21*(datos_base!$C$4+datos_base!$C$20+IF(parametros_manuales!$H$21="Todos",datos_base!$C$11+datos_base!$C$25,0))*parametros_manuales!$I$105+parametros_manuales!$G$21*(datos_base!$C$5+datos_base!$C$21+IF(parametros_manuales!$H$21="Todos",datos_base!$C$12+datos_base!$C$26,0))*parametros_manuales!$I$110)*parametros_manuales!$I$21*parametros_manuales!$J$21</f>
        <v>539.75735793</v>
      </c>
      <c r="J31" s="9" t="n">
        <f aca="false">(parametros_manuales!$D$21*(datos_base!$C$2+datos_base!$C$18+IF(parametros_manuales!$H$21="Todos",datos_base!$C$9+datos_base!$C$23,0))*parametros_manuales!$J$95+parametros_manuales!$E$21*(datos_base!$C$3+datos_base!$C$19+IF(parametros_manuales!$H$21="Todos",datos_base!$C$10+datos_base!$C$24,0))*parametros_manuales!$J$100+parametros_manuales!$F$21*(datos_base!$C$4+datos_base!$C$20+IF(parametros_manuales!$H$21="Todos",datos_base!$C$11+datos_base!$C$25,0))*parametros_manuales!$J$105+parametros_manuales!$G$21*(datos_base!$C$5+datos_base!$C$21+IF(parametros_manuales!$H$21="Todos",datos_base!$C$12+datos_base!$C$26,0))*parametros_manuales!$J$110)*parametros_manuales!$I$21*parametros_manuales!$J$21</f>
        <v>539.75735793</v>
      </c>
      <c r="K31" s="9" t="n">
        <f aca="false">(parametros_manuales!$D$21*(datos_base!$C$2+datos_base!$C$18+IF(parametros_manuales!$H$21="Todos",datos_base!$C$9+datos_base!$C$23,0))*parametros_manuales!$K$95+parametros_manuales!$E$21*(datos_base!$C$3+datos_base!$C$19+IF(parametros_manuales!$H$21="Todos",datos_base!$C$10+datos_base!$C$24,0))*parametros_manuales!$K$100+parametros_manuales!$F$21*(datos_base!$C$4+datos_base!$C$20+IF(parametros_manuales!$H$21="Todos",datos_base!$C$11+datos_base!$C$25,0))*parametros_manuales!$K$105+parametros_manuales!$G$21*(datos_base!$C$5+datos_base!$C$21+IF(parametros_manuales!$H$21="Todos",datos_base!$C$12+datos_base!$C$26,0))*parametros_manuales!$K$110)*parametros_manuales!$I$21*parametros_manuales!$J$21</f>
        <v>539.75735793</v>
      </c>
      <c r="L31" s="9" t="n">
        <f aca="false">(parametros_manuales!$D$21*(datos_base!$C$2+datos_base!$C$18+IF(parametros_manuales!$H$21="Todos",datos_base!$C$9+datos_base!$C$23,0))*parametros_manuales!$L$95+parametros_manuales!$E$21*(datos_base!$C$3+datos_base!$C$19+IF(parametros_manuales!$H$21="Todos",datos_base!$C$10+datos_base!$C$24,0))*parametros_manuales!$L$100+parametros_manuales!$F$21*(datos_base!$C$4+datos_base!$C$20+IF(parametros_manuales!$H$21="Todos",datos_base!$C$11+datos_base!$C$25,0))*parametros_manuales!$L$105+parametros_manuales!$G$21*(datos_base!$C$5+datos_base!$C$21+IF(parametros_manuales!$H$21="Todos",datos_base!$C$12+datos_base!$C$26,0))*parametros_manuales!$L$110)*parametros_manuales!$I$21*parametros_manuales!$J$21</f>
        <v>539.75735793</v>
      </c>
      <c r="M31" s="9" t="n">
        <f aca="false">(parametros_manuales!$D$21*(datos_base!$C$2+datos_base!$C$18+IF(parametros_manuales!$H$21="Todos",datos_base!$C$9+datos_base!$C$23,0))*parametros_manuales!$M$95+parametros_manuales!$E$21*(datos_base!$C$3+datos_base!$C$19+IF(parametros_manuales!$H$21="Todos",datos_base!$C$10+datos_base!$C$24,0))*parametros_manuales!$M$100+parametros_manuales!$F$21*(datos_base!$C$4+datos_base!$C$20+IF(parametros_manuales!$H$21="Todos",datos_base!$C$11+datos_base!$C$25,0))*parametros_manuales!$M$105+parametros_manuales!$G$21*(datos_base!$C$5+datos_base!$C$21+IF(parametros_manuales!$H$21="Todos",datos_base!$C$12+datos_base!$C$26,0))*parametros_manuales!$M$110)*parametros_manuales!$I$21*parametros_manuales!$J$21</f>
        <v>539.75735793</v>
      </c>
      <c r="N31" s="9" t="n">
        <f aca="false">SUM(B31:M31)</f>
        <v>5997.303977</v>
      </c>
      <c r="O31" s="9" t="n">
        <f aca="false">MAX(B31:M31)</f>
        <v>539.75735793</v>
      </c>
      <c r="P31" s="43" t="n">
        <f aca="false">O31/(parametros_manuales!$B$7)</f>
        <v>3.5983823862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datos_base!$C$2+datos_base!$C$18+IF(parametros_manuales!$H$22="Todos",datos_base!$C$9+datos_base!$C$23,0))*parametros_manuales!$B$95+parametros_manuales!$E$22*(datos_base!$C$3+datos_base!$C$19+IF(parametros_manuales!$H$22="Todos",datos_base!$C$10+datos_base!$C$24,0))*parametros_manuales!$B$100+parametros_manuales!$F$22*(datos_base!$C$4+datos_base!$C$20+IF(parametros_manuales!$H$22="Todos",datos_base!$C$11+datos_base!$C$25,0))*parametros_manuales!$B$105+parametros_manuales!$G$22*(datos_base!$C$5+datos_base!$C$21+IF(parametros_manuales!$H$22="Todos",datos_base!$C$12+datos_base!$C$26,0))*parametros_manuales!$B$110)*parametros_manuales!$I$22*parametros_manuales!$J$22</f>
        <v>1954.3999689</v>
      </c>
      <c r="C32" s="9" t="n">
        <f aca="false">(parametros_manuales!$D$22*(datos_base!$C$2+datos_base!$C$18+IF(parametros_manuales!$H$22="Todos",datos_base!$C$9+datos_base!$C$23,0))*parametros_manuales!$C$95+parametros_manuales!$E$22*(datos_base!$C$3+datos_base!$C$19+IF(parametros_manuales!$H$22="Todos",datos_base!$C$10+datos_base!$C$24,0))*parametros_manuales!$C$100+parametros_manuales!$F$22*(datos_base!$C$4+datos_base!$C$20+IF(parametros_manuales!$H$22="Todos",datos_base!$C$11+datos_base!$C$25,0))*parametros_manuales!$C$105+parametros_manuales!$G$22*(datos_base!$C$5+datos_base!$C$21+IF(parametros_manuales!$H$22="Todos",datos_base!$C$12+datos_base!$C$26,0))*parametros_manuales!$C$110)*parametros_manuales!$I$22*parametros_manuales!$J$22</f>
        <v>1857.19049634</v>
      </c>
      <c r="D32" s="9" t="n">
        <f aca="false">(parametros_manuales!$D$22*(datos_base!$C$2+datos_base!$C$18+IF(parametros_manuales!$H$22="Todos",datos_base!$C$9+datos_base!$C$23,0))*parametros_manuales!$D$95+parametros_manuales!$E$22*(datos_base!$C$3+datos_base!$C$19+IF(parametros_manuales!$H$22="Todos",datos_base!$C$10+datos_base!$C$24,0))*parametros_manuales!$D$100+parametros_manuales!$F$22*(datos_base!$C$4+datos_base!$C$20+IF(parametros_manuales!$H$22="Todos",datos_base!$C$11+datos_base!$C$25,0))*parametros_manuales!$D$105+parametros_manuales!$G$22*(datos_base!$C$5+datos_base!$C$21+IF(parametros_manuales!$H$22="Todos",datos_base!$C$12+datos_base!$C$26,0))*parametros_manuales!$D$110)*parametros_manuales!$I$22*parametros_manuales!$J$22</f>
        <v>1785.84915308</v>
      </c>
      <c r="E32" s="9" t="n">
        <f aca="false">(parametros_manuales!$D$22*(datos_base!$C$2+datos_base!$C$18+IF(parametros_manuales!$H$22="Todos",datos_base!$C$9+datos_base!$C$23,0))*parametros_manuales!$E$95+parametros_manuales!$E$22*(datos_base!$C$3+datos_base!$C$19+IF(parametros_manuales!$H$22="Todos",datos_base!$C$10+datos_base!$C$24,0))*parametros_manuales!$E$100+parametros_manuales!$F$22*(datos_base!$C$4+datos_base!$C$20+IF(parametros_manuales!$H$22="Todos",datos_base!$C$11+datos_base!$C$25,0))*parametros_manuales!$E$105+parametros_manuales!$G$22*(datos_base!$C$5+datos_base!$C$21+IF(parametros_manuales!$H$22="Todos",datos_base!$C$12+datos_base!$C$26,0))*parametros_manuales!$E$110)*parametros_manuales!$I$22*parametros_manuales!$J$22</f>
        <v>1725.87611331</v>
      </c>
      <c r="F32" s="9" t="n">
        <f aca="false">(parametros_manuales!$D$22*(datos_base!$C$2+datos_base!$C$18+IF(parametros_manuales!$H$22="Todos",datos_base!$C$9+datos_base!$C$23,0))*parametros_manuales!$F$95+parametros_manuales!$E$22*(datos_base!$C$3+datos_base!$C$19+IF(parametros_manuales!$H$22="Todos",datos_base!$C$10+datos_base!$C$24,0))*parametros_manuales!$F$100+parametros_manuales!$F$22*(datos_base!$C$4+datos_base!$C$20+IF(parametros_manuales!$H$22="Todos",datos_base!$C$11+datos_base!$C$25,0))*parametros_manuales!$F$105+parametros_manuales!$G$22*(datos_base!$C$5+datos_base!$C$21+IF(parametros_manuales!$H$22="Todos",datos_base!$C$12+datos_base!$C$26,0))*parametros_manuales!$F$110)*parametros_manuales!$I$22*parametros_manuales!$J$22</f>
        <v>1617.29833726</v>
      </c>
      <c r="G32" s="9" t="n">
        <f aca="false">(parametros_manuales!$D$22*(datos_base!$C$2+datos_base!$C$18+IF(parametros_manuales!$H$22="Todos",datos_base!$C$9+datos_base!$C$23,0))*parametros_manuales!$G$95+parametros_manuales!$E$22*(datos_base!$C$3+datos_base!$C$19+IF(parametros_manuales!$H$22="Todos",datos_base!$C$10+datos_base!$C$24,0))*parametros_manuales!$G$100+parametros_manuales!$F$22*(datos_base!$C$4+datos_base!$C$20+IF(parametros_manuales!$H$22="Todos",datos_base!$C$11+datos_base!$C$25,0))*parametros_manuales!$G$105+parametros_manuales!$G$22*(datos_base!$C$5+datos_base!$C$21+IF(parametros_manuales!$H$22="Todos",datos_base!$C$12+datos_base!$C$26,0))*parametros_manuales!$G$110)*parametros_manuales!$I$22*parametros_manuales!$J$22</f>
        <v>1568.69360098</v>
      </c>
      <c r="H32" s="9" t="n">
        <f aca="false">(parametros_manuales!$D$22*(datos_base!$C$2+datos_base!$C$18+IF(parametros_manuales!$H$22="Todos",datos_base!$C$9+datos_base!$C$23,0))*parametros_manuales!$H$95+parametros_manuales!$E$22*(datos_base!$C$3+datos_base!$C$19+IF(parametros_manuales!$H$22="Todos",datos_base!$C$10+datos_base!$C$24,0))*parametros_manuales!$H$100+parametros_manuales!$F$22*(datos_base!$C$4+datos_base!$C$20+IF(parametros_manuales!$H$22="Todos",datos_base!$C$11+datos_base!$C$25,0))*parametros_manuales!$H$105+parametros_manuales!$G$22*(datos_base!$C$5+datos_base!$C$21+IF(parametros_manuales!$H$22="Todos",datos_base!$C$12+datos_base!$C$26,0))*parametros_manuales!$H$110)*parametros_manuales!$I$22*parametros_manuales!$J$22</f>
        <v>1677.27137703</v>
      </c>
      <c r="I32" s="9" t="n">
        <f aca="false">(parametros_manuales!$D$22*(datos_base!$C$2+datos_base!$C$18+IF(parametros_manuales!$H$22="Todos",datos_base!$C$9+datos_base!$C$23,0))*parametros_manuales!$I$95+parametros_manuales!$E$22*(datos_base!$C$3+datos_base!$C$19+IF(parametros_manuales!$H$22="Todos",datos_base!$C$10+datos_base!$C$24,0))*parametros_manuales!$I$100+parametros_manuales!$F$22*(datos_base!$C$4+datos_base!$C$20+IF(parametros_manuales!$H$22="Todos",datos_base!$C$11+datos_base!$C$25,0))*parametros_manuales!$I$105+parametros_manuales!$G$22*(datos_base!$C$5+datos_base!$C$21+IF(parametros_manuales!$H$22="Todos",datos_base!$C$12+datos_base!$C$26,0))*parametros_manuales!$I$110)*parametros_manuales!$I$22*parametros_manuales!$J$22</f>
        <v>1857.19049634</v>
      </c>
      <c r="J32" s="9" t="n">
        <f aca="false">(parametros_manuales!$D$22*(datos_base!$C$2+datos_base!$C$18+IF(parametros_manuales!$H$22="Todos",datos_base!$C$9+datos_base!$C$23,0))*parametros_manuales!$J$95+parametros_manuales!$E$22*(datos_base!$C$3+datos_base!$C$19+IF(parametros_manuales!$H$22="Todos",datos_base!$C$10+datos_base!$C$24,0))*parametros_manuales!$J$100+parametros_manuales!$F$22*(datos_base!$C$4+datos_base!$C$20+IF(parametros_manuales!$H$22="Todos",datos_base!$C$11+datos_base!$C$25,0))*parametros_manuales!$J$105+parametros_manuales!$G$22*(datos_base!$C$5+datos_base!$C$21+IF(parametros_manuales!$H$22="Todos",datos_base!$C$12+datos_base!$C$26,0))*parametros_manuales!$J$110)*parametros_manuales!$I$22*parametros_manuales!$J$22</f>
        <v>1857.19049634</v>
      </c>
      <c r="K32" s="9" t="n">
        <f aca="false">(parametros_manuales!$D$22*(datos_base!$C$2+datos_base!$C$18+IF(parametros_manuales!$H$22="Todos",datos_base!$C$9+datos_base!$C$23,0))*parametros_manuales!$K$95+parametros_manuales!$E$22*(datos_base!$C$3+datos_base!$C$19+IF(parametros_manuales!$H$22="Todos",datos_base!$C$10+datos_base!$C$24,0))*parametros_manuales!$K$100+parametros_manuales!$F$22*(datos_base!$C$4+datos_base!$C$20+IF(parametros_manuales!$H$22="Todos",datos_base!$C$11+datos_base!$C$25,0))*parametros_manuales!$K$105+parametros_manuales!$G$22*(datos_base!$C$5+datos_base!$C$21+IF(parametros_manuales!$H$22="Todos",datos_base!$C$12+datos_base!$C$26,0))*parametros_manuales!$K$110)*parametros_manuales!$I$22*parametros_manuales!$J$22</f>
        <v>1905.79523262</v>
      </c>
      <c r="L32" s="9" t="n">
        <f aca="false">(parametros_manuales!$D$22*(datos_base!$C$2+datos_base!$C$18+IF(parametros_manuales!$H$22="Todos",datos_base!$C$9+datos_base!$C$23,0))*parametros_manuales!$L$95+parametros_manuales!$E$22*(datos_base!$C$3+datos_base!$C$19+IF(parametros_manuales!$H$22="Todos",datos_base!$C$10+datos_base!$C$24,0))*parametros_manuales!$L$100+parametros_manuales!$F$22*(datos_base!$C$4+datos_base!$C$20+IF(parametros_manuales!$H$22="Todos",datos_base!$C$11+datos_base!$C$25,0))*parametros_manuales!$L$105+parametros_manuales!$G$22*(datos_base!$C$5+datos_base!$C$21+IF(parametros_manuales!$H$22="Todos",datos_base!$C$12+datos_base!$C$26,0))*parametros_manuales!$L$110)*parametros_manuales!$I$22*parametros_manuales!$J$22</f>
        <v>1954.3999689</v>
      </c>
      <c r="M32" s="9" t="n">
        <f aca="false">(parametros_manuales!$D$22*(datos_base!$C$2+datos_base!$C$18+IF(parametros_manuales!$H$22="Todos",datos_base!$C$9+datos_base!$C$23,0))*parametros_manuales!$M$95+parametros_manuales!$E$22*(datos_base!$C$3+datos_base!$C$19+IF(parametros_manuales!$H$22="Todos",datos_base!$C$10+datos_base!$C$24,0))*parametros_manuales!$M$100+parametros_manuales!$F$22*(datos_base!$C$4+datos_base!$C$20+IF(parametros_manuales!$H$22="Todos",datos_base!$C$11+datos_base!$C$25,0))*parametros_manuales!$M$105+parametros_manuales!$G$22*(datos_base!$C$5+datos_base!$C$21+IF(parametros_manuales!$H$22="Todos",datos_base!$C$12+datos_base!$C$26,0))*parametros_manuales!$M$110)*parametros_manuales!$I$22*parametros_manuales!$J$22</f>
        <v>1954.3999689</v>
      </c>
      <c r="N32" s="9" t="n">
        <f aca="false">SUM(B32:M32)</f>
        <v>21715.55521</v>
      </c>
      <c r="O32" s="9" t="n">
        <f aca="false">MAX(B32:M32)</f>
        <v>1954.3999689</v>
      </c>
      <c r="P32" s="43" t="n">
        <f aca="false">O32/(parametros_manuales!$B$7)</f>
        <v>13.029333126</v>
      </c>
      <c r="Q32" s="8" t="str">
        <f aca="false">IF(O32=0,"-",INDEX($B$28:$M$28,MATCH(O32,B32:M32,0)))</f>
        <v>Ene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datos_base!$C$2+datos_base!$C$18+IF(parametros_manuales!$H$23="Todos",datos_base!$C$9+datos_base!$C$23,0))*parametros_manuales!$B$95+parametros_manuales!$E$23*(datos_base!$C$3+datos_base!$C$19+IF(parametros_manuales!$H$23="Todos",datos_base!$C$10+datos_base!$C$24,0))*parametros_manuales!$B$100+parametros_manuales!$F$23*(datos_base!$C$4+datos_base!$C$20+IF(parametros_manuales!$H$23="Todos",datos_base!$C$11+datos_base!$C$25,0))*parametros_manuales!$B$105+parametros_manuales!$G$23*(datos_base!$C$5+datos_base!$C$21+IF(parametros_manuales!$H$23="Todos",datos_base!$C$12+datos_base!$C$26,0))*parametros_manuales!$B$110)*parametros_manuales!$I$23*parametros_manuales!$J$23</f>
        <v>977.19998445</v>
      </c>
      <c r="C33" s="9" t="n">
        <f aca="false">(parametros_manuales!$D$23*(datos_base!$C$2+datos_base!$C$18+IF(parametros_manuales!$H$23="Todos",datos_base!$C$9+datos_base!$C$23,0))*parametros_manuales!$C$95+parametros_manuales!$E$23*(datos_base!$C$3+datos_base!$C$19+IF(parametros_manuales!$H$23="Todos",datos_base!$C$10+datos_base!$C$24,0))*parametros_manuales!$C$100+parametros_manuales!$F$23*(datos_base!$C$4+datos_base!$C$20+IF(parametros_manuales!$H$23="Todos",datos_base!$C$11+datos_base!$C$25,0))*parametros_manuales!$C$105+parametros_manuales!$G$23*(datos_base!$C$5+datos_base!$C$21+IF(parametros_manuales!$H$23="Todos",datos_base!$C$12+datos_base!$C$26,0))*parametros_manuales!$C$110)*parametros_manuales!$I$23*parametros_manuales!$J$23</f>
        <v>928.59524817</v>
      </c>
      <c r="D33" s="9" t="n">
        <f aca="false">(parametros_manuales!$D$23*(datos_base!$C$2+datos_base!$C$18+IF(parametros_manuales!$H$23="Todos",datos_base!$C$9+datos_base!$C$23,0))*parametros_manuales!$D$95+parametros_manuales!$E$23*(datos_base!$C$3+datos_base!$C$19+IF(parametros_manuales!$H$23="Todos",datos_base!$C$10+datos_base!$C$24,0))*parametros_manuales!$D$100+parametros_manuales!$F$23*(datos_base!$C$4+datos_base!$C$20+IF(parametros_manuales!$H$23="Todos",datos_base!$C$11+datos_base!$C$25,0))*parametros_manuales!$D$105+parametros_manuales!$G$23*(datos_base!$C$5+datos_base!$C$21+IF(parametros_manuales!$H$23="Todos",datos_base!$C$12+datos_base!$C$26,0))*parametros_manuales!$D$110)*parametros_manuales!$I$23*parametros_manuales!$J$23</f>
        <v>892.92457654</v>
      </c>
      <c r="E33" s="9" t="n">
        <f aca="false">(parametros_manuales!$D$23*(datos_base!$C$2+datos_base!$C$18+IF(parametros_manuales!$H$23="Todos",datos_base!$C$9+datos_base!$C$23,0))*parametros_manuales!$E$95+parametros_manuales!$E$23*(datos_base!$C$3+datos_base!$C$19+IF(parametros_manuales!$H$23="Todos",datos_base!$C$10+datos_base!$C$24,0))*parametros_manuales!$E$100+parametros_manuales!$F$23*(datos_base!$C$4+datos_base!$C$20+IF(parametros_manuales!$H$23="Todos",datos_base!$C$11+datos_base!$C$25,0))*parametros_manuales!$E$105+parametros_manuales!$G$23*(datos_base!$C$5+datos_base!$C$21+IF(parametros_manuales!$H$23="Todos",datos_base!$C$12+datos_base!$C$26,0))*parametros_manuales!$E$110)*parametros_manuales!$I$23*parametros_manuales!$J$23</f>
        <v>862.938056655</v>
      </c>
      <c r="F33" s="9" t="n">
        <f aca="false">(parametros_manuales!$D$23*(datos_base!$C$2+datos_base!$C$18+IF(parametros_manuales!$H$23="Todos",datos_base!$C$9+datos_base!$C$23,0))*parametros_manuales!$F$95+parametros_manuales!$E$23*(datos_base!$C$3+datos_base!$C$19+IF(parametros_manuales!$H$23="Todos",datos_base!$C$10+datos_base!$C$24,0))*parametros_manuales!$F$100+parametros_manuales!$F$23*(datos_base!$C$4+datos_base!$C$20+IF(parametros_manuales!$H$23="Todos",datos_base!$C$11+datos_base!$C$25,0))*parametros_manuales!$F$105+parametros_manuales!$G$23*(datos_base!$C$5+datos_base!$C$21+IF(parametros_manuales!$H$23="Todos",datos_base!$C$12+datos_base!$C$26,0))*parametros_manuales!$F$110)*parametros_manuales!$I$23*parametros_manuales!$J$23</f>
        <v>808.64916863</v>
      </c>
      <c r="G33" s="9" t="n">
        <f aca="false">(parametros_manuales!$D$23*(datos_base!$C$2+datos_base!$C$18+IF(parametros_manuales!$H$23="Todos",datos_base!$C$9+datos_base!$C$23,0))*parametros_manuales!$G$95+parametros_manuales!$E$23*(datos_base!$C$3+datos_base!$C$19+IF(parametros_manuales!$H$23="Todos",datos_base!$C$10+datos_base!$C$24,0))*parametros_manuales!$G$100+parametros_manuales!$F$23*(datos_base!$C$4+datos_base!$C$20+IF(parametros_manuales!$H$23="Todos",datos_base!$C$11+datos_base!$C$25,0))*parametros_manuales!$G$105+parametros_manuales!$G$23*(datos_base!$C$5+datos_base!$C$21+IF(parametros_manuales!$H$23="Todos",datos_base!$C$12+datos_base!$C$26,0))*parametros_manuales!$G$110)*parametros_manuales!$I$23*parametros_manuales!$J$23</f>
        <v>784.34680049</v>
      </c>
      <c r="H33" s="9" t="n">
        <f aca="false">(parametros_manuales!$D$23*(datos_base!$C$2+datos_base!$C$18+IF(parametros_manuales!$H$23="Todos",datos_base!$C$9+datos_base!$C$23,0))*parametros_manuales!$H$95+parametros_manuales!$E$23*(datos_base!$C$3+datos_base!$C$19+IF(parametros_manuales!$H$23="Todos",datos_base!$C$10+datos_base!$C$24,0))*parametros_manuales!$H$100+parametros_manuales!$F$23*(datos_base!$C$4+datos_base!$C$20+IF(parametros_manuales!$H$23="Todos",datos_base!$C$11+datos_base!$C$25,0))*parametros_manuales!$H$105+parametros_manuales!$G$23*(datos_base!$C$5+datos_base!$C$21+IF(parametros_manuales!$H$23="Todos",datos_base!$C$12+datos_base!$C$26,0))*parametros_manuales!$H$110)*parametros_manuales!$I$23*parametros_manuales!$J$23</f>
        <v>838.635688515</v>
      </c>
      <c r="I33" s="9" t="n">
        <f aca="false">(parametros_manuales!$D$23*(datos_base!$C$2+datos_base!$C$18+IF(parametros_manuales!$H$23="Todos",datos_base!$C$9+datos_base!$C$23,0))*parametros_manuales!$I$95+parametros_manuales!$E$23*(datos_base!$C$3+datos_base!$C$19+IF(parametros_manuales!$H$23="Todos",datos_base!$C$10+datos_base!$C$24,0))*parametros_manuales!$I$100+parametros_manuales!$F$23*(datos_base!$C$4+datos_base!$C$20+IF(parametros_manuales!$H$23="Todos",datos_base!$C$11+datos_base!$C$25,0))*parametros_manuales!$I$105+parametros_manuales!$G$23*(datos_base!$C$5+datos_base!$C$21+IF(parametros_manuales!$H$23="Todos",datos_base!$C$12+datos_base!$C$26,0))*parametros_manuales!$I$110)*parametros_manuales!$I$23*parametros_manuales!$J$23</f>
        <v>928.59524817</v>
      </c>
      <c r="J33" s="9" t="n">
        <f aca="false">(parametros_manuales!$D$23*(datos_base!$C$2+datos_base!$C$18+IF(parametros_manuales!$H$23="Todos",datos_base!$C$9+datos_base!$C$23,0))*parametros_manuales!$J$95+parametros_manuales!$E$23*(datos_base!$C$3+datos_base!$C$19+IF(parametros_manuales!$H$23="Todos",datos_base!$C$10+datos_base!$C$24,0))*parametros_manuales!$J$100+parametros_manuales!$F$23*(datos_base!$C$4+datos_base!$C$20+IF(parametros_manuales!$H$23="Todos",datos_base!$C$11+datos_base!$C$25,0))*parametros_manuales!$J$105+parametros_manuales!$G$23*(datos_base!$C$5+datos_base!$C$21+IF(parametros_manuales!$H$23="Todos",datos_base!$C$12+datos_base!$C$26,0))*parametros_manuales!$J$110)*parametros_manuales!$I$23*parametros_manuales!$J$23</f>
        <v>928.59524817</v>
      </c>
      <c r="K33" s="9" t="n">
        <f aca="false">(parametros_manuales!$D$23*(datos_base!$C$2+datos_base!$C$18+IF(parametros_manuales!$H$23="Todos",datos_base!$C$9+datos_base!$C$23,0))*parametros_manuales!$K$95+parametros_manuales!$E$23*(datos_base!$C$3+datos_base!$C$19+IF(parametros_manuales!$H$23="Todos",datos_base!$C$10+datos_base!$C$24,0))*parametros_manuales!$K$100+parametros_manuales!$F$23*(datos_base!$C$4+datos_base!$C$20+IF(parametros_manuales!$H$23="Todos",datos_base!$C$11+datos_base!$C$25,0))*parametros_manuales!$K$105+parametros_manuales!$G$23*(datos_base!$C$5+datos_base!$C$21+IF(parametros_manuales!$H$23="Todos",datos_base!$C$12+datos_base!$C$26,0))*parametros_manuales!$K$110)*parametros_manuales!$I$23*parametros_manuales!$J$23</f>
        <v>952.89761631</v>
      </c>
      <c r="L33" s="9" t="n">
        <f aca="false">(parametros_manuales!$D$23*(datos_base!$C$2+datos_base!$C$18+IF(parametros_manuales!$H$23="Todos",datos_base!$C$9+datos_base!$C$23,0))*parametros_manuales!$L$95+parametros_manuales!$E$23*(datos_base!$C$3+datos_base!$C$19+IF(parametros_manuales!$H$23="Todos",datos_base!$C$10+datos_base!$C$24,0))*parametros_manuales!$L$100+parametros_manuales!$F$23*(datos_base!$C$4+datos_base!$C$20+IF(parametros_manuales!$H$23="Todos",datos_base!$C$11+datos_base!$C$25,0))*parametros_manuales!$L$105+parametros_manuales!$G$23*(datos_base!$C$5+datos_base!$C$21+IF(parametros_manuales!$H$23="Todos",datos_base!$C$12+datos_base!$C$26,0))*parametros_manuales!$L$110)*parametros_manuales!$I$23*parametros_manuales!$J$23</f>
        <v>977.19998445</v>
      </c>
      <c r="M33" s="9" t="n">
        <f aca="false">(parametros_manuales!$D$23*(datos_base!$C$2+datos_base!$C$18+IF(parametros_manuales!$H$23="Todos",datos_base!$C$9+datos_base!$C$23,0))*parametros_manuales!$M$95+parametros_manuales!$E$23*(datos_base!$C$3+datos_base!$C$19+IF(parametros_manuales!$H$23="Todos",datos_base!$C$10+datos_base!$C$24,0))*parametros_manuales!$M$100+parametros_manuales!$F$23*(datos_base!$C$4+datos_base!$C$20+IF(parametros_manuales!$H$23="Todos",datos_base!$C$11+datos_base!$C$25,0))*parametros_manuales!$M$105+parametros_manuales!$G$23*(datos_base!$C$5+datos_base!$C$21+IF(parametros_manuales!$H$23="Todos",datos_base!$C$12+datos_base!$C$26,0))*parametros_manuales!$M$110)*parametros_manuales!$I$23*parametros_manuales!$J$23</f>
        <v>977.19998445</v>
      </c>
      <c r="N33" s="9" t="n">
        <f aca="false">SUM(B33:M33)</f>
        <v>10857.777605</v>
      </c>
      <c r="O33" s="9" t="n">
        <f aca="false">MAX(B33:M33)</f>
        <v>977.19998445</v>
      </c>
      <c r="P33" s="43" t="n">
        <f aca="false">O33/(parametros_manuales!$B$7)</f>
        <v>6.514666563</v>
      </c>
      <c r="Q33" s="8" t="str">
        <f aca="false">IF(O33=0,"-",INDEX($B$28:$M$28,MATCH(O33,B33:M33,0)))</f>
        <v>Ene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datos_base!$C$2+datos_base!$C$18+IF(parametros_manuales!$H$24="Todos",datos_base!$C$9+datos_base!$C$23,0))*parametros_manuales!$B$95+parametros_manuales!$E$24*(datos_base!$C$3+datos_base!$C$19+IF(parametros_manuales!$H$24="Todos",datos_base!$C$10+datos_base!$C$24,0))*parametros_manuales!$B$100+parametros_manuales!$F$24*(datos_base!$C$4+datos_base!$C$20+IF(parametros_manuales!$H$24="Todos",datos_base!$C$11+datos_base!$C$25,0))*parametros_manuales!$B$105+parametros_manuales!$G$24*(datos_base!$C$5+datos_base!$C$21+IF(parametros_manuales!$H$24="Todos",datos_base!$C$12+datos_base!$C$26,0))*parametros_manuales!$B$110)*parametros_manuales!$I$24*parametros_manuales!$J$24</f>
        <v>977.19998445</v>
      </c>
      <c r="C34" s="9" t="n">
        <f aca="false">(parametros_manuales!$D$24*(datos_base!$C$2+datos_base!$C$18+IF(parametros_manuales!$H$24="Todos",datos_base!$C$9+datos_base!$C$23,0))*parametros_manuales!$C$95+parametros_manuales!$E$24*(datos_base!$C$3+datos_base!$C$19+IF(parametros_manuales!$H$24="Todos",datos_base!$C$10+datos_base!$C$24,0))*parametros_manuales!$C$100+parametros_manuales!$F$24*(datos_base!$C$4+datos_base!$C$20+IF(parametros_manuales!$H$24="Todos",datos_base!$C$11+datos_base!$C$25,0))*parametros_manuales!$C$105+parametros_manuales!$G$24*(datos_base!$C$5+datos_base!$C$21+IF(parametros_manuales!$H$24="Todos",datos_base!$C$12+datos_base!$C$26,0))*parametros_manuales!$C$110)*parametros_manuales!$I$24*parametros_manuales!$J$24</f>
        <v>928.59524817</v>
      </c>
      <c r="D34" s="9" t="n">
        <f aca="false">(parametros_manuales!$D$24*(datos_base!$C$2+datos_base!$C$18+IF(parametros_manuales!$H$24="Todos",datos_base!$C$9+datos_base!$C$23,0))*parametros_manuales!$D$95+parametros_manuales!$E$24*(datos_base!$C$3+datos_base!$C$19+IF(parametros_manuales!$H$24="Todos",datos_base!$C$10+datos_base!$C$24,0))*parametros_manuales!$D$100+parametros_manuales!$F$24*(datos_base!$C$4+datos_base!$C$20+IF(parametros_manuales!$H$24="Todos",datos_base!$C$11+datos_base!$C$25,0))*parametros_manuales!$D$105+parametros_manuales!$G$24*(datos_base!$C$5+datos_base!$C$21+IF(parametros_manuales!$H$24="Todos",datos_base!$C$12+datos_base!$C$26,0))*parametros_manuales!$D$110)*parametros_manuales!$I$24*parametros_manuales!$J$24</f>
        <v>892.92457654</v>
      </c>
      <c r="E34" s="9" t="n">
        <f aca="false">(parametros_manuales!$D$24*(datos_base!$C$2+datos_base!$C$18+IF(parametros_manuales!$H$24="Todos",datos_base!$C$9+datos_base!$C$23,0))*parametros_manuales!$E$95+parametros_manuales!$E$24*(datos_base!$C$3+datos_base!$C$19+IF(parametros_manuales!$H$24="Todos",datos_base!$C$10+datos_base!$C$24,0))*parametros_manuales!$E$100+parametros_manuales!$F$24*(datos_base!$C$4+datos_base!$C$20+IF(parametros_manuales!$H$24="Todos",datos_base!$C$11+datos_base!$C$25,0))*parametros_manuales!$E$105+parametros_manuales!$G$24*(datos_base!$C$5+datos_base!$C$21+IF(parametros_manuales!$H$24="Todos",datos_base!$C$12+datos_base!$C$26,0))*parametros_manuales!$E$110)*parametros_manuales!$I$24*parametros_manuales!$J$24</f>
        <v>862.938056655</v>
      </c>
      <c r="F34" s="9" t="n">
        <f aca="false">(parametros_manuales!$D$24*(datos_base!$C$2+datos_base!$C$18+IF(parametros_manuales!$H$24="Todos",datos_base!$C$9+datos_base!$C$23,0))*parametros_manuales!$F$95+parametros_manuales!$E$24*(datos_base!$C$3+datos_base!$C$19+IF(parametros_manuales!$H$24="Todos",datos_base!$C$10+datos_base!$C$24,0))*parametros_manuales!$F$100+parametros_manuales!$F$24*(datos_base!$C$4+datos_base!$C$20+IF(parametros_manuales!$H$24="Todos",datos_base!$C$11+datos_base!$C$25,0))*parametros_manuales!$F$105+parametros_manuales!$G$24*(datos_base!$C$5+datos_base!$C$21+IF(parametros_manuales!$H$24="Todos",datos_base!$C$12+datos_base!$C$26,0))*parametros_manuales!$F$110)*parametros_manuales!$I$24*parametros_manuales!$J$24</f>
        <v>808.64916863</v>
      </c>
      <c r="G34" s="9" t="n">
        <f aca="false">(parametros_manuales!$D$24*(datos_base!$C$2+datos_base!$C$18+IF(parametros_manuales!$H$24="Todos",datos_base!$C$9+datos_base!$C$23,0))*parametros_manuales!$G$95+parametros_manuales!$E$24*(datos_base!$C$3+datos_base!$C$19+IF(parametros_manuales!$H$24="Todos",datos_base!$C$10+datos_base!$C$24,0))*parametros_manuales!$G$100+parametros_manuales!$F$24*(datos_base!$C$4+datos_base!$C$20+IF(parametros_manuales!$H$24="Todos",datos_base!$C$11+datos_base!$C$25,0))*parametros_manuales!$G$105+parametros_manuales!$G$24*(datos_base!$C$5+datos_base!$C$21+IF(parametros_manuales!$H$24="Todos",datos_base!$C$12+datos_base!$C$26,0))*parametros_manuales!$G$110)*parametros_manuales!$I$24*parametros_manuales!$J$24</f>
        <v>784.34680049</v>
      </c>
      <c r="H34" s="9" t="n">
        <f aca="false">(parametros_manuales!$D$24*(datos_base!$C$2+datos_base!$C$18+IF(parametros_manuales!$H$24="Todos",datos_base!$C$9+datos_base!$C$23,0))*parametros_manuales!$H$95+parametros_manuales!$E$24*(datos_base!$C$3+datos_base!$C$19+IF(parametros_manuales!$H$24="Todos",datos_base!$C$10+datos_base!$C$24,0))*parametros_manuales!$H$100+parametros_manuales!$F$24*(datos_base!$C$4+datos_base!$C$20+IF(parametros_manuales!$H$24="Todos",datos_base!$C$11+datos_base!$C$25,0))*parametros_manuales!$H$105+parametros_manuales!$G$24*(datos_base!$C$5+datos_base!$C$21+IF(parametros_manuales!$H$24="Todos",datos_base!$C$12+datos_base!$C$26,0))*parametros_manuales!$H$110)*parametros_manuales!$I$24*parametros_manuales!$J$24</f>
        <v>838.635688515</v>
      </c>
      <c r="I34" s="9" t="n">
        <f aca="false">(parametros_manuales!$D$24*(datos_base!$C$2+datos_base!$C$18+IF(parametros_manuales!$H$24="Todos",datos_base!$C$9+datos_base!$C$23,0))*parametros_manuales!$I$95+parametros_manuales!$E$24*(datos_base!$C$3+datos_base!$C$19+IF(parametros_manuales!$H$24="Todos",datos_base!$C$10+datos_base!$C$24,0))*parametros_manuales!$I$100+parametros_manuales!$F$24*(datos_base!$C$4+datos_base!$C$20+IF(parametros_manuales!$H$24="Todos",datos_base!$C$11+datos_base!$C$25,0))*parametros_manuales!$I$105+parametros_manuales!$G$24*(datos_base!$C$5+datos_base!$C$21+IF(parametros_manuales!$H$24="Todos",datos_base!$C$12+datos_base!$C$26,0))*parametros_manuales!$I$110)*parametros_manuales!$I$24*parametros_manuales!$J$24</f>
        <v>928.59524817</v>
      </c>
      <c r="J34" s="9" t="n">
        <f aca="false">(parametros_manuales!$D$24*(datos_base!$C$2+datos_base!$C$18+IF(parametros_manuales!$H$24="Todos",datos_base!$C$9+datos_base!$C$23,0))*parametros_manuales!$J$95+parametros_manuales!$E$24*(datos_base!$C$3+datos_base!$C$19+IF(parametros_manuales!$H$24="Todos",datos_base!$C$10+datos_base!$C$24,0))*parametros_manuales!$J$100+parametros_manuales!$F$24*(datos_base!$C$4+datos_base!$C$20+IF(parametros_manuales!$H$24="Todos",datos_base!$C$11+datos_base!$C$25,0))*parametros_manuales!$J$105+parametros_manuales!$G$24*(datos_base!$C$5+datos_base!$C$21+IF(parametros_manuales!$H$24="Todos",datos_base!$C$12+datos_base!$C$26,0))*parametros_manuales!$J$110)*parametros_manuales!$I$24*parametros_manuales!$J$24</f>
        <v>928.59524817</v>
      </c>
      <c r="K34" s="9" t="n">
        <f aca="false">(parametros_manuales!$D$24*(datos_base!$C$2+datos_base!$C$18+IF(parametros_manuales!$H$24="Todos",datos_base!$C$9+datos_base!$C$23,0))*parametros_manuales!$K$95+parametros_manuales!$E$24*(datos_base!$C$3+datos_base!$C$19+IF(parametros_manuales!$H$24="Todos",datos_base!$C$10+datos_base!$C$24,0))*parametros_manuales!$K$100+parametros_manuales!$F$24*(datos_base!$C$4+datos_base!$C$20+IF(parametros_manuales!$H$24="Todos",datos_base!$C$11+datos_base!$C$25,0))*parametros_manuales!$K$105+parametros_manuales!$G$24*(datos_base!$C$5+datos_base!$C$21+IF(parametros_manuales!$H$24="Todos",datos_base!$C$12+datos_base!$C$26,0))*parametros_manuales!$K$110)*parametros_manuales!$I$24*parametros_manuales!$J$24</f>
        <v>952.89761631</v>
      </c>
      <c r="L34" s="9" t="n">
        <f aca="false">(parametros_manuales!$D$24*(datos_base!$C$2+datos_base!$C$18+IF(parametros_manuales!$H$24="Todos",datos_base!$C$9+datos_base!$C$23,0))*parametros_manuales!$L$95+parametros_manuales!$E$24*(datos_base!$C$3+datos_base!$C$19+IF(parametros_manuales!$H$24="Todos",datos_base!$C$10+datos_base!$C$24,0))*parametros_manuales!$L$100+parametros_manuales!$F$24*(datos_base!$C$4+datos_base!$C$20+IF(parametros_manuales!$H$24="Todos",datos_base!$C$11+datos_base!$C$25,0))*parametros_manuales!$L$105+parametros_manuales!$G$24*(datos_base!$C$5+datos_base!$C$21+IF(parametros_manuales!$H$24="Todos",datos_base!$C$12+datos_base!$C$26,0))*parametros_manuales!$L$110)*parametros_manuales!$I$24*parametros_manuales!$J$24</f>
        <v>977.19998445</v>
      </c>
      <c r="M34" s="9" t="n">
        <f aca="false">(parametros_manuales!$D$24*(datos_base!$C$2+datos_base!$C$18+IF(parametros_manuales!$H$24="Todos",datos_base!$C$9+datos_base!$C$23,0))*parametros_manuales!$M$95+parametros_manuales!$E$24*(datos_base!$C$3+datos_base!$C$19+IF(parametros_manuales!$H$24="Todos",datos_base!$C$10+datos_base!$C$24,0))*parametros_manuales!$M$100+parametros_manuales!$F$24*(datos_base!$C$4+datos_base!$C$20+IF(parametros_manuales!$H$24="Todos",datos_base!$C$11+datos_base!$C$25,0))*parametros_manuales!$M$105+parametros_manuales!$G$24*(datos_base!$C$5+datos_base!$C$21+IF(parametros_manuales!$H$24="Todos",datos_base!$C$12+datos_base!$C$26,0))*parametros_manuales!$M$110)*parametros_manuales!$I$24*parametros_manuales!$J$24</f>
        <v>977.19998445</v>
      </c>
      <c r="N34" s="9" t="n">
        <f aca="false">SUM(B34:M34)</f>
        <v>10857.777605</v>
      </c>
      <c r="O34" s="9" t="n">
        <f aca="false">MAX(B34:M34)</f>
        <v>977.19998445</v>
      </c>
      <c r="P34" s="43" t="n">
        <f aca="false">O34/(parametros_manuales!$B$7)</f>
        <v>6.514666563</v>
      </c>
      <c r="Q34" s="8" t="str">
        <f aca="false">IF(O34=0,"-",INDEX($B$28:$M$28,MATCH(O34,B34:M34,0)))</f>
        <v>Ene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datos_base!$C$2+datos_base!$C$18+IF(parametros_manuales!$H$25="Todos",datos_base!$C$9+datos_base!$C$23,0))*parametros_manuales!$B$95+parametros_manuales!$E$25*(datos_base!$C$3+datos_base!$C$19+IF(parametros_manuales!$H$25="Todos",datos_base!$C$10+datos_base!$C$24,0))*parametros_manuales!$B$100+parametros_manuales!$F$25*(datos_base!$C$4+datos_base!$C$20+IF(parametros_manuales!$H$25="Todos",datos_base!$C$11+datos_base!$C$25,0))*parametros_manuales!$B$105+parametros_manuales!$G$25*(datos_base!$C$5+datos_base!$C$21+IF(parametros_manuales!$H$25="Todos",datos_base!$C$12+datos_base!$C$26,0))*parametros_manuales!$B$110)*parametros_manuales!$I$25*parametros_manuales!$J$25</f>
        <v>977.19998445</v>
      </c>
      <c r="C35" s="9" t="n">
        <f aca="false">(parametros_manuales!$D$25*(datos_base!$C$2+datos_base!$C$18+IF(parametros_manuales!$H$25="Todos",datos_base!$C$9+datos_base!$C$23,0))*parametros_manuales!$C$95+parametros_manuales!$E$25*(datos_base!$C$3+datos_base!$C$19+IF(parametros_manuales!$H$25="Todos",datos_base!$C$10+datos_base!$C$24,0))*parametros_manuales!$C$100+parametros_manuales!$F$25*(datos_base!$C$4+datos_base!$C$20+IF(parametros_manuales!$H$25="Todos",datos_base!$C$11+datos_base!$C$25,0))*parametros_manuales!$C$105+parametros_manuales!$G$25*(datos_base!$C$5+datos_base!$C$21+IF(parametros_manuales!$H$25="Todos",datos_base!$C$12+datos_base!$C$26,0))*parametros_manuales!$C$110)*parametros_manuales!$I$25*parametros_manuales!$J$25</f>
        <v>928.59524817</v>
      </c>
      <c r="D35" s="9" t="n">
        <f aca="false">(parametros_manuales!$D$25*(datos_base!$C$2+datos_base!$C$18+IF(parametros_manuales!$H$25="Todos",datos_base!$C$9+datos_base!$C$23,0))*parametros_manuales!$D$95+parametros_manuales!$E$25*(datos_base!$C$3+datos_base!$C$19+IF(parametros_manuales!$H$25="Todos",datos_base!$C$10+datos_base!$C$24,0))*parametros_manuales!$D$100+parametros_manuales!$F$25*(datos_base!$C$4+datos_base!$C$20+IF(parametros_manuales!$H$25="Todos",datos_base!$C$11+datos_base!$C$25,0))*parametros_manuales!$D$105+parametros_manuales!$G$25*(datos_base!$C$5+datos_base!$C$21+IF(parametros_manuales!$H$25="Todos",datos_base!$C$12+datos_base!$C$26,0))*parametros_manuales!$D$110)*parametros_manuales!$I$25*parametros_manuales!$J$25</f>
        <v>892.92457654</v>
      </c>
      <c r="E35" s="9" t="n">
        <f aca="false">(parametros_manuales!$D$25*(datos_base!$C$2+datos_base!$C$18+IF(parametros_manuales!$H$25="Todos",datos_base!$C$9+datos_base!$C$23,0))*parametros_manuales!$E$95+parametros_manuales!$E$25*(datos_base!$C$3+datos_base!$C$19+IF(parametros_manuales!$H$25="Todos",datos_base!$C$10+datos_base!$C$24,0))*parametros_manuales!$E$100+parametros_manuales!$F$25*(datos_base!$C$4+datos_base!$C$20+IF(parametros_manuales!$H$25="Todos",datos_base!$C$11+datos_base!$C$25,0))*parametros_manuales!$E$105+parametros_manuales!$G$25*(datos_base!$C$5+datos_base!$C$21+IF(parametros_manuales!$H$25="Todos",datos_base!$C$12+datos_base!$C$26,0))*parametros_manuales!$E$110)*parametros_manuales!$I$25*parametros_manuales!$J$25</f>
        <v>862.938056655</v>
      </c>
      <c r="F35" s="9" t="n">
        <f aca="false">(parametros_manuales!$D$25*(datos_base!$C$2+datos_base!$C$18+IF(parametros_manuales!$H$25="Todos",datos_base!$C$9+datos_base!$C$23,0))*parametros_manuales!$F$95+parametros_manuales!$E$25*(datos_base!$C$3+datos_base!$C$19+IF(parametros_manuales!$H$25="Todos",datos_base!$C$10+datos_base!$C$24,0))*parametros_manuales!$F$100+parametros_manuales!$F$25*(datos_base!$C$4+datos_base!$C$20+IF(parametros_manuales!$H$25="Todos",datos_base!$C$11+datos_base!$C$25,0))*parametros_manuales!$F$105+parametros_manuales!$G$25*(datos_base!$C$5+datos_base!$C$21+IF(parametros_manuales!$H$25="Todos",datos_base!$C$12+datos_base!$C$26,0))*parametros_manuales!$F$110)*parametros_manuales!$I$25*parametros_manuales!$J$25</f>
        <v>808.64916863</v>
      </c>
      <c r="G35" s="9" t="n">
        <f aca="false">(parametros_manuales!$D$25*(datos_base!$C$2+datos_base!$C$18+IF(parametros_manuales!$H$25="Todos",datos_base!$C$9+datos_base!$C$23,0))*parametros_manuales!$G$95+parametros_manuales!$E$25*(datos_base!$C$3+datos_base!$C$19+IF(parametros_manuales!$H$25="Todos",datos_base!$C$10+datos_base!$C$24,0))*parametros_manuales!$G$100+parametros_manuales!$F$25*(datos_base!$C$4+datos_base!$C$20+IF(parametros_manuales!$H$25="Todos",datos_base!$C$11+datos_base!$C$25,0))*parametros_manuales!$G$105+parametros_manuales!$G$25*(datos_base!$C$5+datos_base!$C$21+IF(parametros_manuales!$H$25="Todos",datos_base!$C$12+datos_base!$C$26,0))*parametros_manuales!$G$110)*parametros_manuales!$I$25*parametros_manuales!$J$25</f>
        <v>784.34680049</v>
      </c>
      <c r="H35" s="9" t="n">
        <f aca="false">(parametros_manuales!$D$25*(datos_base!$C$2+datos_base!$C$18+IF(parametros_manuales!$H$25="Todos",datos_base!$C$9+datos_base!$C$23,0))*parametros_manuales!$H$95+parametros_manuales!$E$25*(datos_base!$C$3+datos_base!$C$19+IF(parametros_manuales!$H$25="Todos",datos_base!$C$10+datos_base!$C$24,0))*parametros_manuales!$H$100+parametros_manuales!$F$25*(datos_base!$C$4+datos_base!$C$20+IF(parametros_manuales!$H$25="Todos",datos_base!$C$11+datos_base!$C$25,0))*parametros_manuales!$H$105+parametros_manuales!$G$25*(datos_base!$C$5+datos_base!$C$21+IF(parametros_manuales!$H$25="Todos",datos_base!$C$12+datos_base!$C$26,0))*parametros_manuales!$H$110)*parametros_manuales!$I$25*parametros_manuales!$J$25</f>
        <v>838.635688515</v>
      </c>
      <c r="I35" s="9" t="n">
        <f aca="false">(parametros_manuales!$D$25*(datos_base!$C$2+datos_base!$C$18+IF(parametros_manuales!$H$25="Todos",datos_base!$C$9+datos_base!$C$23,0))*parametros_manuales!$I$95+parametros_manuales!$E$25*(datos_base!$C$3+datos_base!$C$19+IF(parametros_manuales!$H$25="Todos",datos_base!$C$10+datos_base!$C$24,0))*parametros_manuales!$I$100+parametros_manuales!$F$25*(datos_base!$C$4+datos_base!$C$20+IF(parametros_manuales!$H$25="Todos",datos_base!$C$11+datos_base!$C$25,0))*parametros_manuales!$I$105+parametros_manuales!$G$25*(datos_base!$C$5+datos_base!$C$21+IF(parametros_manuales!$H$25="Todos",datos_base!$C$12+datos_base!$C$26,0))*parametros_manuales!$I$110)*parametros_manuales!$I$25*parametros_manuales!$J$25</f>
        <v>928.59524817</v>
      </c>
      <c r="J35" s="9" t="n">
        <f aca="false">(parametros_manuales!$D$25*(datos_base!$C$2+datos_base!$C$18+IF(parametros_manuales!$H$25="Todos",datos_base!$C$9+datos_base!$C$23,0))*parametros_manuales!$J$95+parametros_manuales!$E$25*(datos_base!$C$3+datos_base!$C$19+IF(parametros_manuales!$H$25="Todos",datos_base!$C$10+datos_base!$C$24,0))*parametros_manuales!$J$100+parametros_manuales!$F$25*(datos_base!$C$4+datos_base!$C$20+IF(parametros_manuales!$H$25="Todos",datos_base!$C$11+datos_base!$C$25,0))*parametros_manuales!$J$105+parametros_manuales!$G$25*(datos_base!$C$5+datos_base!$C$21+IF(parametros_manuales!$H$25="Todos",datos_base!$C$12+datos_base!$C$26,0))*parametros_manuales!$J$110)*parametros_manuales!$I$25*parametros_manuales!$J$25</f>
        <v>928.59524817</v>
      </c>
      <c r="K35" s="9" t="n">
        <f aca="false">(parametros_manuales!$D$25*(datos_base!$C$2+datos_base!$C$18+IF(parametros_manuales!$H$25="Todos",datos_base!$C$9+datos_base!$C$23,0))*parametros_manuales!$K$95+parametros_manuales!$E$25*(datos_base!$C$3+datos_base!$C$19+IF(parametros_manuales!$H$25="Todos",datos_base!$C$10+datos_base!$C$24,0))*parametros_manuales!$K$100+parametros_manuales!$F$25*(datos_base!$C$4+datos_base!$C$20+IF(parametros_manuales!$H$25="Todos",datos_base!$C$11+datos_base!$C$25,0))*parametros_manuales!$K$105+parametros_manuales!$G$25*(datos_base!$C$5+datos_base!$C$21+IF(parametros_manuales!$H$25="Todos",datos_base!$C$12+datos_base!$C$26,0))*parametros_manuales!$K$110)*parametros_manuales!$I$25*parametros_manuales!$J$25</f>
        <v>952.89761631</v>
      </c>
      <c r="L35" s="9" t="n">
        <f aca="false">(parametros_manuales!$D$25*(datos_base!$C$2+datos_base!$C$18+IF(parametros_manuales!$H$25="Todos",datos_base!$C$9+datos_base!$C$23,0))*parametros_manuales!$L$95+parametros_manuales!$E$25*(datos_base!$C$3+datos_base!$C$19+IF(parametros_manuales!$H$25="Todos",datos_base!$C$10+datos_base!$C$24,0))*parametros_manuales!$L$100+parametros_manuales!$F$25*(datos_base!$C$4+datos_base!$C$20+IF(parametros_manuales!$H$25="Todos",datos_base!$C$11+datos_base!$C$25,0))*parametros_manuales!$L$105+parametros_manuales!$G$25*(datos_base!$C$5+datos_base!$C$21+IF(parametros_manuales!$H$25="Todos",datos_base!$C$12+datos_base!$C$26,0))*parametros_manuales!$L$110)*parametros_manuales!$I$25*parametros_manuales!$J$25</f>
        <v>977.19998445</v>
      </c>
      <c r="M35" s="9" t="n">
        <f aca="false">(parametros_manuales!$D$25*(datos_base!$C$2+datos_base!$C$18+IF(parametros_manuales!$H$25="Todos",datos_base!$C$9+datos_base!$C$23,0))*parametros_manuales!$M$95+parametros_manuales!$E$25*(datos_base!$C$3+datos_base!$C$19+IF(parametros_manuales!$H$25="Todos",datos_base!$C$10+datos_base!$C$24,0))*parametros_manuales!$M$100+parametros_manuales!$F$25*(datos_base!$C$4+datos_base!$C$20+IF(parametros_manuales!$H$25="Todos",datos_base!$C$11+datos_base!$C$25,0))*parametros_manuales!$M$105+parametros_manuales!$G$25*(datos_base!$C$5+datos_base!$C$21+IF(parametros_manuales!$H$25="Todos",datos_base!$C$12+datos_base!$C$26,0))*parametros_manuales!$M$110)*parametros_manuales!$I$25*parametros_manuales!$J$25</f>
        <v>977.19998445</v>
      </c>
      <c r="N35" s="9" t="n">
        <f aca="false">SUM(B35:M35)</f>
        <v>10857.777605</v>
      </c>
      <c r="O35" s="9" t="n">
        <f aca="false">MAX(B35:M35)</f>
        <v>977.19998445</v>
      </c>
      <c r="P35" s="43" t="n">
        <f aca="false">O35/(parametros_manuales!$B$7)</f>
        <v>6.514666563</v>
      </c>
      <c r="Q35" s="8" t="str">
        <f aca="false">IF(O35=0,"-",INDEX($B$28:$M$28,MATCH(O35,B35:M35,0)))</f>
        <v>Ene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datos_base!$C$2+datos_base!$C$18+IF(parametros_manuales!$H$26="Todos",datos_base!$C$9+datos_base!$C$23,0))*parametros_manuales!$B$95+parametros_manuales!$E$26*(datos_base!$C$3+datos_base!$C$19+IF(parametros_manuales!$H$26="Todos",datos_base!$C$10+datos_base!$C$24,0))*parametros_manuales!$B$100+parametros_manuales!$F$26*(datos_base!$C$4+datos_base!$C$20+IF(parametros_manuales!$H$26="Todos",datos_base!$C$11+datos_base!$C$25,0))*parametros_manuales!$B$105+parametros_manuales!$G$26*(datos_base!$C$5+datos_base!$C$21+IF(parametros_manuales!$H$26="Todos",datos_base!$C$12+datos_base!$C$26,0))*parametros_manuales!$B$110)*parametros_manuales!$I$26*parametros_manuales!$J$26</f>
        <v>437.44262652</v>
      </c>
      <c r="C36" s="9" t="n">
        <f aca="false">(parametros_manuales!$D$26*(datos_base!$C$2+datos_base!$C$18+IF(parametros_manuales!$H$26="Todos",datos_base!$C$9+datos_base!$C$23,0))*parametros_manuales!$C$95+parametros_manuales!$E$26*(datos_base!$C$3+datos_base!$C$19+IF(parametros_manuales!$H$26="Todos",datos_base!$C$10+datos_base!$C$24,0))*parametros_manuales!$C$100+parametros_manuales!$F$26*(datos_base!$C$4+datos_base!$C$20+IF(parametros_manuales!$H$26="Todos",datos_base!$C$11+datos_base!$C$25,0))*parametros_manuales!$C$105+parametros_manuales!$G$26*(datos_base!$C$5+datos_base!$C$21+IF(parametros_manuales!$H$26="Todos",datos_base!$C$12+datos_base!$C$26,0))*parametros_manuales!$C$110)*parametros_manuales!$I$26*parametros_manuales!$J$26</f>
        <v>388.83789024</v>
      </c>
      <c r="D36" s="9" t="n">
        <f aca="false">(parametros_manuales!$D$26*(datos_base!$C$2+datos_base!$C$18+IF(parametros_manuales!$H$26="Todos",datos_base!$C$9+datos_base!$C$23,0))*parametros_manuales!$D$95+parametros_manuales!$E$26*(datos_base!$C$3+datos_base!$C$19+IF(parametros_manuales!$H$26="Todos",datos_base!$C$10+datos_base!$C$24,0))*parametros_manuales!$D$100+parametros_manuales!$F$26*(datos_base!$C$4+datos_base!$C$20+IF(parametros_manuales!$H$26="Todos",datos_base!$C$11+datos_base!$C$25,0))*parametros_manuales!$D$105+parametros_manuales!$G$26*(datos_base!$C$5+datos_base!$C$21+IF(parametros_manuales!$H$26="Todos",datos_base!$C$12+datos_base!$C$26,0))*parametros_manuales!$D$110)*parametros_manuales!$I$26*parametros_manuales!$J$26</f>
        <v>413.14025838</v>
      </c>
      <c r="E36" s="9" t="n">
        <f aca="false">(parametros_manuales!$D$26*(datos_base!$C$2+datos_base!$C$18+IF(parametros_manuales!$H$26="Todos",datos_base!$C$9+datos_base!$C$23,0))*parametros_manuales!$E$95+parametros_manuales!$E$26*(datos_base!$C$3+datos_base!$C$19+IF(parametros_manuales!$H$26="Todos",datos_base!$C$10+datos_base!$C$24,0))*parametros_manuales!$E$100+parametros_manuales!$F$26*(datos_base!$C$4+datos_base!$C$20+IF(parametros_manuales!$H$26="Todos",datos_base!$C$11+datos_base!$C$25,0))*parametros_manuales!$E$105+parametros_manuales!$G$26*(datos_base!$C$5+datos_base!$C$21+IF(parametros_manuales!$H$26="Todos",datos_base!$C$12+datos_base!$C$26,0))*parametros_manuales!$E$110)*parametros_manuales!$I$26*parametros_manuales!$J$26</f>
        <v>413.14025838</v>
      </c>
      <c r="F36" s="9" t="n">
        <f aca="false">(parametros_manuales!$D$26*(datos_base!$C$2+datos_base!$C$18+IF(parametros_manuales!$H$26="Todos",datos_base!$C$9+datos_base!$C$23,0))*parametros_manuales!$F$95+parametros_manuales!$E$26*(datos_base!$C$3+datos_base!$C$19+IF(parametros_manuales!$H$26="Todos",datos_base!$C$10+datos_base!$C$24,0))*parametros_manuales!$F$100+parametros_manuales!$F$26*(datos_base!$C$4+datos_base!$C$20+IF(parametros_manuales!$H$26="Todos",datos_base!$C$11+datos_base!$C$25,0))*parametros_manuales!$F$105+parametros_manuales!$G$26*(datos_base!$C$5+datos_base!$C$21+IF(parametros_manuales!$H$26="Todos",datos_base!$C$12+datos_base!$C$26,0))*parametros_manuales!$F$110)*parametros_manuales!$I$26*parametros_manuales!$J$26</f>
        <v>388.83789024</v>
      </c>
      <c r="G36" s="9" t="n">
        <f aca="false">(parametros_manuales!$D$26*(datos_base!$C$2+datos_base!$C$18+IF(parametros_manuales!$H$26="Todos",datos_base!$C$9+datos_base!$C$23,0))*parametros_manuales!$G$95+parametros_manuales!$E$26*(datos_base!$C$3+datos_base!$C$19+IF(parametros_manuales!$H$26="Todos",datos_base!$C$10+datos_base!$C$24,0))*parametros_manuales!$G$100+parametros_manuales!$F$26*(datos_base!$C$4+datos_base!$C$20+IF(parametros_manuales!$H$26="Todos",datos_base!$C$11+datos_base!$C$25,0))*parametros_manuales!$G$105+parametros_manuales!$G$26*(datos_base!$C$5+datos_base!$C$21+IF(parametros_manuales!$H$26="Todos",datos_base!$C$12+datos_base!$C$26,0))*parametros_manuales!$G$110)*parametros_manuales!$I$26*parametros_manuales!$J$26</f>
        <v>364.5355221</v>
      </c>
      <c r="H36" s="9" t="n">
        <f aca="false">(parametros_manuales!$D$26*(datos_base!$C$2+datos_base!$C$18+IF(parametros_manuales!$H$26="Todos",datos_base!$C$9+datos_base!$C$23,0))*parametros_manuales!$H$95+parametros_manuales!$E$26*(datos_base!$C$3+datos_base!$C$19+IF(parametros_manuales!$H$26="Todos",datos_base!$C$10+datos_base!$C$24,0))*parametros_manuales!$H$100+parametros_manuales!$F$26*(datos_base!$C$4+datos_base!$C$20+IF(parametros_manuales!$H$26="Todos",datos_base!$C$11+datos_base!$C$25,0))*parametros_manuales!$H$105+parametros_manuales!$G$26*(datos_base!$C$5+datos_base!$C$21+IF(parametros_manuales!$H$26="Todos",datos_base!$C$12+datos_base!$C$26,0))*parametros_manuales!$H$110)*parametros_manuales!$I$26*parametros_manuales!$J$26</f>
        <v>388.83789024</v>
      </c>
      <c r="I36" s="9" t="n">
        <f aca="false">(parametros_manuales!$D$26*(datos_base!$C$2+datos_base!$C$18+IF(parametros_manuales!$H$26="Todos",datos_base!$C$9+datos_base!$C$23,0))*parametros_manuales!$I$95+parametros_manuales!$E$26*(datos_base!$C$3+datos_base!$C$19+IF(parametros_manuales!$H$26="Todos",datos_base!$C$10+datos_base!$C$24,0))*parametros_manuales!$I$100+parametros_manuales!$F$26*(datos_base!$C$4+datos_base!$C$20+IF(parametros_manuales!$H$26="Todos",datos_base!$C$11+datos_base!$C$25,0))*parametros_manuales!$I$105+parametros_manuales!$G$26*(datos_base!$C$5+datos_base!$C$21+IF(parametros_manuales!$H$26="Todos",datos_base!$C$12+datos_base!$C$26,0))*parametros_manuales!$I$110)*parametros_manuales!$I$26*parametros_manuales!$J$26</f>
        <v>388.83789024</v>
      </c>
      <c r="J36" s="9" t="n">
        <f aca="false">(parametros_manuales!$D$26*(datos_base!$C$2+datos_base!$C$18+IF(parametros_manuales!$H$26="Todos",datos_base!$C$9+datos_base!$C$23,0))*parametros_manuales!$J$95+parametros_manuales!$E$26*(datos_base!$C$3+datos_base!$C$19+IF(parametros_manuales!$H$26="Todos",datos_base!$C$10+datos_base!$C$24,0))*parametros_manuales!$J$100+parametros_manuales!$F$26*(datos_base!$C$4+datos_base!$C$20+IF(parametros_manuales!$H$26="Todos",datos_base!$C$11+datos_base!$C$25,0))*parametros_manuales!$J$105+parametros_manuales!$G$26*(datos_base!$C$5+datos_base!$C$21+IF(parametros_manuales!$H$26="Todos",datos_base!$C$12+datos_base!$C$26,0))*parametros_manuales!$J$110)*parametros_manuales!$I$26*parametros_manuales!$J$26</f>
        <v>388.83789024</v>
      </c>
      <c r="K36" s="9" t="n">
        <f aca="false">(parametros_manuales!$D$26*(datos_base!$C$2+datos_base!$C$18+IF(parametros_manuales!$H$26="Todos",datos_base!$C$9+datos_base!$C$23,0))*parametros_manuales!$K$95+parametros_manuales!$E$26*(datos_base!$C$3+datos_base!$C$19+IF(parametros_manuales!$H$26="Todos",datos_base!$C$10+datos_base!$C$24,0))*parametros_manuales!$K$100+parametros_manuales!$F$26*(datos_base!$C$4+datos_base!$C$20+IF(parametros_manuales!$H$26="Todos",datos_base!$C$11+datos_base!$C$25,0))*parametros_manuales!$K$105+parametros_manuales!$G$26*(datos_base!$C$5+datos_base!$C$21+IF(parametros_manuales!$H$26="Todos",datos_base!$C$12+datos_base!$C$26,0))*parametros_manuales!$K$110)*parametros_manuales!$I$26*parametros_manuales!$J$26</f>
        <v>413.14025838</v>
      </c>
      <c r="L36" s="9" t="n">
        <f aca="false">(parametros_manuales!$D$26*(datos_base!$C$2+datos_base!$C$18+IF(parametros_manuales!$H$26="Todos",datos_base!$C$9+datos_base!$C$23,0))*parametros_manuales!$L$95+parametros_manuales!$E$26*(datos_base!$C$3+datos_base!$C$19+IF(parametros_manuales!$H$26="Todos",datos_base!$C$10+datos_base!$C$24,0))*parametros_manuales!$L$100+parametros_manuales!$F$26*(datos_base!$C$4+datos_base!$C$20+IF(parametros_manuales!$H$26="Todos",datos_base!$C$11+datos_base!$C$25,0))*parametros_manuales!$L$105+parametros_manuales!$G$26*(datos_base!$C$5+datos_base!$C$21+IF(parametros_manuales!$H$26="Todos",datos_base!$C$12+datos_base!$C$26,0))*parametros_manuales!$L$110)*parametros_manuales!$I$26*parametros_manuales!$J$26</f>
        <v>437.44262652</v>
      </c>
      <c r="M36" s="9" t="n">
        <f aca="false">(parametros_manuales!$D$26*(datos_base!$C$2+datos_base!$C$18+IF(parametros_manuales!$H$26="Todos",datos_base!$C$9+datos_base!$C$23,0))*parametros_manuales!$M$95+parametros_manuales!$E$26*(datos_base!$C$3+datos_base!$C$19+IF(parametros_manuales!$H$26="Todos",datos_base!$C$10+datos_base!$C$24,0))*parametros_manuales!$M$100+parametros_manuales!$F$26*(datos_base!$C$4+datos_base!$C$20+IF(parametros_manuales!$H$26="Todos",datos_base!$C$11+datos_base!$C$25,0))*parametros_manuales!$M$105+parametros_manuales!$G$26*(datos_base!$C$5+datos_base!$C$21+IF(parametros_manuales!$H$26="Todos",datos_base!$C$12+datos_base!$C$26,0))*parametros_manuales!$M$110)*parametros_manuales!$I$26*parametros_manuales!$J$26</f>
        <v>437.44262652</v>
      </c>
      <c r="N36" s="9" t="n">
        <f aca="false">SUM(B36:M36)</f>
        <v>4860.473628</v>
      </c>
      <c r="O36" s="9" t="n">
        <f aca="false">MAX(B36:M36)</f>
        <v>437.44262652</v>
      </c>
      <c r="P36" s="43" t="n">
        <f aca="false">O36/(parametros_manuales!$B$7)</f>
        <v>2.9162841768</v>
      </c>
      <c r="Q36" s="8" t="str">
        <f aca="false">IF(O36=0,"-",INDEX($B$28:$M$28,MATCH(O36,B36:M36,0)))</f>
        <v>Ene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datos_base!$C$2+datos_base!$C$18+IF(parametros_manuales!$H$27="Todos",datos_base!$C$9+datos_base!$C$23,0))*parametros_manuales!$B$95+parametros_manuales!$E$27*(datos_base!$C$3+datos_base!$C$19+IF(parametros_manuales!$H$27="Todos",datos_base!$C$10+datos_base!$C$24,0))*parametros_manuales!$B$100+parametros_manuales!$F$27*(datos_base!$C$4+datos_base!$C$20+IF(parametros_manuales!$H$27="Todos",datos_base!$C$11+datos_base!$C$25,0))*parametros_manuales!$B$105+parametros_manuales!$G$27*(datos_base!$C$5+datos_base!$C$21+IF(parametros_manuales!$H$27="Todos",datos_base!$C$12+datos_base!$C$26,0))*parametros_manuales!$B$110)*parametros_manuales!$I$27*parametros_manuales!$J$27</f>
        <v>437.44262652</v>
      </c>
      <c r="C37" s="9" t="n">
        <f aca="false">(parametros_manuales!$D$27*(datos_base!$C$2+datos_base!$C$18+IF(parametros_manuales!$H$27="Todos",datos_base!$C$9+datos_base!$C$23,0))*parametros_manuales!$C$95+parametros_manuales!$E$27*(datos_base!$C$3+datos_base!$C$19+IF(parametros_manuales!$H$27="Todos",datos_base!$C$10+datos_base!$C$24,0))*parametros_manuales!$C$100+parametros_manuales!$F$27*(datos_base!$C$4+datos_base!$C$20+IF(parametros_manuales!$H$27="Todos",datos_base!$C$11+datos_base!$C$25,0))*parametros_manuales!$C$105+parametros_manuales!$G$27*(datos_base!$C$5+datos_base!$C$21+IF(parametros_manuales!$H$27="Todos",datos_base!$C$12+datos_base!$C$26,0))*parametros_manuales!$C$110)*parametros_manuales!$I$27*parametros_manuales!$J$27</f>
        <v>388.83789024</v>
      </c>
      <c r="D37" s="9" t="n">
        <f aca="false">(parametros_manuales!$D$27*(datos_base!$C$2+datos_base!$C$18+IF(parametros_manuales!$H$27="Todos",datos_base!$C$9+datos_base!$C$23,0))*parametros_manuales!$D$95+parametros_manuales!$E$27*(datos_base!$C$3+datos_base!$C$19+IF(parametros_manuales!$H$27="Todos",datos_base!$C$10+datos_base!$C$24,0))*parametros_manuales!$D$100+parametros_manuales!$F$27*(datos_base!$C$4+datos_base!$C$20+IF(parametros_manuales!$H$27="Todos",datos_base!$C$11+datos_base!$C$25,0))*parametros_manuales!$D$105+parametros_manuales!$G$27*(datos_base!$C$5+datos_base!$C$21+IF(parametros_manuales!$H$27="Todos",datos_base!$C$12+datos_base!$C$26,0))*parametros_manuales!$D$110)*parametros_manuales!$I$27*parametros_manuales!$J$27</f>
        <v>413.14025838</v>
      </c>
      <c r="E37" s="9" t="n">
        <f aca="false">(parametros_manuales!$D$27*(datos_base!$C$2+datos_base!$C$18+IF(parametros_manuales!$H$27="Todos",datos_base!$C$9+datos_base!$C$23,0))*parametros_manuales!$E$95+parametros_manuales!$E$27*(datos_base!$C$3+datos_base!$C$19+IF(parametros_manuales!$H$27="Todos",datos_base!$C$10+datos_base!$C$24,0))*parametros_manuales!$E$100+parametros_manuales!$F$27*(datos_base!$C$4+datos_base!$C$20+IF(parametros_manuales!$H$27="Todos",datos_base!$C$11+datos_base!$C$25,0))*parametros_manuales!$E$105+parametros_manuales!$G$27*(datos_base!$C$5+datos_base!$C$21+IF(parametros_manuales!$H$27="Todos",datos_base!$C$12+datos_base!$C$26,0))*parametros_manuales!$E$110)*parametros_manuales!$I$27*parametros_manuales!$J$27</f>
        <v>413.14025838</v>
      </c>
      <c r="F37" s="9" t="n">
        <f aca="false">(parametros_manuales!$D$27*(datos_base!$C$2+datos_base!$C$18+IF(parametros_manuales!$H$27="Todos",datos_base!$C$9+datos_base!$C$23,0))*parametros_manuales!$F$95+parametros_manuales!$E$27*(datos_base!$C$3+datos_base!$C$19+IF(parametros_manuales!$H$27="Todos",datos_base!$C$10+datos_base!$C$24,0))*parametros_manuales!$F$100+parametros_manuales!$F$27*(datos_base!$C$4+datos_base!$C$20+IF(parametros_manuales!$H$27="Todos",datos_base!$C$11+datos_base!$C$25,0))*parametros_manuales!$F$105+parametros_manuales!$G$27*(datos_base!$C$5+datos_base!$C$21+IF(parametros_manuales!$H$27="Todos",datos_base!$C$12+datos_base!$C$26,0))*parametros_manuales!$F$110)*parametros_manuales!$I$27*parametros_manuales!$J$27</f>
        <v>388.83789024</v>
      </c>
      <c r="G37" s="9" t="n">
        <f aca="false">(parametros_manuales!$D$27*(datos_base!$C$2+datos_base!$C$18+IF(parametros_manuales!$H$27="Todos",datos_base!$C$9+datos_base!$C$23,0))*parametros_manuales!$G$95+parametros_manuales!$E$27*(datos_base!$C$3+datos_base!$C$19+IF(parametros_manuales!$H$27="Todos",datos_base!$C$10+datos_base!$C$24,0))*parametros_manuales!$G$100+parametros_manuales!$F$27*(datos_base!$C$4+datos_base!$C$20+IF(parametros_manuales!$H$27="Todos",datos_base!$C$11+datos_base!$C$25,0))*parametros_manuales!$G$105+parametros_manuales!$G$27*(datos_base!$C$5+datos_base!$C$21+IF(parametros_manuales!$H$27="Todos",datos_base!$C$12+datos_base!$C$26,0))*parametros_manuales!$G$110)*parametros_manuales!$I$27*parametros_manuales!$J$27</f>
        <v>364.5355221</v>
      </c>
      <c r="H37" s="9" t="n">
        <f aca="false">(parametros_manuales!$D$27*(datos_base!$C$2+datos_base!$C$18+IF(parametros_manuales!$H$27="Todos",datos_base!$C$9+datos_base!$C$23,0))*parametros_manuales!$H$95+parametros_manuales!$E$27*(datos_base!$C$3+datos_base!$C$19+IF(parametros_manuales!$H$27="Todos",datos_base!$C$10+datos_base!$C$24,0))*parametros_manuales!$H$100+parametros_manuales!$F$27*(datos_base!$C$4+datos_base!$C$20+IF(parametros_manuales!$H$27="Todos",datos_base!$C$11+datos_base!$C$25,0))*parametros_manuales!$H$105+parametros_manuales!$G$27*(datos_base!$C$5+datos_base!$C$21+IF(parametros_manuales!$H$27="Todos",datos_base!$C$12+datos_base!$C$26,0))*parametros_manuales!$H$110)*parametros_manuales!$I$27*parametros_manuales!$J$27</f>
        <v>388.83789024</v>
      </c>
      <c r="I37" s="9" t="n">
        <f aca="false">(parametros_manuales!$D$27*(datos_base!$C$2+datos_base!$C$18+IF(parametros_manuales!$H$27="Todos",datos_base!$C$9+datos_base!$C$23,0))*parametros_manuales!$I$95+parametros_manuales!$E$27*(datos_base!$C$3+datos_base!$C$19+IF(parametros_manuales!$H$27="Todos",datos_base!$C$10+datos_base!$C$24,0))*parametros_manuales!$I$100+parametros_manuales!$F$27*(datos_base!$C$4+datos_base!$C$20+IF(parametros_manuales!$H$27="Todos",datos_base!$C$11+datos_base!$C$25,0))*parametros_manuales!$I$105+parametros_manuales!$G$27*(datos_base!$C$5+datos_base!$C$21+IF(parametros_manuales!$H$27="Todos",datos_base!$C$12+datos_base!$C$26,0))*parametros_manuales!$I$110)*parametros_manuales!$I$27*parametros_manuales!$J$27</f>
        <v>388.83789024</v>
      </c>
      <c r="J37" s="9" t="n">
        <f aca="false">(parametros_manuales!$D$27*(datos_base!$C$2+datos_base!$C$18+IF(parametros_manuales!$H$27="Todos",datos_base!$C$9+datos_base!$C$23,0))*parametros_manuales!$J$95+parametros_manuales!$E$27*(datos_base!$C$3+datos_base!$C$19+IF(parametros_manuales!$H$27="Todos",datos_base!$C$10+datos_base!$C$24,0))*parametros_manuales!$J$100+parametros_manuales!$F$27*(datos_base!$C$4+datos_base!$C$20+IF(parametros_manuales!$H$27="Todos",datos_base!$C$11+datos_base!$C$25,0))*parametros_manuales!$J$105+parametros_manuales!$G$27*(datos_base!$C$5+datos_base!$C$21+IF(parametros_manuales!$H$27="Todos",datos_base!$C$12+datos_base!$C$26,0))*parametros_manuales!$J$110)*parametros_manuales!$I$27*parametros_manuales!$J$27</f>
        <v>388.83789024</v>
      </c>
      <c r="K37" s="9" t="n">
        <f aca="false">(parametros_manuales!$D$27*(datos_base!$C$2+datos_base!$C$18+IF(parametros_manuales!$H$27="Todos",datos_base!$C$9+datos_base!$C$23,0))*parametros_manuales!$K$95+parametros_manuales!$E$27*(datos_base!$C$3+datos_base!$C$19+IF(parametros_manuales!$H$27="Todos",datos_base!$C$10+datos_base!$C$24,0))*parametros_manuales!$K$100+parametros_manuales!$F$27*(datos_base!$C$4+datos_base!$C$20+IF(parametros_manuales!$H$27="Todos",datos_base!$C$11+datos_base!$C$25,0))*parametros_manuales!$K$105+parametros_manuales!$G$27*(datos_base!$C$5+datos_base!$C$21+IF(parametros_manuales!$H$27="Todos",datos_base!$C$12+datos_base!$C$26,0))*parametros_manuales!$K$110)*parametros_manuales!$I$27*parametros_manuales!$J$27</f>
        <v>413.14025838</v>
      </c>
      <c r="L37" s="9" t="n">
        <f aca="false">(parametros_manuales!$D$27*(datos_base!$C$2+datos_base!$C$18+IF(parametros_manuales!$H$27="Todos",datos_base!$C$9+datos_base!$C$23,0))*parametros_manuales!$L$95+parametros_manuales!$E$27*(datos_base!$C$3+datos_base!$C$19+IF(parametros_manuales!$H$27="Todos",datos_base!$C$10+datos_base!$C$24,0))*parametros_manuales!$L$100+parametros_manuales!$F$27*(datos_base!$C$4+datos_base!$C$20+IF(parametros_manuales!$H$27="Todos",datos_base!$C$11+datos_base!$C$25,0))*parametros_manuales!$L$105+parametros_manuales!$G$27*(datos_base!$C$5+datos_base!$C$21+IF(parametros_manuales!$H$27="Todos",datos_base!$C$12+datos_base!$C$26,0))*parametros_manuales!$L$110)*parametros_manuales!$I$27*parametros_manuales!$J$27</f>
        <v>437.44262652</v>
      </c>
      <c r="M37" s="9" t="n">
        <f aca="false">(parametros_manuales!$D$27*(datos_base!$C$2+datos_base!$C$18+IF(parametros_manuales!$H$27="Todos",datos_base!$C$9+datos_base!$C$23,0))*parametros_manuales!$M$95+parametros_manuales!$E$27*(datos_base!$C$3+datos_base!$C$19+IF(parametros_manuales!$H$27="Todos",datos_base!$C$10+datos_base!$C$24,0))*parametros_manuales!$M$100+parametros_manuales!$F$27*(datos_base!$C$4+datos_base!$C$20+IF(parametros_manuales!$H$27="Todos",datos_base!$C$11+datos_base!$C$25,0))*parametros_manuales!$M$105+parametros_manuales!$G$27*(datos_base!$C$5+datos_base!$C$21+IF(parametros_manuales!$H$27="Todos",datos_base!$C$12+datos_base!$C$26,0))*parametros_manuales!$M$110)*parametros_manuales!$I$27*parametros_manuales!$J$27</f>
        <v>437.44262652</v>
      </c>
      <c r="N37" s="9" t="n">
        <f aca="false">SUM(B37:M37)</f>
        <v>4860.473628</v>
      </c>
      <c r="O37" s="9" t="n">
        <f aca="false">MAX(B37:M37)</f>
        <v>437.44262652</v>
      </c>
      <c r="P37" s="43" t="n">
        <f aca="false">O37/(parametros_manuales!$B$7)</f>
        <v>2.9162841768</v>
      </c>
      <c r="Q37" s="8" t="str">
        <f aca="false">IF(O37=0,"-",INDEX($B$28:$M$28,MATCH(O37,B37:M37,0)))</f>
        <v>Ene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datos_base!$C$2+datos_base!$C$18+IF(parametros_manuales!$H$28="Todos",datos_base!$C$9+datos_base!$C$23,0))*parametros_manuales!$B$95+parametros_manuales!$E$28*(datos_base!$C$3+datos_base!$C$19+IF(parametros_manuales!$H$28="Todos",datos_base!$C$10+datos_base!$C$24,0))*parametros_manuales!$B$100+parametros_manuales!$F$28*(datos_base!$C$4+datos_base!$C$20+IF(parametros_manuales!$H$28="Todos",datos_base!$C$11+datos_base!$C$25,0))*parametros_manuales!$B$105+parametros_manuales!$G$28*(datos_base!$C$5+datos_base!$C$21+IF(parametros_manuales!$H$28="Todos",datos_base!$C$12+datos_base!$C$26,0))*parametros_manuales!$B$110)*parametros_manuales!$I$28*parametros_manuales!$J$28</f>
        <v>977.19998445</v>
      </c>
      <c r="C38" s="9" t="n">
        <f aca="false">(parametros_manuales!$D$28*(datos_base!$C$2+datos_base!$C$18+IF(parametros_manuales!$H$28="Todos",datos_base!$C$9+datos_base!$C$23,0))*parametros_manuales!$C$95+parametros_manuales!$E$28*(datos_base!$C$3+datos_base!$C$19+IF(parametros_manuales!$H$28="Todos",datos_base!$C$10+datos_base!$C$24,0))*parametros_manuales!$C$100+parametros_manuales!$F$28*(datos_base!$C$4+datos_base!$C$20+IF(parametros_manuales!$H$28="Todos",datos_base!$C$11+datos_base!$C$25,0))*parametros_manuales!$C$105+parametros_manuales!$G$28*(datos_base!$C$5+datos_base!$C$21+IF(parametros_manuales!$H$28="Todos",datos_base!$C$12+datos_base!$C$26,0))*parametros_manuales!$C$110)*parametros_manuales!$I$28*parametros_manuales!$J$28</f>
        <v>928.59524817</v>
      </c>
      <c r="D38" s="9" t="n">
        <f aca="false">(parametros_manuales!$D$28*(datos_base!$C$2+datos_base!$C$18+IF(parametros_manuales!$H$28="Todos",datos_base!$C$9+datos_base!$C$23,0))*parametros_manuales!$D$95+parametros_manuales!$E$28*(datos_base!$C$3+datos_base!$C$19+IF(parametros_manuales!$H$28="Todos",datos_base!$C$10+datos_base!$C$24,0))*parametros_manuales!$D$100+parametros_manuales!$F$28*(datos_base!$C$4+datos_base!$C$20+IF(parametros_manuales!$H$28="Todos",datos_base!$C$11+datos_base!$C$25,0))*parametros_manuales!$D$105+parametros_manuales!$G$28*(datos_base!$C$5+datos_base!$C$21+IF(parametros_manuales!$H$28="Todos",datos_base!$C$12+datos_base!$C$26,0))*parametros_manuales!$D$110)*parametros_manuales!$I$28*parametros_manuales!$J$28</f>
        <v>892.92457654</v>
      </c>
      <c r="E38" s="9" t="n">
        <f aca="false">(parametros_manuales!$D$28*(datos_base!$C$2+datos_base!$C$18+IF(parametros_manuales!$H$28="Todos",datos_base!$C$9+datos_base!$C$23,0))*parametros_manuales!$E$95+parametros_manuales!$E$28*(datos_base!$C$3+datos_base!$C$19+IF(parametros_manuales!$H$28="Todos",datos_base!$C$10+datos_base!$C$24,0))*parametros_manuales!$E$100+parametros_manuales!$F$28*(datos_base!$C$4+datos_base!$C$20+IF(parametros_manuales!$H$28="Todos",datos_base!$C$11+datos_base!$C$25,0))*parametros_manuales!$E$105+parametros_manuales!$G$28*(datos_base!$C$5+datos_base!$C$21+IF(parametros_manuales!$H$28="Todos",datos_base!$C$12+datos_base!$C$26,0))*parametros_manuales!$E$110)*parametros_manuales!$I$28*parametros_manuales!$J$28</f>
        <v>862.938056655</v>
      </c>
      <c r="F38" s="9" t="n">
        <f aca="false">(parametros_manuales!$D$28*(datos_base!$C$2+datos_base!$C$18+IF(parametros_manuales!$H$28="Todos",datos_base!$C$9+datos_base!$C$23,0))*parametros_manuales!$F$95+parametros_manuales!$E$28*(datos_base!$C$3+datos_base!$C$19+IF(parametros_manuales!$H$28="Todos",datos_base!$C$10+datos_base!$C$24,0))*parametros_manuales!$F$100+parametros_manuales!$F$28*(datos_base!$C$4+datos_base!$C$20+IF(parametros_manuales!$H$28="Todos",datos_base!$C$11+datos_base!$C$25,0))*parametros_manuales!$F$105+parametros_manuales!$G$28*(datos_base!$C$5+datos_base!$C$21+IF(parametros_manuales!$H$28="Todos",datos_base!$C$12+datos_base!$C$26,0))*parametros_manuales!$F$110)*parametros_manuales!$I$28*parametros_manuales!$J$28</f>
        <v>808.64916863</v>
      </c>
      <c r="G38" s="9" t="n">
        <f aca="false">(parametros_manuales!$D$28*(datos_base!$C$2+datos_base!$C$18+IF(parametros_manuales!$H$28="Todos",datos_base!$C$9+datos_base!$C$23,0))*parametros_manuales!$G$95+parametros_manuales!$E$28*(datos_base!$C$3+datos_base!$C$19+IF(parametros_manuales!$H$28="Todos",datos_base!$C$10+datos_base!$C$24,0))*parametros_manuales!$G$100+parametros_manuales!$F$28*(datos_base!$C$4+datos_base!$C$20+IF(parametros_manuales!$H$28="Todos",datos_base!$C$11+datos_base!$C$25,0))*parametros_manuales!$G$105+parametros_manuales!$G$28*(datos_base!$C$5+datos_base!$C$21+IF(parametros_manuales!$H$28="Todos",datos_base!$C$12+datos_base!$C$26,0))*parametros_manuales!$G$110)*parametros_manuales!$I$28*parametros_manuales!$J$28</f>
        <v>784.34680049</v>
      </c>
      <c r="H38" s="9" t="n">
        <f aca="false">(parametros_manuales!$D$28*(datos_base!$C$2+datos_base!$C$18+IF(parametros_manuales!$H$28="Todos",datos_base!$C$9+datos_base!$C$23,0))*parametros_manuales!$H$95+parametros_manuales!$E$28*(datos_base!$C$3+datos_base!$C$19+IF(parametros_manuales!$H$28="Todos",datos_base!$C$10+datos_base!$C$24,0))*parametros_manuales!$H$100+parametros_manuales!$F$28*(datos_base!$C$4+datos_base!$C$20+IF(parametros_manuales!$H$28="Todos",datos_base!$C$11+datos_base!$C$25,0))*parametros_manuales!$H$105+parametros_manuales!$G$28*(datos_base!$C$5+datos_base!$C$21+IF(parametros_manuales!$H$28="Todos",datos_base!$C$12+datos_base!$C$26,0))*parametros_manuales!$H$110)*parametros_manuales!$I$28*parametros_manuales!$J$28</f>
        <v>838.635688515</v>
      </c>
      <c r="I38" s="9" t="n">
        <f aca="false">(parametros_manuales!$D$28*(datos_base!$C$2+datos_base!$C$18+IF(parametros_manuales!$H$28="Todos",datos_base!$C$9+datos_base!$C$23,0))*parametros_manuales!$I$95+parametros_manuales!$E$28*(datos_base!$C$3+datos_base!$C$19+IF(parametros_manuales!$H$28="Todos",datos_base!$C$10+datos_base!$C$24,0))*parametros_manuales!$I$100+parametros_manuales!$F$28*(datos_base!$C$4+datos_base!$C$20+IF(parametros_manuales!$H$28="Todos",datos_base!$C$11+datos_base!$C$25,0))*parametros_manuales!$I$105+parametros_manuales!$G$28*(datos_base!$C$5+datos_base!$C$21+IF(parametros_manuales!$H$28="Todos",datos_base!$C$12+datos_base!$C$26,0))*parametros_manuales!$I$110)*parametros_manuales!$I$28*parametros_manuales!$J$28</f>
        <v>928.59524817</v>
      </c>
      <c r="J38" s="9" t="n">
        <f aca="false">(parametros_manuales!$D$28*(datos_base!$C$2+datos_base!$C$18+IF(parametros_manuales!$H$28="Todos",datos_base!$C$9+datos_base!$C$23,0))*parametros_manuales!$J$95+parametros_manuales!$E$28*(datos_base!$C$3+datos_base!$C$19+IF(parametros_manuales!$H$28="Todos",datos_base!$C$10+datos_base!$C$24,0))*parametros_manuales!$J$100+parametros_manuales!$F$28*(datos_base!$C$4+datos_base!$C$20+IF(parametros_manuales!$H$28="Todos",datos_base!$C$11+datos_base!$C$25,0))*parametros_manuales!$J$105+parametros_manuales!$G$28*(datos_base!$C$5+datos_base!$C$21+IF(parametros_manuales!$H$28="Todos",datos_base!$C$12+datos_base!$C$26,0))*parametros_manuales!$J$110)*parametros_manuales!$I$28*parametros_manuales!$J$28</f>
        <v>928.59524817</v>
      </c>
      <c r="K38" s="9" t="n">
        <f aca="false">(parametros_manuales!$D$28*(datos_base!$C$2+datos_base!$C$18+IF(parametros_manuales!$H$28="Todos",datos_base!$C$9+datos_base!$C$23,0))*parametros_manuales!$K$95+parametros_manuales!$E$28*(datos_base!$C$3+datos_base!$C$19+IF(parametros_manuales!$H$28="Todos",datos_base!$C$10+datos_base!$C$24,0))*parametros_manuales!$K$100+parametros_manuales!$F$28*(datos_base!$C$4+datos_base!$C$20+IF(parametros_manuales!$H$28="Todos",datos_base!$C$11+datos_base!$C$25,0))*parametros_manuales!$K$105+parametros_manuales!$G$28*(datos_base!$C$5+datos_base!$C$21+IF(parametros_manuales!$H$28="Todos",datos_base!$C$12+datos_base!$C$26,0))*parametros_manuales!$K$110)*parametros_manuales!$I$28*parametros_manuales!$J$28</f>
        <v>952.89761631</v>
      </c>
      <c r="L38" s="9" t="n">
        <f aca="false">(parametros_manuales!$D$28*(datos_base!$C$2+datos_base!$C$18+IF(parametros_manuales!$H$28="Todos",datos_base!$C$9+datos_base!$C$23,0))*parametros_manuales!$L$95+parametros_manuales!$E$28*(datos_base!$C$3+datos_base!$C$19+IF(parametros_manuales!$H$28="Todos",datos_base!$C$10+datos_base!$C$24,0))*parametros_manuales!$L$100+parametros_manuales!$F$28*(datos_base!$C$4+datos_base!$C$20+IF(parametros_manuales!$H$28="Todos",datos_base!$C$11+datos_base!$C$25,0))*parametros_manuales!$L$105+parametros_manuales!$G$28*(datos_base!$C$5+datos_base!$C$21+IF(parametros_manuales!$H$28="Todos",datos_base!$C$12+datos_base!$C$26,0))*parametros_manuales!$L$110)*parametros_manuales!$I$28*parametros_manuales!$J$28</f>
        <v>977.19998445</v>
      </c>
      <c r="M38" s="9" t="n">
        <f aca="false">(parametros_manuales!$D$28*(datos_base!$C$2+datos_base!$C$18+IF(parametros_manuales!$H$28="Todos",datos_base!$C$9+datos_base!$C$23,0))*parametros_manuales!$M$95+parametros_manuales!$E$28*(datos_base!$C$3+datos_base!$C$19+IF(parametros_manuales!$H$28="Todos",datos_base!$C$10+datos_base!$C$24,0))*parametros_manuales!$M$100+parametros_manuales!$F$28*(datos_base!$C$4+datos_base!$C$20+IF(parametros_manuales!$H$28="Todos",datos_base!$C$11+datos_base!$C$25,0))*parametros_manuales!$M$105+parametros_manuales!$G$28*(datos_base!$C$5+datos_base!$C$21+IF(parametros_manuales!$H$28="Todos",datos_base!$C$12+datos_base!$C$26,0))*parametros_manuales!$M$110)*parametros_manuales!$I$28*parametros_manuales!$J$28</f>
        <v>977.19998445</v>
      </c>
      <c r="N38" s="9" t="n">
        <f aca="false">SUM(B38:M38)</f>
        <v>10857.777605</v>
      </c>
      <c r="O38" s="9" t="n">
        <f aca="false">MAX(B38:M38)</f>
        <v>977.19998445</v>
      </c>
      <c r="P38" s="43" t="n">
        <f aca="false">O38/(parametros_manuales!$B$7)</f>
        <v>6.514666563</v>
      </c>
      <c r="Q38" s="8" t="str">
        <f aca="false">IF(O38=0,"-",INDEX($B$28:$M$28,MATCH(O38,B38:M38,0)))</f>
        <v>Ene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datos_base!$C$2+datos_base!$C$18+IF(parametros_manuales!$H$29="Todos",datos_base!$C$9+datos_base!$C$23,0))*parametros_manuales!$B$95+parametros_manuales!$E$29*(datos_base!$C$3+datos_base!$C$19+IF(parametros_manuales!$H$29="Todos",datos_base!$C$10+datos_base!$C$24,0))*parametros_manuales!$B$100+parametros_manuales!$F$29*(datos_base!$C$4+datos_base!$C$20+IF(parametros_manuales!$H$29="Todos",datos_base!$C$11+datos_base!$C$25,0))*parametros_manuales!$B$105+parametros_manuales!$G$29*(datos_base!$C$5+datos_base!$C$21+IF(parametros_manuales!$H$29="Todos",datos_base!$C$12+datos_base!$C$26,0))*parametros_manuales!$B$110)*parametros_manuales!$I$29*parametros_manuales!$J$29</f>
        <v>977.19998445</v>
      </c>
      <c r="C39" s="9" t="n">
        <f aca="false">(parametros_manuales!$D$29*(datos_base!$C$2+datos_base!$C$18+IF(parametros_manuales!$H$29="Todos",datos_base!$C$9+datos_base!$C$23,0))*parametros_manuales!$C$95+parametros_manuales!$E$29*(datos_base!$C$3+datos_base!$C$19+IF(parametros_manuales!$H$29="Todos",datos_base!$C$10+datos_base!$C$24,0))*parametros_manuales!$C$100+parametros_manuales!$F$29*(datos_base!$C$4+datos_base!$C$20+IF(parametros_manuales!$H$29="Todos",datos_base!$C$11+datos_base!$C$25,0))*parametros_manuales!$C$105+parametros_manuales!$G$29*(datos_base!$C$5+datos_base!$C$21+IF(parametros_manuales!$H$29="Todos",datos_base!$C$12+datos_base!$C$26,0))*parametros_manuales!$C$110)*parametros_manuales!$I$29*parametros_manuales!$J$29</f>
        <v>928.59524817</v>
      </c>
      <c r="D39" s="9" t="n">
        <f aca="false">(parametros_manuales!$D$29*(datos_base!$C$2+datos_base!$C$18+IF(parametros_manuales!$H$29="Todos",datos_base!$C$9+datos_base!$C$23,0))*parametros_manuales!$D$95+parametros_manuales!$E$29*(datos_base!$C$3+datos_base!$C$19+IF(parametros_manuales!$H$29="Todos",datos_base!$C$10+datos_base!$C$24,0))*parametros_manuales!$D$100+parametros_manuales!$F$29*(datos_base!$C$4+datos_base!$C$20+IF(parametros_manuales!$H$29="Todos",datos_base!$C$11+datos_base!$C$25,0))*parametros_manuales!$D$105+parametros_manuales!$G$29*(datos_base!$C$5+datos_base!$C$21+IF(parametros_manuales!$H$29="Todos",datos_base!$C$12+datos_base!$C$26,0))*parametros_manuales!$D$110)*parametros_manuales!$I$29*parametros_manuales!$J$29</f>
        <v>892.92457654</v>
      </c>
      <c r="E39" s="9" t="n">
        <f aca="false">(parametros_manuales!$D$29*(datos_base!$C$2+datos_base!$C$18+IF(parametros_manuales!$H$29="Todos",datos_base!$C$9+datos_base!$C$23,0))*parametros_manuales!$E$95+parametros_manuales!$E$29*(datos_base!$C$3+datos_base!$C$19+IF(parametros_manuales!$H$29="Todos",datos_base!$C$10+datos_base!$C$24,0))*parametros_manuales!$E$100+parametros_manuales!$F$29*(datos_base!$C$4+datos_base!$C$20+IF(parametros_manuales!$H$29="Todos",datos_base!$C$11+datos_base!$C$25,0))*parametros_manuales!$E$105+parametros_manuales!$G$29*(datos_base!$C$5+datos_base!$C$21+IF(parametros_manuales!$H$29="Todos",datos_base!$C$12+datos_base!$C$26,0))*parametros_manuales!$E$110)*parametros_manuales!$I$29*parametros_manuales!$J$29</f>
        <v>862.938056655</v>
      </c>
      <c r="F39" s="9" t="n">
        <f aca="false">(parametros_manuales!$D$29*(datos_base!$C$2+datos_base!$C$18+IF(parametros_manuales!$H$29="Todos",datos_base!$C$9+datos_base!$C$23,0))*parametros_manuales!$F$95+parametros_manuales!$E$29*(datos_base!$C$3+datos_base!$C$19+IF(parametros_manuales!$H$29="Todos",datos_base!$C$10+datos_base!$C$24,0))*parametros_manuales!$F$100+parametros_manuales!$F$29*(datos_base!$C$4+datos_base!$C$20+IF(parametros_manuales!$H$29="Todos",datos_base!$C$11+datos_base!$C$25,0))*parametros_manuales!$F$105+parametros_manuales!$G$29*(datos_base!$C$5+datos_base!$C$21+IF(parametros_manuales!$H$29="Todos",datos_base!$C$12+datos_base!$C$26,0))*parametros_manuales!$F$110)*parametros_manuales!$I$29*parametros_manuales!$J$29</f>
        <v>808.64916863</v>
      </c>
      <c r="G39" s="9" t="n">
        <f aca="false">(parametros_manuales!$D$29*(datos_base!$C$2+datos_base!$C$18+IF(parametros_manuales!$H$29="Todos",datos_base!$C$9+datos_base!$C$23,0))*parametros_manuales!$G$95+parametros_manuales!$E$29*(datos_base!$C$3+datos_base!$C$19+IF(parametros_manuales!$H$29="Todos",datos_base!$C$10+datos_base!$C$24,0))*parametros_manuales!$G$100+parametros_manuales!$F$29*(datos_base!$C$4+datos_base!$C$20+IF(parametros_manuales!$H$29="Todos",datos_base!$C$11+datos_base!$C$25,0))*parametros_manuales!$G$105+parametros_manuales!$G$29*(datos_base!$C$5+datos_base!$C$21+IF(parametros_manuales!$H$29="Todos",datos_base!$C$12+datos_base!$C$26,0))*parametros_manuales!$G$110)*parametros_manuales!$I$29*parametros_manuales!$J$29</f>
        <v>784.34680049</v>
      </c>
      <c r="H39" s="9" t="n">
        <f aca="false">(parametros_manuales!$D$29*(datos_base!$C$2+datos_base!$C$18+IF(parametros_manuales!$H$29="Todos",datos_base!$C$9+datos_base!$C$23,0))*parametros_manuales!$H$95+parametros_manuales!$E$29*(datos_base!$C$3+datos_base!$C$19+IF(parametros_manuales!$H$29="Todos",datos_base!$C$10+datos_base!$C$24,0))*parametros_manuales!$H$100+parametros_manuales!$F$29*(datos_base!$C$4+datos_base!$C$20+IF(parametros_manuales!$H$29="Todos",datos_base!$C$11+datos_base!$C$25,0))*parametros_manuales!$H$105+parametros_manuales!$G$29*(datos_base!$C$5+datos_base!$C$21+IF(parametros_manuales!$H$29="Todos",datos_base!$C$12+datos_base!$C$26,0))*parametros_manuales!$H$110)*parametros_manuales!$I$29*parametros_manuales!$J$29</f>
        <v>838.635688515</v>
      </c>
      <c r="I39" s="9" t="n">
        <f aca="false">(parametros_manuales!$D$29*(datos_base!$C$2+datos_base!$C$18+IF(parametros_manuales!$H$29="Todos",datos_base!$C$9+datos_base!$C$23,0))*parametros_manuales!$I$95+parametros_manuales!$E$29*(datos_base!$C$3+datos_base!$C$19+IF(parametros_manuales!$H$29="Todos",datos_base!$C$10+datos_base!$C$24,0))*parametros_manuales!$I$100+parametros_manuales!$F$29*(datos_base!$C$4+datos_base!$C$20+IF(parametros_manuales!$H$29="Todos",datos_base!$C$11+datos_base!$C$25,0))*parametros_manuales!$I$105+parametros_manuales!$G$29*(datos_base!$C$5+datos_base!$C$21+IF(parametros_manuales!$H$29="Todos",datos_base!$C$12+datos_base!$C$26,0))*parametros_manuales!$I$110)*parametros_manuales!$I$29*parametros_manuales!$J$29</f>
        <v>928.59524817</v>
      </c>
      <c r="J39" s="9" t="n">
        <f aca="false">(parametros_manuales!$D$29*(datos_base!$C$2+datos_base!$C$18+IF(parametros_manuales!$H$29="Todos",datos_base!$C$9+datos_base!$C$23,0))*parametros_manuales!$J$95+parametros_manuales!$E$29*(datos_base!$C$3+datos_base!$C$19+IF(parametros_manuales!$H$29="Todos",datos_base!$C$10+datos_base!$C$24,0))*parametros_manuales!$J$100+parametros_manuales!$F$29*(datos_base!$C$4+datos_base!$C$20+IF(parametros_manuales!$H$29="Todos",datos_base!$C$11+datos_base!$C$25,0))*parametros_manuales!$J$105+parametros_manuales!$G$29*(datos_base!$C$5+datos_base!$C$21+IF(parametros_manuales!$H$29="Todos",datos_base!$C$12+datos_base!$C$26,0))*parametros_manuales!$J$110)*parametros_manuales!$I$29*parametros_manuales!$J$29</f>
        <v>928.59524817</v>
      </c>
      <c r="K39" s="9" t="n">
        <f aca="false">(parametros_manuales!$D$29*(datos_base!$C$2+datos_base!$C$18+IF(parametros_manuales!$H$29="Todos",datos_base!$C$9+datos_base!$C$23,0))*parametros_manuales!$K$95+parametros_manuales!$E$29*(datos_base!$C$3+datos_base!$C$19+IF(parametros_manuales!$H$29="Todos",datos_base!$C$10+datos_base!$C$24,0))*parametros_manuales!$K$100+parametros_manuales!$F$29*(datos_base!$C$4+datos_base!$C$20+IF(parametros_manuales!$H$29="Todos",datos_base!$C$11+datos_base!$C$25,0))*parametros_manuales!$K$105+parametros_manuales!$G$29*(datos_base!$C$5+datos_base!$C$21+IF(parametros_manuales!$H$29="Todos",datos_base!$C$12+datos_base!$C$26,0))*parametros_manuales!$K$110)*parametros_manuales!$I$29*parametros_manuales!$J$29</f>
        <v>952.89761631</v>
      </c>
      <c r="L39" s="9" t="n">
        <f aca="false">(parametros_manuales!$D$29*(datos_base!$C$2+datos_base!$C$18+IF(parametros_manuales!$H$29="Todos",datos_base!$C$9+datos_base!$C$23,0))*parametros_manuales!$L$95+parametros_manuales!$E$29*(datos_base!$C$3+datos_base!$C$19+IF(parametros_manuales!$H$29="Todos",datos_base!$C$10+datos_base!$C$24,0))*parametros_manuales!$L$100+parametros_manuales!$F$29*(datos_base!$C$4+datos_base!$C$20+IF(parametros_manuales!$H$29="Todos",datos_base!$C$11+datos_base!$C$25,0))*parametros_manuales!$L$105+parametros_manuales!$G$29*(datos_base!$C$5+datos_base!$C$21+IF(parametros_manuales!$H$29="Todos",datos_base!$C$12+datos_base!$C$26,0))*parametros_manuales!$L$110)*parametros_manuales!$I$29*parametros_manuales!$J$29</f>
        <v>977.19998445</v>
      </c>
      <c r="M39" s="9" t="n">
        <f aca="false">(parametros_manuales!$D$29*(datos_base!$C$2+datos_base!$C$18+IF(parametros_manuales!$H$29="Todos",datos_base!$C$9+datos_base!$C$23,0))*parametros_manuales!$M$95+parametros_manuales!$E$29*(datos_base!$C$3+datos_base!$C$19+IF(parametros_manuales!$H$29="Todos",datos_base!$C$10+datos_base!$C$24,0))*parametros_manuales!$M$100+parametros_manuales!$F$29*(datos_base!$C$4+datos_base!$C$20+IF(parametros_manuales!$H$29="Todos",datos_base!$C$11+datos_base!$C$25,0))*parametros_manuales!$M$105+parametros_manuales!$G$29*(datos_base!$C$5+datos_base!$C$21+IF(parametros_manuales!$H$29="Todos",datos_base!$C$12+datos_base!$C$26,0))*parametros_manuales!$M$110)*parametros_manuales!$I$29*parametros_manuales!$J$29</f>
        <v>977.19998445</v>
      </c>
      <c r="N39" s="9" t="n">
        <f aca="false">SUM(B39:M39)</f>
        <v>10857.777605</v>
      </c>
      <c r="O39" s="9" t="n">
        <f aca="false">MAX(B39:M39)</f>
        <v>977.19998445</v>
      </c>
      <c r="P39" s="43" t="n">
        <f aca="false">O39/(parametros_manuales!$B$7)</f>
        <v>6.514666563</v>
      </c>
      <c r="Q39" s="8" t="str">
        <f aca="false">IF(O39=0,"-",INDEX($B$28:$M$28,MATCH(O39,B39:M39,0)))</f>
        <v>Ene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datos_base!$C$2+datos_base!$C$18+IF(parametros_manuales!$H$30="Todos",datos_base!$C$9+datos_base!$C$23,0))*parametros_manuales!$B$95+parametros_manuales!$E$30*(datos_base!$C$3+datos_base!$C$19+IF(parametros_manuales!$H$30="Todos",datos_base!$C$10+datos_base!$C$24,0))*parametros_manuales!$B$100+parametros_manuales!$F$30*(datos_base!$C$4+datos_base!$C$20+IF(parametros_manuales!$H$30="Todos",datos_base!$C$11+datos_base!$C$25,0))*parametros_manuales!$B$105+parametros_manuales!$G$30*(datos_base!$C$5+datos_base!$C$21+IF(parametros_manuales!$H$30="Todos",datos_base!$C$12+datos_base!$C$26,0))*parametros_manuales!$B$110)*parametros_manuales!$I$30*parametros_manuales!$J$30</f>
        <v>977.19998445</v>
      </c>
      <c r="C40" s="9" t="n">
        <f aca="false">(parametros_manuales!$D$30*(datos_base!$C$2+datos_base!$C$18+IF(parametros_manuales!$H$30="Todos",datos_base!$C$9+datos_base!$C$23,0))*parametros_manuales!$C$95+parametros_manuales!$E$30*(datos_base!$C$3+datos_base!$C$19+IF(parametros_manuales!$H$30="Todos",datos_base!$C$10+datos_base!$C$24,0))*parametros_manuales!$C$100+parametros_manuales!$F$30*(datos_base!$C$4+datos_base!$C$20+IF(parametros_manuales!$H$30="Todos",datos_base!$C$11+datos_base!$C$25,0))*parametros_manuales!$C$105+parametros_manuales!$G$30*(datos_base!$C$5+datos_base!$C$21+IF(parametros_manuales!$H$30="Todos",datos_base!$C$12+datos_base!$C$26,0))*parametros_manuales!$C$110)*parametros_manuales!$I$30*parametros_manuales!$J$30</f>
        <v>928.59524817</v>
      </c>
      <c r="D40" s="9" t="n">
        <f aca="false">(parametros_manuales!$D$30*(datos_base!$C$2+datos_base!$C$18+IF(parametros_manuales!$H$30="Todos",datos_base!$C$9+datos_base!$C$23,0))*parametros_manuales!$D$95+parametros_manuales!$E$30*(datos_base!$C$3+datos_base!$C$19+IF(parametros_manuales!$H$30="Todos",datos_base!$C$10+datos_base!$C$24,0))*parametros_manuales!$D$100+parametros_manuales!$F$30*(datos_base!$C$4+datos_base!$C$20+IF(parametros_manuales!$H$30="Todos",datos_base!$C$11+datos_base!$C$25,0))*parametros_manuales!$D$105+parametros_manuales!$G$30*(datos_base!$C$5+datos_base!$C$21+IF(parametros_manuales!$H$30="Todos",datos_base!$C$12+datos_base!$C$26,0))*parametros_manuales!$D$110)*parametros_manuales!$I$30*parametros_manuales!$J$30</f>
        <v>892.92457654</v>
      </c>
      <c r="E40" s="9" t="n">
        <f aca="false">(parametros_manuales!$D$30*(datos_base!$C$2+datos_base!$C$18+IF(parametros_manuales!$H$30="Todos",datos_base!$C$9+datos_base!$C$23,0))*parametros_manuales!$E$95+parametros_manuales!$E$30*(datos_base!$C$3+datos_base!$C$19+IF(parametros_manuales!$H$30="Todos",datos_base!$C$10+datos_base!$C$24,0))*parametros_manuales!$E$100+parametros_manuales!$F$30*(datos_base!$C$4+datos_base!$C$20+IF(parametros_manuales!$H$30="Todos",datos_base!$C$11+datos_base!$C$25,0))*parametros_manuales!$E$105+parametros_manuales!$G$30*(datos_base!$C$5+datos_base!$C$21+IF(parametros_manuales!$H$30="Todos",datos_base!$C$12+datos_base!$C$26,0))*parametros_manuales!$E$110)*parametros_manuales!$I$30*parametros_manuales!$J$30</f>
        <v>862.938056655</v>
      </c>
      <c r="F40" s="9" t="n">
        <f aca="false">(parametros_manuales!$D$30*(datos_base!$C$2+datos_base!$C$18+IF(parametros_manuales!$H$30="Todos",datos_base!$C$9+datos_base!$C$23,0))*parametros_manuales!$F$95+parametros_manuales!$E$30*(datos_base!$C$3+datos_base!$C$19+IF(parametros_manuales!$H$30="Todos",datos_base!$C$10+datos_base!$C$24,0))*parametros_manuales!$F$100+parametros_manuales!$F$30*(datos_base!$C$4+datos_base!$C$20+IF(parametros_manuales!$H$30="Todos",datos_base!$C$11+datos_base!$C$25,0))*parametros_manuales!$F$105+parametros_manuales!$G$30*(datos_base!$C$5+datos_base!$C$21+IF(parametros_manuales!$H$30="Todos",datos_base!$C$12+datos_base!$C$26,0))*parametros_manuales!$F$110)*parametros_manuales!$I$30*parametros_manuales!$J$30</f>
        <v>808.64916863</v>
      </c>
      <c r="G40" s="9" t="n">
        <f aca="false">(parametros_manuales!$D$30*(datos_base!$C$2+datos_base!$C$18+IF(parametros_manuales!$H$30="Todos",datos_base!$C$9+datos_base!$C$23,0))*parametros_manuales!$G$95+parametros_manuales!$E$30*(datos_base!$C$3+datos_base!$C$19+IF(parametros_manuales!$H$30="Todos",datos_base!$C$10+datos_base!$C$24,0))*parametros_manuales!$G$100+parametros_manuales!$F$30*(datos_base!$C$4+datos_base!$C$20+IF(parametros_manuales!$H$30="Todos",datos_base!$C$11+datos_base!$C$25,0))*parametros_manuales!$G$105+parametros_manuales!$G$30*(datos_base!$C$5+datos_base!$C$21+IF(parametros_manuales!$H$30="Todos",datos_base!$C$12+datos_base!$C$26,0))*parametros_manuales!$G$110)*parametros_manuales!$I$30*parametros_manuales!$J$30</f>
        <v>784.34680049</v>
      </c>
      <c r="H40" s="9" t="n">
        <f aca="false">(parametros_manuales!$D$30*(datos_base!$C$2+datos_base!$C$18+IF(parametros_manuales!$H$30="Todos",datos_base!$C$9+datos_base!$C$23,0))*parametros_manuales!$H$95+parametros_manuales!$E$30*(datos_base!$C$3+datos_base!$C$19+IF(parametros_manuales!$H$30="Todos",datos_base!$C$10+datos_base!$C$24,0))*parametros_manuales!$H$100+parametros_manuales!$F$30*(datos_base!$C$4+datos_base!$C$20+IF(parametros_manuales!$H$30="Todos",datos_base!$C$11+datos_base!$C$25,0))*parametros_manuales!$H$105+parametros_manuales!$G$30*(datos_base!$C$5+datos_base!$C$21+IF(parametros_manuales!$H$30="Todos",datos_base!$C$12+datos_base!$C$26,0))*parametros_manuales!$H$110)*parametros_manuales!$I$30*parametros_manuales!$J$30</f>
        <v>838.635688515</v>
      </c>
      <c r="I40" s="9" t="n">
        <f aca="false">(parametros_manuales!$D$30*(datos_base!$C$2+datos_base!$C$18+IF(parametros_manuales!$H$30="Todos",datos_base!$C$9+datos_base!$C$23,0))*parametros_manuales!$I$95+parametros_manuales!$E$30*(datos_base!$C$3+datos_base!$C$19+IF(parametros_manuales!$H$30="Todos",datos_base!$C$10+datos_base!$C$24,0))*parametros_manuales!$I$100+parametros_manuales!$F$30*(datos_base!$C$4+datos_base!$C$20+IF(parametros_manuales!$H$30="Todos",datos_base!$C$11+datos_base!$C$25,0))*parametros_manuales!$I$105+parametros_manuales!$G$30*(datos_base!$C$5+datos_base!$C$21+IF(parametros_manuales!$H$30="Todos",datos_base!$C$12+datos_base!$C$26,0))*parametros_manuales!$I$110)*parametros_manuales!$I$30*parametros_manuales!$J$30</f>
        <v>928.59524817</v>
      </c>
      <c r="J40" s="9" t="n">
        <f aca="false">(parametros_manuales!$D$30*(datos_base!$C$2+datos_base!$C$18+IF(parametros_manuales!$H$30="Todos",datos_base!$C$9+datos_base!$C$23,0))*parametros_manuales!$J$95+parametros_manuales!$E$30*(datos_base!$C$3+datos_base!$C$19+IF(parametros_manuales!$H$30="Todos",datos_base!$C$10+datos_base!$C$24,0))*parametros_manuales!$J$100+parametros_manuales!$F$30*(datos_base!$C$4+datos_base!$C$20+IF(parametros_manuales!$H$30="Todos",datos_base!$C$11+datos_base!$C$25,0))*parametros_manuales!$J$105+parametros_manuales!$G$30*(datos_base!$C$5+datos_base!$C$21+IF(parametros_manuales!$H$30="Todos",datos_base!$C$12+datos_base!$C$26,0))*parametros_manuales!$J$110)*parametros_manuales!$I$30*parametros_manuales!$J$30</f>
        <v>928.59524817</v>
      </c>
      <c r="K40" s="9" t="n">
        <f aca="false">(parametros_manuales!$D$30*(datos_base!$C$2+datos_base!$C$18+IF(parametros_manuales!$H$30="Todos",datos_base!$C$9+datos_base!$C$23,0))*parametros_manuales!$K$95+parametros_manuales!$E$30*(datos_base!$C$3+datos_base!$C$19+IF(parametros_manuales!$H$30="Todos",datos_base!$C$10+datos_base!$C$24,0))*parametros_manuales!$K$100+parametros_manuales!$F$30*(datos_base!$C$4+datos_base!$C$20+IF(parametros_manuales!$H$30="Todos",datos_base!$C$11+datos_base!$C$25,0))*parametros_manuales!$K$105+parametros_manuales!$G$30*(datos_base!$C$5+datos_base!$C$21+IF(parametros_manuales!$H$30="Todos",datos_base!$C$12+datos_base!$C$26,0))*parametros_manuales!$K$110)*parametros_manuales!$I$30*parametros_manuales!$J$30</f>
        <v>952.89761631</v>
      </c>
      <c r="L40" s="9" t="n">
        <f aca="false">(parametros_manuales!$D$30*(datos_base!$C$2+datos_base!$C$18+IF(parametros_manuales!$H$30="Todos",datos_base!$C$9+datos_base!$C$23,0))*parametros_manuales!$L$95+parametros_manuales!$E$30*(datos_base!$C$3+datos_base!$C$19+IF(parametros_manuales!$H$30="Todos",datos_base!$C$10+datos_base!$C$24,0))*parametros_manuales!$L$100+parametros_manuales!$F$30*(datos_base!$C$4+datos_base!$C$20+IF(parametros_manuales!$H$30="Todos",datos_base!$C$11+datos_base!$C$25,0))*parametros_manuales!$L$105+parametros_manuales!$G$30*(datos_base!$C$5+datos_base!$C$21+IF(parametros_manuales!$H$30="Todos",datos_base!$C$12+datos_base!$C$26,0))*parametros_manuales!$L$110)*parametros_manuales!$I$30*parametros_manuales!$J$30</f>
        <v>977.19998445</v>
      </c>
      <c r="M40" s="9" t="n">
        <f aca="false">(parametros_manuales!$D$30*(datos_base!$C$2+datos_base!$C$18+IF(parametros_manuales!$H$30="Todos",datos_base!$C$9+datos_base!$C$23,0))*parametros_manuales!$M$95+parametros_manuales!$E$30*(datos_base!$C$3+datos_base!$C$19+IF(parametros_manuales!$H$30="Todos",datos_base!$C$10+datos_base!$C$24,0))*parametros_manuales!$M$100+parametros_manuales!$F$30*(datos_base!$C$4+datos_base!$C$20+IF(parametros_manuales!$H$30="Todos",datos_base!$C$11+datos_base!$C$25,0))*parametros_manuales!$M$105+parametros_manuales!$G$30*(datos_base!$C$5+datos_base!$C$21+IF(parametros_manuales!$H$30="Todos",datos_base!$C$12+datos_base!$C$26,0))*parametros_manuales!$M$110)*parametros_manuales!$I$30*parametros_manuales!$J$30</f>
        <v>977.19998445</v>
      </c>
      <c r="N40" s="9" t="n">
        <f aca="false">SUM(B40:M40)</f>
        <v>10857.777605</v>
      </c>
      <c r="O40" s="9" t="n">
        <f aca="false">MAX(B40:M40)</f>
        <v>977.19998445</v>
      </c>
      <c r="P40" s="43" t="n">
        <f aca="false">O40/(parametros_manuales!$B$7)</f>
        <v>6.514666563</v>
      </c>
      <c r="Q40" s="8" t="str">
        <f aca="false">IF(O40=0,"-",INDEX($B$28:$M$28,MATCH(O40,B40:M40,0)))</f>
        <v>Ene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datos_base!$C$2+datos_base!$C$18+IF(parametros_manuales!$H$31="Todos",datos_base!$C$9+datos_base!$C$23,0))*parametros_manuales!$B$95+parametros_manuales!$E$31*(datos_base!$C$3+datos_base!$C$19+IF(parametros_manuales!$H$31="Todos",datos_base!$C$10+datos_base!$C$24,0))*parametros_manuales!$B$100+parametros_manuales!$F$31*(datos_base!$C$4+datos_base!$C$20+IF(parametros_manuales!$H$31="Todos",datos_base!$C$11+datos_base!$C$25,0))*parametros_manuales!$B$105+parametros_manuales!$G$31*(datos_base!$C$5+datos_base!$C$21+IF(parametros_manuales!$H$31="Todos",datos_base!$C$12+datos_base!$C$26,0))*parametros_manuales!$B$110)*parametros_manuales!$I$31*parametros_manuales!$J$31</f>
        <v>19.543999689</v>
      </c>
      <c r="C41" s="9" t="n">
        <f aca="false">(parametros_manuales!$D$31*(datos_base!$C$2+datos_base!$C$18+IF(parametros_manuales!$H$31="Todos",datos_base!$C$9+datos_base!$C$23,0))*parametros_manuales!$C$95+parametros_manuales!$E$31*(datos_base!$C$3+datos_base!$C$19+IF(parametros_manuales!$H$31="Todos",datos_base!$C$10+datos_base!$C$24,0))*parametros_manuales!$C$100+parametros_manuales!$F$31*(datos_base!$C$4+datos_base!$C$20+IF(parametros_manuales!$H$31="Todos",datos_base!$C$11+datos_base!$C$25,0))*parametros_manuales!$C$105+parametros_manuales!$G$31*(datos_base!$C$5+datos_base!$C$21+IF(parametros_manuales!$H$31="Todos",datos_base!$C$12+datos_base!$C$26,0))*parametros_manuales!$C$110)*parametros_manuales!$I$31*parametros_manuales!$J$31</f>
        <v>18.5719049634</v>
      </c>
      <c r="D41" s="9" t="n">
        <f aca="false">(parametros_manuales!$D$31*(datos_base!$C$2+datos_base!$C$18+IF(parametros_manuales!$H$31="Todos",datos_base!$C$9+datos_base!$C$23,0))*parametros_manuales!$D$95+parametros_manuales!$E$31*(datos_base!$C$3+datos_base!$C$19+IF(parametros_manuales!$H$31="Todos",datos_base!$C$10+datos_base!$C$24,0))*parametros_manuales!$D$100+parametros_manuales!$F$31*(datos_base!$C$4+datos_base!$C$20+IF(parametros_manuales!$H$31="Todos",datos_base!$C$11+datos_base!$C$25,0))*parametros_manuales!$D$105+parametros_manuales!$G$31*(datos_base!$C$5+datos_base!$C$21+IF(parametros_manuales!$H$31="Todos",datos_base!$C$12+datos_base!$C$26,0))*parametros_manuales!$D$110)*parametros_manuales!$I$31*parametros_manuales!$J$31</f>
        <v>17.8584915308</v>
      </c>
      <c r="E41" s="9" t="n">
        <f aca="false">(parametros_manuales!$D$31*(datos_base!$C$2+datos_base!$C$18+IF(parametros_manuales!$H$31="Todos",datos_base!$C$9+datos_base!$C$23,0))*parametros_manuales!$E$95+parametros_manuales!$E$31*(datos_base!$C$3+datos_base!$C$19+IF(parametros_manuales!$H$31="Todos",datos_base!$C$10+datos_base!$C$24,0))*parametros_manuales!$E$100+parametros_manuales!$F$31*(datos_base!$C$4+datos_base!$C$20+IF(parametros_manuales!$H$31="Todos",datos_base!$C$11+datos_base!$C$25,0))*parametros_manuales!$E$105+parametros_manuales!$G$31*(datos_base!$C$5+datos_base!$C$21+IF(parametros_manuales!$H$31="Todos",datos_base!$C$12+datos_base!$C$26,0))*parametros_manuales!$E$110)*parametros_manuales!$I$31*parametros_manuales!$J$31</f>
        <v>17.2587611331</v>
      </c>
      <c r="F41" s="9" t="n">
        <f aca="false">(parametros_manuales!$D$31*(datos_base!$C$2+datos_base!$C$18+IF(parametros_manuales!$H$31="Todos",datos_base!$C$9+datos_base!$C$23,0))*parametros_manuales!$F$95+parametros_manuales!$E$31*(datos_base!$C$3+datos_base!$C$19+IF(parametros_manuales!$H$31="Todos",datos_base!$C$10+datos_base!$C$24,0))*parametros_manuales!$F$100+parametros_manuales!$F$31*(datos_base!$C$4+datos_base!$C$20+IF(parametros_manuales!$H$31="Todos",datos_base!$C$11+datos_base!$C$25,0))*parametros_manuales!$F$105+parametros_manuales!$G$31*(datos_base!$C$5+datos_base!$C$21+IF(parametros_manuales!$H$31="Todos",datos_base!$C$12+datos_base!$C$26,0))*parametros_manuales!$F$110)*parametros_manuales!$I$31*parametros_manuales!$J$31</f>
        <v>16.1729833726</v>
      </c>
      <c r="G41" s="9" t="n">
        <f aca="false">(parametros_manuales!$D$31*(datos_base!$C$2+datos_base!$C$18+IF(parametros_manuales!$H$31="Todos",datos_base!$C$9+datos_base!$C$23,0))*parametros_manuales!$G$95+parametros_manuales!$E$31*(datos_base!$C$3+datos_base!$C$19+IF(parametros_manuales!$H$31="Todos",datos_base!$C$10+datos_base!$C$24,0))*parametros_manuales!$G$100+parametros_manuales!$F$31*(datos_base!$C$4+datos_base!$C$20+IF(parametros_manuales!$H$31="Todos",datos_base!$C$11+datos_base!$C$25,0))*parametros_manuales!$G$105+parametros_manuales!$G$31*(datos_base!$C$5+datos_base!$C$21+IF(parametros_manuales!$H$31="Todos",datos_base!$C$12+datos_base!$C$26,0))*parametros_manuales!$G$110)*parametros_manuales!$I$31*parametros_manuales!$J$31</f>
        <v>15.6869360098</v>
      </c>
      <c r="H41" s="9" t="n">
        <f aca="false">(parametros_manuales!$D$31*(datos_base!$C$2+datos_base!$C$18+IF(parametros_manuales!$H$31="Todos",datos_base!$C$9+datos_base!$C$23,0))*parametros_manuales!$H$95+parametros_manuales!$E$31*(datos_base!$C$3+datos_base!$C$19+IF(parametros_manuales!$H$31="Todos",datos_base!$C$10+datos_base!$C$24,0))*parametros_manuales!$H$100+parametros_manuales!$F$31*(datos_base!$C$4+datos_base!$C$20+IF(parametros_manuales!$H$31="Todos",datos_base!$C$11+datos_base!$C$25,0))*parametros_manuales!$H$105+parametros_manuales!$G$31*(datos_base!$C$5+datos_base!$C$21+IF(parametros_manuales!$H$31="Todos",datos_base!$C$12+datos_base!$C$26,0))*parametros_manuales!$H$110)*parametros_manuales!$I$31*parametros_manuales!$J$31</f>
        <v>16.7727137703</v>
      </c>
      <c r="I41" s="9" t="n">
        <f aca="false">(parametros_manuales!$D$31*(datos_base!$C$2+datos_base!$C$18+IF(parametros_manuales!$H$31="Todos",datos_base!$C$9+datos_base!$C$23,0))*parametros_manuales!$I$95+parametros_manuales!$E$31*(datos_base!$C$3+datos_base!$C$19+IF(parametros_manuales!$H$31="Todos",datos_base!$C$10+datos_base!$C$24,0))*parametros_manuales!$I$100+parametros_manuales!$F$31*(datos_base!$C$4+datos_base!$C$20+IF(parametros_manuales!$H$31="Todos",datos_base!$C$11+datos_base!$C$25,0))*parametros_manuales!$I$105+parametros_manuales!$G$31*(datos_base!$C$5+datos_base!$C$21+IF(parametros_manuales!$H$31="Todos",datos_base!$C$12+datos_base!$C$26,0))*parametros_manuales!$I$110)*parametros_manuales!$I$31*parametros_manuales!$J$31</f>
        <v>18.5719049634</v>
      </c>
      <c r="J41" s="9" t="n">
        <f aca="false">(parametros_manuales!$D$31*(datos_base!$C$2+datos_base!$C$18+IF(parametros_manuales!$H$31="Todos",datos_base!$C$9+datos_base!$C$23,0))*parametros_manuales!$J$95+parametros_manuales!$E$31*(datos_base!$C$3+datos_base!$C$19+IF(parametros_manuales!$H$31="Todos",datos_base!$C$10+datos_base!$C$24,0))*parametros_manuales!$J$100+parametros_manuales!$F$31*(datos_base!$C$4+datos_base!$C$20+IF(parametros_manuales!$H$31="Todos",datos_base!$C$11+datos_base!$C$25,0))*parametros_manuales!$J$105+parametros_manuales!$G$31*(datos_base!$C$5+datos_base!$C$21+IF(parametros_manuales!$H$31="Todos",datos_base!$C$12+datos_base!$C$26,0))*parametros_manuales!$J$110)*parametros_manuales!$I$31*parametros_manuales!$J$31</f>
        <v>18.5719049634</v>
      </c>
      <c r="K41" s="9" t="n">
        <f aca="false">(parametros_manuales!$D$31*(datos_base!$C$2+datos_base!$C$18+IF(parametros_manuales!$H$31="Todos",datos_base!$C$9+datos_base!$C$23,0))*parametros_manuales!$K$95+parametros_manuales!$E$31*(datos_base!$C$3+datos_base!$C$19+IF(parametros_manuales!$H$31="Todos",datos_base!$C$10+datos_base!$C$24,0))*parametros_manuales!$K$100+parametros_manuales!$F$31*(datos_base!$C$4+datos_base!$C$20+IF(parametros_manuales!$H$31="Todos",datos_base!$C$11+datos_base!$C$25,0))*parametros_manuales!$K$105+parametros_manuales!$G$31*(datos_base!$C$5+datos_base!$C$21+IF(parametros_manuales!$H$31="Todos",datos_base!$C$12+datos_base!$C$26,0))*parametros_manuales!$K$110)*parametros_manuales!$I$31*parametros_manuales!$J$31</f>
        <v>19.0579523262</v>
      </c>
      <c r="L41" s="9" t="n">
        <f aca="false">(parametros_manuales!$D$31*(datos_base!$C$2+datos_base!$C$18+IF(parametros_manuales!$H$31="Todos",datos_base!$C$9+datos_base!$C$23,0))*parametros_manuales!$L$95+parametros_manuales!$E$31*(datos_base!$C$3+datos_base!$C$19+IF(parametros_manuales!$H$31="Todos",datos_base!$C$10+datos_base!$C$24,0))*parametros_manuales!$L$100+parametros_manuales!$F$31*(datos_base!$C$4+datos_base!$C$20+IF(parametros_manuales!$H$31="Todos",datos_base!$C$11+datos_base!$C$25,0))*parametros_manuales!$L$105+parametros_manuales!$G$31*(datos_base!$C$5+datos_base!$C$21+IF(parametros_manuales!$H$31="Todos",datos_base!$C$12+datos_base!$C$26,0))*parametros_manuales!$L$110)*parametros_manuales!$I$31*parametros_manuales!$J$31</f>
        <v>19.543999689</v>
      </c>
      <c r="M41" s="9" t="n">
        <f aca="false">(parametros_manuales!$D$31*(datos_base!$C$2+datos_base!$C$18+IF(parametros_manuales!$H$31="Todos",datos_base!$C$9+datos_base!$C$23,0))*parametros_manuales!$M$95+parametros_manuales!$E$31*(datos_base!$C$3+datos_base!$C$19+IF(parametros_manuales!$H$31="Todos",datos_base!$C$10+datos_base!$C$24,0))*parametros_manuales!$M$100+parametros_manuales!$F$31*(datos_base!$C$4+datos_base!$C$20+IF(parametros_manuales!$H$31="Todos",datos_base!$C$11+datos_base!$C$25,0))*parametros_manuales!$M$105+parametros_manuales!$G$31*(datos_base!$C$5+datos_base!$C$21+IF(parametros_manuales!$H$31="Todos",datos_base!$C$12+datos_base!$C$26,0))*parametros_manuales!$M$110)*parametros_manuales!$I$31*parametros_manuales!$J$31</f>
        <v>19.543999689</v>
      </c>
      <c r="N41" s="9" t="n">
        <f aca="false">SUM(B41:M41)</f>
        <v>217.1555521</v>
      </c>
      <c r="O41" s="9" t="n">
        <f aca="false">MAX(B41:M41)</f>
        <v>19.543999689</v>
      </c>
      <c r="P41" s="43" t="n">
        <f aca="false">O41/(parametros_manuales!$B$7)</f>
        <v>0.13029333126</v>
      </c>
      <c r="Q41" s="8" t="str">
        <f aca="false">IF(O41=0,"-",INDEX($B$28:$M$28,MATCH(O41,B41:M41,0)))</f>
        <v>Ene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datos_base!$C$2+datos_base!$C$18+IF(parametros_manuales!$H$32="Todos",datos_base!$C$9+datos_base!$C$23,0))*parametros_manuales!$B$95+parametros_manuales!$E$32*(datos_base!$C$3+datos_base!$C$19+IF(parametros_manuales!$H$32="Todos",datos_base!$C$10+datos_base!$C$24,0))*parametros_manuales!$B$100+parametros_manuales!$F$32*(datos_base!$C$4+datos_base!$C$20+IF(parametros_manuales!$H$32="Todos",datos_base!$C$11+datos_base!$C$25,0))*parametros_manuales!$B$105+parametros_manuales!$G$32*(datos_base!$C$5+datos_base!$C$21+IF(parametros_manuales!$H$32="Todos",datos_base!$C$12+datos_base!$C$26,0))*parametros_manuales!$B$110)*parametros_manuales!$I$32*parametros_manuales!$J$32</f>
        <v>977.19998445</v>
      </c>
      <c r="C42" s="9" t="n">
        <f aca="false">(parametros_manuales!$D$32*(datos_base!$C$2+datos_base!$C$18+IF(parametros_manuales!$H$32="Todos",datos_base!$C$9+datos_base!$C$23,0))*parametros_manuales!$C$95+parametros_manuales!$E$32*(datos_base!$C$3+datos_base!$C$19+IF(parametros_manuales!$H$32="Todos",datos_base!$C$10+datos_base!$C$24,0))*parametros_manuales!$C$100+parametros_manuales!$F$32*(datos_base!$C$4+datos_base!$C$20+IF(parametros_manuales!$H$32="Todos",datos_base!$C$11+datos_base!$C$25,0))*parametros_manuales!$C$105+parametros_manuales!$G$32*(datos_base!$C$5+datos_base!$C$21+IF(parametros_manuales!$H$32="Todos",datos_base!$C$12+datos_base!$C$26,0))*parametros_manuales!$C$110)*parametros_manuales!$I$32*parametros_manuales!$J$32</f>
        <v>928.59524817</v>
      </c>
      <c r="D42" s="9" t="n">
        <f aca="false">(parametros_manuales!$D$32*(datos_base!$C$2+datos_base!$C$18+IF(parametros_manuales!$H$32="Todos",datos_base!$C$9+datos_base!$C$23,0))*parametros_manuales!$D$95+parametros_manuales!$E$32*(datos_base!$C$3+datos_base!$C$19+IF(parametros_manuales!$H$32="Todos",datos_base!$C$10+datos_base!$C$24,0))*parametros_manuales!$D$100+parametros_manuales!$F$32*(datos_base!$C$4+datos_base!$C$20+IF(parametros_manuales!$H$32="Todos",datos_base!$C$11+datos_base!$C$25,0))*parametros_manuales!$D$105+parametros_manuales!$G$32*(datos_base!$C$5+datos_base!$C$21+IF(parametros_manuales!$H$32="Todos",datos_base!$C$12+datos_base!$C$26,0))*parametros_manuales!$D$110)*parametros_manuales!$I$32*parametros_manuales!$J$32</f>
        <v>892.92457654</v>
      </c>
      <c r="E42" s="9" t="n">
        <f aca="false">(parametros_manuales!$D$32*(datos_base!$C$2+datos_base!$C$18+IF(parametros_manuales!$H$32="Todos",datos_base!$C$9+datos_base!$C$23,0))*parametros_manuales!$E$95+parametros_manuales!$E$32*(datos_base!$C$3+datos_base!$C$19+IF(parametros_manuales!$H$32="Todos",datos_base!$C$10+datos_base!$C$24,0))*parametros_manuales!$E$100+parametros_manuales!$F$32*(datos_base!$C$4+datos_base!$C$20+IF(parametros_manuales!$H$32="Todos",datos_base!$C$11+datos_base!$C$25,0))*parametros_manuales!$E$105+parametros_manuales!$G$32*(datos_base!$C$5+datos_base!$C$21+IF(parametros_manuales!$H$32="Todos",datos_base!$C$12+datos_base!$C$26,0))*parametros_manuales!$E$110)*parametros_manuales!$I$32*parametros_manuales!$J$32</f>
        <v>862.938056655</v>
      </c>
      <c r="F42" s="9" t="n">
        <f aca="false">(parametros_manuales!$D$32*(datos_base!$C$2+datos_base!$C$18+IF(parametros_manuales!$H$32="Todos",datos_base!$C$9+datos_base!$C$23,0))*parametros_manuales!$F$95+parametros_manuales!$E$32*(datos_base!$C$3+datos_base!$C$19+IF(parametros_manuales!$H$32="Todos",datos_base!$C$10+datos_base!$C$24,0))*parametros_manuales!$F$100+parametros_manuales!$F$32*(datos_base!$C$4+datos_base!$C$20+IF(parametros_manuales!$H$32="Todos",datos_base!$C$11+datos_base!$C$25,0))*parametros_manuales!$F$105+parametros_manuales!$G$32*(datos_base!$C$5+datos_base!$C$21+IF(parametros_manuales!$H$32="Todos",datos_base!$C$12+datos_base!$C$26,0))*parametros_manuales!$F$110)*parametros_manuales!$I$32*parametros_manuales!$J$32</f>
        <v>808.64916863</v>
      </c>
      <c r="G42" s="9" t="n">
        <f aca="false">(parametros_manuales!$D$32*(datos_base!$C$2+datos_base!$C$18+IF(parametros_manuales!$H$32="Todos",datos_base!$C$9+datos_base!$C$23,0))*parametros_manuales!$G$95+parametros_manuales!$E$32*(datos_base!$C$3+datos_base!$C$19+IF(parametros_manuales!$H$32="Todos",datos_base!$C$10+datos_base!$C$24,0))*parametros_manuales!$G$100+parametros_manuales!$F$32*(datos_base!$C$4+datos_base!$C$20+IF(parametros_manuales!$H$32="Todos",datos_base!$C$11+datos_base!$C$25,0))*parametros_manuales!$G$105+parametros_manuales!$G$32*(datos_base!$C$5+datos_base!$C$21+IF(parametros_manuales!$H$32="Todos",datos_base!$C$12+datos_base!$C$26,0))*parametros_manuales!$G$110)*parametros_manuales!$I$32*parametros_manuales!$J$32</f>
        <v>784.34680049</v>
      </c>
      <c r="H42" s="9" t="n">
        <f aca="false">(parametros_manuales!$D$32*(datos_base!$C$2+datos_base!$C$18+IF(parametros_manuales!$H$32="Todos",datos_base!$C$9+datos_base!$C$23,0))*parametros_manuales!$H$95+parametros_manuales!$E$32*(datos_base!$C$3+datos_base!$C$19+IF(parametros_manuales!$H$32="Todos",datos_base!$C$10+datos_base!$C$24,0))*parametros_manuales!$H$100+parametros_manuales!$F$32*(datos_base!$C$4+datos_base!$C$20+IF(parametros_manuales!$H$32="Todos",datos_base!$C$11+datos_base!$C$25,0))*parametros_manuales!$H$105+parametros_manuales!$G$32*(datos_base!$C$5+datos_base!$C$21+IF(parametros_manuales!$H$32="Todos",datos_base!$C$12+datos_base!$C$26,0))*parametros_manuales!$H$110)*parametros_manuales!$I$32*parametros_manuales!$J$32</f>
        <v>838.635688515</v>
      </c>
      <c r="I42" s="9" t="n">
        <f aca="false">(parametros_manuales!$D$32*(datos_base!$C$2+datos_base!$C$18+IF(parametros_manuales!$H$32="Todos",datos_base!$C$9+datos_base!$C$23,0))*parametros_manuales!$I$95+parametros_manuales!$E$32*(datos_base!$C$3+datos_base!$C$19+IF(parametros_manuales!$H$32="Todos",datos_base!$C$10+datos_base!$C$24,0))*parametros_manuales!$I$100+parametros_manuales!$F$32*(datos_base!$C$4+datos_base!$C$20+IF(parametros_manuales!$H$32="Todos",datos_base!$C$11+datos_base!$C$25,0))*parametros_manuales!$I$105+parametros_manuales!$G$32*(datos_base!$C$5+datos_base!$C$21+IF(parametros_manuales!$H$32="Todos",datos_base!$C$12+datos_base!$C$26,0))*parametros_manuales!$I$110)*parametros_manuales!$I$32*parametros_manuales!$J$32</f>
        <v>928.59524817</v>
      </c>
      <c r="J42" s="9" t="n">
        <f aca="false">(parametros_manuales!$D$32*(datos_base!$C$2+datos_base!$C$18+IF(parametros_manuales!$H$32="Todos",datos_base!$C$9+datos_base!$C$23,0))*parametros_manuales!$J$95+parametros_manuales!$E$32*(datos_base!$C$3+datos_base!$C$19+IF(parametros_manuales!$H$32="Todos",datos_base!$C$10+datos_base!$C$24,0))*parametros_manuales!$J$100+parametros_manuales!$F$32*(datos_base!$C$4+datos_base!$C$20+IF(parametros_manuales!$H$32="Todos",datos_base!$C$11+datos_base!$C$25,0))*parametros_manuales!$J$105+parametros_manuales!$G$32*(datos_base!$C$5+datos_base!$C$21+IF(parametros_manuales!$H$32="Todos",datos_base!$C$12+datos_base!$C$26,0))*parametros_manuales!$J$110)*parametros_manuales!$I$32*parametros_manuales!$J$32</f>
        <v>928.59524817</v>
      </c>
      <c r="K42" s="9" t="n">
        <f aca="false">(parametros_manuales!$D$32*(datos_base!$C$2+datos_base!$C$18+IF(parametros_manuales!$H$32="Todos",datos_base!$C$9+datos_base!$C$23,0))*parametros_manuales!$K$95+parametros_manuales!$E$32*(datos_base!$C$3+datos_base!$C$19+IF(parametros_manuales!$H$32="Todos",datos_base!$C$10+datos_base!$C$24,0))*parametros_manuales!$K$100+parametros_manuales!$F$32*(datos_base!$C$4+datos_base!$C$20+IF(parametros_manuales!$H$32="Todos",datos_base!$C$11+datos_base!$C$25,0))*parametros_manuales!$K$105+parametros_manuales!$G$32*(datos_base!$C$5+datos_base!$C$21+IF(parametros_manuales!$H$32="Todos",datos_base!$C$12+datos_base!$C$26,0))*parametros_manuales!$K$110)*parametros_manuales!$I$32*parametros_manuales!$J$32</f>
        <v>952.89761631</v>
      </c>
      <c r="L42" s="9" t="n">
        <f aca="false">(parametros_manuales!$D$32*(datos_base!$C$2+datos_base!$C$18+IF(parametros_manuales!$H$32="Todos",datos_base!$C$9+datos_base!$C$23,0))*parametros_manuales!$L$95+parametros_manuales!$E$32*(datos_base!$C$3+datos_base!$C$19+IF(parametros_manuales!$H$32="Todos",datos_base!$C$10+datos_base!$C$24,0))*parametros_manuales!$L$100+parametros_manuales!$F$32*(datos_base!$C$4+datos_base!$C$20+IF(parametros_manuales!$H$32="Todos",datos_base!$C$11+datos_base!$C$25,0))*parametros_manuales!$L$105+parametros_manuales!$G$32*(datos_base!$C$5+datos_base!$C$21+IF(parametros_manuales!$H$32="Todos",datos_base!$C$12+datos_base!$C$26,0))*parametros_manuales!$L$110)*parametros_manuales!$I$32*parametros_manuales!$J$32</f>
        <v>977.19998445</v>
      </c>
      <c r="M42" s="9" t="n">
        <f aca="false">(parametros_manuales!$D$32*(datos_base!$C$2+datos_base!$C$18+IF(parametros_manuales!$H$32="Todos",datos_base!$C$9+datos_base!$C$23,0))*parametros_manuales!$M$95+parametros_manuales!$E$32*(datos_base!$C$3+datos_base!$C$19+IF(parametros_manuales!$H$32="Todos",datos_base!$C$10+datos_base!$C$24,0))*parametros_manuales!$M$100+parametros_manuales!$F$32*(datos_base!$C$4+datos_base!$C$20+IF(parametros_manuales!$H$32="Todos",datos_base!$C$11+datos_base!$C$25,0))*parametros_manuales!$M$105+parametros_manuales!$G$32*(datos_base!$C$5+datos_base!$C$21+IF(parametros_manuales!$H$32="Todos",datos_base!$C$12+datos_base!$C$26,0))*parametros_manuales!$M$110)*parametros_manuales!$I$32*parametros_manuales!$J$32</f>
        <v>977.19998445</v>
      </c>
      <c r="N42" s="9" t="n">
        <f aca="false">SUM(B42:M42)</f>
        <v>10857.777605</v>
      </c>
      <c r="O42" s="9" t="n">
        <f aca="false">MAX(B42:M42)</f>
        <v>977.19998445</v>
      </c>
      <c r="P42" s="43" t="n">
        <f aca="false">O42/(parametros_manuales!$B$7)</f>
        <v>6.514666563</v>
      </c>
      <c r="Q42" s="8" t="str">
        <f aca="false">IF(O42=0,"-",INDEX($B$28:$M$28,MATCH(O42,B42:M42,0)))</f>
        <v>Ene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datos_base!$C$2+datos_base!$C$18+IF(parametros_manuales!$H$33="Todos",datos_base!$C$9+datos_base!$C$23,0))*parametros_manuales!$B$95+parametros_manuales!$E$33*(datos_base!$C$3+datos_base!$C$19+IF(parametros_manuales!$H$33="Todos",datos_base!$C$10+datos_base!$C$24,0))*parametros_manuales!$B$100+parametros_manuales!$F$33*(datos_base!$C$4+datos_base!$C$20+IF(parametros_manuales!$H$33="Todos",datos_base!$C$11+datos_base!$C$25,0))*parametros_manuales!$B$105+parametros_manuales!$G$33*(datos_base!$C$5+datos_base!$C$21+IF(parametros_manuales!$H$33="Todos",datos_base!$C$12+datos_base!$C$26,0))*parametros_manuales!$B$110)*parametros_manuales!$I$33*parametros_manuales!$J$33</f>
        <v>977.19998445</v>
      </c>
      <c r="C43" s="9" t="n">
        <f aca="false">(parametros_manuales!$D$33*(datos_base!$C$2+datos_base!$C$18+IF(parametros_manuales!$H$33="Todos",datos_base!$C$9+datos_base!$C$23,0))*parametros_manuales!$C$95+parametros_manuales!$E$33*(datos_base!$C$3+datos_base!$C$19+IF(parametros_manuales!$H$33="Todos",datos_base!$C$10+datos_base!$C$24,0))*parametros_manuales!$C$100+parametros_manuales!$F$33*(datos_base!$C$4+datos_base!$C$20+IF(parametros_manuales!$H$33="Todos",datos_base!$C$11+datos_base!$C$25,0))*parametros_manuales!$C$105+parametros_manuales!$G$33*(datos_base!$C$5+datos_base!$C$21+IF(parametros_manuales!$H$33="Todos",datos_base!$C$12+datos_base!$C$26,0))*parametros_manuales!$C$110)*parametros_manuales!$I$33*parametros_manuales!$J$33</f>
        <v>928.59524817</v>
      </c>
      <c r="D43" s="9" t="n">
        <f aca="false">(parametros_manuales!$D$33*(datos_base!$C$2+datos_base!$C$18+IF(parametros_manuales!$H$33="Todos",datos_base!$C$9+datos_base!$C$23,0))*parametros_manuales!$D$95+parametros_manuales!$E$33*(datos_base!$C$3+datos_base!$C$19+IF(parametros_manuales!$H$33="Todos",datos_base!$C$10+datos_base!$C$24,0))*parametros_manuales!$D$100+parametros_manuales!$F$33*(datos_base!$C$4+datos_base!$C$20+IF(parametros_manuales!$H$33="Todos",datos_base!$C$11+datos_base!$C$25,0))*parametros_manuales!$D$105+parametros_manuales!$G$33*(datos_base!$C$5+datos_base!$C$21+IF(parametros_manuales!$H$33="Todos",datos_base!$C$12+datos_base!$C$26,0))*parametros_manuales!$D$110)*parametros_manuales!$I$33*parametros_manuales!$J$33</f>
        <v>892.92457654</v>
      </c>
      <c r="E43" s="9" t="n">
        <f aca="false">(parametros_manuales!$D$33*(datos_base!$C$2+datos_base!$C$18+IF(parametros_manuales!$H$33="Todos",datos_base!$C$9+datos_base!$C$23,0))*parametros_manuales!$E$95+parametros_manuales!$E$33*(datos_base!$C$3+datos_base!$C$19+IF(parametros_manuales!$H$33="Todos",datos_base!$C$10+datos_base!$C$24,0))*parametros_manuales!$E$100+parametros_manuales!$F$33*(datos_base!$C$4+datos_base!$C$20+IF(parametros_manuales!$H$33="Todos",datos_base!$C$11+datos_base!$C$25,0))*parametros_manuales!$E$105+parametros_manuales!$G$33*(datos_base!$C$5+datos_base!$C$21+IF(parametros_manuales!$H$33="Todos",datos_base!$C$12+datos_base!$C$26,0))*parametros_manuales!$E$110)*parametros_manuales!$I$33*parametros_manuales!$J$33</f>
        <v>862.938056655</v>
      </c>
      <c r="F43" s="9" t="n">
        <f aca="false">(parametros_manuales!$D$33*(datos_base!$C$2+datos_base!$C$18+IF(parametros_manuales!$H$33="Todos",datos_base!$C$9+datos_base!$C$23,0))*parametros_manuales!$F$95+parametros_manuales!$E$33*(datos_base!$C$3+datos_base!$C$19+IF(parametros_manuales!$H$33="Todos",datos_base!$C$10+datos_base!$C$24,0))*parametros_manuales!$F$100+parametros_manuales!$F$33*(datos_base!$C$4+datos_base!$C$20+IF(parametros_manuales!$H$33="Todos",datos_base!$C$11+datos_base!$C$25,0))*parametros_manuales!$F$105+parametros_manuales!$G$33*(datos_base!$C$5+datos_base!$C$21+IF(parametros_manuales!$H$33="Todos",datos_base!$C$12+datos_base!$C$26,0))*parametros_manuales!$F$110)*parametros_manuales!$I$33*parametros_manuales!$J$33</f>
        <v>808.64916863</v>
      </c>
      <c r="G43" s="9" t="n">
        <f aca="false">(parametros_manuales!$D$33*(datos_base!$C$2+datos_base!$C$18+IF(parametros_manuales!$H$33="Todos",datos_base!$C$9+datos_base!$C$23,0))*parametros_manuales!$G$95+parametros_manuales!$E$33*(datos_base!$C$3+datos_base!$C$19+IF(parametros_manuales!$H$33="Todos",datos_base!$C$10+datos_base!$C$24,0))*parametros_manuales!$G$100+parametros_manuales!$F$33*(datos_base!$C$4+datos_base!$C$20+IF(parametros_manuales!$H$33="Todos",datos_base!$C$11+datos_base!$C$25,0))*parametros_manuales!$G$105+parametros_manuales!$G$33*(datos_base!$C$5+datos_base!$C$21+IF(parametros_manuales!$H$33="Todos",datos_base!$C$12+datos_base!$C$26,0))*parametros_manuales!$G$110)*parametros_manuales!$I$33*parametros_manuales!$J$33</f>
        <v>784.34680049</v>
      </c>
      <c r="H43" s="9" t="n">
        <f aca="false">(parametros_manuales!$D$33*(datos_base!$C$2+datos_base!$C$18+IF(parametros_manuales!$H$33="Todos",datos_base!$C$9+datos_base!$C$23,0))*parametros_manuales!$H$95+parametros_manuales!$E$33*(datos_base!$C$3+datos_base!$C$19+IF(parametros_manuales!$H$33="Todos",datos_base!$C$10+datos_base!$C$24,0))*parametros_manuales!$H$100+parametros_manuales!$F$33*(datos_base!$C$4+datos_base!$C$20+IF(parametros_manuales!$H$33="Todos",datos_base!$C$11+datos_base!$C$25,0))*parametros_manuales!$H$105+parametros_manuales!$G$33*(datos_base!$C$5+datos_base!$C$21+IF(parametros_manuales!$H$33="Todos",datos_base!$C$12+datos_base!$C$26,0))*parametros_manuales!$H$110)*parametros_manuales!$I$33*parametros_manuales!$J$33</f>
        <v>838.635688515</v>
      </c>
      <c r="I43" s="9" t="n">
        <f aca="false">(parametros_manuales!$D$33*(datos_base!$C$2+datos_base!$C$18+IF(parametros_manuales!$H$33="Todos",datos_base!$C$9+datos_base!$C$23,0))*parametros_manuales!$I$95+parametros_manuales!$E$33*(datos_base!$C$3+datos_base!$C$19+IF(parametros_manuales!$H$33="Todos",datos_base!$C$10+datos_base!$C$24,0))*parametros_manuales!$I$100+parametros_manuales!$F$33*(datos_base!$C$4+datos_base!$C$20+IF(parametros_manuales!$H$33="Todos",datos_base!$C$11+datos_base!$C$25,0))*parametros_manuales!$I$105+parametros_manuales!$G$33*(datos_base!$C$5+datos_base!$C$21+IF(parametros_manuales!$H$33="Todos",datos_base!$C$12+datos_base!$C$26,0))*parametros_manuales!$I$110)*parametros_manuales!$I$33*parametros_manuales!$J$33</f>
        <v>928.59524817</v>
      </c>
      <c r="J43" s="9" t="n">
        <f aca="false">(parametros_manuales!$D$33*(datos_base!$C$2+datos_base!$C$18+IF(parametros_manuales!$H$33="Todos",datos_base!$C$9+datos_base!$C$23,0))*parametros_manuales!$J$95+parametros_manuales!$E$33*(datos_base!$C$3+datos_base!$C$19+IF(parametros_manuales!$H$33="Todos",datos_base!$C$10+datos_base!$C$24,0))*parametros_manuales!$J$100+parametros_manuales!$F$33*(datos_base!$C$4+datos_base!$C$20+IF(parametros_manuales!$H$33="Todos",datos_base!$C$11+datos_base!$C$25,0))*parametros_manuales!$J$105+parametros_manuales!$G$33*(datos_base!$C$5+datos_base!$C$21+IF(parametros_manuales!$H$33="Todos",datos_base!$C$12+datos_base!$C$26,0))*parametros_manuales!$J$110)*parametros_manuales!$I$33*parametros_manuales!$J$33</f>
        <v>928.59524817</v>
      </c>
      <c r="K43" s="9" t="n">
        <f aca="false">(parametros_manuales!$D$33*(datos_base!$C$2+datos_base!$C$18+IF(parametros_manuales!$H$33="Todos",datos_base!$C$9+datos_base!$C$23,0))*parametros_manuales!$K$95+parametros_manuales!$E$33*(datos_base!$C$3+datos_base!$C$19+IF(parametros_manuales!$H$33="Todos",datos_base!$C$10+datos_base!$C$24,0))*parametros_manuales!$K$100+parametros_manuales!$F$33*(datos_base!$C$4+datos_base!$C$20+IF(parametros_manuales!$H$33="Todos",datos_base!$C$11+datos_base!$C$25,0))*parametros_manuales!$K$105+parametros_manuales!$G$33*(datos_base!$C$5+datos_base!$C$21+IF(parametros_manuales!$H$33="Todos",datos_base!$C$12+datos_base!$C$26,0))*parametros_manuales!$K$110)*parametros_manuales!$I$33*parametros_manuales!$J$33</f>
        <v>952.89761631</v>
      </c>
      <c r="L43" s="9" t="n">
        <f aca="false">(parametros_manuales!$D$33*(datos_base!$C$2+datos_base!$C$18+IF(parametros_manuales!$H$33="Todos",datos_base!$C$9+datos_base!$C$23,0))*parametros_manuales!$L$95+parametros_manuales!$E$33*(datos_base!$C$3+datos_base!$C$19+IF(parametros_manuales!$H$33="Todos",datos_base!$C$10+datos_base!$C$24,0))*parametros_manuales!$L$100+parametros_manuales!$F$33*(datos_base!$C$4+datos_base!$C$20+IF(parametros_manuales!$H$33="Todos",datos_base!$C$11+datos_base!$C$25,0))*parametros_manuales!$L$105+parametros_manuales!$G$33*(datos_base!$C$5+datos_base!$C$21+IF(parametros_manuales!$H$33="Todos",datos_base!$C$12+datos_base!$C$26,0))*parametros_manuales!$L$110)*parametros_manuales!$I$33*parametros_manuales!$J$33</f>
        <v>977.19998445</v>
      </c>
      <c r="M43" s="9" t="n">
        <f aca="false">(parametros_manuales!$D$33*(datos_base!$C$2+datos_base!$C$18+IF(parametros_manuales!$H$33="Todos",datos_base!$C$9+datos_base!$C$23,0))*parametros_manuales!$M$95+parametros_manuales!$E$33*(datos_base!$C$3+datos_base!$C$19+IF(parametros_manuales!$H$33="Todos",datos_base!$C$10+datos_base!$C$24,0))*parametros_manuales!$M$100+parametros_manuales!$F$33*(datos_base!$C$4+datos_base!$C$20+IF(parametros_manuales!$H$33="Todos",datos_base!$C$11+datos_base!$C$25,0))*parametros_manuales!$M$105+parametros_manuales!$G$33*(datos_base!$C$5+datos_base!$C$21+IF(parametros_manuales!$H$33="Todos",datos_base!$C$12+datos_base!$C$26,0))*parametros_manuales!$M$110)*parametros_manuales!$I$33*parametros_manuales!$J$33</f>
        <v>977.19998445</v>
      </c>
      <c r="N43" s="9" t="n">
        <f aca="false">SUM(B43:M43)</f>
        <v>10857.777605</v>
      </c>
      <c r="O43" s="9" t="n">
        <f aca="false">MAX(B43:M43)</f>
        <v>977.19998445</v>
      </c>
      <c r="P43" s="43" t="n">
        <f aca="false">O43/(parametros_manuales!$B$7)</f>
        <v>6.514666563</v>
      </c>
      <c r="Q43" s="8" t="str">
        <f aca="false">IF(O43=0,"-",INDEX($B$28:$M$28,MATCH(O43,B43:M43,0)))</f>
        <v>Ene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datos_base!$C$2+datos_base!$C$18+IF(parametros_manuales!$H$34="Todos",datos_base!$C$9+datos_base!$C$23,0))*parametros_manuales!$B$95+parametros_manuales!$E$34*(datos_base!$C$3+datos_base!$C$19+IF(parametros_manuales!$H$34="Todos",datos_base!$C$10+datos_base!$C$24,0))*parametros_manuales!$B$100+parametros_manuales!$F$34*(datos_base!$C$4+datos_base!$C$20+IF(parametros_manuales!$H$34="Todos",datos_base!$C$11+datos_base!$C$25,0))*parametros_manuales!$B$105+parametros_manuales!$G$34*(datos_base!$C$5+datos_base!$C$21+IF(parametros_manuales!$H$34="Todos",datos_base!$C$12+datos_base!$C$26,0))*parametros_manuales!$B$110)*parametros_manuales!$I$34*parametros_manuales!$J$34</f>
        <v>977.19998445</v>
      </c>
      <c r="C44" s="9" t="n">
        <f aca="false">(parametros_manuales!$D$34*(datos_base!$C$2+datos_base!$C$18+IF(parametros_manuales!$H$34="Todos",datos_base!$C$9+datos_base!$C$23,0))*parametros_manuales!$C$95+parametros_manuales!$E$34*(datos_base!$C$3+datos_base!$C$19+IF(parametros_manuales!$H$34="Todos",datos_base!$C$10+datos_base!$C$24,0))*parametros_manuales!$C$100+parametros_manuales!$F$34*(datos_base!$C$4+datos_base!$C$20+IF(parametros_manuales!$H$34="Todos",datos_base!$C$11+datos_base!$C$25,0))*parametros_manuales!$C$105+parametros_manuales!$G$34*(datos_base!$C$5+datos_base!$C$21+IF(parametros_manuales!$H$34="Todos",datos_base!$C$12+datos_base!$C$26,0))*parametros_manuales!$C$110)*parametros_manuales!$I$34*parametros_manuales!$J$34</f>
        <v>928.59524817</v>
      </c>
      <c r="D44" s="9" t="n">
        <f aca="false">(parametros_manuales!$D$34*(datos_base!$C$2+datos_base!$C$18+IF(parametros_manuales!$H$34="Todos",datos_base!$C$9+datos_base!$C$23,0))*parametros_manuales!$D$95+parametros_manuales!$E$34*(datos_base!$C$3+datos_base!$C$19+IF(parametros_manuales!$H$34="Todos",datos_base!$C$10+datos_base!$C$24,0))*parametros_manuales!$D$100+parametros_manuales!$F$34*(datos_base!$C$4+datos_base!$C$20+IF(parametros_manuales!$H$34="Todos",datos_base!$C$11+datos_base!$C$25,0))*parametros_manuales!$D$105+parametros_manuales!$G$34*(datos_base!$C$5+datos_base!$C$21+IF(parametros_manuales!$H$34="Todos",datos_base!$C$12+datos_base!$C$26,0))*parametros_manuales!$D$110)*parametros_manuales!$I$34*parametros_manuales!$J$34</f>
        <v>892.92457654</v>
      </c>
      <c r="E44" s="9" t="n">
        <f aca="false">(parametros_manuales!$D$34*(datos_base!$C$2+datos_base!$C$18+IF(parametros_manuales!$H$34="Todos",datos_base!$C$9+datos_base!$C$23,0))*parametros_manuales!$E$95+parametros_manuales!$E$34*(datos_base!$C$3+datos_base!$C$19+IF(parametros_manuales!$H$34="Todos",datos_base!$C$10+datos_base!$C$24,0))*parametros_manuales!$E$100+parametros_manuales!$F$34*(datos_base!$C$4+datos_base!$C$20+IF(parametros_manuales!$H$34="Todos",datos_base!$C$11+datos_base!$C$25,0))*parametros_manuales!$E$105+parametros_manuales!$G$34*(datos_base!$C$5+datos_base!$C$21+IF(parametros_manuales!$H$34="Todos",datos_base!$C$12+datos_base!$C$26,0))*parametros_manuales!$E$110)*parametros_manuales!$I$34*parametros_manuales!$J$34</f>
        <v>862.938056655</v>
      </c>
      <c r="F44" s="9" t="n">
        <f aca="false">(parametros_manuales!$D$34*(datos_base!$C$2+datos_base!$C$18+IF(parametros_manuales!$H$34="Todos",datos_base!$C$9+datos_base!$C$23,0))*parametros_manuales!$F$95+parametros_manuales!$E$34*(datos_base!$C$3+datos_base!$C$19+IF(parametros_manuales!$H$34="Todos",datos_base!$C$10+datos_base!$C$24,0))*parametros_manuales!$F$100+parametros_manuales!$F$34*(datos_base!$C$4+datos_base!$C$20+IF(parametros_manuales!$H$34="Todos",datos_base!$C$11+datos_base!$C$25,0))*parametros_manuales!$F$105+parametros_manuales!$G$34*(datos_base!$C$5+datos_base!$C$21+IF(parametros_manuales!$H$34="Todos",datos_base!$C$12+datos_base!$C$26,0))*parametros_manuales!$F$110)*parametros_manuales!$I$34*parametros_manuales!$J$34</f>
        <v>808.64916863</v>
      </c>
      <c r="G44" s="9" t="n">
        <f aca="false">(parametros_manuales!$D$34*(datos_base!$C$2+datos_base!$C$18+IF(parametros_manuales!$H$34="Todos",datos_base!$C$9+datos_base!$C$23,0))*parametros_manuales!$G$95+parametros_manuales!$E$34*(datos_base!$C$3+datos_base!$C$19+IF(parametros_manuales!$H$34="Todos",datos_base!$C$10+datos_base!$C$24,0))*parametros_manuales!$G$100+parametros_manuales!$F$34*(datos_base!$C$4+datos_base!$C$20+IF(parametros_manuales!$H$34="Todos",datos_base!$C$11+datos_base!$C$25,0))*parametros_manuales!$G$105+parametros_manuales!$G$34*(datos_base!$C$5+datos_base!$C$21+IF(parametros_manuales!$H$34="Todos",datos_base!$C$12+datos_base!$C$26,0))*parametros_manuales!$G$110)*parametros_manuales!$I$34*parametros_manuales!$J$34</f>
        <v>784.34680049</v>
      </c>
      <c r="H44" s="9" t="n">
        <f aca="false">(parametros_manuales!$D$34*(datos_base!$C$2+datos_base!$C$18+IF(parametros_manuales!$H$34="Todos",datos_base!$C$9+datos_base!$C$23,0))*parametros_manuales!$H$95+parametros_manuales!$E$34*(datos_base!$C$3+datos_base!$C$19+IF(parametros_manuales!$H$34="Todos",datos_base!$C$10+datos_base!$C$24,0))*parametros_manuales!$H$100+parametros_manuales!$F$34*(datos_base!$C$4+datos_base!$C$20+IF(parametros_manuales!$H$34="Todos",datos_base!$C$11+datos_base!$C$25,0))*parametros_manuales!$H$105+parametros_manuales!$G$34*(datos_base!$C$5+datos_base!$C$21+IF(parametros_manuales!$H$34="Todos",datos_base!$C$12+datos_base!$C$26,0))*parametros_manuales!$H$110)*parametros_manuales!$I$34*parametros_manuales!$J$34</f>
        <v>838.635688515</v>
      </c>
      <c r="I44" s="9" t="n">
        <f aca="false">(parametros_manuales!$D$34*(datos_base!$C$2+datos_base!$C$18+IF(parametros_manuales!$H$34="Todos",datos_base!$C$9+datos_base!$C$23,0))*parametros_manuales!$I$95+parametros_manuales!$E$34*(datos_base!$C$3+datos_base!$C$19+IF(parametros_manuales!$H$34="Todos",datos_base!$C$10+datos_base!$C$24,0))*parametros_manuales!$I$100+parametros_manuales!$F$34*(datos_base!$C$4+datos_base!$C$20+IF(parametros_manuales!$H$34="Todos",datos_base!$C$11+datos_base!$C$25,0))*parametros_manuales!$I$105+parametros_manuales!$G$34*(datos_base!$C$5+datos_base!$C$21+IF(parametros_manuales!$H$34="Todos",datos_base!$C$12+datos_base!$C$26,0))*parametros_manuales!$I$110)*parametros_manuales!$I$34*parametros_manuales!$J$34</f>
        <v>928.59524817</v>
      </c>
      <c r="J44" s="9" t="n">
        <f aca="false">(parametros_manuales!$D$34*(datos_base!$C$2+datos_base!$C$18+IF(parametros_manuales!$H$34="Todos",datos_base!$C$9+datos_base!$C$23,0))*parametros_manuales!$J$95+parametros_manuales!$E$34*(datos_base!$C$3+datos_base!$C$19+IF(parametros_manuales!$H$34="Todos",datos_base!$C$10+datos_base!$C$24,0))*parametros_manuales!$J$100+parametros_manuales!$F$34*(datos_base!$C$4+datos_base!$C$20+IF(parametros_manuales!$H$34="Todos",datos_base!$C$11+datos_base!$C$25,0))*parametros_manuales!$J$105+parametros_manuales!$G$34*(datos_base!$C$5+datos_base!$C$21+IF(parametros_manuales!$H$34="Todos",datos_base!$C$12+datos_base!$C$26,0))*parametros_manuales!$J$110)*parametros_manuales!$I$34*parametros_manuales!$J$34</f>
        <v>928.59524817</v>
      </c>
      <c r="K44" s="9" t="n">
        <f aca="false">(parametros_manuales!$D$34*(datos_base!$C$2+datos_base!$C$18+IF(parametros_manuales!$H$34="Todos",datos_base!$C$9+datos_base!$C$23,0))*parametros_manuales!$K$95+parametros_manuales!$E$34*(datos_base!$C$3+datos_base!$C$19+IF(parametros_manuales!$H$34="Todos",datos_base!$C$10+datos_base!$C$24,0))*parametros_manuales!$K$100+parametros_manuales!$F$34*(datos_base!$C$4+datos_base!$C$20+IF(parametros_manuales!$H$34="Todos",datos_base!$C$11+datos_base!$C$25,0))*parametros_manuales!$K$105+parametros_manuales!$G$34*(datos_base!$C$5+datos_base!$C$21+IF(parametros_manuales!$H$34="Todos",datos_base!$C$12+datos_base!$C$26,0))*parametros_manuales!$K$110)*parametros_manuales!$I$34*parametros_manuales!$J$34</f>
        <v>952.89761631</v>
      </c>
      <c r="L44" s="9" t="n">
        <f aca="false">(parametros_manuales!$D$34*(datos_base!$C$2+datos_base!$C$18+IF(parametros_manuales!$H$34="Todos",datos_base!$C$9+datos_base!$C$23,0))*parametros_manuales!$L$95+parametros_manuales!$E$34*(datos_base!$C$3+datos_base!$C$19+IF(parametros_manuales!$H$34="Todos",datos_base!$C$10+datos_base!$C$24,0))*parametros_manuales!$L$100+parametros_manuales!$F$34*(datos_base!$C$4+datos_base!$C$20+IF(parametros_manuales!$H$34="Todos",datos_base!$C$11+datos_base!$C$25,0))*parametros_manuales!$L$105+parametros_manuales!$G$34*(datos_base!$C$5+datos_base!$C$21+IF(parametros_manuales!$H$34="Todos",datos_base!$C$12+datos_base!$C$26,0))*parametros_manuales!$L$110)*parametros_manuales!$I$34*parametros_manuales!$J$34</f>
        <v>977.19998445</v>
      </c>
      <c r="M44" s="9" t="n">
        <f aca="false">(parametros_manuales!$D$34*(datos_base!$C$2+datos_base!$C$18+IF(parametros_manuales!$H$34="Todos",datos_base!$C$9+datos_base!$C$23,0))*parametros_manuales!$M$95+parametros_manuales!$E$34*(datos_base!$C$3+datos_base!$C$19+IF(parametros_manuales!$H$34="Todos",datos_base!$C$10+datos_base!$C$24,0))*parametros_manuales!$M$100+parametros_manuales!$F$34*(datos_base!$C$4+datos_base!$C$20+IF(parametros_manuales!$H$34="Todos",datos_base!$C$11+datos_base!$C$25,0))*parametros_manuales!$M$105+parametros_manuales!$G$34*(datos_base!$C$5+datos_base!$C$21+IF(parametros_manuales!$H$34="Todos",datos_base!$C$12+datos_base!$C$26,0))*parametros_manuales!$M$110)*parametros_manuales!$I$34*parametros_manuales!$J$34</f>
        <v>977.19998445</v>
      </c>
      <c r="N44" s="9" t="n">
        <f aca="false">SUM(B44:M44)</f>
        <v>10857.777605</v>
      </c>
      <c r="O44" s="9" t="n">
        <f aca="false">MAX(B44:M44)</f>
        <v>977.19998445</v>
      </c>
      <c r="P44" s="43" t="n">
        <f aca="false">O44/(parametros_manuales!$B$7)</f>
        <v>6.514666563</v>
      </c>
      <c r="Q44" s="8" t="str">
        <f aca="false">IF(O44=0,"-",INDEX($B$28:$M$28,MATCH(O44,B44:M44,0)))</f>
        <v>Ene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datos_base!$C$2+datos_base!$C$18+IF(parametros_manuales!$H$35="Todos",datos_base!$C$9+datos_base!$C$23,0))*parametros_manuales!$B$95+parametros_manuales!$E$35*(datos_base!$C$3+datos_base!$C$19+IF(parametros_manuales!$H$35="Todos",datos_base!$C$10+datos_base!$C$24,0))*parametros_manuales!$B$100+parametros_manuales!$F$35*(datos_base!$C$4+datos_base!$C$20+IF(parametros_manuales!$H$35="Todos",datos_base!$C$11+datos_base!$C$25,0))*parametros_manuales!$B$105+parametros_manuales!$G$35*(datos_base!$C$5+datos_base!$C$21+IF(parametros_manuales!$H$35="Todos",datos_base!$C$12+datos_base!$C$26,0))*parametros_manuales!$B$110)*parametros_manuales!$I$35*parametros_manuales!$J$35</f>
        <v>977.19998445</v>
      </c>
      <c r="C45" s="9" t="n">
        <f aca="false">(parametros_manuales!$D$35*(datos_base!$C$2+datos_base!$C$18+IF(parametros_manuales!$H$35="Todos",datos_base!$C$9+datos_base!$C$23,0))*parametros_manuales!$C$95+parametros_manuales!$E$35*(datos_base!$C$3+datos_base!$C$19+IF(parametros_manuales!$H$35="Todos",datos_base!$C$10+datos_base!$C$24,0))*parametros_manuales!$C$100+parametros_manuales!$F$35*(datos_base!$C$4+datos_base!$C$20+IF(parametros_manuales!$H$35="Todos",datos_base!$C$11+datos_base!$C$25,0))*parametros_manuales!$C$105+parametros_manuales!$G$35*(datos_base!$C$5+datos_base!$C$21+IF(parametros_manuales!$H$35="Todos",datos_base!$C$12+datos_base!$C$26,0))*parametros_manuales!$C$110)*parametros_manuales!$I$35*parametros_manuales!$J$35</f>
        <v>928.59524817</v>
      </c>
      <c r="D45" s="9" t="n">
        <f aca="false">(parametros_manuales!$D$35*(datos_base!$C$2+datos_base!$C$18+IF(parametros_manuales!$H$35="Todos",datos_base!$C$9+datos_base!$C$23,0))*parametros_manuales!$D$95+parametros_manuales!$E$35*(datos_base!$C$3+datos_base!$C$19+IF(parametros_manuales!$H$35="Todos",datos_base!$C$10+datos_base!$C$24,0))*parametros_manuales!$D$100+parametros_manuales!$F$35*(datos_base!$C$4+datos_base!$C$20+IF(parametros_manuales!$H$35="Todos",datos_base!$C$11+datos_base!$C$25,0))*parametros_manuales!$D$105+parametros_manuales!$G$35*(datos_base!$C$5+datos_base!$C$21+IF(parametros_manuales!$H$35="Todos",datos_base!$C$12+datos_base!$C$26,0))*parametros_manuales!$D$110)*parametros_manuales!$I$35*parametros_manuales!$J$35</f>
        <v>892.92457654</v>
      </c>
      <c r="E45" s="9" t="n">
        <f aca="false">(parametros_manuales!$D$35*(datos_base!$C$2+datos_base!$C$18+IF(parametros_manuales!$H$35="Todos",datos_base!$C$9+datos_base!$C$23,0))*parametros_manuales!$E$95+parametros_manuales!$E$35*(datos_base!$C$3+datos_base!$C$19+IF(parametros_manuales!$H$35="Todos",datos_base!$C$10+datos_base!$C$24,0))*parametros_manuales!$E$100+parametros_manuales!$F$35*(datos_base!$C$4+datos_base!$C$20+IF(parametros_manuales!$H$35="Todos",datos_base!$C$11+datos_base!$C$25,0))*parametros_manuales!$E$105+parametros_manuales!$G$35*(datos_base!$C$5+datos_base!$C$21+IF(parametros_manuales!$H$35="Todos",datos_base!$C$12+datos_base!$C$26,0))*parametros_manuales!$E$110)*parametros_manuales!$I$35*parametros_manuales!$J$35</f>
        <v>862.938056655</v>
      </c>
      <c r="F45" s="9" t="n">
        <f aca="false">(parametros_manuales!$D$35*(datos_base!$C$2+datos_base!$C$18+IF(parametros_manuales!$H$35="Todos",datos_base!$C$9+datos_base!$C$23,0))*parametros_manuales!$F$95+parametros_manuales!$E$35*(datos_base!$C$3+datos_base!$C$19+IF(parametros_manuales!$H$35="Todos",datos_base!$C$10+datos_base!$C$24,0))*parametros_manuales!$F$100+parametros_manuales!$F$35*(datos_base!$C$4+datos_base!$C$20+IF(parametros_manuales!$H$35="Todos",datos_base!$C$11+datos_base!$C$25,0))*parametros_manuales!$F$105+parametros_manuales!$G$35*(datos_base!$C$5+datos_base!$C$21+IF(parametros_manuales!$H$35="Todos",datos_base!$C$12+datos_base!$C$26,0))*parametros_manuales!$F$110)*parametros_manuales!$I$35*parametros_manuales!$J$35</f>
        <v>808.64916863</v>
      </c>
      <c r="G45" s="9" t="n">
        <f aca="false">(parametros_manuales!$D$35*(datos_base!$C$2+datos_base!$C$18+IF(parametros_manuales!$H$35="Todos",datos_base!$C$9+datos_base!$C$23,0))*parametros_manuales!$G$95+parametros_manuales!$E$35*(datos_base!$C$3+datos_base!$C$19+IF(parametros_manuales!$H$35="Todos",datos_base!$C$10+datos_base!$C$24,0))*parametros_manuales!$G$100+parametros_manuales!$F$35*(datos_base!$C$4+datos_base!$C$20+IF(parametros_manuales!$H$35="Todos",datos_base!$C$11+datos_base!$C$25,0))*parametros_manuales!$G$105+parametros_manuales!$G$35*(datos_base!$C$5+datos_base!$C$21+IF(parametros_manuales!$H$35="Todos",datos_base!$C$12+datos_base!$C$26,0))*parametros_manuales!$G$110)*parametros_manuales!$I$35*parametros_manuales!$J$35</f>
        <v>784.34680049</v>
      </c>
      <c r="H45" s="9" t="n">
        <f aca="false">(parametros_manuales!$D$35*(datos_base!$C$2+datos_base!$C$18+IF(parametros_manuales!$H$35="Todos",datos_base!$C$9+datos_base!$C$23,0))*parametros_manuales!$H$95+parametros_manuales!$E$35*(datos_base!$C$3+datos_base!$C$19+IF(parametros_manuales!$H$35="Todos",datos_base!$C$10+datos_base!$C$24,0))*parametros_manuales!$H$100+parametros_manuales!$F$35*(datos_base!$C$4+datos_base!$C$20+IF(parametros_manuales!$H$35="Todos",datos_base!$C$11+datos_base!$C$25,0))*parametros_manuales!$H$105+parametros_manuales!$G$35*(datos_base!$C$5+datos_base!$C$21+IF(parametros_manuales!$H$35="Todos",datos_base!$C$12+datos_base!$C$26,0))*parametros_manuales!$H$110)*parametros_manuales!$I$35*parametros_manuales!$J$35</f>
        <v>838.635688515</v>
      </c>
      <c r="I45" s="9" t="n">
        <f aca="false">(parametros_manuales!$D$35*(datos_base!$C$2+datos_base!$C$18+IF(parametros_manuales!$H$35="Todos",datos_base!$C$9+datos_base!$C$23,0))*parametros_manuales!$I$95+parametros_manuales!$E$35*(datos_base!$C$3+datos_base!$C$19+IF(parametros_manuales!$H$35="Todos",datos_base!$C$10+datos_base!$C$24,0))*parametros_manuales!$I$100+parametros_manuales!$F$35*(datos_base!$C$4+datos_base!$C$20+IF(parametros_manuales!$H$35="Todos",datos_base!$C$11+datos_base!$C$25,0))*parametros_manuales!$I$105+parametros_manuales!$G$35*(datos_base!$C$5+datos_base!$C$21+IF(parametros_manuales!$H$35="Todos",datos_base!$C$12+datos_base!$C$26,0))*parametros_manuales!$I$110)*parametros_manuales!$I$35*parametros_manuales!$J$35</f>
        <v>928.59524817</v>
      </c>
      <c r="J45" s="9" t="n">
        <f aca="false">(parametros_manuales!$D$35*(datos_base!$C$2+datos_base!$C$18+IF(parametros_manuales!$H$35="Todos",datos_base!$C$9+datos_base!$C$23,0))*parametros_manuales!$J$95+parametros_manuales!$E$35*(datos_base!$C$3+datos_base!$C$19+IF(parametros_manuales!$H$35="Todos",datos_base!$C$10+datos_base!$C$24,0))*parametros_manuales!$J$100+parametros_manuales!$F$35*(datos_base!$C$4+datos_base!$C$20+IF(parametros_manuales!$H$35="Todos",datos_base!$C$11+datos_base!$C$25,0))*parametros_manuales!$J$105+parametros_manuales!$G$35*(datos_base!$C$5+datos_base!$C$21+IF(parametros_manuales!$H$35="Todos",datos_base!$C$12+datos_base!$C$26,0))*parametros_manuales!$J$110)*parametros_manuales!$I$35*parametros_manuales!$J$35</f>
        <v>928.59524817</v>
      </c>
      <c r="K45" s="9" t="n">
        <f aca="false">(parametros_manuales!$D$35*(datos_base!$C$2+datos_base!$C$18+IF(parametros_manuales!$H$35="Todos",datos_base!$C$9+datos_base!$C$23,0))*parametros_manuales!$K$95+parametros_manuales!$E$35*(datos_base!$C$3+datos_base!$C$19+IF(parametros_manuales!$H$35="Todos",datos_base!$C$10+datos_base!$C$24,0))*parametros_manuales!$K$100+parametros_manuales!$F$35*(datos_base!$C$4+datos_base!$C$20+IF(parametros_manuales!$H$35="Todos",datos_base!$C$11+datos_base!$C$25,0))*parametros_manuales!$K$105+parametros_manuales!$G$35*(datos_base!$C$5+datos_base!$C$21+IF(parametros_manuales!$H$35="Todos",datos_base!$C$12+datos_base!$C$26,0))*parametros_manuales!$K$110)*parametros_manuales!$I$35*parametros_manuales!$J$35</f>
        <v>952.89761631</v>
      </c>
      <c r="L45" s="9" t="n">
        <f aca="false">(parametros_manuales!$D$35*(datos_base!$C$2+datos_base!$C$18+IF(parametros_manuales!$H$35="Todos",datos_base!$C$9+datos_base!$C$23,0))*parametros_manuales!$L$95+parametros_manuales!$E$35*(datos_base!$C$3+datos_base!$C$19+IF(parametros_manuales!$H$35="Todos",datos_base!$C$10+datos_base!$C$24,0))*parametros_manuales!$L$100+parametros_manuales!$F$35*(datos_base!$C$4+datos_base!$C$20+IF(parametros_manuales!$H$35="Todos",datos_base!$C$11+datos_base!$C$25,0))*parametros_manuales!$L$105+parametros_manuales!$G$35*(datos_base!$C$5+datos_base!$C$21+IF(parametros_manuales!$H$35="Todos",datos_base!$C$12+datos_base!$C$26,0))*parametros_manuales!$L$110)*parametros_manuales!$I$35*parametros_manuales!$J$35</f>
        <v>977.19998445</v>
      </c>
      <c r="M45" s="9" t="n">
        <f aca="false">(parametros_manuales!$D$35*(datos_base!$C$2+datos_base!$C$18+IF(parametros_manuales!$H$35="Todos",datos_base!$C$9+datos_base!$C$23,0))*parametros_manuales!$M$95+parametros_manuales!$E$35*(datos_base!$C$3+datos_base!$C$19+IF(parametros_manuales!$H$35="Todos",datos_base!$C$10+datos_base!$C$24,0))*parametros_manuales!$M$100+parametros_manuales!$F$35*(datos_base!$C$4+datos_base!$C$20+IF(parametros_manuales!$H$35="Todos",datos_base!$C$11+datos_base!$C$25,0))*parametros_manuales!$M$105+parametros_manuales!$G$35*(datos_base!$C$5+datos_base!$C$21+IF(parametros_manuales!$H$35="Todos",datos_base!$C$12+datos_base!$C$26,0))*parametros_manuales!$M$110)*parametros_manuales!$I$35*parametros_manuales!$J$35</f>
        <v>977.19998445</v>
      </c>
      <c r="N45" s="9" t="n">
        <f aca="false">SUM(B45:M45)</f>
        <v>10857.777605</v>
      </c>
      <c r="O45" s="9" t="n">
        <f aca="false">MAX(B45:M45)</f>
        <v>977.19998445</v>
      </c>
      <c r="P45" s="43" t="n">
        <f aca="false">O45/(parametros_manuales!$B$7)</f>
        <v>6.514666563</v>
      </c>
      <c r="Q45" s="8" t="str">
        <f aca="false">IF(O45=0,"-",INDEX($B$28:$M$28,MATCH(O45,B45:M45,0)))</f>
        <v>Ene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datos_base!$C$2+datos_base!$C$18+IF(parametros_manuales!$H$36="Todos",datos_base!$C$9+datos_base!$C$23,0))*parametros_manuales!$B$95+parametros_manuales!$E$36*(datos_base!$C$3+datos_base!$C$19+IF(parametros_manuales!$H$36="Todos",datos_base!$C$10+datos_base!$C$24,0))*parametros_manuales!$B$100+parametros_manuales!$F$36*(datos_base!$C$4+datos_base!$C$20+IF(parametros_manuales!$H$36="Todos",datos_base!$C$11+datos_base!$C$25,0))*parametros_manuales!$B$105+parametros_manuales!$G$36*(datos_base!$C$5+datos_base!$C$21+IF(parametros_manuales!$H$36="Todos",datos_base!$C$12+datos_base!$C$26,0))*parametros_manuales!$B$110)*parametros_manuales!$I$36*parametros_manuales!$J$36</f>
        <v>48.8599992225</v>
      </c>
      <c r="C46" s="9" t="n">
        <f aca="false">(parametros_manuales!$D$36*(datos_base!$C$2+datos_base!$C$18+IF(parametros_manuales!$H$36="Todos",datos_base!$C$9+datos_base!$C$23,0))*parametros_manuales!$C$95+parametros_manuales!$E$36*(datos_base!$C$3+datos_base!$C$19+IF(parametros_manuales!$H$36="Todos",datos_base!$C$10+datos_base!$C$24,0))*parametros_manuales!$C$100+parametros_manuales!$F$36*(datos_base!$C$4+datos_base!$C$20+IF(parametros_manuales!$H$36="Todos",datos_base!$C$11+datos_base!$C$25,0))*parametros_manuales!$C$105+parametros_manuales!$G$36*(datos_base!$C$5+datos_base!$C$21+IF(parametros_manuales!$H$36="Todos",datos_base!$C$12+datos_base!$C$26,0))*parametros_manuales!$C$110)*parametros_manuales!$I$36*parametros_manuales!$J$36</f>
        <v>46.4297624085</v>
      </c>
      <c r="D46" s="9" t="n">
        <f aca="false">(parametros_manuales!$D$36*(datos_base!$C$2+datos_base!$C$18+IF(parametros_manuales!$H$36="Todos",datos_base!$C$9+datos_base!$C$23,0))*parametros_manuales!$D$95+parametros_manuales!$E$36*(datos_base!$C$3+datos_base!$C$19+IF(parametros_manuales!$H$36="Todos",datos_base!$C$10+datos_base!$C$24,0))*parametros_manuales!$D$100+parametros_manuales!$F$36*(datos_base!$C$4+datos_base!$C$20+IF(parametros_manuales!$H$36="Todos",datos_base!$C$11+datos_base!$C$25,0))*parametros_manuales!$D$105+parametros_manuales!$G$36*(datos_base!$C$5+datos_base!$C$21+IF(parametros_manuales!$H$36="Todos",datos_base!$C$12+datos_base!$C$26,0))*parametros_manuales!$D$110)*parametros_manuales!$I$36*parametros_manuales!$J$36</f>
        <v>44.646228827</v>
      </c>
      <c r="E46" s="9" t="n">
        <f aca="false">(parametros_manuales!$D$36*(datos_base!$C$2+datos_base!$C$18+IF(parametros_manuales!$H$36="Todos",datos_base!$C$9+datos_base!$C$23,0))*parametros_manuales!$E$95+parametros_manuales!$E$36*(datos_base!$C$3+datos_base!$C$19+IF(parametros_manuales!$H$36="Todos",datos_base!$C$10+datos_base!$C$24,0))*parametros_manuales!$E$100+parametros_manuales!$F$36*(datos_base!$C$4+datos_base!$C$20+IF(parametros_manuales!$H$36="Todos",datos_base!$C$11+datos_base!$C$25,0))*parametros_manuales!$E$105+parametros_manuales!$G$36*(datos_base!$C$5+datos_base!$C$21+IF(parametros_manuales!$H$36="Todos",datos_base!$C$12+datos_base!$C$26,0))*parametros_manuales!$E$110)*parametros_manuales!$I$36*parametros_manuales!$J$36</f>
        <v>43.14690283275</v>
      </c>
      <c r="F46" s="9" t="n">
        <f aca="false">(parametros_manuales!$D$36*(datos_base!$C$2+datos_base!$C$18+IF(parametros_manuales!$H$36="Todos",datos_base!$C$9+datos_base!$C$23,0))*parametros_manuales!$F$95+parametros_manuales!$E$36*(datos_base!$C$3+datos_base!$C$19+IF(parametros_manuales!$H$36="Todos",datos_base!$C$10+datos_base!$C$24,0))*parametros_manuales!$F$100+parametros_manuales!$F$36*(datos_base!$C$4+datos_base!$C$20+IF(parametros_manuales!$H$36="Todos",datos_base!$C$11+datos_base!$C$25,0))*parametros_manuales!$F$105+parametros_manuales!$G$36*(datos_base!$C$5+datos_base!$C$21+IF(parametros_manuales!$H$36="Todos",datos_base!$C$12+datos_base!$C$26,0))*parametros_manuales!$F$110)*parametros_manuales!$I$36*parametros_manuales!$J$36</f>
        <v>40.4324584315</v>
      </c>
      <c r="G46" s="9" t="n">
        <f aca="false">(parametros_manuales!$D$36*(datos_base!$C$2+datos_base!$C$18+IF(parametros_manuales!$H$36="Todos",datos_base!$C$9+datos_base!$C$23,0))*parametros_manuales!$G$95+parametros_manuales!$E$36*(datos_base!$C$3+datos_base!$C$19+IF(parametros_manuales!$H$36="Todos",datos_base!$C$10+datos_base!$C$24,0))*parametros_manuales!$G$100+parametros_manuales!$F$36*(datos_base!$C$4+datos_base!$C$20+IF(parametros_manuales!$H$36="Todos",datos_base!$C$11+datos_base!$C$25,0))*parametros_manuales!$G$105+parametros_manuales!$G$36*(datos_base!$C$5+datos_base!$C$21+IF(parametros_manuales!$H$36="Todos",datos_base!$C$12+datos_base!$C$26,0))*parametros_manuales!$G$110)*parametros_manuales!$I$36*parametros_manuales!$J$36</f>
        <v>39.2173400245</v>
      </c>
      <c r="H46" s="9" t="n">
        <f aca="false">(parametros_manuales!$D$36*(datos_base!$C$2+datos_base!$C$18+IF(parametros_manuales!$H$36="Todos",datos_base!$C$9+datos_base!$C$23,0))*parametros_manuales!$H$95+parametros_manuales!$E$36*(datos_base!$C$3+datos_base!$C$19+IF(parametros_manuales!$H$36="Todos",datos_base!$C$10+datos_base!$C$24,0))*parametros_manuales!$H$100+parametros_manuales!$F$36*(datos_base!$C$4+datos_base!$C$20+IF(parametros_manuales!$H$36="Todos",datos_base!$C$11+datos_base!$C$25,0))*parametros_manuales!$H$105+parametros_manuales!$G$36*(datos_base!$C$5+datos_base!$C$21+IF(parametros_manuales!$H$36="Todos",datos_base!$C$12+datos_base!$C$26,0))*parametros_manuales!$H$110)*parametros_manuales!$I$36*parametros_manuales!$J$36</f>
        <v>41.93178442575</v>
      </c>
      <c r="I46" s="9" t="n">
        <f aca="false">(parametros_manuales!$D$36*(datos_base!$C$2+datos_base!$C$18+IF(parametros_manuales!$H$36="Todos",datos_base!$C$9+datos_base!$C$23,0))*parametros_manuales!$I$95+parametros_manuales!$E$36*(datos_base!$C$3+datos_base!$C$19+IF(parametros_manuales!$H$36="Todos",datos_base!$C$10+datos_base!$C$24,0))*parametros_manuales!$I$100+parametros_manuales!$F$36*(datos_base!$C$4+datos_base!$C$20+IF(parametros_manuales!$H$36="Todos",datos_base!$C$11+datos_base!$C$25,0))*parametros_manuales!$I$105+parametros_manuales!$G$36*(datos_base!$C$5+datos_base!$C$21+IF(parametros_manuales!$H$36="Todos",datos_base!$C$12+datos_base!$C$26,0))*parametros_manuales!$I$110)*parametros_manuales!$I$36*parametros_manuales!$J$36</f>
        <v>46.4297624085</v>
      </c>
      <c r="J46" s="9" t="n">
        <f aca="false">(parametros_manuales!$D$36*(datos_base!$C$2+datos_base!$C$18+IF(parametros_manuales!$H$36="Todos",datos_base!$C$9+datos_base!$C$23,0))*parametros_manuales!$J$95+parametros_manuales!$E$36*(datos_base!$C$3+datos_base!$C$19+IF(parametros_manuales!$H$36="Todos",datos_base!$C$10+datos_base!$C$24,0))*parametros_manuales!$J$100+parametros_manuales!$F$36*(datos_base!$C$4+datos_base!$C$20+IF(parametros_manuales!$H$36="Todos",datos_base!$C$11+datos_base!$C$25,0))*parametros_manuales!$J$105+parametros_manuales!$G$36*(datos_base!$C$5+datos_base!$C$21+IF(parametros_manuales!$H$36="Todos",datos_base!$C$12+datos_base!$C$26,0))*parametros_manuales!$J$110)*parametros_manuales!$I$36*parametros_manuales!$J$36</f>
        <v>46.4297624085</v>
      </c>
      <c r="K46" s="9" t="n">
        <f aca="false">(parametros_manuales!$D$36*(datos_base!$C$2+datos_base!$C$18+IF(parametros_manuales!$H$36="Todos",datos_base!$C$9+datos_base!$C$23,0))*parametros_manuales!$K$95+parametros_manuales!$E$36*(datos_base!$C$3+datos_base!$C$19+IF(parametros_manuales!$H$36="Todos",datos_base!$C$10+datos_base!$C$24,0))*parametros_manuales!$K$100+parametros_manuales!$F$36*(datos_base!$C$4+datos_base!$C$20+IF(parametros_manuales!$H$36="Todos",datos_base!$C$11+datos_base!$C$25,0))*parametros_manuales!$K$105+parametros_manuales!$G$36*(datos_base!$C$5+datos_base!$C$21+IF(parametros_manuales!$H$36="Todos",datos_base!$C$12+datos_base!$C$26,0))*parametros_manuales!$K$110)*parametros_manuales!$I$36*parametros_manuales!$J$36</f>
        <v>47.6448808155</v>
      </c>
      <c r="L46" s="9" t="n">
        <f aca="false">(parametros_manuales!$D$36*(datos_base!$C$2+datos_base!$C$18+IF(parametros_manuales!$H$36="Todos",datos_base!$C$9+datos_base!$C$23,0))*parametros_manuales!$L$95+parametros_manuales!$E$36*(datos_base!$C$3+datos_base!$C$19+IF(parametros_manuales!$H$36="Todos",datos_base!$C$10+datos_base!$C$24,0))*parametros_manuales!$L$100+parametros_manuales!$F$36*(datos_base!$C$4+datos_base!$C$20+IF(parametros_manuales!$H$36="Todos",datos_base!$C$11+datos_base!$C$25,0))*parametros_manuales!$L$105+parametros_manuales!$G$36*(datos_base!$C$5+datos_base!$C$21+IF(parametros_manuales!$H$36="Todos",datos_base!$C$12+datos_base!$C$26,0))*parametros_manuales!$L$110)*parametros_manuales!$I$36*parametros_manuales!$J$36</f>
        <v>48.8599992225</v>
      </c>
      <c r="M46" s="9" t="n">
        <f aca="false">(parametros_manuales!$D$36*(datos_base!$C$2+datos_base!$C$18+IF(parametros_manuales!$H$36="Todos",datos_base!$C$9+datos_base!$C$23,0))*parametros_manuales!$M$95+parametros_manuales!$E$36*(datos_base!$C$3+datos_base!$C$19+IF(parametros_manuales!$H$36="Todos",datos_base!$C$10+datos_base!$C$24,0))*parametros_manuales!$M$100+parametros_manuales!$F$36*(datos_base!$C$4+datos_base!$C$20+IF(parametros_manuales!$H$36="Todos",datos_base!$C$11+datos_base!$C$25,0))*parametros_manuales!$M$105+parametros_manuales!$G$36*(datos_base!$C$5+datos_base!$C$21+IF(parametros_manuales!$H$36="Todos",datos_base!$C$12+datos_base!$C$26,0))*parametros_manuales!$M$110)*parametros_manuales!$I$36*parametros_manuales!$J$36</f>
        <v>48.8599992225</v>
      </c>
      <c r="N46" s="9" t="n">
        <f aca="false">SUM(B46:M46)</f>
        <v>542.88888025</v>
      </c>
      <c r="O46" s="9" t="n">
        <f aca="false">MAX(B46:M46)</f>
        <v>48.8599992225</v>
      </c>
      <c r="P46" s="43" t="n">
        <f aca="false">O46/(parametros_manuales!$B$7)</f>
        <v>0.32573332815</v>
      </c>
      <c r="Q46" s="8" t="str">
        <f aca="false">IF(O46=0,"-",INDEX($B$28:$M$28,MATCH(O46,B46:M46,0)))</f>
        <v>Ene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datos_base!$C$2+datos_base!$C$18+IF(parametros_manuales!$H$37="Todos",datos_base!$C$9+datos_base!$C$23,0))*parametros_manuales!$B$95+parametros_manuales!$E$37*(datos_base!$C$3+datos_base!$C$19+IF(parametros_manuales!$H$37="Todos",datos_base!$C$10+datos_base!$C$24,0))*parametros_manuales!$B$100+parametros_manuales!$F$37*(datos_base!$C$4+datos_base!$C$20+IF(parametros_manuales!$H$37="Todos",datos_base!$C$11+datos_base!$C$25,0))*parametros_manuales!$B$105+parametros_manuales!$G$37*(datos_base!$C$5+datos_base!$C$21+IF(parametros_manuales!$H$37="Todos",datos_base!$C$12+datos_base!$C$26,0))*parametros_manuales!$B$110)*parametros_manuales!$I$37*parametros_manuales!$J$37</f>
        <v>977.19998445</v>
      </c>
      <c r="C47" s="9" t="n">
        <f aca="false">(parametros_manuales!$D$37*(datos_base!$C$2+datos_base!$C$18+IF(parametros_manuales!$H$37="Todos",datos_base!$C$9+datos_base!$C$23,0))*parametros_manuales!$C$95+parametros_manuales!$E$37*(datos_base!$C$3+datos_base!$C$19+IF(parametros_manuales!$H$37="Todos",datos_base!$C$10+datos_base!$C$24,0))*parametros_manuales!$C$100+parametros_manuales!$F$37*(datos_base!$C$4+datos_base!$C$20+IF(parametros_manuales!$H$37="Todos",datos_base!$C$11+datos_base!$C$25,0))*parametros_manuales!$C$105+parametros_manuales!$G$37*(datos_base!$C$5+datos_base!$C$21+IF(parametros_manuales!$H$37="Todos",datos_base!$C$12+datos_base!$C$26,0))*parametros_manuales!$C$110)*parametros_manuales!$I$37*parametros_manuales!$J$37</f>
        <v>928.59524817</v>
      </c>
      <c r="D47" s="9" t="n">
        <f aca="false">(parametros_manuales!$D$37*(datos_base!$C$2+datos_base!$C$18+IF(parametros_manuales!$H$37="Todos",datos_base!$C$9+datos_base!$C$23,0))*parametros_manuales!$D$95+parametros_manuales!$E$37*(datos_base!$C$3+datos_base!$C$19+IF(parametros_manuales!$H$37="Todos",datos_base!$C$10+datos_base!$C$24,0))*parametros_manuales!$D$100+parametros_manuales!$F$37*(datos_base!$C$4+datos_base!$C$20+IF(parametros_manuales!$H$37="Todos",datos_base!$C$11+datos_base!$C$25,0))*parametros_manuales!$D$105+parametros_manuales!$G$37*(datos_base!$C$5+datos_base!$C$21+IF(parametros_manuales!$H$37="Todos",datos_base!$C$12+datos_base!$C$26,0))*parametros_manuales!$D$110)*parametros_manuales!$I$37*parametros_manuales!$J$37</f>
        <v>892.92457654</v>
      </c>
      <c r="E47" s="9" t="n">
        <f aca="false">(parametros_manuales!$D$37*(datos_base!$C$2+datos_base!$C$18+IF(parametros_manuales!$H$37="Todos",datos_base!$C$9+datos_base!$C$23,0))*parametros_manuales!$E$95+parametros_manuales!$E$37*(datos_base!$C$3+datos_base!$C$19+IF(parametros_manuales!$H$37="Todos",datos_base!$C$10+datos_base!$C$24,0))*parametros_manuales!$E$100+parametros_manuales!$F$37*(datos_base!$C$4+datos_base!$C$20+IF(parametros_manuales!$H$37="Todos",datos_base!$C$11+datos_base!$C$25,0))*parametros_manuales!$E$105+parametros_manuales!$G$37*(datos_base!$C$5+datos_base!$C$21+IF(parametros_manuales!$H$37="Todos",datos_base!$C$12+datos_base!$C$26,0))*parametros_manuales!$E$110)*parametros_manuales!$I$37*parametros_manuales!$J$37</f>
        <v>862.938056655</v>
      </c>
      <c r="F47" s="9" t="n">
        <f aca="false">(parametros_manuales!$D$37*(datos_base!$C$2+datos_base!$C$18+IF(parametros_manuales!$H$37="Todos",datos_base!$C$9+datos_base!$C$23,0))*parametros_manuales!$F$95+parametros_manuales!$E$37*(datos_base!$C$3+datos_base!$C$19+IF(parametros_manuales!$H$37="Todos",datos_base!$C$10+datos_base!$C$24,0))*parametros_manuales!$F$100+parametros_manuales!$F$37*(datos_base!$C$4+datos_base!$C$20+IF(parametros_manuales!$H$37="Todos",datos_base!$C$11+datos_base!$C$25,0))*parametros_manuales!$F$105+parametros_manuales!$G$37*(datos_base!$C$5+datos_base!$C$21+IF(parametros_manuales!$H$37="Todos",datos_base!$C$12+datos_base!$C$26,0))*parametros_manuales!$F$110)*parametros_manuales!$I$37*parametros_manuales!$J$37</f>
        <v>808.64916863</v>
      </c>
      <c r="G47" s="9" t="n">
        <f aca="false">(parametros_manuales!$D$37*(datos_base!$C$2+datos_base!$C$18+IF(parametros_manuales!$H$37="Todos",datos_base!$C$9+datos_base!$C$23,0))*parametros_manuales!$G$95+parametros_manuales!$E$37*(datos_base!$C$3+datos_base!$C$19+IF(parametros_manuales!$H$37="Todos",datos_base!$C$10+datos_base!$C$24,0))*parametros_manuales!$G$100+parametros_manuales!$F$37*(datos_base!$C$4+datos_base!$C$20+IF(parametros_manuales!$H$37="Todos",datos_base!$C$11+datos_base!$C$25,0))*parametros_manuales!$G$105+parametros_manuales!$G$37*(datos_base!$C$5+datos_base!$C$21+IF(parametros_manuales!$H$37="Todos",datos_base!$C$12+datos_base!$C$26,0))*parametros_manuales!$G$110)*parametros_manuales!$I$37*parametros_manuales!$J$37</f>
        <v>784.34680049</v>
      </c>
      <c r="H47" s="9" t="n">
        <f aca="false">(parametros_manuales!$D$37*(datos_base!$C$2+datos_base!$C$18+IF(parametros_manuales!$H$37="Todos",datos_base!$C$9+datos_base!$C$23,0))*parametros_manuales!$H$95+parametros_manuales!$E$37*(datos_base!$C$3+datos_base!$C$19+IF(parametros_manuales!$H$37="Todos",datos_base!$C$10+datos_base!$C$24,0))*parametros_manuales!$H$100+parametros_manuales!$F$37*(datos_base!$C$4+datos_base!$C$20+IF(parametros_manuales!$H$37="Todos",datos_base!$C$11+datos_base!$C$25,0))*parametros_manuales!$H$105+parametros_manuales!$G$37*(datos_base!$C$5+datos_base!$C$21+IF(parametros_manuales!$H$37="Todos",datos_base!$C$12+datos_base!$C$26,0))*parametros_manuales!$H$110)*parametros_manuales!$I$37*parametros_manuales!$J$37</f>
        <v>838.635688515</v>
      </c>
      <c r="I47" s="9" t="n">
        <f aca="false">(parametros_manuales!$D$37*(datos_base!$C$2+datos_base!$C$18+IF(parametros_manuales!$H$37="Todos",datos_base!$C$9+datos_base!$C$23,0))*parametros_manuales!$I$95+parametros_manuales!$E$37*(datos_base!$C$3+datos_base!$C$19+IF(parametros_manuales!$H$37="Todos",datos_base!$C$10+datos_base!$C$24,0))*parametros_manuales!$I$100+parametros_manuales!$F$37*(datos_base!$C$4+datos_base!$C$20+IF(parametros_manuales!$H$37="Todos",datos_base!$C$11+datos_base!$C$25,0))*parametros_manuales!$I$105+parametros_manuales!$G$37*(datos_base!$C$5+datos_base!$C$21+IF(parametros_manuales!$H$37="Todos",datos_base!$C$12+datos_base!$C$26,0))*parametros_manuales!$I$110)*parametros_manuales!$I$37*parametros_manuales!$J$37</f>
        <v>928.59524817</v>
      </c>
      <c r="J47" s="9" t="n">
        <f aca="false">(parametros_manuales!$D$37*(datos_base!$C$2+datos_base!$C$18+IF(parametros_manuales!$H$37="Todos",datos_base!$C$9+datos_base!$C$23,0))*parametros_manuales!$J$95+parametros_manuales!$E$37*(datos_base!$C$3+datos_base!$C$19+IF(parametros_manuales!$H$37="Todos",datos_base!$C$10+datos_base!$C$24,0))*parametros_manuales!$J$100+parametros_manuales!$F$37*(datos_base!$C$4+datos_base!$C$20+IF(parametros_manuales!$H$37="Todos",datos_base!$C$11+datos_base!$C$25,0))*parametros_manuales!$J$105+parametros_manuales!$G$37*(datos_base!$C$5+datos_base!$C$21+IF(parametros_manuales!$H$37="Todos",datos_base!$C$12+datos_base!$C$26,0))*parametros_manuales!$J$110)*parametros_manuales!$I$37*parametros_manuales!$J$37</f>
        <v>928.59524817</v>
      </c>
      <c r="K47" s="9" t="n">
        <f aca="false">(parametros_manuales!$D$37*(datos_base!$C$2+datos_base!$C$18+IF(parametros_manuales!$H$37="Todos",datos_base!$C$9+datos_base!$C$23,0))*parametros_manuales!$K$95+parametros_manuales!$E$37*(datos_base!$C$3+datos_base!$C$19+IF(parametros_manuales!$H$37="Todos",datos_base!$C$10+datos_base!$C$24,0))*parametros_manuales!$K$100+parametros_manuales!$F$37*(datos_base!$C$4+datos_base!$C$20+IF(parametros_manuales!$H$37="Todos",datos_base!$C$11+datos_base!$C$25,0))*parametros_manuales!$K$105+parametros_manuales!$G$37*(datos_base!$C$5+datos_base!$C$21+IF(parametros_manuales!$H$37="Todos",datos_base!$C$12+datos_base!$C$26,0))*parametros_manuales!$K$110)*parametros_manuales!$I$37*parametros_manuales!$J$37</f>
        <v>952.89761631</v>
      </c>
      <c r="L47" s="9" t="n">
        <f aca="false">(parametros_manuales!$D$37*(datos_base!$C$2+datos_base!$C$18+IF(parametros_manuales!$H$37="Todos",datos_base!$C$9+datos_base!$C$23,0))*parametros_manuales!$L$95+parametros_manuales!$E$37*(datos_base!$C$3+datos_base!$C$19+IF(parametros_manuales!$H$37="Todos",datos_base!$C$10+datos_base!$C$24,0))*parametros_manuales!$L$100+parametros_manuales!$F$37*(datos_base!$C$4+datos_base!$C$20+IF(parametros_manuales!$H$37="Todos",datos_base!$C$11+datos_base!$C$25,0))*parametros_manuales!$L$105+parametros_manuales!$G$37*(datos_base!$C$5+datos_base!$C$21+IF(parametros_manuales!$H$37="Todos",datos_base!$C$12+datos_base!$C$26,0))*parametros_manuales!$L$110)*parametros_manuales!$I$37*parametros_manuales!$J$37</f>
        <v>977.19998445</v>
      </c>
      <c r="M47" s="9" t="n">
        <f aca="false">(parametros_manuales!$D$37*(datos_base!$C$2+datos_base!$C$18+IF(parametros_manuales!$H$37="Todos",datos_base!$C$9+datos_base!$C$23,0))*parametros_manuales!$M$95+parametros_manuales!$E$37*(datos_base!$C$3+datos_base!$C$19+IF(parametros_manuales!$H$37="Todos",datos_base!$C$10+datos_base!$C$24,0))*parametros_manuales!$M$100+parametros_manuales!$F$37*(datos_base!$C$4+datos_base!$C$20+IF(parametros_manuales!$H$37="Todos",datos_base!$C$11+datos_base!$C$25,0))*parametros_manuales!$M$105+parametros_manuales!$G$37*(datos_base!$C$5+datos_base!$C$21+IF(parametros_manuales!$H$37="Todos",datos_base!$C$12+datos_base!$C$26,0))*parametros_manuales!$M$110)*parametros_manuales!$I$37*parametros_manuales!$J$37</f>
        <v>977.19998445</v>
      </c>
      <c r="N47" s="9" t="n">
        <f aca="false">SUM(B47:M47)</f>
        <v>10857.777605</v>
      </c>
      <c r="O47" s="9" t="n">
        <f aca="false">MAX(B47:M47)</f>
        <v>977.19998445</v>
      </c>
      <c r="P47" s="43" t="n">
        <f aca="false">O47/(parametros_manuales!$B$7)</f>
        <v>6.514666563</v>
      </c>
      <c r="Q47" s="8" t="str">
        <f aca="false">IF(O47=0,"-",INDEX($B$28:$M$28,MATCH(O47,B47:M47,0)))</f>
        <v>Ene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datos_base!$C$2+datos_base!$C$18+IF(parametros_manuales!$H$38="Todos",datos_base!$C$9+datos_base!$C$23,0))*parametros_manuales!$B$95+parametros_manuales!$E$38*(datos_base!$C$3+datos_base!$C$19+IF(parametros_manuales!$H$38="Todos",datos_base!$C$10+datos_base!$C$24,0))*parametros_manuales!$B$100+parametros_manuales!$F$38*(datos_base!$C$4+datos_base!$C$20+IF(parametros_manuales!$H$38="Todos",datos_base!$C$11+datos_base!$C$25,0))*parametros_manuales!$B$105+parametros_manuales!$G$38*(datos_base!$C$5+datos_base!$C$21+IF(parametros_manuales!$H$38="Todos",datos_base!$C$12+datos_base!$C$26,0))*parametros_manuales!$B$110)*parametros_manuales!$I$38*parametros_manuales!$J$38</f>
        <v>969.79838445</v>
      </c>
      <c r="C48" s="9" t="n">
        <f aca="false">(parametros_manuales!$D$38*(datos_base!$C$2+datos_base!$C$18+IF(parametros_manuales!$H$38="Todos",datos_base!$C$9+datos_base!$C$23,0))*parametros_manuales!$C$95+parametros_manuales!$E$38*(datos_base!$C$3+datos_base!$C$19+IF(parametros_manuales!$H$38="Todos",datos_base!$C$10+datos_base!$C$24,0))*parametros_manuales!$C$100+parametros_manuales!$F$38*(datos_base!$C$4+datos_base!$C$20+IF(parametros_manuales!$H$38="Todos",datos_base!$C$11+datos_base!$C$25,0))*parametros_manuales!$C$105+parametros_manuales!$G$38*(datos_base!$C$5+datos_base!$C$21+IF(parametros_manuales!$H$38="Todos",datos_base!$C$12+datos_base!$C$26,0))*parametros_manuales!$C$110)*parametros_manuales!$I$38*parametros_manuales!$J$38</f>
        <v>922.01604817</v>
      </c>
      <c r="D48" s="9" t="n">
        <f aca="false">(parametros_manuales!$D$38*(datos_base!$C$2+datos_base!$C$18+IF(parametros_manuales!$H$38="Todos",datos_base!$C$9+datos_base!$C$23,0))*parametros_manuales!$D$95+parametros_manuales!$E$38*(datos_base!$C$3+datos_base!$C$19+IF(parametros_manuales!$H$38="Todos",datos_base!$C$10+datos_base!$C$24,0))*parametros_manuales!$D$100+parametros_manuales!$F$38*(datos_base!$C$4+datos_base!$C$20+IF(parametros_manuales!$H$38="Todos",datos_base!$C$11+datos_base!$C$25,0))*parametros_manuales!$D$105+parametros_manuales!$G$38*(datos_base!$C$5+datos_base!$C$21+IF(parametros_manuales!$H$38="Todos",datos_base!$C$12+datos_base!$C$26,0))*parametros_manuales!$D$110)*parametros_manuales!$I$38*parametros_manuales!$J$38</f>
        <v>885.93417654</v>
      </c>
      <c r="E48" s="9" t="n">
        <f aca="false">(parametros_manuales!$D$38*(datos_base!$C$2+datos_base!$C$18+IF(parametros_manuales!$H$38="Todos",datos_base!$C$9+datos_base!$C$23,0))*parametros_manuales!$E$95+parametros_manuales!$E$38*(datos_base!$C$3+datos_base!$C$19+IF(parametros_manuales!$H$38="Todos",datos_base!$C$10+datos_base!$C$24,0))*parametros_manuales!$E$100+parametros_manuales!$F$38*(datos_base!$C$4+datos_base!$C$20+IF(parametros_manuales!$H$38="Todos",datos_base!$C$11+datos_base!$C$25,0))*parametros_manuales!$E$105+parametros_manuales!$G$38*(datos_base!$C$5+datos_base!$C$21+IF(parametros_manuales!$H$38="Todos",datos_base!$C$12+datos_base!$C$26,0))*parametros_manuales!$E$110)*parametros_manuales!$I$38*parametros_manuales!$J$38</f>
        <v>855.947656655</v>
      </c>
      <c r="F48" s="9" t="n">
        <f aca="false">(parametros_manuales!$D$38*(datos_base!$C$2+datos_base!$C$18+IF(parametros_manuales!$H$38="Todos",datos_base!$C$9+datos_base!$C$23,0))*parametros_manuales!$F$95+parametros_manuales!$E$38*(datos_base!$C$3+datos_base!$C$19+IF(parametros_manuales!$H$38="Todos",datos_base!$C$10+datos_base!$C$24,0))*parametros_manuales!$F$100+parametros_manuales!$F$38*(datos_base!$C$4+datos_base!$C$20+IF(parametros_manuales!$H$38="Todos",datos_base!$C$11+datos_base!$C$25,0))*parametros_manuales!$F$105+parametros_manuales!$G$38*(datos_base!$C$5+datos_base!$C$21+IF(parametros_manuales!$H$38="Todos",datos_base!$C$12+datos_base!$C$26,0))*parametros_manuales!$F$110)*parametros_manuales!$I$38*parametros_manuales!$J$38</f>
        <v>802.06996863</v>
      </c>
      <c r="G48" s="9" t="n">
        <f aca="false">(parametros_manuales!$D$38*(datos_base!$C$2+datos_base!$C$18+IF(parametros_manuales!$H$38="Todos",datos_base!$C$9+datos_base!$C$23,0))*parametros_manuales!$G$95+parametros_manuales!$E$38*(datos_base!$C$3+datos_base!$C$19+IF(parametros_manuales!$H$38="Todos",datos_base!$C$10+datos_base!$C$24,0))*parametros_manuales!$G$100+parametros_manuales!$F$38*(datos_base!$C$4+datos_base!$C$20+IF(parametros_manuales!$H$38="Todos",datos_base!$C$11+datos_base!$C$25,0))*parametros_manuales!$G$105+parametros_manuales!$G$38*(datos_base!$C$5+datos_base!$C$21+IF(parametros_manuales!$H$38="Todos",datos_base!$C$12+datos_base!$C$26,0))*parametros_manuales!$G$110)*parametros_manuales!$I$38*parametros_manuales!$J$38</f>
        <v>778.17880049</v>
      </c>
      <c r="H48" s="9" t="n">
        <f aca="false">(parametros_manuales!$D$38*(datos_base!$C$2+datos_base!$C$18+IF(parametros_manuales!$H$38="Todos",datos_base!$C$9+datos_base!$C$23,0))*parametros_manuales!$H$95+parametros_manuales!$E$38*(datos_base!$C$3+datos_base!$C$19+IF(parametros_manuales!$H$38="Todos",datos_base!$C$10+datos_base!$C$24,0))*parametros_manuales!$H$100+parametros_manuales!$F$38*(datos_base!$C$4+datos_base!$C$20+IF(parametros_manuales!$H$38="Todos",datos_base!$C$11+datos_base!$C$25,0))*parametros_manuales!$H$105+parametros_manuales!$G$38*(datos_base!$C$5+datos_base!$C$21+IF(parametros_manuales!$H$38="Todos",datos_base!$C$12+datos_base!$C$26,0))*parametros_manuales!$H$110)*parametros_manuales!$I$38*parametros_manuales!$J$38</f>
        <v>832.056488515</v>
      </c>
      <c r="I48" s="9" t="n">
        <f aca="false">(parametros_manuales!$D$38*(datos_base!$C$2+datos_base!$C$18+IF(parametros_manuales!$H$38="Todos",datos_base!$C$9+datos_base!$C$23,0))*parametros_manuales!$I$95+parametros_manuales!$E$38*(datos_base!$C$3+datos_base!$C$19+IF(parametros_manuales!$H$38="Todos",datos_base!$C$10+datos_base!$C$24,0))*parametros_manuales!$I$100+parametros_manuales!$F$38*(datos_base!$C$4+datos_base!$C$20+IF(parametros_manuales!$H$38="Todos",datos_base!$C$11+datos_base!$C$25,0))*parametros_manuales!$I$105+parametros_manuales!$G$38*(datos_base!$C$5+datos_base!$C$21+IF(parametros_manuales!$H$38="Todos",datos_base!$C$12+datos_base!$C$26,0))*parametros_manuales!$I$110)*parametros_manuales!$I$38*parametros_manuales!$J$38</f>
        <v>922.01604817</v>
      </c>
      <c r="J48" s="9" t="n">
        <f aca="false">(parametros_manuales!$D$38*(datos_base!$C$2+datos_base!$C$18+IF(parametros_manuales!$H$38="Todos",datos_base!$C$9+datos_base!$C$23,0))*parametros_manuales!$J$95+parametros_manuales!$E$38*(datos_base!$C$3+datos_base!$C$19+IF(parametros_manuales!$H$38="Todos",datos_base!$C$10+datos_base!$C$24,0))*parametros_manuales!$J$100+parametros_manuales!$F$38*(datos_base!$C$4+datos_base!$C$20+IF(parametros_manuales!$H$38="Todos",datos_base!$C$11+datos_base!$C$25,0))*parametros_manuales!$J$105+parametros_manuales!$G$38*(datos_base!$C$5+datos_base!$C$21+IF(parametros_manuales!$H$38="Todos",datos_base!$C$12+datos_base!$C$26,0))*parametros_manuales!$J$110)*parametros_manuales!$I$38*parametros_manuales!$J$38</f>
        <v>922.01604817</v>
      </c>
      <c r="K48" s="9" t="n">
        <f aca="false">(parametros_manuales!$D$38*(datos_base!$C$2+datos_base!$C$18+IF(parametros_manuales!$H$38="Todos",datos_base!$C$9+datos_base!$C$23,0))*parametros_manuales!$K$95+parametros_manuales!$E$38*(datos_base!$C$3+datos_base!$C$19+IF(parametros_manuales!$H$38="Todos",datos_base!$C$10+datos_base!$C$24,0))*parametros_manuales!$K$100+parametros_manuales!$F$38*(datos_base!$C$4+datos_base!$C$20+IF(parametros_manuales!$H$38="Todos",datos_base!$C$11+datos_base!$C$25,0))*parametros_manuales!$K$105+parametros_manuales!$G$38*(datos_base!$C$5+datos_base!$C$21+IF(parametros_manuales!$H$38="Todos",datos_base!$C$12+datos_base!$C$26,0))*parametros_manuales!$K$110)*parametros_manuales!$I$38*parametros_manuales!$J$38</f>
        <v>945.90721631</v>
      </c>
      <c r="L48" s="9" t="n">
        <f aca="false">(parametros_manuales!$D$38*(datos_base!$C$2+datos_base!$C$18+IF(parametros_manuales!$H$38="Todos",datos_base!$C$9+datos_base!$C$23,0))*parametros_manuales!$L$95+parametros_manuales!$E$38*(datos_base!$C$3+datos_base!$C$19+IF(parametros_manuales!$H$38="Todos",datos_base!$C$10+datos_base!$C$24,0))*parametros_manuales!$L$100+parametros_manuales!$F$38*(datos_base!$C$4+datos_base!$C$20+IF(parametros_manuales!$H$38="Todos",datos_base!$C$11+datos_base!$C$25,0))*parametros_manuales!$L$105+parametros_manuales!$G$38*(datos_base!$C$5+datos_base!$C$21+IF(parametros_manuales!$H$38="Todos",datos_base!$C$12+datos_base!$C$26,0))*parametros_manuales!$L$110)*parametros_manuales!$I$38*parametros_manuales!$J$38</f>
        <v>969.79838445</v>
      </c>
      <c r="M48" s="9" t="n">
        <f aca="false">(parametros_manuales!$D$38*(datos_base!$C$2+datos_base!$C$18+IF(parametros_manuales!$H$38="Todos",datos_base!$C$9+datos_base!$C$23,0))*parametros_manuales!$M$95+parametros_manuales!$E$38*(datos_base!$C$3+datos_base!$C$19+IF(parametros_manuales!$H$38="Todos",datos_base!$C$10+datos_base!$C$24,0))*parametros_manuales!$M$100+parametros_manuales!$F$38*(datos_base!$C$4+datos_base!$C$20+IF(parametros_manuales!$H$38="Todos",datos_base!$C$11+datos_base!$C$25,0))*parametros_manuales!$M$105+parametros_manuales!$G$38*(datos_base!$C$5+datos_base!$C$21+IF(parametros_manuales!$H$38="Todos",datos_base!$C$12+datos_base!$C$26,0))*parametros_manuales!$M$110)*parametros_manuales!$I$38*parametros_manuales!$J$38</f>
        <v>969.79838445</v>
      </c>
      <c r="N48" s="9" t="n">
        <f aca="false">SUM(B48:M48)</f>
        <v>10775.537605</v>
      </c>
      <c r="O48" s="9" t="n">
        <f aca="false">MAX(B48:M48)</f>
        <v>969.79838445</v>
      </c>
      <c r="P48" s="43" t="n">
        <f aca="false">O48/(parametros_manuales!$B$7)</f>
        <v>6.465322563</v>
      </c>
      <c r="Q48" s="8" t="str">
        <f aca="false">IF(O48=0,"-",INDEX($B$28:$M$28,MATCH(O48,B48:M48,0)))</f>
        <v>Ene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datos_base!$C$2+datos_base!$C$18+IF(parametros_manuales!$H$39="Todos",datos_base!$C$9+datos_base!$C$23,0))*parametros_manuales!$B$95+parametros_manuales!$E$39*(datos_base!$C$3+datos_base!$C$19+IF(parametros_manuales!$H$39="Todos",datos_base!$C$10+datos_base!$C$24,0))*parametros_manuales!$B$100+parametros_manuales!$F$39*(datos_base!$C$4+datos_base!$C$20+IF(parametros_manuales!$H$39="Todos",datos_base!$C$11+datos_base!$C$25,0))*parametros_manuales!$B$105+parametros_manuales!$G$39*(datos_base!$C$5+datos_base!$C$21+IF(parametros_manuales!$H$39="Todos",datos_base!$C$12+datos_base!$C$26,0))*parametros_manuales!$B$110)*parametros_manuales!$I$39*parametros_manuales!$J$39</f>
        <v>969.79838445</v>
      </c>
      <c r="C49" s="9" t="n">
        <f aca="false">(parametros_manuales!$D$39*(datos_base!$C$2+datos_base!$C$18+IF(parametros_manuales!$H$39="Todos",datos_base!$C$9+datos_base!$C$23,0))*parametros_manuales!$C$95+parametros_manuales!$E$39*(datos_base!$C$3+datos_base!$C$19+IF(parametros_manuales!$H$39="Todos",datos_base!$C$10+datos_base!$C$24,0))*parametros_manuales!$C$100+parametros_manuales!$F$39*(datos_base!$C$4+datos_base!$C$20+IF(parametros_manuales!$H$39="Todos",datos_base!$C$11+datos_base!$C$25,0))*parametros_manuales!$C$105+parametros_manuales!$G$39*(datos_base!$C$5+datos_base!$C$21+IF(parametros_manuales!$H$39="Todos",datos_base!$C$12+datos_base!$C$26,0))*parametros_manuales!$C$110)*parametros_manuales!$I$39*parametros_manuales!$J$39</f>
        <v>922.01604817</v>
      </c>
      <c r="D49" s="9" t="n">
        <f aca="false">(parametros_manuales!$D$39*(datos_base!$C$2+datos_base!$C$18+IF(parametros_manuales!$H$39="Todos",datos_base!$C$9+datos_base!$C$23,0))*parametros_manuales!$D$95+parametros_manuales!$E$39*(datos_base!$C$3+datos_base!$C$19+IF(parametros_manuales!$H$39="Todos",datos_base!$C$10+datos_base!$C$24,0))*parametros_manuales!$D$100+parametros_manuales!$F$39*(datos_base!$C$4+datos_base!$C$20+IF(parametros_manuales!$H$39="Todos",datos_base!$C$11+datos_base!$C$25,0))*parametros_manuales!$D$105+parametros_manuales!$G$39*(datos_base!$C$5+datos_base!$C$21+IF(parametros_manuales!$H$39="Todos",datos_base!$C$12+datos_base!$C$26,0))*parametros_manuales!$D$110)*parametros_manuales!$I$39*parametros_manuales!$J$39</f>
        <v>885.93417654</v>
      </c>
      <c r="E49" s="9" t="n">
        <f aca="false">(parametros_manuales!$D$39*(datos_base!$C$2+datos_base!$C$18+IF(parametros_manuales!$H$39="Todos",datos_base!$C$9+datos_base!$C$23,0))*parametros_manuales!$E$95+parametros_manuales!$E$39*(datos_base!$C$3+datos_base!$C$19+IF(parametros_manuales!$H$39="Todos",datos_base!$C$10+datos_base!$C$24,0))*parametros_manuales!$E$100+parametros_manuales!$F$39*(datos_base!$C$4+datos_base!$C$20+IF(parametros_manuales!$H$39="Todos",datos_base!$C$11+datos_base!$C$25,0))*parametros_manuales!$E$105+parametros_manuales!$G$39*(datos_base!$C$5+datos_base!$C$21+IF(parametros_manuales!$H$39="Todos",datos_base!$C$12+datos_base!$C$26,0))*parametros_manuales!$E$110)*parametros_manuales!$I$39*parametros_manuales!$J$39</f>
        <v>855.947656655</v>
      </c>
      <c r="F49" s="9" t="n">
        <f aca="false">(parametros_manuales!$D$39*(datos_base!$C$2+datos_base!$C$18+IF(parametros_manuales!$H$39="Todos",datos_base!$C$9+datos_base!$C$23,0))*parametros_manuales!$F$95+parametros_manuales!$E$39*(datos_base!$C$3+datos_base!$C$19+IF(parametros_manuales!$H$39="Todos",datos_base!$C$10+datos_base!$C$24,0))*parametros_manuales!$F$100+parametros_manuales!$F$39*(datos_base!$C$4+datos_base!$C$20+IF(parametros_manuales!$H$39="Todos",datos_base!$C$11+datos_base!$C$25,0))*parametros_manuales!$F$105+parametros_manuales!$G$39*(datos_base!$C$5+datos_base!$C$21+IF(parametros_manuales!$H$39="Todos",datos_base!$C$12+datos_base!$C$26,0))*parametros_manuales!$F$110)*parametros_manuales!$I$39*parametros_manuales!$J$39</f>
        <v>802.06996863</v>
      </c>
      <c r="G49" s="9" t="n">
        <f aca="false">(parametros_manuales!$D$39*(datos_base!$C$2+datos_base!$C$18+IF(parametros_manuales!$H$39="Todos",datos_base!$C$9+datos_base!$C$23,0))*parametros_manuales!$G$95+parametros_manuales!$E$39*(datos_base!$C$3+datos_base!$C$19+IF(parametros_manuales!$H$39="Todos",datos_base!$C$10+datos_base!$C$24,0))*parametros_manuales!$G$100+parametros_manuales!$F$39*(datos_base!$C$4+datos_base!$C$20+IF(parametros_manuales!$H$39="Todos",datos_base!$C$11+datos_base!$C$25,0))*parametros_manuales!$G$105+parametros_manuales!$G$39*(datos_base!$C$5+datos_base!$C$21+IF(parametros_manuales!$H$39="Todos",datos_base!$C$12+datos_base!$C$26,0))*parametros_manuales!$G$110)*parametros_manuales!$I$39*parametros_manuales!$J$39</f>
        <v>778.17880049</v>
      </c>
      <c r="H49" s="9" t="n">
        <f aca="false">(parametros_manuales!$D$39*(datos_base!$C$2+datos_base!$C$18+IF(parametros_manuales!$H$39="Todos",datos_base!$C$9+datos_base!$C$23,0))*parametros_manuales!$H$95+parametros_manuales!$E$39*(datos_base!$C$3+datos_base!$C$19+IF(parametros_manuales!$H$39="Todos",datos_base!$C$10+datos_base!$C$24,0))*parametros_manuales!$H$100+parametros_manuales!$F$39*(datos_base!$C$4+datos_base!$C$20+IF(parametros_manuales!$H$39="Todos",datos_base!$C$11+datos_base!$C$25,0))*parametros_manuales!$H$105+parametros_manuales!$G$39*(datos_base!$C$5+datos_base!$C$21+IF(parametros_manuales!$H$39="Todos",datos_base!$C$12+datos_base!$C$26,0))*parametros_manuales!$H$110)*parametros_manuales!$I$39*parametros_manuales!$J$39</f>
        <v>832.056488515</v>
      </c>
      <c r="I49" s="9" t="n">
        <f aca="false">(parametros_manuales!$D$39*(datos_base!$C$2+datos_base!$C$18+IF(parametros_manuales!$H$39="Todos",datos_base!$C$9+datos_base!$C$23,0))*parametros_manuales!$I$95+parametros_manuales!$E$39*(datos_base!$C$3+datos_base!$C$19+IF(parametros_manuales!$H$39="Todos",datos_base!$C$10+datos_base!$C$24,0))*parametros_manuales!$I$100+parametros_manuales!$F$39*(datos_base!$C$4+datos_base!$C$20+IF(parametros_manuales!$H$39="Todos",datos_base!$C$11+datos_base!$C$25,0))*parametros_manuales!$I$105+parametros_manuales!$G$39*(datos_base!$C$5+datos_base!$C$21+IF(parametros_manuales!$H$39="Todos",datos_base!$C$12+datos_base!$C$26,0))*parametros_manuales!$I$110)*parametros_manuales!$I$39*parametros_manuales!$J$39</f>
        <v>922.01604817</v>
      </c>
      <c r="J49" s="9" t="n">
        <f aca="false">(parametros_manuales!$D$39*(datos_base!$C$2+datos_base!$C$18+IF(parametros_manuales!$H$39="Todos",datos_base!$C$9+datos_base!$C$23,0))*parametros_manuales!$J$95+parametros_manuales!$E$39*(datos_base!$C$3+datos_base!$C$19+IF(parametros_manuales!$H$39="Todos",datos_base!$C$10+datos_base!$C$24,0))*parametros_manuales!$J$100+parametros_manuales!$F$39*(datos_base!$C$4+datos_base!$C$20+IF(parametros_manuales!$H$39="Todos",datos_base!$C$11+datos_base!$C$25,0))*parametros_manuales!$J$105+parametros_manuales!$G$39*(datos_base!$C$5+datos_base!$C$21+IF(parametros_manuales!$H$39="Todos",datos_base!$C$12+datos_base!$C$26,0))*parametros_manuales!$J$110)*parametros_manuales!$I$39*parametros_manuales!$J$39</f>
        <v>922.01604817</v>
      </c>
      <c r="K49" s="9" t="n">
        <f aca="false">(parametros_manuales!$D$39*(datos_base!$C$2+datos_base!$C$18+IF(parametros_manuales!$H$39="Todos",datos_base!$C$9+datos_base!$C$23,0))*parametros_manuales!$K$95+parametros_manuales!$E$39*(datos_base!$C$3+datos_base!$C$19+IF(parametros_manuales!$H$39="Todos",datos_base!$C$10+datos_base!$C$24,0))*parametros_manuales!$K$100+parametros_manuales!$F$39*(datos_base!$C$4+datos_base!$C$20+IF(parametros_manuales!$H$39="Todos",datos_base!$C$11+datos_base!$C$25,0))*parametros_manuales!$K$105+parametros_manuales!$G$39*(datos_base!$C$5+datos_base!$C$21+IF(parametros_manuales!$H$39="Todos",datos_base!$C$12+datos_base!$C$26,0))*parametros_manuales!$K$110)*parametros_manuales!$I$39*parametros_manuales!$J$39</f>
        <v>945.90721631</v>
      </c>
      <c r="L49" s="9" t="n">
        <f aca="false">(parametros_manuales!$D$39*(datos_base!$C$2+datos_base!$C$18+IF(parametros_manuales!$H$39="Todos",datos_base!$C$9+datos_base!$C$23,0))*parametros_manuales!$L$95+parametros_manuales!$E$39*(datos_base!$C$3+datos_base!$C$19+IF(parametros_manuales!$H$39="Todos",datos_base!$C$10+datos_base!$C$24,0))*parametros_manuales!$L$100+parametros_manuales!$F$39*(datos_base!$C$4+datos_base!$C$20+IF(parametros_manuales!$H$39="Todos",datos_base!$C$11+datos_base!$C$25,0))*parametros_manuales!$L$105+parametros_manuales!$G$39*(datos_base!$C$5+datos_base!$C$21+IF(parametros_manuales!$H$39="Todos",datos_base!$C$12+datos_base!$C$26,0))*parametros_manuales!$L$110)*parametros_manuales!$I$39*parametros_manuales!$J$39</f>
        <v>969.79838445</v>
      </c>
      <c r="M49" s="9" t="n">
        <f aca="false">(parametros_manuales!$D$39*(datos_base!$C$2+datos_base!$C$18+IF(parametros_manuales!$H$39="Todos",datos_base!$C$9+datos_base!$C$23,0))*parametros_manuales!$M$95+parametros_manuales!$E$39*(datos_base!$C$3+datos_base!$C$19+IF(parametros_manuales!$H$39="Todos",datos_base!$C$10+datos_base!$C$24,0))*parametros_manuales!$M$100+parametros_manuales!$F$39*(datos_base!$C$4+datos_base!$C$20+IF(parametros_manuales!$H$39="Todos",datos_base!$C$11+datos_base!$C$25,0))*parametros_manuales!$M$105+parametros_manuales!$G$39*(datos_base!$C$5+datos_base!$C$21+IF(parametros_manuales!$H$39="Todos",datos_base!$C$12+datos_base!$C$26,0))*parametros_manuales!$M$110)*parametros_manuales!$I$39*parametros_manuales!$J$39</f>
        <v>969.79838445</v>
      </c>
      <c r="N49" s="9" t="n">
        <f aca="false">SUM(B49:M49)</f>
        <v>10775.537605</v>
      </c>
      <c r="O49" s="9" t="n">
        <f aca="false">MAX(B49:M49)</f>
        <v>969.79838445</v>
      </c>
      <c r="P49" s="43" t="n">
        <f aca="false">O49/(parametros_manuales!$B$7)</f>
        <v>6.465322563</v>
      </c>
      <c r="Q49" s="8" t="str">
        <f aca="false">IF(O49=0,"-",INDEX($B$28:$M$28,MATCH(O49,B49:M49,0)))</f>
        <v>Ene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datos_base!$C$2+datos_base!$C$18+IF(parametros_manuales!$H$40="Todos",datos_base!$C$9+datos_base!$C$23,0))*parametros_manuales!$B$95+parametros_manuales!$E$40*(datos_base!$C$3+datos_base!$C$19+IF(parametros_manuales!$H$40="Todos",datos_base!$C$10+datos_base!$C$24,0))*parametros_manuales!$B$100+parametros_manuales!$F$40*(datos_base!$C$4+datos_base!$C$20+IF(parametros_manuales!$H$40="Todos",datos_base!$C$11+datos_base!$C$25,0))*parametros_manuales!$B$105+parametros_manuales!$G$40*(datos_base!$C$5+datos_base!$C$21+IF(parametros_manuales!$H$40="Todos",datos_base!$C$12+datos_base!$C$26,0))*parametros_manuales!$B$110)*parametros_manuales!$I$40*parametros_manuales!$J$40</f>
        <v>969.79838445</v>
      </c>
      <c r="C50" s="9" t="n">
        <f aca="false">(parametros_manuales!$D$40*(datos_base!$C$2+datos_base!$C$18+IF(parametros_manuales!$H$40="Todos",datos_base!$C$9+datos_base!$C$23,0))*parametros_manuales!$C$95+parametros_manuales!$E$40*(datos_base!$C$3+datos_base!$C$19+IF(parametros_manuales!$H$40="Todos",datos_base!$C$10+datos_base!$C$24,0))*parametros_manuales!$C$100+parametros_manuales!$F$40*(datos_base!$C$4+datos_base!$C$20+IF(parametros_manuales!$H$40="Todos",datos_base!$C$11+datos_base!$C$25,0))*parametros_manuales!$C$105+parametros_manuales!$G$40*(datos_base!$C$5+datos_base!$C$21+IF(parametros_manuales!$H$40="Todos",datos_base!$C$12+datos_base!$C$26,0))*parametros_manuales!$C$110)*parametros_manuales!$I$40*parametros_manuales!$J$40</f>
        <v>922.01604817</v>
      </c>
      <c r="D50" s="9" t="n">
        <f aca="false">(parametros_manuales!$D$40*(datos_base!$C$2+datos_base!$C$18+IF(parametros_manuales!$H$40="Todos",datos_base!$C$9+datos_base!$C$23,0))*parametros_manuales!$D$95+parametros_manuales!$E$40*(datos_base!$C$3+datos_base!$C$19+IF(parametros_manuales!$H$40="Todos",datos_base!$C$10+datos_base!$C$24,0))*parametros_manuales!$D$100+parametros_manuales!$F$40*(datos_base!$C$4+datos_base!$C$20+IF(parametros_manuales!$H$40="Todos",datos_base!$C$11+datos_base!$C$25,0))*parametros_manuales!$D$105+parametros_manuales!$G$40*(datos_base!$C$5+datos_base!$C$21+IF(parametros_manuales!$H$40="Todos",datos_base!$C$12+datos_base!$C$26,0))*parametros_manuales!$D$110)*parametros_manuales!$I$40*parametros_manuales!$J$40</f>
        <v>885.93417654</v>
      </c>
      <c r="E50" s="9" t="n">
        <f aca="false">(parametros_manuales!$D$40*(datos_base!$C$2+datos_base!$C$18+IF(parametros_manuales!$H$40="Todos",datos_base!$C$9+datos_base!$C$23,0))*parametros_manuales!$E$95+parametros_manuales!$E$40*(datos_base!$C$3+datos_base!$C$19+IF(parametros_manuales!$H$40="Todos",datos_base!$C$10+datos_base!$C$24,0))*parametros_manuales!$E$100+parametros_manuales!$F$40*(datos_base!$C$4+datos_base!$C$20+IF(parametros_manuales!$H$40="Todos",datos_base!$C$11+datos_base!$C$25,0))*parametros_manuales!$E$105+parametros_manuales!$G$40*(datos_base!$C$5+datos_base!$C$21+IF(parametros_manuales!$H$40="Todos",datos_base!$C$12+datos_base!$C$26,0))*parametros_manuales!$E$110)*parametros_manuales!$I$40*parametros_manuales!$J$40</f>
        <v>855.947656655</v>
      </c>
      <c r="F50" s="9" t="n">
        <f aca="false">(parametros_manuales!$D$40*(datos_base!$C$2+datos_base!$C$18+IF(parametros_manuales!$H$40="Todos",datos_base!$C$9+datos_base!$C$23,0))*parametros_manuales!$F$95+parametros_manuales!$E$40*(datos_base!$C$3+datos_base!$C$19+IF(parametros_manuales!$H$40="Todos",datos_base!$C$10+datos_base!$C$24,0))*parametros_manuales!$F$100+parametros_manuales!$F$40*(datos_base!$C$4+datos_base!$C$20+IF(parametros_manuales!$H$40="Todos",datos_base!$C$11+datos_base!$C$25,0))*parametros_manuales!$F$105+parametros_manuales!$G$40*(datos_base!$C$5+datos_base!$C$21+IF(parametros_manuales!$H$40="Todos",datos_base!$C$12+datos_base!$C$26,0))*parametros_manuales!$F$110)*parametros_manuales!$I$40*parametros_manuales!$J$40</f>
        <v>802.06996863</v>
      </c>
      <c r="G50" s="9" t="n">
        <f aca="false">(parametros_manuales!$D$40*(datos_base!$C$2+datos_base!$C$18+IF(parametros_manuales!$H$40="Todos",datos_base!$C$9+datos_base!$C$23,0))*parametros_manuales!$G$95+parametros_manuales!$E$40*(datos_base!$C$3+datos_base!$C$19+IF(parametros_manuales!$H$40="Todos",datos_base!$C$10+datos_base!$C$24,0))*parametros_manuales!$G$100+parametros_manuales!$F$40*(datos_base!$C$4+datos_base!$C$20+IF(parametros_manuales!$H$40="Todos",datos_base!$C$11+datos_base!$C$25,0))*parametros_manuales!$G$105+parametros_manuales!$G$40*(datos_base!$C$5+datos_base!$C$21+IF(parametros_manuales!$H$40="Todos",datos_base!$C$12+datos_base!$C$26,0))*parametros_manuales!$G$110)*parametros_manuales!$I$40*parametros_manuales!$J$40</f>
        <v>778.17880049</v>
      </c>
      <c r="H50" s="9" t="n">
        <f aca="false">(parametros_manuales!$D$40*(datos_base!$C$2+datos_base!$C$18+IF(parametros_manuales!$H$40="Todos",datos_base!$C$9+datos_base!$C$23,0))*parametros_manuales!$H$95+parametros_manuales!$E$40*(datos_base!$C$3+datos_base!$C$19+IF(parametros_manuales!$H$40="Todos",datos_base!$C$10+datos_base!$C$24,0))*parametros_manuales!$H$100+parametros_manuales!$F$40*(datos_base!$C$4+datos_base!$C$20+IF(parametros_manuales!$H$40="Todos",datos_base!$C$11+datos_base!$C$25,0))*parametros_manuales!$H$105+parametros_manuales!$G$40*(datos_base!$C$5+datos_base!$C$21+IF(parametros_manuales!$H$40="Todos",datos_base!$C$12+datos_base!$C$26,0))*parametros_manuales!$H$110)*parametros_manuales!$I$40*parametros_manuales!$J$40</f>
        <v>832.056488515</v>
      </c>
      <c r="I50" s="9" t="n">
        <f aca="false">(parametros_manuales!$D$40*(datos_base!$C$2+datos_base!$C$18+IF(parametros_manuales!$H$40="Todos",datos_base!$C$9+datos_base!$C$23,0))*parametros_manuales!$I$95+parametros_manuales!$E$40*(datos_base!$C$3+datos_base!$C$19+IF(parametros_manuales!$H$40="Todos",datos_base!$C$10+datos_base!$C$24,0))*parametros_manuales!$I$100+parametros_manuales!$F$40*(datos_base!$C$4+datos_base!$C$20+IF(parametros_manuales!$H$40="Todos",datos_base!$C$11+datos_base!$C$25,0))*parametros_manuales!$I$105+parametros_manuales!$G$40*(datos_base!$C$5+datos_base!$C$21+IF(parametros_manuales!$H$40="Todos",datos_base!$C$12+datos_base!$C$26,0))*parametros_manuales!$I$110)*parametros_manuales!$I$40*parametros_manuales!$J$40</f>
        <v>922.01604817</v>
      </c>
      <c r="J50" s="9" t="n">
        <f aca="false">(parametros_manuales!$D$40*(datos_base!$C$2+datos_base!$C$18+IF(parametros_manuales!$H$40="Todos",datos_base!$C$9+datos_base!$C$23,0))*parametros_manuales!$J$95+parametros_manuales!$E$40*(datos_base!$C$3+datos_base!$C$19+IF(parametros_manuales!$H$40="Todos",datos_base!$C$10+datos_base!$C$24,0))*parametros_manuales!$J$100+parametros_manuales!$F$40*(datos_base!$C$4+datos_base!$C$20+IF(parametros_manuales!$H$40="Todos",datos_base!$C$11+datos_base!$C$25,0))*parametros_manuales!$J$105+parametros_manuales!$G$40*(datos_base!$C$5+datos_base!$C$21+IF(parametros_manuales!$H$40="Todos",datos_base!$C$12+datos_base!$C$26,0))*parametros_manuales!$J$110)*parametros_manuales!$I$40*parametros_manuales!$J$40</f>
        <v>922.01604817</v>
      </c>
      <c r="K50" s="9" t="n">
        <f aca="false">(parametros_manuales!$D$40*(datos_base!$C$2+datos_base!$C$18+IF(parametros_manuales!$H$40="Todos",datos_base!$C$9+datos_base!$C$23,0))*parametros_manuales!$K$95+parametros_manuales!$E$40*(datos_base!$C$3+datos_base!$C$19+IF(parametros_manuales!$H$40="Todos",datos_base!$C$10+datos_base!$C$24,0))*parametros_manuales!$K$100+parametros_manuales!$F$40*(datos_base!$C$4+datos_base!$C$20+IF(parametros_manuales!$H$40="Todos",datos_base!$C$11+datos_base!$C$25,0))*parametros_manuales!$K$105+parametros_manuales!$G$40*(datos_base!$C$5+datos_base!$C$21+IF(parametros_manuales!$H$40="Todos",datos_base!$C$12+datos_base!$C$26,0))*parametros_manuales!$K$110)*parametros_manuales!$I$40*parametros_manuales!$J$40</f>
        <v>945.90721631</v>
      </c>
      <c r="L50" s="9" t="n">
        <f aca="false">(parametros_manuales!$D$40*(datos_base!$C$2+datos_base!$C$18+IF(parametros_manuales!$H$40="Todos",datos_base!$C$9+datos_base!$C$23,0))*parametros_manuales!$L$95+parametros_manuales!$E$40*(datos_base!$C$3+datos_base!$C$19+IF(parametros_manuales!$H$40="Todos",datos_base!$C$10+datos_base!$C$24,0))*parametros_manuales!$L$100+parametros_manuales!$F$40*(datos_base!$C$4+datos_base!$C$20+IF(parametros_manuales!$H$40="Todos",datos_base!$C$11+datos_base!$C$25,0))*parametros_manuales!$L$105+parametros_manuales!$G$40*(datos_base!$C$5+datos_base!$C$21+IF(parametros_manuales!$H$40="Todos",datos_base!$C$12+datos_base!$C$26,0))*parametros_manuales!$L$110)*parametros_manuales!$I$40*parametros_manuales!$J$40</f>
        <v>969.79838445</v>
      </c>
      <c r="M50" s="9" t="n">
        <f aca="false">(parametros_manuales!$D$40*(datos_base!$C$2+datos_base!$C$18+IF(parametros_manuales!$H$40="Todos",datos_base!$C$9+datos_base!$C$23,0))*parametros_manuales!$M$95+parametros_manuales!$E$40*(datos_base!$C$3+datos_base!$C$19+IF(parametros_manuales!$H$40="Todos",datos_base!$C$10+datos_base!$C$24,0))*parametros_manuales!$M$100+parametros_manuales!$F$40*(datos_base!$C$4+datos_base!$C$20+IF(parametros_manuales!$H$40="Todos",datos_base!$C$11+datos_base!$C$25,0))*parametros_manuales!$M$105+parametros_manuales!$G$40*(datos_base!$C$5+datos_base!$C$21+IF(parametros_manuales!$H$40="Todos",datos_base!$C$12+datos_base!$C$26,0))*parametros_manuales!$M$110)*parametros_manuales!$I$40*parametros_manuales!$J$40</f>
        <v>969.79838445</v>
      </c>
      <c r="N50" s="9" t="n">
        <f aca="false">SUM(B50:M50)</f>
        <v>10775.537605</v>
      </c>
      <c r="O50" s="9" t="n">
        <f aca="false">MAX(B50:M50)</f>
        <v>969.79838445</v>
      </c>
      <c r="P50" s="43" t="n">
        <f aca="false">O50/(parametros_manuales!$B$7)</f>
        <v>6.465322563</v>
      </c>
      <c r="Q50" s="8" t="str">
        <f aca="false">IF(O50=0,"-",INDEX($B$28:$M$28,MATCH(O50,B50:M50,0)))</f>
        <v>Ene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datos_base!$C$2+datos_base!$C$18+IF(parametros_manuales!$H$41="Todos",datos_base!$C$9+datos_base!$C$23,0))*parametros_manuales!$B$95+parametros_manuales!$E$41*(datos_base!$C$3+datos_base!$C$19+IF(parametros_manuales!$H$41="Todos",datos_base!$C$10+datos_base!$C$24,0))*parametros_manuales!$B$100+parametros_manuales!$F$41*(datos_base!$C$4+datos_base!$C$20+IF(parametros_manuales!$H$41="Todos",datos_base!$C$11+datos_base!$C$25,0))*parametros_manuales!$B$105+parametros_manuales!$G$41*(datos_base!$C$5+datos_base!$C$21+IF(parametros_manuales!$H$41="Todos",datos_base!$C$12+datos_base!$C$26,0))*parametros_manuales!$B$110)*parametros_manuales!$I$41*parametros_manuales!$J$41</f>
        <v>969.79838445</v>
      </c>
      <c r="C51" s="9" t="n">
        <f aca="false">(parametros_manuales!$D$41*(datos_base!$C$2+datos_base!$C$18+IF(parametros_manuales!$H$41="Todos",datos_base!$C$9+datos_base!$C$23,0))*parametros_manuales!$C$95+parametros_manuales!$E$41*(datos_base!$C$3+datos_base!$C$19+IF(parametros_manuales!$H$41="Todos",datos_base!$C$10+datos_base!$C$24,0))*parametros_manuales!$C$100+parametros_manuales!$F$41*(datos_base!$C$4+datos_base!$C$20+IF(parametros_manuales!$H$41="Todos",datos_base!$C$11+datos_base!$C$25,0))*parametros_manuales!$C$105+parametros_manuales!$G$41*(datos_base!$C$5+datos_base!$C$21+IF(parametros_manuales!$H$41="Todos",datos_base!$C$12+datos_base!$C$26,0))*parametros_manuales!$C$110)*parametros_manuales!$I$41*parametros_manuales!$J$41</f>
        <v>922.01604817</v>
      </c>
      <c r="D51" s="9" t="n">
        <f aca="false">(parametros_manuales!$D$41*(datos_base!$C$2+datos_base!$C$18+IF(parametros_manuales!$H$41="Todos",datos_base!$C$9+datos_base!$C$23,0))*parametros_manuales!$D$95+parametros_manuales!$E$41*(datos_base!$C$3+datos_base!$C$19+IF(parametros_manuales!$H$41="Todos",datos_base!$C$10+datos_base!$C$24,0))*parametros_manuales!$D$100+parametros_manuales!$F$41*(datos_base!$C$4+datos_base!$C$20+IF(parametros_manuales!$H$41="Todos",datos_base!$C$11+datos_base!$C$25,0))*parametros_manuales!$D$105+parametros_manuales!$G$41*(datos_base!$C$5+datos_base!$C$21+IF(parametros_manuales!$H$41="Todos",datos_base!$C$12+datos_base!$C$26,0))*parametros_manuales!$D$110)*parametros_manuales!$I$41*parametros_manuales!$J$41</f>
        <v>885.93417654</v>
      </c>
      <c r="E51" s="9" t="n">
        <f aca="false">(parametros_manuales!$D$41*(datos_base!$C$2+datos_base!$C$18+IF(parametros_manuales!$H$41="Todos",datos_base!$C$9+datos_base!$C$23,0))*parametros_manuales!$E$95+parametros_manuales!$E$41*(datos_base!$C$3+datos_base!$C$19+IF(parametros_manuales!$H$41="Todos",datos_base!$C$10+datos_base!$C$24,0))*parametros_manuales!$E$100+parametros_manuales!$F$41*(datos_base!$C$4+datos_base!$C$20+IF(parametros_manuales!$H$41="Todos",datos_base!$C$11+datos_base!$C$25,0))*parametros_manuales!$E$105+parametros_manuales!$G$41*(datos_base!$C$5+datos_base!$C$21+IF(parametros_manuales!$H$41="Todos",datos_base!$C$12+datos_base!$C$26,0))*parametros_manuales!$E$110)*parametros_manuales!$I$41*parametros_manuales!$J$41</f>
        <v>855.947656655</v>
      </c>
      <c r="F51" s="9" t="n">
        <f aca="false">(parametros_manuales!$D$41*(datos_base!$C$2+datos_base!$C$18+IF(parametros_manuales!$H$41="Todos",datos_base!$C$9+datos_base!$C$23,0))*parametros_manuales!$F$95+parametros_manuales!$E$41*(datos_base!$C$3+datos_base!$C$19+IF(parametros_manuales!$H$41="Todos",datos_base!$C$10+datos_base!$C$24,0))*parametros_manuales!$F$100+parametros_manuales!$F$41*(datos_base!$C$4+datos_base!$C$20+IF(parametros_manuales!$H$41="Todos",datos_base!$C$11+datos_base!$C$25,0))*parametros_manuales!$F$105+parametros_manuales!$G$41*(datos_base!$C$5+datos_base!$C$21+IF(parametros_manuales!$H$41="Todos",datos_base!$C$12+datos_base!$C$26,0))*parametros_manuales!$F$110)*parametros_manuales!$I$41*parametros_manuales!$J$41</f>
        <v>802.06996863</v>
      </c>
      <c r="G51" s="9" t="n">
        <f aca="false">(parametros_manuales!$D$41*(datos_base!$C$2+datos_base!$C$18+IF(parametros_manuales!$H$41="Todos",datos_base!$C$9+datos_base!$C$23,0))*parametros_manuales!$G$95+parametros_manuales!$E$41*(datos_base!$C$3+datos_base!$C$19+IF(parametros_manuales!$H$41="Todos",datos_base!$C$10+datos_base!$C$24,0))*parametros_manuales!$G$100+parametros_manuales!$F$41*(datos_base!$C$4+datos_base!$C$20+IF(parametros_manuales!$H$41="Todos",datos_base!$C$11+datos_base!$C$25,0))*parametros_manuales!$G$105+parametros_manuales!$G$41*(datos_base!$C$5+datos_base!$C$21+IF(parametros_manuales!$H$41="Todos",datos_base!$C$12+datos_base!$C$26,0))*parametros_manuales!$G$110)*parametros_manuales!$I$41*parametros_manuales!$J$41</f>
        <v>778.17880049</v>
      </c>
      <c r="H51" s="9" t="n">
        <f aca="false">(parametros_manuales!$D$41*(datos_base!$C$2+datos_base!$C$18+IF(parametros_manuales!$H$41="Todos",datos_base!$C$9+datos_base!$C$23,0))*parametros_manuales!$H$95+parametros_manuales!$E$41*(datos_base!$C$3+datos_base!$C$19+IF(parametros_manuales!$H$41="Todos",datos_base!$C$10+datos_base!$C$24,0))*parametros_manuales!$H$100+parametros_manuales!$F$41*(datos_base!$C$4+datos_base!$C$20+IF(parametros_manuales!$H$41="Todos",datos_base!$C$11+datos_base!$C$25,0))*parametros_manuales!$H$105+parametros_manuales!$G$41*(datos_base!$C$5+datos_base!$C$21+IF(parametros_manuales!$H$41="Todos",datos_base!$C$12+datos_base!$C$26,0))*parametros_manuales!$H$110)*parametros_manuales!$I$41*parametros_manuales!$J$41</f>
        <v>832.056488515</v>
      </c>
      <c r="I51" s="9" t="n">
        <f aca="false">(parametros_manuales!$D$41*(datos_base!$C$2+datos_base!$C$18+IF(parametros_manuales!$H$41="Todos",datos_base!$C$9+datos_base!$C$23,0))*parametros_manuales!$I$95+parametros_manuales!$E$41*(datos_base!$C$3+datos_base!$C$19+IF(parametros_manuales!$H$41="Todos",datos_base!$C$10+datos_base!$C$24,0))*parametros_manuales!$I$100+parametros_manuales!$F$41*(datos_base!$C$4+datos_base!$C$20+IF(parametros_manuales!$H$41="Todos",datos_base!$C$11+datos_base!$C$25,0))*parametros_manuales!$I$105+parametros_manuales!$G$41*(datos_base!$C$5+datos_base!$C$21+IF(parametros_manuales!$H$41="Todos",datos_base!$C$12+datos_base!$C$26,0))*parametros_manuales!$I$110)*parametros_manuales!$I$41*parametros_manuales!$J$41</f>
        <v>922.01604817</v>
      </c>
      <c r="J51" s="9" t="n">
        <f aca="false">(parametros_manuales!$D$41*(datos_base!$C$2+datos_base!$C$18+IF(parametros_manuales!$H$41="Todos",datos_base!$C$9+datos_base!$C$23,0))*parametros_manuales!$J$95+parametros_manuales!$E$41*(datos_base!$C$3+datos_base!$C$19+IF(parametros_manuales!$H$41="Todos",datos_base!$C$10+datos_base!$C$24,0))*parametros_manuales!$J$100+parametros_manuales!$F$41*(datos_base!$C$4+datos_base!$C$20+IF(parametros_manuales!$H$41="Todos",datos_base!$C$11+datos_base!$C$25,0))*parametros_manuales!$J$105+parametros_manuales!$G$41*(datos_base!$C$5+datos_base!$C$21+IF(parametros_manuales!$H$41="Todos",datos_base!$C$12+datos_base!$C$26,0))*parametros_manuales!$J$110)*parametros_manuales!$I$41*parametros_manuales!$J$41</f>
        <v>922.01604817</v>
      </c>
      <c r="K51" s="9" t="n">
        <f aca="false">(parametros_manuales!$D$41*(datos_base!$C$2+datos_base!$C$18+IF(parametros_manuales!$H$41="Todos",datos_base!$C$9+datos_base!$C$23,0))*parametros_manuales!$K$95+parametros_manuales!$E$41*(datos_base!$C$3+datos_base!$C$19+IF(parametros_manuales!$H$41="Todos",datos_base!$C$10+datos_base!$C$24,0))*parametros_manuales!$K$100+parametros_manuales!$F$41*(datos_base!$C$4+datos_base!$C$20+IF(parametros_manuales!$H$41="Todos",datos_base!$C$11+datos_base!$C$25,0))*parametros_manuales!$K$105+parametros_manuales!$G$41*(datos_base!$C$5+datos_base!$C$21+IF(parametros_manuales!$H$41="Todos",datos_base!$C$12+datos_base!$C$26,0))*parametros_manuales!$K$110)*parametros_manuales!$I$41*parametros_manuales!$J$41</f>
        <v>945.90721631</v>
      </c>
      <c r="L51" s="9" t="n">
        <f aca="false">(parametros_manuales!$D$41*(datos_base!$C$2+datos_base!$C$18+IF(parametros_manuales!$H$41="Todos",datos_base!$C$9+datos_base!$C$23,0))*parametros_manuales!$L$95+parametros_manuales!$E$41*(datos_base!$C$3+datos_base!$C$19+IF(parametros_manuales!$H$41="Todos",datos_base!$C$10+datos_base!$C$24,0))*parametros_manuales!$L$100+parametros_manuales!$F$41*(datos_base!$C$4+datos_base!$C$20+IF(parametros_manuales!$H$41="Todos",datos_base!$C$11+datos_base!$C$25,0))*parametros_manuales!$L$105+parametros_manuales!$G$41*(datos_base!$C$5+datos_base!$C$21+IF(parametros_manuales!$H$41="Todos",datos_base!$C$12+datos_base!$C$26,0))*parametros_manuales!$L$110)*parametros_manuales!$I$41*parametros_manuales!$J$41</f>
        <v>969.79838445</v>
      </c>
      <c r="M51" s="9" t="n">
        <f aca="false">(parametros_manuales!$D$41*(datos_base!$C$2+datos_base!$C$18+IF(parametros_manuales!$H$41="Todos",datos_base!$C$9+datos_base!$C$23,0))*parametros_manuales!$M$95+parametros_manuales!$E$41*(datos_base!$C$3+datos_base!$C$19+IF(parametros_manuales!$H$41="Todos",datos_base!$C$10+datos_base!$C$24,0))*parametros_manuales!$M$100+parametros_manuales!$F$41*(datos_base!$C$4+datos_base!$C$20+IF(parametros_manuales!$H$41="Todos",datos_base!$C$11+datos_base!$C$25,0))*parametros_manuales!$M$105+parametros_manuales!$G$41*(datos_base!$C$5+datos_base!$C$21+IF(parametros_manuales!$H$41="Todos",datos_base!$C$12+datos_base!$C$26,0))*parametros_manuales!$M$110)*parametros_manuales!$I$41*parametros_manuales!$J$41</f>
        <v>969.79838445</v>
      </c>
      <c r="N51" s="9" t="n">
        <f aca="false">SUM(B51:M51)</f>
        <v>10775.537605</v>
      </c>
      <c r="O51" s="9" t="n">
        <f aca="false">MAX(B51:M51)</f>
        <v>969.79838445</v>
      </c>
      <c r="P51" s="43" t="n">
        <f aca="false">O51/(parametros_manuales!$B$7)</f>
        <v>6.465322563</v>
      </c>
      <c r="Q51" s="8" t="str">
        <f aca="false">IF(O51=0,"-",INDEX($B$28:$M$28,MATCH(O51,B51:M51,0)))</f>
        <v>Ene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datos_base!$C$2+datos_base!$C$18+IF(parametros_manuales!$H$42="Todos",datos_base!$C$9+datos_base!$C$23,0))*parametros_manuales!$B$95+parametros_manuales!$E$42*(datos_base!$C$3+datos_base!$C$19+IF(parametros_manuales!$H$42="Todos",datos_base!$C$10+datos_base!$C$24,0))*parametros_manuales!$B$100+parametros_manuales!$F$42*(datos_base!$C$4+datos_base!$C$20+IF(parametros_manuales!$H$42="Todos",datos_base!$C$11+datos_base!$C$25,0))*parametros_manuales!$B$105+parametros_manuales!$G$42*(datos_base!$C$5+datos_base!$C$21+IF(parametros_manuales!$H$42="Todos",datos_base!$C$12+datos_base!$C$26,0))*parametros_manuales!$B$110)*parametros_manuales!$I$42*parametros_manuales!$J$42</f>
        <v>969.79838445</v>
      </c>
      <c r="C52" s="9" t="n">
        <f aca="false">(parametros_manuales!$D$42*(datos_base!$C$2+datos_base!$C$18+IF(parametros_manuales!$H$42="Todos",datos_base!$C$9+datos_base!$C$23,0))*parametros_manuales!$C$95+parametros_manuales!$E$42*(datos_base!$C$3+datos_base!$C$19+IF(parametros_manuales!$H$42="Todos",datos_base!$C$10+datos_base!$C$24,0))*parametros_manuales!$C$100+parametros_manuales!$F$42*(datos_base!$C$4+datos_base!$C$20+IF(parametros_manuales!$H$42="Todos",datos_base!$C$11+datos_base!$C$25,0))*parametros_manuales!$C$105+parametros_manuales!$G$42*(datos_base!$C$5+datos_base!$C$21+IF(parametros_manuales!$H$42="Todos",datos_base!$C$12+datos_base!$C$26,0))*parametros_manuales!$C$110)*parametros_manuales!$I$42*parametros_manuales!$J$42</f>
        <v>922.01604817</v>
      </c>
      <c r="D52" s="9" t="n">
        <f aca="false">(parametros_manuales!$D$42*(datos_base!$C$2+datos_base!$C$18+IF(parametros_manuales!$H$42="Todos",datos_base!$C$9+datos_base!$C$23,0))*parametros_manuales!$D$95+parametros_manuales!$E$42*(datos_base!$C$3+datos_base!$C$19+IF(parametros_manuales!$H$42="Todos",datos_base!$C$10+datos_base!$C$24,0))*parametros_manuales!$D$100+parametros_manuales!$F$42*(datos_base!$C$4+datos_base!$C$20+IF(parametros_manuales!$H$42="Todos",datos_base!$C$11+datos_base!$C$25,0))*parametros_manuales!$D$105+parametros_manuales!$G$42*(datos_base!$C$5+datos_base!$C$21+IF(parametros_manuales!$H$42="Todos",datos_base!$C$12+datos_base!$C$26,0))*parametros_manuales!$D$110)*parametros_manuales!$I$42*parametros_manuales!$J$42</f>
        <v>885.93417654</v>
      </c>
      <c r="E52" s="9" t="n">
        <f aca="false">(parametros_manuales!$D$42*(datos_base!$C$2+datos_base!$C$18+IF(parametros_manuales!$H$42="Todos",datos_base!$C$9+datos_base!$C$23,0))*parametros_manuales!$E$95+parametros_manuales!$E$42*(datos_base!$C$3+datos_base!$C$19+IF(parametros_manuales!$H$42="Todos",datos_base!$C$10+datos_base!$C$24,0))*parametros_manuales!$E$100+parametros_manuales!$F$42*(datos_base!$C$4+datos_base!$C$20+IF(parametros_manuales!$H$42="Todos",datos_base!$C$11+datos_base!$C$25,0))*parametros_manuales!$E$105+parametros_manuales!$G$42*(datos_base!$C$5+datos_base!$C$21+IF(parametros_manuales!$H$42="Todos",datos_base!$C$12+datos_base!$C$26,0))*parametros_manuales!$E$110)*parametros_manuales!$I$42*parametros_manuales!$J$42</f>
        <v>855.947656655</v>
      </c>
      <c r="F52" s="9" t="n">
        <f aca="false">(parametros_manuales!$D$42*(datos_base!$C$2+datos_base!$C$18+IF(parametros_manuales!$H$42="Todos",datos_base!$C$9+datos_base!$C$23,0))*parametros_manuales!$F$95+parametros_manuales!$E$42*(datos_base!$C$3+datos_base!$C$19+IF(parametros_manuales!$H$42="Todos",datos_base!$C$10+datos_base!$C$24,0))*parametros_manuales!$F$100+parametros_manuales!$F$42*(datos_base!$C$4+datos_base!$C$20+IF(parametros_manuales!$H$42="Todos",datos_base!$C$11+datos_base!$C$25,0))*parametros_manuales!$F$105+parametros_manuales!$G$42*(datos_base!$C$5+datos_base!$C$21+IF(parametros_manuales!$H$42="Todos",datos_base!$C$12+datos_base!$C$26,0))*parametros_manuales!$F$110)*parametros_manuales!$I$42*parametros_manuales!$J$42</f>
        <v>802.06996863</v>
      </c>
      <c r="G52" s="9" t="n">
        <f aca="false">(parametros_manuales!$D$42*(datos_base!$C$2+datos_base!$C$18+IF(parametros_manuales!$H$42="Todos",datos_base!$C$9+datos_base!$C$23,0))*parametros_manuales!$G$95+parametros_manuales!$E$42*(datos_base!$C$3+datos_base!$C$19+IF(parametros_manuales!$H$42="Todos",datos_base!$C$10+datos_base!$C$24,0))*parametros_manuales!$G$100+parametros_manuales!$F$42*(datos_base!$C$4+datos_base!$C$20+IF(parametros_manuales!$H$42="Todos",datos_base!$C$11+datos_base!$C$25,0))*parametros_manuales!$G$105+parametros_manuales!$G$42*(datos_base!$C$5+datos_base!$C$21+IF(parametros_manuales!$H$42="Todos",datos_base!$C$12+datos_base!$C$26,0))*parametros_manuales!$G$110)*parametros_manuales!$I$42*parametros_manuales!$J$42</f>
        <v>778.17880049</v>
      </c>
      <c r="H52" s="9" t="n">
        <f aca="false">(parametros_manuales!$D$42*(datos_base!$C$2+datos_base!$C$18+IF(parametros_manuales!$H$42="Todos",datos_base!$C$9+datos_base!$C$23,0))*parametros_manuales!$H$95+parametros_manuales!$E$42*(datos_base!$C$3+datos_base!$C$19+IF(parametros_manuales!$H$42="Todos",datos_base!$C$10+datos_base!$C$24,0))*parametros_manuales!$H$100+parametros_manuales!$F$42*(datos_base!$C$4+datos_base!$C$20+IF(parametros_manuales!$H$42="Todos",datos_base!$C$11+datos_base!$C$25,0))*parametros_manuales!$H$105+parametros_manuales!$G$42*(datos_base!$C$5+datos_base!$C$21+IF(parametros_manuales!$H$42="Todos",datos_base!$C$12+datos_base!$C$26,0))*parametros_manuales!$H$110)*parametros_manuales!$I$42*parametros_manuales!$J$42</f>
        <v>832.056488515</v>
      </c>
      <c r="I52" s="9" t="n">
        <f aca="false">(parametros_manuales!$D$42*(datos_base!$C$2+datos_base!$C$18+IF(parametros_manuales!$H$42="Todos",datos_base!$C$9+datos_base!$C$23,0))*parametros_manuales!$I$95+parametros_manuales!$E$42*(datos_base!$C$3+datos_base!$C$19+IF(parametros_manuales!$H$42="Todos",datos_base!$C$10+datos_base!$C$24,0))*parametros_manuales!$I$100+parametros_manuales!$F$42*(datos_base!$C$4+datos_base!$C$20+IF(parametros_manuales!$H$42="Todos",datos_base!$C$11+datos_base!$C$25,0))*parametros_manuales!$I$105+parametros_manuales!$G$42*(datos_base!$C$5+datos_base!$C$21+IF(parametros_manuales!$H$42="Todos",datos_base!$C$12+datos_base!$C$26,0))*parametros_manuales!$I$110)*parametros_manuales!$I$42*parametros_manuales!$J$42</f>
        <v>922.01604817</v>
      </c>
      <c r="J52" s="9" t="n">
        <f aca="false">(parametros_manuales!$D$42*(datos_base!$C$2+datos_base!$C$18+IF(parametros_manuales!$H$42="Todos",datos_base!$C$9+datos_base!$C$23,0))*parametros_manuales!$J$95+parametros_manuales!$E$42*(datos_base!$C$3+datos_base!$C$19+IF(parametros_manuales!$H$42="Todos",datos_base!$C$10+datos_base!$C$24,0))*parametros_manuales!$J$100+parametros_manuales!$F$42*(datos_base!$C$4+datos_base!$C$20+IF(parametros_manuales!$H$42="Todos",datos_base!$C$11+datos_base!$C$25,0))*parametros_manuales!$J$105+parametros_manuales!$G$42*(datos_base!$C$5+datos_base!$C$21+IF(parametros_manuales!$H$42="Todos",datos_base!$C$12+datos_base!$C$26,0))*parametros_manuales!$J$110)*parametros_manuales!$I$42*parametros_manuales!$J$42</f>
        <v>922.01604817</v>
      </c>
      <c r="K52" s="9" t="n">
        <f aca="false">(parametros_manuales!$D$42*(datos_base!$C$2+datos_base!$C$18+IF(parametros_manuales!$H$42="Todos",datos_base!$C$9+datos_base!$C$23,0))*parametros_manuales!$K$95+parametros_manuales!$E$42*(datos_base!$C$3+datos_base!$C$19+IF(parametros_manuales!$H$42="Todos",datos_base!$C$10+datos_base!$C$24,0))*parametros_manuales!$K$100+parametros_manuales!$F$42*(datos_base!$C$4+datos_base!$C$20+IF(parametros_manuales!$H$42="Todos",datos_base!$C$11+datos_base!$C$25,0))*parametros_manuales!$K$105+parametros_manuales!$G$42*(datos_base!$C$5+datos_base!$C$21+IF(parametros_manuales!$H$42="Todos",datos_base!$C$12+datos_base!$C$26,0))*parametros_manuales!$K$110)*parametros_manuales!$I$42*parametros_manuales!$J$42</f>
        <v>945.90721631</v>
      </c>
      <c r="L52" s="9" t="n">
        <f aca="false">(parametros_manuales!$D$42*(datos_base!$C$2+datos_base!$C$18+IF(parametros_manuales!$H$42="Todos",datos_base!$C$9+datos_base!$C$23,0))*parametros_manuales!$L$95+parametros_manuales!$E$42*(datos_base!$C$3+datos_base!$C$19+IF(parametros_manuales!$H$42="Todos",datos_base!$C$10+datos_base!$C$24,0))*parametros_manuales!$L$100+parametros_manuales!$F$42*(datos_base!$C$4+datos_base!$C$20+IF(parametros_manuales!$H$42="Todos",datos_base!$C$11+datos_base!$C$25,0))*parametros_manuales!$L$105+parametros_manuales!$G$42*(datos_base!$C$5+datos_base!$C$21+IF(parametros_manuales!$H$42="Todos",datos_base!$C$12+datos_base!$C$26,0))*parametros_manuales!$L$110)*parametros_manuales!$I$42*parametros_manuales!$J$42</f>
        <v>969.79838445</v>
      </c>
      <c r="M52" s="9" t="n">
        <f aca="false">(parametros_manuales!$D$42*(datos_base!$C$2+datos_base!$C$18+IF(parametros_manuales!$H$42="Todos",datos_base!$C$9+datos_base!$C$23,0))*parametros_manuales!$M$95+parametros_manuales!$E$42*(datos_base!$C$3+datos_base!$C$19+IF(parametros_manuales!$H$42="Todos",datos_base!$C$10+datos_base!$C$24,0))*parametros_manuales!$M$100+parametros_manuales!$F$42*(datos_base!$C$4+datos_base!$C$20+IF(parametros_manuales!$H$42="Todos",datos_base!$C$11+datos_base!$C$25,0))*parametros_manuales!$M$105+parametros_manuales!$G$42*(datos_base!$C$5+datos_base!$C$21+IF(parametros_manuales!$H$42="Todos",datos_base!$C$12+datos_base!$C$26,0))*parametros_manuales!$M$110)*parametros_manuales!$I$42*parametros_manuales!$J$42</f>
        <v>969.79838445</v>
      </c>
      <c r="N52" s="9" t="n">
        <f aca="false">SUM(B52:M52)</f>
        <v>10775.537605</v>
      </c>
      <c r="O52" s="9" t="n">
        <f aca="false">MAX(B52:M52)</f>
        <v>969.79838445</v>
      </c>
      <c r="P52" s="43" t="n">
        <f aca="false">O52/(parametros_manuales!$B$7)</f>
        <v>6.465322563</v>
      </c>
      <c r="Q52" s="8" t="str">
        <f aca="false">IF(O52=0,"-",INDEX($B$28:$M$28,MATCH(O52,B52:M52,0)))</f>
        <v>Ene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datos_base!$C$2+datos_base!$C$18+IF(parametros_manuales!$H$43="Todos",datos_base!$C$9+datos_base!$C$23,0))*parametros_manuales!$B$95+parametros_manuales!$E$43*(datos_base!$C$3+datos_base!$C$19+IF(parametros_manuales!$H$43="Todos",datos_base!$C$10+datos_base!$C$24,0))*parametros_manuales!$B$100+parametros_manuales!$F$43*(datos_base!$C$4+datos_base!$C$20+IF(parametros_manuales!$H$43="Todos",datos_base!$C$11+datos_base!$C$25,0))*parametros_manuales!$B$105+parametros_manuales!$G$43*(datos_base!$C$5+datos_base!$C$21+IF(parametros_manuales!$H$43="Todos",datos_base!$C$12+datos_base!$C$26,0))*parametros_manuales!$B$110)*parametros_manuales!$I$43*parametros_manuales!$J$43</f>
        <v>977.19998445</v>
      </c>
      <c r="C53" s="9" t="n">
        <f aca="false">(parametros_manuales!$D$43*(datos_base!$C$2+datos_base!$C$18+IF(parametros_manuales!$H$43="Todos",datos_base!$C$9+datos_base!$C$23,0))*parametros_manuales!$C$95+parametros_manuales!$E$43*(datos_base!$C$3+datos_base!$C$19+IF(parametros_manuales!$H$43="Todos",datos_base!$C$10+datos_base!$C$24,0))*parametros_manuales!$C$100+parametros_manuales!$F$43*(datos_base!$C$4+datos_base!$C$20+IF(parametros_manuales!$H$43="Todos",datos_base!$C$11+datos_base!$C$25,0))*parametros_manuales!$C$105+parametros_manuales!$G$43*(datos_base!$C$5+datos_base!$C$21+IF(parametros_manuales!$H$43="Todos",datos_base!$C$12+datos_base!$C$26,0))*parametros_manuales!$C$110)*parametros_manuales!$I$43*parametros_manuales!$J$43</f>
        <v>928.59524817</v>
      </c>
      <c r="D53" s="9" t="n">
        <f aca="false">(parametros_manuales!$D$43*(datos_base!$C$2+datos_base!$C$18+IF(parametros_manuales!$H$43="Todos",datos_base!$C$9+datos_base!$C$23,0))*parametros_manuales!$D$95+parametros_manuales!$E$43*(datos_base!$C$3+datos_base!$C$19+IF(parametros_manuales!$H$43="Todos",datos_base!$C$10+datos_base!$C$24,0))*parametros_manuales!$D$100+parametros_manuales!$F$43*(datos_base!$C$4+datos_base!$C$20+IF(parametros_manuales!$H$43="Todos",datos_base!$C$11+datos_base!$C$25,0))*parametros_manuales!$D$105+parametros_manuales!$G$43*(datos_base!$C$5+datos_base!$C$21+IF(parametros_manuales!$H$43="Todos",datos_base!$C$12+datos_base!$C$26,0))*parametros_manuales!$D$110)*parametros_manuales!$I$43*parametros_manuales!$J$43</f>
        <v>892.92457654</v>
      </c>
      <c r="E53" s="9" t="n">
        <f aca="false">(parametros_manuales!$D$43*(datos_base!$C$2+datos_base!$C$18+IF(parametros_manuales!$H$43="Todos",datos_base!$C$9+datos_base!$C$23,0))*parametros_manuales!$E$95+parametros_manuales!$E$43*(datos_base!$C$3+datos_base!$C$19+IF(parametros_manuales!$H$43="Todos",datos_base!$C$10+datos_base!$C$24,0))*parametros_manuales!$E$100+parametros_manuales!$F$43*(datos_base!$C$4+datos_base!$C$20+IF(parametros_manuales!$H$43="Todos",datos_base!$C$11+datos_base!$C$25,0))*parametros_manuales!$E$105+parametros_manuales!$G$43*(datos_base!$C$5+datos_base!$C$21+IF(parametros_manuales!$H$43="Todos",datos_base!$C$12+datos_base!$C$26,0))*parametros_manuales!$E$110)*parametros_manuales!$I$43*parametros_manuales!$J$43</f>
        <v>862.938056655</v>
      </c>
      <c r="F53" s="9" t="n">
        <f aca="false">(parametros_manuales!$D$43*(datos_base!$C$2+datos_base!$C$18+IF(parametros_manuales!$H$43="Todos",datos_base!$C$9+datos_base!$C$23,0))*parametros_manuales!$F$95+parametros_manuales!$E$43*(datos_base!$C$3+datos_base!$C$19+IF(parametros_manuales!$H$43="Todos",datos_base!$C$10+datos_base!$C$24,0))*parametros_manuales!$F$100+parametros_manuales!$F$43*(datos_base!$C$4+datos_base!$C$20+IF(parametros_manuales!$H$43="Todos",datos_base!$C$11+datos_base!$C$25,0))*parametros_manuales!$F$105+parametros_manuales!$G$43*(datos_base!$C$5+datos_base!$C$21+IF(parametros_manuales!$H$43="Todos",datos_base!$C$12+datos_base!$C$26,0))*parametros_manuales!$F$110)*parametros_manuales!$I$43*parametros_manuales!$J$43</f>
        <v>808.64916863</v>
      </c>
      <c r="G53" s="9" t="n">
        <f aca="false">(parametros_manuales!$D$43*(datos_base!$C$2+datos_base!$C$18+IF(parametros_manuales!$H$43="Todos",datos_base!$C$9+datos_base!$C$23,0))*parametros_manuales!$G$95+parametros_manuales!$E$43*(datos_base!$C$3+datos_base!$C$19+IF(parametros_manuales!$H$43="Todos",datos_base!$C$10+datos_base!$C$24,0))*parametros_manuales!$G$100+parametros_manuales!$F$43*(datos_base!$C$4+datos_base!$C$20+IF(parametros_manuales!$H$43="Todos",datos_base!$C$11+datos_base!$C$25,0))*parametros_manuales!$G$105+parametros_manuales!$G$43*(datos_base!$C$5+datos_base!$C$21+IF(parametros_manuales!$H$43="Todos",datos_base!$C$12+datos_base!$C$26,0))*parametros_manuales!$G$110)*parametros_manuales!$I$43*parametros_manuales!$J$43</f>
        <v>784.34680049</v>
      </c>
      <c r="H53" s="9" t="n">
        <f aca="false">(parametros_manuales!$D$43*(datos_base!$C$2+datos_base!$C$18+IF(parametros_manuales!$H$43="Todos",datos_base!$C$9+datos_base!$C$23,0))*parametros_manuales!$H$95+parametros_manuales!$E$43*(datos_base!$C$3+datos_base!$C$19+IF(parametros_manuales!$H$43="Todos",datos_base!$C$10+datos_base!$C$24,0))*parametros_manuales!$H$100+parametros_manuales!$F$43*(datos_base!$C$4+datos_base!$C$20+IF(parametros_manuales!$H$43="Todos",datos_base!$C$11+datos_base!$C$25,0))*parametros_manuales!$H$105+parametros_manuales!$G$43*(datos_base!$C$5+datos_base!$C$21+IF(parametros_manuales!$H$43="Todos",datos_base!$C$12+datos_base!$C$26,0))*parametros_manuales!$H$110)*parametros_manuales!$I$43*parametros_manuales!$J$43</f>
        <v>838.635688515</v>
      </c>
      <c r="I53" s="9" t="n">
        <f aca="false">(parametros_manuales!$D$43*(datos_base!$C$2+datos_base!$C$18+IF(parametros_manuales!$H$43="Todos",datos_base!$C$9+datos_base!$C$23,0))*parametros_manuales!$I$95+parametros_manuales!$E$43*(datos_base!$C$3+datos_base!$C$19+IF(parametros_manuales!$H$43="Todos",datos_base!$C$10+datos_base!$C$24,0))*parametros_manuales!$I$100+parametros_manuales!$F$43*(datos_base!$C$4+datos_base!$C$20+IF(parametros_manuales!$H$43="Todos",datos_base!$C$11+datos_base!$C$25,0))*parametros_manuales!$I$105+parametros_manuales!$G$43*(datos_base!$C$5+datos_base!$C$21+IF(parametros_manuales!$H$43="Todos",datos_base!$C$12+datos_base!$C$26,0))*parametros_manuales!$I$110)*parametros_manuales!$I$43*parametros_manuales!$J$43</f>
        <v>928.59524817</v>
      </c>
      <c r="J53" s="9" t="n">
        <f aca="false">(parametros_manuales!$D$43*(datos_base!$C$2+datos_base!$C$18+IF(parametros_manuales!$H$43="Todos",datos_base!$C$9+datos_base!$C$23,0))*parametros_manuales!$J$95+parametros_manuales!$E$43*(datos_base!$C$3+datos_base!$C$19+IF(parametros_manuales!$H$43="Todos",datos_base!$C$10+datos_base!$C$24,0))*parametros_manuales!$J$100+parametros_manuales!$F$43*(datos_base!$C$4+datos_base!$C$20+IF(parametros_manuales!$H$43="Todos",datos_base!$C$11+datos_base!$C$25,0))*parametros_manuales!$J$105+parametros_manuales!$G$43*(datos_base!$C$5+datos_base!$C$21+IF(parametros_manuales!$H$43="Todos",datos_base!$C$12+datos_base!$C$26,0))*parametros_manuales!$J$110)*parametros_manuales!$I$43*parametros_manuales!$J$43</f>
        <v>928.59524817</v>
      </c>
      <c r="K53" s="9" t="n">
        <f aca="false">(parametros_manuales!$D$43*(datos_base!$C$2+datos_base!$C$18+IF(parametros_manuales!$H$43="Todos",datos_base!$C$9+datos_base!$C$23,0))*parametros_manuales!$K$95+parametros_manuales!$E$43*(datos_base!$C$3+datos_base!$C$19+IF(parametros_manuales!$H$43="Todos",datos_base!$C$10+datos_base!$C$24,0))*parametros_manuales!$K$100+parametros_manuales!$F$43*(datos_base!$C$4+datos_base!$C$20+IF(parametros_manuales!$H$43="Todos",datos_base!$C$11+datos_base!$C$25,0))*parametros_manuales!$K$105+parametros_manuales!$G$43*(datos_base!$C$5+datos_base!$C$21+IF(parametros_manuales!$H$43="Todos",datos_base!$C$12+datos_base!$C$26,0))*parametros_manuales!$K$110)*parametros_manuales!$I$43*parametros_manuales!$J$43</f>
        <v>952.89761631</v>
      </c>
      <c r="L53" s="9" t="n">
        <f aca="false">(parametros_manuales!$D$43*(datos_base!$C$2+datos_base!$C$18+IF(parametros_manuales!$H$43="Todos",datos_base!$C$9+datos_base!$C$23,0))*parametros_manuales!$L$95+parametros_manuales!$E$43*(datos_base!$C$3+datos_base!$C$19+IF(parametros_manuales!$H$43="Todos",datos_base!$C$10+datos_base!$C$24,0))*parametros_manuales!$L$100+parametros_manuales!$F$43*(datos_base!$C$4+datos_base!$C$20+IF(parametros_manuales!$H$43="Todos",datos_base!$C$11+datos_base!$C$25,0))*parametros_manuales!$L$105+parametros_manuales!$G$43*(datos_base!$C$5+datos_base!$C$21+IF(parametros_manuales!$H$43="Todos",datos_base!$C$12+datos_base!$C$26,0))*parametros_manuales!$L$110)*parametros_manuales!$I$43*parametros_manuales!$J$43</f>
        <v>977.19998445</v>
      </c>
      <c r="M53" s="9" t="n">
        <f aca="false">(parametros_manuales!$D$43*(datos_base!$C$2+datos_base!$C$18+IF(parametros_manuales!$H$43="Todos",datos_base!$C$9+datos_base!$C$23,0))*parametros_manuales!$M$95+parametros_manuales!$E$43*(datos_base!$C$3+datos_base!$C$19+IF(parametros_manuales!$H$43="Todos",datos_base!$C$10+datos_base!$C$24,0))*parametros_manuales!$M$100+parametros_manuales!$F$43*(datos_base!$C$4+datos_base!$C$20+IF(parametros_manuales!$H$43="Todos",datos_base!$C$11+datos_base!$C$25,0))*parametros_manuales!$M$105+parametros_manuales!$G$43*(datos_base!$C$5+datos_base!$C$21+IF(parametros_manuales!$H$43="Todos",datos_base!$C$12+datos_base!$C$26,0))*parametros_manuales!$M$110)*parametros_manuales!$I$43*parametros_manuales!$J$43</f>
        <v>977.19998445</v>
      </c>
      <c r="N53" s="9" t="n">
        <f aca="false">SUM(B53:M53)</f>
        <v>10857.777605</v>
      </c>
      <c r="O53" s="9" t="n">
        <f aca="false">MAX(B53:M53)</f>
        <v>977.19998445</v>
      </c>
      <c r="P53" s="43" t="n">
        <f aca="false">O53/(parametros_manuales!$B$7)</f>
        <v>6.514666563</v>
      </c>
      <c r="Q53" s="8" t="str">
        <f aca="false">IF(O53=0,"-",INDEX($B$28:$M$28,MATCH(O53,B53:M53,0)))</f>
        <v>Ene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192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  <c r="G55" s="7" t="s">
        <v>66</v>
      </c>
      <c r="H55" s="7" t="s">
        <v>67</v>
      </c>
      <c r="I55" s="7" t="s">
        <v>68</v>
      </c>
      <c r="J55" s="7" t="s">
        <v>69</v>
      </c>
      <c r="K55" s="7" t="s">
        <v>70</v>
      </c>
      <c r="L55" s="7" t="s">
        <v>71</v>
      </c>
      <c r="M55" s="7" t="s">
        <v>72</v>
      </c>
      <c r="N55" s="7" t="s">
        <v>183</v>
      </c>
      <c r="O55" s="7" t="s">
        <v>188</v>
      </c>
      <c r="P55" s="7" t="s">
        <v>189</v>
      </c>
      <c r="Q55" s="7" t="s">
        <v>190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datos_base!$D$2+datos_base!$D$18+IF(parametros_manuales!$H$19="Todos",datos_base!$D$9+datos_base!$D$23,0))*parametros_manuales!$B$95+parametros_manuales!$E$19*(datos_base!$D$3+datos_base!$D$19+IF(parametros_manuales!$H$19="Todos",datos_base!$D$10+datos_base!$D$24,0))*parametros_manuales!$B$100+parametros_manuales!$F$19*(datos_base!$D$4+datos_base!$D$20+IF(parametros_manuales!$H$19="Todos",datos_base!$D$11+datos_base!$D$25,0))*parametros_manuales!$B$105+parametros_manuales!$G$19*(datos_base!$D$5+datos_base!$D$21+IF(parametros_manuales!$H$19="Todos",datos_base!$D$12+datos_base!$D$26,0))*parametros_manuales!$B$110)*parametros_manuales!$I$19*parametros_manuales!$J$19</f>
        <v>2064.572296776</v>
      </c>
      <c r="C56" s="9" t="n">
        <f aca="false">(parametros_manuales!$D$19*(datos_base!$D$2+datos_base!$D$18+IF(parametros_manuales!$H$19="Todos",datos_base!$D$9+datos_base!$D$23,0))*parametros_manuales!$C$95+parametros_manuales!$E$19*(datos_base!$D$3+datos_base!$D$19+IF(parametros_manuales!$H$19="Todos",datos_base!$D$10+datos_base!$D$24,0))*parametros_manuales!$C$100+parametros_manuales!$F$19*(datos_base!$D$4+datos_base!$D$20+IF(parametros_manuales!$H$19="Todos",datos_base!$D$11+datos_base!$D$25,0))*parametros_manuales!$C$105+parametros_manuales!$G$19*(datos_base!$D$5+datos_base!$D$21+IF(parametros_manuales!$H$19="Todos",datos_base!$D$12+datos_base!$D$26,0))*parametros_manuales!$C$110)*parametros_manuales!$I$19*parametros_manuales!$J$19</f>
        <v>1980.316852492</v>
      </c>
      <c r="D56" s="9" t="n">
        <f aca="false">(parametros_manuales!$D$19*(datos_base!$D$2+datos_base!$D$18+IF(parametros_manuales!$H$19="Todos",datos_base!$D$9+datos_base!$D$23,0))*parametros_manuales!$D$95+parametros_manuales!$E$19*(datos_base!$D$3+datos_base!$D$19+IF(parametros_manuales!$H$19="Todos",datos_base!$D$10+datos_base!$D$24,0))*parametros_manuales!$D$100+parametros_manuales!$F$19*(datos_base!$D$4+datos_base!$D$20+IF(parametros_manuales!$H$19="Todos",datos_base!$D$11+datos_base!$D$25,0))*parametros_manuales!$D$105+parametros_manuales!$G$19*(datos_base!$D$5+datos_base!$D$21+IF(parametros_manuales!$H$19="Todos",datos_base!$D$12+datos_base!$D$26,0))*parametros_manuales!$D$110)*parametros_manuales!$I$19*parametros_manuales!$J$19</f>
        <v>1877.303097054</v>
      </c>
      <c r="E56" s="9" t="n">
        <f aca="false">(parametros_manuales!$D$19*(datos_base!$D$2+datos_base!$D$18+IF(parametros_manuales!$H$19="Todos",datos_base!$D$9+datos_base!$D$23,0))*parametros_manuales!$E$95+parametros_manuales!$E$19*(datos_base!$D$3+datos_base!$D$19+IF(parametros_manuales!$H$19="Todos",datos_base!$D$10+datos_base!$D$24,0))*parametros_manuales!$E$100+parametros_manuales!$F$19*(datos_base!$D$4+datos_base!$D$20+IF(parametros_manuales!$H$19="Todos",datos_base!$D$11+datos_base!$D$25,0))*parametros_manuales!$E$105+parametros_manuales!$G$19*(datos_base!$D$5+datos_base!$D$21+IF(parametros_manuales!$H$19="Todos",datos_base!$D$12+datos_base!$D$26,0))*parametros_manuales!$E$110)*parametros_manuales!$I$19*parametros_manuales!$J$19</f>
        <v>1804.732358264</v>
      </c>
      <c r="F56" s="9" t="n">
        <f aca="false">(parametros_manuales!$D$19*(datos_base!$D$2+datos_base!$D$18+IF(parametros_manuales!$H$19="Todos",datos_base!$D$9+datos_base!$D$23,0))*parametros_manuales!$F$95+parametros_manuales!$E$19*(datos_base!$D$3+datos_base!$D$19+IF(parametros_manuales!$H$19="Todos",datos_base!$D$10+datos_base!$D$24,0))*parametros_manuales!$F$100+parametros_manuales!$F$19*(datos_base!$D$4+datos_base!$D$20+IF(parametros_manuales!$H$19="Todos",datos_base!$D$11+datos_base!$D$25,0))*parametros_manuales!$F$105+parametros_manuales!$G$19*(datos_base!$D$5+datos_base!$D$21+IF(parametros_manuales!$H$19="Todos",datos_base!$D$12+datos_base!$D$26,0))*parametros_manuales!$F$110)*parametros_manuales!$I$19*parametros_manuales!$J$19</f>
        <v>1690.033897332</v>
      </c>
      <c r="G56" s="9" t="n">
        <f aca="false">(parametros_manuales!$D$19*(datos_base!$D$2+datos_base!$D$18+IF(parametros_manuales!$H$19="Todos",datos_base!$D$9+datos_base!$D$23,0))*parametros_manuales!$G$95+parametros_manuales!$E$19*(datos_base!$D$3+datos_base!$D$19+IF(parametros_manuales!$H$19="Todos",datos_base!$D$10+datos_base!$D$24,0))*parametros_manuales!$G$100+parametros_manuales!$F$19*(datos_base!$D$4+datos_base!$D$20+IF(parametros_manuales!$H$19="Todos",datos_base!$D$11+datos_base!$D$25,0))*parametros_manuales!$G$105+parametros_manuales!$G$19*(datos_base!$D$5+datos_base!$D$21+IF(parametros_manuales!$H$19="Todos",datos_base!$D$12+datos_base!$D$26,0))*parametros_manuales!$G$110)*parametros_manuales!$I$19*parametros_manuales!$J$19</f>
        <v>1647.90617519</v>
      </c>
      <c r="H56" s="9" t="n">
        <f aca="false">(parametros_manuales!$D$19*(datos_base!$D$2+datos_base!$D$18+IF(parametros_manuales!$H$19="Todos",datos_base!$D$9+datos_base!$D$23,0))*parametros_manuales!$H$95+parametros_manuales!$E$19*(datos_base!$D$3+datos_base!$D$19+IF(parametros_manuales!$H$19="Todos",datos_base!$D$10+datos_base!$D$24,0))*parametros_manuales!$H$100+parametros_manuales!$F$19*(datos_base!$D$4+datos_base!$D$20+IF(parametros_manuales!$H$19="Todos",datos_base!$D$11+datos_base!$D$25,0))*parametros_manuales!$H$105+parametros_manuales!$G$19*(datos_base!$D$5+datos_base!$D$21+IF(parametros_manuales!$H$19="Todos",datos_base!$D$12+datos_base!$D$26,0))*parametros_manuales!$H$110)*parametros_manuales!$I$19*parametros_manuales!$J$19</f>
        <v>1762.604636122</v>
      </c>
      <c r="I56" s="9" t="n">
        <f aca="false">(parametros_manuales!$D$19*(datos_base!$D$2+datos_base!$D$18+IF(parametros_manuales!$H$19="Todos",datos_base!$D$9+datos_base!$D$23,0))*parametros_manuales!$I$95+parametros_manuales!$E$19*(datos_base!$D$3+datos_base!$D$19+IF(parametros_manuales!$H$19="Todos",datos_base!$D$10+datos_base!$D$24,0))*parametros_manuales!$I$100+parametros_manuales!$F$19*(datos_base!$D$4+datos_base!$D$20+IF(parametros_manuales!$H$19="Todos",datos_base!$D$11+datos_base!$D$25,0))*parametros_manuales!$I$105+parametros_manuales!$G$19*(datos_base!$D$5+datos_base!$D$21+IF(parametros_manuales!$H$19="Todos",datos_base!$D$12+datos_base!$D$26,0))*parametros_manuales!$I$110)*parametros_manuales!$I$19*parametros_manuales!$J$19</f>
        <v>1980.316852492</v>
      </c>
      <c r="J56" s="9" t="n">
        <f aca="false">(parametros_manuales!$D$19*(datos_base!$D$2+datos_base!$D$18+IF(parametros_manuales!$H$19="Todos",datos_base!$D$9+datos_base!$D$23,0))*parametros_manuales!$J$95+parametros_manuales!$E$19*(datos_base!$D$3+datos_base!$D$19+IF(parametros_manuales!$H$19="Todos",datos_base!$D$10+datos_base!$D$24,0))*parametros_manuales!$J$100+parametros_manuales!$F$19*(datos_base!$D$4+datos_base!$D$20+IF(parametros_manuales!$H$19="Todos",datos_base!$D$11+datos_base!$D$25,0))*parametros_manuales!$J$105+parametros_manuales!$G$19*(datos_base!$D$5+datos_base!$D$21+IF(parametros_manuales!$H$19="Todos",datos_base!$D$12+datos_base!$D$26,0))*parametros_manuales!$J$110)*parametros_manuales!$I$19*parametros_manuales!$J$19</f>
        <v>1980.316852492</v>
      </c>
      <c r="K56" s="9" t="n">
        <f aca="false">(parametros_manuales!$D$19*(datos_base!$D$2+datos_base!$D$18+IF(parametros_manuales!$H$19="Todos",datos_base!$D$9+datos_base!$D$23,0))*parametros_manuales!$K$95+parametros_manuales!$E$19*(datos_base!$D$3+datos_base!$D$19+IF(parametros_manuales!$H$19="Todos",datos_base!$D$10+datos_base!$D$24,0))*parametros_manuales!$K$100+parametros_manuales!$F$19*(datos_base!$D$4+datos_base!$D$20+IF(parametros_manuales!$H$19="Todos",datos_base!$D$11+datos_base!$D$25,0))*parametros_manuales!$K$105+parametros_manuales!$G$19*(datos_base!$D$5+datos_base!$D$21+IF(parametros_manuales!$H$19="Todos",datos_base!$D$12+datos_base!$D$26,0))*parametros_manuales!$K$110)*parametros_manuales!$I$19*parametros_manuales!$J$19</f>
        <v>2022.444574634</v>
      </c>
      <c r="L56" s="9" t="n">
        <f aca="false">(parametros_manuales!$D$19*(datos_base!$D$2+datos_base!$D$18+IF(parametros_manuales!$H$19="Todos",datos_base!$D$9+datos_base!$D$23,0))*parametros_manuales!$L$95+parametros_manuales!$E$19*(datos_base!$D$3+datos_base!$D$19+IF(parametros_manuales!$H$19="Todos",datos_base!$D$10+datos_base!$D$24,0))*parametros_manuales!$L$100+parametros_manuales!$F$19*(datos_base!$D$4+datos_base!$D$20+IF(parametros_manuales!$H$19="Todos",datos_base!$D$11+datos_base!$D$25,0))*parametros_manuales!$L$105+parametros_manuales!$G$19*(datos_base!$D$5+datos_base!$D$21+IF(parametros_manuales!$H$19="Todos",datos_base!$D$12+datos_base!$D$26,0))*parametros_manuales!$L$110)*parametros_manuales!$I$19*parametros_manuales!$J$19</f>
        <v>2064.572296776</v>
      </c>
      <c r="M56" s="9" t="n">
        <f aca="false">(parametros_manuales!$D$19*(datos_base!$D$2+datos_base!$D$18+IF(parametros_manuales!$H$19="Todos",datos_base!$D$9+datos_base!$D$23,0))*parametros_manuales!$M$95+parametros_manuales!$E$19*(datos_base!$D$3+datos_base!$D$19+IF(parametros_manuales!$H$19="Todos",datos_base!$D$10+datos_base!$D$24,0))*parametros_manuales!$M$100+parametros_manuales!$F$19*(datos_base!$D$4+datos_base!$D$20+IF(parametros_manuales!$H$19="Todos",datos_base!$D$11+datos_base!$D$25,0))*parametros_manuales!$M$105+parametros_manuales!$G$19*(datos_base!$D$5+datos_base!$D$21+IF(parametros_manuales!$H$19="Todos",datos_base!$D$12+datos_base!$D$26,0))*parametros_manuales!$M$110)*parametros_manuales!$I$19*parametros_manuales!$J$19</f>
        <v>2064.572296776</v>
      </c>
      <c r="N56" s="9" t="n">
        <f aca="false">SUM(B56:M56)</f>
        <v>22939.6921864</v>
      </c>
      <c r="O56" s="9" t="n">
        <f aca="false">MAX(B56:M56)</f>
        <v>2064.572296776</v>
      </c>
      <c r="P56" s="43" t="n">
        <f aca="false">O56/(parametros_manuales!$B$7)</f>
        <v>13.76381531184</v>
      </c>
      <c r="Q56" s="8" t="str">
        <f aca="false">IF(O56=0,"-",INDEX($B$55:$M$55,MATCH(O56,B56:M56,0)))</f>
        <v>Ene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datos_base!$D$2+datos_base!$D$18+IF(parametros_manuales!$H$20="Todos",datos_base!$D$9+datos_base!$D$23,0))*parametros_manuales!$B$95+parametros_manuales!$E$20*(datos_base!$D$3+datos_base!$D$19+IF(parametros_manuales!$H$20="Todos",datos_base!$D$10+datos_base!$D$24,0))*parametros_manuales!$B$100+parametros_manuales!$F$20*(datos_base!$D$4+datos_base!$D$20+IF(parametros_manuales!$H$20="Todos",datos_base!$D$11+datos_base!$D$25,0))*parametros_manuales!$B$105+parametros_manuales!$G$20*(datos_base!$D$5+datos_base!$D$21+IF(parametros_manuales!$H$20="Todos",datos_base!$D$12+datos_base!$D$26,0))*parametros_manuales!$B$110)*parametros_manuales!$I$20*parametros_manuales!$J$20</f>
        <v>758.298998556</v>
      </c>
      <c r="C57" s="9" t="n">
        <f aca="false">(parametros_manuales!$D$20*(datos_base!$D$2+datos_base!$D$18+IF(parametros_manuales!$H$20="Todos",datos_base!$D$9+datos_base!$D$23,0))*parametros_manuales!$C$95+parametros_manuales!$E$20*(datos_base!$D$3+datos_base!$D$19+IF(parametros_manuales!$H$20="Todos",datos_base!$D$10+datos_base!$D$24,0))*parametros_manuales!$C$100+parametros_manuales!$F$20*(datos_base!$D$4+datos_base!$D$20+IF(parametros_manuales!$H$20="Todos",datos_base!$D$11+datos_base!$D$25,0))*parametros_manuales!$C$105+parametros_manuales!$G$20*(datos_base!$D$5+datos_base!$D$21+IF(parametros_manuales!$H$20="Todos",datos_base!$D$12+datos_base!$D$26,0))*parametros_manuales!$C$110)*parametros_manuales!$I$20*parametros_manuales!$J$20</f>
        <v>674.043554272</v>
      </c>
      <c r="D57" s="9" t="n">
        <f aca="false">(parametros_manuales!$D$20*(datos_base!$D$2+datos_base!$D$18+IF(parametros_manuales!$H$20="Todos",datos_base!$D$9+datos_base!$D$23,0))*parametros_manuales!$D$95+parametros_manuales!$E$20*(datos_base!$D$3+datos_base!$D$19+IF(parametros_manuales!$H$20="Todos",datos_base!$D$10+datos_base!$D$24,0))*parametros_manuales!$D$100+parametros_manuales!$F$20*(datos_base!$D$4+datos_base!$D$20+IF(parametros_manuales!$H$20="Todos",datos_base!$D$11+datos_base!$D$25,0))*parametros_manuales!$D$105+parametros_manuales!$G$20*(datos_base!$D$5+datos_base!$D$21+IF(parametros_manuales!$H$20="Todos",datos_base!$D$12+datos_base!$D$26,0))*parametros_manuales!$D$110)*parametros_manuales!$I$20*parametros_manuales!$J$20</f>
        <v>716.171276414</v>
      </c>
      <c r="E57" s="9" t="n">
        <f aca="false">(parametros_manuales!$D$20*(datos_base!$D$2+datos_base!$D$18+IF(parametros_manuales!$H$20="Todos",datos_base!$D$9+datos_base!$D$23,0))*parametros_manuales!$E$95+parametros_manuales!$E$20*(datos_base!$D$3+datos_base!$D$19+IF(parametros_manuales!$H$20="Todos",datos_base!$D$10+datos_base!$D$24,0))*parametros_manuales!$E$100+parametros_manuales!$F$20*(datos_base!$D$4+datos_base!$D$20+IF(parametros_manuales!$H$20="Todos",datos_base!$D$11+datos_base!$D$25,0))*parametros_manuales!$E$105+parametros_manuales!$G$20*(datos_base!$D$5+datos_base!$D$21+IF(parametros_manuales!$H$20="Todos",datos_base!$D$12+datos_base!$D$26,0))*parametros_manuales!$E$110)*parametros_manuales!$I$20*parametros_manuales!$J$20</f>
        <v>716.171276414</v>
      </c>
      <c r="F57" s="9" t="n">
        <f aca="false">(parametros_manuales!$D$20*(datos_base!$D$2+datos_base!$D$18+IF(parametros_manuales!$H$20="Todos",datos_base!$D$9+datos_base!$D$23,0))*parametros_manuales!$F$95+parametros_manuales!$E$20*(datos_base!$D$3+datos_base!$D$19+IF(parametros_manuales!$H$20="Todos",datos_base!$D$10+datos_base!$D$24,0))*parametros_manuales!$F$100+parametros_manuales!$F$20*(datos_base!$D$4+datos_base!$D$20+IF(parametros_manuales!$H$20="Todos",datos_base!$D$11+datos_base!$D$25,0))*parametros_manuales!$F$105+parametros_manuales!$G$20*(datos_base!$D$5+datos_base!$D$21+IF(parametros_manuales!$H$20="Todos",datos_base!$D$12+datos_base!$D$26,0))*parametros_manuales!$F$110)*parametros_manuales!$I$20*parametros_manuales!$J$20</f>
        <v>674.043554272</v>
      </c>
      <c r="G57" s="9" t="n">
        <f aca="false">(parametros_manuales!$D$20*(datos_base!$D$2+datos_base!$D$18+IF(parametros_manuales!$H$20="Todos",datos_base!$D$9+datos_base!$D$23,0))*parametros_manuales!$G$95+parametros_manuales!$E$20*(datos_base!$D$3+datos_base!$D$19+IF(parametros_manuales!$H$20="Todos",datos_base!$D$10+datos_base!$D$24,0))*parametros_manuales!$G$100+parametros_manuales!$F$20*(datos_base!$D$4+datos_base!$D$20+IF(parametros_manuales!$H$20="Todos",datos_base!$D$11+datos_base!$D$25,0))*parametros_manuales!$G$105+parametros_manuales!$G$20*(datos_base!$D$5+datos_base!$D$21+IF(parametros_manuales!$H$20="Todos",datos_base!$D$12+datos_base!$D$26,0))*parametros_manuales!$G$110)*parametros_manuales!$I$20*parametros_manuales!$J$20</f>
        <v>631.91583213</v>
      </c>
      <c r="H57" s="9" t="n">
        <f aca="false">(parametros_manuales!$D$20*(datos_base!$D$2+datos_base!$D$18+IF(parametros_manuales!$H$20="Todos",datos_base!$D$9+datos_base!$D$23,0))*parametros_manuales!$H$95+parametros_manuales!$E$20*(datos_base!$D$3+datos_base!$D$19+IF(parametros_manuales!$H$20="Todos",datos_base!$D$10+datos_base!$D$24,0))*parametros_manuales!$H$100+parametros_manuales!$F$20*(datos_base!$D$4+datos_base!$D$20+IF(parametros_manuales!$H$20="Todos",datos_base!$D$11+datos_base!$D$25,0))*parametros_manuales!$H$105+parametros_manuales!$G$20*(datos_base!$D$5+datos_base!$D$21+IF(parametros_manuales!$H$20="Todos",datos_base!$D$12+datos_base!$D$26,0))*parametros_manuales!$H$110)*parametros_manuales!$I$20*parametros_manuales!$J$20</f>
        <v>674.043554272</v>
      </c>
      <c r="I57" s="9" t="n">
        <f aca="false">(parametros_manuales!$D$20*(datos_base!$D$2+datos_base!$D$18+IF(parametros_manuales!$H$20="Todos",datos_base!$D$9+datos_base!$D$23,0))*parametros_manuales!$I$95+parametros_manuales!$E$20*(datos_base!$D$3+datos_base!$D$19+IF(parametros_manuales!$H$20="Todos",datos_base!$D$10+datos_base!$D$24,0))*parametros_manuales!$I$100+parametros_manuales!$F$20*(datos_base!$D$4+datos_base!$D$20+IF(parametros_manuales!$H$20="Todos",datos_base!$D$11+datos_base!$D$25,0))*parametros_manuales!$I$105+parametros_manuales!$G$20*(datos_base!$D$5+datos_base!$D$21+IF(parametros_manuales!$H$20="Todos",datos_base!$D$12+datos_base!$D$26,0))*parametros_manuales!$I$110)*parametros_manuales!$I$20*parametros_manuales!$J$20</f>
        <v>674.043554272</v>
      </c>
      <c r="J57" s="9" t="n">
        <f aca="false">(parametros_manuales!$D$20*(datos_base!$D$2+datos_base!$D$18+IF(parametros_manuales!$H$20="Todos",datos_base!$D$9+datos_base!$D$23,0))*parametros_manuales!$J$95+parametros_manuales!$E$20*(datos_base!$D$3+datos_base!$D$19+IF(parametros_manuales!$H$20="Todos",datos_base!$D$10+datos_base!$D$24,0))*parametros_manuales!$J$100+parametros_manuales!$F$20*(datos_base!$D$4+datos_base!$D$20+IF(parametros_manuales!$H$20="Todos",datos_base!$D$11+datos_base!$D$25,0))*parametros_manuales!$J$105+parametros_manuales!$G$20*(datos_base!$D$5+datos_base!$D$21+IF(parametros_manuales!$H$20="Todos",datos_base!$D$12+datos_base!$D$26,0))*parametros_manuales!$J$110)*parametros_manuales!$I$20*parametros_manuales!$J$20</f>
        <v>674.043554272</v>
      </c>
      <c r="K57" s="9" t="n">
        <f aca="false">(parametros_manuales!$D$20*(datos_base!$D$2+datos_base!$D$18+IF(parametros_manuales!$H$20="Todos",datos_base!$D$9+datos_base!$D$23,0))*parametros_manuales!$K$95+parametros_manuales!$E$20*(datos_base!$D$3+datos_base!$D$19+IF(parametros_manuales!$H$20="Todos",datos_base!$D$10+datos_base!$D$24,0))*parametros_manuales!$K$100+parametros_manuales!$F$20*(datos_base!$D$4+datos_base!$D$20+IF(parametros_manuales!$H$20="Todos",datos_base!$D$11+datos_base!$D$25,0))*parametros_manuales!$K$105+parametros_manuales!$G$20*(datos_base!$D$5+datos_base!$D$21+IF(parametros_manuales!$H$20="Todos",datos_base!$D$12+datos_base!$D$26,0))*parametros_manuales!$K$110)*parametros_manuales!$I$20*parametros_manuales!$J$20</f>
        <v>716.171276414</v>
      </c>
      <c r="L57" s="9" t="n">
        <f aca="false">(parametros_manuales!$D$20*(datos_base!$D$2+datos_base!$D$18+IF(parametros_manuales!$H$20="Todos",datos_base!$D$9+datos_base!$D$23,0))*parametros_manuales!$L$95+parametros_manuales!$E$20*(datos_base!$D$3+datos_base!$D$19+IF(parametros_manuales!$H$20="Todos",datos_base!$D$10+datos_base!$D$24,0))*parametros_manuales!$L$100+parametros_manuales!$F$20*(datos_base!$D$4+datos_base!$D$20+IF(parametros_manuales!$H$20="Todos",datos_base!$D$11+datos_base!$D$25,0))*parametros_manuales!$L$105+parametros_manuales!$G$20*(datos_base!$D$5+datos_base!$D$21+IF(parametros_manuales!$H$20="Todos",datos_base!$D$12+datos_base!$D$26,0))*parametros_manuales!$L$110)*parametros_manuales!$I$20*parametros_manuales!$J$20</f>
        <v>758.298998556</v>
      </c>
      <c r="M57" s="9" t="n">
        <f aca="false">(parametros_manuales!$D$20*(datos_base!$D$2+datos_base!$D$18+IF(parametros_manuales!$H$20="Todos",datos_base!$D$9+datos_base!$D$23,0))*parametros_manuales!$M$95+parametros_manuales!$E$20*(datos_base!$D$3+datos_base!$D$19+IF(parametros_manuales!$H$20="Todos",datos_base!$D$10+datos_base!$D$24,0))*parametros_manuales!$M$100+parametros_manuales!$F$20*(datos_base!$D$4+datos_base!$D$20+IF(parametros_manuales!$H$20="Todos",datos_base!$D$11+datos_base!$D$25,0))*parametros_manuales!$M$105+parametros_manuales!$G$20*(datos_base!$D$5+datos_base!$D$21+IF(parametros_manuales!$H$20="Todos",datos_base!$D$12+datos_base!$D$26,0))*parametros_manuales!$M$110)*parametros_manuales!$I$20*parametros_manuales!$J$20</f>
        <v>758.298998556</v>
      </c>
      <c r="N57" s="9" t="n">
        <f aca="false">SUM(B57:M57)</f>
        <v>8425.5444284</v>
      </c>
      <c r="O57" s="9" t="n">
        <f aca="false">MAX(B57:M57)</f>
        <v>758.298998556</v>
      </c>
      <c r="P57" s="43" t="n">
        <f aca="false">O57/(parametros_manuales!$B$7)</f>
        <v>5.05532665704</v>
      </c>
      <c r="Q57" s="8" t="str">
        <f aca="false">IF(O57=0,"-",INDEX($B$55:$M$55,MATCH(O57,B57:M57,0)))</f>
        <v>Ene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datos_base!$D$2+datos_base!$D$18+IF(parametros_manuales!$H$21="Todos",datos_base!$D$9+datos_base!$D$23,0))*parametros_manuales!$B$95+parametros_manuales!$E$21*(datos_base!$D$3+datos_base!$D$19+IF(parametros_manuales!$H$21="Todos",datos_base!$D$10+datos_base!$D$24,0))*parametros_manuales!$B$100+parametros_manuales!$F$21*(datos_base!$D$4+datos_base!$D$20+IF(parametros_manuales!$H$21="Todos",datos_base!$D$11+datos_base!$D$25,0))*parametros_manuales!$B$105+parametros_manuales!$G$21*(datos_base!$D$5+datos_base!$D$21+IF(parametros_manuales!$H$21="Todos",datos_base!$D$12+datos_base!$D$26,0))*parametros_manuales!$B$110)*parametros_manuales!$I$21*parametros_manuales!$J$21</f>
        <v>1306.27329822</v>
      </c>
      <c r="C58" s="9" t="n">
        <f aca="false">(parametros_manuales!$D$21*(datos_base!$D$2+datos_base!$D$18+IF(parametros_manuales!$H$21="Todos",datos_base!$D$9+datos_base!$D$23,0))*parametros_manuales!$C$95+parametros_manuales!$E$21*(datos_base!$D$3+datos_base!$D$19+IF(parametros_manuales!$H$21="Todos",datos_base!$D$10+datos_base!$D$24,0))*parametros_manuales!$C$100+parametros_manuales!$F$21*(datos_base!$D$4+datos_base!$D$20+IF(parametros_manuales!$H$21="Todos",datos_base!$D$11+datos_base!$D$25,0))*parametros_manuales!$C$105+parametros_manuales!$G$21*(datos_base!$D$5+datos_base!$D$21+IF(parametros_manuales!$H$21="Todos",datos_base!$D$12+datos_base!$D$26,0))*parametros_manuales!$C$110)*parametros_manuales!$I$21*parametros_manuales!$J$21</f>
        <v>1306.27329822</v>
      </c>
      <c r="D58" s="9" t="n">
        <f aca="false">(parametros_manuales!$D$21*(datos_base!$D$2+datos_base!$D$18+IF(parametros_manuales!$H$21="Todos",datos_base!$D$9+datos_base!$D$23,0))*parametros_manuales!$D$95+parametros_manuales!$E$21*(datos_base!$D$3+datos_base!$D$19+IF(parametros_manuales!$H$21="Todos",datos_base!$D$10+datos_base!$D$24,0))*parametros_manuales!$D$100+parametros_manuales!$F$21*(datos_base!$D$4+datos_base!$D$20+IF(parametros_manuales!$H$21="Todos",datos_base!$D$11+datos_base!$D$25,0))*parametros_manuales!$D$105+parametros_manuales!$G$21*(datos_base!$D$5+datos_base!$D$21+IF(parametros_manuales!$H$21="Todos",datos_base!$D$12+datos_base!$D$26,0))*parametros_manuales!$D$110)*parametros_manuales!$I$21*parametros_manuales!$J$21</f>
        <v>1161.13182064</v>
      </c>
      <c r="E58" s="9" t="n">
        <f aca="false">(parametros_manuales!$D$21*(datos_base!$D$2+datos_base!$D$18+IF(parametros_manuales!$H$21="Todos",datos_base!$D$9+datos_base!$D$23,0))*parametros_manuales!$E$95+parametros_manuales!$E$21*(datos_base!$D$3+datos_base!$D$19+IF(parametros_manuales!$H$21="Todos",datos_base!$D$10+datos_base!$D$24,0))*parametros_manuales!$E$100+parametros_manuales!$F$21*(datos_base!$D$4+datos_base!$D$20+IF(parametros_manuales!$H$21="Todos",datos_base!$D$11+datos_base!$D$25,0))*parametros_manuales!$E$105+parametros_manuales!$G$21*(datos_base!$D$5+datos_base!$D$21+IF(parametros_manuales!$H$21="Todos",datos_base!$D$12+datos_base!$D$26,0))*parametros_manuales!$E$110)*parametros_manuales!$I$21*parametros_manuales!$J$21</f>
        <v>1088.56108185</v>
      </c>
      <c r="F58" s="9" t="n">
        <f aca="false">(parametros_manuales!$D$21*(datos_base!$D$2+datos_base!$D$18+IF(parametros_manuales!$H$21="Todos",datos_base!$D$9+datos_base!$D$23,0))*parametros_manuales!$F$95+parametros_manuales!$E$21*(datos_base!$D$3+datos_base!$D$19+IF(parametros_manuales!$H$21="Todos",datos_base!$D$10+datos_base!$D$24,0))*parametros_manuales!$F$100+parametros_manuales!$F$21*(datos_base!$D$4+datos_base!$D$20+IF(parametros_manuales!$H$21="Todos",datos_base!$D$11+datos_base!$D$25,0))*parametros_manuales!$F$105+parametros_manuales!$G$21*(datos_base!$D$5+datos_base!$D$21+IF(parametros_manuales!$H$21="Todos",datos_base!$D$12+datos_base!$D$26,0))*parametros_manuales!$F$110)*parametros_manuales!$I$21*parametros_manuales!$J$21</f>
        <v>1015.99034306</v>
      </c>
      <c r="G58" s="9" t="n">
        <f aca="false">(parametros_manuales!$D$21*(datos_base!$D$2+datos_base!$D$18+IF(parametros_manuales!$H$21="Todos",datos_base!$D$9+datos_base!$D$23,0))*parametros_manuales!$G$95+parametros_manuales!$E$21*(datos_base!$D$3+datos_base!$D$19+IF(parametros_manuales!$H$21="Todos",datos_base!$D$10+datos_base!$D$24,0))*parametros_manuales!$G$100+parametros_manuales!$F$21*(datos_base!$D$4+datos_base!$D$20+IF(parametros_manuales!$H$21="Todos",datos_base!$D$11+datos_base!$D$25,0))*parametros_manuales!$G$105+parametros_manuales!$G$21*(datos_base!$D$5+datos_base!$D$21+IF(parametros_manuales!$H$21="Todos",datos_base!$D$12+datos_base!$D$26,0))*parametros_manuales!$G$110)*parametros_manuales!$I$21*parametros_manuales!$J$21</f>
        <v>1015.99034306</v>
      </c>
      <c r="H58" s="9" t="n">
        <f aca="false">(parametros_manuales!$D$21*(datos_base!$D$2+datos_base!$D$18+IF(parametros_manuales!$H$21="Todos",datos_base!$D$9+datos_base!$D$23,0))*parametros_manuales!$H$95+parametros_manuales!$E$21*(datos_base!$D$3+datos_base!$D$19+IF(parametros_manuales!$H$21="Todos",datos_base!$D$10+datos_base!$D$24,0))*parametros_manuales!$H$100+parametros_manuales!$F$21*(datos_base!$D$4+datos_base!$D$20+IF(parametros_manuales!$H$21="Todos",datos_base!$D$11+datos_base!$D$25,0))*parametros_manuales!$H$105+parametros_manuales!$G$21*(datos_base!$D$5+datos_base!$D$21+IF(parametros_manuales!$H$21="Todos",datos_base!$D$12+datos_base!$D$26,0))*parametros_manuales!$H$110)*parametros_manuales!$I$21*parametros_manuales!$J$21</f>
        <v>1088.56108185</v>
      </c>
      <c r="I58" s="9" t="n">
        <f aca="false">(parametros_manuales!$D$21*(datos_base!$D$2+datos_base!$D$18+IF(parametros_manuales!$H$21="Todos",datos_base!$D$9+datos_base!$D$23,0))*parametros_manuales!$I$95+parametros_manuales!$E$21*(datos_base!$D$3+datos_base!$D$19+IF(parametros_manuales!$H$21="Todos",datos_base!$D$10+datos_base!$D$24,0))*parametros_manuales!$I$100+parametros_manuales!$F$21*(datos_base!$D$4+datos_base!$D$20+IF(parametros_manuales!$H$21="Todos",datos_base!$D$11+datos_base!$D$25,0))*parametros_manuales!$I$105+parametros_manuales!$G$21*(datos_base!$D$5+datos_base!$D$21+IF(parametros_manuales!$H$21="Todos",datos_base!$D$12+datos_base!$D$26,0))*parametros_manuales!$I$110)*parametros_manuales!$I$21*parametros_manuales!$J$21</f>
        <v>1306.27329822</v>
      </c>
      <c r="J58" s="9" t="n">
        <f aca="false">(parametros_manuales!$D$21*(datos_base!$D$2+datos_base!$D$18+IF(parametros_manuales!$H$21="Todos",datos_base!$D$9+datos_base!$D$23,0))*parametros_manuales!$J$95+parametros_manuales!$E$21*(datos_base!$D$3+datos_base!$D$19+IF(parametros_manuales!$H$21="Todos",datos_base!$D$10+datos_base!$D$24,0))*parametros_manuales!$J$100+parametros_manuales!$F$21*(datos_base!$D$4+datos_base!$D$20+IF(parametros_manuales!$H$21="Todos",datos_base!$D$11+datos_base!$D$25,0))*parametros_manuales!$J$105+parametros_manuales!$G$21*(datos_base!$D$5+datos_base!$D$21+IF(parametros_manuales!$H$21="Todos",datos_base!$D$12+datos_base!$D$26,0))*parametros_manuales!$J$110)*parametros_manuales!$I$21*parametros_manuales!$J$21</f>
        <v>1306.27329822</v>
      </c>
      <c r="K58" s="9" t="n">
        <f aca="false">(parametros_manuales!$D$21*(datos_base!$D$2+datos_base!$D$18+IF(parametros_manuales!$H$21="Todos",datos_base!$D$9+datos_base!$D$23,0))*parametros_manuales!$K$95+parametros_manuales!$E$21*(datos_base!$D$3+datos_base!$D$19+IF(parametros_manuales!$H$21="Todos",datos_base!$D$10+datos_base!$D$24,0))*parametros_manuales!$K$100+parametros_manuales!$F$21*(datos_base!$D$4+datos_base!$D$20+IF(parametros_manuales!$H$21="Todos",datos_base!$D$11+datos_base!$D$25,0))*parametros_manuales!$K$105+parametros_manuales!$G$21*(datos_base!$D$5+datos_base!$D$21+IF(parametros_manuales!$H$21="Todos",datos_base!$D$12+datos_base!$D$26,0))*parametros_manuales!$K$110)*parametros_manuales!$I$21*parametros_manuales!$J$21</f>
        <v>1306.27329822</v>
      </c>
      <c r="L58" s="9" t="n">
        <f aca="false">(parametros_manuales!$D$21*(datos_base!$D$2+datos_base!$D$18+IF(parametros_manuales!$H$21="Todos",datos_base!$D$9+datos_base!$D$23,0))*parametros_manuales!$L$95+parametros_manuales!$E$21*(datos_base!$D$3+datos_base!$D$19+IF(parametros_manuales!$H$21="Todos",datos_base!$D$10+datos_base!$D$24,0))*parametros_manuales!$L$100+parametros_manuales!$F$21*(datos_base!$D$4+datos_base!$D$20+IF(parametros_manuales!$H$21="Todos",datos_base!$D$11+datos_base!$D$25,0))*parametros_manuales!$L$105+parametros_manuales!$G$21*(datos_base!$D$5+datos_base!$D$21+IF(parametros_manuales!$H$21="Todos",datos_base!$D$12+datos_base!$D$26,0))*parametros_manuales!$L$110)*parametros_manuales!$I$21*parametros_manuales!$J$21</f>
        <v>1306.27329822</v>
      </c>
      <c r="M58" s="9" t="n">
        <f aca="false">(parametros_manuales!$D$21*(datos_base!$D$2+datos_base!$D$18+IF(parametros_manuales!$H$21="Todos",datos_base!$D$9+datos_base!$D$23,0))*parametros_manuales!$M$95+parametros_manuales!$E$21*(datos_base!$D$3+datos_base!$D$19+IF(parametros_manuales!$H$21="Todos",datos_base!$D$10+datos_base!$D$24,0))*parametros_manuales!$M$100+parametros_manuales!$F$21*(datos_base!$D$4+datos_base!$D$20+IF(parametros_manuales!$H$21="Todos",datos_base!$D$11+datos_base!$D$25,0))*parametros_manuales!$M$105+parametros_manuales!$G$21*(datos_base!$D$5+datos_base!$D$21+IF(parametros_manuales!$H$21="Todos",datos_base!$D$12+datos_base!$D$26,0))*parametros_manuales!$M$110)*parametros_manuales!$I$21*parametros_manuales!$J$21</f>
        <v>1306.27329822</v>
      </c>
      <c r="N58" s="9" t="n">
        <f aca="false">SUM(B58:M58)</f>
        <v>14514.147758</v>
      </c>
      <c r="O58" s="9" t="n">
        <f aca="false">MAX(B58:M58)</f>
        <v>1306.27329822</v>
      </c>
      <c r="P58" s="43" t="n">
        <f aca="false">O58/(parametros_manuales!$B$7)</f>
        <v>8.7084886548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datos_base!$D$2+datos_base!$D$18+IF(parametros_manuales!$H$22="Todos",datos_base!$D$9+datos_base!$D$23,0))*parametros_manuales!$B$95+parametros_manuales!$E$22*(datos_base!$D$3+datos_base!$D$19+IF(parametros_manuales!$H$22="Todos",datos_base!$D$10+datos_base!$D$24,0))*parametros_manuales!$B$100+parametros_manuales!$F$22*(datos_base!$D$4+datos_base!$D$20+IF(parametros_manuales!$H$22="Todos",datos_base!$D$11+datos_base!$D$25,0))*parametros_manuales!$B$105+parametros_manuales!$G$22*(datos_base!$D$5+datos_base!$D$21+IF(parametros_manuales!$H$22="Todos",datos_base!$D$12+datos_base!$D$26,0))*parametros_manuales!$B$110)*parametros_manuales!$I$22*parametros_manuales!$J$22</f>
        <v>4129.144593552</v>
      </c>
      <c r="C59" s="9" t="n">
        <f aca="false">(parametros_manuales!$D$22*(datos_base!$D$2+datos_base!$D$18+IF(parametros_manuales!$H$22="Todos",datos_base!$D$9+datos_base!$D$23,0))*parametros_manuales!$C$95+parametros_manuales!$E$22*(datos_base!$D$3+datos_base!$D$19+IF(parametros_manuales!$H$22="Todos",datos_base!$D$10+datos_base!$D$24,0))*parametros_manuales!$C$100+parametros_manuales!$F$22*(datos_base!$D$4+datos_base!$D$20+IF(parametros_manuales!$H$22="Todos",datos_base!$D$11+datos_base!$D$25,0))*parametros_manuales!$C$105+parametros_manuales!$G$22*(datos_base!$D$5+datos_base!$D$21+IF(parametros_manuales!$H$22="Todos",datos_base!$D$12+datos_base!$D$26,0))*parametros_manuales!$C$110)*parametros_manuales!$I$22*parametros_manuales!$J$22</f>
        <v>3960.633704984</v>
      </c>
      <c r="D59" s="9" t="n">
        <f aca="false">(parametros_manuales!$D$22*(datos_base!$D$2+datos_base!$D$18+IF(parametros_manuales!$H$22="Todos",datos_base!$D$9+datos_base!$D$23,0))*parametros_manuales!$D$95+parametros_manuales!$E$22*(datos_base!$D$3+datos_base!$D$19+IF(parametros_manuales!$H$22="Todos",datos_base!$D$10+datos_base!$D$24,0))*parametros_manuales!$D$100+parametros_manuales!$F$22*(datos_base!$D$4+datos_base!$D$20+IF(parametros_manuales!$H$22="Todos",datos_base!$D$11+datos_base!$D$25,0))*parametros_manuales!$D$105+parametros_manuales!$G$22*(datos_base!$D$5+datos_base!$D$21+IF(parametros_manuales!$H$22="Todos",datos_base!$D$12+datos_base!$D$26,0))*parametros_manuales!$D$110)*parametros_manuales!$I$22*parametros_manuales!$J$22</f>
        <v>3754.606194108</v>
      </c>
      <c r="E59" s="9" t="n">
        <f aca="false">(parametros_manuales!$D$22*(datos_base!$D$2+datos_base!$D$18+IF(parametros_manuales!$H$22="Todos",datos_base!$D$9+datos_base!$D$23,0))*parametros_manuales!$E$95+parametros_manuales!$E$22*(datos_base!$D$3+datos_base!$D$19+IF(parametros_manuales!$H$22="Todos",datos_base!$D$10+datos_base!$D$24,0))*parametros_manuales!$E$100+parametros_manuales!$F$22*(datos_base!$D$4+datos_base!$D$20+IF(parametros_manuales!$H$22="Todos",datos_base!$D$11+datos_base!$D$25,0))*parametros_manuales!$E$105+parametros_manuales!$G$22*(datos_base!$D$5+datos_base!$D$21+IF(parametros_manuales!$H$22="Todos",datos_base!$D$12+datos_base!$D$26,0))*parametros_manuales!$E$110)*parametros_manuales!$I$22*parametros_manuales!$J$22</f>
        <v>3609.464716528</v>
      </c>
      <c r="F59" s="9" t="n">
        <f aca="false">(parametros_manuales!$D$22*(datos_base!$D$2+datos_base!$D$18+IF(parametros_manuales!$H$22="Todos",datos_base!$D$9+datos_base!$D$23,0))*parametros_manuales!$F$95+parametros_manuales!$E$22*(datos_base!$D$3+datos_base!$D$19+IF(parametros_manuales!$H$22="Todos",datos_base!$D$10+datos_base!$D$24,0))*parametros_manuales!$F$100+parametros_manuales!$F$22*(datos_base!$D$4+datos_base!$D$20+IF(parametros_manuales!$H$22="Todos",datos_base!$D$11+datos_base!$D$25,0))*parametros_manuales!$F$105+parametros_manuales!$G$22*(datos_base!$D$5+datos_base!$D$21+IF(parametros_manuales!$H$22="Todos",datos_base!$D$12+datos_base!$D$26,0))*parametros_manuales!$F$110)*parametros_manuales!$I$22*parametros_manuales!$J$22</f>
        <v>3380.067794664</v>
      </c>
      <c r="G59" s="9" t="n">
        <f aca="false">(parametros_manuales!$D$22*(datos_base!$D$2+datos_base!$D$18+IF(parametros_manuales!$H$22="Todos",datos_base!$D$9+datos_base!$D$23,0))*parametros_manuales!$G$95+parametros_manuales!$E$22*(datos_base!$D$3+datos_base!$D$19+IF(parametros_manuales!$H$22="Todos",datos_base!$D$10+datos_base!$D$24,0))*parametros_manuales!$G$100+parametros_manuales!$F$22*(datos_base!$D$4+datos_base!$D$20+IF(parametros_manuales!$H$22="Todos",datos_base!$D$11+datos_base!$D$25,0))*parametros_manuales!$G$105+parametros_manuales!$G$22*(datos_base!$D$5+datos_base!$D$21+IF(parametros_manuales!$H$22="Todos",datos_base!$D$12+datos_base!$D$26,0))*parametros_manuales!$G$110)*parametros_manuales!$I$22*parametros_manuales!$J$22</f>
        <v>3295.81235038</v>
      </c>
      <c r="H59" s="9" t="n">
        <f aca="false">(parametros_manuales!$D$22*(datos_base!$D$2+datos_base!$D$18+IF(parametros_manuales!$H$22="Todos",datos_base!$D$9+datos_base!$D$23,0))*parametros_manuales!$H$95+parametros_manuales!$E$22*(datos_base!$D$3+datos_base!$D$19+IF(parametros_manuales!$H$22="Todos",datos_base!$D$10+datos_base!$D$24,0))*parametros_manuales!$H$100+parametros_manuales!$F$22*(datos_base!$D$4+datos_base!$D$20+IF(parametros_manuales!$H$22="Todos",datos_base!$D$11+datos_base!$D$25,0))*parametros_manuales!$H$105+parametros_manuales!$G$22*(datos_base!$D$5+datos_base!$D$21+IF(parametros_manuales!$H$22="Todos",datos_base!$D$12+datos_base!$D$26,0))*parametros_manuales!$H$110)*parametros_manuales!$I$22*parametros_manuales!$J$22</f>
        <v>3525.209272244</v>
      </c>
      <c r="I59" s="9" t="n">
        <f aca="false">(parametros_manuales!$D$22*(datos_base!$D$2+datos_base!$D$18+IF(parametros_manuales!$H$22="Todos",datos_base!$D$9+datos_base!$D$23,0))*parametros_manuales!$I$95+parametros_manuales!$E$22*(datos_base!$D$3+datos_base!$D$19+IF(parametros_manuales!$H$22="Todos",datos_base!$D$10+datos_base!$D$24,0))*parametros_manuales!$I$100+parametros_manuales!$F$22*(datos_base!$D$4+datos_base!$D$20+IF(parametros_manuales!$H$22="Todos",datos_base!$D$11+datos_base!$D$25,0))*parametros_manuales!$I$105+parametros_manuales!$G$22*(datos_base!$D$5+datos_base!$D$21+IF(parametros_manuales!$H$22="Todos",datos_base!$D$12+datos_base!$D$26,0))*parametros_manuales!$I$110)*parametros_manuales!$I$22*parametros_manuales!$J$22</f>
        <v>3960.633704984</v>
      </c>
      <c r="J59" s="9" t="n">
        <f aca="false">(parametros_manuales!$D$22*(datos_base!$D$2+datos_base!$D$18+IF(parametros_manuales!$H$22="Todos",datos_base!$D$9+datos_base!$D$23,0))*parametros_manuales!$J$95+parametros_manuales!$E$22*(datos_base!$D$3+datos_base!$D$19+IF(parametros_manuales!$H$22="Todos",datos_base!$D$10+datos_base!$D$24,0))*parametros_manuales!$J$100+parametros_manuales!$F$22*(datos_base!$D$4+datos_base!$D$20+IF(parametros_manuales!$H$22="Todos",datos_base!$D$11+datos_base!$D$25,0))*parametros_manuales!$J$105+parametros_manuales!$G$22*(datos_base!$D$5+datos_base!$D$21+IF(parametros_manuales!$H$22="Todos",datos_base!$D$12+datos_base!$D$26,0))*parametros_manuales!$J$110)*parametros_manuales!$I$22*parametros_manuales!$J$22</f>
        <v>3960.633704984</v>
      </c>
      <c r="K59" s="9" t="n">
        <f aca="false">(parametros_manuales!$D$22*(datos_base!$D$2+datos_base!$D$18+IF(parametros_manuales!$H$22="Todos",datos_base!$D$9+datos_base!$D$23,0))*parametros_manuales!$K$95+parametros_manuales!$E$22*(datos_base!$D$3+datos_base!$D$19+IF(parametros_manuales!$H$22="Todos",datos_base!$D$10+datos_base!$D$24,0))*parametros_manuales!$K$100+parametros_manuales!$F$22*(datos_base!$D$4+datos_base!$D$20+IF(parametros_manuales!$H$22="Todos",datos_base!$D$11+datos_base!$D$25,0))*parametros_manuales!$K$105+parametros_manuales!$G$22*(datos_base!$D$5+datos_base!$D$21+IF(parametros_manuales!$H$22="Todos",datos_base!$D$12+datos_base!$D$26,0))*parametros_manuales!$K$110)*parametros_manuales!$I$22*parametros_manuales!$J$22</f>
        <v>4044.889149268</v>
      </c>
      <c r="L59" s="9" t="n">
        <f aca="false">(parametros_manuales!$D$22*(datos_base!$D$2+datos_base!$D$18+IF(parametros_manuales!$H$22="Todos",datos_base!$D$9+datos_base!$D$23,0))*parametros_manuales!$L$95+parametros_manuales!$E$22*(datos_base!$D$3+datos_base!$D$19+IF(parametros_manuales!$H$22="Todos",datos_base!$D$10+datos_base!$D$24,0))*parametros_manuales!$L$100+parametros_manuales!$F$22*(datos_base!$D$4+datos_base!$D$20+IF(parametros_manuales!$H$22="Todos",datos_base!$D$11+datos_base!$D$25,0))*parametros_manuales!$L$105+parametros_manuales!$G$22*(datos_base!$D$5+datos_base!$D$21+IF(parametros_manuales!$H$22="Todos",datos_base!$D$12+datos_base!$D$26,0))*parametros_manuales!$L$110)*parametros_manuales!$I$22*parametros_manuales!$J$22</f>
        <v>4129.144593552</v>
      </c>
      <c r="M59" s="9" t="n">
        <f aca="false">(parametros_manuales!$D$22*(datos_base!$D$2+datos_base!$D$18+IF(parametros_manuales!$H$22="Todos",datos_base!$D$9+datos_base!$D$23,0))*parametros_manuales!$M$95+parametros_manuales!$E$22*(datos_base!$D$3+datos_base!$D$19+IF(parametros_manuales!$H$22="Todos",datos_base!$D$10+datos_base!$D$24,0))*parametros_manuales!$M$100+parametros_manuales!$F$22*(datos_base!$D$4+datos_base!$D$20+IF(parametros_manuales!$H$22="Todos",datos_base!$D$11+datos_base!$D$25,0))*parametros_manuales!$M$105+parametros_manuales!$G$22*(datos_base!$D$5+datos_base!$D$21+IF(parametros_manuales!$H$22="Todos",datos_base!$D$12+datos_base!$D$26,0))*parametros_manuales!$M$110)*parametros_manuales!$I$22*parametros_manuales!$J$22</f>
        <v>4129.144593552</v>
      </c>
      <c r="N59" s="9" t="n">
        <f aca="false">SUM(B59:M59)</f>
        <v>45879.3843728</v>
      </c>
      <c r="O59" s="9" t="n">
        <f aca="false">MAX(B59:M59)</f>
        <v>4129.144593552</v>
      </c>
      <c r="P59" s="43" t="n">
        <f aca="false">O59/(parametros_manuales!$B$7)</f>
        <v>27.52763062368</v>
      </c>
      <c r="Q59" s="8" t="str">
        <f aca="false">IF(O59=0,"-",INDEX($B$55:$M$55,MATCH(O59,B59:M59,0)))</f>
        <v>Ene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datos_base!$D$2+datos_base!$D$18+IF(parametros_manuales!$H$23="Todos",datos_base!$D$9+datos_base!$D$23,0))*parametros_manuales!$B$95+parametros_manuales!$E$23*(datos_base!$D$3+datos_base!$D$19+IF(parametros_manuales!$H$23="Todos",datos_base!$D$10+datos_base!$D$24,0))*parametros_manuales!$B$100+parametros_manuales!$F$23*(datos_base!$D$4+datos_base!$D$20+IF(parametros_manuales!$H$23="Todos",datos_base!$D$11+datos_base!$D$25,0))*parametros_manuales!$B$105+parametros_manuales!$G$23*(datos_base!$D$5+datos_base!$D$21+IF(parametros_manuales!$H$23="Todos",datos_base!$D$12+datos_base!$D$26,0))*parametros_manuales!$B$110)*parametros_manuales!$I$23*parametros_manuales!$J$23</f>
        <v>2064.572296776</v>
      </c>
      <c r="C60" s="9" t="n">
        <f aca="false">(parametros_manuales!$D$23*(datos_base!$D$2+datos_base!$D$18+IF(parametros_manuales!$H$23="Todos",datos_base!$D$9+datos_base!$D$23,0))*parametros_manuales!$C$95+parametros_manuales!$E$23*(datos_base!$D$3+datos_base!$D$19+IF(parametros_manuales!$H$23="Todos",datos_base!$D$10+datos_base!$D$24,0))*parametros_manuales!$C$100+parametros_manuales!$F$23*(datos_base!$D$4+datos_base!$D$20+IF(parametros_manuales!$H$23="Todos",datos_base!$D$11+datos_base!$D$25,0))*parametros_manuales!$C$105+parametros_manuales!$G$23*(datos_base!$D$5+datos_base!$D$21+IF(parametros_manuales!$H$23="Todos",datos_base!$D$12+datos_base!$D$26,0))*parametros_manuales!$C$110)*parametros_manuales!$I$23*parametros_manuales!$J$23</f>
        <v>1980.316852492</v>
      </c>
      <c r="D60" s="9" t="n">
        <f aca="false">(parametros_manuales!$D$23*(datos_base!$D$2+datos_base!$D$18+IF(parametros_manuales!$H$23="Todos",datos_base!$D$9+datos_base!$D$23,0))*parametros_manuales!$D$95+parametros_manuales!$E$23*(datos_base!$D$3+datos_base!$D$19+IF(parametros_manuales!$H$23="Todos",datos_base!$D$10+datos_base!$D$24,0))*parametros_manuales!$D$100+parametros_manuales!$F$23*(datos_base!$D$4+datos_base!$D$20+IF(parametros_manuales!$H$23="Todos",datos_base!$D$11+datos_base!$D$25,0))*parametros_manuales!$D$105+parametros_manuales!$G$23*(datos_base!$D$5+datos_base!$D$21+IF(parametros_manuales!$H$23="Todos",datos_base!$D$12+datos_base!$D$26,0))*parametros_manuales!$D$110)*parametros_manuales!$I$23*parametros_manuales!$J$23</f>
        <v>1877.303097054</v>
      </c>
      <c r="E60" s="9" t="n">
        <f aca="false">(parametros_manuales!$D$23*(datos_base!$D$2+datos_base!$D$18+IF(parametros_manuales!$H$23="Todos",datos_base!$D$9+datos_base!$D$23,0))*parametros_manuales!$E$95+parametros_manuales!$E$23*(datos_base!$D$3+datos_base!$D$19+IF(parametros_manuales!$H$23="Todos",datos_base!$D$10+datos_base!$D$24,0))*parametros_manuales!$E$100+parametros_manuales!$F$23*(datos_base!$D$4+datos_base!$D$20+IF(parametros_manuales!$H$23="Todos",datos_base!$D$11+datos_base!$D$25,0))*parametros_manuales!$E$105+parametros_manuales!$G$23*(datos_base!$D$5+datos_base!$D$21+IF(parametros_manuales!$H$23="Todos",datos_base!$D$12+datos_base!$D$26,0))*parametros_manuales!$E$110)*parametros_manuales!$I$23*parametros_manuales!$J$23</f>
        <v>1804.732358264</v>
      </c>
      <c r="F60" s="9" t="n">
        <f aca="false">(parametros_manuales!$D$23*(datos_base!$D$2+datos_base!$D$18+IF(parametros_manuales!$H$23="Todos",datos_base!$D$9+datos_base!$D$23,0))*parametros_manuales!$F$95+parametros_manuales!$E$23*(datos_base!$D$3+datos_base!$D$19+IF(parametros_manuales!$H$23="Todos",datos_base!$D$10+datos_base!$D$24,0))*parametros_manuales!$F$100+parametros_manuales!$F$23*(datos_base!$D$4+datos_base!$D$20+IF(parametros_manuales!$H$23="Todos",datos_base!$D$11+datos_base!$D$25,0))*parametros_manuales!$F$105+parametros_manuales!$G$23*(datos_base!$D$5+datos_base!$D$21+IF(parametros_manuales!$H$23="Todos",datos_base!$D$12+datos_base!$D$26,0))*parametros_manuales!$F$110)*parametros_manuales!$I$23*parametros_manuales!$J$23</f>
        <v>1690.033897332</v>
      </c>
      <c r="G60" s="9" t="n">
        <f aca="false">(parametros_manuales!$D$23*(datos_base!$D$2+datos_base!$D$18+IF(parametros_manuales!$H$23="Todos",datos_base!$D$9+datos_base!$D$23,0))*parametros_manuales!$G$95+parametros_manuales!$E$23*(datos_base!$D$3+datos_base!$D$19+IF(parametros_manuales!$H$23="Todos",datos_base!$D$10+datos_base!$D$24,0))*parametros_manuales!$G$100+parametros_manuales!$F$23*(datos_base!$D$4+datos_base!$D$20+IF(parametros_manuales!$H$23="Todos",datos_base!$D$11+datos_base!$D$25,0))*parametros_manuales!$G$105+parametros_manuales!$G$23*(datos_base!$D$5+datos_base!$D$21+IF(parametros_manuales!$H$23="Todos",datos_base!$D$12+datos_base!$D$26,0))*parametros_manuales!$G$110)*parametros_manuales!$I$23*parametros_manuales!$J$23</f>
        <v>1647.90617519</v>
      </c>
      <c r="H60" s="9" t="n">
        <f aca="false">(parametros_manuales!$D$23*(datos_base!$D$2+datos_base!$D$18+IF(parametros_manuales!$H$23="Todos",datos_base!$D$9+datos_base!$D$23,0))*parametros_manuales!$H$95+parametros_manuales!$E$23*(datos_base!$D$3+datos_base!$D$19+IF(parametros_manuales!$H$23="Todos",datos_base!$D$10+datos_base!$D$24,0))*parametros_manuales!$H$100+parametros_manuales!$F$23*(datos_base!$D$4+datos_base!$D$20+IF(parametros_manuales!$H$23="Todos",datos_base!$D$11+datos_base!$D$25,0))*parametros_manuales!$H$105+parametros_manuales!$G$23*(datos_base!$D$5+datos_base!$D$21+IF(parametros_manuales!$H$23="Todos",datos_base!$D$12+datos_base!$D$26,0))*parametros_manuales!$H$110)*parametros_manuales!$I$23*parametros_manuales!$J$23</f>
        <v>1762.604636122</v>
      </c>
      <c r="I60" s="9" t="n">
        <f aca="false">(parametros_manuales!$D$23*(datos_base!$D$2+datos_base!$D$18+IF(parametros_manuales!$H$23="Todos",datos_base!$D$9+datos_base!$D$23,0))*parametros_manuales!$I$95+parametros_manuales!$E$23*(datos_base!$D$3+datos_base!$D$19+IF(parametros_manuales!$H$23="Todos",datos_base!$D$10+datos_base!$D$24,0))*parametros_manuales!$I$100+parametros_manuales!$F$23*(datos_base!$D$4+datos_base!$D$20+IF(parametros_manuales!$H$23="Todos",datos_base!$D$11+datos_base!$D$25,0))*parametros_manuales!$I$105+parametros_manuales!$G$23*(datos_base!$D$5+datos_base!$D$21+IF(parametros_manuales!$H$23="Todos",datos_base!$D$12+datos_base!$D$26,0))*parametros_manuales!$I$110)*parametros_manuales!$I$23*parametros_manuales!$J$23</f>
        <v>1980.316852492</v>
      </c>
      <c r="J60" s="9" t="n">
        <f aca="false">(parametros_manuales!$D$23*(datos_base!$D$2+datos_base!$D$18+IF(parametros_manuales!$H$23="Todos",datos_base!$D$9+datos_base!$D$23,0))*parametros_manuales!$J$95+parametros_manuales!$E$23*(datos_base!$D$3+datos_base!$D$19+IF(parametros_manuales!$H$23="Todos",datos_base!$D$10+datos_base!$D$24,0))*parametros_manuales!$J$100+parametros_manuales!$F$23*(datos_base!$D$4+datos_base!$D$20+IF(parametros_manuales!$H$23="Todos",datos_base!$D$11+datos_base!$D$25,0))*parametros_manuales!$J$105+parametros_manuales!$G$23*(datos_base!$D$5+datos_base!$D$21+IF(parametros_manuales!$H$23="Todos",datos_base!$D$12+datos_base!$D$26,0))*parametros_manuales!$J$110)*parametros_manuales!$I$23*parametros_manuales!$J$23</f>
        <v>1980.316852492</v>
      </c>
      <c r="K60" s="9" t="n">
        <f aca="false">(parametros_manuales!$D$23*(datos_base!$D$2+datos_base!$D$18+IF(parametros_manuales!$H$23="Todos",datos_base!$D$9+datos_base!$D$23,0))*parametros_manuales!$K$95+parametros_manuales!$E$23*(datos_base!$D$3+datos_base!$D$19+IF(parametros_manuales!$H$23="Todos",datos_base!$D$10+datos_base!$D$24,0))*parametros_manuales!$K$100+parametros_manuales!$F$23*(datos_base!$D$4+datos_base!$D$20+IF(parametros_manuales!$H$23="Todos",datos_base!$D$11+datos_base!$D$25,0))*parametros_manuales!$K$105+parametros_manuales!$G$23*(datos_base!$D$5+datos_base!$D$21+IF(parametros_manuales!$H$23="Todos",datos_base!$D$12+datos_base!$D$26,0))*parametros_manuales!$K$110)*parametros_manuales!$I$23*parametros_manuales!$J$23</f>
        <v>2022.444574634</v>
      </c>
      <c r="L60" s="9" t="n">
        <f aca="false">(parametros_manuales!$D$23*(datos_base!$D$2+datos_base!$D$18+IF(parametros_manuales!$H$23="Todos",datos_base!$D$9+datos_base!$D$23,0))*parametros_manuales!$L$95+parametros_manuales!$E$23*(datos_base!$D$3+datos_base!$D$19+IF(parametros_manuales!$H$23="Todos",datos_base!$D$10+datos_base!$D$24,0))*parametros_manuales!$L$100+parametros_manuales!$F$23*(datos_base!$D$4+datos_base!$D$20+IF(parametros_manuales!$H$23="Todos",datos_base!$D$11+datos_base!$D$25,0))*parametros_manuales!$L$105+parametros_manuales!$G$23*(datos_base!$D$5+datos_base!$D$21+IF(parametros_manuales!$H$23="Todos",datos_base!$D$12+datos_base!$D$26,0))*parametros_manuales!$L$110)*parametros_manuales!$I$23*parametros_manuales!$J$23</f>
        <v>2064.572296776</v>
      </c>
      <c r="M60" s="9" t="n">
        <f aca="false">(parametros_manuales!$D$23*(datos_base!$D$2+datos_base!$D$18+IF(parametros_manuales!$H$23="Todos",datos_base!$D$9+datos_base!$D$23,0))*parametros_manuales!$M$95+parametros_manuales!$E$23*(datos_base!$D$3+datos_base!$D$19+IF(parametros_manuales!$H$23="Todos",datos_base!$D$10+datos_base!$D$24,0))*parametros_manuales!$M$100+parametros_manuales!$F$23*(datos_base!$D$4+datos_base!$D$20+IF(parametros_manuales!$H$23="Todos",datos_base!$D$11+datos_base!$D$25,0))*parametros_manuales!$M$105+parametros_manuales!$G$23*(datos_base!$D$5+datos_base!$D$21+IF(parametros_manuales!$H$23="Todos",datos_base!$D$12+datos_base!$D$26,0))*parametros_manuales!$M$110)*parametros_manuales!$I$23*parametros_manuales!$J$23</f>
        <v>2064.572296776</v>
      </c>
      <c r="N60" s="9" t="n">
        <f aca="false">SUM(B60:M60)</f>
        <v>22939.6921864</v>
      </c>
      <c r="O60" s="9" t="n">
        <f aca="false">MAX(B60:M60)</f>
        <v>2064.572296776</v>
      </c>
      <c r="P60" s="43" t="n">
        <f aca="false">O60/(parametros_manuales!$B$7)</f>
        <v>13.76381531184</v>
      </c>
      <c r="Q60" s="8" t="str">
        <f aca="false">IF(O60=0,"-",INDEX($B$55:$M$55,MATCH(O60,B60:M60,0)))</f>
        <v>Ene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datos_base!$D$2+datos_base!$D$18+IF(parametros_manuales!$H$24="Todos",datos_base!$D$9+datos_base!$D$23,0))*parametros_manuales!$B$95+parametros_manuales!$E$24*(datos_base!$D$3+datos_base!$D$19+IF(parametros_manuales!$H$24="Todos",datos_base!$D$10+datos_base!$D$24,0))*parametros_manuales!$B$100+parametros_manuales!$F$24*(datos_base!$D$4+datos_base!$D$20+IF(parametros_manuales!$H$24="Todos",datos_base!$D$11+datos_base!$D$25,0))*parametros_manuales!$B$105+parametros_manuales!$G$24*(datos_base!$D$5+datos_base!$D$21+IF(parametros_manuales!$H$24="Todos",datos_base!$D$12+datos_base!$D$26,0))*parametros_manuales!$B$110)*parametros_manuales!$I$24*parametros_manuales!$J$24</f>
        <v>2064.572296776</v>
      </c>
      <c r="C61" s="9" t="n">
        <f aca="false">(parametros_manuales!$D$24*(datos_base!$D$2+datos_base!$D$18+IF(parametros_manuales!$H$24="Todos",datos_base!$D$9+datos_base!$D$23,0))*parametros_manuales!$C$95+parametros_manuales!$E$24*(datos_base!$D$3+datos_base!$D$19+IF(parametros_manuales!$H$24="Todos",datos_base!$D$10+datos_base!$D$24,0))*parametros_manuales!$C$100+parametros_manuales!$F$24*(datos_base!$D$4+datos_base!$D$20+IF(parametros_manuales!$H$24="Todos",datos_base!$D$11+datos_base!$D$25,0))*parametros_manuales!$C$105+parametros_manuales!$G$24*(datos_base!$D$5+datos_base!$D$21+IF(parametros_manuales!$H$24="Todos",datos_base!$D$12+datos_base!$D$26,0))*parametros_manuales!$C$110)*parametros_manuales!$I$24*parametros_manuales!$J$24</f>
        <v>1980.316852492</v>
      </c>
      <c r="D61" s="9" t="n">
        <f aca="false">(parametros_manuales!$D$24*(datos_base!$D$2+datos_base!$D$18+IF(parametros_manuales!$H$24="Todos",datos_base!$D$9+datos_base!$D$23,0))*parametros_manuales!$D$95+parametros_manuales!$E$24*(datos_base!$D$3+datos_base!$D$19+IF(parametros_manuales!$H$24="Todos",datos_base!$D$10+datos_base!$D$24,0))*parametros_manuales!$D$100+parametros_manuales!$F$24*(datos_base!$D$4+datos_base!$D$20+IF(parametros_manuales!$H$24="Todos",datos_base!$D$11+datos_base!$D$25,0))*parametros_manuales!$D$105+parametros_manuales!$G$24*(datos_base!$D$5+datos_base!$D$21+IF(parametros_manuales!$H$24="Todos",datos_base!$D$12+datos_base!$D$26,0))*parametros_manuales!$D$110)*parametros_manuales!$I$24*parametros_manuales!$J$24</f>
        <v>1877.303097054</v>
      </c>
      <c r="E61" s="9" t="n">
        <f aca="false">(parametros_manuales!$D$24*(datos_base!$D$2+datos_base!$D$18+IF(parametros_manuales!$H$24="Todos",datos_base!$D$9+datos_base!$D$23,0))*parametros_manuales!$E$95+parametros_manuales!$E$24*(datos_base!$D$3+datos_base!$D$19+IF(parametros_manuales!$H$24="Todos",datos_base!$D$10+datos_base!$D$24,0))*parametros_manuales!$E$100+parametros_manuales!$F$24*(datos_base!$D$4+datos_base!$D$20+IF(parametros_manuales!$H$24="Todos",datos_base!$D$11+datos_base!$D$25,0))*parametros_manuales!$E$105+parametros_manuales!$G$24*(datos_base!$D$5+datos_base!$D$21+IF(parametros_manuales!$H$24="Todos",datos_base!$D$12+datos_base!$D$26,0))*parametros_manuales!$E$110)*parametros_manuales!$I$24*parametros_manuales!$J$24</f>
        <v>1804.732358264</v>
      </c>
      <c r="F61" s="9" t="n">
        <f aca="false">(parametros_manuales!$D$24*(datos_base!$D$2+datos_base!$D$18+IF(parametros_manuales!$H$24="Todos",datos_base!$D$9+datos_base!$D$23,0))*parametros_manuales!$F$95+parametros_manuales!$E$24*(datos_base!$D$3+datos_base!$D$19+IF(parametros_manuales!$H$24="Todos",datos_base!$D$10+datos_base!$D$24,0))*parametros_manuales!$F$100+parametros_manuales!$F$24*(datos_base!$D$4+datos_base!$D$20+IF(parametros_manuales!$H$24="Todos",datos_base!$D$11+datos_base!$D$25,0))*parametros_manuales!$F$105+parametros_manuales!$G$24*(datos_base!$D$5+datos_base!$D$21+IF(parametros_manuales!$H$24="Todos",datos_base!$D$12+datos_base!$D$26,0))*parametros_manuales!$F$110)*parametros_manuales!$I$24*parametros_manuales!$J$24</f>
        <v>1690.033897332</v>
      </c>
      <c r="G61" s="9" t="n">
        <f aca="false">(parametros_manuales!$D$24*(datos_base!$D$2+datos_base!$D$18+IF(parametros_manuales!$H$24="Todos",datos_base!$D$9+datos_base!$D$23,0))*parametros_manuales!$G$95+parametros_manuales!$E$24*(datos_base!$D$3+datos_base!$D$19+IF(parametros_manuales!$H$24="Todos",datos_base!$D$10+datos_base!$D$24,0))*parametros_manuales!$G$100+parametros_manuales!$F$24*(datos_base!$D$4+datos_base!$D$20+IF(parametros_manuales!$H$24="Todos",datos_base!$D$11+datos_base!$D$25,0))*parametros_manuales!$G$105+parametros_manuales!$G$24*(datos_base!$D$5+datos_base!$D$21+IF(parametros_manuales!$H$24="Todos",datos_base!$D$12+datos_base!$D$26,0))*parametros_manuales!$G$110)*parametros_manuales!$I$24*parametros_manuales!$J$24</f>
        <v>1647.90617519</v>
      </c>
      <c r="H61" s="9" t="n">
        <f aca="false">(parametros_manuales!$D$24*(datos_base!$D$2+datos_base!$D$18+IF(parametros_manuales!$H$24="Todos",datos_base!$D$9+datos_base!$D$23,0))*parametros_manuales!$H$95+parametros_manuales!$E$24*(datos_base!$D$3+datos_base!$D$19+IF(parametros_manuales!$H$24="Todos",datos_base!$D$10+datos_base!$D$24,0))*parametros_manuales!$H$100+parametros_manuales!$F$24*(datos_base!$D$4+datos_base!$D$20+IF(parametros_manuales!$H$24="Todos",datos_base!$D$11+datos_base!$D$25,0))*parametros_manuales!$H$105+parametros_manuales!$G$24*(datos_base!$D$5+datos_base!$D$21+IF(parametros_manuales!$H$24="Todos",datos_base!$D$12+datos_base!$D$26,0))*parametros_manuales!$H$110)*parametros_manuales!$I$24*parametros_manuales!$J$24</f>
        <v>1762.604636122</v>
      </c>
      <c r="I61" s="9" t="n">
        <f aca="false">(parametros_manuales!$D$24*(datos_base!$D$2+datos_base!$D$18+IF(parametros_manuales!$H$24="Todos",datos_base!$D$9+datos_base!$D$23,0))*parametros_manuales!$I$95+parametros_manuales!$E$24*(datos_base!$D$3+datos_base!$D$19+IF(parametros_manuales!$H$24="Todos",datos_base!$D$10+datos_base!$D$24,0))*parametros_manuales!$I$100+parametros_manuales!$F$24*(datos_base!$D$4+datos_base!$D$20+IF(parametros_manuales!$H$24="Todos",datos_base!$D$11+datos_base!$D$25,0))*parametros_manuales!$I$105+parametros_manuales!$G$24*(datos_base!$D$5+datos_base!$D$21+IF(parametros_manuales!$H$24="Todos",datos_base!$D$12+datos_base!$D$26,0))*parametros_manuales!$I$110)*parametros_manuales!$I$24*parametros_manuales!$J$24</f>
        <v>1980.316852492</v>
      </c>
      <c r="J61" s="9" t="n">
        <f aca="false">(parametros_manuales!$D$24*(datos_base!$D$2+datos_base!$D$18+IF(parametros_manuales!$H$24="Todos",datos_base!$D$9+datos_base!$D$23,0))*parametros_manuales!$J$95+parametros_manuales!$E$24*(datos_base!$D$3+datos_base!$D$19+IF(parametros_manuales!$H$24="Todos",datos_base!$D$10+datos_base!$D$24,0))*parametros_manuales!$J$100+parametros_manuales!$F$24*(datos_base!$D$4+datos_base!$D$20+IF(parametros_manuales!$H$24="Todos",datos_base!$D$11+datos_base!$D$25,0))*parametros_manuales!$J$105+parametros_manuales!$G$24*(datos_base!$D$5+datos_base!$D$21+IF(parametros_manuales!$H$24="Todos",datos_base!$D$12+datos_base!$D$26,0))*parametros_manuales!$J$110)*parametros_manuales!$I$24*parametros_manuales!$J$24</f>
        <v>1980.316852492</v>
      </c>
      <c r="K61" s="9" t="n">
        <f aca="false">(parametros_manuales!$D$24*(datos_base!$D$2+datos_base!$D$18+IF(parametros_manuales!$H$24="Todos",datos_base!$D$9+datos_base!$D$23,0))*parametros_manuales!$K$95+parametros_manuales!$E$24*(datos_base!$D$3+datos_base!$D$19+IF(parametros_manuales!$H$24="Todos",datos_base!$D$10+datos_base!$D$24,0))*parametros_manuales!$K$100+parametros_manuales!$F$24*(datos_base!$D$4+datos_base!$D$20+IF(parametros_manuales!$H$24="Todos",datos_base!$D$11+datos_base!$D$25,0))*parametros_manuales!$K$105+parametros_manuales!$G$24*(datos_base!$D$5+datos_base!$D$21+IF(parametros_manuales!$H$24="Todos",datos_base!$D$12+datos_base!$D$26,0))*parametros_manuales!$K$110)*parametros_manuales!$I$24*parametros_manuales!$J$24</f>
        <v>2022.444574634</v>
      </c>
      <c r="L61" s="9" t="n">
        <f aca="false">(parametros_manuales!$D$24*(datos_base!$D$2+datos_base!$D$18+IF(parametros_manuales!$H$24="Todos",datos_base!$D$9+datos_base!$D$23,0))*parametros_manuales!$L$95+parametros_manuales!$E$24*(datos_base!$D$3+datos_base!$D$19+IF(parametros_manuales!$H$24="Todos",datos_base!$D$10+datos_base!$D$24,0))*parametros_manuales!$L$100+parametros_manuales!$F$24*(datos_base!$D$4+datos_base!$D$20+IF(parametros_manuales!$H$24="Todos",datos_base!$D$11+datos_base!$D$25,0))*parametros_manuales!$L$105+parametros_manuales!$G$24*(datos_base!$D$5+datos_base!$D$21+IF(parametros_manuales!$H$24="Todos",datos_base!$D$12+datos_base!$D$26,0))*parametros_manuales!$L$110)*parametros_manuales!$I$24*parametros_manuales!$J$24</f>
        <v>2064.572296776</v>
      </c>
      <c r="M61" s="9" t="n">
        <f aca="false">(parametros_manuales!$D$24*(datos_base!$D$2+datos_base!$D$18+IF(parametros_manuales!$H$24="Todos",datos_base!$D$9+datos_base!$D$23,0))*parametros_manuales!$M$95+parametros_manuales!$E$24*(datos_base!$D$3+datos_base!$D$19+IF(parametros_manuales!$H$24="Todos",datos_base!$D$10+datos_base!$D$24,0))*parametros_manuales!$M$100+parametros_manuales!$F$24*(datos_base!$D$4+datos_base!$D$20+IF(parametros_manuales!$H$24="Todos",datos_base!$D$11+datos_base!$D$25,0))*parametros_manuales!$M$105+parametros_manuales!$G$24*(datos_base!$D$5+datos_base!$D$21+IF(parametros_manuales!$H$24="Todos",datos_base!$D$12+datos_base!$D$26,0))*parametros_manuales!$M$110)*parametros_manuales!$I$24*parametros_manuales!$J$24</f>
        <v>2064.572296776</v>
      </c>
      <c r="N61" s="9" t="n">
        <f aca="false">SUM(B61:M61)</f>
        <v>22939.6921864</v>
      </c>
      <c r="O61" s="9" t="n">
        <f aca="false">MAX(B61:M61)</f>
        <v>2064.572296776</v>
      </c>
      <c r="P61" s="43" t="n">
        <f aca="false">O61/(parametros_manuales!$B$7)</f>
        <v>13.76381531184</v>
      </c>
      <c r="Q61" s="8" t="str">
        <f aca="false">IF(O61=0,"-",INDEX($B$55:$M$55,MATCH(O61,B61:M61,0)))</f>
        <v>Ene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datos_base!$D$2+datos_base!$D$18+IF(parametros_manuales!$H$25="Todos",datos_base!$D$9+datos_base!$D$23,0))*parametros_manuales!$B$95+parametros_manuales!$E$25*(datos_base!$D$3+datos_base!$D$19+IF(parametros_manuales!$H$25="Todos",datos_base!$D$10+datos_base!$D$24,0))*parametros_manuales!$B$100+parametros_manuales!$F$25*(datos_base!$D$4+datos_base!$D$20+IF(parametros_manuales!$H$25="Todos",datos_base!$D$11+datos_base!$D$25,0))*parametros_manuales!$B$105+parametros_manuales!$G$25*(datos_base!$D$5+datos_base!$D$21+IF(parametros_manuales!$H$25="Todos",datos_base!$D$12+datos_base!$D$26,0))*parametros_manuales!$B$110)*parametros_manuales!$I$25*parametros_manuales!$J$25</f>
        <v>2064.572296776</v>
      </c>
      <c r="C62" s="9" t="n">
        <f aca="false">(parametros_manuales!$D$25*(datos_base!$D$2+datos_base!$D$18+IF(parametros_manuales!$H$25="Todos",datos_base!$D$9+datos_base!$D$23,0))*parametros_manuales!$C$95+parametros_manuales!$E$25*(datos_base!$D$3+datos_base!$D$19+IF(parametros_manuales!$H$25="Todos",datos_base!$D$10+datos_base!$D$24,0))*parametros_manuales!$C$100+parametros_manuales!$F$25*(datos_base!$D$4+datos_base!$D$20+IF(parametros_manuales!$H$25="Todos",datos_base!$D$11+datos_base!$D$25,0))*parametros_manuales!$C$105+parametros_manuales!$G$25*(datos_base!$D$5+datos_base!$D$21+IF(parametros_manuales!$H$25="Todos",datos_base!$D$12+datos_base!$D$26,0))*parametros_manuales!$C$110)*parametros_manuales!$I$25*parametros_manuales!$J$25</f>
        <v>1980.316852492</v>
      </c>
      <c r="D62" s="9" t="n">
        <f aca="false">(parametros_manuales!$D$25*(datos_base!$D$2+datos_base!$D$18+IF(parametros_manuales!$H$25="Todos",datos_base!$D$9+datos_base!$D$23,0))*parametros_manuales!$D$95+parametros_manuales!$E$25*(datos_base!$D$3+datos_base!$D$19+IF(parametros_manuales!$H$25="Todos",datos_base!$D$10+datos_base!$D$24,0))*parametros_manuales!$D$100+parametros_manuales!$F$25*(datos_base!$D$4+datos_base!$D$20+IF(parametros_manuales!$H$25="Todos",datos_base!$D$11+datos_base!$D$25,0))*parametros_manuales!$D$105+parametros_manuales!$G$25*(datos_base!$D$5+datos_base!$D$21+IF(parametros_manuales!$H$25="Todos",datos_base!$D$12+datos_base!$D$26,0))*parametros_manuales!$D$110)*parametros_manuales!$I$25*parametros_manuales!$J$25</f>
        <v>1877.303097054</v>
      </c>
      <c r="E62" s="9" t="n">
        <f aca="false">(parametros_manuales!$D$25*(datos_base!$D$2+datos_base!$D$18+IF(parametros_manuales!$H$25="Todos",datos_base!$D$9+datos_base!$D$23,0))*parametros_manuales!$E$95+parametros_manuales!$E$25*(datos_base!$D$3+datos_base!$D$19+IF(parametros_manuales!$H$25="Todos",datos_base!$D$10+datos_base!$D$24,0))*parametros_manuales!$E$100+parametros_manuales!$F$25*(datos_base!$D$4+datos_base!$D$20+IF(parametros_manuales!$H$25="Todos",datos_base!$D$11+datos_base!$D$25,0))*parametros_manuales!$E$105+parametros_manuales!$G$25*(datos_base!$D$5+datos_base!$D$21+IF(parametros_manuales!$H$25="Todos",datos_base!$D$12+datos_base!$D$26,0))*parametros_manuales!$E$110)*parametros_manuales!$I$25*parametros_manuales!$J$25</f>
        <v>1804.732358264</v>
      </c>
      <c r="F62" s="9" t="n">
        <f aca="false">(parametros_manuales!$D$25*(datos_base!$D$2+datos_base!$D$18+IF(parametros_manuales!$H$25="Todos",datos_base!$D$9+datos_base!$D$23,0))*parametros_manuales!$F$95+parametros_manuales!$E$25*(datos_base!$D$3+datos_base!$D$19+IF(parametros_manuales!$H$25="Todos",datos_base!$D$10+datos_base!$D$24,0))*parametros_manuales!$F$100+parametros_manuales!$F$25*(datos_base!$D$4+datos_base!$D$20+IF(parametros_manuales!$H$25="Todos",datos_base!$D$11+datos_base!$D$25,0))*parametros_manuales!$F$105+parametros_manuales!$G$25*(datos_base!$D$5+datos_base!$D$21+IF(parametros_manuales!$H$25="Todos",datos_base!$D$12+datos_base!$D$26,0))*parametros_manuales!$F$110)*parametros_manuales!$I$25*parametros_manuales!$J$25</f>
        <v>1690.033897332</v>
      </c>
      <c r="G62" s="9" t="n">
        <f aca="false">(parametros_manuales!$D$25*(datos_base!$D$2+datos_base!$D$18+IF(parametros_manuales!$H$25="Todos",datos_base!$D$9+datos_base!$D$23,0))*parametros_manuales!$G$95+parametros_manuales!$E$25*(datos_base!$D$3+datos_base!$D$19+IF(parametros_manuales!$H$25="Todos",datos_base!$D$10+datos_base!$D$24,0))*parametros_manuales!$G$100+parametros_manuales!$F$25*(datos_base!$D$4+datos_base!$D$20+IF(parametros_manuales!$H$25="Todos",datos_base!$D$11+datos_base!$D$25,0))*parametros_manuales!$G$105+parametros_manuales!$G$25*(datos_base!$D$5+datos_base!$D$21+IF(parametros_manuales!$H$25="Todos",datos_base!$D$12+datos_base!$D$26,0))*parametros_manuales!$G$110)*parametros_manuales!$I$25*parametros_manuales!$J$25</f>
        <v>1647.90617519</v>
      </c>
      <c r="H62" s="9" t="n">
        <f aca="false">(parametros_manuales!$D$25*(datos_base!$D$2+datos_base!$D$18+IF(parametros_manuales!$H$25="Todos",datos_base!$D$9+datos_base!$D$23,0))*parametros_manuales!$H$95+parametros_manuales!$E$25*(datos_base!$D$3+datos_base!$D$19+IF(parametros_manuales!$H$25="Todos",datos_base!$D$10+datos_base!$D$24,0))*parametros_manuales!$H$100+parametros_manuales!$F$25*(datos_base!$D$4+datos_base!$D$20+IF(parametros_manuales!$H$25="Todos",datos_base!$D$11+datos_base!$D$25,0))*parametros_manuales!$H$105+parametros_manuales!$G$25*(datos_base!$D$5+datos_base!$D$21+IF(parametros_manuales!$H$25="Todos",datos_base!$D$12+datos_base!$D$26,0))*parametros_manuales!$H$110)*parametros_manuales!$I$25*parametros_manuales!$J$25</f>
        <v>1762.604636122</v>
      </c>
      <c r="I62" s="9" t="n">
        <f aca="false">(parametros_manuales!$D$25*(datos_base!$D$2+datos_base!$D$18+IF(parametros_manuales!$H$25="Todos",datos_base!$D$9+datos_base!$D$23,0))*parametros_manuales!$I$95+parametros_manuales!$E$25*(datos_base!$D$3+datos_base!$D$19+IF(parametros_manuales!$H$25="Todos",datos_base!$D$10+datos_base!$D$24,0))*parametros_manuales!$I$100+parametros_manuales!$F$25*(datos_base!$D$4+datos_base!$D$20+IF(parametros_manuales!$H$25="Todos",datos_base!$D$11+datos_base!$D$25,0))*parametros_manuales!$I$105+parametros_manuales!$G$25*(datos_base!$D$5+datos_base!$D$21+IF(parametros_manuales!$H$25="Todos",datos_base!$D$12+datos_base!$D$26,0))*parametros_manuales!$I$110)*parametros_manuales!$I$25*parametros_manuales!$J$25</f>
        <v>1980.316852492</v>
      </c>
      <c r="J62" s="9" t="n">
        <f aca="false">(parametros_manuales!$D$25*(datos_base!$D$2+datos_base!$D$18+IF(parametros_manuales!$H$25="Todos",datos_base!$D$9+datos_base!$D$23,0))*parametros_manuales!$J$95+parametros_manuales!$E$25*(datos_base!$D$3+datos_base!$D$19+IF(parametros_manuales!$H$25="Todos",datos_base!$D$10+datos_base!$D$24,0))*parametros_manuales!$J$100+parametros_manuales!$F$25*(datos_base!$D$4+datos_base!$D$20+IF(parametros_manuales!$H$25="Todos",datos_base!$D$11+datos_base!$D$25,0))*parametros_manuales!$J$105+parametros_manuales!$G$25*(datos_base!$D$5+datos_base!$D$21+IF(parametros_manuales!$H$25="Todos",datos_base!$D$12+datos_base!$D$26,0))*parametros_manuales!$J$110)*parametros_manuales!$I$25*parametros_manuales!$J$25</f>
        <v>1980.316852492</v>
      </c>
      <c r="K62" s="9" t="n">
        <f aca="false">(parametros_manuales!$D$25*(datos_base!$D$2+datos_base!$D$18+IF(parametros_manuales!$H$25="Todos",datos_base!$D$9+datos_base!$D$23,0))*parametros_manuales!$K$95+parametros_manuales!$E$25*(datos_base!$D$3+datos_base!$D$19+IF(parametros_manuales!$H$25="Todos",datos_base!$D$10+datos_base!$D$24,0))*parametros_manuales!$K$100+parametros_manuales!$F$25*(datos_base!$D$4+datos_base!$D$20+IF(parametros_manuales!$H$25="Todos",datos_base!$D$11+datos_base!$D$25,0))*parametros_manuales!$K$105+parametros_manuales!$G$25*(datos_base!$D$5+datos_base!$D$21+IF(parametros_manuales!$H$25="Todos",datos_base!$D$12+datos_base!$D$26,0))*parametros_manuales!$K$110)*parametros_manuales!$I$25*parametros_manuales!$J$25</f>
        <v>2022.444574634</v>
      </c>
      <c r="L62" s="9" t="n">
        <f aca="false">(parametros_manuales!$D$25*(datos_base!$D$2+datos_base!$D$18+IF(parametros_manuales!$H$25="Todos",datos_base!$D$9+datos_base!$D$23,0))*parametros_manuales!$L$95+parametros_manuales!$E$25*(datos_base!$D$3+datos_base!$D$19+IF(parametros_manuales!$H$25="Todos",datos_base!$D$10+datos_base!$D$24,0))*parametros_manuales!$L$100+parametros_manuales!$F$25*(datos_base!$D$4+datos_base!$D$20+IF(parametros_manuales!$H$25="Todos",datos_base!$D$11+datos_base!$D$25,0))*parametros_manuales!$L$105+parametros_manuales!$G$25*(datos_base!$D$5+datos_base!$D$21+IF(parametros_manuales!$H$25="Todos",datos_base!$D$12+datos_base!$D$26,0))*parametros_manuales!$L$110)*parametros_manuales!$I$25*parametros_manuales!$J$25</f>
        <v>2064.572296776</v>
      </c>
      <c r="M62" s="9" t="n">
        <f aca="false">(parametros_manuales!$D$25*(datos_base!$D$2+datos_base!$D$18+IF(parametros_manuales!$H$25="Todos",datos_base!$D$9+datos_base!$D$23,0))*parametros_manuales!$M$95+parametros_manuales!$E$25*(datos_base!$D$3+datos_base!$D$19+IF(parametros_manuales!$H$25="Todos",datos_base!$D$10+datos_base!$D$24,0))*parametros_manuales!$M$100+parametros_manuales!$F$25*(datos_base!$D$4+datos_base!$D$20+IF(parametros_manuales!$H$25="Todos",datos_base!$D$11+datos_base!$D$25,0))*parametros_manuales!$M$105+parametros_manuales!$G$25*(datos_base!$D$5+datos_base!$D$21+IF(parametros_manuales!$H$25="Todos",datos_base!$D$12+datos_base!$D$26,0))*parametros_manuales!$M$110)*parametros_manuales!$I$25*parametros_manuales!$J$25</f>
        <v>2064.572296776</v>
      </c>
      <c r="N62" s="9" t="n">
        <f aca="false">SUM(B62:M62)</f>
        <v>22939.6921864</v>
      </c>
      <c r="O62" s="9" t="n">
        <f aca="false">MAX(B62:M62)</f>
        <v>2064.572296776</v>
      </c>
      <c r="P62" s="43" t="n">
        <f aca="false">O62/(parametros_manuales!$B$7)</f>
        <v>13.76381531184</v>
      </c>
      <c r="Q62" s="8" t="str">
        <f aca="false">IF(O62=0,"-",INDEX($B$55:$M$55,MATCH(O62,B62:M62,0)))</f>
        <v>Ene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datos_base!$D$2+datos_base!$D$18+IF(parametros_manuales!$H$26="Todos",datos_base!$D$9+datos_base!$D$23,0))*parametros_manuales!$B$95+parametros_manuales!$E$26*(datos_base!$D$3+datos_base!$D$19+IF(parametros_manuales!$H$26="Todos",datos_base!$D$10+datos_base!$D$24,0))*parametros_manuales!$B$100+parametros_manuales!$F$26*(datos_base!$D$4+datos_base!$D$20+IF(parametros_manuales!$H$26="Todos",datos_base!$D$11+datos_base!$D$25,0))*parametros_manuales!$B$105+parametros_manuales!$G$26*(datos_base!$D$5+datos_base!$D$21+IF(parametros_manuales!$H$26="Todos",datos_base!$D$12+datos_base!$D$26,0))*parametros_manuales!$B$110)*parametros_manuales!$I$26*parametros_manuales!$J$26</f>
        <v>758.298998556</v>
      </c>
      <c r="C63" s="9" t="n">
        <f aca="false">(parametros_manuales!$D$26*(datos_base!$D$2+datos_base!$D$18+IF(parametros_manuales!$H$26="Todos",datos_base!$D$9+datos_base!$D$23,0))*parametros_manuales!$C$95+parametros_manuales!$E$26*(datos_base!$D$3+datos_base!$D$19+IF(parametros_manuales!$H$26="Todos",datos_base!$D$10+datos_base!$D$24,0))*parametros_manuales!$C$100+parametros_manuales!$F$26*(datos_base!$D$4+datos_base!$D$20+IF(parametros_manuales!$H$26="Todos",datos_base!$D$11+datos_base!$D$25,0))*parametros_manuales!$C$105+parametros_manuales!$G$26*(datos_base!$D$5+datos_base!$D$21+IF(parametros_manuales!$H$26="Todos",datos_base!$D$12+datos_base!$D$26,0))*parametros_manuales!$C$110)*parametros_manuales!$I$26*parametros_manuales!$J$26</f>
        <v>674.043554272</v>
      </c>
      <c r="D63" s="9" t="n">
        <f aca="false">(parametros_manuales!$D$26*(datos_base!$D$2+datos_base!$D$18+IF(parametros_manuales!$H$26="Todos",datos_base!$D$9+datos_base!$D$23,0))*parametros_manuales!$D$95+parametros_manuales!$E$26*(datos_base!$D$3+datos_base!$D$19+IF(parametros_manuales!$H$26="Todos",datos_base!$D$10+datos_base!$D$24,0))*parametros_manuales!$D$100+parametros_manuales!$F$26*(datos_base!$D$4+datos_base!$D$20+IF(parametros_manuales!$H$26="Todos",datos_base!$D$11+datos_base!$D$25,0))*parametros_manuales!$D$105+parametros_manuales!$G$26*(datos_base!$D$5+datos_base!$D$21+IF(parametros_manuales!$H$26="Todos",datos_base!$D$12+datos_base!$D$26,0))*parametros_manuales!$D$110)*parametros_manuales!$I$26*parametros_manuales!$J$26</f>
        <v>716.171276414</v>
      </c>
      <c r="E63" s="9" t="n">
        <f aca="false">(parametros_manuales!$D$26*(datos_base!$D$2+datos_base!$D$18+IF(parametros_manuales!$H$26="Todos",datos_base!$D$9+datos_base!$D$23,0))*parametros_manuales!$E$95+parametros_manuales!$E$26*(datos_base!$D$3+datos_base!$D$19+IF(parametros_manuales!$H$26="Todos",datos_base!$D$10+datos_base!$D$24,0))*parametros_manuales!$E$100+parametros_manuales!$F$26*(datos_base!$D$4+datos_base!$D$20+IF(parametros_manuales!$H$26="Todos",datos_base!$D$11+datos_base!$D$25,0))*parametros_manuales!$E$105+parametros_manuales!$G$26*(datos_base!$D$5+datos_base!$D$21+IF(parametros_manuales!$H$26="Todos",datos_base!$D$12+datos_base!$D$26,0))*parametros_manuales!$E$110)*parametros_manuales!$I$26*parametros_manuales!$J$26</f>
        <v>716.171276414</v>
      </c>
      <c r="F63" s="9" t="n">
        <f aca="false">(parametros_manuales!$D$26*(datos_base!$D$2+datos_base!$D$18+IF(parametros_manuales!$H$26="Todos",datos_base!$D$9+datos_base!$D$23,0))*parametros_manuales!$F$95+parametros_manuales!$E$26*(datos_base!$D$3+datos_base!$D$19+IF(parametros_manuales!$H$26="Todos",datos_base!$D$10+datos_base!$D$24,0))*parametros_manuales!$F$100+parametros_manuales!$F$26*(datos_base!$D$4+datos_base!$D$20+IF(parametros_manuales!$H$26="Todos",datos_base!$D$11+datos_base!$D$25,0))*parametros_manuales!$F$105+parametros_manuales!$G$26*(datos_base!$D$5+datos_base!$D$21+IF(parametros_manuales!$H$26="Todos",datos_base!$D$12+datos_base!$D$26,0))*parametros_manuales!$F$110)*parametros_manuales!$I$26*parametros_manuales!$J$26</f>
        <v>674.043554272</v>
      </c>
      <c r="G63" s="9" t="n">
        <f aca="false">(parametros_manuales!$D$26*(datos_base!$D$2+datos_base!$D$18+IF(parametros_manuales!$H$26="Todos",datos_base!$D$9+datos_base!$D$23,0))*parametros_manuales!$G$95+parametros_manuales!$E$26*(datos_base!$D$3+datos_base!$D$19+IF(parametros_manuales!$H$26="Todos",datos_base!$D$10+datos_base!$D$24,0))*parametros_manuales!$G$100+parametros_manuales!$F$26*(datos_base!$D$4+datos_base!$D$20+IF(parametros_manuales!$H$26="Todos",datos_base!$D$11+datos_base!$D$25,0))*parametros_manuales!$G$105+parametros_manuales!$G$26*(datos_base!$D$5+datos_base!$D$21+IF(parametros_manuales!$H$26="Todos",datos_base!$D$12+datos_base!$D$26,0))*parametros_manuales!$G$110)*parametros_manuales!$I$26*parametros_manuales!$J$26</f>
        <v>631.91583213</v>
      </c>
      <c r="H63" s="9" t="n">
        <f aca="false">(parametros_manuales!$D$26*(datos_base!$D$2+datos_base!$D$18+IF(parametros_manuales!$H$26="Todos",datos_base!$D$9+datos_base!$D$23,0))*parametros_manuales!$H$95+parametros_manuales!$E$26*(datos_base!$D$3+datos_base!$D$19+IF(parametros_manuales!$H$26="Todos",datos_base!$D$10+datos_base!$D$24,0))*parametros_manuales!$H$100+parametros_manuales!$F$26*(datos_base!$D$4+datos_base!$D$20+IF(parametros_manuales!$H$26="Todos",datos_base!$D$11+datos_base!$D$25,0))*parametros_manuales!$H$105+parametros_manuales!$G$26*(datos_base!$D$5+datos_base!$D$21+IF(parametros_manuales!$H$26="Todos",datos_base!$D$12+datos_base!$D$26,0))*parametros_manuales!$H$110)*parametros_manuales!$I$26*parametros_manuales!$J$26</f>
        <v>674.043554272</v>
      </c>
      <c r="I63" s="9" t="n">
        <f aca="false">(parametros_manuales!$D$26*(datos_base!$D$2+datos_base!$D$18+IF(parametros_manuales!$H$26="Todos",datos_base!$D$9+datos_base!$D$23,0))*parametros_manuales!$I$95+parametros_manuales!$E$26*(datos_base!$D$3+datos_base!$D$19+IF(parametros_manuales!$H$26="Todos",datos_base!$D$10+datos_base!$D$24,0))*parametros_manuales!$I$100+parametros_manuales!$F$26*(datos_base!$D$4+datos_base!$D$20+IF(parametros_manuales!$H$26="Todos",datos_base!$D$11+datos_base!$D$25,0))*parametros_manuales!$I$105+parametros_manuales!$G$26*(datos_base!$D$5+datos_base!$D$21+IF(parametros_manuales!$H$26="Todos",datos_base!$D$12+datos_base!$D$26,0))*parametros_manuales!$I$110)*parametros_manuales!$I$26*parametros_manuales!$J$26</f>
        <v>674.043554272</v>
      </c>
      <c r="J63" s="9" t="n">
        <f aca="false">(parametros_manuales!$D$26*(datos_base!$D$2+datos_base!$D$18+IF(parametros_manuales!$H$26="Todos",datos_base!$D$9+datos_base!$D$23,0))*parametros_manuales!$J$95+parametros_manuales!$E$26*(datos_base!$D$3+datos_base!$D$19+IF(parametros_manuales!$H$26="Todos",datos_base!$D$10+datos_base!$D$24,0))*parametros_manuales!$J$100+parametros_manuales!$F$26*(datos_base!$D$4+datos_base!$D$20+IF(parametros_manuales!$H$26="Todos",datos_base!$D$11+datos_base!$D$25,0))*parametros_manuales!$J$105+parametros_manuales!$G$26*(datos_base!$D$5+datos_base!$D$21+IF(parametros_manuales!$H$26="Todos",datos_base!$D$12+datos_base!$D$26,0))*parametros_manuales!$J$110)*parametros_manuales!$I$26*parametros_manuales!$J$26</f>
        <v>674.043554272</v>
      </c>
      <c r="K63" s="9" t="n">
        <f aca="false">(parametros_manuales!$D$26*(datos_base!$D$2+datos_base!$D$18+IF(parametros_manuales!$H$26="Todos",datos_base!$D$9+datos_base!$D$23,0))*parametros_manuales!$K$95+parametros_manuales!$E$26*(datos_base!$D$3+datos_base!$D$19+IF(parametros_manuales!$H$26="Todos",datos_base!$D$10+datos_base!$D$24,0))*parametros_manuales!$K$100+parametros_manuales!$F$26*(datos_base!$D$4+datos_base!$D$20+IF(parametros_manuales!$H$26="Todos",datos_base!$D$11+datos_base!$D$25,0))*parametros_manuales!$K$105+parametros_manuales!$G$26*(datos_base!$D$5+datos_base!$D$21+IF(parametros_manuales!$H$26="Todos",datos_base!$D$12+datos_base!$D$26,0))*parametros_manuales!$K$110)*parametros_manuales!$I$26*parametros_manuales!$J$26</f>
        <v>716.171276414</v>
      </c>
      <c r="L63" s="9" t="n">
        <f aca="false">(parametros_manuales!$D$26*(datos_base!$D$2+datos_base!$D$18+IF(parametros_manuales!$H$26="Todos",datos_base!$D$9+datos_base!$D$23,0))*parametros_manuales!$L$95+parametros_manuales!$E$26*(datos_base!$D$3+datos_base!$D$19+IF(parametros_manuales!$H$26="Todos",datos_base!$D$10+datos_base!$D$24,0))*parametros_manuales!$L$100+parametros_manuales!$F$26*(datos_base!$D$4+datos_base!$D$20+IF(parametros_manuales!$H$26="Todos",datos_base!$D$11+datos_base!$D$25,0))*parametros_manuales!$L$105+parametros_manuales!$G$26*(datos_base!$D$5+datos_base!$D$21+IF(parametros_manuales!$H$26="Todos",datos_base!$D$12+datos_base!$D$26,0))*parametros_manuales!$L$110)*parametros_manuales!$I$26*parametros_manuales!$J$26</f>
        <v>758.298998556</v>
      </c>
      <c r="M63" s="9" t="n">
        <f aca="false">(parametros_manuales!$D$26*(datos_base!$D$2+datos_base!$D$18+IF(parametros_manuales!$H$26="Todos",datos_base!$D$9+datos_base!$D$23,0))*parametros_manuales!$M$95+parametros_manuales!$E$26*(datos_base!$D$3+datos_base!$D$19+IF(parametros_manuales!$H$26="Todos",datos_base!$D$10+datos_base!$D$24,0))*parametros_manuales!$M$100+parametros_manuales!$F$26*(datos_base!$D$4+datos_base!$D$20+IF(parametros_manuales!$H$26="Todos",datos_base!$D$11+datos_base!$D$25,0))*parametros_manuales!$M$105+parametros_manuales!$G$26*(datos_base!$D$5+datos_base!$D$21+IF(parametros_manuales!$H$26="Todos",datos_base!$D$12+datos_base!$D$26,0))*parametros_manuales!$M$110)*parametros_manuales!$I$26*parametros_manuales!$J$26</f>
        <v>758.298998556</v>
      </c>
      <c r="N63" s="9" t="n">
        <f aca="false">SUM(B63:M63)</f>
        <v>8425.5444284</v>
      </c>
      <c r="O63" s="9" t="n">
        <f aca="false">MAX(B63:M63)</f>
        <v>758.298998556</v>
      </c>
      <c r="P63" s="43" t="n">
        <f aca="false">O63/(parametros_manuales!$B$7)</f>
        <v>5.05532665704</v>
      </c>
      <c r="Q63" s="8" t="str">
        <f aca="false">IF(O63=0,"-",INDEX($B$55:$M$55,MATCH(O63,B63:M63,0)))</f>
        <v>Ene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datos_base!$D$2+datos_base!$D$18+IF(parametros_manuales!$H$27="Todos",datos_base!$D$9+datos_base!$D$23,0))*parametros_manuales!$B$95+parametros_manuales!$E$27*(datos_base!$D$3+datos_base!$D$19+IF(parametros_manuales!$H$27="Todos",datos_base!$D$10+datos_base!$D$24,0))*parametros_manuales!$B$100+parametros_manuales!$F$27*(datos_base!$D$4+datos_base!$D$20+IF(parametros_manuales!$H$27="Todos",datos_base!$D$11+datos_base!$D$25,0))*parametros_manuales!$B$105+parametros_manuales!$G$27*(datos_base!$D$5+datos_base!$D$21+IF(parametros_manuales!$H$27="Todos",datos_base!$D$12+datos_base!$D$26,0))*parametros_manuales!$B$110)*parametros_manuales!$I$27*parametros_manuales!$J$27</f>
        <v>758.298998556</v>
      </c>
      <c r="C64" s="9" t="n">
        <f aca="false">(parametros_manuales!$D$27*(datos_base!$D$2+datos_base!$D$18+IF(parametros_manuales!$H$27="Todos",datos_base!$D$9+datos_base!$D$23,0))*parametros_manuales!$C$95+parametros_manuales!$E$27*(datos_base!$D$3+datos_base!$D$19+IF(parametros_manuales!$H$27="Todos",datos_base!$D$10+datos_base!$D$24,0))*parametros_manuales!$C$100+parametros_manuales!$F$27*(datos_base!$D$4+datos_base!$D$20+IF(parametros_manuales!$H$27="Todos",datos_base!$D$11+datos_base!$D$25,0))*parametros_manuales!$C$105+parametros_manuales!$G$27*(datos_base!$D$5+datos_base!$D$21+IF(parametros_manuales!$H$27="Todos",datos_base!$D$12+datos_base!$D$26,0))*parametros_manuales!$C$110)*parametros_manuales!$I$27*parametros_manuales!$J$27</f>
        <v>674.043554272</v>
      </c>
      <c r="D64" s="9" t="n">
        <f aca="false">(parametros_manuales!$D$27*(datos_base!$D$2+datos_base!$D$18+IF(parametros_manuales!$H$27="Todos",datos_base!$D$9+datos_base!$D$23,0))*parametros_manuales!$D$95+parametros_manuales!$E$27*(datos_base!$D$3+datos_base!$D$19+IF(parametros_manuales!$H$27="Todos",datos_base!$D$10+datos_base!$D$24,0))*parametros_manuales!$D$100+parametros_manuales!$F$27*(datos_base!$D$4+datos_base!$D$20+IF(parametros_manuales!$H$27="Todos",datos_base!$D$11+datos_base!$D$25,0))*parametros_manuales!$D$105+parametros_manuales!$G$27*(datos_base!$D$5+datos_base!$D$21+IF(parametros_manuales!$H$27="Todos",datos_base!$D$12+datos_base!$D$26,0))*parametros_manuales!$D$110)*parametros_manuales!$I$27*parametros_manuales!$J$27</f>
        <v>716.171276414</v>
      </c>
      <c r="E64" s="9" t="n">
        <f aca="false">(parametros_manuales!$D$27*(datos_base!$D$2+datos_base!$D$18+IF(parametros_manuales!$H$27="Todos",datos_base!$D$9+datos_base!$D$23,0))*parametros_manuales!$E$95+parametros_manuales!$E$27*(datos_base!$D$3+datos_base!$D$19+IF(parametros_manuales!$H$27="Todos",datos_base!$D$10+datos_base!$D$24,0))*parametros_manuales!$E$100+parametros_manuales!$F$27*(datos_base!$D$4+datos_base!$D$20+IF(parametros_manuales!$H$27="Todos",datos_base!$D$11+datos_base!$D$25,0))*parametros_manuales!$E$105+parametros_manuales!$G$27*(datos_base!$D$5+datos_base!$D$21+IF(parametros_manuales!$H$27="Todos",datos_base!$D$12+datos_base!$D$26,0))*parametros_manuales!$E$110)*parametros_manuales!$I$27*parametros_manuales!$J$27</f>
        <v>716.171276414</v>
      </c>
      <c r="F64" s="9" t="n">
        <f aca="false">(parametros_manuales!$D$27*(datos_base!$D$2+datos_base!$D$18+IF(parametros_manuales!$H$27="Todos",datos_base!$D$9+datos_base!$D$23,0))*parametros_manuales!$F$95+parametros_manuales!$E$27*(datos_base!$D$3+datos_base!$D$19+IF(parametros_manuales!$H$27="Todos",datos_base!$D$10+datos_base!$D$24,0))*parametros_manuales!$F$100+parametros_manuales!$F$27*(datos_base!$D$4+datos_base!$D$20+IF(parametros_manuales!$H$27="Todos",datos_base!$D$11+datos_base!$D$25,0))*parametros_manuales!$F$105+parametros_manuales!$G$27*(datos_base!$D$5+datos_base!$D$21+IF(parametros_manuales!$H$27="Todos",datos_base!$D$12+datos_base!$D$26,0))*parametros_manuales!$F$110)*parametros_manuales!$I$27*parametros_manuales!$J$27</f>
        <v>674.043554272</v>
      </c>
      <c r="G64" s="9" t="n">
        <f aca="false">(parametros_manuales!$D$27*(datos_base!$D$2+datos_base!$D$18+IF(parametros_manuales!$H$27="Todos",datos_base!$D$9+datos_base!$D$23,0))*parametros_manuales!$G$95+parametros_manuales!$E$27*(datos_base!$D$3+datos_base!$D$19+IF(parametros_manuales!$H$27="Todos",datos_base!$D$10+datos_base!$D$24,0))*parametros_manuales!$G$100+parametros_manuales!$F$27*(datos_base!$D$4+datos_base!$D$20+IF(parametros_manuales!$H$27="Todos",datos_base!$D$11+datos_base!$D$25,0))*parametros_manuales!$G$105+parametros_manuales!$G$27*(datos_base!$D$5+datos_base!$D$21+IF(parametros_manuales!$H$27="Todos",datos_base!$D$12+datos_base!$D$26,0))*parametros_manuales!$G$110)*parametros_manuales!$I$27*parametros_manuales!$J$27</f>
        <v>631.91583213</v>
      </c>
      <c r="H64" s="9" t="n">
        <f aca="false">(parametros_manuales!$D$27*(datos_base!$D$2+datos_base!$D$18+IF(parametros_manuales!$H$27="Todos",datos_base!$D$9+datos_base!$D$23,0))*parametros_manuales!$H$95+parametros_manuales!$E$27*(datos_base!$D$3+datos_base!$D$19+IF(parametros_manuales!$H$27="Todos",datos_base!$D$10+datos_base!$D$24,0))*parametros_manuales!$H$100+parametros_manuales!$F$27*(datos_base!$D$4+datos_base!$D$20+IF(parametros_manuales!$H$27="Todos",datos_base!$D$11+datos_base!$D$25,0))*parametros_manuales!$H$105+parametros_manuales!$G$27*(datos_base!$D$5+datos_base!$D$21+IF(parametros_manuales!$H$27="Todos",datos_base!$D$12+datos_base!$D$26,0))*parametros_manuales!$H$110)*parametros_manuales!$I$27*parametros_manuales!$J$27</f>
        <v>674.043554272</v>
      </c>
      <c r="I64" s="9" t="n">
        <f aca="false">(parametros_manuales!$D$27*(datos_base!$D$2+datos_base!$D$18+IF(parametros_manuales!$H$27="Todos",datos_base!$D$9+datos_base!$D$23,0))*parametros_manuales!$I$95+parametros_manuales!$E$27*(datos_base!$D$3+datos_base!$D$19+IF(parametros_manuales!$H$27="Todos",datos_base!$D$10+datos_base!$D$24,0))*parametros_manuales!$I$100+parametros_manuales!$F$27*(datos_base!$D$4+datos_base!$D$20+IF(parametros_manuales!$H$27="Todos",datos_base!$D$11+datos_base!$D$25,0))*parametros_manuales!$I$105+parametros_manuales!$G$27*(datos_base!$D$5+datos_base!$D$21+IF(parametros_manuales!$H$27="Todos",datos_base!$D$12+datos_base!$D$26,0))*parametros_manuales!$I$110)*parametros_manuales!$I$27*parametros_manuales!$J$27</f>
        <v>674.043554272</v>
      </c>
      <c r="J64" s="9" t="n">
        <f aca="false">(parametros_manuales!$D$27*(datos_base!$D$2+datos_base!$D$18+IF(parametros_manuales!$H$27="Todos",datos_base!$D$9+datos_base!$D$23,0))*parametros_manuales!$J$95+parametros_manuales!$E$27*(datos_base!$D$3+datos_base!$D$19+IF(parametros_manuales!$H$27="Todos",datos_base!$D$10+datos_base!$D$24,0))*parametros_manuales!$J$100+parametros_manuales!$F$27*(datos_base!$D$4+datos_base!$D$20+IF(parametros_manuales!$H$27="Todos",datos_base!$D$11+datos_base!$D$25,0))*parametros_manuales!$J$105+parametros_manuales!$G$27*(datos_base!$D$5+datos_base!$D$21+IF(parametros_manuales!$H$27="Todos",datos_base!$D$12+datos_base!$D$26,0))*parametros_manuales!$J$110)*parametros_manuales!$I$27*parametros_manuales!$J$27</f>
        <v>674.043554272</v>
      </c>
      <c r="K64" s="9" t="n">
        <f aca="false">(parametros_manuales!$D$27*(datos_base!$D$2+datos_base!$D$18+IF(parametros_manuales!$H$27="Todos",datos_base!$D$9+datos_base!$D$23,0))*parametros_manuales!$K$95+parametros_manuales!$E$27*(datos_base!$D$3+datos_base!$D$19+IF(parametros_manuales!$H$27="Todos",datos_base!$D$10+datos_base!$D$24,0))*parametros_manuales!$K$100+parametros_manuales!$F$27*(datos_base!$D$4+datos_base!$D$20+IF(parametros_manuales!$H$27="Todos",datos_base!$D$11+datos_base!$D$25,0))*parametros_manuales!$K$105+parametros_manuales!$G$27*(datos_base!$D$5+datos_base!$D$21+IF(parametros_manuales!$H$27="Todos",datos_base!$D$12+datos_base!$D$26,0))*parametros_manuales!$K$110)*parametros_manuales!$I$27*parametros_manuales!$J$27</f>
        <v>716.171276414</v>
      </c>
      <c r="L64" s="9" t="n">
        <f aca="false">(parametros_manuales!$D$27*(datos_base!$D$2+datos_base!$D$18+IF(parametros_manuales!$H$27="Todos",datos_base!$D$9+datos_base!$D$23,0))*parametros_manuales!$L$95+parametros_manuales!$E$27*(datos_base!$D$3+datos_base!$D$19+IF(parametros_manuales!$H$27="Todos",datos_base!$D$10+datos_base!$D$24,0))*parametros_manuales!$L$100+parametros_manuales!$F$27*(datos_base!$D$4+datos_base!$D$20+IF(parametros_manuales!$H$27="Todos",datos_base!$D$11+datos_base!$D$25,0))*parametros_manuales!$L$105+parametros_manuales!$G$27*(datos_base!$D$5+datos_base!$D$21+IF(parametros_manuales!$H$27="Todos",datos_base!$D$12+datos_base!$D$26,0))*parametros_manuales!$L$110)*parametros_manuales!$I$27*parametros_manuales!$J$27</f>
        <v>758.298998556</v>
      </c>
      <c r="M64" s="9" t="n">
        <f aca="false">(parametros_manuales!$D$27*(datos_base!$D$2+datos_base!$D$18+IF(parametros_manuales!$H$27="Todos",datos_base!$D$9+datos_base!$D$23,0))*parametros_manuales!$M$95+parametros_manuales!$E$27*(datos_base!$D$3+datos_base!$D$19+IF(parametros_manuales!$H$27="Todos",datos_base!$D$10+datos_base!$D$24,0))*parametros_manuales!$M$100+parametros_manuales!$F$27*(datos_base!$D$4+datos_base!$D$20+IF(parametros_manuales!$H$27="Todos",datos_base!$D$11+datos_base!$D$25,0))*parametros_manuales!$M$105+parametros_manuales!$G$27*(datos_base!$D$5+datos_base!$D$21+IF(parametros_manuales!$H$27="Todos",datos_base!$D$12+datos_base!$D$26,0))*parametros_manuales!$M$110)*parametros_manuales!$I$27*parametros_manuales!$J$27</f>
        <v>758.298998556</v>
      </c>
      <c r="N64" s="9" t="n">
        <f aca="false">SUM(B64:M64)</f>
        <v>8425.5444284</v>
      </c>
      <c r="O64" s="9" t="n">
        <f aca="false">MAX(B64:M64)</f>
        <v>758.298998556</v>
      </c>
      <c r="P64" s="43" t="n">
        <f aca="false">O64/(parametros_manuales!$B$7)</f>
        <v>5.05532665704</v>
      </c>
      <c r="Q64" s="8" t="str">
        <f aca="false">IF(O64=0,"-",INDEX($B$55:$M$55,MATCH(O64,B64:M64,0)))</f>
        <v>Ene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datos_base!$D$2+datos_base!$D$18+IF(parametros_manuales!$H$28="Todos",datos_base!$D$9+datos_base!$D$23,0))*parametros_manuales!$B$95+parametros_manuales!$E$28*(datos_base!$D$3+datos_base!$D$19+IF(parametros_manuales!$H$28="Todos",datos_base!$D$10+datos_base!$D$24,0))*parametros_manuales!$B$100+parametros_manuales!$F$28*(datos_base!$D$4+datos_base!$D$20+IF(parametros_manuales!$H$28="Todos",datos_base!$D$11+datos_base!$D$25,0))*parametros_manuales!$B$105+parametros_manuales!$G$28*(datos_base!$D$5+datos_base!$D$21+IF(parametros_manuales!$H$28="Todos",datos_base!$D$12+datos_base!$D$26,0))*parametros_manuales!$B$110)*parametros_manuales!$I$28*parametros_manuales!$J$28</f>
        <v>2064.572296776</v>
      </c>
      <c r="C65" s="9" t="n">
        <f aca="false">(parametros_manuales!$D$28*(datos_base!$D$2+datos_base!$D$18+IF(parametros_manuales!$H$28="Todos",datos_base!$D$9+datos_base!$D$23,0))*parametros_manuales!$C$95+parametros_manuales!$E$28*(datos_base!$D$3+datos_base!$D$19+IF(parametros_manuales!$H$28="Todos",datos_base!$D$10+datos_base!$D$24,0))*parametros_manuales!$C$100+parametros_manuales!$F$28*(datos_base!$D$4+datos_base!$D$20+IF(parametros_manuales!$H$28="Todos",datos_base!$D$11+datos_base!$D$25,0))*parametros_manuales!$C$105+parametros_manuales!$G$28*(datos_base!$D$5+datos_base!$D$21+IF(parametros_manuales!$H$28="Todos",datos_base!$D$12+datos_base!$D$26,0))*parametros_manuales!$C$110)*parametros_manuales!$I$28*parametros_manuales!$J$28</f>
        <v>1980.316852492</v>
      </c>
      <c r="D65" s="9" t="n">
        <f aca="false">(parametros_manuales!$D$28*(datos_base!$D$2+datos_base!$D$18+IF(parametros_manuales!$H$28="Todos",datos_base!$D$9+datos_base!$D$23,0))*parametros_manuales!$D$95+parametros_manuales!$E$28*(datos_base!$D$3+datos_base!$D$19+IF(parametros_manuales!$H$28="Todos",datos_base!$D$10+datos_base!$D$24,0))*parametros_manuales!$D$100+parametros_manuales!$F$28*(datos_base!$D$4+datos_base!$D$20+IF(parametros_manuales!$H$28="Todos",datos_base!$D$11+datos_base!$D$25,0))*parametros_manuales!$D$105+parametros_manuales!$G$28*(datos_base!$D$5+datos_base!$D$21+IF(parametros_manuales!$H$28="Todos",datos_base!$D$12+datos_base!$D$26,0))*parametros_manuales!$D$110)*parametros_manuales!$I$28*parametros_manuales!$J$28</f>
        <v>1877.303097054</v>
      </c>
      <c r="E65" s="9" t="n">
        <f aca="false">(parametros_manuales!$D$28*(datos_base!$D$2+datos_base!$D$18+IF(parametros_manuales!$H$28="Todos",datos_base!$D$9+datos_base!$D$23,0))*parametros_manuales!$E$95+parametros_manuales!$E$28*(datos_base!$D$3+datos_base!$D$19+IF(parametros_manuales!$H$28="Todos",datos_base!$D$10+datos_base!$D$24,0))*parametros_manuales!$E$100+parametros_manuales!$F$28*(datos_base!$D$4+datos_base!$D$20+IF(parametros_manuales!$H$28="Todos",datos_base!$D$11+datos_base!$D$25,0))*parametros_manuales!$E$105+parametros_manuales!$G$28*(datos_base!$D$5+datos_base!$D$21+IF(parametros_manuales!$H$28="Todos",datos_base!$D$12+datos_base!$D$26,0))*parametros_manuales!$E$110)*parametros_manuales!$I$28*parametros_manuales!$J$28</f>
        <v>1804.732358264</v>
      </c>
      <c r="F65" s="9" t="n">
        <f aca="false">(parametros_manuales!$D$28*(datos_base!$D$2+datos_base!$D$18+IF(parametros_manuales!$H$28="Todos",datos_base!$D$9+datos_base!$D$23,0))*parametros_manuales!$F$95+parametros_manuales!$E$28*(datos_base!$D$3+datos_base!$D$19+IF(parametros_manuales!$H$28="Todos",datos_base!$D$10+datos_base!$D$24,0))*parametros_manuales!$F$100+parametros_manuales!$F$28*(datos_base!$D$4+datos_base!$D$20+IF(parametros_manuales!$H$28="Todos",datos_base!$D$11+datos_base!$D$25,0))*parametros_manuales!$F$105+parametros_manuales!$G$28*(datos_base!$D$5+datos_base!$D$21+IF(parametros_manuales!$H$28="Todos",datos_base!$D$12+datos_base!$D$26,0))*parametros_manuales!$F$110)*parametros_manuales!$I$28*parametros_manuales!$J$28</f>
        <v>1690.033897332</v>
      </c>
      <c r="G65" s="9" t="n">
        <f aca="false">(parametros_manuales!$D$28*(datos_base!$D$2+datos_base!$D$18+IF(parametros_manuales!$H$28="Todos",datos_base!$D$9+datos_base!$D$23,0))*parametros_manuales!$G$95+parametros_manuales!$E$28*(datos_base!$D$3+datos_base!$D$19+IF(parametros_manuales!$H$28="Todos",datos_base!$D$10+datos_base!$D$24,0))*parametros_manuales!$G$100+parametros_manuales!$F$28*(datos_base!$D$4+datos_base!$D$20+IF(parametros_manuales!$H$28="Todos",datos_base!$D$11+datos_base!$D$25,0))*parametros_manuales!$G$105+parametros_manuales!$G$28*(datos_base!$D$5+datos_base!$D$21+IF(parametros_manuales!$H$28="Todos",datos_base!$D$12+datos_base!$D$26,0))*parametros_manuales!$G$110)*parametros_manuales!$I$28*parametros_manuales!$J$28</f>
        <v>1647.90617519</v>
      </c>
      <c r="H65" s="9" t="n">
        <f aca="false">(parametros_manuales!$D$28*(datos_base!$D$2+datos_base!$D$18+IF(parametros_manuales!$H$28="Todos",datos_base!$D$9+datos_base!$D$23,0))*parametros_manuales!$H$95+parametros_manuales!$E$28*(datos_base!$D$3+datos_base!$D$19+IF(parametros_manuales!$H$28="Todos",datos_base!$D$10+datos_base!$D$24,0))*parametros_manuales!$H$100+parametros_manuales!$F$28*(datos_base!$D$4+datos_base!$D$20+IF(parametros_manuales!$H$28="Todos",datos_base!$D$11+datos_base!$D$25,0))*parametros_manuales!$H$105+parametros_manuales!$G$28*(datos_base!$D$5+datos_base!$D$21+IF(parametros_manuales!$H$28="Todos",datos_base!$D$12+datos_base!$D$26,0))*parametros_manuales!$H$110)*parametros_manuales!$I$28*parametros_manuales!$J$28</f>
        <v>1762.604636122</v>
      </c>
      <c r="I65" s="9" t="n">
        <f aca="false">(parametros_manuales!$D$28*(datos_base!$D$2+datos_base!$D$18+IF(parametros_manuales!$H$28="Todos",datos_base!$D$9+datos_base!$D$23,0))*parametros_manuales!$I$95+parametros_manuales!$E$28*(datos_base!$D$3+datos_base!$D$19+IF(parametros_manuales!$H$28="Todos",datos_base!$D$10+datos_base!$D$24,0))*parametros_manuales!$I$100+parametros_manuales!$F$28*(datos_base!$D$4+datos_base!$D$20+IF(parametros_manuales!$H$28="Todos",datos_base!$D$11+datos_base!$D$25,0))*parametros_manuales!$I$105+parametros_manuales!$G$28*(datos_base!$D$5+datos_base!$D$21+IF(parametros_manuales!$H$28="Todos",datos_base!$D$12+datos_base!$D$26,0))*parametros_manuales!$I$110)*parametros_manuales!$I$28*parametros_manuales!$J$28</f>
        <v>1980.316852492</v>
      </c>
      <c r="J65" s="9" t="n">
        <f aca="false">(parametros_manuales!$D$28*(datos_base!$D$2+datos_base!$D$18+IF(parametros_manuales!$H$28="Todos",datos_base!$D$9+datos_base!$D$23,0))*parametros_manuales!$J$95+parametros_manuales!$E$28*(datos_base!$D$3+datos_base!$D$19+IF(parametros_manuales!$H$28="Todos",datos_base!$D$10+datos_base!$D$24,0))*parametros_manuales!$J$100+parametros_manuales!$F$28*(datos_base!$D$4+datos_base!$D$20+IF(parametros_manuales!$H$28="Todos",datos_base!$D$11+datos_base!$D$25,0))*parametros_manuales!$J$105+parametros_manuales!$G$28*(datos_base!$D$5+datos_base!$D$21+IF(parametros_manuales!$H$28="Todos",datos_base!$D$12+datos_base!$D$26,0))*parametros_manuales!$J$110)*parametros_manuales!$I$28*parametros_manuales!$J$28</f>
        <v>1980.316852492</v>
      </c>
      <c r="K65" s="9" t="n">
        <f aca="false">(parametros_manuales!$D$28*(datos_base!$D$2+datos_base!$D$18+IF(parametros_manuales!$H$28="Todos",datos_base!$D$9+datos_base!$D$23,0))*parametros_manuales!$K$95+parametros_manuales!$E$28*(datos_base!$D$3+datos_base!$D$19+IF(parametros_manuales!$H$28="Todos",datos_base!$D$10+datos_base!$D$24,0))*parametros_manuales!$K$100+parametros_manuales!$F$28*(datos_base!$D$4+datos_base!$D$20+IF(parametros_manuales!$H$28="Todos",datos_base!$D$11+datos_base!$D$25,0))*parametros_manuales!$K$105+parametros_manuales!$G$28*(datos_base!$D$5+datos_base!$D$21+IF(parametros_manuales!$H$28="Todos",datos_base!$D$12+datos_base!$D$26,0))*parametros_manuales!$K$110)*parametros_manuales!$I$28*parametros_manuales!$J$28</f>
        <v>2022.444574634</v>
      </c>
      <c r="L65" s="9" t="n">
        <f aca="false">(parametros_manuales!$D$28*(datos_base!$D$2+datos_base!$D$18+IF(parametros_manuales!$H$28="Todos",datos_base!$D$9+datos_base!$D$23,0))*parametros_manuales!$L$95+parametros_manuales!$E$28*(datos_base!$D$3+datos_base!$D$19+IF(parametros_manuales!$H$28="Todos",datos_base!$D$10+datos_base!$D$24,0))*parametros_manuales!$L$100+parametros_manuales!$F$28*(datos_base!$D$4+datos_base!$D$20+IF(parametros_manuales!$H$28="Todos",datos_base!$D$11+datos_base!$D$25,0))*parametros_manuales!$L$105+parametros_manuales!$G$28*(datos_base!$D$5+datos_base!$D$21+IF(parametros_manuales!$H$28="Todos",datos_base!$D$12+datos_base!$D$26,0))*parametros_manuales!$L$110)*parametros_manuales!$I$28*parametros_manuales!$J$28</f>
        <v>2064.572296776</v>
      </c>
      <c r="M65" s="9" t="n">
        <f aca="false">(parametros_manuales!$D$28*(datos_base!$D$2+datos_base!$D$18+IF(parametros_manuales!$H$28="Todos",datos_base!$D$9+datos_base!$D$23,0))*parametros_manuales!$M$95+parametros_manuales!$E$28*(datos_base!$D$3+datos_base!$D$19+IF(parametros_manuales!$H$28="Todos",datos_base!$D$10+datos_base!$D$24,0))*parametros_manuales!$M$100+parametros_manuales!$F$28*(datos_base!$D$4+datos_base!$D$20+IF(parametros_manuales!$H$28="Todos",datos_base!$D$11+datos_base!$D$25,0))*parametros_manuales!$M$105+parametros_manuales!$G$28*(datos_base!$D$5+datos_base!$D$21+IF(parametros_manuales!$H$28="Todos",datos_base!$D$12+datos_base!$D$26,0))*parametros_manuales!$M$110)*parametros_manuales!$I$28*parametros_manuales!$J$28</f>
        <v>2064.572296776</v>
      </c>
      <c r="N65" s="9" t="n">
        <f aca="false">SUM(B65:M65)</f>
        <v>22939.6921864</v>
      </c>
      <c r="O65" s="9" t="n">
        <f aca="false">MAX(B65:M65)</f>
        <v>2064.572296776</v>
      </c>
      <c r="P65" s="43" t="n">
        <f aca="false">O65/(parametros_manuales!$B$7)</f>
        <v>13.76381531184</v>
      </c>
      <c r="Q65" s="8" t="str">
        <f aca="false">IF(O65=0,"-",INDEX($B$55:$M$55,MATCH(O65,B65:M65,0)))</f>
        <v>Ene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datos_base!$D$2+datos_base!$D$18+IF(parametros_manuales!$H$29="Todos",datos_base!$D$9+datos_base!$D$23,0))*parametros_manuales!$B$95+parametros_manuales!$E$29*(datos_base!$D$3+datos_base!$D$19+IF(parametros_manuales!$H$29="Todos",datos_base!$D$10+datos_base!$D$24,0))*parametros_manuales!$B$100+parametros_manuales!$F$29*(datos_base!$D$4+datos_base!$D$20+IF(parametros_manuales!$H$29="Todos",datos_base!$D$11+datos_base!$D$25,0))*parametros_manuales!$B$105+parametros_manuales!$G$29*(datos_base!$D$5+datos_base!$D$21+IF(parametros_manuales!$H$29="Todos",datos_base!$D$12+datos_base!$D$26,0))*parametros_manuales!$B$110)*parametros_manuales!$I$29*parametros_manuales!$J$29</f>
        <v>2064.572296776</v>
      </c>
      <c r="C66" s="9" t="n">
        <f aca="false">(parametros_manuales!$D$29*(datos_base!$D$2+datos_base!$D$18+IF(parametros_manuales!$H$29="Todos",datos_base!$D$9+datos_base!$D$23,0))*parametros_manuales!$C$95+parametros_manuales!$E$29*(datos_base!$D$3+datos_base!$D$19+IF(parametros_manuales!$H$29="Todos",datos_base!$D$10+datos_base!$D$24,0))*parametros_manuales!$C$100+parametros_manuales!$F$29*(datos_base!$D$4+datos_base!$D$20+IF(parametros_manuales!$H$29="Todos",datos_base!$D$11+datos_base!$D$25,0))*parametros_manuales!$C$105+parametros_manuales!$G$29*(datos_base!$D$5+datos_base!$D$21+IF(parametros_manuales!$H$29="Todos",datos_base!$D$12+datos_base!$D$26,0))*parametros_manuales!$C$110)*parametros_manuales!$I$29*parametros_manuales!$J$29</f>
        <v>1980.316852492</v>
      </c>
      <c r="D66" s="9" t="n">
        <f aca="false">(parametros_manuales!$D$29*(datos_base!$D$2+datos_base!$D$18+IF(parametros_manuales!$H$29="Todos",datos_base!$D$9+datos_base!$D$23,0))*parametros_manuales!$D$95+parametros_manuales!$E$29*(datos_base!$D$3+datos_base!$D$19+IF(parametros_manuales!$H$29="Todos",datos_base!$D$10+datos_base!$D$24,0))*parametros_manuales!$D$100+parametros_manuales!$F$29*(datos_base!$D$4+datos_base!$D$20+IF(parametros_manuales!$H$29="Todos",datos_base!$D$11+datos_base!$D$25,0))*parametros_manuales!$D$105+parametros_manuales!$G$29*(datos_base!$D$5+datos_base!$D$21+IF(parametros_manuales!$H$29="Todos",datos_base!$D$12+datos_base!$D$26,0))*parametros_manuales!$D$110)*parametros_manuales!$I$29*parametros_manuales!$J$29</f>
        <v>1877.303097054</v>
      </c>
      <c r="E66" s="9" t="n">
        <f aca="false">(parametros_manuales!$D$29*(datos_base!$D$2+datos_base!$D$18+IF(parametros_manuales!$H$29="Todos",datos_base!$D$9+datos_base!$D$23,0))*parametros_manuales!$E$95+parametros_manuales!$E$29*(datos_base!$D$3+datos_base!$D$19+IF(parametros_manuales!$H$29="Todos",datos_base!$D$10+datos_base!$D$24,0))*parametros_manuales!$E$100+parametros_manuales!$F$29*(datos_base!$D$4+datos_base!$D$20+IF(parametros_manuales!$H$29="Todos",datos_base!$D$11+datos_base!$D$25,0))*parametros_manuales!$E$105+parametros_manuales!$G$29*(datos_base!$D$5+datos_base!$D$21+IF(parametros_manuales!$H$29="Todos",datos_base!$D$12+datos_base!$D$26,0))*parametros_manuales!$E$110)*parametros_manuales!$I$29*parametros_manuales!$J$29</f>
        <v>1804.732358264</v>
      </c>
      <c r="F66" s="9" t="n">
        <f aca="false">(parametros_manuales!$D$29*(datos_base!$D$2+datos_base!$D$18+IF(parametros_manuales!$H$29="Todos",datos_base!$D$9+datos_base!$D$23,0))*parametros_manuales!$F$95+parametros_manuales!$E$29*(datos_base!$D$3+datos_base!$D$19+IF(parametros_manuales!$H$29="Todos",datos_base!$D$10+datos_base!$D$24,0))*parametros_manuales!$F$100+parametros_manuales!$F$29*(datos_base!$D$4+datos_base!$D$20+IF(parametros_manuales!$H$29="Todos",datos_base!$D$11+datos_base!$D$25,0))*parametros_manuales!$F$105+parametros_manuales!$G$29*(datos_base!$D$5+datos_base!$D$21+IF(parametros_manuales!$H$29="Todos",datos_base!$D$12+datos_base!$D$26,0))*parametros_manuales!$F$110)*parametros_manuales!$I$29*parametros_manuales!$J$29</f>
        <v>1690.033897332</v>
      </c>
      <c r="G66" s="9" t="n">
        <f aca="false">(parametros_manuales!$D$29*(datos_base!$D$2+datos_base!$D$18+IF(parametros_manuales!$H$29="Todos",datos_base!$D$9+datos_base!$D$23,0))*parametros_manuales!$G$95+parametros_manuales!$E$29*(datos_base!$D$3+datos_base!$D$19+IF(parametros_manuales!$H$29="Todos",datos_base!$D$10+datos_base!$D$24,0))*parametros_manuales!$G$100+parametros_manuales!$F$29*(datos_base!$D$4+datos_base!$D$20+IF(parametros_manuales!$H$29="Todos",datos_base!$D$11+datos_base!$D$25,0))*parametros_manuales!$G$105+parametros_manuales!$G$29*(datos_base!$D$5+datos_base!$D$21+IF(parametros_manuales!$H$29="Todos",datos_base!$D$12+datos_base!$D$26,0))*parametros_manuales!$G$110)*parametros_manuales!$I$29*parametros_manuales!$J$29</f>
        <v>1647.90617519</v>
      </c>
      <c r="H66" s="9" t="n">
        <f aca="false">(parametros_manuales!$D$29*(datos_base!$D$2+datos_base!$D$18+IF(parametros_manuales!$H$29="Todos",datos_base!$D$9+datos_base!$D$23,0))*parametros_manuales!$H$95+parametros_manuales!$E$29*(datos_base!$D$3+datos_base!$D$19+IF(parametros_manuales!$H$29="Todos",datos_base!$D$10+datos_base!$D$24,0))*parametros_manuales!$H$100+parametros_manuales!$F$29*(datos_base!$D$4+datos_base!$D$20+IF(parametros_manuales!$H$29="Todos",datos_base!$D$11+datos_base!$D$25,0))*parametros_manuales!$H$105+parametros_manuales!$G$29*(datos_base!$D$5+datos_base!$D$21+IF(parametros_manuales!$H$29="Todos",datos_base!$D$12+datos_base!$D$26,0))*parametros_manuales!$H$110)*parametros_manuales!$I$29*parametros_manuales!$J$29</f>
        <v>1762.604636122</v>
      </c>
      <c r="I66" s="9" t="n">
        <f aca="false">(parametros_manuales!$D$29*(datos_base!$D$2+datos_base!$D$18+IF(parametros_manuales!$H$29="Todos",datos_base!$D$9+datos_base!$D$23,0))*parametros_manuales!$I$95+parametros_manuales!$E$29*(datos_base!$D$3+datos_base!$D$19+IF(parametros_manuales!$H$29="Todos",datos_base!$D$10+datos_base!$D$24,0))*parametros_manuales!$I$100+parametros_manuales!$F$29*(datos_base!$D$4+datos_base!$D$20+IF(parametros_manuales!$H$29="Todos",datos_base!$D$11+datos_base!$D$25,0))*parametros_manuales!$I$105+parametros_manuales!$G$29*(datos_base!$D$5+datos_base!$D$21+IF(parametros_manuales!$H$29="Todos",datos_base!$D$12+datos_base!$D$26,0))*parametros_manuales!$I$110)*parametros_manuales!$I$29*parametros_manuales!$J$29</f>
        <v>1980.316852492</v>
      </c>
      <c r="J66" s="9" t="n">
        <f aca="false">(parametros_manuales!$D$29*(datos_base!$D$2+datos_base!$D$18+IF(parametros_manuales!$H$29="Todos",datos_base!$D$9+datos_base!$D$23,0))*parametros_manuales!$J$95+parametros_manuales!$E$29*(datos_base!$D$3+datos_base!$D$19+IF(parametros_manuales!$H$29="Todos",datos_base!$D$10+datos_base!$D$24,0))*parametros_manuales!$J$100+parametros_manuales!$F$29*(datos_base!$D$4+datos_base!$D$20+IF(parametros_manuales!$H$29="Todos",datos_base!$D$11+datos_base!$D$25,0))*parametros_manuales!$J$105+parametros_manuales!$G$29*(datos_base!$D$5+datos_base!$D$21+IF(parametros_manuales!$H$29="Todos",datos_base!$D$12+datos_base!$D$26,0))*parametros_manuales!$J$110)*parametros_manuales!$I$29*parametros_manuales!$J$29</f>
        <v>1980.316852492</v>
      </c>
      <c r="K66" s="9" t="n">
        <f aca="false">(parametros_manuales!$D$29*(datos_base!$D$2+datos_base!$D$18+IF(parametros_manuales!$H$29="Todos",datos_base!$D$9+datos_base!$D$23,0))*parametros_manuales!$K$95+parametros_manuales!$E$29*(datos_base!$D$3+datos_base!$D$19+IF(parametros_manuales!$H$29="Todos",datos_base!$D$10+datos_base!$D$24,0))*parametros_manuales!$K$100+parametros_manuales!$F$29*(datos_base!$D$4+datos_base!$D$20+IF(parametros_manuales!$H$29="Todos",datos_base!$D$11+datos_base!$D$25,0))*parametros_manuales!$K$105+parametros_manuales!$G$29*(datos_base!$D$5+datos_base!$D$21+IF(parametros_manuales!$H$29="Todos",datos_base!$D$12+datos_base!$D$26,0))*parametros_manuales!$K$110)*parametros_manuales!$I$29*parametros_manuales!$J$29</f>
        <v>2022.444574634</v>
      </c>
      <c r="L66" s="9" t="n">
        <f aca="false">(parametros_manuales!$D$29*(datos_base!$D$2+datos_base!$D$18+IF(parametros_manuales!$H$29="Todos",datos_base!$D$9+datos_base!$D$23,0))*parametros_manuales!$L$95+parametros_manuales!$E$29*(datos_base!$D$3+datos_base!$D$19+IF(parametros_manuales!$H$29="Todos",datos_base!$D$10+datos_base!$D$24,0))*parametros_manuales!$L$100+parametros_manuales!$F$29*(datos_base!$D$4+datos_base!$D$20+IF(parametros_manuales!$H$29="Todos",datos_base!$D$11+datos_base!$D$25,0))*parametros_manuales!$L$105+parametros_manuales!$G$29*(datos_base!$D$5+datos_base!$D$21+IF(parametros_manuales!$H$29="Todos",datos_base!$D$12+datos_base!$D$26,0))*parametros_manuales!$L$110)*parametros_manuales!$I$29*parametros_manuales!$J$29</f>
        <v>2064.572296776</v>
      </c>
      <c r="M66" s="9" t="n">
        <f aca="false">(parametros_manuales!$D$29*(datos_base!$D$2+datos_base!$D$18+IF(parametros_manuales!$H$29="Todos",datos_base!$D$9+datos_base!$D$23,0))*parametros_manuales!$M$95+parametros_manuales!$E$29*(datos_base!$D$3+datos_base!$D$19+IF(parametros_manuales!$H$29="Todos",datos_base!$D$10+datos_base!$D$24,0))*parametros_manuales!$M$100+parametros_manuales!$F$29*(datos_base!$D$4+datos_base!$D$20+IF(parametros_manuales!$H$29="Todos",datos_base!$D$11+datos_base!$D$25,0))*parametros_manuales!$M$105+parametros_manuales!$G$29*(datos_base!$D$5+datos_base!$D$21+IF(parametros_manuales!$H$29="Todos",datos_base!$D$12+datos_base!$D$26,0))*parametros_manuales!$M$110)*parametros_manuales!$I$29*parametros_manuales!$J$29</f>
        <v>2064.572296776</v>
      </c>
      <c r="N66" s="9" t="n">
        <f aca="false">SUM(B66:M66)</f>
        <v>22939.6921864</v>
      </c>
      <c r="O66" s="9" t="n">
        <f aca="false">MAX(B66:M66)</f>
        <v>2064.572296776</v>
      </c>
      <c r="P66" s="43" t="n">
        <f aca="false">O66/(parametros_manuales!$B$7)</f>
        <v>13.76381531184</v>
      </c>
      <c r="Q66" s="8" t="str">
        <f aca="false">IF(O66=0,"-",INDEX($B$55:$M$55,MATCH(O66,B66:M66,0)))</f>
        <v>Ene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datos_base!$D$2+datos_base!$D$18+IF(parametros_manuales!$H$30="Todos",datos_base!$D$9+datos_base!$D$23,0))*parametros_manuales!$B$95+parametros_manuales!$E$30*(datos_base!$D$3+datos_base!$D$19+IF(parametros_manuales!$H$30="Todos",datos_base!$D$10+datos_base!$D$24,0))*parametros_manuales!$B$100+parametros_manuales!$F$30*(datos_base!$D$4+datos_base!$D$20+IF(parametros_manuales!$H$30="Todos",datos_base!$D$11+datos_base!$D$25,0))*parametros_manuales!$B$105+parametros_manuales!$G$30*(datos_base!$D$5+datos_base!$D$21+IF(parametros_manuales!$H$30="Todos",datos_base!$D$12+datos_base!$D$26,0))*parametros_manuales!$B$110)*parametros_manuales!$I$30*parametros_manuales!$J$30</f>
        <v>2064.572296776</v>
      </c>
      <c r="C67" s="9" t="n">
        <f aca="false">(parametros_manuales!$D$30*(datos_base!$D$2+datos_base!$D$18+IF(parametros_manuales!$H$30="Todos",datos_base!$D$9+datos_base!$D$23,0))*parametros_manuales!$C$95+parametros_manuales!$E$30*(datos_base!$D$3+datos_base!$D$19+IF(parametros_manuales!$H$30="Todos",datos_base!$D$10+datos_base!$D$24,0))*parametros_manuales!$C$100+parametros_manuales!$F$30*(datos_base!$D$4+datos_base!$D$20+IF(parametros_manuales!$H$30="Todos",datos_base!$D$11+datos_base!$D$25,0))*parametros_manuales!$C$105+parametros_manuales!$G$30*(datos_base!$D$5+datos_base!$D$21+IF(parametros_manuales!$H$30="Todos",datos_base!$D$12+datos_base!$D$26,0))*parametros_manuales!$C$110)*parametros_manuales!$I$30*parametros_manuales!$J$30</f>
        <v>1980.316852492</v>
      </c>
      <c r="D67" s="9" t="n">
        <f aca="false">(parametros_manuales!$D$30*(datos_base!$D$2+datos_base!$D$18+IF(parametros_manuales!$H$30="Todos",datos_base!$D$9+datos_base!$D$23,0))*parametros_manuales!$D$95+parametros_manuales!$E$30*(datos_base!$D$3+datos_base!$D$19+IF(parametros_manuales!$H$30="Todos",datos_base!$D$10+datos_base!$D$24,0))*parametros_manuales!$D$100+parametros_manuales!$F$30*(datos_base!$D$4+datos_base!$D$20+IF(parametros_manuales!$H$30="Todos",datos_base!$D$11+datos_base!$D$25,0))*parametros_manuales!$D$105+parametros_manuales!$G$30*(datos_base!$D$5+datos_base!$D$21+IF(parametros_manuales!$H$30="Todos",datos_base!$D$12+datos_base!$D$26,0))*parametros_manuales!$D$110)*parametros_manuales!$I$30*parametros_manuales!$J$30</f>
        <v>1877.303097054</v>
      </c>
      <c r="E67" s="9" t="n">
        <f aca="false">(parametros_manuales!$D$30*(datos_base!$D$2+datos_base!$D$18+IF(parametros_manuales!$H$30="Todos",datos_base!$D$9+datos_base!$D$23,0))*parametros_manuales!$E$95+parametros_manuales!$E$30*(datos_base!$D$3+datos_base!$D$19+IF(parametros_manuales!$H$30="Todos",datos_base!$D$10+datos_base!$D$24,0))*parametros_manuales!$E$100+parametros_manuales!$F$30*(datos_base!$D$4+datos_base!$D$20+IF(parametros_manuales!$H$30="Todos",datos_base!$D$11+datos_base!$D$25,0))*parametros_manuales!$E$105+parametros_manuales!$G$30*(datos_base!$D$5+datos_base!$D$21+IF(parametros_manuales!$H$30="Todos",datos_base!$D$12+datos_base!$D$26,0))*parametros_manuales!$E$110)*parametros_manuales!$I$30*parametros_manuales!$J$30</f>
        <v>1804.732358264</v>
      </c>
      <c r="F67" s="9" t="n">
        <f aca="false">(parametros_manuales!$D$30*(datos_base!$D$2+datos_base!$D$18+IF(parametros_manuales!$H$30="Todos",datos_base!$D$9+datos_base!$D$23,0))*parametros_manuales!$F$95+parametros_manuales!$E$30*(datos_base!$D$3+datos_base!$D$19+IF(parametros_manuales!$H$30="Todos",datos_base!$D$10+datos_base!$D$24,0))*parametros_manuales!$F$100+parametros_manuales!$F$30*(datos_base!$D$4+datos_base!$D$20+IF(parametros_manuales!$H$30="Todos",datos_base!$D$11+datos_base!$D$25,0))*parametros_manuales!$F$105+parametros_manuales!$G$30*(datos_base!$D$5+datos_base!$D$21+IF(parametros_manuales!$H$30="Todos",datos_base!$D$12+datos_base!$D$26,0))*parametros_manuales!$F$110)*parametros_manuales!$I$30*parametros_manuales!$J$30</f>
        <v>1690.033897332</v>
      </c>
      <c r="G67" s="9" t="n">
        <f aca="false">(parametros_manuales!$D$30*(datos_base!$D$2+datos_base!$D$18+IF(parametros_manuales!$H$30="Todos",datos_base!$D$9+datos_base!$D$23,0))*parametros_manuales!$G$95+parametros_manuales!$E$30*(datos_base!$D$3+datos_base!$D$19+IF(parametros_manuales!$H$30="Todos",datos_base!$D$10+datos_base!$D$24,0))*parametros_manuales!$G$100+parametros_manuales!$F$30*(datos_base!$D$4+datos_base!$D$20+IF(parametros_manuales!$H$30="Todos",datos_base!$D$11+datos_base!$D$25,0))*parametros_manuales!$G$105+parametros_manuales!$G$30*(datos_base!$D$5+datos_base!$D$21+IF(parametros_manuales!$H$30="Todos",datos_base!$D$12+datos_base!$D$26,0))*parametros_manuales!$G$110)*parametros_manuales!$I$30*parametros_manuales!$J$30</f>
        <v>1647.90617519</v>
      </c>
      <c r="H67" s="9" t="n">
        <f aca="false">(parametros_manuales!$D$30*(datos_base!$D$2+datos_base!$D$18+IF(parametros_manuales!$H$30="Todos",datos_base!$D$9+datos_base!$D$23,0))*parametros_manuales!$H$95+parametros_manuales!$E$30*(datos_base!$D$3+datos_base!$D$19+IF(parametros_manuales!$H$30="Todos",datos_base!$D$10+datos_base!$D$24,0))*parametros_manuales!$H$100+parametros_manuales!$F$30*(datos_base!$D$4+datos_base!$D$20+IF(parametros_manuales!$H$30="Todos",datos_base!$D$11+datos_base!$D$25,0))*parametros_manuales!$H$105+parametros_manuales!$G$30*(datos_base!$D$5+datos_base!$D$21+IF(parametros_manuales!$H$30="Todos",datos_base!$D$12+datos_base!$D$26,0))*parametros_manuales!$H$110)*parametros_manuales!$I$30*parametros_manuales!$J$30</f>
        <v>1762.604636122</v>
      </c>
      <c r="I67" s="9" t="n">
        <f aca="false">(parametros_manuales!$D$30*(datos_base!$D$2+datos_base!$D$18+IF(parametros_manuales!$H$30="Todos",datos_base!$D$9+datos_base!$D$23,0))*parametros_manuales!$I$95+parametros_manuales!$E$30*(datos_base!$D$3+datos_base!$D$19+IF(parametros_manuales!$H$30="Todos",datos_base!$D$10+datos_base!$D$24,0))*parametros_manuales!$I$100+parametros_manuales!$F$30*(datos_base!$D$4+datos_base!$D$20+IF(parametros_manuales!$H$30="Todos",datos_base!$D$11+datos_base!$D$25,0))*parametros_manuales!$I$105+parametros_manuales!$G$30*(datos_base!$D$5+datos_base!$D$21+IF(parametros_manuales!$H$30="Todos",datos_base!$D$12+datos_base!$D$26,0))*parametros_manuales!$I$110)*parametros_manuales!$I$30*parametros_manuales!$J$30</f>
        <v>1980.316852492</v>
      </c>
      <c r="J67" s="9" t="n">
        <f aca="false">(parametros_manuales!$D$30*(datos_base!$D$2+datos_base!$D$18+IF(parametros_manuales!$H$30="Todos",datos_base!$D$9+datos_base!$D$23,0))*parametros_manuales!$J$95+parametros_manuales!$E$30*(datos_base!$D$3+datos_base!$D$19+IF(parametros_manuales!$H$30="Todos",datos_base!$D$10+datos_base!$D$24,0))*parametros_manuales!$J$100+parametros_manuales!$F$30*(datos_base!$D$4+datos_base!$D$20+IF(parametros_manuales!$H$30="Todos",datos_base!$D$11+datos_base!$D$25,0))*parametros_manuales!$J$105+parametros_manuales!$G$30*(datos_base!$D$5+datos_base!$D$21+IF(parametros_manuales!$H$30="Todos",datos_base!$D$12+datos_base!$D$26,0))*parametros_manuales!$J$110)*parametros_manuales!$I$30*parametros_manuales!$J$30</f>
        <v>1980.316852492</v>
      </c>
      <c r="K67" s="9" t="n">
        <f aca="false">(parametros_manuales!$D$30*(datos_base!$D$2+datos_base!$D$18+IF(parametros_manuales!$H$30="Todos",datos_base!$D$9+datos_base!$D$23,0))*parametros_manuales!$K$95+parametros_manuales!$E$30*(datos_base!$D$3+datos_base!$D$19+IF(parametros_manuales!$H$30="Todos",datos_base!$D$10+datos_base!$D$24,0))*parametros_manuales!$K$100+parametros_manuales!$F$30*(datos_base!$D$4+datos_base!$D$20+IF(parametros_manuales!$H$30="Todos",datos_base!$D$11+datos_base!$D$25,0))*parametros_manuales!$K$105+parametros_manuales!$G$30*(datos_base!$D$5+datos_base!$D$21+IF(parametros_manuales!$H$30="Todos",datos_base!$D$12+datos_base!$D$26,0))*parametros_manuales!$K$110)*parametros_manuales!$I$30*parametros_manuales!$J$30</f>
        <v>2022.444574634</v>
      </c>
      <c r="L67" s="9" t="n">
        <f aca="false">(parametros_manuales!$D$30*(datos_base!$D$2+datos_base!$D$18+IF(parametros_manuales!$H$30="Todos",datos_base!$D$9+datos_base!$D$23,0))*parametros_manuales!$L$95+parametros_manuales!$E$30*(datos_base!$D$3+datos_base!$D$19+IF(parametros_manuales!$H$30="Todos",datos_base!$D$10+datos_base!$D$24,0))*parametros_manuales!$L$100+parametros_manuales!$F$30*(datos_base!$D$4+datos_base!$D$20+IF(parametros_manuales!$H$30="Todos",datos_base!$D$11+datos_base!$D$25,0))*parametros_manuales!$L$105+parametros_manuales!$G$30*(datos_base!$D$5+datos_base!$D$21+IF(parametros_manuales!$H$30="Todos",datos_base!$D$12+datos_base!$D$26,0))*parametros_manuales!$L$110)*parametros_manuales!$I$30*parametros_manuales!$J$30</f>
        <v>2064.572296776</v>
      </c>
      <c r="M67" s="9" t="n">
        <f aca="false">(parametros_manuales!$D$30*(datos_base!$D$2+datos_base!$D$18+IF(parametros_manuales!$H$30="Todos",datos_base!$D$9+datos_base!$D$23,0))*parametros_manuales!$M$95+parametros_manuales!$E$30*(datos_base!$D$3+datos_base!$D$19+IF(parametros_manuales!$H$30="Todos",datos_base!$D$10+datos_base!$D$24,0))*parametros_manuales!$M$100+parametros_manuales!$F$30*(datos_base!$D$4+datos_base!$D$20+IF(parametros_manuales!$H$30="Todos",datos_base!$D$11+datos_base!$D$25,0))*parametros_manuales!$M$105+parametros_manuales!$G$30*(datos_base!$D$5+datos_base!$D$21+IF(parametros_manuales!$H$30="Todos",datos_base!$D$12+datos_base!$D$26,0))*parametros_manuales!$M$110)*parametros_manuales!$I$30*parametros_manuales!$J$30</f>
        <v>2064.572296776</v>
      </c>
      <c r="N67" s="9" t="n">
        <f aca="false">SUM(B67:M67)</f>
        <v>22939.6921864</v>
      </c>
      <c r="O67" s="9" t="n">
        <f aca="false">MAX(B67:M67)</f>
        <v>2064.572296776</v>
      </c>
      <c r="P67" s="43" t="n">
        <f aca="false">O67/(parametros_manuales!$B$7)</f>
        <v>13.76381531184</v>
      </c>
      <c r="Q67" s="8" t="str">
        <f aca="false">IF(O67=0,"-",INDEX($B$55:$M$55,MATCH(O67,B67:M67,0)))</f>
        <v>Ene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datos_base!$D$2+datos_base!$D$18+IF(parametros_manuales!$H$31="Todos",datos_base!$D$9+datos_base!$D$23,0))*parametros_manuales!$B$95+parametros_manuales!$E$31*(datos_base!$D$3+datos_base!$D$19+IF(parametros_manuales!$H$31="Todos",datos_base!$D$10+datos_base!$D$24,0))*parametros_manuales!$B$100+parametros_manuales!$F$31*(datos_base!$D$4+datos_base!$D$20+IF(parametros_manuales!$H$31="Todos",datos_base!$D$11+datos_base!$D$25,0))*parametros_manuales!$B$105+parametros_manuales!$G$31*(datos_base!$D$5+datos_base!$D$21+IF(parametros_manuales!$H$31="Todos",datos_base!$D$12+datos_base!$D$26,0))*parametros_manuales!$B$110)*parametros_manuales!$I$31*parametros_manuales!$J$31</f>
        <v>41.29144593552</v>
      </c>
      <c r="C68" s="9" t="n">
        <f aca="false">(parametros_manuales!$D$31*(datos_base!$D$2+datos_base!$D$18+IF(parametros_manuales!$H$31="Todos",datos_base!$D$9+datos_base!$D$23,0))*parametros_manuales!$C$95+parametros_manuales!$E$31*(datos_base!$D$3+datos_base!$D$19+IF(parametros_manuales!$H$31="Todos",datos_base!$D$10+datos_base!$D$24,0))*parametros_manuales!$C$100+parametros_manuales!$F$31*(datos_base!$D$4+datos_base!$D$20+IF(parametros_manuales!$H$31="Todos",datos_base!$D$11+datos_base!$D$25,0))*parametros_manuales!$C$105+parametros_manuales!$G$31*(datos_base!$D$5+datos_base!$D$21+IF(parametros_manuales!$H$31="Todos",datos_base!$D$12+datos_base!$D$26,0))*parametros_manuales!$C$110)*parametros_manuales!$I$31*parametros_manuales!$J$31</f>
        <v>39.60633704984</v>
      </c>
      <c r="D68" s="9" t="n">
        <f aca="false">(parametros_manuales!$D$31*(datos_base!$D$2+datos_base!$D$18+IF(parametros_manuales!$H$31="Todos",datos_base!$D$9+datos_base!$D$23,0))*parametros_manuales!$D$95+parametros_manuales!$E$31*(datos_base!$D$3+datos_base!$D$19+IF(parametros_manuales!$H$31="Todos",datos_base!$D$10+datos_base!$D$24,0))*parametros_manuales!$D$100+parametros_manuales!$F$31*(datos_base!$D$4+datos_base!$D$20+IF(parametros_manuales!$H$31="Todos",datos_base!$D$11+datos_base!$D$25,0))*parametros_manuales!$D$105+parametros_manuales!$G$31*(datos_base!$D$5+datos_base!$D$21+IF(parametros_manuales!$H$31="Todos",datos_base!$D$12+datos_base!$D$26,0))*parametros_manuales!$D$110)*parametros_manuales!$I$31*parametros_manuales!$J$31</f>
        <v>37.54606194108</v>
      </c>
      <c r="E68" s="9" t="n">
        <f aca="false">(parametros_manuales!$D$31*(datos_base!$D$2+datos_base!$D$18+IF(parametros_manuales!$H$31="Todos",datos_base!$D$9+datos_base!$D$23,0))*parametros_manuales!$E$95+parametros_manuales!$E$31*(datos_base!$D$3+datos_base!$D$19+IF(parametros_manuales!$H$31="Todos",datos_base!$D$10+datos_base!$D$24,0))*parametros_manuales!$E$100+parametros_manuales!$F$31*(datos_base!$D$4+datos_base!$D$20+IF(parametros_manuales!$H$31="Todos",datos_base!$D$11+datos_base!$D$25,0))*parametros_manuales!$E$105+parametros_manuales!$G$31*(datos_base!$D$5+datos_base!$D$21+IF(parametros_manuales!$H$31="Todos",datos_base!$D$12+datos_base!$D$26,0))*parametros_manuales!$E$110)*parametros_manuales!$I$31*parametros_manuales!$J$31</f>
        <v>36.09464716528</v>
      </c>
      <c r="F68" s="9" t="n">
        <f aca="false">(parametros_manuales!$D$31*(datos_base!$D$2+datos_base!$D$18+IF(parametros_manuales!$H$31="Todos",datos_base!$D$9+datos_base!$D$23,0))*parametros_manuales!$F$95+parametros_manuales!$E$31*(datos_base!$D$3+datos_base!$D$19+IF(parametros_manuales!$H$31="Todos",datos_base!$D$10+datos_base!$D$24,0))*parametros_manuales!$F$100+parametros_manuales!$F$31*(datos_base!$D$4+datos_base!$D$20+IF(parametros_manuales!$H$31="Todos",datos_base!$D$11+datos_base!$D$25,0))*parametros_manuales!$F$105+parametros_manuales!$G$31*(datos_base!$D$5+datos_base!$D$21+IF(parametros_manuales!$H$31="Todos",datos_base!$D$12+datos_base!$D$26,0))*parametros_manuales!$F$110)*parametros_manuales!$I$31*parametros_manuales!$J$31</f>
        <v>33.80067794664</v>
      </c>
      <c r="G68" s="9" t="n">
        <f aca="false">(parametros_manuales!$D$31*(datos_base!$D$2+datos_base!$D$18+IF(parametros_manuales!$H$31="Todos",datos_base!$D$9+datos_base!$D$23,0))*parametros_manuales!$G$95+parametros_manuales!$E$31*(datos_base!$D$3+datos_base!$D$19+IF(parametros_manuales!$H$31="Todos",datos_base!$D$10+datos_base!$D$24,0))*parametros_manuales!$G$100+parametros_manuales!$F$31*(datos_base!$D$4+datos_base!$D$20+IF(parametros_manuales!$H$31="Todos",datos_base!$D$11+datos_base!$D$25,0))*parametros_manuales!$G$105+parametros_manuales!$G$31*(datos_base!$D$5+datos_base!$D$21+IF(parametros_manuales!$H$31="Todos",datos_base!$D$12+datos_base!$D$26,0))*parametros_manuales!$G$110)*parametros_manuales!$I$31*parametros_manuales!$J$31</f>
        <v>32.9581235038</v>
      </c>
      <c r="H68" s="9" t="n">
        <f aca="false">(parametros_manuales!$D$31*(datos_base!$D$2+datos_base!$D$18+IF(parametros_manuales!$H$31="Todos",datos_base!$D$9+datos_base!$D$23,0))*parametros_manuales!$H$95+parametros_manuales!$E$31*(datos_base!$D$3+datos_base!$D$19+IF(parametros_manuales!$H$31="Todos",datos_base!$D$10+datos_base!$D$24,0))*parametros_manuales!$H$100+parametros_manuales!$F$31*(datos_base!$D$4+datos_base!$D$20+IF(parametros_manuales!$H$31="Todos",datos_base!$D$11+datos_base!$D$25,0))*parametros_manuales!$H$105+parametros_manuales!$G$31*(datos_base!$D$5+datos_base!$D$21+IF(parametros_manuales!$H$31="Todos",datos_base!$D$12+datos_base!$D$26,0))*parametros_manuales!$H$110)*parametros_manuales!$I$31*parametros_manuales!$J$31</f>
        <v>35.25209272244</v>
      </c>
      <c r="I68" s="9" t="n">
        <f aca="false">(parametros_manuales!$D$31*(datos_base!$D$2+datos_base!$D$18+IF(parametros_manuales!$H$31="Todos",datos_base!$D$9+datos_base!$D$23,0))*parametros_manuales!$I$95+parametros_manuales!$E$31*(datos_base!$D$3+datos_base!$D$19+IF(parametros_manuales!$H$31="Todos",datos_base!$D$10+datos_base!$D$24,0))*parametros_manuales!$I$100+parametros_manuales!$F$31*(datos_base!$D$4+datos_base!$D$20+IF(parametros_manuales!$H$31="Todos",datos_base!$D$11+datos_base!$D$25,0))*parametros_manuales!$I$105+parametros_manuales!$G$31*(datos_base!$D$5+datos_base!$D$21+IF(parametros_manuales!$H$31="Todos",datos_base!$D$12+datos_base!$D$26,0))*parametros_manuales!$I$110)*parametros_manuales!$I$31*parametros_manuales!$J$31</f>
        <v>39.60633704984</v>
      </c>
      <c r="J68" s="9" t="n">
        <f aca="false">(parametros_manuales!$D$31*(datos_base!$D$2+datos_base!$D$18+IF(parametros_manuales!$H$31="Todos",datos_base!$D$9+datos_base!$D$23,0))*parametros_manuales!$J$95+parametros_manuales!$E$31*(datos_base!$D$3+datos_base!$D$19+IF(parametros_manuales!$H$31="Todos",datos_base!$D$10+datos_base!$D$24,0))*parametros_manuales!$J$100+parametros_manuales!$F$31*(datos_base!$D$4+datos_base!$D$20+IF(parametros_manuales!$H$31="Todos",datos_base!$D$11+datos_base!$D$25,0))*parametros_manuales!$J$105+parametros_manuales!$G$31*(datos_base!$D$5+datos_base!$D$21+IF(parametros_manuales!$H$31="Todos",datos_base!$D$12+datos_base!$D$26,0))*parametros_manuales!$J$110)*parametros_manuales!$I$31*parametros_manuales!$J$31</f>
        <v>39.60633704984</v>
      </c>
      <c r="K68" s="9" t="n">
        <f aca="false">(parametros_manuales!$D$31*(datos_base!$D$2+datos_base!$D$18+IF(parametros_manuales!$H$31="Todos",datos_base!$D$9+datos_base!$D$23,0))*parametros_manuales!$K$95+parametros_manuales!$E$31*(datos_base!$D$3+datos_base!$D$19+IF(parametros_manuales!$H$31="Todos",datos_base!$D$10+datos_base!$D$24,0))*parametros_manuales!$K$100+parametros_manuales!$F$31*(datos_base!$D$4+datos_base!$D$20+IF(parametros_manuales!$H$31="Todos",datos_base!$D$11+datos_base!$D$25,0))*parametros_manuales!$K$105+parametros_manuales!$G$31*(datos_base!$D$5+datos_base!$D$21+IF(parametros_manuales!$H$31="Todos",datos_base!$D$12+datos_base!$D$26,0))*parametros_manuales!$K$110)*parametros_manuales!$I$31*parametros_manuales!$J$31</f>
        <v>40.44889149268</v>
      </c>
      <c r="L68" s="9" t="n">
        <f aca="false">(parametros_manuales!$D$31*(datos_base!$D$2+datos_base!$D$18+IF(parametros_manuales!$H$31="Todos",datos_base!$D$9+datos_base!$D$23,0))*parametros_manuales!$L$95+parametros_manuales!$E$31*(datos_base!$D$3+datos_base!$D$19+IF(parametros_manuales!$H$31="Todos",datos_base!$D$10+datos_base!$D$24,0))*parametros_manuales!$L$100+parametros_manuales!$F$31*(datos_base!$D$4+datos_base!$D$20+IF(parametros_manuales!$H$31="Todos",datos_base!$D$11+datos_base!$D$25,0))*parametros_manuales!$L$105+parametros_manuales!$G$31*(datos_base!$D$5+datos_base!$D$21+IF(parametros_manuales!$H$31="Todos",datos_base!$D$12+datos_base!$D$26,0))*parametros_manuales!$L$110)*parametros_manuales!$I$31*parametros_manuales!$J$31</f>
        <v>41.29144593552</v>
      </c>
      <c r="M68" s="9" t="n">
        <f aca="false">(parametros_manuales!$D$31*(datos_base!$D$2+datos_base!$D$18+IF(parametros_manuales!$H$31="Todos",datos_base!$D$9+datos_base!$D$23,0))*parametros_manuales!$M$95+parametros_manuales!$E$31*(datos_base!$D$3+datos_base!$D$19+IF(parametros_manuales!$H$31="Todos",datos_base!$D$10+datos_base!$D$24,0))*parametros_manuales!$M$100+parametros_manuales!$F$31*(datos_base!$D$4+datos_base!$D$20+IF(parametros_manuales!$H$31="Todos",datos_base!$D$11+datos_base!$D$25,0))*parametros_manuales!$M$105+parametros_manuales!$G$31*(datos_base!$D$5+datos_base!$D$21+IF(parametros_manuales!$H$31="Todos",datos_base!$D$12+datos_base!$D$26,0))*parametros_manuales!$M$110)*parametros_manuales!$I$31*parametros_manuales!$J$31</f>
        <v>41.29144593552</v>
      </c>
      <c r="N68" s="9" t="n">
        <f aca="false">SUM(B68:M68)</f>
        <v>458.793843728</v>
      </c>
      <c r="O68" s="9" t="n">
        <f aca="false">MAX(B68:M68)</f>
        <v>41.29144593552</v>
      </c>
      <c r="P68" s="43" t="n">
        <f aca="false">O68/(parametros_manuales!$B$7)</f>
        <v>0.2752763062368</v>
      </c>
      <c r="Q68" s="8" t="str">
        <f aca="false">IF(O68=0,"-",INDEX($B$55:$M$55,MATCH(O68,B68:M68,0)))</f>
        <v>Ene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datos_base!$D$2+datos_base!$D$18+IF(parametros_manuales!$H$32="Todos",datos_base!$D$9+datos_base!$D$23,0))*parametros_manuales!$B$95+parametros_manuales!$E$32*(datos_base!$D$3+datos_base!$D$19+IF(parametros_manuales!$H$32="Todos",datos_base!$D$10+datos_base!$D$24,0))*parametros_manuales!$B$100+parametros_manuales!$F$32*(datos_base!$D$4+datos_base!$D$20+IF(parametros_manuales!$H$32="Todos",datos_base!$D$11+datos_base!$D$25,0))*parametros_manuales!$B$105+parametros_manuales!$G$32*(datos_base!$D$5+datos_base!$D$21+IF(parametros_manuales!$H$32="Todos",datos_base!$D$12+datos_base!$D$26,0))*parametros_manuales!$B$110)*parametros_manuales!$I$32*parametros_manuales!$J$32</f>
        <v>2064.572296776</v>
      </c>
      <c r="C69" s="9" t="n">
        <f aca="false">(parametros_manuales!$D$32*(datos_base!$D$2+datos_base!$D$18+IF(parametros_manuales!$H$32="Todos",datos_base!$D$9+datos_base!$D$23,0))*parametros_manuales!$C$95+parametros_manuales!$E$32*(datos_base!$D$3+datos_base!$D$19+IF(parametros_manuales!$H$32="Todos",datos_base!$D$10+datos_base!$D$24,0))*parametros_manuales!$C$100+parametros_manuales!$F$32*(datos_base!$D$4+datos_base!$D$20+IF(parametros_manuales!$H$32="Todos",datos_base!$D$11+datos_base!$D$25,0))*parametros_manuales!$C$105+parametros_manuales!$G$32*(datos_base!$D$5+datos_base!$D$21+IF(parametros_manuales!$H$32="Todos",datos_base!$D$12+datos_base!$D$26,0))*parametros_manuales!$C$110)*parametros_manuales!$I$32*parametros_manuales!$J$32</f>
        <v>1980.316852492</v>
      </c>
      <c r="D69" s="9" t="n">
        <f aca="false">(parametros_manuales!$D$32*(datos_base!$D$2+datos_base!$D$18+IF(parametros_manuales!$H$32="Todos",datos_base!$D$9+datos_base!$D$23,0))*parametros_manuales!$D$95+parametros_manuales!$E$32*(datos_base!$D$3+datos_base!$D$19+IF(parametros_manuales!$H$32="Todos",datos_base!$D$10+datos_base!$D$24,0))*parametros_manuales!$D$100+parametros_manuales!$F$32*(datos_base!$D$4+datos_base!$D$20+IF(parametros_manuales!$H$32="Todos",datos_base!$D$11+datos_base!$D$25,0))*parametros_manuales!$D$105+parametros_manuales!$G$32*(datos_base!$D$5+datos_base!$D$21+IF(parametros_manuales!$H$32="Todos",datos_base!$D$12+datos_base!$D$26,0))*parametros_manuales!$D$110)*parametros_manuales!$I$32*parametros_manuales!$J$32</f>
        <v>1877.303097054</v>
      </c>
      <c r="E69" s="9" t="n">
        <f aca="false">(parametros_manuales!$D$32*(datos_base!$D$2+datos_base!$D$18+IF(parametros_manuales!$H$32="Todos",datos_base!$D$9+datos_base!$D$23,0))*parametros_manuales!$E$95+parametros_manuales!$E$32*(datos_base!$D$3+datos_base!$D$19+IF(parametros_manuales!$H$32="Todos",datos_base!$D$10+datos_base!$D$24,0))*parametros_manuales!$E$100+parametros_manuales!$F$32*(datos_base!$D$4+datos_base!$D$20+IF(parametros_manuales!$H$32="Todos",datos_base!$D$11+datos_base!$D$25,0))*parametros_manuales!$E$105+parametros_manuales!$G$32*(datos_base!$D$5+datos_base!$D$21+IF(parametros_manuales!$H$32="Todos",datos_base!$D$12+datos_base!$D$26,0))*parametros_manuales!$E$110)*parametros_manuales!$I$32*parametros_manuales!$J$32</f>
        <v>1804.732358264</v>
      </c>
      <c r="F69" s="9" t="n">
        <f aca="false">(parametros_manuales!$D$32*(datos_base!$D$2+datos_base!$D$18+IF(parametros_manuales!$H$32="Todos",datos_base!$D$9+datos_base!$D$23,0))*parametros_manuales!$F$95+parametros_manuales!$E$32*(datos_base!$D$3+datos_base!$D$19+IF(parametros_manuales!$H$32="Todos",datos_base!$D$10+datos_base!$D$24,0))*parametros_manuales!$F$100+parametros_manuales!$F$32*(datos_base!$D$4+datos_base!$D$20+IF(parametros_manuales!$H$32="Todos",datos_base!$D$11+datos_base!$D$25,0))*parametros_manuales!$F$105+parametros_manuales!$G$32*(datos_base!$D$5+datos_base!$D$21+IF(parametros_manuales!$H$32="Todos",datos_base!$D$12+datos_base!$D$26,0))*parametros_manuales!$F$110)*parametros_manuales!$I$32*parametros_manuales!$J$32</f>
        <v>1690.033897332</v>
      </c>
      <c r="G69" s="9" t="n">
        <f aca="false">(parametros_manuales!$D$32*(datos_base!$D$2+datos_base!$D$18+IF(parametros_manuales!$H$32="Todos",datos_base!$D$9+datos_base!$D$23,0))*parametros_manuales!$G$95+parametros_manuales!$E$32*(datos_base!$D$3+datos_base!$D$19+IF(parametros_manuales!$H$32="Todos",datos_base!$D$10+datos_base!$D$24,0))*parametros_manuales!$G$100+parametros_manuales!$F$32*(datos_base!$D$4+datos_base!$D$20+IF(parametros_manuales!$H$32="Todos",datos_base!$D$11+datos_base!$D$25,0))*parametros_manuales!$G$105+parametros_manuales!$G$32*(datos_base!$D$5+datos_base!$D$21+IF(parametros_manuales!$H$32="Todos",datos_base!$D$12+datos_base!$D$26,0))*parametros_manuales!$G$110)*parametros_manuales!$I$32*parametros_manuales!$J$32</f>
        <v>1647.90617519</v>
      </c>
      <c r="H69" s="9" t="n">
        <f aca="false">(parametros_manuales!$D$32*(datos_base!$D$2+datos_base!$D$18+IF(parametros_manuales!$H$32="Todos",datos_base!$D$9+datos_base!$D$23,0))*parametros_manuales!$H$95+parametros_manuales!$E$32*(datos_base!$D$3+datos_base!$D$19+IF(parametros_manuales!$H$32="Todos",datos_base!$D$10+datos_base!$D$24,0))*parametros_manuales!$H$100+parametros_manuales!$F$32*(datos_base!$D$4+datos_base!$D$20+IF(parametros_manuales!$H$32="Todos",datos_base!$D$11+datos_base!$D$25,0))*parametros_manuales!$H$105+parametros_manuales!$G$32*(datos_base!$D$5+datos_base!$D$21+IF(parametros_manuales!$H$32="Todos",datos_base!$D$12+datos_base!$D$26,0))*parametros_manuales!$H$110)*parametros_manuales!$I$32*parametros_manuales!$J$32</f>
        <v>1762.604636122</v>
      </c>
      <c r="I69" s="9" t="n">
        <f aca="false">(parametros_manuales!$D$32*(datos_base!$D$2+datos_base!$D$18+IF(parametros_manuales!$H$32="Todos",datos_base!$D$9+datos_base!$D$23,0))*parametros_manuales!$I$95+parametros_manuales!$E$32*(datos_base!$D$3+datos_base!$D$19+IF(parametros_manuales!$H$32="Todos",datos_base!$D$10+datos_base!$D$24,0))*parametros_manuales!$I$100+parametros_manuales!$F$32*(datos_base!$D$4+datos_base!$D$20+IF(parametros_manuales!$H$32="Todos",datos_base!$D$11+datos_base!$D$25,0))*parametros_manuales!$I$105+parametros_manuales!$G$32*(datos_base!$D$5+datos_base!$D$21+IF(parametros_manuales!$H$32="Todos",datos_base!$D$12+datos_base!$D$26,0))*parametros_manuales!$I$110)*parametros_manuales!$I$32*parametros_manuales!$J$32</f>
        <v>1980.316852492</v>
      </c>
      <c r="J69" s="9" t="n">
        <f aca="false">(parametros_manuales!$D$32*(datos_base!$D$2+datos_base!$D$18+IF(parametros_manuales!$H$32="Todos",datos_base!$D$9+datos_base!$D$23,0))*parametros_manuales!$J$95+parametros_manuales!$E$32*(datos_base!$D$3+datos_base!$D$19+IF(parametros_manuales!$H$32="Todos",datos_base!$D$10+datos_base!$D$24,0))*parametros_manuales!$J$100+parametros_manuales!$F$32*(datos_base!$D$4+datos_base!$D$20+IF(parametros_manuales!$H$32="Todos",datos_base!$D$11+datos_base!$D$25,0))*parametros_manuales!$J$105+parametros_manuales!$G$32*(datos_base!$D$5+datos_base!$D$21+IF(parametros_manuales!$H$32="Todos",datos_base!$D$12+datos_base!$D$26,0))*parametros_manuales!$J$110)*parametros_manuales!$I$32*parametros_manuales!$J$32</f>
        <v>1980.316852492</v>
      </c>
      <c r="K69" s="9" t="n">
        <f aca="false">(parametros_manuales!$D$32*(datos_base!$D$2+datos_base!$D$18+IF(parametros_manuales!$H$32="Todos",datos_base!$D$9+datos_base!$D$23,0))*parametros_manuales!$K$95+parametros_manuales!$E$32*(datos_base!$D$3+datos_base!$D$19+IF(parametros_manuales!$H$32="Todos",datos_base!$D$10+datos_base!$D$24,0))*parametros_manuales!$K$100+parametros_manuales!$F$32*(datos_base!$D$4+datos_base!$D$20+IF(parametros_manuales!$H$32="Todos",datos_base!$D$11+datos_base!$D$25,0))*parametros_manuales!$K$105+parametros_manuales!$G$32*(datos_base!$D$5+datos_base!$D$21+IF(parametros_manuales!$H$32="Todos",datos_base!$D$12+datos_base!$D$26,0))*parametros_manuales!$K$110)*parametros_manuales!$I$32*parametros_manuales!$J$32</f>
        <v>2022.444574634</v>
      </c>
      <c r="L69" s="9" t="n">
        <f aca="false">(parametros_manuales!$D$32*(datos_base!$D$2+datos_base!$D$18+IF(parametros_manuales!$H$32="Todos",datos_base!$D$9+datos_base!$D$23,0))*parametros_manuales!$L$95+parametros_manuales!$E$32*(datos_base!$D$3+datos_base!$D$19+IF(parametros_manuales!$H$32="Todos",datos_base!$D$10+datos_base!$D$24,0))*parametros_manuales!$L$100+parametros_manuales!$F$32*(datos_base!$D$4+datos_base!$D$20+IF(parametros_manuales!$H$32="Todos",datos_base!$D$11+datos_base!$D$25,0))*parametros_manuales!$L$105+parametros_manuales!$G$32*(datos_base!$D$5+datos_base!$D$21+IF(parametros_manuales!$H$32="Todos",datos_base!$D$12+datos_base!$D$26,0))*parametros_manuales!$L$110)*parametros_manuales!$I$32*parametros_manuales!$J$32</f>
        <v>2064.572296776</v>
      </c>
      <c r="M69" s="9" t="n">
        <f aca="false">(parametros_manuales!$D$32*(datos_base!$D$2+datos_base!$D$18+IF(parametros_manuales!$H$32="Todos",datos_base!$D$9+datos_base!$D$23,0))*parametros_manuales!$M$95+parametros_manuales!$E$32*(datos_base!$D$3+datos_base!$D$19+IF(parametros_manuales!$H$32="Todos",datos_base!$D$10+datos_base!$D$24,0))*parametros_manuales!$M$100+parametros_manuales!$F$32*(datos_base!$D$4+datos_base!$D$20+IF(parametros_manuales!$H$32="Todos",datos_base!$D$11+datos_base!$D$25,0))*parametros_manuales!$M$105+parametros_manuales!$G$32*(datos_base!$D$5+datos_base!$D$21+IF(parametros_manuales!$H$32="Todos",datos_base!$D$12+datos_base!$D$26,0))*parametros_manuales!$M$110)*parametros_manuales!$I$32*parametros_manuales!$J$32</f>
        <v>2064.572296776</v>
      </c>
      <c r="N69" s="9" t="n">
        <f aca="false">SUM(B69:M69)</f>
        <v>22939.6921864</v>
      </c>
      <c r="O69" s="9" t="n">
        <f aca="false">MAX(B69:M69)</f>
        <v>2064.572296776</v>
      </c>
      <c r="P69" s="43" t="n">
        <f aca="false">O69/(parametros_manuales!$B$7)</f>
        <v>13.76381531184</v>
      </c>
      <c r="Q69" s="8" t="str">
        <f aca="false">IF(O69=0,"-",INDEX($B$55:$M$55,MATCH(O69,B69:M69,0)))</f>
        <v>Ene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datos_base!$D$2+datos_base!$D$18+IF(parametros_manuales!$H$33="Todos",datos_base!$D$9+datos_base!$D$23,0))*parametros_manuales!$B$95+parametros_manuales!$E$33*(datos_base!$D$3+datos_base!$D$19+IF(parametros_manuales!$H$33="Todos",datos_base!$D$10+datos_base!$D$24,0))*parametros_manuales!$B$100+parametros_manuales!$F$33*(datos_base!$D$4+datos_base!$D$20+IF(parametros_manuales!$H$33="Todos",datos_base!$D$11+datos_base!$D$25,0))*parametros_manuales!$B$105+parametros_manuales!$G$33*(datos_base!$D$5+datos_base!$D$21+IF(parametros_manuales!$H$33="Todos",datos_base!$D$12+datos_base!$D$26,0))*parametros_manuales!$B$110)*parametros_manuales!$I$33*parametros_manuales!$J$33</f>
        <v>2064.572296776</v>
      </c>
      <c r="C70" s="9" t="n">
        <f aca="false">(parametros_manuales!$D$33*(datos_base!$D$2+datos_base!$D$18+IF(parametros_manuales!$H$33="Todos",datos_base!$D$9+datos_base!$D$23,0))*parametros_manuales!$C$95+parametros_manuales!$E$33*(datos_base!$D$3+datos_base!$D$19+IF(parametros_manuales!$H$33="Todos",datos_base!$D$10+datos_base!$D$24,0))*parametros_manuales!$C$100+parametros_manuales!$F$33*(datos_base!$D$4+datos_base!$D$20+IF(parametros_manuales!$H$33="Todos",datos_base!$D$11+datos_base!$D$25,0))*parametros_manuales!$C$105+parametros_manuales!$G$33*(datos_base!$D$5+datos_base!$D$21+IF(parametros_manuales!$H$33="Todos",datos_base!$D$12+datos_base!$D$26,0))*parametros_manuales!$C$110)*parametros_manuales!$I$33*parametros_manuales!$J$33</f>
        <v>1980.316852492</v>
      </c>
      <c r="D70" s="9" t="n">
        <f aca="false">(parametros_manuales!$D$33*(datos_base!$D$2+datos_base!$D$18+IF(parametros_manuales!$H$33="Todos",datos_base!$D$9+datos_base!$D$23,0))*parametros_manuales!$D$95+parametros_manuales!$E$33*(datos_base!$D$3+datos_base!$D$19+IF(parametros_manuales!$H$33="Todos",datos_base!$D$10+datos_base!$D$24,0))*parametros_manuales!$D$100+parametros_manuales!$F$33*(datos_base!$D$4+datos_base!$D$20+IF(parametros_manuales!$H$33="Todos",datos_base!$D$11+datos_base!$D$25,0))*parametros_manuales!$D$105+parametros_manuales!$G$33*(datos_base!$D$5+datos_base!$D$21+IF(parametros_manuales!$H$33="Todos",datos_base!$D$12+datos_base!$D$26,0))*parametros_manuales!$D$110)*parametros_manuales!$I$33*parametros_manuales!$J$33</f>
        <v>1877.303097054</v>
      </c>
      <c r="E70" s="9" t="n">
        <f aca="false">(parametros_manuales!$D$33*(datos_base!$D$2+datos_base!$D$18+IF(parametros_manuales!$H$33="Todos",datos_base!$D$9+datos_base!$D$23,0))*parametros_manuales!$E$95+parametros_manuales!$E$33*(datos_base!$D$3+datos_base!$D$19+IF(parametros_manuales!$H$33="Todos",datos_base!$D$10+datos_base!$D$24,0))*parametros_manuales!$E$100+parametros_manuales!$F$33*(datos_base!$D$4+datos_base!$D$20+IF(parametros_manuales!$H$33="Todos",datos_base!$D$11+datos_base!$D$25,0))*parametros_manuales!$E$105+parametros_manuales!$G$33*(datos_base!$D$5+datos_base!$D$21+IF(parametros_manuales!$H$33="Todos",datos_base!$D$12+datos_base!$D$26,0))*parametros_manuales!$E$110)*parametros_manuales!$I$33*parametros_manuales!$J$33</f>
        <v>1804.732358264</v>
      </c>
      <c r="F70" s="9" t="n">
        <f aca="false">(parametros_manuales!$D$33*(datos_base!$D$2+datos_base!$D$18+IF(parametros_manuales!$H$33="Todos",datos_base!$D$9+datos_base!$D$23,0))*parametros_manuales!$F$95+parametros_manuales!$E$33*(datos_base!$D$3+datos_base!$D$19+IF(parametros_manuales!$H$33="Todos",datos_base!$D$10+datos_base!$D$24,0))*parametros_manuales!$F$100+parametros_manuales!$F$33*(datos_base!$D$4+datos_base!$D$20+IF(parametros_manuales!$H$33="Todos",datos_base!$D$11+datos_base!$D$25,0))*parametros_manuales!$F$105+parametros_manuales!$G$33*(datos_base!$D$5+datos_base!$D$21+IF(parametros_manuales!$H$33="Todos",datos_base!$D$12+datos_base!$D$26,0))*parametros_manuales!$F$110)*parametros_manuales!$I$33*parametros_manuales!$J$33</f>
        <v>1690.033897332</v>
      </c>
      <c r="G70" s="9" t="n">
        <f aca="false">(parametros_manuales!$D$33*(datos_base!$D$2+datos_base!$D$18+IF(parametros_manuales!$H$33="Todos",datos_base!$D$9+datos_base!$D$23,0))*parametros_manuales!$G$95+parametros_manuales!$E$33*(datos_base!$D$3+datos_base!$D$19+IF(parametros_manuales!$H$33="Todos",datos_base!$D$10+datos_base!$D$24,0))*parametros_manuales!$G$100+parametros_manuales!$F$33*(datos_base!$D$4+datos_base!$D$20+IF(parametros_manuales!$H$33="Todos",datos_base!$D$11+datos_base!$D$25,0))*parametros_manuales!$G$105+parametros_manuales!$G$33*(datos_base!$D$5+datos_base!$D$21+IF(parametros_manuales!$H$33="Todos",datos_base!$D$12+datos_base!$D$26,0))*parametros_manuales!$G$110)*parametros_manuales!$I$33*parametros_manuales!$J$33</f>
        <v>1647.90617519</v>
      </c>
      <c r="H70" s="9" t="n">
        <f aca="false">(parametros_manuales!$D$33*(datos_base!$D$2+datos_base!$D$18+IF(parametros_manuales!$H$33="Todos",datos_base!$D$9+datos_base!$D$23,0))*parametros_manuales!$H$95+parametros_manuales!$E$33*(datos_base!$D$3+datos_base!$D$19+IF(parametros_manuales!$H$33="Todos",datos_base!$D$10+datos_base!$D$24,0))*parametros_manuales!$H$100+parametros_manuales!$F$33*(datos_base!$D$4+datos_base!$D$20+IF(parametros_manuales!$H$33="Todos",datos_base!$D$11+datos_base!$D$25,0))*parametros_manuales!$H$105+parametros_manuales!$G$33*(datos_base!$D$5+datos_base!$D$21+IF(parametros_manuales!$H$33="Todos",datos_base!$D$12+datos_base!$D$26,0))*parametros_manuales!$H$110)*parametros_manuales!$I$33*parametros_manuales!$J$33</f>
        <v>1762.604636122</v>
      </c>
      <c r="I70" s="9" t="n">
        <f aca="false">(parametros_manuales!$D$33*(datos_base!$D$2+datos_base!$D$18+IF(parametros_manuales!$H$33="Todos",datos_base!$D$9+datos_base!$D$23,0))*parametros_manuales!$I$95+parametros_manuales!$E$33*(datos_base!$D$3+datos_base!$D$19+IF(parametros_manuales!$H$33="Todos",datos_base!$D$10+datos_base!$D$24,0))*parametros_manuales!$I$100+parametros_manuales!$F$33*(datos_base!$D$4+datos_base!$D$20+IF(parametros_manuales!$H$33="Todos",datos_base!$D$11+datos_base!$D$25,0))*parametros_manuales!$I$105+parametros_manuales!$G$33*(datos_base!$D$5+datos_base!$D$21+IF(parametros_manuales!$H$33="Todos",datos_base!$D$12+datos_base!$D$26,0))*parametros_manuales!$I$110)*parametros_manuales!$I$33*parametros_manuales!$J$33</f>
        <v>1980.316852492</v>
      </c>
      <c r="J70" s="9" t="n">
        <f aca="false">(parametros_manuales!$D$33*(datos_base!$D$2+datos_base!$D$18+IF(parametros_manuales!$H$33="Todos",datos_base!$D$9+datos_base!$D$23,0))*parametros_manuales!$J$95+parametros_manuales!$E$33*(datos_base!$D$3+datos_base!$D$19+IF(parametros_manuales!$H$33="Todos",datos_base!$D$10+datos_base!$D$24,0))*parametros_manuales!$J$100+parametros_manuales!$F$33*(datos_base!$D$4+datos_base!$D$20+IF(parametros_manuales!$H$33="Todos",datos_base!$D$11+datos_base!$D$25,0))*parametros_manuales!$J$105+parametros_manuales!$G$33*(datos_base!$D$5+datos_base!$D$21+IF(parametros_manuales!$H$33="Todos",datos_base!$D$12+datos_base!$D$26,0))*parametros_manuales!$J$110)*parametros_manuales!$I$33*parametros_manuales!$J$33</f>
        <v>1980.316852492</v>
      </c>
      <c r="K70" s="9" t="n">
        <f aca="false">(parametros_manuales!$D$33*(datos_base!$D$2+datos_base!$D$18+IF(parametros_manuales!$H$33="Todos",datos_base!$D$9+datos_base!$D$23,0))*parametros_manuales!$K$95+parametros_manuales!$E$33*(datos_base!$D$3+datos_base!$D$19+IF(parametros_manuales!$H$33="Todos",datos_base!$D$10+datos_base!$D$24,0))*parametros_manuales!$K$100+parametros_manuales!$F$33*(datos_base!$D$4+datos_base!$D$20+IF(parametros_manuales!$H$33="Todos",datos_base!$D$11+datos_base!$D$25,0))*parametros_manuales!$K$105+parametros_manuales!$G$33*(datos_base!$D$5+datos_base!$D$21+IF(parametros_manuales!$H$33="Todos",datos_base!$D$12+datos_base!$D$26,0))*parametros_manuales!$K$110)*parametros_manuales!$I$33*parametros_manuales!$J$33</f>
        <v>2022.444574634</v>
      </c>
      <c r="L70" s="9" t="n">
        <f aca="false">(parametros_manuales!$D$33*(datos_base!$D$2+datos_base!$D$18+IF(parametros_manuales!$H$33="Todos",datos_base!$D$9+datos_base!$D$23,0))*parametros_manuales!$L$95+parametros_manuales!$E$33*(datos_base!$D$3+datos_base!$D$19+IF(parametros_manuales!$H$33="Todos",datos_base!$D$10+datos_base!$D$24,0))*parametros_manuales!$L$100+parametros_manuales!$F$33*(datos_base!$D$4+datos_base!$D$20+IF(parametros_manuales!$H$33="Todos",datos_base!$D$11+datos_base!$D$25,0))*parametros_manuales!$L$105+parametros_manuales!$G$33*(datos_base!$D$5+datos_base!$D$21+IF(parametros_manuales!$H$33="Todos",datos_base!$D$12+datos_base!$D$26,0))*parametros_manuales!$L$110)*parametros_manuales!$I$33*parametros_manuales!$J$33</f>
        <v>2064.572296776</v>
      </c>
      <c r="M70" s="9" t="n">
        <f aca="false">(parametros_manuales!$D$33*(datos_base!$D$2+datos_base!$D$18+IF(parametros_manuales!$H$33="Todos",datos_base!$D$9+datos_base!$D$23,0))*parametros_manuales!$M$95+parametros_manuales!$E$33*(datos_base!$D$3+datos_base!$D$19+IF(parametros_manuales!$H$33="Todos",datos_base!$D$10+datos_base!$D$24,0))*parametros_manuales!$M$100+parametros_manuales!$F$33*(datos_base!$D$4+datos_base!$D$20+IF(parametros_manuales!$H$33="Todos",datos_base!$D$11+datos_base!$D$25,0))*parametros_manuales!$M$105+parametros_manuales!$G$33*(datos_base!$D$5+datos_base!$D$21+IF(parametros_manuales!$H$33="Todos",datos_base!$D$12+datos_base!$D$26,0))*parametros_manuales!$M$110)*parametros_manuales!$I$33*parametros_manuales!$J$33</f>
        <v>2064.572296776</v>
      </c>
      <c r="N70" s="9" t="n">
        <f aca="false">SUM(B70:M70)</f>
        <v>22939.6921864</v>
      </c>
      <c r="O70" s="9" t="n">
        <f aca="false">MAX(B70:M70)</f>
        <v>2064.572296776</v>
      </c>
      <c r="P70" s="43" t="n">
        <f aca="false">O70/(parametros_manuales!$B$7)</f>
        <v>13.76381531184</v>
      </c>
      <c r="Q70" s="8" t="str">
        <f aca="false">IF(O70=0,"-",INDEX($B$55:$M$55,MATCH(O70,B70:M70,0)))</f>
        <v>Ene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datos_base!$D$2+datos_base!$D$18+IF(parametros_manuales!$H$34="Todos",datos_base!$D$9+datos_base!$D$23,0))*parametros_manuales!$B$95+parametros_manuales!$E$34*(datos_base!$D$3+datos_base!$D$19+IF(parametros_manuales!$H$34="Todos",datos_base!$D$10+datos_base!$D$24,0))*parametros_manuales!$B$100+parametros_manuales!$F$34*(datos_base!$D$4+datos_base!$D$20+IF(parametros_manuales!$H$34="Todos",datos_base!$D$11+datos_base!$D$25,0))*parametros_manuales!$B$105+parametros_manuales!$G$34*(datos_base!$D$5+datos_base!$D$21+IF(parametros_manuales!$H$34="Todos",datos_base!$D$12+datos_base!$D$26,0))*parametros_manuales!$B$110)*parametros_manuales!$I$34*parametros_manuales!$J$34</f>
        <v>2064.572296776</v>
      </c>
      <c r="C71" s="9" t="n">
        <f aca="false">(parametros_manuales!$D$34*(datos_base!$D$2+datos_base!$D$18+IF(parametros_manuales!$H$34="Todos",datos_base!$D$9+datos_base!$D$23,0))*parametros_manuales!$C$95+parametros_manuales!$E$34*(datos_base!$D$3+datos_base!$D$19+IF(parametros_manuales!$H$34="Todos",datos_base!$D$10+datos_base!$D$24,0))*parametros_manuales!$C$100+parametros_manuales!$F$34*(datos_base!$D$4+datos_base!$D$20+IF(parametros_manuales!$H$34="Todos",datos_base!$D$11+datos_base!$D$25,0))*parametros_manuales!$C$105+parametros_manuales!$G$34*(datos_base!$D$5+datos_base!$D$21+IF(parametros_manuales!$H$34="Todos",datos_base!$D$12+datos_base!$D$26,0))*parametros_manuales!$C$110)*parametros_manuales!$I$34*parametros_manuales!$J$34</f>
        <v>1980.316852492</v>
      </c>
      <c r="D71" s="9" t="n">
        <f aca="false">(parametros_manuales!$D$34*(datos_base!$D$2+datos_base!$D$18+IF(parametros_manuales!$H$34="Todos",datos_base!$D$9+datos_base!$D$23,0))*parametros_manuales!$D$95+parametros_manuales!$E$34*(datos_base!$D$3+datos_base!$D$19+IF(parametros_manuales!$H$34="Todos",datos_base!$D$10+datos_base!$D$24,0))*parametros_manuales!$D$100+parametros_manuales!$F$34*(datos_base!$D$4+datos_base!$D$20+IF(parametros_manuales!$H$34="Todos",datos_base!$D$11+datos_base!$D$25,0))*parametros_manuales!$D$105+parametros_manuales!$G$34*(datos_base!$D$5+datos_base!$D$21+IF(parametros_manuales!$H$34="Todos",datos_base!$D$12+datos_base!$D$26,0))*parametros_manuales!$D$110)*parametros_manuales!$I$34*parametros_manuales!$J$34</f>
        <v>1877.303097054</v>
      </c>
      <c r="E71" s="9" t="n">
        <f aca="false">(parametros_manuales!$D$34*(datos_base!$D$2+datos_base!$D$18+IF(parametros_manuales!$H$34="Todos",datos_base!$D$9+datos_base!$D$23,0))*parametros_manuales!$E$95+parametros_manuales!$E$34*(datos_base!$D$3+datos_base!$D$19+IF(parametros_manuales!$H$34="Todos",datos_base!$D$10+datos_base!$D$24,0))*parametros_manuales!$E$100+parametros_manuales!$F$34*(datos_base!$D$4+datos_base!$D$20+IF(parametros_manuales!$H$34="Todos",datos_base!$D$11+datos_base!$D$25,0))*parametros_manuales!$E$105+parametros_manuales!$G$34*(datos_base!$D$5+datos_base!$D$21+IF(parametros_manuales!$H$34="Todos",datos_base!$D$12+datos_base!$D$26,0))*parametros_manuales!$E$110)*parametros_manuales!$I$34*parametros_manuales!$J$34</f>
        <v>1804.732358264</v>
      </c>
      <c r="F71" s="9" t="n">
        <f aca="false">(parametros_manuales!$D$34*(datos_base!$D$2+datos_base!$D$18+IF(parametros_manuales!$H$34="Todos",datos_base!$D$9+datos_base!$D$23,0))*parametros_manuales!$F$95+parametros_manuales!$E$34*(datos_base!$D$3+datos_base!$D$19+IF(parametros_manuales!$H$34="Todos",datos_base!$D$10+datos_base!$D$24,0))*parametros_manuales!$F$100+parametros_manuales!$F$34*(datos_base!$D$4+datos_base!$D$20+IF(parametros_manuales!$H$34="Todos",datos_base!$D$11+datos_base!$D$25,0))*parametros_manuales!$F$105+parametros_manuales!$G$34*(datos_base!$D$5+datos_base!$D$21+IF(parametros_manuales!$H$34="Todos",datos_base!$D$12+datos_base!$D$26,0))*parametros_manuales!$F$110)*parametros_manuales!$I$34*parametros_manuales!$J$34</f>
        <v>1690.033897332</v>
      </c>
      <c r="G71" s="9" t="n">
        <f aca="false">(parametros_manuales!$D$34*(datos_base!$D$2+datos_base!$D$18+IF(parametros_manuales!$H$34="Todos",datos_base!$D$9+datos_base!$D$23,0))*parametros_manuales!$G$95+parametros_manuales!$E$34*(datos_base!$D$3+datos_base!$D$19+IF(parametros_manuales!$H$34="Todos",datos_base!$D$10+datos_base!$D$24,0))*parametros_manuales!$G$100+parametros_manuales!$F$34*(datos_base!$D$4+datos_base!$D$20+IF(parametros_manuales!$H$34="Todos",datos_base!$D$11+datos_base!$D$25,0))*parametros_manuales!$G$105+parametros_manuales!$G$34*(datos_base!$D$5+datos_base!$D$21+IF(parametros_manuales!$H$34="Todos",datos_base!$D$12+datos_base!$D$26,0))*parametros_manuales!$G$110)*parametros_manuales!$I$34*parametros_manuales!$J$34</f>
        <v>1647.90617519</v>
      </c>
      <c r="H71" s="9" t="n">
        <f aca="false">(parametros_manuales!$D$34*(datos_base!$D$2+datos_base!$D$18+IF(parametros_manuales!$H$34="Todos",datos_base!$D$9+datos_base!$D$23,0))*parametros_manuales!$H$95+parametros_manuales!$E$34*(datos_base!$D$3+datos_base!$D$19+IF(parametros_manuales!$H$34="Todos",datos_base!$D$10+datos_base!$D$24,0))*parametros_manuales!$H$100+parametros_manuales!$F$34*(datos_base!$D$4+datos_base!$D$20+IF(parametros_manuales!$H$34="Todos",datos_base!$D$11+datos_base!$D$25,0))*parametros_manuales!$H$105+parametros_manuales!$G$34*(datos_base!$D$5+datos_base!$D$21+IF(parametros_manuales!$H$34="Todos",datos_base!$D$12+datos_base!$D$26,0))*parametros_manuales!$H$110)*parametros_manuales!$I$34*parametros_manuales!$J$34</f>
        <v>1762.604636122</v>
      </c>
      <c r="I71" s="9" t="n">
        <f aca="false">(parametros_manuales!$D$34*(datos_base!$D$2+datos_base!$D$18+IF(parametros_manuales!$H$34="Todos",datos_base!$D$9+datos_base!$D$23,0))*parametros_manuales!$I$95+parametros_manuales!$E$34*(datos_base!$D$3+datos_base!$D$19+IF(parametros_manuales!$H$34="Todos",datos_base!$D$10+datos_base!$D$24,0))*parametros_manuales!$I$100+parametros_manuales!$F$34*(datos_base!$D$4+datos_base!$D$20+IF(parametros_manuales!$H$34="Todos",datos_base!$D$11+datos_base!$D$25,0))*parametros_manuales!$I$105+parametros_manuales!$G$34*(datos_base!$D$5+datos_base!$D$21+IF(parametros_manuales!$H$34="Todos",datos_base!$D$12+datos_base!$D$26,0))*parametros_manuales!$I$110)*parametros_manuales!$I$34*parametros_manuales!$J$34</f>
        <v>1980.316852492</v>
      </c>
      <c r="J71" s="9" t="n">
        <f aca="false">(parametros_manuales!$D$34*(datos_base!$D$2+datos_base!$D$18+IF(parametros_manuales!$H$34="Todos",datos_base!$D$9+datos_base!$D$23,0))*parametros_manuales!$J$95+parametros_manuales!$E$34*(datos_base!$D$3+datos_base!$D$19+IF(parametros_manuales!$H$34="Todos",datos_base!$D$10+datos_base!$D$24,0))*parametros_manuales!$J$100+parametros_manuales!$F$34*(datos_base!$D$4+datos_base!$D$20+IF(parametros_manuales!$H$34="Todos",datos_base!$D$11+datos_base!$D$25,0))*parametros_manuales!$J$105+parametros_manuales!$G$34*(datos_base!$D$5+datos_base!$D$21+IF(parametros_manuales!$H$34="Todos",datos_base!$D$12+datos_base!$D$26,0))*parametros_manuales!$J$110)*parametros_manuales!$I$34*parametros_manuales!$J$34</f>
        <v>1980.316852492</v>
      </c>
      <c r="K71" s="9" t="n">
        <f aca="false">(parametros_manuales!$D$34*(datos_base!$D$2+datos_base!$D$18+IF(parametros_manuales!$H$34="Todos",datos_base!$D$9+datos_base!$D$23,0))*parametros_manuales!$K$95+parametros_manuales!$E$34*(datos_base!$D$3+datos_base!$D$19+IF(parametros_manuales!$H$34="Todos",datos_base!$D$10+datos_base!$D$24,0))*parametros_manuales!$K$100+parametros_manuales!$F$34*(datos_base!$D$4+datos_base!$D$20+IF(parametros_manuales!$H$34="Todos",datos_base!$D$11+datos_base!$D$25,0))*parametros_manuales!$K$105+parametros_manuales!$G$34*(datos_base!$D$5+datos_base!$D$21+IF(parametros_manuales!$H$34="Todos",datos_base!$D$12+datos_base!$D$26,0))*parametros_manuales!$K$110)*parametros_manuales!$I$34*parametros_manuales!$J$34</f>
        <v>2022.444574634</v>
      </c>
      <c r="L71" s="9" t="n">
        <f aca="false">(parametros_manuales!$D$34*(datos_base!$D$2+datos_base!$D$18+IF(parametros_manuales!$H$34="Todos",datos_base!$D$9+datos_base!$D$23,0))*parametros_manuales!$L$95+parametros_manuales!$E$34*(datos_base!$D$3+datos_base!$D$19+IF(parametros_manuales!$H$34="Todos",datos_base!$D$10+datos_base!$D$24,0))*parametros_manuales!$L$100+parametros_manuales!$F$34*(datos_base!$D$4+datos_base!$D$20+IF(parametros_manuales!$H$34="Todos",datos_base!$D$11+datos_base!$D$25,0))*parametros_manuales!$L$105+parametros_manuales!$G$34*(datos_base!$D$5+datos_base!$D$21+IF(parametros_manuales!$H$34="Todos",datos_base!$D$12+datos_base!$D$26,0))*parametros_manuales!$L$110)*parametros_manuales!$I$34*parametros_manuales!$J$34</f>
        <v>2064.572296776</v>
      </c>
      <c r="M71" s="9" t="n">
        <f aca="false">(parametros_manuales!$D$34*(datos_base!$D$2+datos_base!$D$18+IF(parametros_manuales!$H$34="Todos",datos_base!$D$9+datos_base!$D$23,0))*parametros_manuales!$M$95+parametros_manuales!$E$34*(datos_base!$D$3+datos_base!$D$19+IF(parametros_manuales!$H$34="Todos",datos_base!$D$10+datos_base!$D$24,0))*parametros_manuales!$M$100+parametros_manuales!$F$34*(datos_base!$D$4+datos_base!$D$20+IF(parametros_manuales!$H$34="Todos",datos_base!$D$11+datos_base!$D$25,0))*parametros_manuales!$M$105+parametros_manuales!$G$34*(datos_base!$D$5+datos_base!$D$21+IF(parametros_manuales!$H$34="Todos",datos_base!$D$12+datos_base!$D$26,0))*parametros_manuales!$M$110)*parametros_manuales!$I$34*parametros_manuales!$J$34</f>
        <v>2064.572296776</v>
      </c>
      <c r="N71" s="9" t="n">
        <f aca="false">SUM(B71:M71)</f>
        <v>22939.6921864</v>
      </c>
      <c r="O71" s="9" t="n">
        <f aca="false">MAX(B71:M71)</f>
        <v>2064.572296776</v>
      </c>
      <c r="P71" s="43" t="n">
        <f aca="false">O71/(parametros_manuales!$B$7)</f>
        <v>13.76381531184</v>
      </c>
      <c r="Q71" s="8" t="str">
        <f aca="false">IF(O71=0,"-",INDEX($B$55:$M$55,MATCH(O71,B71:M71,0)))</f>
        <v>Ene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datos_base!$D$2+datos_base!$D$18+IF(parametros_manuales!$H$35="Todos",datos_base!$D$9+datos_base!$D$23,0))*parametros_manuales!$B$95+parametros_manuales!$E$35*(datos_base!$D$3+datos_base!$D$19+IF(parametros_manuales!$H$35="Todos",datos_base!$D$10+datos_base!$D$24,0))*parametros_manuales!$B$100+parametros_manuales!$F$35*(datos_base!$D$4+datos_base!$D$20+IF(parametros_manuales!$H$35="Todos",datos_base!$D$11+datos_base!$D$25,0))*parametros_manuales!$B$105+parametros_manuales!$G$35*(datos_base!$D$5+datos_base!$D$21+IF(parametros_manuales!$H$35="Todos",datos_base!$D$12+datos_base!$D$26,0))*parametros_manuales!$B$110)*parametros_manuales!$I$35*parametros_manuales!$J$35</f>
        <v>2064.572296776</v>
      </c>
      <c r="C72" s="9" t="n">
        <f aca="false">(parametros_manuales!$D$35*(datos_base!$D$2+datos_base!$D$18+IF(parametros_manuales!$H$35="Todos",datos_base!$D$9+datos_base!$D$23,0))*parametros_manuales!$C$95+parametros_manuales!$E$35*(datos_base!$D$3+datos_base!$D$19+IF(parametros_manuales!$H$35="Todos",datos_base!$D$10+datos_base!$D$24,0))*parametros_manuales!$C$100+parametros_manuales!$F$35*(datos_base!$D$4+datos_base!$D$20+IF(parametros_manuales!$H$35="Todos",datos_base!$D$11+datos_base!$D$25,0))*parametros_manuales!$C$105+parametros_manuales!$G$35*(datos_base!$D$5+datos_base!$D$21+IF(parametros_manuales!$H$35="Todos",datos_base!$D$12+datos_base!$D$26,0))*parametros_manuales!$C$110)*parametros_manuales!$I$35*parametros_manuales!$J$35</f>
        <v>1980.316852492</v>
      </c>
      <c r="D72" s="9" t="n">
        <f aca="false">(parametros_manuales!$D$35*(datos_base!$D$2+datos_base!$D$18+IF(parametros_manuales!$H$35="Todos",datos_base!$D$9+datos_base!$D$23,0))*parametros_manuales!$D$95+parametros_manuales!$E$35*(datos_base!$D$3+datos_base!$D$19+IF(parametros_manuales!$H$35="Todos",datos_base!$D$10+datos_base!$D$24,0))*parametros_manuales!$D$100+parametros_manuales!$F$35*(datos_base!$D$4+datos_base!$D$20+IF(parametros_manuales!$H$35="Todos",datos_base!$D$11+datos_base!$D$25,0))*parametros_manuales!$D$105+parametros_manuales!$G$35*(datos_base!$D$5+datos_base!$D$21+IF(parametros_manuales!$H$35="Todos",datos_base!$D$12+datos_base!$D$26,0))*parametros_manuales!$D$110)*parametros_manuales!$I$35*parametros_manuales!$J$35</f>
        <v>1877.303097054</v>
      </c>
      <c r="E72" s="9" t="n">
        <f aca="false">(parametros_manuales!$D$35*(datos_base!$D$2+datos_base!$D$18+IF(parametros_manuales!$H$35="Todos",datos_base!$D$9+datos_base!$D$23,0))*parametros_manuales!$E$95+parametros_manuales!$E$35*(datos_base!$D$3+datos_base!$D$19+IF(parametros_manuales!$H$35="Todos",datos_base!$D$10+datos_base!$D$24,0))*parametros_manuales!$E$100+parametros_manuales!$F$35*(datos_base!$D$4+datos_base!$D$20+IF(parametros_manuales!$H$35="Todos",datos_base!$D$11+datos_base!$D$25,0))*parametros_manuales!$E$105+parametros_manuales!$G$35*(datos_base!$D$5+datos_base!$D$21+IF(parametros_manuales!$H$35="Todos",datos_base!$D$12+datos_base!$D$26,0))*parametros_manuales!$E$110)*parametros_manuales!$I$35*parametros_manuales!$J$35</f>
        <v>1804.732358264</v>
      </c>
      <c r="F72" s="9" t="n">
        <f aca="false">(parametros_manuales!$D$35*(datos_base!$D$2+datos_base!$D$18+IF(parametros_manuales!$H$35="Todos",datos_base!$D$9+datos_base!$D$23,0))*parametros_manuales!$F$95+parametros_manuales!$E$35*(datos_base!$D$3+datos_base!$D$19+IF(parametros_manuales!$H$35="Todos",datos_base!$D$10+datos_base!$D$24,0))*parametros_manuales!$F$100+parametros_manuales!$F$35*(datos_base!$D$4+datos_base!$D$20+IF(parametros_manuales!$H$35="Todos",datos_base!$D$11+datos_base!$D$25,0))*parametros_manuales!$F$105+parametros_manuales!$G$35*(datos_base!$D$5+datos_base!$D$21+IF(parametros_manuales!$H$35="Todos",datos_base!$D$12+datos_base!$D$26,0))*parametros_manuales!$F$110)*parametros_manuales!$I$35*parametros_manuales!$J$35</f>
        <v>1690.033897332</v>
      </c>
      <c r="G72" s="9" t="n">
        <f aca="false">(parametros_manuales!$D$35*(datos_base!$D$2+datos_base!$D$18+IF(parametros_manuales!$H$35="Todos",datos_base!$D$9+datos_base!$D$23,0))*parametros_manuales!$G$95+parametros_manuales!$E$35*(datos_base!$D$3+datos_base!$D$19+IF(parametros_manuales!$H$35="Todos",datos_base!$D$10+datos_base!$D$24,0))*parametros_manuales!$G$100+parametros_manuales!$F$35*(datos_base!$D$4+datos_base!$D$20+IF(parametros_manuales!$H$35="Todos",datos_base!$D$11+datos_base!$D$25,0))*parametros_manuales!$G$105+parametros_manuales!$G$35*(datos_base!$D$5+datos_base!$D$21+IF(parametros_manuales!$H$35="Todos",datos_base!$D$12+datos_base!$D$26,0))*parametros_manuales!$G$110)*parametros_manuales!$I$35*parametros_manuales!$J$35</f>
        <v>1647.90617519</v>
      </c>
      <c r="H72" s="9" t="n">
        <f aca="false">(parametros_manuales!$D$35*(datos_base!$D$2+datos_base!$D$18+IF(parametros_manuales!$H$35="Todos",datos_base!$D$9+datos_base!$D$23,0))*parametros_manuales!$H$95+parametros_manuales!$E$35*(datos_base!$D$3+datos_base!$D$19+IF(parametros_manuales!$H$35="Todos",datos_base!$D$10+datos_base!$D$24,0))*parametros_manuales!$H$100+parametros_manuales!$F$35*(datos_base!$D$4+datos_base!$D$20+IF(parametros_manuales!$H$35="Todos",datos_base!$D$11+datos_base!$D$25,0))*parametros_manuales!$H$105+parametros_manuales!$G$35*(datos_base!$D$5+datos_base!$D$21+IF(parametros_manuales!$H$35="Todos",datos_base!$D$12+datos_base!$D$26,0))*parametros_manuales!$H$110)*parametros_manuales!$I$35*parametros_manuales!$J$35</f>
        <v>1762.604636122</v>
      </c>
      <c r="I72" s="9" t="n">
        <f aca="false">(parametros_manuales!$D$35*(datos_base!$D$2+datos_base!$D$18+IF(parametros_manuales!$H$35="Todos",datos_base!$D$9+datos_base!$D$23,0))*parametros_manuales!$I$95+parametros_manuales!$E$35*(datos_base!$D$3+datos_base!$D$19+IF(parametros_manuales!$H$35="Todos",datos_base!$D$10+datos_base!$D$24,0))*parametros_manuales!$I$100+parametros_manuales!$F$35*(datos_base!$D$4+datos_base!$D$20+IF(parametros_manuales!$H$35="Todos",datos_base!$D$11+datos_base!$D$25,0))*parametros_manuales!$I$105+parametros_manuales!$G$35*(datos_base!$D$5+datos_base!$D$21+IF(parametros_manuales!$H$35="Todos",datos_base!$D$12+datos_base!$D$26,0))*parametros_manuales!$I$110)*parametros_manuales!$I$35*parametros_manuales!$J$35</f>
        <v>1980.316852492</v>
      </c>
      <c r="J72" s="9" t="n">
        <f aca="false">(parametros_manuales!$D$35*(datos_base!$D$2+datos_base!$D$18+IF(parametros_manuales!$H$35="Todos",datos_base!$D$9+datos_base!$D$23,0))*parametros_manuales!$J$95+parametros_manuales!$E$35*(datos_base!$D$3+datos_base!$D$19+IF(parametros_manuales!$H$35="Todos",datos_base!$D$10+datos_base!$D$24,0))*parametros_manuales!$J$100+parametros_manuales!$F$35*(datos_base!$D$4+datos_base!$D$20+IF(parametros_manuales!$H$35="Todos",datos_base!$D$11+datos_base!$D$25,0))*parametros_manuales!$J$105+parametros_manuales!$G$35*(datos_base!$D$5+datos_base!$D$21+IF(parametros_manuales!$H$35="Todos",datos_base!$D$12+datos_base!$D$26,0))*parametros_manuales!$J$110)*parametros_manuales!$I$35*parametros_manuales!$J$35</f>
        <v>1980.316852492</v>
      </c>
      <c r="K72" s="9" t="n">
        <f aca="false">(parametros_manuales!$D$35*(datos_base!$D$2+datos_base!$D$18+IF(parametros_manuales!$H$35="Todos",datos_base!$D$9+datos_base!$D$23,0))*parametros_manuales!$K$95+parametros_manuales!$E$35*(datos_base!$D$3+datos_base!$D$19+IF(parametros_manuales!$H$35="Todos",datos_base!$D$10+datos_base!$D$24,0))*parametros_manuales!$K$100+parametros_manuales!$F$35*(datos_base!$D$4+datos_base!$D$20+IF(parametros_manuales!$H$35="Todos",datos_base!$D$11+datos_base!$D$25,0))*parametros_manuales!$K$105+parametros_manuales!$G$35*(datos_base!$D$5+datos_base!$D$21+IF(parametros_manuales!$H$35="Todos",datos_base!$D$12+datos_base!$D$26,0))*parametros_manuales!$K$110)*parametros_manuales!$I$35*parametros_manuales!$J$35</f>
        <v>2022.444574634</v>
      </c>
      <c r="L72" s="9" t="n">
        <f aca="false">(parametros_manuales!$D$35*(datos_base!$D$2+datos_base!$D$18+IF(parametros_manuales!$H$35="Todos",datos_base!$D$9+datos_base!$D$23,0))*parametros_manuales!$L$95+parametros_manuales!$E$35*(datos_base!$D$3+datos_base!$D$19+IF(parametros_manuales!$H$35="Todos",datos_base!$D$10+datos_base!$D$24,0))*parametros_manuales!$L$100+parametros_manuales!$F$35*(datos_base!$D$4+datos_base!$D$20+IF(parametros_manuales!$H$35="Todos",datos_base!$D$11+datos_base!$D$25,0))*parametros_manuales!$L$105+parametros_manuales!$G$35*(datos_base!$D$5+datos_base!$D$21+IF(parametros_manuales!$H$35="Todos",datos_base!$D$12+datos_base!$D$26,0))*parametros_manuales!$L$110)*parametros_manuales!$I$35*parametros_manuales!$J$35</f>
        <v>2064.572296776</v>
      </c>
      <c r="M72" s="9" t="n">
        <f aca="false">(parametros_manuales!$D$35*(datos_base!$D$2+datos_base!$D$18+IF(parametros_manuales!$H$35="Todos",datos_base!$D$9+datos_base!$D$23,0))*parametros_manuales!$M$95+parametros_manuales!$E$35*(datos_base!$D$3+datos_base!$D$19+IF(parametros_manuales!$H$35="Todos",datos_base!$D$10+datos_base!$D$24,0))*parametros_manuales!$M$100+parametros_manuales!$F$35*(datos_base!$D$4+datos_base!$D$20+IF(parametros_manuales!$H$35="Todos",datos_base!$D$11+datos_base!$D$25,0))*parametros_manuales!$M$105+parametros_manuales!$G$35*(datos_base!$D$5+datos_base!$D$21+IF(parametros_manuales!$H$35="Todos",datos_base!$D$12+datos_base!$D$26,0))*parametros_manuales!$M$110)*parametros_manuales!$I$35*parametros_manuales!$J$35</f>
        <v>2064.572296776</v>
      </c>
      <c r="N72" s="9" t="n">
        <f aca="false">SUM(B72:M72)</f>
        <v>22939.6921864</v>
      </c>
      <c r="O72" s="9" t="n">
        <f aca="false">MAX(B72:M72)</f>
        <v>2064.572296776</v>
      </c>
      <c r="P72" s="43" t="n">
        <f aca="false">O72/(parametros_manuales!$B$7)</f>
        <v>13.76381531184</v>
      </c>
      <c r="Q72" s="8" t="str">
        <f aca="false">IF(O72=0,"-",INDEX($B$55:$M$55,MATCH(O72,B72:M72,0)))</f>
        <v>Ene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datos_base!$D$2+datos_base!$D$18+IF(parametros_manuales!$H$36="Todos",datos_base!$D$9+datos_base!$D$23,0))*parametros_manuales!$B$95+parametros_manuales!$E$36*(datos_base!$D$3+datos_base!$D$19+IF(parametros_manuales!$H$36="Todos",datos_base!$D$10+datos_base!$D$24,0))*parametros_manuales!$B$100+parametros_manuales!$F$36*(datos_base!$D$4+datos_base!$D$20+IF(parametros_manuales!$H$36="Todos",datos_base!$D$11+datos_base!$D$25,0))*parametros_manuales!$B$105+parametros_manuales!$G$36*(datos_base!$D$5+datos_base!$D$21+IF(parametros_manuales!$H$36="Todos",datos_base!$D$12+datos_base!$D$26,0))*parametros_manuales!$B$110)*parametros_manuales!$I$36*parametros_manuales!$J$36</f>
        <v>103.2286148388</v>
      </c>
      <c r="C73" s="9" t="n">
        <f aca="false">(parametros_manuales!$D$36*(datos_base!$D$2+datos_base!$D$18+IF(parametros_manuales!$H$36="Todos",datos_base!$D$9+datos_base!$D$23,0))*parametros_manuales!$C$95+parametros_manuales!$E$36*(datos_base!$D$3+datos_base!$D$19+IF(parametros_manuales!$H$36="Todos",datos_base!$D$10+datos_base!$D$24,0))*parametros_manuales!$C$100+parametros_manuales!$F$36*(datos_base!$D$4+datos_base!$D$20+IF(parametros_manuales!$H$36="Todos",datos_base!$D$11+datos_base!$D$25,0))*parametros_manuales!$C$105+parametros_manuales!$G$36*(datos_base!$D$5+datos_base!$D$21+IF(parametros_manuales!$H$36="Todos",datos_base!$D$12+datos_base!$D$26,0))*parametros_manuales!$C$110)*parametros_manuales!$I$36*parametros_manuales!$J$36</f>
        <v>99.0158426246</v>
      </c>
      <c r="D73" s="9" t="n">
        <f aca="false">(parametros_manuales!$D$36*(datos_base!$D$2+datos_base!$D$18+IF(parametros_manuales!$H$36="Todos",datos_base!$D$9+datos_base!$D$23,0))*parametros_manuales!$D$95+parametros_manuales!$E$36*(datos_base!$D$3+datos_base!$D$19+IF(parametros_manuales!$H$36="Todos",datos_base!$D$10+datos_base!$D$24,0))*parametros_manuales!$D$100+parametros_manuales!$F$36*(datos_base!$D$4+datos_base!$D$20+IF(parametros_manuales!$H$36="Todos",datos_base!$D$11+datos_base!$D$25,0))*parametros_manuales!$D$105+parametros_manuales!$G$36*(datos_base!$D$5+datos_base!$D$21+IF(parametros_manuales!$H$36="Todos",datos_base!$D$12+datos_base!$D$26,0))*parametros_manuales!$D$110)*parametros_manuales!$I$36*parametros_manuales!$J$36</f>
        <v>93.8651548527</v>
      </c>
      <c r="E73" s="9" t="n">
        <f aca="false">(parametros_manuales!$D$36*(datos_base!$D$2+datos_base!$D$18+IF(parametros_manuales!$H$36="Todos",datos_base!$D$9+datos_base!$D$23,0))*parametros_manuales!$E$95+parametros_manuales!$E$36*(datos_base!$D$3+datos_base!$D$19+IF(parametros_manuales!$H$36="Todos",datos_base!$D$10+datos_base!$D$24,0))*parametros_manuales!$E$100+parametros_manuales!$F$36*(datos_base!$D$4+datos_base!$D$20+IF(parametros_manuales!$H$36="Todos",datos_base!$D$11+datos_base!$D$25,0))*parametros_manuales!$E$105+parametros_manuales!$G$36*(datos_base!$D$5+datos_base!$D$21+IF(parametros_manuales!$H$36="Todos",datos_base!$D$12+datos_base!$D$26,0))*parametros_manuales!$E$110)*parametros_manuales!$I$36*parametros_manuales!$J$36</f>
        <v>90.2366179132</v>
      </c>
      <c r="F73" s="9" t="n">
        <f aca="false">(parametros_manuales!$D$36*(datos_base!$D$2+datos_base!$D$18+IF(parametros_manuales!$H$36="Todos",datos_base!$D$9+datos_base!$D$23,0))*parametros_manuales!$F$95+parametros_manuales!$E$36*(datos_base!$D$3+datos_base!$D$19+IF(parametros_manuales!$H$36="Todos",datos_base!$D$10+datos_base!$D$24,0))*parametros_manuales!$F$100+parametros_manuales!$F$36*(datos_base!$D$4+datos_base!$D$20+IF(parametros_manuales!$H$36="Todos",datos_base!$D$11+datos_base!$D$25,0))*parametros_manuales!$F$105+parametros_manuales!$G$36*(datos_base!$D$5+datos_base!$D$21+IF(parametros_manuales!$H$36="Todos",datos_base!$D$12+datos_base!$D$26,0))*parametros_manuales!$F$110)*parametros_manuales!$I$36*parametros_manuales!$J$36</f>
        <v>84.5016948666</v>
      </c>
      <c r="G73" s="9" t="n">
        <f aca="false">(parametros_manuales!$D$36*(datos_base!$D$2+datos_base!$D$18+IF(parametros_manuales!$H$36="Todos",datos_base!$D$9+datos_base!$D$23,0))*parametros_manuales!$G$95+parametros_manuales!$E$36*(datos_base!$D$3+datos_base!$D$19+IF(parametros_manuales!$H$36="Todos",datos_base!$D$10+datos_base!$D$24,0))*parametros_manuales!$G$100+parametros_manuales!$F$36*(datos_base!$D$4+datos_base!$D$20+IF(parametros_manuales!$H$36="Todos",datos_base!$D$11+datos_base!$D$25,0))*parametros_manuales!$G$105+parametros_manuales!$G$36*(datos_base!$D$5+datos_base!$D$21+IF(parametros_manuales!$H$36="Todos",datos_base!$D$12+datos_base!$D$26,0))*parametros_manuales!$G$110)*parametros_manuales!$I$36*parametros_manuales!$J$36</f>
        <v>82.3953087595</v>
      </c>
      <c r="H73" s="9" t="n">
        <f aca="false">(parametros_manuales!$D$36*(datos_base!$D$2+datos_base!$D$18+IF(parametros_manuales!$H$36="Todos",datos_base!$D$9+datos_base!$D$23,0))*parametros_manuales!$H$95+parametros_manuales!$E$36*(datos_base!$D$3+datos_base!$D$19+IF(parametros_manuales!$H$36="Todos",datos_base!$D$10+datos_base!$D$24,0))*parametros_manuales!$H$100+parametros_manuales!$F$36*(datos_base!$D$4+datos_base!$D$20+IF(parametros_manuales!$H$36="Todos",datos_base!$D$11+datos_base!$D$25,0))*parametros_manuales!$H$105+parametros_manuales!$G$36*(datos_base!$D$5+datos_base!$D$21+IF(parametros_manuales!$H$36="Todos",datos_base!$D$12+datos_base!$D$26,0))*parametros_manuales!$H$110)*parametros_manuales!$I$36*parametros_manuales!$J$36</f>
        <v>88.1302318061</v>
      </c>
      <c r="I73" s="9" t="n">
        <f aca="false">(parametros_manuales!$D$36*(datos_base!$D$2+datos_base!$D$18+IF(parametros_manuales!$H$36="Todos",datos_base!$D$9+datos_base!$D$23,0))*parametros_manuales!$I$95+parametros_manuales!$E$36*(datos_base!$D$3+datos_base!$D$19+IF(parametros_manuales!$H$36="Todos",datos_base!$D$10+datos_base!$D$24,0))*parametros_manuales!$I$100+parametros_manuales!$F$36*(datos_base!$D$4+datos_base!$D$20+IF(parametros_manuales!$H$36="Todos",datos_base!$D$11+datos_base!$D$25,0))*parametros_manuales!$I$105+parametros_manuales!$G$36*(datos_base!$D$5+datos_base!$D$21+IF(parametros_manuales!$H$36="Todos",datos_base!$D$12+datos_base!$D$26,0))*parametros_manuales!$I$110)*parametros_manuales!$I$36*parametros_manuales!$J$36</f>
        <v>99.0158426246</v>
      </c>
      <c r="J73" s="9" t="n">
        <f aca="false">(parametros_manuales!$D$36*(datos_base!$D$2+datos_base!$D$18+IF(parametros_manuales!$H$36="Todos",datos_base!$D$9+datos_base!$D$23,0))*parametros_manuales!$J$95+parametros_manuales!$E$36*(datos_base!$D$3+datos_base!$D$19+IF(parametros_manuales!$H$36="Todos",datos_base!$D$10+datos_base!$D$24,0))*parametros_manuales!$J$100+parametros_manuales!$F$36*(datos_base!$D$4+datos_base!$D$20+IF(parametros_manuales!$H$36="Todos",datos_base!$D$11+datos_base!$D$25,0))*parametros_manuales!$J$105+parametros_manuales!$G$36*(datos_base!$D$5+datos_base!$D$21+IF(parametros_manuales!$H$36="Todos",datos_base!$D$12+datos_base!$D$26,0))*parametros_manuales!$J$110)*parametros_manuales!$I$36*parametros_manuales!$J$36</f>
        <v>99.0158426246</v>
      </c>
      <c r="K73" s="9" t="n">
        <f aca="false">(parametros_manuales!$D$36*(datos_base!$D$2+datos_base!$D$18+IF(parametros_manuales!$H$36="Todos",datos_base!$D$9+datos_base!$D$23,0))*parametros_manuales!$K$95+parametros_manuales!$E$36*(datos_base!$D$3+datos_base!$D$19+IF(parametros_manuales!$H$36="Todos",datos_base!$D$10+datos_base!$D$24,0))*parametros_manuales!$K$100+parametros_manuales!$F$36*(datos_base!$D$4+datos_base!$D$20+IF(parametros_manuales!$H$36="Todos",datos_base!$D$11+datos_base!$D$25,0))*parametros_manuales!$K$105+parametros_manuales!$G$36*(datos_base!$D$5+datos_base!$D$21+IF(parametros_manuales!$H$36="Todos",datos_base!$D$12+datos_base!$D$26,0))*parametros_manuales!$K$110)*parametros_manuales!$I$36*parametros_manuales!$J$36</f>
        <v>101.1222287317</v>
      </c>
      <c r="L73" s="9" t="n">
        <f aca="false">(parametros_manuales!$D$36*(datos_base!$D$2+datos_base!$D$18+IF(parametros_manuales!$H$36="Todos",datos_base!$D$9+datos_base!$D$23,0))*parametros_manuales!$L$95+parametros_manuales!$E$36*(datos_base!$D$3+datos_base!$D$19+IF(parametros_manuales!$H$36="Todos",datos_base!$D$10+datos_base!$D$24,0))*parametros_manuales!$L$100+parametros_manuales!$F$36*(datos_base!$D$4+datos_base!$D$20+IF(parametros_manuales!$H$36="Todos",datos_base!$D$11+datos_base!$D$25,0))*parametros_manuales!$L$105+parametros_manuales!$G$36*(datos_base!$D$5+datos_base!$D$21+IF(parametros_manuales!$H$36="Todos",datos_base!$D$12+datos_base!$D$26,0))*parametros_manuales!$L$110)*parametros_manuales!$I$36*parametros_manuales!$J$36</f>
        <v>103.2286148388</v>
      </c>
      <c r="M73" s="9" t="n">
        <f aca="false">(parametros_manuales!$D$36*(datos_base!$D$2+datos_base!$D$18+IF(parametros_manuales!$H$36="Todos",datos_base!$D$9+datos_base!$D$23,0))*parametros_manuales!$M$95+parametros_manuales!$E$36*(datos_base!$D$3+datos_base!$D$19+IF(parametros_manuales!$H$36="Todos",datos_base!$D$10+datos_base!$D$24,0))*parametros_manuales!$M$100+parametros_manuales!$F$36*(datos_base!$D$4+datos_base!$D$20+IF(parametros_manuales!$H$36="Todos",datos_base!$D$11+datos_base!$D$25,0))*parametros_manuales!$M$105+parametros_manuales!$G$36*(datos_base!$D$5+datos_base!$D$21+IF(parametros_manuales!$H$36="Todos",datos_base!$D$12+datos_base!$D$26,0))*parametros_manuales!$M$110)*parametros_manuales!$I$36*parametros_manuales!$J$36</f>
        <v>103.2286148388</v>
      </c>
      <c r="N73" s="9" t="n">
        <f aca="false">SUM(B73:M73)</f>
        <v>1146.98460932</v>
      </c>
      <c r="O73" s="9" t="n">
        <f aca="false">MAX(B73:M73)</f>
        <v>103.2286148388</v>
      </c>
      <c r="P73" s="43" t="n">
        <f aca="false">O73/(parametros_manuales!$B$7)</f>
        <v>0.688190765592</v>
      </c>
      <c r="Q73" s="8" t="str">
        <f aca="false">IF(O73=0,"-",INDEX($B$55:$M$55,MATCH(O73,B73:M73,0)))</f>
        <v>Ene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datos_base!$D$2+datos_base!$D$18+IF(parametros_manuales!$H$37="Todos",datos_base!$D$9+datos_base!$D$23,0))*parametros_manuales!$B$95+parametros_manuales!$E$37*(datos_base!$D$3+datos_base!$D$19+IF(parametros_manuales!$H$37="Todos",datos_base!$D$10+datos_base!$D$24,0))*parametros_manuales!$B$100+parametros_manuales!$F$37*(datos_base!$D$4+datos_base!$D$20+IF(parametros_manuales!$H$37="Todos",datos_base!$D$11+datos_base!$D$25,0))*parametros_manuales!$B$105+parametros_manuales!$G$37*(datos_base!$D$5+datos_base!$D$21+IF(parametros_manuales!$H$37="Todos",datos_base!$D$12+datos_base!$D$26,0))*parametros_manuales!$B$110)*parametros_manuales!$I$37*parametros_manuales!$J$37</f>
        <v>2064.572296776</v>
      </c>
      <c r="C74" s="9" t="n">
        <f aca="false">(parametros_manuales!$D$37*(datos_base!$D$2+datos_base!$D$18+IF(parametros_manuales!$H$37="Todos",datos_base!$D$9+datos_base!$D$23,0))*parametros_manuales!$C$95+parametros_manuales!$E$37*(datos_base!$D$3+datos_base!$D$19+IF(parametros_manuales!$H$37="Todos",datos_base!$D$10+datos_base!$D$24,0))*parametros_manuales!$C$100+parametros_manuales!$F$37*(datos_base!$D$4+datos_base!$D$20+IF(parametros_manuales!$H$37="Todos",datos_base!$D$11+datos_base!$D$25,0))*parametros_manuales!$C$105+parametros_manuales!$G$37*(datos_base!$D$5+datos_base!$D$21+IF(parametros_manuales!$H$37="Todos",datos_base!$D$12+datos_base!$D$26,0))*parametros_manuales!$C$110)*parametros_manuales!$I$37*parametros_manuales!$J$37</f>
        <v>1980.316852492</v>
      </c>
      <c r="D74" s="9" t="n">
        <f aca="false">(parametros_manuales!$D$37*(datos_base!$D$2+datos_base!$D$18+IF(parametros_manuales!$H$37="Todos",datos_base!$D$9+datos_base!$D$23,0))*parametros_manuales!$D$95+parametros_manuales!$E$37*(datos_base!$D$3+datos_base!$D$19+IF(parametros_manuales!$H$37="Todos",datos_base!$D$10+datos_base!$D$24,0))*parametros_manuales!$D$100+parametros_manuales!$F$37*(datos_base!$D$4+datos_base!$D$20+IF(parametros_manuales!$H$37="Todos",datos_base!$D$11+datos_base!$D$25,0))*parametros_manuales!$D$105+parametros_manuales!$G$37*(datos_base!$D$5+datos_base!$D$21+IF(parametros_manuales!$H$37="Todos",datos_base!$D$12+datos_base!$D$26,0))*parametros_manuales!$D$110)*parametros_manuales!$I$37*parametros_manuales!$J$37</f>
        <v>1877.303097054</v>
      </c>
      <c r="E74" s="9" t="n">
        <f aca="false">(parametros_manuales!$D$37*(datos_base!$D$2+datos_base!$D$18+IF(parametros_manuales!$H$37="Todos",datos_base!$D$9+datos_base!$D$23,0))*parametros_manuales!$E$95+parametros_manuales!$E$37*(datos_base!$D$3+datos_base!$D$19+IF(parametros_manuales!$H$37="Todos",datos_base!$D$10+datos_base!$D$24,0))*parametros_manuales!$E$100+parametros_manuales!$F$37*(datos_base!$D$4+datos_base!$D$20+IF(parametros_manuales!$H$37="Todos",datos_base!$D$11+datos_base!$D$25,0))*parametros_manuales!$E$105+parametros_manuales!$G$37*(datos_base!$D$5+datos_base!$D$21+IF(parametros_manuales!$H$37="Todos",datos_base!$D$12+datos_base!$D$26,0))*parametros_manuales!$E$110)*parametros_manuales!$I$37*parametros_manuales!$J$37</f>
        <v>1804.732358264</v>
      </c>
      <c r="F74" s="9" t="n">
        <f aca="false">(parametros_manuales!$D$37*(datos_base!$D$2+datos_base!$D$18+IF(parametros_manuales!$H$37="Todos",datos_base!$D$9+datos_base!$D$23,0))*parametros_manuales!$F$95+parametros_manuales!$E$37*(datos_base!$D$3+datos_base!$D$19+IF(parametros_manuales!$H$37="Todos",datos_base!$D$10+datos_base!$D$24,0))*parametros_manuales!$F$100+parametros_manuales!$F$37*(datos_base!$D$4+datos_base!$D$20+IF(parametros_manuales!$H$37="Todos",datos_base!$D$11+datos_base!$D$25,0))*parametros_manuales!$F$105+parametros_manuales!$G$37*(datos_base!$D$5+datos_base!$D$21+IF(parametros_manuales!$H$37="Todos",datos_base!$D$12+datos_base!$D$26,0))*parametros_manuales!$F$110)*parametros_manuales!$I$37*parametros_manuales!$J$37</f>
        <v>1690.033897332</v>
      </c>
      <c r="G74" s="9" t="n">
        <f aca="false">(parametros_manuales!$D$37*(datos_base!$D$2+datos_base!$D$18+IF(parametros_manuales!$H$37="Todos",datos_base!$D$9+datos_base!$D$23,0))*parametros_manuales!$G$95+parametros_manuales!$E$37*(datos_base!$D$3+datos_base!$D$19+IF(parametros_manuales!$H$37="Todos",datos_base!$D$10+datos_base!$D$24,0))*parametros_manuales!$G$100+parametros_manuales!$F$37*(datos_base!$D$4+datos_base!$D$20+IF(parametros_manuales!$H$37="Todos",datos_base!$D$11+datos_base!$D$25,0))*parametros_manuales!$G$105+parametros_manuales!$G$37*(datos_base!$D$5+datos_base!$D$21+IF(parametros_manuales!$H$37="Todos",datos_base!$D$12+datos_base!$D$26,0))*parametros_manuales!$G$110)*parametros_manuales!$I$37*parametros_manuales!$J$37</f>
        <v>1647.90617519</v>
      </c>
      <c r="H74" s="9" t="n">
        <f aca="false">(parametros_manuales!$D$37*(datos_base!$D$2+datos_base!$D$18+IF(parametros_manuales!$H$37="Todos",datos_base!$D$9+datos_base!$D$23,0))*parametros_manuales!$H$95+parametros_manuales!$E$37*(datos_base!$D$3+datos_base!$D$19+IF(parametros_manuales!$H$37="Todos",datos_base!$D$10+datos_base!$D$24,0))*parametros_manuales!$H$100+parametros_manuales!$F$37*(datos_base!$D$4+datos_base!$D$20+IF(parametros_manuales!$H$37="Todos",datos_base!$D$11+datos_base!$D$25,0))*parametros_manuales!$H$105+parametros_manuales!$G$37*(datos_base!$D$5+datos_base!$D$21+IF(parametros_manuales!$H$37="Todos",datos_base!$D$12+datos_base!$D$26,0))*parametros_manuales!$H$110)*parametros_manuales!$I$37*parametros_manuales!$J$37</f>
        <v>1762.604636122</v>
      </c>
      <c r="I74" s="9" t="n">
        <f aca="false">(parametros_manuales!$D$37*(datos_base!$D$2+datos_base!$D$18+IF(parametros_manuales!$H$37="Todos",datos_base!$D$9+datos_base!$D$23,0))*parametros_manuales!$I$95+parametros_manuales!$E$37*(datos_base!$D$3+datos_base!$D$19+IF(parametros_manuales!$H$37="Todos",datos_base!$D$10+datos_base!$D$24,0))*parametros_manuales!$I$100+parametros_manuales!$F$37*(datos_base!$D$4+datos_base!$D$20+IF(parametros_manuales!$H$37="Todos",datos_base!$D$11+datos_base!$D$25,0))*parametros_manuales!$I$105+parametros_manuales!$G$37*(datos_base!$D$5+datos_base!$D$21+IF(parametros_manuales!$H$37="Todos",datos_base!$D$12+datos_base!$D$26,0))*parametros_manuales!$I$110)*parametros_manuales!$I$37*parametros_manuales!$J$37</f>
        <v>1980.316852492</v>
      </c>
      <c r="J74" s="9" t="n">
        <f aca="false">(parametros_manuales!$D$37*(datos_base!$D$2+datos_base!$D$18+IF(parametros_manuales!$H$37="Todos",datos_base!$D$9+datos_base!$D$23,0))*parametros_manuales!$J$95+parametros_manuales!$E$37*(datos_base!$D$3+datos_base!$D$19+IF(parametros_manuales!$H$37="Todos",datos_base!$D$10+datos_base!$D$24,0))*parametros_manuales!$J$100+parametros_manuales!$F$37*(datos_base!$D$4+datos_base!$D$20+IF(parametros_manuales!$H$37="Todos",datos_base!$D$11+datos_base!$D$25,0))*parametros_manuales!$J$105+parametros_manuales!$G$37*(datos_base!$D$5+datos_base!$D$21+IF(parametros_manuales!$H$37="Todos",datos_base!$D$12+datos_base!$D$26,0))*parametros_manuales!$J$110)*parametros_manuales!$I$37*parametros_manuales!$J$37</f>
        <v>1980.316852492</v>
      </c>
      <c r="K74" s="9" t="n">
        <f aca="false">(parametros_manuales!$D$37*(datos_base!$D$2+datos_base!$D$18+IF(parametros_manuales!$H$37="Todos",datos_base!$D$9+datos_base!$D$23,0))*parametros_manuales!$K$95+parametros_manuales!$E$37*(datos_base!$D$3+datos_base!$D$19+IF(parametros_manuales!$H$37="Todos",datos_base!$D$10+datos_base!$D$24,0))*parametros_manuales!$K$100+parametros_manuales!$F$37*(datos_base!$D$4+datos_base!$D$20+IF(parametros_manuales!$H$37="Todos",datos_base!$D$11+datos_base!$D$25,0))*parametros_manuales!$K$105+parametros_manuales!$G$37*(datos_base!$D$5+datos_base!$D$21+IF(parametros_manuales!$H$37="Todos",datos_base!$D$12+datos_base!$D$26,0))*parametros_manuales!$K$110)*parametros_manuales!$I$37*parametros_manuales!$J$37</f>
        <v>2022.444574634</v>
      </c>
      <c r="L74" s="9" t="n">
        <f aca="false">(parametros_manuales!$D$37*(datos_base!$D$2+datos_base!$D$18+IF(parametros_manuales!$H$37="Todos",datos_base!$D$9+datos_base!$D$23,0))*parametros_manuales!$L$95+parametros_manuales!$E$37*(datos_base!$D$3+datos_base!$D$19+IF(parametros_manuales!$H$37="Todos",datos_base!$D$10+datos_base!$D$24,0))*parametros_manuales!$L$100+parametros_manuales!$F$37*(datos_base!$D$4+datos_base!$D$20+IF(parametros_manuales!$H$37="Todos",datos_base!$D$11+datos_base!$D$25,0))*parametros_manuales!$L$105+parametros_manuales!$G$37*(datos_base!$D$5+datos_base!$D$21+IF(parametros_manuales!$H$37="Todos",datos_base!$D$12+datos_base!$D$26,0))*parametros_manuales!$L$110)*parametros_manuales!$I$37*parametros_manuales!$J$37</f>
        <v>2064.572296776</v>
      </c>
      <c r="M74" s="9" t="n">
        <f aca="false">(parametros_manuales!$D$37*(datos_base!$D$2+datos_base!$D$18+IF(parametros_manuales!$H$37="Todos",datos_base!$D$9+datos_base!$D$23,0))*parametros_manuales!$M$95+parametros_manuales!$E$37*(datos_base!$D$3+datos_base!$D$19+IF(parametros_manuales!$H$37="Todos",datos_base!$D$10+datos_base!$D$24,0))*parametros_manuales!$M$100+parametros_manuales!$F$37*(datos_base!$D$4+datos_base!$D$20+IF(parametros_manuales!$H$37="Todos",datos_base!$D$11+datos_base!$D$25,0))*parametros_manuales!$M$105+parametros_manuales!$G$37*(datos_base!$D$5+datos_base!$D$21+IF(parametros_manuales!$H$37="Todos",datos_base!$D$12+datos_base!$D$26,0))*parametros_manuales!$M$110)*parametros_manuales!$I$37*parametros_manuales!$J$37</f>
        <v>2064.572296776</v>
      </c>
      <c r="N74" s="9" t="n">
        <f aca="false">SUM(B74:M74)</f>
        <v>22939.6921864</v>
      </c>
      <c r="O74" s="9" t="n">
        <f aca="false">MAX(B74:M74)</f>
        <v>2064.572296776</v>
      </c>
      <c r="P74" s="43" t="n">
        <f aca="false">O74/(parametros_manuales!$B$7)</f>
        <v>13.76381531184</v>
      </c>
      <c r="Q74" s="8" t="str">
        <f aca="false">IF(O74=0,"-",INDEX($B$55:$M$55,MATCH(O74,B74:M74,0)))</f>
        <v>Ene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datos_base!$D$2+datos_base!$D$18+IF(parametros_manuales!$H$38="Todos",datos_base!$D$9+datos_base!$D$23,0))*parametros_manuales!$B$95+parametros_manuales!$E$38*(datos_base!$D$3+datos_base!$D$19+IF(parametros_manuales!$H$38="Todos",datos_base!$D$10+datos_base!$D$24,0))*parametros_manuales!$B$100+parametros_manuales!$F$38*(datos_base!$D$4+datos_base!$D$20+IF(parametros_manuales!$H$38="Todos",datos_base!$D$11+datos_base!$D$25,0))*parametros_manuales!$B$105+parametros_manuales!$G$38*(datos_base!$D$5+datos_base!$D$21+IF(parametros_manuales!$H$38="Todos",datos_base!$D$12+datos_base!$D$26,0))*parametros_manuales!$B$110)*parametros_manuales!$I$38*parametros_manuales!$J$38</f>
        <v>1193.746696776</v>
      </c>
      <c r="C75" s="9" t="n">
        <f aca="false">(parametros_manuales!$D$38*(datos_base!$D$2+datos_base!$D$18+IF(parametros_manuales!$H$38="Todos",datos_base!$D$9+datos_base!$D$23,0))*parametros_manuales!$C$95+parametros_manuales!$E$38*(datos_base!$D$3+datos_base!$D$19+IF(parametros_manuales!$H$38="Todos",datos_base!$D$10+datos_base!$D$24,0))*parametros_manuales!$C$100+parametros_manuales!$F$38*(datos_base!$D$4+datos_base!$D$20+IF(parametros_manuales!$H$38="Todos",datos_base!$D$11+datos_base!$D$25,0))*parametros_manuales!$C$105+parametros_manuales!$G$38*(datos_base!$D$5+datos_base!$D$21+IF(parametros_manuales!$H$38="Todos",datos_base!$D$12+datos_base!$D$26,0))*parametros_manuales!$C$110)*parametros_manuales!$I$38*parametros_manuales!$J$38</f>
        <v>1129.625652492</v>
      </c>
      <c r="D75" s="9" t="n">
        <f aca="false">(parametros_manuales!$D$38*(datos_base!$D$2+datos_base!$D$18+IF(parametros_manuales!$H$38="Todos",datos_base!$D$9+datos_base!$D$23,0))*parametros_manuales!$D$95+parametros_manuales!$E$38*(datos_base!$D$3+datos_base!$D$19+IF(parametros_manuales!$H$38="Todos",datos_base!$D$10+datos_base!$D$24,0))*parametros_manuales!$D$100+parametros_manuales!$F$38*(datos_base!$D$4+datos_base!$D$20+IF(parametros_manuales!$H$38="Todos",datos_base!$D$11+datos_base!$D$25,0))*parametros_manuales!$D$105+parametros_manuales!$G$38*(datos_base!$D$5+datos_base!$D$21+IF(parametros_manuales!$H$38="Todos",datos_base!$D$12+datos_base!$D$26,0))*parametros_manuales!$D$110)*parametros_manuales!$I$38*parametros_manuales!$J$38</f>
        <v>1093.168697054</v>
      </c>
      <c r="E75" s="9" t="n">
        <f aca="false">(parametros_manuales!$D$38*(datos_base!$D$2+datos_base!$D$18+IF(parametros_manuales!$H$38="Todos",datos_base!$D$9+datos_base!$D$23,0))*parametros_manuales!$E$95+parametros_manuales!$E$38*(datos_base!$D$3+datos_base!$D$19+IF(parametros_manuales!$H$38="Todos",datos_base!$D$10+datos_base!$D$24,0))*parametros_manuales!$E$100+parametros_manuales!$F$38*(datos_base!$D$4+datos_base!$D$20+IF(parametros_manuales!$H$38="Todos",datos_base!$D$11+datos_base!$D$25,0))*parametros_manuales!$E$105+parametros_manuales!$G$38*(datos_base!$D$5+datos_base!$D$21+IF(parametros_manuales!$H$38="Todos",datos_base!$D$12+datos_base!$D$26,0))*parametros_manuales!$E$110)*parametros_manuales!$I$38*parametros_manuales!$J$38</f>
        <v>1058.909958264</v>
      </c>
      <c r="F75" s="9" t="n">
        <f aca="false">(parametros_manuales!$D$38*(datos_base!$D$2+datos_base!$D$18+IF(parametros_manuales!$H$38="Todos",datos_base!$D$9+datos_base!$D$23,0))*parametros_manuales!$F$95+parametros_manuales!$E$38*(datos_base!$D$3+datos_base!$D$19+IF(parametros_manuales!$H$38="Todos",datos_base!$D$10+datos_base!$D$24,0))*parametros_manuales!$F$100+parametros_manuales!$F$38*(datos_base!$D$4+datos_base!$D$20+IF(parametros_manuales!$H$38="Todos",datos_base!$D$11+datos_base!$D$25,0))*parametros_manuales!$F$105+parametros_manuales!$G$38*(datos_base!$D$5+datos_base!$D$21+IF(parametros_manuales!$H$38="Todos",datos_base!$D$12+datos_base!$D$26,0))*parametros_manuales!$F$110)*parametros_manuales!$I$38*parametros_manuales!$J$38</f>
        <v>992.590697332</v>
      </c>
      <c r="G75" s="9" t="n">
        <f aca="false">(parametros_manuales!$D$38*(datos_base!$D$2+datos_base!$D$18+IF(parametros_manuales!$H$38="Todos",datos_base!$D$9+datos_base!$D$23,0))*parametros_manuales!$G$95+parametros_manuales!$E$38*(datos_base!$D$3+datos_base!$D$19+IF(parametros_manuales!$H$38="Todos",datos_base!$D$10+datos_base!$D$24,0))*parametros_manuales!$G$100+parametros_manuales!$F$38*(datos_base!$D$4+datos_base!$D$20+IF(parametros_manuales!$H$38="Todos",datos_base!$D$11+datos_base!$D$25,0))*parametros_manuales!$G$105+parametros_manuales!$G$38*(datos_base!$D$5+datos_base!$D$21+IF(parametros_manuales!$H$38="Todos",datos_base!$D$12+datos_base!$D$26,0))*parametros_manuales!$G$110)*parametros_manuales!$I$38*parametros_manuales!$J$38</f>
        <v>960.53017519</v>
      </c>
      <c r="H75" s="9" t="n">
        <f aca="false">(parametros_manuales!$D$38*(datos_base!$D$2+datos_base!$D$18+IF(parametros_manuales!$H$38="Todos",datos_base!$D$9+datos_base!$D$23,0))*parametros_manuales!$H$95+parametros_manuales!$E$38*(datos_base!$D$3+datos_base!$D$19+IF(parametros_manuales!$H$38="Todos",datos_base!$D$10+datos_base!$D$24,0))*parametros_manuales!$H$100+parametros_manuales!$F$38*(datos_base!$D$4+datos_base!$D$20+IF(parametros_manuales!$H$38="Todos",datos_base!$D$11+datos_base!$D$25,0))*parametros_manuales!$H$105+parametros_manuales!$G$38*(datos_base!$D$5+datos_base!$D$21+IF(parametros_manuales!$H$38="Todos",datos_base!$D$12+datos_base!$D$26,0))*parametros_manuales!$H$110)*parametros_manuales!$I$38*parametros_manuales!$J$38</f>
        <v>1026.849436122</v>
      </c>
      <c r="I75" s="9" t="n">
        <f aca="false">(parametros_manuales!$D$38*(datos_base!$D$2+datos_base!$D$18+IF(parametros_manuales!$H$38="Todos",datos_base!$D$9+datos_base!$D$23,0))*parametros_manuales!$I$95+parametros_manuales!$E$38*(datos_base!$D$3+datos_base!$D$19+IF(parametros_manuales!$H$38="Todos",datos_base!$D$10+datos_base!$D$24,0))*parametros_manuales!$I$100+parametros_manuales!$F$38*(datos_base!$D$4+datos_base!$D$20+IF(parametros_manuales!$H$38="Todos",datos_base!$D$11+datos_base!$D$25,0))*parametros_manuales!$I$105+parametros_manuales!$G$38*(datos_base!$D$5+datos_base!$D$21+IF(parametros_manuales!$H$38="Todos",datos_base!$D$12+datos_base!$D$26,0))*parametros_manuales!$I$110)*parametros_manuales!$I$38*parametros_manuales!$J$38</f>
        <v>1129.625652492</v>
      </c>
      <c r="J75" s="9" t="n">
        <f aca="false">(parametros_manuales!$D$38*(datos_base!$D$2+datos_base!$D$18+IF(parametros_manuales!$H$38="Todos",datos_base!$D$9+datos_base!$D$23,0))*parametros_manuales!$J$95+parametros_manuales!$E$38*(datos_base!$D$3+datos_base!$D$19+IF(parametros_manuales!$H$38="Todos",datos_base!$D$10+datos_base!$D$24,0))*parametros_manuales!$J$100+parametros_manuales!$F$38*(datos_base!$D$4+datos_base!$D$20+IF(parametros_manuales!$H$38="Todos",datos_base!$D$11+datos_base!$D$25,0))*parametros_manuales!$J$105+parametros_manuales!$G$38*(datos_base!$D$5+datos_base!$D$21+IF(parametros_manuales!$H$38="Todos",datos_base!$D$12+datos_base!$D$26,0))*parametros_manuales!$J$110)*parametros_manuales!$I$38*parametros_manuales!$J$38</f>
        <v>1129.625652492</v>
      </c>
      <c r="K75" s="9" t="n">
        <f aca="false">(parametros_manuales!$D$38*(datos_base!$D$2+datos_base!$D$18+IF(parametros_manuales!$H$38="Todos",datos_base!$D$9+datos_base!$D$23,0))*parametros_manuales!$K$95+parametros_manuales!$E$38*(datos_base!$D$3+datos_base!$D$19+IF(parametros_manuales!$H$38="Todos",datos_base!$D$10+datos_base!$D$24,0))*parametros_manuales!$K$100+parametros_manuales!$F$38*(datos_base!$D$4+datos_base!$D$20+IF(parametros_manuales!$H$38="Todos",datos_base!$D$11+datos_base!$D$25,0))*parametros_manuales!$K$105+parametros_manuales!$G$38*(datos_base!$D$5+datos_base!$D$21+IF(parametros_manuales!$H$38="Todos",datos_base!$D$12+datos_base!$D$26,0))*parametros_manuales!$K$110)*parametros_manuales!$I$38*parametros_manuales!$J$38</f>
        <v>1161.686174634</v>
      </c>
      <c r="L75" s="9" t="n">
        <f aca="false">(parametros_manuales!$D$38*(datos_base!$D$2+datos_base!$D$18+IF(parametros_manuales!$H$38="Todos",datos_base!$D$9+datos_base!$D$23,0))*parametros_manuales!$L$95+parametros_manuales!$E$38*(datos_base!$D$3+datos_base!$D$19+IF(parametros_manuales!$H$38="Todos",datos_base!$D$10+datos_base!$D$24,0))*parametros_manuales!$L$100+parametros_manuales!$F$38*(datos_base!$D$4+datos_base!$D$20+IF(parametros_manuales!$H$38="Todos",datos_base!$D$11+datos_base!$D$25,0))*parametros_manuales!$L$105+parametros_manuales!$G$38*(datos_base!$D$5+datos_base!$D$21+IF(parametros_manuales!$H$38="Todos",datos_base!$D$12+datos_base!$D$26,0))*parametros_manuales!$L$110)*parametros_manuales!$I$38*parametros_manuales!$J$38</f>
        <v>1193.746696776</v>
      </c>
      <c r="M75" s="9" t="n">
        <f aca="false">(parametros_manuales!$D$38*(datos_base!$D$2+datos_base!$D$18+IF(parametros_manuales!$H$38="Todos",datos_base!$D$9+datos_base!$D$23,0))*parametros_manuales!$M$95+parametros_manuales!$E$38*(datos_base!$D$3+datos_base!$D$19+IF(parametros_manuales!$H$38="Todos",datos_base!$D$10+datos_base!$D$24,0))*parametros_manuales!$M$100+parametros_manuales!$F$38*(datos_base!$D$4+datos_base!$D$20+IF(parametros_manuales!$H$38="Todos",datos_base!$D$11+datos_base!$D$25,0))*parametros_manuales!$M$105+parametros_manuales!$G$38*(datos_base!$D$5+datos_base!$D$21+IF(parametros_manuales!$H$38="Todos",datos_base!$D$12+datos_base!$D$26,0))*parametros_manuales!$M$110)*parametros_manuales!$I$38*parametros_manuales!$J$38</f>
        <v>1193.746696776</v>
      </c>
      <c r="N75" s="9" t="n">
        <f aca="false">SUM(B75:M75)</f>
        <v>13263.8521864</v>
      </c>
      <c r="O75" s="9" t="n">
        <f aca="false">MAX(B75:M75)</f>
        <v>1193.746696776</v>
      </c>
      <c r="P75" s="43" t="n">
        <f aca="false">O75/(parametros_manuales!$B$7)</f>
        <v>7.95831131184</v>
      </c>
      <c r="Q75" s="8" t="str">
        <f aca="false">IF(O75=0,"-",INDEX($B$55:$M$55,MATCH(O75,B75:M75,0)))</f>
        <v>Ene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datos_base!$D$2+datos_base!$D$18+IF(parametros_manuales!$H$39="Todos",datos_base!$D$9+datos_base!$D$23,0))*parametros_manuales!$B$95+parametros_manuales!$E$39*(datos_base!$D$3+datos_base!$D$19+IF(parametros_manuales!$H$39="Todos",datos_base!$D$10+datos_base!$D$24,0))*parametros_manuales!$B$100+parametros_manuales!$F$39*(datos_base!$D$4+datos_base!$D$20+IF(parametros_manuales!$H$39="Todos",datos_base!$D$11+datos_base!$D$25,0))*parametros_manuales!$B$105+parametros_manuales!$G$39*(datos_base!$D$5+datos_base!$D$21+IF(parametros_manuales!$H$39="Todos",datos_base!$D$12+datos_base!$D$26,0))*parametros_manuales!$B$110)*parametros_manuales!$I$39*parametros_manuales!$J$39</f>
        <v>1193.746696776</v>
      </c>
      <c r="C76" s="9" t="n">
        <f aca="false">(parametros_manuales!$D$39*(datos_base!$D$2+datos_base!$D$18+IF(parametros_manuales!$H$39="Todos",datos_base!$D$9+datos_base!$D$23,0))*parametros_manuales!$C$95+parametros_manuales!$E$39*(datos_base!$D$3+datos_base!$D$19+IF(parametros_manuales!$H$39="Todos",datos_base!$D$10+datos_base!$D$24,0))*parametros_manuales!$C$100+parametros_manuales!$F$39*(datos_base!$D$4+datos_base!$D$20+IF(parametros_manuales!$H$39="Todos",datos_base!$D$11+datos_base!$D$25,0))*parametros_manuales!$C$105+parametros_manuales!$G$39*(datos_base!$D$5+datos_base!$D$21+IF(parametros_manuales!$H$39="Todos",datos_base!$D$12+datos_base!$D$26,0))*parametros_manuales!$C$110)*parametros_manuales!$I$39*parametros_manuales!$J$39</f>
        <v>1129.625652492</v>
      </c>
      <c r="D76" s="9" t="n">
        <f aca="false">(parametros_manuales!$D$39*(datos_base!$D$2+datos_base!$D$18+IF(parametros_manuales!$H$39="Todos",datos_base!$D$9+datos_base!$D$23,0))*parametros_manuales!$D$95+parametros_manuales!$E$39*(datos_base!$D$3+datos_base!$D$19+IF(parametros_manuales!$H$39="Todos",datos_base!$D$10+datos_base!$D$24,0))*parametros_manuales!$D$100+parametros_manuales!$F$39*(datos_base!$D$4+datos_base!$D$20+IF(parametros_manuales!$H$39="Todos",datos_base!$D$11+datos_base!$D$25,0))*parametros_manuales!$D$105+parametros_manuales!$G$39*(datos_base!$D$5+datos_base!$D$21+IF(parametros_manuales!$H$39="Todos",datos_base!$D$12+datos_base!$D$26,0))*parametros_manuales!$D$110)*parametros_manuales!$I$39*parametros_manuales!$J$39</f>
        <v>1093.168697054</v>
      </c>
      <c r="E76" s="9" t="n">
        <f aca="false">(parametros_manuales!$D$39*(datos_base!$D$2+datos_base!$D$18+IF(parametros_manuales!$H$39="Todos",datos_base!$D$9+datos_base!$D$23,0))*parametros_manuales!$E$95+parametros_manuales!$E$39*(datos_base!$D$3+datos_base!$D$19+IF(parametros_manuales!$H$39="Todos",datos_base!$D$10+datos_base!$D$24,0))*parametros_manuales!$E$100+parametros_manuales!$F$39*(datos_base!$D$4+datos_base!$D$20+IF(parametros_manuales!$H$39="Todos",datos_base!$D$11+datos_base!$D$25,0))*parametros_manuales!$E$105+parametros_manuales!$G$39*(datos_base!$D$5+datos_base!$D$21+IF(parametros_manuales!$H$39="Todos",datos_base!$D$12+datos_base!$D$26,0))*parametros_manuales!$E$110)*parametros_manuales!$I$39*parametros_manuales!$J$39</f>
        <v>1058.909958264</v>
      </c>
      <c r="F76" s="9" t="n">
        <f aca="false">(parametros_manuales!$D$39*(datos_base!$D$2+datos_base!$D$18+IF(parametros_manuales!$H$39="Todos",datos_base!$D$9+datos_base!$D$23,0))*parametros_manuales!$F$95+parametros_manuales!$E$39*(datos_base!$D$3+datos_base!$D$19+IF(parametros_manuales!$H$39="Todos",datos_base!$D$10+datos_base!$D$24,0))*parametros_manuales!$F$100+parametros_manuales!$F$39*(datos_base!$D$4+datos_base!$D$20+IF(parametros_manuales!$H$39="Todos",datos_base!$D$11+datos_base!$D$25,0))*parametros_manuales!$F$105+parametros_manuales!$G$39*(datos_base!$D$5+datos_base!$D$21+IF(parametros_manuales!$H$39="Todos",datos_base!$D$12+datos_base!$D$26,0))*parametros_manuales!$F$110)*parametros_manuales!$I$39*parametros_manuales!$J$39</f>
        <v>992.590697332</v>
      </c>
      <c r="G76" s="9" t="n">
        <f aca="false">(parametros_manuales!$D$39*(datos_base!$D$2+datos_base!$D$18+IF(parametros_manuales!$H$39="Todos",datos_base!$D$9+datos_base!$D$23,0))*parametros_manuales!$G$95+parametros_manuales!$E$39*(datos_base!$D$3+datos_base!$D$19+IF(parametros_manuales!$H$39="Todos",datos_base!$D$10+datos_base!$D$24,0))*parametros_manuales!$G$100+parametros_manuales!$F$39*(datos_base!$D$4+datos_base!$D$20+IF(parametros_manuales!$H$39="Todos",datos_base!$D$11+datos_base!$D$25,0))*parametros_manuales!$G$105+parametros_manuales!$G$39*(datos_base!$D$5+datos_base!$D$21+IF(parametros_manuales!$H$39="Todos",datos_base!$D$12+datos_base!$D$26,0))*parametros_manuales!$G$110)*parametros_manuales!$I$39*parametros_manuales!$J$39</f>
        <v>960.53017519</v>
      </c>
      <c r="H76" s="9" t="n">
        <f aca="false">(parametros_manuales!$D$39*(datos_base!$D$2+datos_base!$D$18+IF(parametros_manuales!$H$39="Todos",datos_base!$D$9+datos_base!$D$23,0))*parametros_manuales!$H$95+parametros_manuales!$E$39*(datos_base!$D$3+datos_base!$D$19+IF(parametros_manuales!$H$39="Todos",datos_base!$D$10+datos_base!$D$24,0))*parametros_manuales!$H$100+parametros_manuales!$F$39*(datos_base!$D$4+datos_base!$D$20+IF(parametros_manuales!$H$39="Todos",datos_base!$D$11+datos_base!$D$25,0))*parametros_manuales!$H$105+parametros_manuales!$G$39*(datos_base!$D$5+datos_base!$D$21+IF(parametros_manuales!$H$39="Todos",datos_base!$D$12+datos_base!$D$26,0))*parametros_manuales!$H$110)*parametros_manuales!$I$39*parametros_manuales!$J$39</f>
        <v>1026.849436122</v>
      </c>
      <c r="I76" s="9" t="n">
        <f aca="false">(parametros_manuales!$D$39*(datos_base!$D$2+datos_base!$D$18+IF(parametros_manuales!$H$39="Todos",datos_base!$D$9+datos_base!$D$23,0))*parametros_manuales!$I$95+parametros_manuales!$E$39*(datos_base!$D$3+datos_base!$D$19+IF(parametros_manuales!$H$39="Todos",datos_base!$D$10+datos_base!$D$24,0))*parametros_manuales!$I$100+parametros_manuales!$F$39*(datos_base!$D$4+datos_base!$D$20+IF(parametros_manuales!$H$39="Todos",datos_base!$D$11+datos_base!$D$25,0))*parametros_manuales!$I$105+parametros_manuales!$G$39*(datos_base!$D$5+datos_base!$D$21+IF(parametros_manuales!$H$39="Todos",datos_base!$D$12+datos_base!$D$26,0))*parametros_manuales!$I$110)*parametros_manuales!$I$39*parametros_manuales!$J$39</f>
        <v>1129.625652492</v>
      </c>
      <c r="J76" s="9" t="n">
        <f aca="false">(parametros_manuales!$D$39*(datos_base!$D$2+datos_base!$D$18+IF(parametros_manuales!$H$39="Todos",datos_base!$D$9+datos_base!$D$23,0))*parametros_manuales!$J$95+parametros_manuales!$E$39*(datos_base!$D$3+datos_base!$D$19+IF(parametros_manuales!$H$39="Todos",datos_base!$D$10+datos_base!$D$24,0))*parametros_manuales!$J$100+parametros_manuales!$F$39*(datos_base!$D$4+datos_base!$D$20+IF(parametros_manuales!$H$39="Todos",datos_base!$D$11+datos_base!$D$25,0))*parametros_manuales!$J$105+parametros_manuales!$G$39*(datos_base!$D$5+datos_base!$D$21+IF(parametros_manuales!$H$39="Todos",datos_base!$D$12+datos_base!$D$26,0))*parametros_manuales!$J$110)*parametros_manuales!$I$39*parametros_manuales!$J$39</f>
        <v>1129.625652492</v>
      </c>
      <c r="K76" s="9" t="n">
        <f aca="false">(parametros_manuales!$D$39*(datos_base!$D$2+datos_base!$D$18+IF(parametros_manuales!$H$39="Todos",datos_base!$D$9+datos_base!$D$23,0))*parametros_manuales!$K$95+parametros_manuales!$E$39*(datos_base!$D$3+datos_base!$D$19+IF(parametros_manuales!$H$39="Todos",datos_base!$D$10+datos_base!$D$24,0))*parametros_manuales!$K$100+parametros_manuales!$F$39*(datos_base!$D$4+datos_base!$D$20+IF(parametros_manuales!$H$39="Todos",datos_base!$D$11+datos_base!$D$25,0))*parametros_manuales!$K$105+parametros_manuales!$G$39*(datos_base!$D$5+datos_base!$D$21+IF(parametros_manuales!$H$39="Todos",datos_base!$D$12+datos_base!$D$26,0))*parametros_manuales!$K$110)*parametros_manuales!$I$39*parametros_manuales!$J$39</f>
        <v>1161.686174634</v>
      </c>
      <c r="L76" s="9" t="n">
        <f aca="false">(parametros_manuales!$D$39*(datos_base!$D$2+datos_base!$D$18+IF(parametros_manuales!$H$39="Todos",datos_base!$D$9+datos_base!$D$23,0))*parametros_manuales!$L$95+parametros_manuales!$E$39*(datos_base!$D$3+datos_base!$D$19+IF(parametros_manuales!$H$39="Todos",datos_base!$D$10+datos_base!$D$24,0))*parametros_manuales!$L$100+parametros_manuales!$F$39*(datos_base!$D$4+datos_base!$D$20+IF(parametros_manuales!$H$39="Todos",datos_base!$D$11+datos_base!$D$25,0))*parametros_manuales!$L$105+parametros_manuales!$G$39*(datos_base!$D$5+datos_base!$D$21+IF(parametros_manuales!$H$39="Todos",datos_base!$D$12+datos_base!$D$26,0))*parametros_manuales!$L$110)*parametros_manuales!$I$39*parametros_manuales!$J$39</f>
        <v>1193.746696776</v>
      </c>
      <c r="M76" s="9" t="n">
        <f aca="false">(parametros_manuales!$D$39*(datos_base!$D$2+datos_base!$D$18+IF(parametros_manuales!$H$39="Todos",datos_base!$D$9+datos_base!$D$23,0))*parametros_manuales!$M$95+parametros_manuales!$E$39*(datos_base!$D$3+datos_base!$D$19+IF(parametros_manuales!$H$39="Todos",datos_base!$D$10+datos_base!$D$24,0))*parametros_manuales!$M$100+parametros_manuales!$F$39*(datos_base!$D$4+datos_base!$D$20+IF(parametros_manuales!$H$39="Todos",datos_base!$D$11+datos_base!$D$25,0))*parametros_manuales!$M$105+parametros_manuales!$G$39*(datos_base!$D$5+datos_base!$D$21+IF(parametros_manuales!$H$39="Todos",datos_base!$D$12+datos_base!$D$26,0))*parametros_manuales!$M$110)*parametros_manuales!$I$39*parametros_manuales!$J$39</f>
        <v>1193.746696776</v>
      </c>
      <c r="N76" s="9" t="n">
        <f aca="false">SUM(B76:M76)</f>
        <v>13263.8521864</v>
      </c>
      <c r="O76" s="9" t="n">
        <f aca="false">MAX(B76:M76)</f>
        <v>1193.746696776</v>
      </c>
      <c r="P76" s="43" t="n">
        <f aca="false">O76/(parametros_manuales!$B$7)</f>
        <v>7.95831131184</v>
      </c>
      <c r="Q76" s="8" t="str">
        <f aca="false">IF(O76=0,"-",INDEX($B$55:$M$55,MATCH(O76,B76:M76,0)))</f>
        <v>Ene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datos_base!$D$2+datos_base!$D$18+IF(parametros_manuales!$H$40="Todos",datos_base!$D$9+datos_base!$D$23,0))*parametros_manuales!$B$95+parametros_manuales!$E$40*(datos_base!$D$3+datos_base!$D$19+IF(parametros_manuales!$H$40="Todos",datos_base!$D$10+datos_base!$D$24,0))*parametros_manuales!$B$100+parametros_manuales!$F$40*(datos_base!$D$4+datos_base!$D$20+IF(parametros_manuales!$H$40="Todos",datos_base!$D$11+datos_base!$D$25,0))*parametros_manuales!$B$105+parametros_manuales!$G$40*(datos_base!$D$5+datos_base!$D$21+IF(parametros_manuales!$H$40="Todos",datos_base!$D$12+datos_base!$D$26,0))*parametros_manuales!$B$110)*parametros_manuales!$I$40*parametros_manuales!$J$40</f>
        <v>1193.746696776</v>
      </c>
      <c r="C77" s="9" t="n">
        <f aca="false">(parametros_manuales!$D$40*(datos_base!$D$2+datos_base!$D$18+IF(parametros_manuales!$H$40="Todos",datos_base!$D$9+datos_base!$D$23,0))*parametros_manuales!$C$95+parametros_manuales!$E$40*(datos_base!$D$3+datos_base!$D$19+IF(parametros_manuales!$H$40="Todos",datos_base!$D$10+datos_base!$D$24,0))*parametros_manuales!$C$100+parametros_manuales!$F$40*(datos_base!$D$4+datos_base!$D$20+IF(parametros_manuales!$H$40="Todos",datos_base!$D$11+datos_base!$D$25,0))*parametros_manuales!$C$105+parametros_manuales!$G$40*(datos_base!$D$5+datos_base!$D$21+IF(parametros_manuales!$H$40="Todos",datos_base!$D$12+datos_base!$D$26,0))*parametros_manuales!$C$110)*parametros_manuales!$I$40*parametros_manuales!$J$40</f>
        <v>1129.625652492</v>
      </c>
      <c r="D77" s="9" t="n">
        <f aca="false">(parametros_manuales!$D$40*(datos_base!$D$2+datos_base!$D$18+IF(parametros_manuales!$H$40="Todos",datos_base!$D$9+datos_base!$D$23,0))*parametros_manuales!$D$95+parametros_manuales!$E$40*(datos_base!$D$3+datos_base!$D$19+IF(parametros_manuales!$H$40="Todos",datos_base!$D$10+datos_base!$D$24,0))*parametros_manuales!$D$100+parametros_manuales!$F$40*(datos_base!$D$4+datos_base!$D$20+IF(parametros_manuales!$H$40="Todos",datos_base!$D$11+datos_base!$D$25,0))*parametros_manuales!$D$105+parametros_manuales!$G$40*(datos_base!$D$5+datos_base!$D$21+IF(parametros_manuales!$H$40="Todos",datos_base!$D$12+datos_base!$D$26,0))*parametros_manuales!$D$110)*parametros_manuales!$I$40*parametros_manuales!$J$40</f>
        <v>1093.168697054</v>
      </c>
      <c r="E77" s="9" t="n">
        <f aca="false">(parametros_manuales!$D$40*(datos_base!$D$2+datos_base!$D$18+IF(parametros_manuales!$H$40="Todos",datos_base!$D$9+datos_base!$D$23,0))*parametros_manuales!$E$95+parametros_manuales!$E$40*(datos_base!$D$3+datos_base!$D$19+IF(parametros_manuales!$H$40="Todos",datos_base!$D$10+datos_base!$D$24,0))*parametros_manuales!$E$100+parametros_manuales!$F$40*(datos_base!$D$4+datos_base!$D$20+IF(parametros_manuales!$H$40="Todos",datos_base!$D$11+datos_base!$D$25,0))*parametros_manuales!$E$105+parametros_manuales!$G$40*(datos_base!$D$5+datos_base!$D$21+IF(parametros_manuales!$H$40="Todos",datos_base!$D$12+datos_base!$D$26,0))*parametros_manuales!$E$110)*parametros_manuales!$I$40*parametros_manuales!$J$40</f>
        <v>1058.909958264</v>
      </c>
      <c r="F77" s="9" t="n">
        <f aca="false">(parametros_manuales!$D$40*(datos_base!$D$2+datos_base!$D$18+IF(parametros_manuales!$H$40="Todos",datos_base!$D$9+datos_base!$D$23,0))*parametros_manuales!$F$95+parametros_manuales!$E$40*(datos_base!$D$3+datos_base!$D$19+IF(parametros_manuales!$H$40="Todos",datos_base!$D$10+datos_base!$D$24,0))*parametros_manuales!$F$100+parametros_manuales!$F$40*(datos_base!$D$4+datos_base!$D$20+IF(parametros_manuales!$H$40="Todos",datos_base!$D$11+datos_base!$D$25,0))*parametros_manuales!$F$105+parametros_manuales!$G$40*(datos_base!$D$5+datos_base!$D$21+IF(parametros_manuales!$H$40="Todos",datos_base!$D$12+datos_base!$D$26,0))*parametros_manuales!$F$110)*parametros_manuales!$I$40*parametros_manuales!$J$40</f>
        <v>992.590697332</v>
      </c>
      <c r="G77" s="9" t="n">
        <f aca="false">(parametros_manuales!$D$40*(datos_base!$D$2+datos_base!$D$18+IF(parametros_manuales!$H$40="Todos",datos_base!$D$9+datos_base!$D$23,0))*parametros_manuales!$G$95+parametros_manuales!$E$40*(datos_base!$D$3+datos_base!$D$19+IF(parametros_manuales!$H$40="Todos",datos_base!$D$10+datos_base!$D$24,0))*parametros_manuales!$G$100+parametros_manuales!$F$40*(datos_base!$D$4+datos_base!$D$20+IF(parametros_manuales!$H$40="Todos",datos_base!$D$11+datos_base!$D$25,0))*parametros_manuales!$G$105+parametros_manuales!$G$40*(datos_base!$D$5+datos_base!$D$21+IF(parametros_manuales!$H$40="Todos",datos_base!$D$12+datos_base!$D$26,0))*parametros_manuales!$G$110)*parametros_manuales!$I$40*parametros_manuales!$J$40</f>
        <v>960.53017519</v>
      </c>
      <c r="H77" s="9" t="n">
        <f aca="false">(parametros_manuales!$D$40*(datos_base!$D$2+datos_base!$D$18+IF(parametros_manuales!$H$40="Todos",datos_base!$D$9+datos_base!$D$23,0))*parametros_manuales!$H$95+parametros_manuales!$E$40*(datos_base!$D$3+datos_base!$D$19+IF(parametros_manuales!$H$40="Todos",datos_base!$D$10+datos_base!$D$24,0))*parametros_manuales!$H$100+parametros_manuales!$F$40*(datos_base!$D$4+datos_base!$D$20+IF(parametros_manuales!$H$40="Todos",datos_base!$D$11+datos_base!$D$25,0))*parametros_manuales!$H$105+parametros_manuales!$G$40*(datos_base!$D$5+datos_base!$D$21+IF(parametros_manuales!$H$40="Todos",datos_base!$D$12+datos_base!$D$26,0))*parametros_manuales!$H$110)*parametros_manuales!$I$40*parametros_manuales!$J$40</f>
        <v>1026.849436122</v>
      </c>
      <c r="I77" s="9" t="n">
        <f aca="false">(parametros_manuales!$D$40*(datos_base!$D$2+datos_base!$D$18+IF(parametros_manuales!$H$40="Todos",datos_base!$D$9+datos_base!$D$23,0))*parametros_manuales!$I$95+parametros_manuales!$E$40*(datos_base!$D$3+datos_base!$D$19+IF(parametros_manuales!$H$40="Todos",datos_base!$D$10+datos_base!$D$24,0))*parametros_manuales!$I$100+parametros_manuales!$F$40*(datos_base!$D$4+datos_base!$D$20+IF(parametros_manuales!$H$40="Todos",datos_base!$D$11+datos_base!$D$25,0))*parametros_manuales!$I$105+parametros_manuales!$G$40*(datos_base!$D$5+datos_base!$D$21+IF(parametros_manuales!$H$40="Todos",datos_base!$D$12+datos_base!$D$26,0))*parametros_manuales!$I$110)*parametros_manuales!$I$40*parametros_manuales!$J$40</f>
        <v>1129.625652492</v>
      </c>
      <c r="J77" s="9" t="n">
        <f aca="false">(parametros_manuales!$D$40*(datos_base!$D$2+datos_base!$D$18+IF(parametros_manuales!$H$40="Todos",datos_base!$D$9+datos_base!$D$23,0))*parametros_manuales!$J$95+parametros_manuales!$E$40*(datos_base!$D$3+datos_base!$D$19+IF(parametros_manuales!$H$40="Todos",datos_base!$D$10+datos_base!$D$24,0))*parametros_manuales!$J$100+parametros_manuales!$F$40*(datos_base!$D$4+datos_base!$D$20+IF(parametros_manuales!$H$40="Todos",datos_base!$D$11+datos_base!$D$25,0))*parametros_manuales!$J$105+parametros_manuales!$G$40*(datos_base!$D$5+datos_base!$D$21+IF(parametros_manuales!$H$40="Todos",datos_base!$D$12+datos_base!$D$26,0))*parametros_manuales!$J$110)*parametros_manuales!$I$40*parametros_manuales!$J$40</f>
        <v>1129.625652492</v>
      </c>
      <c r="K77" s="9" t="n">
        <f aca="false">(parametros_manuales!$D$40*(datos_base!$D$2+datos_base!$D$18+IF(parametros_manuales!$H$40="Todos",datos_base!$D$9+datos_base!$D$23,0))*parametros_manuales!$K$95+parametros_manuales!$E$40*(datos_base!$D$3+datos_base!$D$19+IF(parametros_manuales!$H$40="Todos",datos_base!$D$10+datos_base!$D$24,0))*parametros_manuales!$K$100+parametros_manuales!$F$40*(datos_base!$D$4+datos_base!$D$20+IF(parametros_manuales!$H$40="Todos",datos_base!$D$11+datos_base!$D$25,0))*parametros_manuales!$K$105+parametros_manuales!$G$40*(datos_base!$D$5+datos_base!$D$21+IF(parametros_manuales!$H$40="Todos",datos_base!$D$12+datos_base!$D$26,0))*parametros_manuales!$K$110)*parametros_manuales!$I$40*parametros_manuales!$J$40</f>
        <v>1161.686174634</v>
      </c>
      <c r="L77" s="9" t="n">
        <f aca="false">(parametros_manuales!$D$40*(datos_base!$D$2+datos_base!$D$18+IF(parametros_manuales!$H$40="Todos",datos_base!$D$9+datos_base!$D$23,0))*parametros_manuales!$L$95+parametros_manuales!$E$40*(datos_base!$D$3+datos_base!$D$19+IF(parametros_manuales!$H$40="Todos",datos_base!$D$10+datos_base!$D$24,0))*parametros_manuales!$L$100+parametros_manuales!$F$40*(datos_base!$D$4+datos_base!$D$20+IF(parametros_manuales!$H$40="Todos",datos_base!$D$11+datos_base!$D$25,0))*parametros_manuales!$L$105+parametros_manuales!$G$40*(datos_base!$D$5+datos_base!$D$21+IF(parametros_manuales!$H$40="Todos",datos_base!$D$12+datos_base!$D$26,0))*parametros_manuales!$L$110)*parametros_manuales!$I$40*parametros_manuales!$J$40</f>
        <v>1193.746696776</v>
      </c>
      <c r="M77" s="9" t="n">
        <f aca="false">(parametros_manuales!$D$40*(datos_base!$D$2+datos_base!$D$18+IF(parametros_manuales!$H$40="Todos",datos_base!$D$9+datos_base!$D$23,0))*parametros_manuales!$M$95+parametros_manuales!$E$40*(datos_base!$D$3+datos_base!$D$19+IF(parametros_manuales!$H$40="Todos",datos_base!$D$10+datos_base!$D$24,0))*parametros_manuales!$M$100+parametros_manuales!$F$40*(datos_base!$D$4+datos_base!$D$20+IF(parametros_manuales!$H$40="Todos",datos_base!$D$11+datos_base!$D$25,0))*parametros_manuales!$M$105+parametros_manuales!$G$40*(datos_base!$D$5+datos_base!$D$21+IF(parametros_manuales!$H$40="Todos",datos_base!$D$12+datos_base!$D$26,0))*parametros_manuales!$M$110)*parametros_manuales!$I$40*parametros_manuales!$J$40</f>
        <v>1193.746696776</v>
      </c>
      <c r="N77" s="9" t="n">
        <f aca="false">SUM(B77:M77)</f>
        <v>13263.8521864</v>
      </c>
      <c r="O77" s="9" t="n">
        <f aca="false">MAX(B77:M77)</f>
        <v>1193.746696776</v>
      </c>
      <c r="P77" s="43" t="n">
        <f aca="false">O77/(parametros_manuales!$B$7)</f>
        <v>7.95831131184</v>
      </c>
      <c r="Q77" s="8" t="str">
        <f aca="false">IF(O77=0,"-",INDEX($B$55:$M$55,MATCH(O77,B77:M77,0)))</f>
        <v>Ene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datos_base!$D$2+datos_base!$D$18+IF(parametros_manuales!$H$41="Todos",datos_base!$D$9+datos_base!$D$23,0))*parametros_manuales!$B$95+parametros_manuales!$E$41*(datos_base!$D$3+datos_base!$D$19+IF(parametros_manuales!$H$41="Todos",datos_base!$D$10+datos_base!$D$24,0))*parametros_manuales!$B$100+parametros_manuales!$F$41*(datos_base!$D$4+datos_base!$D$20+IF(parametros_manuales!$H$41="Todos",datos_base!$D$11+datos_base!$D$25,0))*parametros_manuales!$B$105+parametros_manuales!$G$41*(datos_base!$D$5+datos_base!$D$21+IF(parametros_manuales!$H$41="Todos",datos_base!$D$12+datos_base!$D$26,0))*parametros_manuales!$B$110)*parametros_manuales!$I$41*parametros_manuales!$J$41</f>
        <v>1193.746696776</v>
      </c>
      <c r="C78" s="9" t="n">
        <f aca="false">(parametros_manuales!$D$41*(datos_base!$D$2+datos_base!$D$18+IF(parametros_manuales!$H$41="Todos",datos_base!$D$9+datos_base!$D$23,0))*parametros_manuales!$C$95+parametros_manuales!$E$41*(datos_base!$D$3+datos_base!$D$19+IF(parametros_manuales!$H$41="Todos",datos_base!$D$10+datos_base!$D$24,0))*parametros_manuales!$C$100+parametros_manuales!$F$41*(datos_base!$D$4+datos_base!$D$20+IF(parametros_manuales!$H$41="Todos",datos_base!$D$11+datos_base!$D$25,0))*parametros_manuales!$C$105+parametros_manuales!$G$41*(datos_base!$D$5+datos_base!$D$21+IF(parametros_manuales!$H$41="Todos",datos_base!$D$12+datos_base!$D$26,0))*parametros_manuales!$C$110)*parametros_manuales!$I$41*parametros_manuales!$J$41</f>
        <v>1129.625652492</v>
      </c>
      <c r="D78" s="9" t="n">
        <f aca="false">(parametros_manuales!$D$41*(datos_base!$D$2+datos_base!$D$18+IF(parametros_manuales!$H$41="Todos",datos_base!$D$9+datos_base!$D$23,0))*parametros_manuales!$D$95+parametros_manuales!$E$41*(datos_base!$D$3+datos_base!$D$19+IF(parametros_manuales!$H$41="Todos",datos_base!$D$10+datos_base!$D$24,0))*parametros_manuales!$D$100+parametros_manuales!$F$41*(datos_base!$D$4+datos_base!$D$20+IF(parametros_manuales!$H$41="Todos",datos_base!$D$11+datos_base!$D$25,0))*parametros_manuales!$D$105+parametros_manuales!$G$41*(datos_base!$D$5+datos_base!$D$21+IF(parametros_manuales!$H$41="Todos",datos_base!$D$12+datos_base!$D$26,0))*parametros_manuales!$D$110)*parametros_manuales!$I$41*parametros_manuales!$J$41</f>
        <v>1093.168697054</v>
      </c>
      <c r="E78" s="9" t="n">
        <f aca="false">(parametros_manuales!$D$41*(datos_base!$D$2+datos_base!$D$18+IF(parametros_manuales!$H$41="Todos",datos_base!$D$9+datos_base!$D$23,0))*parametros_manuales!$E$95+parametros_manuales!$E$41*(datos_base!$D$3+datos_base!$D$19+IF(parametros_manuales!$H$41="Todos",datos_base!$D$10+datos_base!$D$24,0))*parametros_manuales!$E$100+parametros_manuales!$F$41*(datos_base!$D$4+datos_base!$D$20+IF(parametros_manuales!$H$41="Todos",datos_base!$D$11+datos_base!$D$25,0))*parametros_manuales!$E$105+parametros_manuales!$G$41*(datos_base!$D$5+datos_base!$D$21+IF(parametros_manuales!$H$41="Todos",datos_base!$D$12+datos_base!$D$26,0))*parametros_manuales!$E$110)*parametros_manuales!$I$41*parametros_manuales!$J$41</f>
        <v>1058.909958264</v>
      </c>
      <c r="F78" s="9" t="n">
        <f aca="false">(parametros_manuales!$D$41*(datos_base!$D$2+datos_base!$D$18+IF(parametros_manuales!$H$41="Todos",datos_base!$D$9+datos_base!$D$23,0))*parametros_manuales!$F$95+parametros_manuales!$E$41*(datos_base!$D$3+datos_base!$D$19+IF(parametros_manuales!$H$41="Todos",datos_base!$D$10+datos_base!$D$24,0))*parametros_manuales!$F$100+parametros_manuales!$F$41*(datos_base!$D$4+datos_base!$D$20+IF(parametros_manuales!$H$41="Todos",datos_base!$D$11+datos_base!$D$25,0))*parametros_manuales!$F$105+parametros_manuales!$G$41*(datos_base!$D$5+datos_base!$D$21+IF(parametros_manuales!$H$41="Todos",datos_base!$D$12+datos_base!$D$26,0))*parametros_manuales!$F$110)*parametros_manuales!$I$41*parametros_manuales!$J$41</f>
        <v>992.590697332</v>
      </c>
      <c r="G78" s="9" t="n">
        <f aca="false">(parametros_manuales!$D$41*(datos_base!$D$2+datos_base!$D$18+IF(parametros_manuales!$H$41="Todos",datos_base!$D$9+datos_base!$D$23,0))*parametros_manuales!$G$95+parametros_manuales!$E$41*(datos_base!$D$3+datos_base!$D$19+IF(parametros_manuales!$H$41="Todos",datos_base!$D$10+datos_base!$D$24,0))*parametros_manuales!$G$100+parametros_manuales!$F$41*(datos_base!$D$4+datos_base!$D$20+IF(parametros_manuales!$H$41="Todos",datos_base!$D$11+datos_base!$D$25,0))*parametros_manuales!$G$105+parametros_manuales!$G$41*(datos_base!$D$5+datos_base!$D$21+IF(parametros_manuales!$H$41="Todos",datos_base!$D$12+datos_base!$D$26,0))*parametros_manuales!$G$110)*parametros_manuales!$I$41*parametros_manuales!$J$41</f>
        <v>960.53017519</v>
      </c>
      <c r="H78" s="9" t="n">
        <f aca="false">(parametros_manuales!$D$41*(datos_base!$D$2+datos_base!$D$18+IF(parametros_manuales!$H$41="Todos",datos_base!$D$9+datos_base!$D$23,0))*parametros_manuales!$H$95+parametros_manuales!$E$41*(datos_base!$D$3+datos_base!$D$19+IF(parametros_manuales!$H$41="Todos",datos_base!$D$10+datos_base!$D$24,0))*parametros_manuales!$H$100+parametros_manuales!$F$41*(datos_base!$D$4+datos_base!$D$20+IF(parametros_manuales!$H$41="Todos",datos_base!$D$11+datos_base!$D$25,0))*parametros_manuales!$H$105+parametros_manuales!$G$41*(datos_base!$D$5+datos_base!$D$21+IF(parametros_manuales!$H$41="Todos",datos_base!$D$12+datos_base!$D$26,0))*parametros_manuales!$H$110)*parametros_manuales!$I$41*parametros_manuales!$J$41</f>
        <v>1026.849436122</v>
      </c>
      <c r="I78" s="9" t="n">
        <f aca="false">(parametros_manuales!$D$41*(datos_base!$D$2+datos_base!$D$18+IF(parametros_manuales!$H$41="Todos",datos_base!$D$9+datos_base!$D$23,0))*parametros_manuales!$I$95+parametros_manuales!$E$41*(datos_base!$D$3+datos_base!$D$19+IF(parametros_manuales!$H$41="Todos",datos_base!$D$10+datos_base!$D$24,0))*parametros_manuales!$I$100+parametros_manuales!$F$41*(datos_base!$D$4+datos_base!$D$20+IF(parametros_manuales!$H$41="Todos",datos_base!$D$11+datos_base!$D$25,0))*parametros_manuales!$I$105+parametros_manuales!$G$41*(datos_base!$D$5+datos_base!$D$21+IF(parametros_manuales!$H$41="Todos",datos_base!$D$12+datos_base!$D$26,0))*parametros_manuales!$I$110)*parametros_manuales!$I$41*parametros_manuales!$J$41</f>
        <v>1129.625652492</v>
      </c>
      <c r="J78" s="9" t="n">
        <f aca="false">(parametros_manuales!$D$41*(datos_base!$D$2+datos_base!$D$18+IF(parametros_manuales!$H$41="Todos",datos_base!$D$9+datos_base!$D$23,0))*parametros_manuales!$J$95+parametros_manuales!$E$41*(datos_base!$D$3+datos_base!$D$19+IF(parametros_manuales!$H$41="Todos",datos_base!$D$10+datos_base!$D$24,0))*parametros_manuales!$J$100+parametros_manuales!$F$41*(datos_base!$D$4+datos_base!$D$20+IF(parametros_manuales!$H$41="Todos",datos_base!$D$11+datos_base!$D$25,0))*parametros_manuales!$J$105+parametros_manuales!$G$41*(datos_base!$D$5+datos_base!$D$21+IF(parametros_manuales!$H$41="Todos",datos_base!$D$12+datos_base!$D$26,0))*parametros_manuales!$J$110)*parametros_manuales!$I$41*parametros_manuales!$J$41</f>
        <v>1129.625652492</v>
      </c>
      <c r="K78" s="9" t="n">
        <f aca="false">(parametros_manuales!$D$41*(datos_base!$D$2+datos_base!$D$18+IF(parametros_manuales!$H$41="Todos",datos_base!$D$9+datos_base!$D$23,0))*parametros_manuales!$K$95+parametros_manuales!$E$41*(datos_base!$D$3+datos_base!$D$19+IF(parametros_manuales!$H$41="Todos",datos_base!$D$10+datos_base!$D$24,0))*parametros_manuales!$K$100+parametros_manuales!$F$41*(datos_base!$D$4+datos_base!$D$20+IF(parametros_manuales!$H$41="Todos",datos_base!$D$11+datos_base!$D$25,0))*parametros_manuales!$K$105+parametros_manuales!$G$41*(datos_base!$D$5+datos_base!$D$21+IF(parametros_manuales!$H$41="Todos",datos_base!$D$12+datos_base!$D$26,0))*parametros_manuales!$K$110)*parametros_manuales!$I$41*parametros_manuales!$J$41</f>
        <v>1161.686174634</v>
      </c>
      <c r="L78" s="9" t="n">
        <f aca="false">(parametros_manuales!$D$41*(datos_base!$D$2+datos_base!$D$18+IF(parametros_manuales!$H$41="Todos",datos_base!$D$9+datos_base!$D$23,0))*parametros_manuales!$L$95+parametros_manuales!$E$41*(datos_base!$D$3+datos_base!$D$19+IF(parametros_manuales!$H$41="Todos",datos_base!$D$10+datos_base!$D$24,0))*parametros_manuales!$L$100+parametros_manuales!$F$41*(datos_base!$D$4+datos_base!$D$20+IF(parametros_manuales!$H$41="Todos",datos_base!$D$11+datos_base!$D$25,0))*parametros_manuales!$L$105+parametros_manuales!$G$41*(datos_base!$D$5+datos_base!$D$21+IF(parametros_manuales!$H$41="Todos",datos_base!$D$12+datos_base!$D$26,0))*parametros_manuales!$L$110)*parametros_manuales!$I$41*parametros_manuales!$J$41</f>
        <v>1193.746696776</v>
      </c>
      <c r="M78" s="9" t="n">
        <f aca="false">(parametros_manuales!$D$41*(datos_base!$D$2+datos_base!$D$18+IF(parametros_manuales!$H$41="Todos",datos_base!$D$9+datos_base!$D$23,0))*parametros_manuales!$M$95+parametros_manuales!$E$41*(datos_base!$D$3+datos_base!$D$19+IF(parametros_manuales!$H$41="Todos",datos_base!$D$10+datos_base!$D$24,0))*parametros_manuales!$M$100+parametros_manuales!$F$41*(datos_base!$D$4+datos_base!$D$20+IF(parametros_manuales!$H$41="Todos",datos_base!$D$11+datos_base!$D$25,0))*parametros_manuales!$M$105+parametros_manuales!$G$41*(datos_base!$D$5+datos_base!$D$21+IF(parametros_manuales!$H$41="Todos",datos_base!$D$12+datos_base!$D$26,0))*parametros_manuales!$M$110)*parametros_manuales!$I$41*parametros_manuales!$J$41</f>
        <v>1193.746696776</v>
      </c>
      <c r="N78" s="9" t="n">
        <f aca="false">SUM(B78:M78)</f>
        <v>13263.8521864</v>
      </c>
      <c r="O78" s="9" t="n">
        <f aca="false">MAX(B78:M78)</f>
        <v>1193.746696776</v>
      </c>
      <c r="P78" s="43" t="n">
        <f aca="false">O78/(parametros_manuales!$B$7)</f>
        <v>7.95831131184</v>
      </c>
      <c r="Q78" s="8" t="str">
        <f aca="false">IF(O78=0,"-",INDEX($B$55:$M$55,MATCH(O78,B78:M78,0)))</f>
        <v>Ene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datos_base!$D$2+datos_base!$D$18+IF(parametros_manuales!$H$42="Todos",datos_base!$D$9+datos_base!$D$23,0))*parametros_manuales!$B$95+parametros_manuales!$E$42*(datos_base!$D$3+datos_base!$D$19+IF(parametros_manuales!$H$42="Todos",datos_base!$D$10+datos_base!$D$24,0))*parametros_manuales!$B$100+parametros_manuales!$F$42*(datos_base!$D$4+datos_base!$D$20+IF(parametros_manuales!$H$42="Todos",datos_base!$D$11+datos_base!$D$25,0))*parametros_manuales!$B$105+parametros_manuales!$G$42*(datos_base!$D$5+datos_base!$D$21+IF(parametros_manuales!$H$42="Todos",datos_base!$D$12+datos_base!$D$26,0))*parametros_manuales!$B$110)*parametros_manuales!$I$42*parametros_manuales!$J$42</f>
        <v>1193.746696776</v>
      </c>
      <c r="C79" s="9" t="n">
        <f aca="false">(parametros_manuales!$D$42*(datos_base!$D$2+datos_base!$D$18+IF(parametros_manuales!$H$42="Todos",datos_base!$D$9+datos_base!$D$23,0))*parametros_manuales!$C$95+parametros_manuales!$E$42*(datos_base!$D$3+datos_base!$D$19+IF(parametros_manuales!$H$42="Todos",datos_base!$D$10+datos_base!$D$24,0))*parametros_manuales!$C$100+parametros_manuales!$F$42*(datos_base!$D$4+datos_base!$D$20+IF(parametros_manuales!$H$42="Todos",datos_base!$D$11+datos_base!$D$25,0))*parametros_manuales!$C$105+parametros_manuales!$G$42*(datos_base!$D$5+datos_base!$D$21+IF(parametros_manuales!$H$42="Todos",datos_base!$D$12+datos_base!$D$26,0))*parametros_manuales!$C$110)*parametros_manuales!$I$42*parametros_manuales!$J$42</f>
        <v>1129.625652492</v>
      </c>
      <c r="D79" s="9" t="n">
        <f aca="false">(parametros_manuales!$D$42*(datos_base!$D$2+datos_base!$D$18+IF(parametros_manuales!$H$42="Todos",datos_base!$D$9+datos_base!$D$23,0))*parametros_manuales!$D$95+parametros_manuales!$E$42*(datos_base!$D$3+datos_base!$D$19+IF(parametros_manuales!$H$42="Todos",datos_base!$D$10+datos_base!$D$24,0))*parametros_manuales!$D$100+parametros_manuales!$F$42*(datos_base!$D$4+datos_base!$D$20+IF(parametros_manuales!$H$42="Todos",datos_base!$D$11+datos_base!$D$25,0))*parametros_manuales!$D$105+parametros_manuales!$G$42*(datos_base!$D$5+datos_base!$D$21+IF(parametros_manuales!$H$42="Todos",datos_base!$D$12+datos_base!$D$26,0))*parametros_manuales!$D$110)*parametros_manuales!$I$42*parametros_manuales!$J$42</f>
        <v>1093.168697054</v>
      </c>
      <c r="E79" s="9" t="n">
        <f aca="false">(parametros_manuales!$D$42*(datos_base!$D$2+datos_base!$D$18+IF(parametros_manuales!$H$42="Todos",datos_base!$D$9+datos_base!$D$23,0))*parametros_manuales!$E$95+parametros_manuales!$E$42*(datos_base!$D$3+datos_base!$D$19+IF(parametros_manuales!$H$42="Todos",datos_base!$D$10+datos_base!$D$24,0))*parametros_manuales!$E$100+parametros_manuales!$F$42*(datos_base!$D$4+datos_base!$D$20+IF(parametros_manuales!$H$42="Todos",datos_base!$D$11+datos_base!$D$25,0))*parametros_manuales!$E$105+parametros_manuales!$G$42*(datos_base!$D$5+datos_base!$D$21+IF(parametros_manuales!$H$42="Todos",datos_base!$D$12+datos_base!$D$26,0))*parametros_manuales!$E$110)*parametros_manuales!$I$42*parametros_manuales!$J$42</f>
        <v>1058.909958264</v>
      </c>
      <c r="F79" s="9" t="n">
        <f aca="false">(parametros_manuales!$D$42*(datos_base!$D$2+datos_base!$D$18+IF(parametros_manuales!$H$42="Todos",datos_base!$D$9+datos_base!$D$23,0))*parametros_manuales!$F$95+parametros_manuales!$E$42*(datos_base!$D$3+datos_base!$D$19+IF(parametros_manuales!$H$42="Todos",datos_base!$D$10+datos_base!$D$24,0))*parametros_manuales!$F$100+parametros_manuales!$F$42*(datos_base!$D$4+datos_base!$D$20+IF(parametros_manuales!$H$42="Todos",datos_base!$D$11+datos_base!$D$25,0))*parametros_manuales!$F$105+parametros_manuales!$G$42*(datos_base!$D$5+datos_base!$D$21+IF(parametros_manuales!$H$42="Todos",datos_base!$D$12+datos_base!$D$26,0))*parametros_manuales!$F$110)*parametros_manuales!$I$42*parametros_manuales!$J$42</f>
        <v>992.590697332</v>
      </c>
      <c r="G79" s="9" t="n">
        <f aca="false">(parametros_manuales!$D$42*(datos_base!$D$2+datos_base!$D$18+IF(parametros_manuales!$H$42="Todos",datos_base!$D$9+datos_base!$D$23,0))*parametros_manuales!$G$95+parametros_manuales!$E$42*(datos_base!$D$3+datos_base!$D$19+IF(parametros_manuales!$H$42="Todos",datos_base!$D$10+datos_base!$D$24,0))*parametros_manuales!$G$100+parametros_manuales!$F$42*(datos_base!$D$4+datos_base!$D$20+IF(parametros_manuales!$H$42="Todos",datos_base!$D$11+datos_base!$D$25,0))*parametros_manuales!$G$105+parametros_manuales!$G$42*(datos_base!$D$5+datos_base!$D$21+IF(parametros_manuales!$H$42="Todos",datos_base!$D$12+datos_base!$D$26,0))*parametros_manuales!$G$110)*parametros_manuales!$I$42*parametros_manuales!$J$42</f>
        <v>960.53017519</v>
      </c>
      <c r="H79" s="9" t="n">
        <f aca="false">(parametros_manuales!$D$42*(datos_base!$D$2+datos_base!$D$18+IF(parametros_manuales!$H$42="Todos",datos_base!$D$9+datos_base!$D$23,0))*parametros_manuales!$H$95+parametros_manuales!$E$42*(datos_base!$D$3+datos_base!$D$19+IF(parametros_manuales!$H$42="Todos",datos_base!$D$10+datos_base!$D$24,0))*parametros_manuales!$H$100+parametros_manuales!$F$42*(datos_base!$D$4+datos_base!$D$20+IF(parametros_manuales!$H$42="Todos",datos_base!$D$11+datos_base!$D$25,0))*parametros_manuales!$H$105+parametros_manuales!$G$42*(datos_base!$D$5+datos_base!$D$21+IF(parametros_manuales!$H$42="Todos",datos_base!$D$12+datos_base!$D$26,0))*parametros_manuales!$H$110)*parametros_manuales!$I$42*parametros_manuales!$J$42</f>
        <v>1026.849436122</v>
      </c>
      <c r="I79" s="9" t="n">
        <f aca="false">(parametros_manuales!$D$42*(datos_base!$D$2+datos_base!$D$18+IF(parametros_manuales!$H$42="Todos",datos_base!$D$9+datos_base!$D$23,0))*parametros_manuales!$I$95+parametros_manuales!$E$42*(datos_base!$D$3+datos_base!$D$19+IF(parametros_manuales!$H$42="Todos",datos_base!$D$10+datos_base!$D$24,0))*parametros_manuales!$I$100+parametros_manuales!$F$42*(datos_base!$D$4+datos_base!$D$20+IF(parametros_manuales!$H$42="Todos",datos_base!$D$11+datos_base!$D$25,0))*parametros_manuales!$I$105+parametros_manuales!$G$42*(datos_base!$D$5+datos_base!$D$21+IF(parametros_manuales!$H$42="Todos",datos_base!$D$12+datos_base!$D$26,0))*parametros_manuales!$I$110)*parametros_manuales!$I$42*parametros_manuales!$J$42</f>
        <v>1129.625652492</v>
      </c>
      <c r="J79" s="9" t="n">
        <f aca="false">(parametros_manuales!$D$42*(datos_base!$D$2+datos_base!$D$18+IF(parametros_manuales!$H$42="Todos",datos_base!$D$9+datos_base!$D$23,0))*parametros_manuales!$J$95+parametros_manuales!$E$42*(datos_base!$D$3+datos_base!$D$19+IF(parametros_manuales!$H$42="Todos",datos_base!$D$10+datos_base!$D$24,0))*parametros_manuales!$J$100+parametros_manuales!$F$42*(datos_base!$D$4+datos_base!$D$20+IF(parametros_manuales!$H$42="Todos",datos_base!$D$11+datos_base!$D$25,0))*parametros_manuales!$J$105+parametros_manuales!$G$42*(datos_base!$D$5+datos_base!$D$21+IF(parametros_manuales!$H$42="Todos",datos_base!$D$12+datos_base!$D$26,0))*parametros_manuales!$J$110)*parametros_manuales!$I$42*parametros_manuales!$J$42</f>
        <v>1129.625652492</v>
      </c>
      <c r="K79" s="9" t="n">
        <f aca="false">(parametros_manuales!$D$42*(datos_base!$D$2+datos_base!$D$18+IF(parametros_manuales!$H$42="Todos",datos_base!$D$9+datos_base!$D$23,0))*parametros_manuales!$K$95+parametros_manuales!$E$42*(datos_base!$D$3+datos_base!$D$19+IF(parametros_manuales!$H$42="Todos",datos_base!$D$10+datos_base!$D$24,0))*parametros_manuales!$K$100+parametros_manuales!$F$42*(datos_base!$D$4+datos_base!$D$20+IF(parametros_manuales!$H$42="Todos",datos_base!$D$11+datos_base!$D$25,0))*parametros_manuales!$K$105+parametros_manuales!$G$42*(datos_base!$D$5+datos_base!$D$21+IF(parametros_manuales!$H$42="Todos",datos_base!$D$12+datos_base!$D$26,0))*parametros_manuales!$K$110)*parametros_manuales!$I$42*parametros_manuales!$J$42</f>
        <v>1161.686174634</v>
      </c>
      <c r="L79" s="9" t="n">
        <f aca="false">(parametros_manuales!$D$42*(datos_base!$D$2+datos_base!$D$18+IF(parametros_manuales!$H$42="Todos",datos_base!$D$9+datos_base!$D$23,0))*parametros_manuales!$L$95+parametros_manuales!$E$42*(datos_base!$D$3+datos_base!$D$19+IF(parametros_manuales!$H$42="Todos",datos_base!$D$10+datos_base!$D$24,0))*parametros_manuales!$L$100+parametros_manuales!$F$42*(datos_base!$D$4+datos_base!$D$20+IF(parametros_manuales!$H$42="Todos",datos_base!$D$11+datos_base!$D$25,0))*parametros_manuales!$L$105+parametros_manuales!$G$42*(datos_base!$D$5+datos_base!$D$21+IF(parametros_manuales!$H$42="Todos",datos_base!$D$12+datos_base!$D$26,0))*parametros_manuales!$L$110)*parametros_manuales!$I$42*parametros_manuales!$J$42</f>
        <v>1193.746696776</v>
      </c>
      <c r="M79" s="9" t="n">
        <f aca="false">(parametros_manuales!$D$42*(datos_base!$D$2+datos_base!$D$18+IF(parametros_manuales!$H$42="Todos",datos_base!$D$9+datos_base!$D$23,0))*parametros_manuales!$M$95+parametros_manuales!$E$42*(datos_base!$D$3+datos_base!$D$19+IF(parametros_manuales!$H$42="Todos",datos_base!$D$10+datos_base!$D$24,0))*parametros_manuales!$M$100+parametros_manuales!$F$42*(datos_base!$D$4+datos_base!$D$20+IF(parametros_manuales!$H$42="Todos",datos_base!$D$11+datos_base!$D$25,0))*parametros_manuales!$M$105+parametros_manuales!$G$42*(datos_base!$D$5+datos_base!$D$21+IF(parametros_manuales!$H$42="Todos",datos_base!$D$12+datos_base!$D$26,0))*parametros_manuales!$M$110)*parametros_manuales!$I$42*parametros_manuales!$J$42</f>
        <v>1193.746696776</v>
      </c>
      <c r="N79" s="9" t="n">
        <f aca="false">SUM(B79:M79)</f>
        <v>13263.8521864</v>
      </c>
      <c r="O79" s="9" t="n">
        <f aca="false">MAX(B79:M79)</f>
        <v>1193.746696776</v>
      </c>
      <c r="P79" s="43" t="n">
        <f aca="false">O79/(parametros_manuales!$B$7)</f>
        <v>7.95831131184</v>
      </c>
      <c r="Q79" s="8" t="str">
        <f aca="false">IF(O79=0,"-",INDEX($B$55:$M$55,MATCH(O79,B79:M79,0)))</f>
        <v>Ene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datos_base!$D$2+datos_base!$D$18+IF(parametros_manuales!$H$43="Todos",datos_base!$D$9+datos_base!$D$23,0))*parametros_manuales!$B$95+parametros_manuales!$E$43*(datos_base!$D$3+datos_base!$D$19+IF(parametros_manuales!$H$43="Todos",datos_base!$D$10+datos_base!$D$24,0))*parametros_manuales!$B$100+parametros_manuales!$F$43*(datos_base!$D$4+datos_base!$D$20+IF(parametros_manuales!$H$43="Todos",datos_base!$D$11+datos_base!$D$25,0))*parametros_manuales!$B$105+parametros_manuales!$G$43*(datos_base!$D$5+datos_base!$D$21+IF(parametros_manuales!$H$43="Todos",datos_base!$D$12+datos_base!$D$26,0))*parametros_manuales!$B$110)*parametros_manuales!$I$43*parametros_manuales!$J$43</f>
        <v>2064.572296776</v>
      </c>
      <c r="C80" s="9" t="n">
        <f aca="false">(parametros_manuales!$D$43*(datos_base!$D$2+datos_base!$D$18+IF(parametros_manuales!$H$43="Todos",datos_base!$D$9+datos_base!$D$23,0))*parametros_manuales!$C$95+parametros_manuales!$E$43*(datos_base!$D$3+datos_base!$D$19+IF(parametros_manuales!$H$43="Todos",datos_base!$D$10+datos_base!$D$24,0))*parametros_manuales!$C$100+parametros_manuales!$F$43*(datos_base!$D$4+datos_base!$D$20+IF(parametros_manuales!$H$43="Todos",datos_base!$D$11+datos_base!$D$25,0))*parametros_manuales!$C$105+parametros_manuales!$G$43*(datos_base!$D$5+datos_base!$D$21+IF(parametros_manuales!$H$43="Todos",datos_base!$D$12+datos_base!$D$26,0))*parametros_manuales!$C$110)*parametros_manuales!$I$43*parametros_manuales!$J$43</f>
        <v>1980.316852492</v>
      </c>
      <c r="D80" s="9" t="n">
        <f aca="false">(parametros_manuales!$D$43*(datos_base!$D$2+datos_base!$D$18+IF(parametros_manuales!$H$43="Todos",datos_base!$D$9+datos_base!$D$23,0))*parametros_manuales!$D$95+parametros_manuales!$E$43*(datos_base!$D$3+datos_base!$D$19+IF(parametros_manuales!$H$43="Todos",datos_base!$D$10+datos_base!$D$24,0))*parametros_manuales!$D$100+parametros_manuales!$F$43*(datos_base!$D$4+datos_base!$D$20+IF(parametros_manuales!$H$43="Todos",datos_base!$D$11+datos_base!$D$25,0))*parametros_manuales!$D$105+parametros_manuales!$G$43*(datos_base!$D$5+datos_base!$D$21+IF(parametros_manuales!$H$43="Todos",datos_base!$D$12+datos_base!$D$26,0))*parametros_manuales!$D$110)*parametros_manuales!$I$43*parametros_manuales!$J$43</f>
        <v>1877.303097054</v>
      </c>
      <c r="E80" s="9" t="n">
        <f aca="false">(parametros_manuales!$D$43*(datos_base!$D$2+datos_base!$D$18+IF(parametros_manuales!$H$43="Todos",datos_base!$D$9+datos_base!$D$23,0))*parametros_manuales!$E$95+parametros_manuales!$E$43*(datos_base!$D$3+datos_base!$D$19+IF(parametros_manuales!$H$43="Todos",datos_base!$D$10+datos_base!$D$24,0))*parametros_manuales!$E$100+parametros_manuales!$F$43*(datos_base!$D$4+datos_base!$D$20+IF(parametros_manuales!$H$43="Todos",datos_base!$D$11+datos_base!$D$25,0))*parametros_manuales!$E$105+parametros_manuales!$G$43*(datos_base!$D$5+datos_base!$D$21+IF(parametros_manuales!$H$43="Todos",datos_base!$D$12+datos_base!$D$26,0))*parametros_manuales!$E$110)*parametros_manuales!$I$43*parametros_manuales!$J$43</f>
        <v>1804.732358264</v>
      </c>
      <c r="F80" s="9" t="n">
        <f aca="false">(parametros_manuales!$D$43*(datos_base!$D$2+datos_base!$D$18+IF(parametros_manuales!$H$43="Todos",datos_base!$D$9+datos_base!$D$23,0))*parametros_manuales!$F$95+parametros_manuales!$E$43*(datos_base!$D$3+datos_base!$D$19+IF(parametros_manuales!$H$43="Todos",datos_base!$D$10+datos_base!$D$24,0))*parametros_manuales!$F$100+parametros_manuales!$F$43*(datos_base!$D$4+datos_base!$D$20+IF(parametros_manuales!$H$43="Todos",datos_base!$D$11+datos_base!$D$25,0))*parametros_manuales!$F$105+parametros_manuales!$G$43*(datos_base!$D$5+datos_base!$D$21+IF(parametros_manuales!$H$43="Todos",datos_base!$D$12+datos_base!$D$26,0))*parametros_manuales!$F$110)*parametros_manuales!$I$43*parametros_manuales!$J$43</f>
        <v>1690.033897332</v>
      </c>
      <c r="G80" s="9" t="n">
        <f aca="false">(parametros_manuales!$D$43*(datos_base!$D$2+datos_base!$D$18+IF(parametros_manuales!$H$43="Todos",datos_base!$D$9+datos_base!$D$23,0))*parametros_manuales!$G$95+parametros_manuales!$E$43*(datos_base!$D$3+datos_base!$D$19+IF(parametros_manuales!$H$43="Todos",datos_base!$D$10+datos_base!$D$24,0))*parametros_manuales!$G$100+parametros_manuales!$F$43*(datos_base!$D$4+datos_base!$D$20+IF(parametros_manuales!$H$43="Todos",datos_base!$D$11+datos_base!$D$25,0))*parametros_manuales!$G$105+parametros_manuales!$G$43*(datos_base!$D$5+datos_base!$D$21+IF(parametros_manuales!$H$43="Todos",datos_base!$D$12+datos_base!$D$26,0))*parametros_manuales!$G$110)*parametros_manuales!$I$43*parametros_manuales!$J$43</f>
        <v>1647.90617519</v>
      </c>
      <c r="H80" s="9" t="n">
        <f aca="false">(parametros_manuales!$D$43*(datos_base!$D$2+datos_base!$D$18+IF(parametros_manuales!$H$43="Todos",datos_base!$D$9+datos_base!$D$23,0))*parametros_manuales!$H$95+parametros_manuales!$E$43*(datos_base!$D$3+datos_base!$D$19+IF(parametros_manuales!$H$43="Todos",datos_base!$D$10+datos_base!$D$24,0))*parametros_manuales!$H$100+parametros_manuales!$F$43*(datos_base!$D$4+datos_base!$D$20+IF(parametros_manuales!$H$43="Todos",datos_base!$D$11+datos_base!$D$25,0))*parametros_manuales!$H$105+parametros_manuales!$G$43*(datos_base!$D$5+datos_base!$D$21+IF(parametros_manuales!$H$43="Todos",datos_base!$D$12+datos_base!$D$26,0))*parametros_manuales!$H$110)*parametros_manuales!$I$43*parametros_manuales!$J$43</f>
        <v>1762.604636122</v>
      </c>
      <c r="I80" s="9" t="n">
        <f aca="false">(parametros_manuales!$D$43*(datos_base!$D$2+datos_base!$D$18+IF(parametros_manuales!$H$43="Todos",datos_base!$D$9+datos_base!$D$23,0))*parametros_manuales!$I$95+parametros_manuales!$E$43*(datos_base!$D$3+datos_base!$D$19+IF(parametros_manuales!$H$43="Todos",datos_base!$D$10+datos_base!$D$24,0))*parametros_manuales!$I$100+parametros_manuales!$F$43*(datos_base!$D$4+datos_base!$D$20+IF(parametros_manuales!$H$43="Todos",datos_base!$D$11+datos_base!$D$25,0))*parametros_manuales!$I$105+parametros_manuales!$G$43*(datos_base!$D$5+datos_base!$D$21+IF(parametros_manuales!$H$43="Todos",datos_base!$D$12+datos_base!$D$26,0))*parametros_manuales!$I$110)*parametros_manuales!$I$43*parametros_manuales!$J$43</f>
        <v>1980.316852492</v>
      </c>
      <c r="J80" s="9" t="n">
        <f aca="false">(parametros_manuales!$D$43*(datos_base!$D$2+datos_base!$D$18+IF(parametros_manuales!$H$43="Todos",datos_base!$D$9+datos_base!$D$23,0))*parametros_manuales!$J$95+parametros_manuales!$E$43*(datos_base!$D$3+datos_base!$D$19+IF(parametros_manuales!$H$43="Todos",datos_base!$D$10+datos_base!$D$24,0))*parametros_manuales!$J$100+parametros_manuales!$F$43*(datos_base!$D$4+datos_base!$D$20+IF(parametros_manuales!$H$43="Todos",datos_base!$D$11+datos_base!$D$25,0))*parametros_manuales!$J$105+parametros_manuales!$G$43*(datos_base!$D$5+datos_base!$D$21+IF(parametros_manuales!$H$43="Todos",datos_base!$D$12+datos_base!$D$26,0))*parametros_manuales!$J$110)*parametros_manuales!$I$43*parametros_manuales!$J$43</f>
        <v>1980.316852492</v>
      </c>
      <c r="K80" s="9" t="n">
        <f aca="false">(parametros_manuales!$D$43*(datos_base!$D$2+datos_base!$D$18+IF(parametros_manuales!$H$43="Todos",datos_base!$D$9+datos_base!$D$23,0))*parametros_manuales!$K$95+parametros_manuales!$E$43*(datos_base!$D$3+datos_base!$D$19+IF(parametros_manuales!$H$43="Todos",datos_base!$D$10+datos_base!$D$24,0))*parametros_manuales!$K$100+parametros_manuales!$F$43*(datos_base!$D$4+datos_base!$D$20+IF(parametros_manuales!$H$43="Todos",datos_base!$D$11+datos_base!$D$25,0))*parametros_manuales!$K$105+parametros_manuales!$G$43*(datos_base!$D$5+datos_base!$D$21+IF(parametros_manuales!$H$43="Todos",datos_base!$D$12+datos_base!$D$26,0))*parametros_manuales!$K$110)*parametros_manuales!$I$43*parametros_manuales!$J$43</f>
        <v>2022.444574634</v>
      </c>
      <c r="L80" s="9" t="n">
        <f aca="false">(parametros_manuales!$D$43*(datos_base!$D$2+datos_base!$D$18+IF(parametros_manuales!$H$43="Todos",datos_base!$D$9+datos_base!$D$23,0))*parametros_manuales!$L$95+parametros_manuales!$E$43*(datos_base!$D$3+datos_base!$D$19+IF(parametros_manuales!$H$43="Todos",datos_base!$D$10+datos_base!$D$24,0))*parametros_manuales!$L$100+parametros_manuales!$F$43*(datos_base!$D$4+datos_base!$D$20+IF(parametros_manuales!$H$43="Todos",datos_base!$D$11+datos_base!$D$25,0))*parametros_manuales!$L$105+parametros_manuales!$G$43*(datos_base!$D$5+datos_base!$D$21+IF(parametros_manuales!$H$43="Todos",datos_base!$D$12+datos_base!$D$26,0))*parametros_manuales!$L$110)*parametros_manuales!$I$43*parametros_manuales!$J$43</f>
        <v>2064.572296776</v>
      </c>
      <c r="M80" s="9" t="n">
        <f aca="false">(parametros_manuales!$D$43*(datos_base!$D$2+datos_base!$D$18+IF(parametros_manuales!$H$43="Todos",datos_base!$D$9+datos_base!$D$23,0))*parametros_manuales!$M$95+parametros_manuales!$E$43*(datos_base!$D$3+datos_base!$D$19+IF(parametros_manuales!$H$43="Todos",datos_base!$D$10+datos_base!$D$24,0))*parametros_manuales!$M$100+parametros_manuales!$F$43*(datos_base!$D$4+datos_base!$D$20+IF(parametros_manuales!$H$43="Todos",datos_base!$D$11+datos_base!$D$25,0))*parametros_manuales!$M$105+parametros_manuales!$G$43*(datos_base!$D$5+datos_base!$D$21+IF(parametros_manuales!$H$43="Todos",datos_base!$D$12+datos_base!$D$26,0))*parametros_manuales!$M$110)*parametros_manuales!$I$43*parametros_manuales!$J$43</f>
        <v>2064.572296776</v>
      </c>
      <c r="N80" s="9" t="n">
        <f aca="false">SUM(B80:M80)</f>
        <v>22939.6921864</v>
      </c>
      <c r="O80" s="9" t="n">
        <f aca="false">MAX(B80:M80)</f>
        <v>2064.572296776</v>
      </c>
      <c r="P80" s="43" t="n">
        <f aca="false">O80/(parametros_manuales!$B$7)</f>
        <v>13.76381531184</v>
      </c>
      <c r="Q80" s="8" t="str">
        <f aca="false">IF(O80=0,"-",INDEX($B$55:$M$55,MATCH(O80,B80:M80,0)))</f>
        <v>Ene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193</v>
      </c>
      <c r="B82" s="7" t="s">
        <v>61</v>
      </c>
      <c r="C82" s="7" t="s">
        <v>62</v>
      </c>
      <c r="D82" s="7" t="s">
        <v>63</v>
      </c>
      <c r="E82" s="7" t="s">
        <v>64</v>
      </c>
      <c r="F82" s="7" t="s">
        <v>65</v>
      </c>
      <c r="G82" s="7" t="s">
        <v>66</v>
      </c>
      <c r="H82" s="7" t="s">
        <v>67</v>
      </c>
      <c r="I82" s="7" t="s">
        <v>68</v>
      </c>
      <c r="J82" s="7" t="s">
        <v>69</v>
      </c>
      <c r="K82" s="7" t="s">
        <v>70</v>
      </c>
      <c r="L82" s="7" t="s">
        <v>71</v>
      </c>
      <c r="M82" s="7" t="s">
        <v>72</v>
      </c>
      <c r="N82" s="7" t="s">
        <v>183</v>
      </c>
      <c r="O82" s="7" t="s">
        <v>188</v>
      </c>
      <c r="P82" s="7" t="s">
        <v>189</v>
      </c>
      <c r="Q82" s="7" t="s">
        <v>190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datos_base!$E$2+datos_base!$E$18+IF(parametros_manuales!$H$19="Todos",datos_base!$E$9+datos_base!$E$23,0))*parametros_manuales!$B$95+parametros_manuales!$E$19*(datos_base!$E$3+datos_base!$E$19+IF(parametros_manuales!$H$19="Todos",datos_base!$E$10+datos_base!$E$24,0))*parametros_manuales!$B$100+parametros_manuales!$F$19*(datos_base!$E$4+datos_base!$E$20+IF(parametros_manuales!$H$19="Todos",datos_base!$E$11+datos_base!$E$25,0))*parametros_manuales!$B$105+parametros_manuales!$G$19*(datos_base!$E$5+datos_base!$E$21+IF(parametros_manuales!$H$19="Todos",datos_base!$E$12+datos_base!$E$26,0))*parametros_manuales!$B$110)*parametros_manuales!$I$19*parametros_manuales!$J$19</f>
        <v>4564.500257709</v>
      </c>
      <c r="C83" s="9" t="n">
        <f aca="false">(parametros_manuales!$D$19*(datos_base!$E$2+datos_base!$E$18+IF(parametros_manuales!$H$19="Todos",datos_base!$E$9+datos_base!$E$23,0))*parametros_manuales!$C$95+parametros_manuales!$E$19*(datos_base!$E$3+datos_base!$E$19+IF(parametros_manuales!$H$19="Todos",datos_base!$E$10+datos_base!$E$24,0))*parametros_manuales!$C$100+parametros_manuales!$F$19*(datos_base!$E$4+datos_base!$E$20+IF(parametros_manuales!$H$19="Todos",datos_base!$E$11+datos_base!$E$25,0))*parametros_manuales!$C$105+parametros_manuales!$G$19*(datos_base!$E$5+datos_base!$E$21+IF(parametros_manuales!$H$19="Todos",datos_base!$E$12+datos_base!$E$26,0))*parametros_manuales!$C$110)*parametros_manuales!$I$19*parametros_manuales!$J$19</f>
        <v>4408.952917898</v>
      </c>
      <c r="D83" s="9" t="n">
        <f aca="false">(parametros_manuales!$D$19*(datos_base!$E$2+datos_base!$E$18+IF(parametros_manuales!$H$19="Todos",datos_base!$E$9+datos_base!$E$23,0))*parametros_manuales!$D$95+parametros_manuales!$E$19*(datos_base!$E$3+datos_base!$E$19+IF(parametros_manuales!$H$19="Todos",datos_base!$E$10+datos_base!$E$24,0))*parametros_manuales!$D$100+parametros_manuales!$F$19*(datos_base!$E$4+datos_base!$E$20+IF(parametros_manuales!$H$19="Todos",datos_base!$E$11+datos_base!$E$25,0))*parametros_manuales!$D$105+parametros_manuales!$G$19*(datos_base!$E$5+datos_base!$E$21+IF(parametros_manuales!$H$19="Todos",datos_base!$E$12+datos_base!$E$26,0))*parametros_manuales!$D$110)*parametros_manuales!$I$19*parametros_manuales!$J$19</f>
        <v>4135.1072323135</v>
      </c>
      <c r="E83" s="9" t="n">
        <f aca="false">(parametros_manuales!$D$19*(datos_base!$E$2+datos_base!$E$18+IF(parametros_manuales!$H$19="Todos",datos_base!$E$9+datos_base!$E$23,0))*parametros_manuales!$E$95+parametros_manuales!$E$19*(datos_base!$E$3+datos_base!$E$19+IF(parametros_manuales!$H$19="Todos",datos_base!$E$10+datos_base!$E$24,0))*parametros_manuales!$E$100+parametros_manuales!$F$19*(datos_base!$E$4+datos_base!$E$20+IF(parametros_manuales!$H$19="Todos",datos_base!$E$11+datos_base!$E$25,0))*parametros_manuales!$E$105+parametros_manuales!$G$19*(datos_base!$E$5+datos_base!$E$21+IF(parametros_manuales!$H$19="Todos",datos_base!$E$12+datos_base!$E$26,0))*parametros_manuales!$E$110)*parametros_manuales!$I$19*parametros_manuales!$J$19</f>
        <v>3959.2975545685</v>
      </c>
      <c r="F83" s="9" t="n">
        <f aca="false">(parametros_manuales!$D$19*(datos_base!$E$2+datos_base!$E$18+IF(parametros_manuales!$H$19="Todos",datos_base!$E$9+datos_base!$E$23,0))*parametros_manuales!$F$95+parametros_manuales!$E$19*(datos_base!$E$3+datos_base!$E$19+IF(parametros_manuales!$H$19="Todos",datos_base!$E$10+datos_base!$E$24,0))*parametros_manuales!$F$100+parametros_manuales!$F$19*(datos_base!$E$4+datos_base!$E$20+IF(parametros_manuales!$H$19="Todos",datos_base!$E$11+datos_base!$E$25,0))*parametros_manuales!$F$105+parametros_manuales!$G$19*(datos_base!$E$5+datos_base!$E$21+IF(parametros_manuales!$H$19="Todos",datos_base!$E$12+datos_base!$E$26,0))*parametros_manuales!$F$110)*parametros_manuales!$I$19*parametros_manuales!$J$19</f>
        <v>3705.714206918</v>
      </c>
      <c r="G83" s="9" t="n">
        <f aca="false">(parametros_manuales!$D$19*(datos_base!$E$2+datos_base!$E$18+IF(parametros_manuales!$H$19="Todos",datos_base!$E$9+datos_base!$E$23,0))*parametros_manuales!$G$95+parametros_manuales!$E$19*(datos_base!$E$3+datos_base!$E$19+IF(parametros_manuales!$H$19="Todos",datos_base!$E$10+datos_base!$E$24,0))*parametros_manuales!$G$100+parametros_manuales!$F$19*(datos_base!$E$4+datos_base!$E$20+IF(parametros_manuales!$H$19="Todos",datos_base!$E$11+datos_base!$E$25,0))*parametros_manuales!$G$105+parametros_manuales!$G$19*(datos_base!$E$5+datos_base!$E$21+IF(parametros_manuales!$H$19="Todos",datos_base!$E$12+datos_base!$E$26,0))*parametros_manuales!$G$110)*parametros_manuales!$I$19*parametros_manuales!$J$19</f>
        <v>3627.9405370125</v>
      </c>
      <c r="H83" s="9" t="n">
        <f aca="false">(parametros_manuales!$D$19*(datos_base!$E$2+datos_base!$E$18+IF(parametros_manuales!$H$19="Todos",datos_base!$E$9+datos_base!$E$23,0))*parametros_manuales!$H$95+parametros_manuales!$E$19*(datos_base!$E$3+datos_base!$E$19+IF(parametros_manuales!$H$19="Todos",datos_base!$E$10+datos_base!$E$24,0))*parametros_manuales!$H$100+parametros_manuales!$F$19*(datos_base!$E$4+datos_base!$E$20+IF(parametros_manuales!$H$19="Todos",datos_base!$E$11+datos_base!$E$25,0))*parametros_manuales!$H$105+parametros_manuales!$G$19*(datos_base!$E$5+datos_base!$E$21+IF(parametros_manuales!$H$19="Todos",datos_base!$E$12+datos_base!$E$26,0))*parametros_manuales!$H$110)*parametros_manuales!$I$19*parametros_manuales!$J$19</f>
        <v>3881.523884663</v>
      </c>
      <c r="I83" s="9" t="n">
        <f aca="false">(parametros_manuales!$D$19*(datos_base!$E$2+datos_base!$E$18+IF(parametros_manuales!$H$19="Todos",datos_base!$E$9+datos_base!$E$23,0))*parametros_manuales!$I$95+parametros_manuales!$E$19*(datos_base!$E$3+datos_base!$E$19+IF(parametros_manuales!$H$19="Todos",datos_base!$E$10+datos_base!$E$24,0))*parametros_manuales!$I$100+parametros_manuales!$F$19*(datos_base!$E$4+datos_base!$E$20+IF(parametros_manuales!$H$19="Todos",datos_base!$E$11+datos_base!$E$25,0))*parametros_manuales!$I$105+parametros_manuales!$G$19*(datos_base!$E$5+datos_base!$E$21+IF(parametros_manuales!$H$19="Todos",datos_base!$E$12+datos_base!$E$26,0))*parametros_manuales!$I$110)*parametros_manuales!$I$19*parametros_manuales!$J$19</f>
        <v>4408.952917898</v>
      </c>
      <c r="J83" s="9" t="n">
        <f aca="false">(parametros_manuales!$D$19*(datos_base!$E$2+datos_base!$E$18+IF(parametros_manuales!$H$19="Todos",datos_base!$E$9+datos_base!$E$23,0))*parametros_manuales!$J$95+parametros_manuales!$E$19*(datos_base!$E$3+datos_base!$E$19+IF(parametros_manuales!$H$19="Todos",datos_base!$E$10+datos_base!$E$24,0))*parametros_manuales!$J$100+parametros_manuales!$F$19*(datos_base!$E$4+datos_base!$E$20+IF(parametros_manuales!$H$19="Todos",datos_base!$E$11+datos_base!$E$25,0))*parametros_manuales!$J$105+parametros_manuales!$G$19*(datos_base!$E$5+datos_base!$E$21+IF(parametros_manuales!$H$19="Todos",datos_base!$E$12+datos_base!$E$26,0))*parametros_manuales!$J$110)*parametros_manuales!$I$19*parametros_manuales!$J$19</f>
        <v>4408.952917898</v>
      </c>
      <c r="K83" s="9" t="n">
        <f aca="false">(parametros_manuales!$D$19*(datos_base!$E$2+datos_base!$E$18+IF(parametros_manuales!$H$19="Todos",datos_base!$E$9+datos_base!$E$23,0))*parametros_manuales!$K$95+parametros_manuales!$E$19*(datos_base!$E$3+datos_base!$E$19+IF(parametros_manuales!$H$19="Todos",datos_base!$E$10+datos_base!$E$24,0))*parametros_manuales!$K$100+parametros_manuales!$F$19*(datos_base!$E$4+datos_base!$E$20+IF(parametros_manuales!$H$19="Todos",datos_base!$E$11+datos_base!$E$25,0))*parametros_manuales!$K$105+parametros_manuales!$G$19*(datos_base!$E$5+datos_base!$E$21+IF(parametros_manuales!$H$19="Todos",datos_base!$E$12+datos_base!$E$26,0))*parametros_manuales!$K$110)*parametros_manuales!$I$19*parametros_manuales!$J$19</f>
        <v>4486.7265878035</v>
      </c>
      <c r="L83" s="9" t="n">
        <f aca="false">(parametros_manuales!$D$19*(datos_base!$E$2+datos_base!$E$18+IF(parametros_manuales!$H$19="Todos",datos_base!$E$9+datos_base!$E$23,0))*parametros_manuales!$L$95+parametros_manuales!$E$19*(datos_base!$E$3+datos_base!$E$19+IF(parametros_manuales!$H$19="Todos",datos_base!$E$10+datos_base!$E$24,0))*parametros_manuales!$L$100+parametros_manuales!$F$19*(datos_base!$E$4+datos_base!$E$20+IF(parametros_manuales!$H$19="Todos",datos_base!$E$11+datos_base!$E$25,0))*parametros_manuales!$L$105+parametros_manuales!$G$19*(datos_base!$E$5+datos_base!$E$21+IF(parametros_manuales!$H$19="Todos",datos_base!$E$12+datos_base!$E$26,0))*parametros_manuales!$L$110)*parametros_manuales!$I$19*parametros_manuales!$J$19</f>
        <v>4564.500257709</v>
      </c>
      <c r="M83" s="9" t="n">
        <f aca="false">(parametros_manuales!$D$19*(datos_base!$E$2+datos_base!$E$18+IF(parametros_manuales!$H$19="Todos",datos_base!$E$9+datos_base!$E$23,0))*parametros_manuales!$M$95+parametros_manuales!$E$19*(datos_base!$E$3+datos_base!$E$19+IF(parametros_manuales!$H$19="Todos",datos_base!$E$10+datos_base!$E$24,0))*parametros_manuales!$M$100+parametros_manuales!$F$19*(datos_base!$E$4+datos_base!$E$20+IF(parametros_manuales!$H$19="Todos",datos_base!$E$11+datos_base!$E$25,0))*parametros_manuales!$M$105+parametros_manuales!$G$19*(datos_base!$E$5+datos_base!$E$21+IF(parametros_manuales!$H$19="Todos",datos_base!$E$12+datos_base!$E$26,0))*parametros_manuales!$M$110)*parametros_manuales!$I$19*parametros_manuales!$J$19</f>
        <v>4564.500257709</v>
      </c>
      <c r="N83" s="9" t="n">
        <f aca="false">SUM(B83:M83)</f>
        <v>50716.6695301</v>
      </c>
      <c r="O83" s="9" t="n">
        <f aca="false">MAX(B83:M83)</f>
        <v>4564.500257709</v>
      </c>
      <c r="P83" s="43" t="n">
        <f aca="false">O83/(parametros_manuales!$B$7)</f>
        <v>30.43000171806</v>
      </c>
      <c r="Q83" s="8" t="str">
        <f aca="false">IF(O83=0,"-",INDEX($B$82:$M$82,MATCH(O83,B83:M83,0)))</f>
        <v>Ene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datos_base!$E$2+datos_base!$E$18+IF(parametros_manuales!$H$20="Todos",datos_base!$E$9+datos_base!$E$23,0))*parametros_manuales!$B$95+parametros_manuales!$E$20*(datos_base!$E$3+datos_base!$E$19+IF(parametros_manuales!$H$20="Todos",datos_base!$E$10+datos_base!$E$24,0))*parametros_manuales!$B$100+parametros_manuales!$F$20*(datos_base!$E$4+datos_base!$E$20+IF(parametros_manuales!$H$20="Todos",datos_base!$E$11+datos_base!$E$25,0))*parametros_manuales!$B$105+parametros_manuales!$G$20*(datos_base!$E$5+datos_base!$E$21+IF(parametros_manuales!$H$20="Todos",datos_base!$E$12+datos_base!$E$26,0))*parametros_manuales!$B$110)*parametros_manuales!$I$20*parametros_manuales!$J$20</f>
        <v>1399.926058299</v>
      </c>
      <c r="C84" s="9" t="n">
        <f aca="false">(parametros_manuales!$D$20*(datos_base!$E$2+datos_base!$E$18+IF(parametros_manuales!$H$20="Todos",datos_base!$E$9+datos_base!$E$23,0))*parametros_manuales!$C$95+parametros_manuales!$E$20*(datos_base!$E$3+datos_base!$E$19+IF(parametros_manuales!$H$20="Todos",datos_base!$E$10+datos_base!$E$24,0))*parametros_manuales!$C$100+parametros_manuales!$F$20*(datos_base!$E$4+datos_base!$E$20+IF(parametros_manuales!$H$20="Todos",datos_base!$E$11+datos_base!$E$25,0))*parametros_manuales!$C$105+parametros_manuales!$G$20*(datos_base!$E$5+datos_base!$E$21+IF(parametros_manuales!$H$20="Todos",datos_base!$E$12+datos_base!$E$26,0))*parametros_manuales!$C$110)*parametros_manuales!$I$20*parametros_manuales!$J$20</f>
        <v>1244.378718488</v>
      </c>
      <c r="D84" s="9" t="n">
        <f aca="false">(parametros_manuales!$D$20*(datos_base!$E$2+datos_base!$E$18+IF(parametros_manuales!$H$20="Todos",datos_base!$E$9+datos_base!$E$23,0))*parametros_manuales!$D$95+parametros_manuales!$E$20*(datos_base!$E$3+datos_base!$E$19+IF(parametros_manuales!$H$20="Todos",datos_base!$E$10+datos_base!$E$24,0))*parametros_manuales!$D$100+parametros_manuales!$F$20*(datos_base!$E$4+datos_base!$E$20+IF(parametros_manuales!$H$20="Todos",datos_base!$E$11+datos_base!$E$25,0))*parametros_manuales!$D$105+parametros_manuales!$G$20*(datos_base!$E$5+datos_base!$E$21+IF(parametros_manuales!$H$20="Todos",datos_base!$E$12+datos_base!$E$26,0))*parametros_manuales!$D$110)*parametros_manuales!$I$20*parametros_manuales!$J$20</f>
        <v>1322.1523883935</v>
      </c>
      <c r="E84" s="9" t="n">
        <f aca="false">(parametros_manuales!$D$20*(datos_base!$E$2+datos_base!$E$18+IF(parametros_manuales!$H$20="Todos",datos_base!$E$9+datos_base!$E$23,0))*parametros_manuales!$E$95+parametros_manuales!$E$20*(datos_base!$E$3+datos_base!$E$19+IF(parametros_manuales!$H$20="Todos",datos_base!$E$10+datos_base!$E$24,0))*parametros_manuales!$E$100+parametros_manuales!$F$20*(datos_base!$E$4+datos_base!$E$20+IF(parametros_manuales!$H$20="Todos",datos_base!$E$11+datos_base!$E$25,0))*parametros_manuales!$E$105+parametros_manuales!$G$20*(datos_base!$E$5+datos_base!$E$21+IF(parametros_manuales!$H$20="Todos",datos_base!$E$12+datos_base!$E$26,0))*parametros_manuales!$E$110)*parametros_manuales!$I$20*parametros_manuales!$J$20</f>
        <v>1322.1523883935</v>
      </c>
      <c r="F84" s="9" t="n">
        <f aca="false">(parametros_manuales!$D$20*(datos_base!$E$2+datos_base!$E$18+IF(parametros_manuales!$H$20="Todos",datos_base!$E$9+datos_base!$E$23,0))*parametros_manuales!$F$95+parametros_manuales!$E$20*(datos_base!$E$3+datos_base!$E$19+IF(parametros_manuales!$H$20="Todos",datos_base!$E$10+datos_base!$E$24,0))*parametros_manuales!$F$100+parametros_manuales!$F$20*(datos_base!$E$4+datos_base!$E$20+IF(parametros_manuales!$H$20="Todos",datos_base!$E$11+datos_base!$E$25,0))*parametros_manuales!$F$105+parametros_manuales!$G$20*(datos_base!$E$5+datos_base!$E$21+IF(parametros_manuales!$H$20="Todos",datos_base!$E$12+datos_base!$E$26,0))*parametros_manuales!$F$110)*parametros_manuales!$I$20*parametros_manuales!$J$20</f>
        <v>1244.378718488</v>
      </c>
      <c r="G84" s="9" t="n">
        <f aca="false">(parametros_manuales!$D$20*(datos_base!$E$2+datos_base!$E$18+IF(parametros_manuales!$H$20="Todos",datos_base!$E$9+datos_base!$E$23,0))*parametros_manuales!$G$95+parametros_manuales!$E$20*(datos_base!$E$3+datos_base!$E$19+IF(parametros_manuales!$H$20="Todos",datos_base!$E$10+datos_base!$E$24,0))*parametros_manuales!$G$100+parametros_manuales!$F$20*(datos_base!$E$4+datos_base!$E$20+IF(parametros_manuales!$H$20="Todos",datos_base!$E$11+datos_base!$E$25,0))*parametros_manuales!$G$105+parametros_manuales!$G$20*(datos_base!$E$5+datos_base!$E$21+IF(parametros_manuales!$H$20="Todos",datos_base!$E$12+datos_base!$E$26,0))*parametros_manuales!$G$110)*parametros_manuales!$I$20*parametros_manuales!$J$20</f>
        <v>1166.6050485825</v>
      </c>
      <c r="H84" s="9" t="n">
        <f aca="false">(parametros_manuales!$D$20*(datos_base!$E$2+datos_base!$E$18+IF(parametros_manuales!$H$20="Todos",datos_base!$E$9+datos_base!$E$23,0))*parametros_manuales!$H$95+parametros_manuales!$E$20*(datos_base!$E$3+datos_base!$E$19+IF(parametros_manuales!$H$20="Todos",datos_base!$E$10+datos_base!$E$24,0))*parametros_manuales!$H$100+parametros_manuales!$F$20*(datos_base!$E$4+datos_base!$E$20+IF(parametros_manuales!$H$20="Todos",datos_base!$E$11+datos_base!$E$25,0))*parametros_manuales!$H$105+parametros_manuales!$G$20*(datos_base!$E$5+datos_base!$E$21+IF(parametros_manuales!$H$20="Todos",datos_base!$E$12+datos_base!$E$26,0))*parametros_manuales!$H$110)*parametros_manuales!$I$20*parametros_manuales!$J$20</f>
        <v>1244.378718488</v>
      </c>
      <c r="I84" s="9" t="n">
        <f aca="false">(parametros_manuales!$D$20*(datos_base!$E$2+datos_base!$E$18+IF(parametros_manuales!$H$20="Todos",datos_base!$E$9+datos_base!$E$23,0))*parametros_manuales!$I$95+parametros_manuales!$E$20*(datos_base!$E$3+datos_base!$E$19+IF(parametros_manuales!$H$20="Todos",datos_base!$E$10+datos_base!$E$24,0))*parametros_manuales!$I$100+parametros_manuales!$F$20*(datos_base!$E$4+datos_base!$E$20+IF(parametros_manuales!$H$20="Todos",datos_base!$E$11+datos_base!$E$25,0))*parametros_manuales!$I$105+parametros_manuales!$G$20*(datos_base!$E$5+datos_base!$E$21+IF(parametros_manuales!$H$20="Todos",datos_base!$E$12+datos_base!$E$26,0))*parametros_manuales!$I$110)*parametros_manuales!$I$20*parametros_manuales!$J$20</f>
        <v>1244.378718488</v>
      </c>
      <c r="J84" s="9" t="n">
        <f aca="false">(parametros_manuales!$D$20*(datos_base!$E$2+datos_base!$E$18+IF(parametros_manuales!$H$20="Todos",datos_base!$E$9+datos_base!$E$23,0))*parametros_manuales!$J$95+parametros_manuales!$E$20*(datos_base!$E$3+datos_base!$E$19+IF(parametros_manuales!$H$20="Todos",datos_base!$E$10+datos_base!$E$24,0))*parametros_manuales!$J$100+parametros_manuales!$F$20*(datos_base!$E$4+datos_base!$E$20+IF(parametros_manuales!$H$20="Todos",datos_base!$E$11+datos_base!$E$25,0))*parametros_manuales!$J$105+parametros_manuales!$G$20*(datos_base!$E$5+datos_base!$E$21+IF(parametros_manuales!$H$20="Todos",datos_base!$E$12+datos_base!$E$26,0))*parametros_manuales!$J$110)*parametros_manuales!$I$20*parametros_manuales!$J$20</f>
        <v>1244.378718488</v>
      </c>
      <c r="K84" s="9" t="n">
        <f aca="false">(parametros_manuales!$D$20*(datos_base!$E$2+datos_base!$E$18+IF(parametros_manuales!$H$20="Todos",datos_base!$E$9+datos_base!$E$23,0))*parametros_manuales!$K$95+parametros_manuales!$E$20*(datos_base!$E$3+datos_base!$E$19+IF(parametros_manuales!$H$20="Todos",datos_base!$E$10+datos_base!$E$24,0))*parametros_manuales!$K$100+parametros_manuales!$F$20*(datos_base!$E$4+datos_base!$E$20+IF(parametros_manuales!$H$20="Todos",datos_base!$E$11+datos_base!$E$25,0))*parametros_manuales!$K$105+parametros_manuales!$G$20*(datos_base!$E$5+datos_base!$E$21+IF(parametros_manuales!$H$20="Todos",datos_base!$E$12+datos_base!$E$26,0))*parametros_manuales!$K$110)*parametros_manuales!$I$20*parametros_manuales!$J$20</f>
        <v>1322.1523883935</v>
      </c>
      <c r="L84" s="9" t="n">
        <f aca="false">(parametros_manuales!$D$20*(datos_base!$E$2+datos_base!$E$18+IF(parametros_manuales!$H$20="Todos",datos_base!$E$9+datos_base!$E$23,0))*parametros_manuales!$L$95+parametros_manuales!$E$20*(datos_base!$E$3+datos_base!$E$19+IF(parametros_manuales!$H$20="Todos",datos_base!$E$10+datos_base!$E$24,0))*parametros_manuales!$L$100+parametros_manuales!$F$20*(datos_base!$E$4+datos_base!$E$20+IF(parametros_manuales!$H$20="Todos",datos_base!$E$11+datos_base!$E$25,0))*parametros_manuales!$L$105+parametros_manuales!$G$20*(datos_base!$E$5+datos_base!$E$21+IF(parametros_manuales!$H$20="Todos",datos_base!$E$12+datos_base!$E$26,0))*parametros_manuales!$L$110)*parametros_manuales!$I$20*parametros_manuales!$J$20</f>
        <v>1399.926058299</v>
      </c>
      <c r="M84" s="9" t="n">
        <f aca="false">(parametros_manuales!$D$20*(datos_base!$E$2+datos_base!$E$18+IF(parametros_manuales!$H$20="Todos",datos_base!$E$9+datos_base!$E$23,0))*parametros_manuales!$M$95+parametros_manuales!$E$20*(datos_base!$E$3+datos_base!$E$19+IF(parametros_manuales!$H$20="Todos",datos_base!$E$10+datos_base!$E$24,0))*parametros_manuales!$M$100+parametros_manuales!$F$20*(datos_base!$E$4+datos_base!$E$20+IF(parametros_manuales!$H$20="Todos",datos_base!$E$11+datos_base!$E$25,0))*parametros_manuales!$M$105+parametros_manuales!$G$20*(datos_base!$E$5+datos_base!$E$21+IF(parametros_manuales!$H$20="Todos",datos_base!$E$12+datos_base!$E$26,0))*parametros_manuales!$M$110)*parametros_manuales!$I$20*parametros_manuales!$J$20</f>
        <v>1399.926058299</v>
      </c>
      <c r="N84" s="9" t="n">
        <f aca="false">SUM(B84:M84)</f>
        <v>15554.7339811</v>
      </c>
      <c r="O84" s="9" t="n">
        <f aca="false">MAX(B84:M84)</f>
        <v>1399.926058299</v>
      </c>
      <c r="P84" s="43" t="n">
        <f aca="false">O84/(parametros_manuales!$B$7)</f>
        <v>9.33284038866</v>
      </c>
      <c r="Q84" s="8" t="str">
        <f aca="false">IF(O84=0,"-",INDEX($B$82:$M$82,MATCH(O84,B84:M84,0)))</f>
        <v>Ene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datos_base!$E$2+datos_base!$E$18+IF(parametros_manuales!$H$21="Todos",datos_base!$E$9+datos_base!$E$23,0))*parametros_manuales!$B$95+parametros_manuales!$E$21*(datos_base!$E$3+datos_base!$E$19+IF(parametros_manuales!$H$21="Todos",datos_base!$E$10+datos_base!$E$24,0))*parametros_manuales!$B$100+parametros_manuales!$F$21*(datos_base!$E$4+datos_base!$E$20+IF(parametros_manuales!$H$21="Todos",datos_base!$E$11+datos_base!$E$25,0))*parametros_manuales!$B$105+parametros_manuales!$G$21*(datos_base!$E$5+datos_base!$E$21+IF(parametros_manuales!$H$21="Todos",datos_base!$E$12+datos_base!$E$26,0))*parametros_manuales!$B$110)*parametros_manuales!$I$21*parametros_manuales!$J$21</f>
        <v>3164.57419941</v>
      </c>
      <c r="C85" s="9" t="n">
        <f aca="false">(parametros_manuales!$D$21*(datos_base!$E$2+datos_base!$E$18+IF(parametros_manuales!$H$21="Todos",datos_base!$E$9+datos_base!$E$23,0))*parametros_manuales!$C$95+parametros_manuales!$E$21*(datos_base!$E$3+datos_base!$E$19+IF(parametros_manuales!$H$21="Todos",datos_base!$E$10+datos_base!$E$24,0))*parametros_manuales!$C$100+parametros_manuales!$F$21*(datos_base!$E$4+datos_base!$E$20+IF(parametros_manuales!$H$21="Todos",datos_base!$E$11+datos_base!$E$25,0))*parametros_manuales!$C$105+parametros_manuales!$G$21*(datos_base!$E$5+datos_base!$E$21+IF(parametros_manuales!$H$21="Todos",datos_base!$E$12+datos_base!$E$26,0))*parametros_manuales!$C$110)*parametros_manuales!$I$21*parametros_manuales!$J$21</f>
        <v>3164.57419941</v>
      </c>
      <c r="D85" s="9" t="n">
        <f aca="false">(parametros_manuales!$D$21*(datos_base!$E$2+datos_base!$E$18+IF(parametros_manuales!$H$21="Todos",datos_base!$E$9+datos_base!$E$23,0))*parametros_manuales!$D$95+parametros_manuales!$E$21*(datos_base!$E$3+datos_base!$E$19+IF(parametros_manuales!$H$21="Todos",datos_base!$E$10+datos_base!$E$24,0))*parametros_manuales!$D$100+parametros_manuales!$F$21*(datos_base!$E$4+datos_base!$E$20+IF(parametros_manuales!$H$21="Todos",datos_base!$E$11+datos_base!$E$25,0))*parametros_manuales!$D$105+parametros_manuales!$G$21*(datos_base!$E$5+datos_base!$E$21+IF(parametros_manuales!$H$21="Todos",datos_base!$E$12+datos_base!$E$26,0))*parametros_manuales!$D$110)*parametros_manuales!$I$21*parametros_manuales!$J$21</f>
        <v>2812.95484392</v>
      </c>
      <c r="E85" s="9" t="n">
        <f aca="false">(parametros_manuales!$D$21*(datos_base!$E$2+datos_base!$E$18+IF(parametros_manuales!$H$21="Todos",datos_base!$E$9+datos_base!$E$23,0))*parametros_manuales!$E$95+parametros_manuales!$E$21*(datos_base!$E$3+datos_base!$E$19+IF(parametros_manuales!$H$21="Todos",datos_base!$E$10+datos_base!$E$24,0))*parametros_manuales!$E$100+parametros_manuales!$F$21*(datos_base!$E$4+datos_base!$E$20+IF(parametros_manuales!$H$21="Todos",datos_base!$E$11+datos_base!$E$25,0))*parametros_manuales!$E$105+parametros_manuales!$G$21*(datos_base!$E$5+datos_base!$E$21+IF(parametros_manuales!$H$21="Todos",datos_base!$E$12+datos_base!$E$26,0))*parametros_manuales!$E$110)*parametros_manuales!$I$21*parametros_manuales!$J$21</f>
        <v>2637.145166175</v>
      </c>
      <c r="F85" s="9" t="n">
        <f aca="false">(parametros_manuales!$D$21*(datos_base!$E$2+datos_base!$E$18+IF(parametros_manuales!$H$21="Todos",datos_base!$E$9+datos_base!$E$23,0))*parametros_manuales!$F$95+parametros_manuales!$E$21*(datos_base!$E$3+datos_base!$E$19+IF(parametros_manuales!$H$21="Todos",datos_base!$E$10+datos_base!$E$24,0))*parametros_manuales!$F$100+parametros_manuales!$F$21*(datos_base!$E$4+datos_base!$E$20+IF(parametros_manuales!$H$21="Todos",datos_base!$E$11+datos_base!$E$25,0))*parametros_manuales!$F$105+parametros_manuales!$G$21*(datos_base!$E$5+datos_base!$E$21+IF(parametros_manuales!$H$21="Todos",datos_base!$E$12+datos_base!$E$26,0))*parametros_manuales!$F$110)*parametros_manuales!$I$21*parametros_manuales!$J$21</f>
        <v>2461.33548843</v>
      </c>
      <c r="G85" s="9" t="n">
        <f aca="false">(parametros_manuales!$D$21*(datos_base!$E$2+datos_base!$E$18+IF(parametros_manuales!$H$21="Todos",datos_base!$E$9+datos_base!$E$23,0))*parametros_manuales!$G$95+parametros_manuales!$E$21*(datos_base!$E$3+datos_base!$E$19+IF(parametros_manuales!$H$21="Todos",datos_base!$E$10+datos_base!$E$24,0))*parametros_manuales!$G$100+parametros_manuales!$F$21*(datos_base!$E$4+datos_base!$E$20+IF(parametros_manuales!$H$21="Todos",datos_base!$E$11+datos_base!$E$25,0))*parametros_manuales!$G$105+parametros_manuales!$G$21*(datos_base!$E$5+datos_base!$E$21+IF(parametros_manuales!$H$21="Todos",datos_base!$E$12+datos_base!$E$26,0))*parametros_manuales!$G$110)*parametros_manuales!$I$21*parametros_manuales!$J$21</f>
        <v>2461.33548843</v>
      </c>
      <c r="H85" s="9" t="n">
        <f aca="false">(parametros_manuales!$D$21*(datos_base!$E$2+datos_base!$E$18+IF(parametros_manuales!$H$21="Todos",datos_base!$E$9+datos_base!$E$23,0))*parametros_manuales!$H$95+parametros_manuales!$E$21*(datos_base!$E$3+datos_base!$E$19+IF(parametros_manuales!$H$21="Todos",datos_base!$E$10+datos_base!$E$24,0))*parametros_manuales!$H$100+parametros_manuales!$F$21*(datos_base!$E$4+datos_base!$E$20+IF(parametros_manuales!$H$21="Todos",datos_base!$E$11+datos_base!$E$25,0))*parametros_manuales!$H$105+parametros_manuales!$G$21*(datos_base!$E$5+datos_base!$E$21+IF(parametros_manuales!$H$21="Todos",datos_base!$E$12+datos_base!$E$26,0))*parametros_manuales!$H$110)*parametros_manuales!$I$21*parametros_manuales!$J$21</f>
        <v>2637.145166175</v>
      </c>
      <c r="I85" s="9" t="n">
        <f aca="false">(parametros_manuales!$D$21*(datos_base!$E$2+datos_base!$E$18+IF(parametros_manuales!$H$21="Todos",datos_base!$E$9+datos_base!$E$23,0))*parametros_manuales!$I$95+parametros_manuales!$E$21*(datos_base!$E$3+datos_base!$E$19+IF(parametros_manuales!$H$21="Todos",datos_base!$E$10+datos_base!$E$24,0))*parametros_manuales!$I$100+parametros_manuales!$F$21*(datos_base!$E$4+datos_base!$E$20+IF(parametros_manuales!$H$21="Todos",datos_base!$E$11+datos_base!$E$25,0))*parametros_manuales!$I$105+parametros_manuales!$G$21*(datos_base!$E$5+datos_base!$E$21+IF(parametros_manuales!$H$21="Todos",datos_base!$E$12+datos_base!$E$26,0))*parametros_manuales!$I$110)*parametros_manuales!$I$21*parametros_manuales!$J$21</f>
        <v>3164.57419941</v>
      </c>
      <c r="J85" s="9" t="n">
        <f aca="false">(parametros_manuales!$D$21*(datos_base!$E$2+datos_base!$E$18+IF(parametros_manuales!$H$21="Todos",datos_base!$E$9+datos_base!$E$23,0))*parametros_manuales!$J$95+parametros_manuales!$E$21*(datos_base!$E$3+datos_base!$E$19+IF(parametros_manuales!$H$21="Todos",datos_base!$E$10+datos_base!$E$24,0))*parametros_manuales!$J$100+parametros_manuales!$F$21*(datos_base!$E$4+datos_base!$E$20+IF(parametros_manuales!$H$21="Todos",datos_base!$E$11+datos_base!$E$25,0))*parametros_manuales!$J$105+parametros_manuales!$G$21*(datos_base!$E$5+datos_base!$E$21+IF(parametros_manuales!$H$21="Todos",datos_base!$E$12+datos_base!$E$26,0))*parametros_manuales!$J$110)*parametros_manuales!$I$21*parametros_manuales!$J$21</f>
        <v>3164.57419941</v>
      </c>
      <c r="K85" s="9" t="n">
        <f aca="false">(parametros_manuales!$D$21*(datos_base!$E$2+datos_base!$E$18+IF(parametros_manuales!$H$21="Todos",datos_base!$E$9+datos_base!$E$23,0))*parametros_manuales!$K$95+parametros_manuales!$E$21*(datos_base!$E$3+datos_base!$E$19+IF(parametros_manuales!$H$21="Todos",datos_base!$E$10+datos_base!$E$24,0))*parametros_manuales!$K$100+parametros_manuales!$F$21*(datos_base!$E$4+datos_base!$E$20+IF(parametros_manuales!$H$21="Todos",datos_base!$E$11+datos_base!$E$25,0))*parametros_manuales!$K$105+parametros_manuales!$G$21*(datos_base!$E$5+datos_base!$E$21+IF(parametros_manuales!$H$21="Todos",datos_base!$E$12+datos_base!$E$26,0))*parametros_manuales!$K$110)*parametros_manuales!$I$21*parametros_manuales!$J$21</f>
        <v>3164.57419941</v>
      </c>
      <c r="L85" s="9" t="n">
        <f aca="false">(parametros_manuales!$D$21*(datos_base!$E$2+datos_base!$E$18+IF(parametros_manuales!$H$21="Todos",datos_base!$E$9+datos_base!$E$23,0))*parametros_manuales!$L$95+parametros_manuales!$E$21*(datos_base!$E$3+datos_base!$E$19+IF(parametros_manuales!$H$21="Todos",datos_base!$E$10+datos_base!$E$24,0))*parametros_manuales!$L$100+parametros_manuales!$F$21*(datos_base!$E$4+datos_base!$E$20+IF(parametros_manuales!$H$21="Todos",datos_base!$E$11+datos_base!$E$25,0))*parametros_manuales!$L$105+parametros_manuales!$G$21*(datos_base!$E$5+datos_base!$E$21+IF(parametros_manuales!$H$21="Todos",datos_base!$E$12+datos_base!$E$26,0))*parametros_manuales!$L$110)*parametros_manuales!$I$21*parametros_manuales!$J$21</f>
        <v>3164.57419941</v>
      </c>
      <c r="M85" s="9" t="n">
        <f aca="false">(parametros_manuales!$D$21*(datos_base!$E$2+datos_base!$E$18+IF(parametros_manuales!$H$21="Todos",datos_base!$E$9+datos_base!$E$23,0))*parametros_manuales!$M$95+parametros_manuales!$E$21*(datos_base!$E$3+datos_base!$E$19+IF(parametros_manuales!$H$21="Todos",datos_base!$E$10+datos_base!$E$24,0))*parametros_manuales!$M$100+parametros_manuales!$F$21*(datos_base!$E$4+datos_base!$E$20+IF(parametros_manuales!$H$21="Todos",datos_base!$E$11+datos_base!$E$25,0))*parametros_manuales!$M$105+parametros_manuales!$G$21*(datos_base!$E$5+datos_base!$E$21+IF(parametros_manuales!$H$21="Todos",datos_base!$E$12+datos_base!$E$26,0))*parametros_manuales!$M$110)*parametros_manuales!$I$21*parametros_manuales!$J$21</f>
        <v>3164.57419941</v>
      </c>
      <c r="N85" s="9" t="n">
        <f aca="false">SUM(B85:M85)</f>
        <v>35161.935549</v>
      </c>
      <c r="O85" s="9" t="n">
        <f aca="false">MAX(B85:M85)</f>
        <v>3164.57419941</v>
      </c>
      <c r="P85" s="43" t="n">
        <f aca="false">O85/(parametros_manuales!$B$7)</f>
        <v>21.0971613294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datos_base!$E$2+datos_base!$E$18+IF(parametros_manuales!$H$22="Todos",datos_base!$E$9+datos_base!$E$23,0))*parametros_manuales!$B$95+parametros_manuales!$E$22*(datos_base!$E$3+datos_base!$E$19+IF(parametros_manuales!$H$22="Todos",datos_base!$E$10+datos_base!$E$24,0))*parametros_manuales!$B$100+parametros_manuales!$F$22*(datos_base!$E$4+datos_base!$E$20+IF(parametros_manuales!$H$22="Todos",datos_base!$E$11+datos_base!$E$25,0))*parametros_manuales!$B$105+parametros_manuales!$G$22*(datos_base!$E$5+datos_base!$E$21+IF(parametros_manuales!$H$22="Todos",datos_base!$E$12+datos_base!$E$26,0))*parametros_manuales!$B$110)*parametros_manuales!$I$22*parametros_manuales!$J$22</f>
        <v>9129.000515418</v>
      </c>
      <c r="C86" s="9" t="n">
        <f aca="false">(parametros_manuales!$D$22*(datos_base!$E$2+datos_base!$E$18+IF(parametros_manuales!$H$22="Todos",datos_base!$E$9+datos_base!$E$23,0))*parametros_manuales!$C$95+parametros_manuales!$E$22*(datos_base!$E$3+datos_base!$E$19+IF(parametros_manuales!$H$22="Todos",datos_base!$E$10+datos_base!$E$24,0))*parametros_manuales!$C$100+parametros_manuales!$F$22*(datos_base!$E$4+datos_base!$E$20+IF(parametros_manuales!$H$22="Todos",datos_base!$E$11+datos_base!$E$25,0))*parametros_manuales!$C$105+parametros_manuales!$G$22*(datos_base!$E$5+datos_base!$E$21+IF(parametros_manuales!$H$22="Todos",datos_base!$E$12+datos_base!$E$26,0))*parametros_manuales!$C$110)*parametros_manuales!$I$22*parametros_manuales!$J$22</f>
        <v>8817.905835796</v>
      </c>
      <c r="D86" s="9" t="n">
        <f aca="false">(parametros_manuales!$D$22*(datos_base!$E$2+datos_base!$E$18+IF(parametros_manuales!$H$22="Todos",datos_base!$E$9+datos_base!$E$23,0))*parametros_manuales!$D$95+parametros_manuales!$E$22*(datos_base!$E$3+datos_base!$E$19+IF(parametros_manuales!$H$22="Todos",datos_base!$E$10+datos_base!$E$24,0))*parametros_manuales!$D$100+parametros_manuales!$F$22*(datos_base!$E$4+datos_base!$E$20+IF(parametros_manuales!$H$22="Todos",datos_base!$E$11+datos_base!$E$25,0))*parametros_manuales!$D$105+parametros_manuales!$G$22*(datos_base!$E$5+datos_base!$E$21+IF(parametros_manuales!$H$22="Todos",datos_base!$E$12+datos_base!$E$26,0))*parametros_manuales!$D$110)*parametros_manuales!$I$22*parametros_manuales!$J$22</f>
        <v>8270.214464627</v>
      </c>
      <c r="E86" s="9" t="n">
        <f aca="false">(parametros_manuales!$D$22*(datos_base!$E$2+datos_base!$E$18+IF(parametros_manuales!$H$22="Todos",datos_base!$E$9+datos_base!$E$23,0))*parametros_manuales!$E$95+parametros_manuales!$E$22*(datos_base!$E$3+datos_base!$E$19+IF(parametros_manuales!$H$22="Todos",datos_base!$E$10+datos_base!$E$24,0))*parametros_manuales!$E$100+parametros_manuales!$F$22*(datos_base!$E$4+datos_base!$E$20+IF(parametros_manuales!$H$22="Todos",datos_base!$E$11+datos_base!$E$25,0))*parametros_manuales!$E$105+parametros_manuales!$G$22*(datos_base!$E$5+datos_base!$E$21+IF(parametros_manuales!$H$22="Todos",datos_base!$E$12+datos_base!$E$26,0))*parametros_manuales!$E$110)*parametros_manuales!$I$22*parametros_manuales!$J$22</f>
        <v>7918.595109137</v>
      </c>
      <c r="F86" s="9" t="n">
        <f aca="false">(parametros_manuales!$D$22*(datos_base!$E$2+datos_base!$E$18+IF(parametros_manuales!$H$22="Todos",datos_base!$E$9+datos_base!$E$23,0))*parametros_manuales!$F$95+parametros_manuales!$E$22*(datos_base!$E$3+datos_base!$E$19+IF(parametros_manuales!$H$22="Todos",datos_base!$E$10+datos_base!$E$24,0))*parametros_manuales!$F$100+parametros_manuales!$F$22*(datos_base!$E$4+datos_base!$E$20+IF(parametros_manuales!$H$22="Todos",datos_base!$E$11+datos_base!$E$25,0))*parametros_manuales!$F$105+parametros_manuales!$G$22*(datos_base!$E$5+datos_base!$E$21+IF(parametros_manuales!$H$22="Todos",datos_base!$E$12+datos_base!$E$26,0))*parametros_manuales!$F$110)*parametros_manuales!$I$22*parametros_manuales!$J$22</f>
        <v>7411.428413836</v>
      </c>
      <c r="G86" s="9" t="n">
        <f aca="false">(parametros_manuales!$D$22*(datos_base!$E$2+datos_base!$E$18+IF(parametros_manuales!$H$22="Todos",datos_base!$E$9+datos_base!$E$23,0))*parametros_manuales!$G$95+parametros_manuales!$E$22*(datos_base!$E$3+datos_base!$E$19+IF(parametros_manuales!$H$22="Todos",datos_base!$E$10+datos_base!$E$24,0))*parametros_manuales!$G$100+parametros_manuales!$F$22*(datos_base!$E$4+datos_base!$E$20+IF(parametros_manuales!$H$22="Todos",datos_base!$E$11+datos_base!$E$25,0))*parametros_manuales!$G$105+parametros_manuales!$G$22*(datos_base!$E$5+datos_base!$E$21+IF(parametros_manuales!$H$22="Todos",datos_base!$E$12+datos_base!$E$26,0))*parametros_manuales!$G$110)*parametros_manuales!$I$22*parametros_manuales!$J$22</f>
        <v>7255.881074025</v>
      </c>
      <c r="H86" s="9" t="n">
        <f aca="false">(parametros_manuales!$D$22*(datos_base!$E$2+datos_base!$E$18+IF(parametros_manuales!$H$22="Todos",datos_base!$E$9+datos_base!$E$23,0))*parametros_manuales!$H$95+parametros_manuales!$E$22*(datos_base!$E$3+datos_base!$E$19+IF(parametros_manuales!$H$22="Todos",datos_base!$E$10+datos_base!$E$24,0))*parametros_manuales!$H$100+parametros_manuales!$F$22*(datos_base!$E$4+datos_base!$E$20+IF(parametros_manuales!$H$22="Todos",datos_base!$E$11+datos_base!$E$25,0))*parametros_manuales!$H$105+parametros_manuales!$G$22*(datos_base!$E$5+datos_base!$E$21+IF(parametros_manuales!$H$22="Todos",datos_base!$E$12+datos_base!$E$26,0))*parametros_manuales!$H$110)*parametros_manuales!$I$22*parametros_manuales!$J$22</f>
        <v>7763.047769326</v>
      </c>
      <c r="I86" s="9" t="n">
        <f aca="false">(parametros_manuales!$D$22*(datos_base!$E$2+datos_base!$E$18+IF(parametros_manuales!$H$22="Todos",datos_base!$E$9+datos_base!$E$23,0))*parametros_manuales!$I$95+parametros_manuales!$E$22*(datos_base!$E$3+datos_base!$E$19+IF(parametros_manuales!$H$22="Todos",datos_base!$E$10+datos_base!$E$24,0))*parametros_manuales!$I$100+parametros_manuales!$F$22*(datos_base!$E$4+datos_base!$E$20+IF(parametros_manuales!$H$22="Todos",datos_base!$E$11+datos_base!$E$25,0))*parametros_manuales!$I$105+parametros_manuales!$G$22*(datos_base!$E$5+datos_base!$E$21+IF(parametros_manuales!$H$22="Todos",datos_base!$E$12+datos_base!$E$26,0))*parametros_manuales!$I$110)*parametros_manuales!$I$22*parametros_manuales!$J$22</f>
        <v>8817.905835796</v>
      </c>
      <c r="J86" s="9" t="n">
        <f aca="false">(parametros_manuales!$D$22*(datos_base!$E$2+datos_base!$E$18+IF(parametros_manuales!$H$22="Todos",datos_base!$E$9+datos_base!$E$23,0))*parametros_manuales!$J$95+parametros_manuales!$E$22*(datos_base!$E$3+datos_base!$E$19+IF(parametros_manuales!$H$22="Todos",datos_base!$E$10+datos_base!$E$24,0))*parametros_manuales!$J$100+parametros_manuales!$F$22*(datos_base!$E$4+datos_base!$E$20+IF(parametros_manuales!$H$22="Todos",datos_base!$E$11+datos_base!$E$25,0))*parametros_manuales!$J$105+parametros_manuales!$G$22*(datos_base!$E$5+datos_base!$E$21+IF(parametros_manuales!$H$22="Todos",datos_base!$E$12+datos_base!$E$26,0))*parametros_manuales!$J$110)*parametros_manuales!$I$22*parametros_manuales!$J$22</f>
        <v>8817.905835796</v>
      </c>
      <c r="K86" s="9" t="n">
        <f aca="false">(parametros_manuales!$D$22*(datos_base!$E$2+datos_base!$E$18+IF(parametros_manuales!$H$22="Todos",datos_base!$E$9+datos_base!$E$23,0))*parametros_manuales!$K$95+parametros_manuales!$E$22*(datos_base!$E$3+datos_base!$E$19+IF(parametros_manuales!$H$22="Todos",datos_base!$E$10+datos_base!$E$24,0))*parametros_manuales!$K$100+parametros_manuales!$F$22*(datos_base!$E$4+datos_base!$E$20+IF(parametros_manuales!$H$22="Todos",datos_base!$E$11+datos_base!$E$25,0))*parametros_manuales!$K$105+parametros_manuales!$G$22*(datos_base!$E$5+datos_base!$E$21+IF(parametros_manuales!$H$22="Todos",datos_base!$E$12+datos_base!$E$26,0))*parametros_manuales!$K$110)*parametros_manuales!$I$22*parametros_manuales!$J$22</f>
        <v>8973.453175607</v>
      </c>
      <c r="L86" s="9" t="n">
        <f aca="false">(parametros_manuales!$D$22*(datos_base!$E$2+datos_base!$E$18+IF(parametros_manuales!$H$22="Todos",datos_base!$E$9+datos_base!$E$23,0))*parametros_manuales!$L$95+parametros_manuales!$E$22*(datos_base!$E$3+datos_base!$E$19+IF(parametros_manuales!$H$22="Todos",datos_base!$E$10+datos_base!$E$24,0))*parametros_manuales!$L$100+parametros_manuales!$F$22*(datos_base!$E$4+datos_base!$E$20+IF(parametros_manuales!$H$22="Todos",datos_base!$E$11+datos_base!$E$25,0))*parametros_manuales!$L$105+parametros_manuales!$G$22*(datos_base!$E$5+datos_base!$E$21+IF(parametros_manuales!$H$22="Todos",datos_base!$E$12+datos_base!$E$26,0))*parametros_manuales!$L$110)*parametros_manuales!$I$22*parametros_manuales!$J$22</f>
        <v>9129.000515418</v>
      </c>
      <c r="M86" s="9" t="n">
        <f aca="false">(parametros_manuales!$D$22*(datos_base!$E$2+datos_base!$E$18+IF(parametros_manuales!$H$22="Todos",datos_base!$E$9+datos_base!$E$23,0))*parametros_manuales!$M$95+parametros_manuales!$E$22*(datos_base!$E$3+datos_base!$E$19+IF(parametros_manuales!$H$22="Todos",datos_base!$E$10+datos_base!$E$24,0))*parametros_manuales!$M$100+parametros_manuales!$F$22*(datos_base!$E$4+datos_base!$E$20+IF(parametros_manuales!$H$22="Todos",datos_base!$E$11+datos_base!$E$25,0))*parametros_manuales!$M$105+parametros_manuales!$G$22*(datos_base!$E$5+datos_base!$E$21+IF(parametros_manuales!$H$22="Todos",datos_base!$E$12+datos_base!$E$26,0))*parametros_manuales!$M$110)*parametros_manuales!$I$22*parametros_manuales!$J$22</f>
        <v>9129.000515418</v>
      </c>
      <c r="N86" s="9" t="n">
        <f aca="false">SUM(B86:M86)</f>
        <v>101433.3390602</v>
      </c>
      <c r="O86" s="9" t="n">
        <f aca="false">MAX(B86:M86)</f>
        <v>9129.000515418</v>
      </c>
      <c r="P86" s="43" t="n">
        <f aca="false">O86/(parametros_manuales!$B$7)</f>
        <v>60.86000343612</v>
      </c>
      <c r="Q86" s="8" t="str">
        <f aca="false">IF(O86=0,"-",INDEX($B$82:$M$82,MATCH(O86,B86:M86,0)))</f>
        <v>Ene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datos_base!$E$2+datos_base!$E$18+IF(parametros_manuales!$H$23="Todos",datos_base!$E$9+datos_base!$E$23,0))*parametros_manuales!$B$95+parametros_manuales!$E$23*(datos_base!$E$3+datos_base!$E$19+IF(parametros_manuales!$H$23="Todos",datos_base!$E$10+datos_base!$E$24,0))*parametros_manuales!$B$100+parametros_manuales!$F$23*(datos_base!$E$4+datos_base!$E$20+IF(parametros_manuales!$H$23="Todos",datos_base!$E$11+datos_base!$E$25,0))*parametros_manuales!$B$105+parametros_manuales!$G$23*(datos_base!$E$5+datos_base!$E$21+IF(parametros_manuales!$H$23="Todos",datos_base!$E$12+datos_base!$E$26,0))*parametros_manuales!$B$110)*parametros_manuales!$I$23*parametros_manuales!$J$23</f>
        <v>4564.500257709</v>
      </c>
      <c r="C87" s="9" t="n">
        <f aca="false">(parametros_manuales!$D$23*(datos_base!$E$2+datos_base!$E$18+IF(parametros_manuales!$H$23="Todos",datos_base!$E$9+datos_base!$E$23,0))*parametros_manuales!$C$95+parametros_manuales!$E$23*(datos_base!$E$3+datos_base!$E$19+IF(parametros_manuales!$H$23="Todos",datos_base!$E$10+datos_base!$E$24,0))*parametros_manuales!$C$100+parametros_manuales!$F$23*(datos_base!$E$4+datos_base!$E$20+IF(parametros_manuales!$H$23="Todos",datos_base!$E$11+datos_base!$E$25,0))*parametros_manuales!$C$105+parametros_manuales!$G$23*(datos_base!$E$5+datos_base!$E$21+IF(parametros_manuales!$H$23="Todos",datos_base!$E$12+datos_base!$E$26,0))*parametros_manuales!$C$110)*parametros_manuales!$I$23*parametros_manuales!$J$23</f>
        <v>4408.952917898</v>
      </c>
      <c r="D87" s="9" t="n">
        <f aca="false">(parametros_manuales!$D$23*(datos_base!$E$2+datos_base!$E$18+IF(parametros_manuales!$H$23="Todos",datos_base!$E$9+datos_base!$E$23,0))*parametros_manuales!$D$95+parametros_manuales!$E$23*(datos_base!$E$3+datos_base!$E$19+IF(parametros_manuales!$H$23="Todos",datos_base!$E$10+datos_base!$E$24,0))*parametros_manuales!$D$100+parametros_manuales!$F$23*(datos_base!$E$4+datos_base!$E$20+IF(parametros_manuales!$H$23="Todos",datos_base!$E$11+datos_base!$E$25,0))*parametros_manuales!$D$105+parametros_manuales!$G$23*(datos_base!$E$5+datos_base!$E$21+IF(parametros_manuales!$H$23="Todos",datos_base!$E$12+datos_base!$E$26,0))*parametros_manuales!$D$110)*parametros_manuales!$I$23*parametros_manuales!$J$23</f>
        <v>4135.1072323135</v>
      </c>
      <c r="E87" s="9" t="n">
        <f aca="false">(parametros_manuales!$D$23*(datos_base!$E$2+datos_base!$E$18+IF(parametros_manuales!$H$23="Todos",datos_base!$E$9+datos_base!$E$23,0))*parametros_manuales!$E$95+parametros_manuales!$E$23*(datos_base!$E$3+datos_base!$E$19+IF(parametros_manuales!$H$23="Todos",datos_base!$E$10+datos_base!$E$24,0))*parametros_manuales!$E$100+parametros_manuales!$F$23*(datos_base!$E$4+datos_base!$E$20+IF(parametros_manuales!$H$23="Todos",datos_base!$E$11+datos_base!$E$25,0))*parametros_manuales!$E$105+parametros_manuales!$G$23*(datos_base!$E$5+datos_base!$E$21+IF(parametros_manuales!$H$23="Todos",datos_base!$E$12+datos_base!$E$26,0))*parametros_manuales!$E$110)*parametros_manuales!$I$23*parametros_manuales!$J$23</f>
        <v>3959.2975545685</v>
      </c>
      <c r="F87" s="9" t="n">
        <f aca="false">(parametros_manuales!$D$23*(datos_base!$E$2+datos_base!$E$18+IF(parametros_manuales!$H$23="Todos",datos_base!$E$9+datos_base!$E$23,0))*parametros_manuales!$F$95+parametros_manuales!$E$23*(datos_base!$E$3+datos_base!$E$19+IF(parametros_manuales!$H$23="Todos",datos_base!$E$10+datos_base!$E$24,0))*parametros_manuales!$F$100+parametros_manuales!$F$23*(datos_base!$E$4+datos_base!$E$20+IF(parametros_manuales!$H$23="Todos",datos_base!$E$11+datos_base!$E$25,0))*parametros_manuales!$F$105+parametros_manuales!$G$23*(datos_base!$E$5+datos_base!$E$21+IF(parametros_manuales!$H$23="Todos",datos_base!$E$12+datos_base!$E$26,0))*parametros_manuales!$F$110)*parametros_manuales!$I$23*parametros_manuales!$J$23</f>
        <v>3705.714206918</v>
      </c>
      <c r="G87" s="9" t="n">
        <f aca="false">(parametros_manuales!$D$23*(datos_base!$E$2+datos_base!$E$18+IF(parametros_manuales!$H$23="Todos",datos_base!$E$9+datos_base!$E$23,0))*parametros_manuales!$G$95+parametros_manuales!$E$23*(datos_base!$E$3+datos_base!$E$19+IF(parametros_manuales!$H$23="Todos",datos_base!$E$10+datos_base!$E$24,0))*parametros_manuales!$G$100+parametros_manuales!$F$23*(datos_base!$E$4+datos_base!$E$20+IF(parametros_manuales!$H$23="Todos",datos_base!$E$11+datos_base!$E$25,0))*parametros_manuales!$G$105+parametros_manuales!$G$23*(datos_base!$E$5+datos_base!$E$21+IF(parametros_manuales!$H$23="Todos",datos_base!$E$12+datos_base!$E$26,0))*parametros_manuales!$G$110)*parametros_manuales!$I$23*parametros_manuales!$J$23</f>
        <v>3627.9405370125</v>
      </c>
      <c r="H87" s="9" t="n">
        <f aca="false">(parametros_manuales!$D$23*(datos_base!$E$2+datos_base!$E$18+IF(parametros_manuales!$H$23="Todos",datos_base!$E$9+datos_base!$E$23,0))*parametros_manuales!$H$95+parametros_manuales!$E$23*(datos_base!$E$3+datos_base!$E$19+IF(parametros_manuales!$H$23="Todos",datos_base!$E$10+datos_base!$E$24,0))*parametros_manuales!$H$100+parametros_manuales!$F$23*(datos_base!$E$4+datos_base!$E$20+IF(parametros_manuales!$H$23="Todos",datos_base!$E$11+datos_base!$E$25,0))*parametros_manuales!$H$105+parametros_manuales!$G$23*(datos_base!$E$5+datos_base!$E$21+IF(parametros_manuales!$H$23="Todos",datos_base!$E$12+datos_base!$E$26,0))*parametros_manuales!$H$110)*parametros_manuales!$I$23*parametros_manuales!$J$23</f>
        <v>3881.523884663</v>
      </c>
      <c r="I87" s="9" t="n">
        <f aca="false">(parametros_manuales!$D$23*(datos_base!$E$2+datos_base!$E$18+IF(parametros_manuales!$H$23="Todos",datos_base!$E$9+datos_base!$E$23,0))*parametros_manuales!$I$95+parametros_manuales!$E$23*(datos_base!$E$3+datos_base!$E$19+IF(parametros_manuales!$H$23="Todos",datos_base!$E$10+datos_base!$E$24,0))*parametros_manuales!$I$100+parametros_manuales!$F$23*(datos_base!$E$4+datos_base!$E$20+IF(parametros_manuales!$H$23="Todos",datos_base!$E$11+datos_base!$E$25,0))*parametros_manuales!$I$105+parametros_manuales!$G$23*(datos_base!$E$5+datos_base!$E$21+IF(parametros_manuales!$H$23="Todos",datos_base!$E$12+datos_base!$E$26,0))*parametros_manuales!$I$110)*parametros_manuales!$I$23*parametros_manuales!$J$23</f>
        <v>4408.952917898</v>
      </c>
      <c r="J87" s="9" t="n">
        <f aca="false">(parametros_manuales!$D$23*(datos_base!$E$2+datos_base!$E$18+IF(parametros_manuales!$H$23="Todos",datos_base!$E$9+datos_base!$E$23,0))*parametros_manuales!$J$95+parametros_manuales!$E$23*(datos_base!$E$3+datos_base!$E$19+IF(parametros_manuales!$H$23="Todos",datos_base!$E$10+datos_base!$E$24,0))*parametros_manuales!$J$100+parametros_manuales!$F$23*(datos_base!$E$4+datos_base!$E$20+IF(parametros_manuales!$H$23="Todos",datos_base!$E$11+datos_base!$E$25,0))*parametros_manuales!$J$105+parametros_manuales!$G$23*(datos_base!$E$5+datos_base!$E$21+IF(parametros_manuales!$H$23="Todos",datos_base!$E$12+datos_base!$E$26,0))*parametros_manuales!$J$110)*parametros_manuales!$I$23*parametros_manuales!$J$23</f>
        <v>4408.952917898</v>
      </c>
      <c r="K87" s="9" t="n">
        <f aca="false">(parametros_manuales!$D$23*(datos_base!$E$2+datos_base!$E$18+IF(parametros_manuales!$H$23="Todos",datos_base!$E$9+datos_base!$E$23,0))*parametros_manuales!$K$95+parametros_manuales!$E$23*(datos_base!$E$3+datos_base!$E$19+IF(parametros_manuales!$H$23="Todos",datos_base!$E$10+datos_base!$E$24,0))*parametros_manuales!$K$100+parametros_manuales!$F$23*(datos_base!$E$4+datos_base!$E$20+IF(parametros_manuales!$H$23="Todos",datos_base!$E$11+datos_base!$E$25,0))*parametros_manuales!$K$105+parametros_manuales!$G$23*(datos_base!$E$5+datos_base!$E$21+IF(parametros_manuales!$H$23="Todos",datos_base!$E$12+datos_base!$E$26,0))*parametros_manuales!$K$110)*parametros_manuales!$I$23*parametros_manuales!$J$23</f>
        <v>4486.7265878035</v>
      </c>
      <c r="L87" s="9" t="n">
        <f aca="false">(parametros_manuales!$D$23*(datos_base!$E$2+datos_base!$E$18+IF(parametros_manuales!$H$23="Todos",datos_base!$E$9+datos_base!$E$23,0))*parametros_manuales!$L$95+parametros_manuales!$E$23*(datos_base!$E$3+datos_base!$E$19+IF(parametros_manuales!$H$23="Todos",datos_base!$E$10+datos_base!$E$24,0))*parametros_manuales!$L$100+parametros_manuales!$F$23*(datos_base!$E$4+datos_base!$E$20+IF(parametros_manuales!$H$23="Todos",datos_base!$E$11+datos_base!$E$25,0))*parametros_manuales!$L$105+parametros_manuales!$G$23*(datos_base!$E$5+datos_base!$E$21+IF(parametros_manuales!$H$23="Todos",datos_base!$E$12+datos_base!$E$26,0))*parametros_manuales!$L$110)*parametros_manuales!$I$23*parametros_manuales!$J$23</f>
        <v>4564.500257709</v>
      </c>
      <c r="M87" s="9" t="n">
        <f aca="false">(parametros_manuales!$D$23*(datos_base!$E$2+datos_base!$E$18+IF(parametros_manuales!$H$23="Todos",datos_base!$E$9+datos_base!$E$23,0))*parametros_manuales!$M$95+parametros_manuales!$E$23*(datos_base!$E$3+datos_base!$E$19+IF(parametros_manuales!$H$23="Todos",datos_base!$E$10+datos_base!$E$24,0))*parametros_manuales!$M$100+parametros_manuales!$F$23*(datos_base!$E$4+datos_base!$E$20+IF(parametros_manuales!$H$23="Todos",datos_base!$E$11+datos_base!$E$25,0))*parametros_manuales!$M$105+parametros_manuales!$G$23*(datos_base!$E$5+datos_base!$E$21+IF(parametros_manuales!$H$23="Todos",datos_base!$E$12+datos_base!$E$26,0))*parametros_manuales!$M$110)*parametros_manuales!$I$23*parametros_manuales!$J$23</f>
        <v>4564.500257709</v>
      </c>
      <c r="N87" s="9" t="n">
        <f aca="false">SUM(B87:M87)</f>
        <v>50716.6695301</v>
      </c>
      <c r="O87" s="9" t="n">
        <f aca="false">MAX(B87:M87)</f>
        <v>4564.500257709</v>
      </c>
      <c r="P87" s="43" t="n">
        <f aca="false">O87/(parametros_manuales!$B$7)</f>
        <v>30.43000171806</v>
      </c>
      <c r="Q87" s="8" t="str">
        <f aca="false">IF(O87=0,"-",INDEX($B$82:$M$82,MATCH(O87,B87:M87,0)))</f>
        <v>Ene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datos_base!$E$2+datos_base!$E$18+IF(parametros_manuales!$H$24="Todos",datos_base!$E$9+datos_base!$E$23,0))*parametros_manuales!$B$95+parametros_manuales!$E$24*(datos_base!$E$3+datos_base!$E$19+IF(parametros_manuales!$H$24="Todos",datos_base!$E$10+datos_base!$E$24,0))*parametros_manuales!$B$100+parametros_manuales!$F$24*(datos_base!$E$4+datos_base!$E$20+IF(parametros_manuales!$H$24="Todos",datos_base!$E$11+datos_base!$E$25,0))*parametros_manuales!$B$105+parametros_manuales!$G$24*(datos_base!$E$5+datos_base!$E$21+IF(parametros_manuales!$H$24="Todos",datos_base!$E$12+datos_base!$E$26,0))*parametros_manuales!$B$110)*parametros_manuales!$I$24*parametros_manuales!$J$24</f>
        <v>4564.500257709</v>
      </c>
      <c r="C88" s="9" t="n">
        <f aca="false">(parametros_manuales!$D$24*(datos_base!$E$2+datos_base!$E$18+IF(parametros_manuales!$H$24="Todos",datos_base!$E$9+datos_base!$E$23,0))*parametros_manuales!$C$95+parametros_manuales!$E$24*(datos_base!$E$3+datos_base!$E$19+IF(parametros_manuales!$H$24="Todos",datos_base!$E$10+datos_base!$E$24,0))*parametros_manuales!$C$100+parametros_manuales!$F$24*(datos_base!$E$4+datos_base!$E$20+IF(parametros_manuales!$H$24="Todos",datos_base!$E$11+datos_base!$E$25,0))*parametros_manuales!$C$105+parametros_manuales!$G$24*(datos_base!$E$5+datos_base!$E$21+IF(parametros_manuales!$H$24="Todos",datos_base!$E$12+datos_base!$E$26,0))*parametros_manuales!$C$110)*parametros_manuales!$I$24*parametros_manuales!$J$24</f>
        <v>4408.952917898</v>
      </c>
      <c r="D88" s="9" t="n">
        <f aca="false">(parametros_manuales!$D$24*(datos_base!$E$2+datos_base!$E$18+IF(parametros_manuales!$H$24="Todos",datos_base!$E$9+datos_base!$E$23,0))*parametros_manuales!$D$95+parametros_manuales!$E$24*(datos_base!$E$3+datos_base!$E$19+IF(parametros_manuales!$H$24="Todos",datos_base!$E$10+datos_base!$E$24,0))*parametros_manuales!$D$100+parametros_manuales!$F$24*(datos_base!$E$4+datos_base!$E$20+IF(parametros_manuales!$H$24="Todos",datos_base!$E$11+datos_base!$E$25,0))*parametros_manuales!$D$105+parametros_manuales!$G$24*(datos_base!$E$5+datos_base!$E$21+IF(parametros_manuales!$H$24="Todos",datos_base!$E$12+datos_base!$E$26,0))*parametros_manuales!$D$110)*parametros_manuales!$I$24*parametros_manuales!$J$24</f>
        <v>4135.1072323135</v>
      </c>
      <c r="E88" s="9" t="n">
        <f aca="false">(parametros_manuales!$D$24*(datos_base!$E$2+datos_base!$E$18+IF(parametros_manuales!$H$24="Todos",datos_base!$E$9+datos_base!$E$23,0))*parametros_manuales!$E$95+parametros_manuales!$E$24*(datos_base!$E$3+datos_base!$E$19+IF(parametros_manuales!$H$24="Todos",datos_base!$E$10+datos_base!$E$24,0))*parametros_manuales!$E$100+parametros_manuales!$F$24*(datos_base!$E$4+datos_base!$E$20+IF(parametros_manuales!$H$24="Todos",datos_base!$E$11+datos_base!$E$25,0))*parametros_manuales!$E$105+parametros_manuales!$G$24*(datos_base!$E$5+datos_base!$E$21+IF(parametros_manuales!$H$24="Todos",datos_base!$E$12+datos_base!$E$26,0))*parametros_manuales!$E$110)*parametros_manuales!$I$24*parametros_manuales!$J$24</f>
        <v>3959.2975545685</v>
      </c>
      <c r="F88" s="9" t="n">
        <f aca="false">(parametros_manuales!$D$24*(datos_base!$E$2+datos_base!$E$18+IF(parametros_manuales!$H$24="Todos",datos_base!$E$9+datos_base!$E$23,0))*parametros_manuales!$F$95+parametros_manuales!$E$24*(datos_base!$E$3+datos_base!$E$19+IF(parametros_manuales!$H$24="Todos",datos_base!$E$10+datos_base!$E$24,0))*parametros_manuales!$F$100+parametros_manuales!$F$24*(datos_base!$E$4+datos_base!$E$20+IF(parametros_manuales!$H$24="Todos",datos_base!$E$11+datos_base!$E$25,0))*parametros_manuales!$F$105+parametros_manuales!$G$24*(datos_base!$E$5+datos_base!$E$21+IF(parametros_manuales!$H$24="Todos",datos_base!$E$12+datos_base!$E$26,0))*parametros_manuales!$F$110)*parametros_manuales!$I$24*parametros_manuales!$J$24</f>
        <v>3705.714206918</v>
      </c>
      <c r="G88" s="9" t="n">
        <f aca="false">(parametros_manuales!$D$24*(datos_base!$E$2+datos_base!$E$18+IF(parametros_manuales!$H$24="Todos",datos_base!$E$9+datos_base!$E$23,0))*parametros_manuales!$G$95+parametros_manuales!$E$24*(datos_base!$E$3+datos_base!$E$19+IF(parametros_manuales!$H$24="Todos",datos_base!$E$10+datos_base!$E$24,0))*parametros_manuales!$G$100+parametros_manuales!$F$24*(datos_base!$E$4+datos_base!$E$20+IF(parametros_manuales!$H$24="Todos",datos_base!$E$11+datos_base!$E$25,0))*parametros_manuales!$G$105+parametros_manuales!$G$24*(datos_base!$E$5+datos_base!$E$21+IF(parametros_manuales!$H$24="Todos",datos_base!$E$12+datos_base!$E$26,0))*parametros_manuales!$G$110)*parametros_manuales!$I$24*parametros_manuales!$J$24</f>
        <v>3627.9405370125</v>
      </c>
      <c r="H88" s="9" t="n">
        <f aca="false">(parametros_manuales!$D$24*(datos_base!$E$2+datos_base!$E$18+IF(parametros_manuales!$H$24="Todos",datos_base!$E$9+datos_base!$E$23,0))*parametros_manuales!$H$95+parametros_manuales!$E$24*(datos_base!$E$3+datos_base!$E$19+IF(parametros_manuales!$H$24="Todos",datos_base!$E$10+datos_base!$E$24,0))*parametros_manuales!$H$100+parametros_manuales!$F$24*(datos_base!$E$4+datos_base!$E$20+IF(parametros_manuales!$H$24="Todos",datos_base!$E$11+datos_base!$E$25,0))*parametros_manuales!$H$105+parametros_manuales!$G$24*(datos_base!$E$5+datos_base!$E$21+IF(parametros_manuales!$H$24="Todos",datos_base!$E$12+datos_base!$E$26,0))*parametros_manuales!$H$110)*parametros_manuales!$I$24*parametros_manuales!$J$24</f>
        <v>3881.523884663</v>
      </c>
      <c r="I88" s="9" t="n">
        <f aca="false">(parametros_manuales!$D$24*(datos_base!$E$2+datos_base!$E$18+IF(parametros_manuales!$H$24="Todos",datos_base!$E$9+datos_base!$E$23,0))*parametros_manuales!$I$95+parametros_manuales!$E$24*(datos_base!$E$3+datos_base!$E$19+IF(parametros_manuales!$H$24="Todos",datos_base!$E$10+datos_base!$E$24,0))*parametros_manuales!$I$100+parametros_manuales!$F$24*(datos_base!$E$4+datos_base!$E$20+IF(parametros_manuales!$H$24="Todos",datos_base!$E$11+datos_base!$E$25,0))*parametros_manuales!$I$105+parametros_manuales!$G$24*(datos_base!$E$5+datos_base!$E$21+IF(parametros_manuales!$H$24="Todos",datos_base!$E$12+datos_base!$E$26,0))*parametros_manuales!$I$110)*parametros_manuales!$I$24*parametros_manuales!$J$24</f>
        <v>4408.952917898</v>
      </c>
      <c r="J88" s="9" t="n">
        <f aca="false">(parametros_manuales!$D$24*(datos_base!$E$2+datos_base!$E$18+IF(parametros_manuales!$H$24="Todos",datos_base!$E$9+datos_base!$E$23,0))*parametros_manuales!$J$95+parametros_manuales!$E$24*(datos_base!$E$3+datos_base!$E$19+IF(parametros_manuales!$H$24="Todos",datos_base!$E$10+datos_base!$E$24,0))*parametros_manuales!$J$100+parametros_manuales!$F$24*(datos_base!$E$4+datos_base!$E$20+IF(parametros_manuales!$H$24="Todos",datos_base!$E$11+datos_base!$E$25,0))*parametros_manuales!$J$105+parametros_manuales!$G$24*(datos_base!$E$5+datos_base!$E$21+IF(parametros_manuales!$H$24="Todos",datos_base!$E$12+datos_base!$E$26,0))*parametros_manuales!$J$110)*parametros_manuales!$I$24*parametros_manuales!$J$24</f>
        <v>4408.952917898</v>
      </c>
      <c r="K88" s="9" t="n">
        <f aca="false">(parametros_manuales!$D$24*(datos_base!$E$2+datos_base!$E$18+IF(parametros_manuales!$H$24="Todos",datos_base!$E$9+datos_base!$E$23,0))*parametros_manuales!$K$95+parametros_manuales!$E$24*(datos_base!$E$3+datos_base!$E$19+IF(parametros_manuales!$H$24="Todos",datos_base!$E$10+datos_base!$E$24,0))*parametros_manuales!$K$100+parametros_manuales!$F$24*(datos_base!$E$4+datos_base!$E$20+IF(parametros_manuales!$H$24="Todos",datos_base!$E$11+datos_base!$E$25,0))*parametros_manuales!$K$105+parametros_manuales!$G$24*(datos_base!$E$5+datos_base!$E$21+IF(parametros_manuales!$H$24="Todos",datos_base!$E$12+datos_base!$E$26,0))*parametros_manuales!$K$110)*parametros_manuales!$I$24*parametros_manuales!$J$24</f>
        <v>4486.7265878035</v>
      </c>
      <c r="L88" s="9" t="n">
        <f aca="false">(parametros_manuales!$D$24*(datos_base!$E$2+datos_base!$E$18+IF(parametros_manuales!$H$24="Todos",datos_base!$E$9+datos_base!$E$23,0))*parametros_manuales!$L$95+parametros_manuales!$E$24*(datos_base!$E$3+datos_base!$E$19+IF(parametros_manuales!$H$24="Todos",datos_base!$E$10+datos_base!$E$24,0))*parametros_manuales!$L$100+parametros_manuales!$F$24*(datos_base!$E$4+datos_base!$E$20+IF(parametros_manuales!$H$24="Todos",datos_base!$E$11+datos_base!$E$25,0))*parametros_manuales!$L$105+parametros_manuales!$G$24*(datos_base!$E$5+datos_base!$E$21+IF(parametros_manuales!$H$24="Todos",datos_base!$E$12+datos_base!$E$26,0))*parametros_manuales!$L$110)*parametros_manuales!$I$24*parametros_manuales!$J$24</f>
        <v>4564.500257709</v>
      </c>
      <c r="M88" s="9" t="n">
        <f aca="false">(parametros_manuales!$D$24*(datos_base!$E$2+datos_base!$E$18+IF(parametros_manuales!$H$24="Todos",datos_base!$E$9+datos_base!$E$23,0))*parametros_manuales!$M$95+parametros_manuales!$E$24*(datos_base!$E$3+datos_base!$E$19+IF(parametros_manuales!$H$24="Todos",datos_base!$E$10+datos_base!$E$24,0))*parametros_manuales!$M$100+parametros_manuales!$F$24*(datos_base!$E$4+datos_base!$E$20+IF(parametros_manuales!$H$24="Todos",datos_base!$E$11+datos_base!$E$25,0))*parametros_manuales!$M$105+parametros_manuales!$G$24*(datos_base!$E$5+datos_base!$E$21+IF(parametros_manuales!$H$24="Todos",datos_base!$E$12+datos_base!$E$26,0))*parametros_manuales!$M$110)*parametros_manuales!$I$24*parametros_manuales!$J$24</f>
        <v>4564.500257709</v>
      </c>
      <c r="N88" s="9" t="n">
        <f aca="false">SUM(B88:M88)</f>
        <v>50716.6695301</v>
      </c>
      <c r="O88" s="9" t="n">
        <f aca="false">MAX(B88:M88)</f>
        <v>4564.500257709</v>
      </c>
      <c r="P88" s="43" t="n">
        <f aca="false">O88/(parametros_manuales!$B$7)</f>
        <v>30.43000171806</v>
      </c>
      <c r="Q88" s="8" t="str">
        <f aca="false">IF(O88=0,"-",INDEX($B$82:$M$82,MATCH(O88,B88:M88,0)))</f>
        <v>Ene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datos_base!$E$2+datos_base!$E$18+IF(parametros_manuales!$H$25="Todos",datos_base!$E$9+datos_base!$E$23,0))*parametros_manuales!$B$95+parametros_manuales!$E$25*(datos_base!$E$3+datos_base!$E$19+IF(parametros_manuales!$H$25="Todos",datos_base!$E$10+datos_base!$E$24,0))*parametros_manuales!$B$100+parametros_manuales!$F$25*(datos_base!$E$4+datos_base!$E$20+IF(parametros_manuales!$H$25="Todos",datos_base!$E$11+datos_base!$E$25,0))*parametros_manuales!$B$105+parametros_manuales!$G$25*(datos_base!$E$5+datos_base!$E$21+IF(parametros_manuales!$H$25="Todos",datos_base!$E$12+datos_base!$E$26,0))*parametros_manuales!$B$110)*parametros_manuales!$I$25*parametros_manuales!$J$25</f>
        <v>4564.500257709</v>
      </c>
      <c r="C89" s="9" t="n">
        <f aca="false">(parametros_manuales!$D$25*(datos_base!$E$2+datos_base!$E$18+IF(parametros_manuales!$H$25="Todos",datos_base!$E$9+datos_base!$E$23,0))*parametros_manuales!$C$95+parametros_manuales!$E$25*(datos_base!$E$3+datos_base!$E$19+IF(parametros_manuales!$H$25="Todos",datos_base!$E$10+datos_base!$E$24,0))*parametros_manuales!$C$100+parametros_manuales!$F$25*(datos_base!$E$4+datos_base!$E$20+IF(parametros_manuales!$H$25="Todos",datos_base!$E$11+datos_base!$E$25,0))*parametros_manuales!$C$105+parametros_manuales!$G$25*(datos_base!$E$5+datos_base!$E$21+IF(parametros_manuales!$H$25="Todos",datos_base!$E$12+datos_base!$E$26,0))*parametros_manuales!$C$110)*parametros_manuales!$I$25*parametros_manuales!$J$25</f>
        <v>4408.952917898</v>
      </c>
      <c r="D89" s="9" t="n">
        <f aca="false">(parametros_manuales!$D$25*(datos_base!$E$2+datos_base!$E$18+IF(parametros_manuales!$H$25="Todos",datos_base!$E$9+datos_base!$E$23,0))*parametros_manuales!$D$95+parametros_manuales!$E$25*(datos_base!$E$3+datos_base!$E$19+IF(parametros_manuales!$H$25="Todos",datos_base!$E$10+datos_base!$E$24,0))*parametros_manuales!$D$100+parametros_manuales!$F$25*(datos_base!$E$4+datos_base!$E$20+IF(parametros_manuales!$H$25="Todos",datos_base!$E$11+datos_base!$E$25,0))*parametros_manuales!$D$105+parametros_manuales!$G$25*(datos_base!$E$5+datos_base!$E$21+IF(parametros_manuales!$H$25="Todos",datos_base!$E$12+datos_base!$E$26,0))*parametros_manuales!$D$110)*parametros_manuales!$I$25*parametros_manuales!$J$25</f>
        <v>4135.1072323135</v>
      </c>
      <c r="E89" s="9" t="n">
        <f aca="false">(parametros_manuales!$D$25*(datos_base!$E$2+datos_base!$E$18+IF(parametros_manuales!$H$25="Todos",datos_base!$E$9+datos_base!$E$23,0))*parametros_manuales!$E$95+parametros_manuales!$E$25*(datos_base!$E$3+datos_base!$E$19+IF(parametros_manuales!$H$25="Todos",datos_base!$E$10+datos_base!$E$24,0))*parametros_manuales!$E$100+parametros_manuales!$F$25*(datos_base!$E$4+datos_base!$E$20+IF(parametros_manuales!$H$25="Todos",datos_base!$E$11+datos_base!$E$25,0))*parametros_manuales!$E$105+parametros_manuales!$G$25*(datos_base!$E$5+datos_base!$E$21+IF(parametros_manuales!$H$25="Todos",datos_base!$E$12+datos_base!$E$26,0))*parametros_manuales!$E$110)*parametros_manuales!$I$25*parametros_manuales!$J$25</f>
        <v>3959.2975545685</v>
      </c>
      <c r="F89" s="9" t="n">
        <f aca="false">(parametros_manuales!$D$25*(datos_base!$E$2+datos_base!$E$18+IF(parametros_manuales!$H$25="Todos",datos_base!$E$9+datos_base!$E$23,0))*parametros_manuales!$F$95+parametros_manuales!$E$25*(datos_base!$E$3+datos_base!$E$19+IF(parametros_manuales!$H$25="Todos",datos_base!$E$10+datos_base!$E$24,0))*parametros_manuales!$F$100+parametros_manuales!$F$25*(datos_base!$E$4+datos_base!$E$20+IF(parametros_manuales!$H$25="Todos",datos_base!$E$11+datos_base!$E$25,0))*parametros_manuales!$F$105+parametros_manuales!$G$25*(datos_base!$E$5+datos_base!$E$21+IF(parametros_manuales!$H$25="Todos",datos_base!$E$12+datos_base!$E$26,0))*parametros_manuales!$F$110)*parametros_manuales!$I$25*parametros_manuales!$J$25</f>
        <v>3705.714206918</v>
      </c>
      <c r="G89" s="9" t="n">
        <f aca="false">(parametros_manuales!$D$25*(datos_base!$E$2+datos_base!$E$18+IF(parametros_manuales!$H$25="Todos",datos_base!$E$9+datos_base!$E$23,0))*parametros_manuales!$G$95+parametros_manuales!$E$25*(datos_base!$E$3+datos_base!$E$19+IF(parametros_manuales!$H$25="Todos",datos_base!$E$10+datos_base!$E$24,0))*parametros_manuales!$G$100+parametros_manuales!$F$25*(datos_base!$E$4+datos_base!$E$20+IF(parametros_manuales!$H$25="Todos",datos_base!$E$11+datos_base!$E$25,0))*parametros_manuales!$G$105+parametros_manuales!$G$25*(datos_base!$E$5+datos_base!$E$21+IF(parametros_manuales!$H$25="Todos",datos_base!$E$12+datos_base!$E$26,0))*parametros_manuales!$G$110)*parametros_manuales!$I$25*parametros_manuales!$J$25</f>
        <v>3627.9405370125</v>
      </c>
      <c r="H89" s="9" t="n">
        <f aca="false">(parametros_manuales!$D$25*(datos_base!$E$2+datos_base!$E$18+IF(parametros_manuales!$H$25="Todos",datos_base!$E$9+datos_base!$E$23,0))*parametros_manuales!$H$95+parametros_manuales!$E$25*(datos_base!$E$3+datos_base!$E$19+IF(parametros_manuales!$H$25="Todos",datos_base!$E$10+datos_base!$E$24,0))*parametros_manuales!$H$100+parametros_manuales!$F$25*(datos_base!$E$4+datos_base!$E$20+IF(parametros_manuales!$H$25="Todos",datos_base!$E$11+datos_base!$E$25,0))*parametros_manuales!$H$105+parametros_manuales!$G$25*(datos_base!$E$5+datos_base!$E$21+IF(parametros_manuales!$H$25="Todos",datos_base!$E$12+datos_base!$E$26,0))*parametros_manuales!$H$110)*parametros_manuales!$I$25*parametros_manuales!$J$25</f>
        <v>3881.523884663</v>
      </c>
      <c r="I89" s="9" t="n">
        <f aca="false">(parametros_manuales!$D$25*(datos_base!$E$2+datos_base!$E$18+IF(parametros_manuales!$H$25="Todos",datos_base!$E$9+datos_base!$E$23,0))*parametros_manuales!$I$95+parametros_manuales!$E$25*(datos_base!$E$3+datos_base!$E$19+IF(parametros_manuales!$H$25="Todos",datos_base!$E$10+datos_base!$E$24,0))*parametros_manuales!$I$100+parametros_manuales!$F$25*(datos_base!$E$4+datos_base!$E$20+IF(parametros_manuales!$H$25="Todos",datos_base!$E$11+datos_base!$E$25,0))*parametros_manuales!$I$105+parametros_manuales!$G$25*(datos_base!$E$5+datos_base!$E$21+IF(parametros_manuales!$H$25="Todos",datos_base!$E$12+datos_base!$E$26,0))*parametros_manuales!$I$110)*parametros_manuales!$I$25*parametros_manuales!$J$25</f>
        <v>4408.952917898</v>
      </c>
      <c r="J89" s="9" t="n">
        <f aca="false">(parametros_manuales!$D$25*(datos_base!$E$2+datos_base!$E$18+IF(parametros_manuales!$H$25="Todos",datos_base!$E$9+datos_base!$E$23,0))*parametros_manuales!$J$95+parametros_manuales!$E$25*(datos_base!$E$3+datos_base!$E$19+IF(parametros_manuales!$H$25="Todos",datos_base!$E$10+datos_base!$E$24,0))*parametros_manuales!$J$100+parametros_manuales!$F$25*(datos_base!$E$4+datos_base!$E$20+IF(parametros_manuales!$H$25="Todos",datos_base!$E$11+datos_base!$E$25,0))*parametros_manuales!$J$105+parametros_manuales!$G$25*(datos_base!$E$5+datos_base!$E$21+IF(parametros_manuales!$H$25="Todos",datos_base!$E$12+datos_base!$E$26,0))*parametros_manuales!$J$110)*parametros_manuales!$I$25*parametros_manuales!$J$25</f>
        <v>4408.952917898</v>
      </c>
      <c r="K89" s="9" t="n">
        <f aca="false">(parametros_manuales!$D$25*(datos_base!$E$2+datos_base!$E$18+IF(parametros_manuales!$H$25="Todos",datos_base!$E$9+datos_base!$E$23,0))*parametros_manuales!$K$95+parametros_manuales!$E$25*(datos_base!$E$3+datos_base!$E$19+IF(parametros_manuales!$H$25="Todos",datos_base!$E$10+datos_base!$E$24,0))*parametros_manuales!$K$100+parametros_manuales!$F$25*(datos_base!$E$4+datos_base!$E$20+IF(parametros_manuales!$H$25="Todos",datos_base!$E$11+datos_base!$E$25,0))*parametros_manuales!$K$105+parametros_manuales!$G$25*(datos_base!$E$5+datos_base!$E$21+IF(parametros_manuales!$H$25="Todos",datos_base!$E$12+datos_base!$E$26,0))*parametros_manuales!$K$110)*parametros_manuales!$I$25*parametros_manuales!$J$25</f>
        <v>4486.7265878035</v>
      </c>
      <c r="L89" s="9" t="n">
        <f aca="false">(parametros_manuales!$D$25*(datos_base!$E$2+datos_base!$E$18+IF(parametros_manuales!$H$25="Todos",datos_base!$E$9+datos_base!$E$23,0))*parametros_manuales!$L$95+parametros_manuales!$E$25*(datos_base!$E$3+datos_base!$E$19+IF(parametros_manuales!$H$25="Todos",datos_base!$E$10+datos_base!$E$24,0))*parametros_manuales!$L$100+parametros_manuales!$F$25*(datos_base!$E$4+datos_base!$E$20+IF(parametros_manuales!$H$25="Todos",datos_base!$E$11+datos_base!$E$25,0))*parametros_manuales!$L$105+parametros_manuales!$G$25*(datos_base!$E$5+datos_base!$E$21+IF(parametros_manuales!$H$25="Todos",datos_base!$E$12+datos_base!$E$26,0))*parametros_manuales!$L$110)*parametros_manuales!$I$25*parametros_manuales!$J$25</f>
        <v>4564.500257709</v>
      </c>
      <c r="M89" s="9" t="n">
        <f aca="false">(parametros_manuales!$D$25*(datos_base!$E$2+datos_base!$E$18+IF(parametros_manuales!$H$25="Todos",datos_base!$E$9+datos_base!$E$23,0))*parametros_manuales!$M$95+parametros_manuales!$E$25*(datos_base!$E$3+datos_base!$E$19+IF(parametros_manuales!$H$25="Todos",datos_base!$E$10+datos_base!$E$24,0))*parametros_manuales!$M$100+parametros_manuales!$F$25*(datos_base!$E$4+datos_base!$E$20+IF(parametros_manuales!$H$25="Todos",datos_base!$E$11+datos_base!$E$25,0))*parametros_manuales!$M$105+parametros_manuales!$G$25*(datos_base!$E$5+datos_base!$E$21+IF(parametros_manuales!$H$25="Todos",datos_base!$E$12+datos_base!$E$26,0))*parametros_manuales!$M$110)*parametros_manuales!$I$25*parametros_manuales!$J$25</f>
        <v>4564.500257709</v>
      </c>
      <c r="N89" s="9" t="n">
        <f aca="false">SUM(B89:M89)</f>
        <v>50716.6695301</v>
      </c>
      <c r="O89" s="9" t="n">
        <f aca="false">MAX(B89:M89)</f>
        <v>4564.500257709</v>
      </c>
      <c r="P89" s="43" t="n">
        <f aca="false">O89/(parametros_manuales!$B$7)</f>
        <v>30.43000171806</v>
      </c>
      <c r="Q89" s="8" t="str">
        <f aca="false">IF(O89=0,"-",INDEX($B$82:$M$82,MATCH(O89,B89:M89,0)))</f>
        <v>Ene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datos_base!$E$2+datos_base!$E$18+IF(parametros_manuales!$H$26="Todos",datos_base!$E$9+datos_base!$E$23,0))*parametros_manuales!$B$95+parametros_manuales!$E$26*(datos_base!$E$3+datos_base!$E$19+IF(parametros_manuales!$H$26="Todos",datos_base!$E$10+datos_base!$E$24,0))*parametros_manuales!$B$100+parametros_manuales!$F$26*(datos_base!$E$4+datos_base!$E$20+IF(parametros_manuales!$H$26="Todos",datos_base!$E$11+datos_base!$E$25,0))*parametros_manuales!$B$105+parametros_manuales!$G$26*(datos_base!$E$5+datos_base!$E$21+IF(parametros_manuales!$H$26="Todos",datos_base!$E$12+datos_base!$E$26,0))*parametros_manuales!$B$110)*parametros_manuales!$I$26*parametros_manuales!$J$26</f>
        <v>1399.926058299</v>
      </c>
      <c r="C90" s="9" t="n">
        <f aca="false">(parametros_manuales!$D$26*(datos_base!$E$2+datos_base!$E$18+IF(parametros_manuales!$H$26="Todos",datos_base!$E$9+datos_base!$E$23,0))*parametros_manuales!$C$95+parametros_manuales!$E$26*(datos_base!$E$3+datos_base!$E$19+IF(parametros_manuales!$H$26="Todos",datos_base!$E$10+datos_base!$E$24,0))*parametros_manuales!$C$100+parametros_manuales!$F$26*(datos_base!$E$4+datos_base!$E$20+IF(parametros_manuales!$H$26="Todos",datos_base!$E$11+datos_base!$E$25,0))*parametros_manuales!$C$105+parametros_manuales!$G$26*(datos_base!$E$5+datos_base!$E$21+IF(parametros_manuales!$H$26="Todos",datos_base!$E$12+datos_base!$E$26,0))*parametros_manuales!$C$110)*parametros_manuales!$I$26*parametros_manuales!$J$26</f>
        <v>1244.378718488</v>
      </c>
      <c r="D90" s="9" t="n">
        <f aca="false">(parametros_manuales!$D$26*(datos_base!$E$2+datos_base!$E$18+IF(parametros_manuales!$H$26="Todos",datos_base!$E$9+datos_base!$E$23,0))*parametros_manuales!$D$95+parametros_manuales!$E$26*(datos_base!$E$3+datos_base!$E$19+IF(parametros_manuales!$H$26="Todos",datos_base!$E$10+datos_base!$E$24,0))*parametros_manuales!$D$100+parametros_manuales!$F$26*(datos_base!$E$4+datos_base!$E$20+IF(parametros_manuales!$H$26="Todos",datos_base!$E$11+datos_base!$E$25,0))*parametros_manuales!$D$105+parametros_manuales!$G$26*(datos_base!$E$5+datos_base!$E$21+IF(parametros_manuales!$H$26="Todos",datos_base!$E$12+datos_base!$E$26,0))*parametros_manuales!$D$110)*parametros_manuales!$I$26*parametros_manuales!$J$26</f>
        <v>1322.1523883935</v>
      </c>
      <c r="E90" s="9" t="n">
        <f aca="false">(parametros_manuales!$D$26*(datos_base!$E$2+datos_base!$E$18+IF(parametros_manuales!$H$26="Todos",datos_base!$E$9+datos_base!$E$23,0))*parametros_manuales!$E$95+parametros_manuales!$E$26*(datos_base!$E$3+datos_base!$E$19+IF(parametros_manuales!$H$26="Todos",datos_base!$E$10+datos_base!$E$24,0))*parametros_manuales!$E$100+parametros_manuales!$F$26*(datos_base!$E$4+datos_base!$E$20+IF(parametros_manuales!$H$26="Todos",datos_base!$E$11+datos_base!$E$25,0))*parametros_manuales!$E$105+parametros_manuales!$G$26*(datos_base!$E$5+datos_base!$E$21+IF(parametros_manuales!$H$26="Todos",datos_base!$E$12+datos_base!$E$26,0))*parametros_manuales!$E$110)*parametros_manuales!$I$26*parametros_manuales!$J$26</f>
        <v>1322.1523883935</v>
      </c>
      <c r="F90" s="9" t="n">
        <f aca="false">(parametros_manuales!$D$26*(datos_base!$E$2+datos_base!$E$18+IF(parametros_manuales!$H$26="Todos",datos_base!$E$9+datos_base!$E$23,0))*parametros_manuales!$F$95+parametros_manuales!$E$26*(datos_base!$E$3+datos_base!$E$19+IF(parametros_manuales!$H$26="Todos",datos_base!$E$10+datos_base!$E$24,0))*parametros_manuales!$F$100+parametros_manuales!$F$26*(datos_base!$E$4+datos_base!$E$20+IF(parametros_manuales!$H$26="Todos",datos_base!$E$11+datos_base!$E$25,0))*parametros_manuales!$F$105+parametros_manuales!$G$26*(datos_base!$E$5+datos_base!$E$21+IF(parametros_manuales!$H$26="Todos",datos_base!$E$12+datos_base!$E$26,0))*parametros_manuales!$F$110)*parametros_manuales!$I$26*parametros_manuales!$J$26</f>
        <v>1244.378718488</v>
      </c>
      <c r="G90" s="9" t="n">
        <f aca="false">(parametros_manuales!$D$26*(datos_base!$E$2+datos_base!$E$18+IF(parametros_manuales!$H$26="Todos",datos_base!$E$9+datos_base!$E$23,0))*parametros_manuales!$G$95+parametros_manuales!$E$26*(datos_base!$E$3+datos_base!$E$19+IF(parametros_manuales!$H$26="Todos",datos_base!$E$10+datos_base!$E$24,0))*parametros_manuales!$G$100+parametros_manuales!$F$26*(datos_base!$E$4+datos_base!$E$20+IF(parametros_manuales!$H$26="Todos",datos_base!$E$11+datos_base!$E$25,0))*parametros_manuales!$G$105+parametros_manuales!$G$26*(datos_base!$E$5+datos_base!$E$21+IF(parametros_manuales!$H$26="Todos",datos_base!$E$12+datos_base!$E$26,0))*parametros_manuales!$G$110)*parametros_manuales!$I$26*parametros_manuales!$J$26</f>
        <v>1166.6050485825</v>
      </c>
      <c r="H90" s="9" t="n">
        <f aca="false">(parametros_manuales!$D$26*(datos_base!$E$2+datos_base!$E$18+IF(parametros_manuales!$H$26="Todos",datos_base!$E$9+datos_base!$E$23,0))*parametros_manuales!$H$95+parametros_manuales!$E$26*(datos_base!$E$3+datos_base!$E$19+IF(parametros_manuales!$H$26="Todos",datos_base!$E$10+datos_base!$E$24,0))*parametros_manuales!$H$100+parametros_manuales!$F$26*(datos_base!$E$4+datos_base!$E$20+IF(parametros_manuales!$H$26="Todos",datos_base!$E$11+datos_base!$E$25,0))*parametros_manuales!$H$105+parametros_manuales!$G$26*(datos_base!$E$5+datos_base!$E$21+IF(parametros_manuales!$H$26="Todos",datos_base!$E$12+datos_base!$E$26,0))*parametros_manuales!$H$110)*parametros_manuales!$I$26*parametros_manuales!$J$26</f>
        <v>1244.378718488</v>
      </c>
      <c r="I90" s="9" t="n">
        <f aca="false">(parametros_manuales!$D$26*(datos_base!$E$2+datos_base!$E$18+IF(parametros_manuales!$H$26="Todos",datos_base!$E$9+datos_base!$E$23,0))*parametros_manuales!$I$95+parametros_manuales!$E$26*(datos_base!$E$3+datos_base!$E$19+IF(parametros_manuales!$H$26="Todos",datos_base!$E$10+datos_base!$E$24,0))*parametros_manuales!$I$100+parametros_manuales!$F$26*(datos_base!$E$4+datos_base!$E$20+IF(parametros_manuales!$H$26="Todos",datos_base!$E$11+datos_base!$E$25,0))*parametros_manuales!$I$105+parametros_manuales!$G$26*(datos_base!$E$5+datos_base!$E$21+IF(parametros_manuales!$H$26="Todos",datos_base!$E$12+datos_base!$E$26,0))*parametros_manuales!$I$110)*parametros_manuales!$I$26*parametros_manuales!$J$26</f>
        <v>1244.378718488</v>
      </c>
      <c r="J90" s="9" t="n">
        <f aca="false">(parametros_manuales!$D$26*(datos_base!$E$2+datos_base!$E$18+IF(parametros_manuales!$H$26="Todos",datos_base!$E$9+datos_base!$E$23,0))*parametros_manuales!$J$95+parametros_manuales!$E$26*(datos_base!$E$3+datos_base!$E$19+IF(parametros_manuales!$H$26="Todos",datos_base!$E$10+datos_base!$E$24,0))*parametros_manuales!$J$100+parametros_manuales!$F$26*(datos_base!$E$4+datos_base!$E$20+IF(parametros_manuales!$H$26="Todos",datos_base!$E$11+datos_base!$E$25,0))*parametros_manuales!$J$105+parametros_manuales!$G$26*(datos_base!$E$5+datos_base!$E$21+IF(parametros_manuales!$H$26="Todos",datos_base!$E$12+datos_base!$E$26,0))*parametros_manuales!$J$110)*parametros_manuales!$I$26*parametros_manuales!$J$26</f>
        <v>1244.378718488</v>
      </c>
      <c r="K90" s="9" t="n">
        <f aca="false">(parametros_manuales!$D$26*(datos_base!$E$2+datos_base!$E$18+IF(parametros_manuales!$H$26="Todos",datos_base!$E$9+datos_base!$E$23,0))*parametros_manuales!$K$95+parametros_manuales!$E$26*(datos_base!$E$3+datos_base!$E$19+IF(parametros_manuales!$H$26="Todos",datos_base!$E$10+datos_base!$E$24,0))*parametros_manuales!$K$100+parametros_manuales!$F$26*(datos_base!$E$4+datos_base!$E$20+IF(parametros_manuales!$H$26="Todos",datos_base!$E$11+datos_base!$E$25,0))*parametros_manuales!$K$105+parametros_manuales!$G$26*(datos_base!$E$5+datos_base!$E$21+IF(parametros_manuales!$H$26="Todos",datos_base!$E$12+datos_base!$E$26,0))*parametros_manuales!$K$110)*parametros_manuales!$I$26*parametros_manuales!$J$26</f>
        <v>1322.1523883935</v>
      </c>
      <c r="L90" s="9" t="n">
        <f aca="false">(parametros_manuales!$D$26*(datos_base!$E$2+datos_base!$E$18+IF(parametros_manuales!$H$26="Todos",datos_base!$E$9+datos_base!$E$23,0))*parametros_manuales!$L$95+parametros_manuales!$E$26*(datos_base!$E$3+datos_base!$E$19+IF(parametros_manuales!$H$26="Todos",datos_base!$E$10+datos_base!$E$24,0))*parametros_manuales!$L$100+parametros_manuales!$F$26*(datos_base!$E$4+datos_base!$E$20+IF(parametros_manuales!$H$26="Todos",datos_base!$E$11+datos_base!$E$25,0))*parametros_manuales!$L$105+parametros_manuales!$G$26*(datos_base!$E$5+datos_base!$E$21+IF(parametros_manuales!$H$26="Todos",datos_base!$E$12+datos_base!$E$26,0))*parametros_manuales!$L$110)*parametros_manuales!$I$26*parametros_manuales!$J$26</f>
        <v>1399.926058299</v>
      </c>
      <c r="M90" s="9" t="n">
        <f aca="false">(parametros_manuales!$D$26*(datos_base!$E$2+datos_base!$E$18+IF(parametros_manuales!$H$26="Todos",datos_base!$E$9+datos_base!$E$23,0))*parametros_manuales!$M$95+parametros_manuales!$E$26*(datos_base!$E$3+datos_base!$E$19+IF(parametros_manuales!$H$26="Todos",datos_base!$E$10+datos_base!$E$24,0))*parametros_manuales!$M$100+parametros_manuales!$F$26*(datos_base!$E$4+datos_base!$E$20+IF(parametros_manuales!$H$26="Todos",datos_base!$E$11+datos_base!$E$25,0))*parametros_manuales!$M$105+parametros_manuales!$G$26*(datos_base!$E$5+datos_base!$E$21+IF(parametros_manuales!$H$26="Todos",datos_base!$E$12+datos_base!$E$26,0))*parametros_manuales!$M$110)*parametros_manuales!$I$26*parametros_manuales!$J$26</f>
        <v>1399.926058299</v>
      </c>
      <c r="N90" s="9" t="n">
        <f aca="false">SUM(B90:M90)</f>
        <v>15554.7339811</v>
      </c>
      <c r="O90" s="9" t="n">
        <f aca="false">MAX(B90:M90)</f>
        <v>1399.926058299</v>
      </c>
      <c r="P90" s="43" t="n">
        <f aca="false">O90/(parametros_manuales!$B$7)</f>
        <v>9.33284038866</v>
      </c>
      <c r="Q90" s="8" t="str">
        <f aca="false">IF(O90=0,"-",INDEX($B$82:$M$82,MATCH(O90,B90:M90,0)))</f>
        <v>Ene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datos_base!$E$2+datos_base!$E$18+IF(parametros_manuales!$H$27="Todos",datos_base!$E$9+datos_base!$E$23,0))*parametros_manuales!$B$95+parametros_manuales!$E$27*(datos_base!$E$3+datos_base!$E$19+IF(parametros_manuales!$H$27="Todos",datos_base!$E$10+datos_base!$E$24,0))*parametros_manuales!$B$100+parametros_manuales!$F$27*(datos_base!$E$4+datos_base!$E$20+IF(parametros_manuales!$H$27="Todos",datos_base!$E$11+datos_base!$E$25,0))*parametros_manuales!$B$105+parametros_manuales!$G$27*(datos_base!$E$5+datos_base!$E$21+IF(parametros_manuales!$H$27="Todos",datos_base!$E$12+datos_base!$E$26,0))*parametros_manuales!$B$110)*parametros_manuales!$I$27*parametros_manuales!$J$27</f>
        <v>1399.926058299</v>
      </c>
      <c r="C91" s="9" t="n">
        <f aca="false">(parametros_manuales!$D$27*(datos_base!$E$2+datos_base!$E$18+IF(parametros_manuales!$H$27="Todos",datos_base!$E$9+datos_base!$E$23,0))*parametros_manuales!$C$95+parametros_manuales!$E$27*(datos_base!$E$3+datos_base!$E$19+IF(parametros_manuales!$H$27="Todos",datos_base!$E$10+datos_base!$E$24,0))*parametros_manuales!$C$100+parametros_manuales!$F$27*(datos_base!$E$4+datos_base!$E$20+IF(parametros_manuales!$H$27="Todos",datos_base!$E$11+datos_base!$E$25,0))*parametros_manuales!$C$105+parametros_manuales!$G$27*(datos_base!$E$5+datos_base!$E$21+IF(parametros_manuales!$H$27="Todos",datos_base!$E$12+datos_base!$E$26,0))*parametros_manuales!$C$110)*parametros_manuales!$I$27*parametros_manuales!$J$27</f>
        <v>1244.378718488</v>
      </c>
      <c r="D91" s="9" t="n">
        <f aca="false">(parametros_manuales!$D$27*(datos_base!$E$2+datos_base!$E$18+IF(parametros_manuales!$H$27="Todos",datos_base!$E$9+datos_base!$E$23,0))*parametros_manuales!$D$95+parametros_manuales!$E$27*(datos_base!$E$3+datos_base!$E$19+IF(parametros_manuales!$H$27="Todos",datos_base!$E$10+datos_base!$E$24,0))*parametros_manuales!$D$100+parametros_manuales!$F$27*(datos_base!$E$4+datos_base!$E$20+IF(parametros_manuales!$H$27="Todos",datos_base!$E$11+datos_base!$E$25,0))*parametros_manuales!$D$105+parametros_manuales!$G$27*(datos_base!$E$5+datos_base!$E$21+IF(parametros_manuales!$H$27="Todos",datos_base!$E$12+datos_base!$E$26,0))*parametros_manuales!$D$110)*parametros_manuales!$I$27*parametros_manuales!$J$27</f>
        <v>1322.1523883935</v>
      </c>
      <c r="E91" s="9" t="n">
        <f aca="false">(parametros_manuales!$D$27*(datos_base!$E$2+datos_base!$E$18+IF(parametros_manuales!$H$27="Todos",datos_base!$E$9+datos_base!$E$23,0))*parametros_manuales!$E$95+parametros_manuales!$E$27*(datos_base!$E$3+datos_base!$E$19+IF(parametros_manuales!$H$27="Todos",datos_base!$E$10+datos_base!$E$24,0))*parametros_manuales!$E$100+parametros_manuales!$F$27*(datos_base!$E$4+datos_base!$E$20+IF(parametros_manuales!$H$27="Todos",datos_base!$E$11+datos_base!$E$25,0))*parametros_manuales!$E$105+parametros_manuales!$G$27*(datos_base!$E$5+datos_base!$E$21+IF(parametros_manuales!$H$27="Todos",datos_base!$E$12+datos_base!$E$26,0))*parametros_manuales!$E$110)*parametros_manuales!$I$27*parametros_manuales!$J$27</f>
        <v>1322.1523883935</v>
      </c>
      <c r="F91" s="9" t="n">
        <f aca="false">(parametros_manuales!$D$27*(datos_base!$E$2+datos_base!$E$18+IF(parametros_manuales!$H$27="Todos",datos_base!$E$9+datos_base!$E$23,0))*parametros_manuales!$F$95+parametros_manuales!$E$27*(datos_base!$E$3+datos_base!$E$19+IF(parametros_manuales!$H$27="Todos",datos_base!$E$10+datos_base!$E$24,0))*parametros_manuales!$F$100+parametros_manuales!$F$27*(datos_base!$E$4+datos_base!$E$20+IF(parametros_manuales!$H$27="Todos",datos_base!$E$11+datos_base!$E$25,0))*parametros_manuales!$F$105+parametros_manuales!$G$27*(datos_base!$E$5+datos_base!$E$21+IF(parametros_manuales!$H$27="Todos",datos_base!$E$12+datos_base!$E$26,0))*parametros_manuales!$F$110)*parametros_manuales!$I$27*parametros_manuales!$J$27</f>
        <v>1244.378718488</v>
      </c>
      <c r="G91" s="9" t="n">
        <f aca="false">(parametros_manuales!$D$27*(datos_base!$E$2+datos_base!$E$18+IF(parametros_manuales!$H$27="Todos",datos_base!$E$9+datos_base!$E$23,0))*parametros_manuales!$G$95+parametros_manuales!$E$27*(datos_base!$E$3+datos_base!$E$19+IF(parametros_manuales!$H$27="Todos",datos_base!$E$10+datos_base!$E$24,0))*parametros_manuales!$G$100+parametros_manuales!$F$27*(datos_base!$E$4+datos_base!$E$20+IF(parametros_manuales!$H$27="Todos",datos_base!$E$11+datos_base!$E$25,0))*parametros_manuales!$G$105+parametros_manuales!$G$27*(datos_base!$E$5+datos_base!$E$21+IF(parametros_manuales!$H$27="Todos",datos_base!$E$12+datos_base!$E$26,0))*parametros_manuales!$G$110)*parametros_manuales!$I$27*parametros_manuales!$J$27</f>
        <v>1166.6050485825</v>
      </c>
      <c r="H91" s="9" t="n">
        <f aca="false">(parametros_manuales!$D$27*(datos_base!$E$2+datos_base!$E$18+IF(parametros_manuales!$H$27="Todos",datos_base!$E$9+datos_base!$E$23,0))*parametros_manuales!$H$95+parametros_manuales!$E$27*(datos_base!$E$3+datos_base!$E$19+IF(parametros_manuales!$H$27="Todos",datos_base!$E$10+datos_base!$E$24,0))*parametros_manuales!$H$100+parametros_manuales!$F$27*(datos_base!$E$4+datos_base!$E$20+IF(parametros_manuales!$H$27="Todos",datos_base!$E$11+datos_base!$E$25,0))*parametros_manuales!$H$105+parametros_manuales!$G$27*(datos_base!$E$5+datos_base!$E$21+IF(parametros_manuales!$H$27="Todos",datos_base!$E$12+datos_base!$E$26,0))*parametros_manuales!$H$110)*parametros_manuales!$I$27*parametros_manuales!$J$27</f>
        <v>1244.378718488</v>
      </c>
      <c r="I91" s="9" t="n">
        <f aca="false">(parametros_manuales!$D$27*(datos_base!$E$2+datos_base!$E$18+IF(parametros_manuales!$H$27="Todos",datos_base!$E$9+datos_base!$E$23,0))*parametros_manuales!$I$95+parametros_manuales!$E$27*(datos_base!$E$3+datos_base!$E$19+IF(parametros_manuales!$H$27="Todos",datos_base!$E$10+datos_base!$E$24,0))*parametros_manuales!$I$100+parametros_manuales!$F$27*(datos_base!$E$4+datos_base!$E$20+IF(parametros_manuales!$H$27="Todos",datos_base!$E$11+datos_base!$E$25,0))*parametros_manuales!$I$105+parametros_manuales!$G$27*(datos_base!$E$5+datos_base!$E$21+IF(parametros_manuales!$H$27="Todos",datos_base!$E$12+datos_base!$E$26,0))*parametros_manuales!$I$110)*parametros_manuales!$I$27*parametros_manuales!$J$27</f>
        <v>1244.378718488</v>
      </c>
      <c r="J91" s="9" t="n">
        <f aca="false">(parametros_manuales!$D$27*(datos_base!$E$2+datos_base!$E$18+IF(parametros_manuales!$H$27="Todos",datos_base!$E$9+datos_base!$E$23,0))*parametros_manuales!$J$95+parametros_manuales!$E$27*(datos_base!$E$3+datos_base!$E$19+IF(parametros_manuales!$H$27="Todos",datos_base!$E$10+datos_base!$E$24,0))*parametros_manuales!$J$100+parametros_manuales!$F$27*(datos_base!$E$4+datos_base!$E$20+IF(parametros_manuales!$H$27="Todos",datos_base!$E$11+datos_base!$E$25,0))*parametros_manuales!$J$105+parametros_manuales!$G$27*(datos_base!$E$5+datos_base!$E$21+IF(parametros_manuales!$H$27="Todos",datos_base!$E$12+datos_base!$E$26,0))*parametros_manuales!$J$110)*parametros_manuales!$I$27*parametros_manuales!$J$27</f>
        <v>1244.378718488</v>
      </c>
      <c r="K91" s="9" t="n">
        <f aca="false">(parametros_manuales!$D$27*(datos_base!$E$2+datos_base!$E$18+IF(parametros_manuales!$H$27="Todos",datos_base!$E$9+datos_base!$E$23,0))*parametros_manuales!$K$95+parametros_manuales!$E$27*(datos_base!$E$3+datos_base!$E$19+IF(parametros_manuales!$H$27="Todos",datos_base!$E$10+datos_base!$E$24,0))*parametros_manuales!$K$100+parametros_manuales!$F$27*(datos_base!$E$4+datos_base!$E$20+IF(parametros_manuales!$H$27="Todos",datos_base!$E$11+datos_base!$E$25,0))*parametros_manuales!$K$105+parametros_manuales!$G$27*(datos_base!$E$5+datos_base!$E$21+IF(parametros_manuales!$H$27="Todos",datos_base!$E$12+datos_base!$E$26,0))*parametros_manuales!$K$110)*parametros_manuales!$I$27*parametros_manuales!$J$27</f>
        <v>1322.1523883935</v>
      </c>
      <c r="L91" s="9" t="n">
        <f aca="false">(parametros_manuales!$D$27*(datos_base!$E$2+datos_base!$E$18+IF(parametros_manuales!$H$27="Todos",datos_base!$E$9+datos_base!$E$23,0))*parametros_manuales!$L$95+parametros_manuales!$E$27*(datos_base!$E$3+datos_base!$E$19+IF(parametros_manuales!$H$27="Todos",datos_base!$E$10+datos_base!$E$24,0))*parametros_manuales!$L$100+parametros_manuales!$F$27*(datos_base!$E$4+datos_base!$E$20+IF(parametros_manuales!$H$27="Todos",datos_base!$E$11+datos_base!$E$25,0))*parametros_manuales!$L$105+parametros_manuales!$G$27*(datos_base!$E$5+datos_base!$E$21+IF(parametros_manuales!$H$27="Todos",datos_base!$E$12+datos_base!$E$26,0))*parametros_manuales!$L$110)*parametros_manuales!$I$27*parametros_manuales!$J$27</f>
        <v>1399.926058299</v>
      </c>
      <c r="M91" s="9" t="n">
        <f aca="false">(parametros_manuales!$D$27*(datos_base!$E$2+datos_base!$E$18+IF(parametros_manuales!$H$27="Todos",datos_base!$E$9+datos_base!$E$23,0))*parametros_manuales!$M$95+parametros_manuales!$E$27*(datos_base!$E$3+datos_base!$E$19+IF(parametros_manuales!$H$27="Todos",datos_base!$E$10+datos_base!$E$24,0))*parametros_manuales!$M$100+parametros_manuales!$F$27*(datos_base!$E$4+datos_base!$E$20+IF(parametros_manuales!$H$27="Todos",datos_base!$E$11+datos_base!$E$25,0))*parametros_manuales!$M$105+parametros_manuales!$G$27*(datos_base!$E$5+datos_base!$E$21+IF(parametros_manuales!$H$27="Todos",datos_base!$E$12+datos_base!$E$26,0))*parametros_manuales!$M$110)*parametros_manuales!$I$27*parametros_manuales!$J$27</f>
        <v>1399.926058299</v>
      </c>
      <c r="N91" s="9" t="n">
        <f aca="false">SUM(B91:M91)</f>
        <v>15554.7339811</v>
      </c>
      <c r="O91" s="9" t="n">
        <f aca="false">MAX(B91:M91)</f>
        <v>1399.926058299</v>
      </c>
      <c r="P91" s="43" t="n">
        <f aca="false">O91/(parametros_manuales!$B$7)</f>
        <v>9.33284038866</v>
      </c>
      <c r="Q91" s="8" t="str">
        <f aca="false">IF(O91=0,"-",INDEX($B$82:$M$82,MATCH(O91,B91:M91,0)))</f>
        <v>Ene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datos_base!$E$2+datos_base!$E$18+IF(parametros_manuales!$H$28="Todos",datos_base!$E$9+datos_base!$E$23,0))*parametros_manuales!$B$95+parametros_manuales!$E$28*(datos_base!$E$3+datos_base!$E$19+IF(parametros_manuales!$H$28="Todos",datos_base!$E$10+datos_base!$E$24,0))*parametros_manuales!$B$100+parametros_manuales!$F$28*(datos_base!$E$4+datos_base!$E$20+IF(parametros_manuales!$H$28="Todos",datos_base!$E$11+datos_base!$E$25,0))*parametros_manuales!$B$105+parametros_manuales!$G$28*(datos_base!$E$5+datos_base!$E$21+IF(parametros_manuales!$H$28="Todos",datos_base!$E$12+datos_base!$E$26,0))*parametros_manuales!$B$110)*parametros_manuales!$I$28*parametros_manuales!$J$28</f>
        <v>4564.500257709</v>
      </c>
      <c r="C92" s="9" t="n">
        <f aca="false">(parametros_manuales!$D$28*(datos_base!$E$2+datos_base!$E$18+IF(parametros_manuales!$H$28="Todos",datos_base!$E$9+datos_base!$E$23,0))*parametros_manuales!$C$95+parametros_manuales!$E$28*(datos_base!$E$3+datos_base!$E$19+IF(parametros_manuales!$H$28="Todos",datos_base!$E$10+datos_base!$E$24,0))*parametros_manuales!$C$100+parametros_manuales!$F$28*(datos_base!$E$4+datos_base!$E$20+IF(parametros_manuales!$H$28="Todos",datos_base!$E$11+datos_base!$E$25,0))*parametros_manuales!$C$105+parametros_manuales!$G$28*(datos_base!$E$5+datos_base!$E$21+IF(parametros_manuales!$H$28="Todos",datos_base!$E$12+datos_base!$E$26,0))*parametros_manuales!$C$110)*parametros_manuales!$I$28*parametros_manuales!$J$28</f>
        <v>4408.952917898</v>
      </c>
      <c r="D92" s="9" t="n">
        <f aca="false">(parametros_manuales!$D$28*(datos_base!$E$2+datos_base!$E$18+IF(parametros_manuales!$H$28="Todos",datos_base!$E$9+datos_base!$E$23,0))*parametros_manuales!$D$95+parametros_manuales!$E$28*(datos_base!$E$3+datos_base!$E$19+IF(parametros_manuales!$H$28="Todos",datos_base!$E$10+datos_base!$E$24,0))*parametros_manuales!$D$100+parametros_manuales!$F$28*(datos_base!$E$4+datos_base!$E$20+IF(parametros_manuales!$H$28="Todos",datos_base!$E$11+datos_base!$E$25,0))*parametros_manuales!$D$105+parametros_manuales!$G$28*(datos_base!$E$5+datos_base!$E$21+IF(parametros_manuales!$H$28="Todos",datos_base!$E$12+datos_base!$E$26,0))*parametros_manuales!$D$110)*parametros_manuales!$I$28*parametros_manuales!$J$28</f>
        <v>4135.1072323135</v>
      </c>
      <c r="E92" s="9" t="n">
        <f aca="false">(parametros_manuales!$D$28*(datos_base!$E$2+datos_base!$E$18+IF(parametros_manuales!$H$28="Todos",datos_base!$E$9+datos_base!$E$23,0))*parametros_manuales!$E$95+parametros_manuales!$E$28*(datos_base!$E$3+datos_base!$E$19+IF(parametros_manuales!$H$28="Todos",datos_base!$E$10+datos_base!$E$24,0))*parametros_manuales!$E$100+parametros_manuales!$F$28*(datos_base!$E$4+datos_base!$E$20+IF(parametros_manuales!$H$28="Todos",datos_base!$E$11+datos_base!$E$25,0))*parametros_manuales!$E$105+parametros_manuales!$G$28*(datos_base!$E$5+datos_base!$E$21+IF(parametros_manuales!$H$28="Todos",datos_base!$E$12+datos_base!$E$26,0))*parametros_manuales!$E$110)*parametros_manuales!$I$28*parametros_manuales!$J$28</f>
        <v>3959.2975545685</v>
      </c>
      <c r="F92" s="9" t="n">
        <f aca="false">(parametros_manuales!$D$28*(datos_base!$E$2+datos_base!$E$18+IF(parametros_manuales!$H$28="Todos",datos_base!$E$9+datos_base!$E$23,0))*parametros_manuales!$F$95+parametros_manuales!$E$28*(datos_base!$E$3+datos_base!$E$19+IF(parametros_manuales!$H$28="Todos",datos_base!$E$10+datos_base!$E$24,0))*parametros_manuales!$F$100+parametros_manuales!$F$28*(datos_base!$E$4+datos_base!$E$20+IF(parametros_manuales!$H$28="Todos",datos_base!$E$11+datos_base!$E$25,0))*parametros_manuales!$F$105+parametros_manuales!$G$28*(datos_base!$E$5+datos_base!$E$21+IF(parametros_manuales!$H$28="Todos",datos_base!$E$12+datos_base!$E$26,0))*parametros_manuales!$F$110)*parametros_manuales!$I$28*parametros_manuales!$J$28</f>
        <v>3705.714206918</v>
      </c>
      <c r="G92" s="9" t="n">
        <f aca="false">(parametros_manuales!$D$28*(datos_base!$E$2+datos_base!$E$18+IF(parametros_manuales!$H$28="Todos",datos_base!$E$9+datos_base!$E$23,0))*parametros_manuales!$G$95+parametros_manuales!$E$28*(datos_base!$E$3+datos_base!$E$19+IF(parametros_manuales!$H$28="Todos",datos_base!$E$10+datos_base!$E$24,0))*parametros_manuales!$G$100+parametros_manuales!$F$28*(datos_base!$E$4+datos_base!$E$20+IF(parametros_manuales!$H$28="Todos",datos_base!$E$11+datos_base!$E$25,0))*parametros_manuales!$G$105+parametros_manuales!$G$28*(datos_base!$E$5+datos_base!$E$21+IF(parametros_manuales!$H$28="Todos",datos_base!$E$12+datos_base!$E$26,0))*parametros_manuales!$G$110)*parametros_manuales!$I$28*parametros_manuales!$J$28</f>
        <v>3627.9405370125</v>
      </c>
      <c r="H92" s="9" t="n">
        <f aca="false">(parametros_manuales!$D$28*(datos_base!$E$2+datos_base!$E$18+IF(parametros_manuales!$H$28="Todos",datos_base!$E$9+datos_base!$E$23,0))*parametros_manuales!$H$95+parametros_manuales!$E$28*(datos_base!$E$3+datos_base!$E$19+IF(parametros_manuales!$H$28="Todos",datos_base!$E$10+datos_base!$E$24,0))*parametros_manuales!$H$100+parametros_manuales!$F$28*(datos_base!$E$4+datos_base!$E$20+IF(parametros_manuales!$H$28="Todos",datos_base!$E$11+datos_base!$E$25,0))*parametros_manuales!$H$105+parametros_manuales!$G$28*(datos_base!$E$5+datos_base!$E$21+IF(parametros_manuales!$H$28="Todos",datos_base!$E$12+datos_base!$E$26,0))*parametros_manuales!$H$110)*parametros_manuales!$I$28*parametros_manuales!$J$28</f>
        <v>3881.523884663</v>
      </c>
      <c r="I92" s="9" t="n">
        <f aca="false">(parametros_manuales!$D$28*(datos_base!$E$2+datos_base!$E$18+IF(parametros_manuales!$H$28="Todos",datos_base!$E$9+datos_base!$E$23,0))*parametros_manuales!$I$95+parametros_manuales!$E$28*(datos_base!$E$3+datos_base!$E$19+IF(parametros_manuales!$H$28="Todos",datos_base!$E$10+datos_base!$E$24,0))*parametros_manuales!$I$100+parametros_manuales!$F$28*(datos_base!$E$4+datos_base!$E$20+IF(parametros_manuales!$H$28="Todos",datos_base!$E$11+datos_base!$E$25,0))*parametros_manuales!$I$105+parametros_manuales!$G$28*(datos_base!$E$5+datos_base!$E$21+IF(parametros_manuales!$H$28="Todos",datos_base!$E$12+datos_base!$E$26,0))*parametros_manuales!$I$110)*parametros_manuales!$I$28*parametros_manuales!$J$28</f>
        <v>4408.952917898</v>
      </c>
      <c r="J92" s="9" t="n">
        <f aca="false">(parametros_manuales!$D$28*(datos_base!$E$2+datos_base!$E$18+IF(parametros_manuales!$H$28="Todos",datos_base!$E$9+datos_base!$E$23,0))*parametros_manuales!$J$95+parametros_manuales!$E$28*(datos_base!$E$3+datos_base!$E$19+IF(parametros_manuales!$H$28="Todos",datos_base!$E$10+datos_base!$E$24,0))*parametros_manuales!$J$100+parametros_manuales!$F$28*(datos_base!$E$4+datos_base!$E$20+IF(parametros_manuales!$H$28="Todos",datos_base!$E$11+datos_base!$E$25,0))*parametros_manuales!$J$105+parametros_manuales!$G$28*(datos_base!$E$5+datos_base!$E$21+IF(parametros_manuales!$H$28="Todos",datos_base!$E$12+datos_base!$E$26,0))*parametros_manuales!$J$110)*parametros_manuales!$I$28*parametros_manuales!$J$28</f>
        <v>4408.952917898</v>
      </c>
      <c r="K92" s="9" t="n">
        <f aca="false">(parametros_manuales!$D$28*(datos_base!$E$2+datos_base!$E$18+IF(parametros_manuales!$H$28="Todos",datos_base!$E$9+datos_base!$E$23,0))*parametros_manuales!$K$95+parametros_manuales!$E$28*(datos_base!$E$3+datos_base!$E$19+IF(parametros_manuales!$H$28="Todos",datos_base!$E$10+datos_base!$E$24,0))*parametros_manuales!$K$100+parametros_manuales!$F$28*(datos_base!$E$4+datos_base!$E$20+IF(parametros_manuales!$H$28="Todos",datos_base!$E$11+datos_base!$E$25,0))*parametros_manuales!$K$105+parametros_manuales!$G$28*(datos_base!$E$5+datos_base!$E$21+IF(parametros_manuales!$H$28="Todos",datos_base!$E$12+datos_base!$E$26,0))*parametros_manuales!$K$110)*parametros_manuales!$I$28*parametros_manuales!$J$28</f>
        <v>4486.7265878035</v>
      </c>
      <c r="L92" s="9" t="n">
        <f aca="false">(parametros_manuales!$D$28*(datos_base!$E$2+datos_base!$E$18+IF(parametros_manuales!$H$28="Todos",datos_base!$E$9+datos_base!$E$23,0))*parametros_manuales!$L$95+parametros_manuales!$E$28*(datos_base!$E$3+datos_base!$E$19+IF(parametros_manuales!$H$28="Todos",datos_base!$E$10+datos_base!$E$24,0))*parametros_manuales!$L$100+parametros_manuales!$F$28*(datos_base!$E$4+datos_base!$E$20+IF(parametros_manuales!$H$28="Todos",datos_base!$E$11+datos_base!$E$25,0))*parametros_manuales!$L$105+parametros_manuales!$G$28*(datos_base!$E$5+datos_base!$E$21+IF(parametros_manuales!$H$28="Todos",datos_base!$E$12+datos_base!$E$26,0))*parametros_manuales!$L$110)*parametros_manuales!$I$28*parametros_manuales!$J$28</f>
        <v>4564.500257709</v>
      </c>
      <c r="M92" s="9" t="n">
        <f aca="false">(parametros_manuales!$D$28*(datos_base!$E$2+datos_base!$E$18+IF(parametros_manuales!$H$28="Todos",datos_base!$E$9+datos_base!$E$23,0))*parametros_manuales!$M$95+parametros_manuales!$E$28*(datos_base!$E$3+datos_base!$E$19+IF(parametros_manuales!$H$28="Todos",datos_base!$E$10+datos_base!$E$24,0))*parametros_manuales!$M$100+parametros_manuales!$F$28*(datos_base!$E$4+datos_base!$E$20+IF(parametros_manuales!$H$28="Todos",datos_base!$E$11+datos_base!$E$25,0))*parametros_manuales!$M$105+parametros_manuales!$G$28*(datos_base!$E$5+datos_base!$E$21+IF(parametros_manuales!$H$28="Todos",datos_base!$E$12+datos_base!$E$26,0))*parametros_manuales!$M$110)*parametros_manuales!$I$28*parametros_manuales!$J$28</f>
        <v>4564.500257709</v>
      </c>
      <c r="N92" s="9" t="n">
        <f aca="false">SUM(B92:M92)</f>
        <v>50716.6695301</v>
      </c>
      <c r="O92" s="9" t="n">
        <f aca="false">MAX(B92:M92)</f>
        <v>4564.500257709</v>
      </c>
      <c r="P92" s="43" t="n">
        <f aca="false">O92/(parametros_manuales!$B$7)</f>
        <v>30.43000171806</v>
      </c>
      <c r="Q92" s="8" t="str">
        <f aca="false">IF(O92=0,"-",INDEX($B$82:$M$82,MATCH(O92,B92:M92,0)))</f>
        <v>Ene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datos_base!$E$2+datos_base!$E$18+IF(parametros_manuales!$H$29="Todos",datos_base!$E$9+datos_base!$E$23,0))*parametros_manuales!$B$95+parametros_manuales!$E$29*(datos_base!$E$3+datos_base!$E$19+IF(parametros_manuales!$H$29="Todos",datos_base!$E$10+datos_base!$E$24,0))*parametros_manuales!$B$100+parametros_manuales!$F$29*(datos_base!$E$4+datos_base!$E$20+IF(parametros_manuales!$H$29="Todos",datos_base!$E$11+datos_base!$E$25,0))*parametros_manuales!$B$105+parametros_manuales!$G$29*(datos_base!$E$5+datos_base!$E$21+IF(parametros_manuales!$H$29="Todos",datos_base!$E$12+datos_base!$E$26,0))*parametros_manuales!$B$110)*parametros_manuales!$I$29*parametros_manuales!$J$29</f>
        <v>4564.500257709</v>
      </c>
      <c r="C93" s="9" t="n">
        <f aca="false">(parametros_manuales!$D$29*(datos_base!$E$2+datos_base!$E$18+IF(parametros_manuales!$H$29="Todos",datos_base!$E$9+datos_base!$E$23,0))*parametros_manuales!$C$95+parametros_manuales!$E$29*(datos_base!$E$3+datos_base!$E$19+IF(parametros_manuales!$H$29="Todos",datos_base!$E$10+datos_base!$E$24,0))*parametros_manuales!$C$100+parametros_manuales!$F$29*(datos_base!$E$4+datos_base!$E$20+IF(parametros_manuales!$H$29="Todos",datos_base!$E$11+datos_base!$E$25,0))*parametros_manuales!$C$105+parametros_manuales!$G$29*(datos_base!$E$5+datos_base!$E$21+IF(parametros_manuales!$H$29="Todos",datos_base!$E$12+datos_base!$E$26,0))*parametros_manuales!$C$110)*parametros_manuales!$I$29*parametros_manuales!$J$29</f>
        <v>4408.952917898</v>
      </c>
      <c r="D93" s="9" t="n">
        <f aca="false">(parametros_manuales!$D$29*(datos_base!$E$2+datos_base!$E$18+IF(parametros_manuales!$H$29="Todos",datos_base!$E$9+datos_base!$E$23,0))*parametros_manuales!$D$95+parametros_manuales!$E$29*(datos_base!$E$3+datos_base!$E$19+IF(parametros_manuales!$H$29="Todos",datos_base!$E$10+datos_base!$E$24,0))*parametros_manuales!$D$100+parametros_manuales!$F$29*(datos_base!$E$4+datos_base!$E$20+IF(parametros_manuales!$H$29="Todos",datos_base!$E$11+datos_base!$E$25,0))*parametros_manuales!$D$105+parametros_manuales!$G$29*(datos_base!$E$5+datos_base!$E$21+IF(parametros_manuales!$H$29="Todos",datos_base!$E$12+datos_base!$E$26,0))*parametros_manuales!$D$110)*parametros_manuales!$I$29*parametros_manuales!$J$29</f>
        <v>4135.1072323135</v>
      </c>
      <c r="E93" s="9" t="n">
        <f aca="false">(parametros_manuales!$D$29*(datos_base!$E$2+datos_base!$E$18+IF(parametros_manuales!$H$29="Todos",datos_base!$E$9+datos_base!$E$23,0))*parametros_manuales!$E$95+parametros_manuales!$E$29*(datos_base!$E$3+datos_base!$E$19+IF(parametros_manuales!$H$29="Todos",datos_base!$E$10+datos_base!$E$24,0))*parametros_manuales!$E$100+parametros_manuales!$F$29*(datos_base!$E$4+datos_base!$E$20+IF(parametros_manuales!$H$29="Todos",datos_base!$E$11+datos_base!$E$25,0))*parametros_manuales!$E$105+parametros_manuales!$G$29*(datos_base!$E$5+datos_base!$E$21+IF(parametros_manuales!$H$29="Todos",datos_base!$E$12+datos_base!$E$26,0))*parametros_manuales!$E$110)*parametros_manuales!$I$29*parametros_manuales!$J$29</f>
        <v>3959.2975545685</v>
      </c>
      <c r="F93" s="9" t="n">
        <f aca="false">(parametros_manuales!$D$29*(datos_base!$E$2+datos_base!$E$18+IF(parametros_manuales!$H$29="Todos",datos_base!$E$9+datos_base!$E$23,0))*parametros_manuales!$F$95+parametros_manuales!$E$29*(datos_base!$E$3+datos_base!$E$19+IF(parametros_manuales!$H$29="Todos",datos_base!$E$10+datos_base!$E$24,0))*parametros_manuales!$F$100+parametros_manuales!$F$29*(datos_base!$E$4+datos_base!$E$20+IF(parametros_manuales!$H$29="Todos",datos_base!$E$11+datos_base!$E$25,0))*parametros_manuales!$F$105+parametros_manuales!$G$29*(datos_base!$E$5+datos_base!$E$21+IF(parametros_manuales!$H$29="Todos",datos_base!$E$12+datos_base!$E$26,0))*parametros_manuales!$F$110)*parametros_manuales!$I$29*parametros_manuales!$J$29</f>
        <v>3705.714206918</v>
      </c>
      <c r="G93" s="9" t="n">
        <f aca="false">(parametros_manuales!$D$29*(datos_base!$E$2+datos_base!$E$18+IF(parametros_manuales!$H$29="Todos",datos_base!$E$9+datos_base!$E$23,0))*parametros_manuales!$G$95+parametros_manuales!$E$29*(datos_base!$E$3+datos_base!$E$19+IF(parametros_manuales!$H$29="Todos",datos_base!$E$10+datos_base!$E$24,0))*parametros_manuales!$G$100+parametros_manuales!$F$29*(datos_base!$E$4+datos_base!$E$20+IF(parametros_manuales!$H$29="Todos",datos_base!$E$11+datos_base!$E$25,0))*parametros_manuales!$G$105+parametros_manuales!$G$29*(datos_base!$E$5+datos_base!$E$21+IF(parametros_manuales!$H$29="Todos",datos_base!$E$12+datos_base!$E$26,0))*parametros_manuales!$G$110)*parametros_manuales!$I$29*parametros_manuales!$J$29</f>
        <v>3627.9405370125</v>
      </c>
      <c r="H93" s="9" t="n">
        <f aca="false">(parametros_manuales!$D$29*(datos_base!$E$2+datos_base!$E$18+IF(parametros_manuales!$H$29="Todos",datos_base!$E$9+datos_base!$E$23,0))*parametros_manuales!$H$95+parametros_manuales!$E$29*(datos_base!$E$3+datos_base!$E$19+IF(parametros_manuales!$H$29="Todos",datos_base!$E$10+datos_base!$E$24,0))*parametros_manuales!$H$100+parametros_manuales!$F$29*(datos_base!$E$4+datos_base!$E$20+IF(parametros_manuales!$H$29="Todos",datos_base!$E$11+datos_base!$E$25,0))*parametros_manuales!$H$105+parametros_manuales!$G$29*(datos_base!$E$5+datos_base!$E$21+IF(parametros_manuales!$H$29="Todos",datos_base!$E$12+datos_base!$E$26,0))*parametros_manuales!$H$110)*parametros_manuales!$I$29*parametros_manuales!$J$29</f>
        <v>3881.523884663</v>
      </c>
      <c r="I93" s="9" t="n">
        <f aca="false">(parametros_manuales!$D$29*(datos_base!$E$2+datos_base!$E$18+IF(parametros_manuales!$H$29="Todos",datos_base!$E$9+datos_base!$E$23,0))*parametros_manuales!$I$95+parametros_manuales!$E$29*(datos_base!$E$3+datos_base!$E$19+IF(parametros_manuales!$H$29="Todos",datos_base!$E$10+datos_base!$E$24,0))*parametros_manuales!$I$100+parametros_manuales!$F$29*(datos_base!$E$4+datos_base!$E$20+IF(parametros_manuales!$H$29="Todos",datos_base!$E$11+datos_base!$E$25,0))*parametros_manuales!$I$105+parametros_manuales!$G$29*(datos_base!$E$5+datos_base!$E$21+IF(parametros_manuales!$H$29="Todos",datos_base!$E$12+datos_base!$E$26,0))*parametros_manuales!$I$110)*parametros_manuales!$I$29*parametros_manuales!$J$29</f>
        <v>4408.952917898</v>
      </c>
      <c r="J93" s="9" t="n">
        <f aca="false">(parametros_manuales!$D$29*(datos_base!$E$2+datos_base!$E$18+IF(parametros_manuales!$H$29="Todos",datos_base!$E$9+datos_base!$E$23,0))*parametros_manuales!$J$95+parametros_manuales!$E$29*(datos_base!$E$3+datos_base!$E$19+IF(parametros_manuales!$H$29="Todos",datos_base!$E$10+datos_base!$E$24,0))*parametros_manuales!$J$100+parametros_manuales!$F$29*(datos_base!$E$4+datos_base!$E$20+IF(parametros_manuales!$H$29="Todos",datos_base!$E$11+datos_base!$E$25,0))*parametros_manuales!$J$105+parametros_manuales!$G$29*(datos_base!$E$5+datos_base!$E$21+IF(parametros_manuales!$H$29="Todos",datos_base!$E$12+datos_base!$E$26,0))*parametros_manuales!$J$110)*parametros_manuales!$I$29*parametros_manuales!$J$29</f>
        <v>4408.952917898</v>
      </c>
      <c r="K93" s="9" t="n">
        <f aca="false">(parametros_manuales!$D$29*(datos_base!$E$2+datos_base!$E$18+IF(parametros_manuales!$H$29="Todos",datos_base!$E$9+datos_base!$E$23,0))*parametros_manuales!$K$95+parametros_manuales!$E$29*(datos_base!$E$3+datos_base!$E$19+IF(parametros_manuales!$H$29="Todos",datos_base!$E$10+datos_base!$E$24,0))*parametros_manuales!$K$100+parametros_manuales!$F$29*(datos_base!$E$4+datos_base!$E$20+IF(parametros_manuales!$H$29="Todos",datos_base!$E$11+datos_base!$E$25,0))*parametros_manuales!$K$105+parametros_manuales!$G$29*(datos_base!$E$5+datos_base!$E$21+IF(parametros_manuales!$H$29="Todos",datos_base!$E$12+datos_base!$E$26,0))*parametros_manuales!$K$110)*parametros_manuales!$I$29*parametros_manuales!$J$29</f>
        <v>4486.7265878035</v>
      </c>
      <c r="L93" s="9" t="n">
        <f aca="false">(parametros_manuales!$D$29*(datos_base!$E$2+datos_base!$E$18+IF(parametros_manuales!$H$29="Todos",datos_base!$E$9+datos_base!$E$23,0))*parametros_manuales!$L$95+parametros_manuales!$E$29*(datos_base!$E$3+datos_base!$E$19+IF(parametros_manuales!$H$29="Todos",datos_base!$E$10+datos_base!$E$24,0))*parametros_manuales!$L$100+parametros_manuales!$F$29*(datos_base!$E$4+datos_base!$E$20+IF(parametros_manuales!$H$29="Todos",datos_base!$E$11+datos_base!$E$25,0))*parametros_manuales!$L$105+parametros_manuales!$G$29*(datos_base!$E$5+datos_base!$E$21+IF(parametros_manuales!$H$29="Todos",datos_base!$E$12+datos_base!$E$26,0))*parametros_manuales!$L$110)*parametros_manuales!$I$29*parametros_manuales!$J$29</f>
        <v>4564.500257709</v>
      </c>
      <c r="M93" s="9" t="n">
        <f aca="false">(parametros_manuales!$D$29*(datos_base!$E$2+datos_base!$E$18+IF(parametros_manuales!$H$29="Todos",datos_base!$E$9+datos_base!$E$23,0))*parametros_manuales!$M$95+parametros_manuales!$E$29*(datos_base!$E$3+datos_base!$E$19+IF(parametros_manuales!$H$29="Todos",datos_base!$E$10+datos_base!$E$24,0))*parametros_manuales!$M$100+parametros_manuales!$F$29*(datos_base!$E$4+datos_base!$E$20+IF(parametros_manuales!$H$29="Todos",datos_base!$E$11+datos_base!$E$25,0))*parametros_manuales!$M$105+parametros_manuales!$G$29*(datos_base!$E$5+datos_base!$E$21+IF(parametros_manuales!$H$29="Todos",datos_base!$E$12+datos_base!$E$26,0))*parametros_manuales!$M$110)*parametros_manuales!$I$29*parametros_manuales!$J$29</f>
        <v>4564.500257709</v>
      </c>
      <c r="N93" s="9" t="n">
        <f aca="false">SUM(B93:M93)</f>
        <v>50716.6695301</v>
      </c>
      <c r="O93" s="9" t="n">
        <f aca="false">MAX(B93:M93)</f>
        <v>4564.500257709</v>
      </c>
      <c r="P93" s="43" t="n">
        <f aca="false">O93/(parametros_manuales!$B$7)</f>
        <v>30.43000171806</v>
      </c>
      <c r="Q93" s="8" t="str">
        <f aca="false">IF(O93=0,"-",INDEX($B$82:$M$82,MATCH(O93,B93:M93,0)))</f>
        <v>Ene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datos_base!$E$2+datos_base!$E$18+IF(parametros_manuales!$H$30="Todos",datos_base!$E$9+datos_base!$E$23,0))*parametros_manuales!$B$95+parametros_manuales!$E$30*(datos_base!$E$3+datos_base!$E$19+IF(parametros_manuales!$H$30="Todos",datos_base!$E$10+datos_base!$E$24,0))*parametros_manuales!$B$100+parametros_manuales!$F$30*(datos_base!$E$4+datos_base!$E$20+IF(parametros_manuales!$H$30="Todos",datos_base!$E$11+datos_base!$E$25,0))*parametros_manuales!$B$105+parametros_manuales!$G$30*(datos_base!$E$5+datos_base!$E$21+IF(parametros_manuales!$H$30="Todos",datos_base!$E$12+datos_base!$E$26,0))*parametros_manuales!$B$110)*parametros_manuales!$I$30*parametros_manuales!$J$30</f>
        <v>4564.500257709</v>
      </c>
      <c r="C94" s="9" t="n">
        <f aca="false">(parametros_manuales!$D$30*(datos_base!$E$2+datos_base!$E$18+IF(parametros_manuales!$H$30="Todos",datos_base!$E$9+datos_base!$E$23,0))*parametros_manuales!$C$95+parametros_manuales!$E$30*(datos_base!$E$3+datos_base!$E$19+IF(parametros_manuales!$H$30="Todos",datos_base!$E$10+datos_base!$E$24,0))*parametros_manuales!$C$100+parametros_manuales!$F$30*(datos_base!$E$4+datos_base!$E$20+IF(parametros_manuales!$H$30="Todos",datos_base!$E$11+datos_base!$E$25,0))*parametros_manuales!$C$105+parametros_manuales!$G$30*(datos_base!$E$5+datos_base!$E$21+IF(parametros_manuales!$H$30="Todos",datos_base!$E$12+datos_base!$E$26,0))*parametros_manuales!$C$110)*parametros_manuales!$I$30*parametros_manuales!$J$30</f>
        <v>4408.952917898</v>
      </c>
      <c r="D94" s="9" t="n">
        <f aca="false">(parametros_manuales!$D$30*(datos_base!$E$2+datos_base!$E$18+IF(parametros_manuales!$H$30="Todos",datos_base!$E$9+datos_base!$E$23,0))*parametros_manuales!$D$95+parametros_manuales!$E$30*(datos_base!$E$3+datos_base!$E$19+IF(parametros_manuales!$H$30="Todos",datos_base!$E$10+datos_base!$E$24,0))*parametros_manuales!$D$100+parametros_manuales!$F$30*(datos_base!$E$4+datos_base!$E$20+IF(parametros_manuales!$H$30="Todos",datos_base!$E$11+datos_base!$E$25,0))*parametros_manuales!$D$105+parametros_manuales!$G$30*(datos_base!$E$5+datos_base!$E$21+IF(parametros_manuales!$H$30="Todos",datos_base!$E$12+datos_base!$E$26,0))*parametros_manuales!$D$110)*parametros_manuales!$I$30*parametros_manuales!$J$30</f>
        <v>4135.1072323135</v>
      </c>
      <c r="E94" s="9" t="n">
        <f aca="false">(parametros_manuales!$D$30*(datos_base!$E$2+datos_base!$E$18+IF(parametros_manuales!$H$30="Todos",datos_base!$E$9+datos_base!$E$23,0))*parametros_manuales!$E$95+parametros_manuales!$E$30*(datos_base!$E$3+datos_base!$E$19+IF(parametros_manuales!$H$30="Todos",datos_base!$E$10+datos_base!$E$24,0))*parametros_manuales!$E$100+parametros_manuales!$F$30*(datos_base!$E$4+datos_base!$E$20+IF(parametros_manuales!$H$30="Todos",datos_base!$E$11+datos_base!$E$25,0))*parametros_manuales!$E$105+parametros_manuales!$G$30*(datos_base!$E$5+datos_base!$E$21+IF(parametros_manuales!$H$30="Todos",datos_base!$E$12+datos_base!$E$26,0))*parametros_manuales!$E$110)*parametros_manuales!$I$30*parametros_manuales!$J$30</f>
        <v>3959.2975545685</v>
      </c>
      <c r="F94" s="9" t="n">
        <f aca="false">(parametros_manuales!$D$30*(datos_base!$E$2+datos_base!$E$18+IF(parametros_manuales!$H$30="Todos",datos_base!$E$9+datos_base!$E$23,0))*parametros_manuales!$F$95+parametros_manuales!$E$30*(datos_base!$E$3+datos_base!$E$19+IF(parametros_manuales!$H$30="Todos",datos_base!$E$10+datos_base!$E$24,0))*parametros_manuales!$F$100+parametros_manuales!$F$30*(datos_base!$E$4+datos_base!$E$20+IF(parametros_manuales!$H$30="Todos",datos_base!$E$11+datos_base!$E$25,0))*parametros_manuales!$F$105+parametros_manuales!$G$30*(datos_base!$E$5+datos_base!$E$21+IF(parametros_manuales!$H$30="Todos",datos_base!$E$12+datos_base!$E$26,0))*parametros_manuales!$F$110)*parametros_manuales!$I$30*parametros_manuales!$J$30</f>
        <v>3705.714206918</v>
      </c>
      <c r="G94" s="9" t="n">
        <f aca="false">(parametros_manuales!$D$30*(datos_base!$E$2+datos_base!$E$18+IF(parametros_manuales!$H$30="Todos",datos_base!$E$9+datos_base!$E$23,0))*parametros_manuales!$G$95+parametros_manuales!$E$30*(datos_base!$E$3+datos_base!$E$19+IF(parametros_manuales!$H$30="Todos",datos_base!$E$10+datos_base!$E$24,0))*parametros_manuales!$G$100+parametros_manuales!$F$30*(datos_base!$E$4+datos_base!$E$20+IF(parametros_manuales!$H$30="Todos",datos_base!$E$11+datos_base!$E$25,0))*parametros_manuales!$G$105+parametros_manuales!$G$30*(datos_base!$E$5+datos_base!$E$21+IF(parametros_manuales!$H$30="Todos",datos_base!$E$12+datos_base!$E$26,0))*parametros_manuales!$G$110)*parametros_manuales!$I$30*parametros_manuales!$J$30</f>
        <v>3627.9405370125</v>
      </c>
      <c r="H94" s="9" t="n">
        <f aca="false">(parametros_manuales!$D$30*(datos_base!$E$2+datos_base!$E$18+IF(parametros_manuales!$H$30="Todos",datos_base!$E$9+datos_base!$E$23,0))*parametros_manuales!$H$95+parametros_manuales!$E$30*(datos_base!$E$3+datos_base!$E$19+IF(parametros_manuales!$H$30="Todos",datos_base!$E$10+datos_base!$E$24,0))*parametros_manuales!$H$100+parametros_manuales!$F$30*(datos_base!$E$4+datos_base!$E$20+IF(parametros_manuales!$H$30="Todos",datos_base!$E$11+datos_base!$E$25,0))*parametros_manuales!$H$105+parametros_manuales!$G$30*(datos_base!$E$5+datos_base!$E$21+IF(parametros_manuales!$H$30="Todos",datos_base!$E$12+datos_base!$E$26,0))*parametros_manuales!$H$110)*parametros_manuales!$I$30*parametros_manuales!$J$30</f>
        <v>3881.523884663</v>
      </c>
      <c r="I94" s="9" t="n">
        <f aca="false">(parametros_manuales!$D$30*(datos_base!$E$2+datos_base!$E$18+IF(parametros_manuales!$H$30="Todos",datos_base!$E$9+datos_base!$E$23,0))*parametros_manuales!$I$95+parametros_manuales!$E$30*(datos_base!$E$3+datos_base!$E$19+IF(parametros_manuales!$H$30="Todos",datos_base!$E$10+datos_base!$E$24,0))*parametros_manuales!$I$100+parametros_manuales!$F$30*(datos_base!$E$4+datos_base!$E$20+IF(parametros_manuales!$H$30="Todos",datos_base!$E$11+datos_base!$E$25,0))*parametros_manuales!$I$105+parametros_manuales!$G$30*(datos_base!$E$5+datos_base!$E$21+IF(parametros_manuales!$H$30="Todos",datos_base!$E$12+datos_base!$E$26,0))*parametros_manuales!$I$110)*parametros_manuales!$I$30*parametros_manuales!$J$30</f>
        <v>4408.952917898</v>
      </c>
      <c r="J94" s="9" t="n">
        <f aca="false">(parametros_manuales!$D$30*(datos_base!$E$2+datos_base!$E$18+IF(parametros_manuales!$H$30="Todos",datos_base!$E$9+datos_base!$E$23,0))*parametros_manuales!$J$95+parametros_manuales!$E$30*(datos_base!$E$3+datos_base!$E$19+IF(parametros_manuales!$H$30="Todos",datos_base!$E$10+datos_base!$E$24,0))*parametros_manuales!$J$100+parametros_manuales!$F$30*(datos_base!$E$4+datos_base!$E$20+IF(parametros_manuales!$H$30="Todos",datos_base!$E$11+datos_base!$E$25,0))*parametros_manuales!$J$105+parametros_manuales!$G$30*(datos_base!$E$5+datos_base!$E$21+IF(parametros_manuales!$H$30="Todos",datos_base!$E$12+datos_base!$E$26,0))*parametros_manuales!$J$110)*parametros_manuales!$I$30*parametros_manuales!$J$30</f>
        <v>4408.952917898</v>
      </c>
      <c r="K94" s="9" t="n">
        <f aca="false">(parametros_manuales!$D$30*(datos_base!$E$2+datos_base!$E$18+IF(parametros_manuales!$H$30="Todos",datos_base!$E$9+datos_base!$E$23,0))*parametros_manuales!$K$95+parametros_manuales!$E$30*(datos_base!$E$3+datos_base!$E$19+IF(parametros_manuales!$H$30="Todos",datos_base!$E$10+datos_base!$E$24,0))*parametros_manuales!$K$100+parametros_manuales!$F$30*(datos_base!$E$4+datos_base!$E$20+IF(parametros_manuales!$H$30="Todos",datos_base!$E$11+datos_base!$E$25,0))*parametros_manuales!$K$105+parametros_manuales!$G$30*(datos_base!$E$5+datos_base!$E$21+IF(parametros_manuales!$H$30="Todos",datos_base!$E$12+datos_base!$E$26,0))*parametros_manuales!$K$110)*parametros_manuales!$I$30*parametros_manuales!$J$30</f>
        <v>4486.7265878035</v>
      </c>
      <c r="L94" s="9" t="n">
        <f aca="false">(parametros_manuales!$D$30*(datos_base!$E$2+datos_base!$E$18+IF(parametros_manuales!$H$30="Todos",datos_base!$E$9+datos_base!$E$23,0))*parametros_manuales!$L$95+parametros_manuales!$E$30*(datos_base!$E$3+datos_base!$E$19+IF(parametros_manuales!$H$30="Todos",datos_base!$E$10+datos_base!$E$24,0))*parametros_manuales!$L$100+parametros_manuales!$F$30*(datos_base!$E$4+datos_base!$E$20+IF(parametros_manuales!$H$30="Todos",datos_base!$E$11+datos_base!$E$25,0))*parametros_manuales!$L$105+parametros_manuales!$G$30*(datos_base!$E$5+datos_base!$E$21+IF(parametros_manuales!$H$30="Todos",datos_base!$E$12+datos_base!$E$26,0))*parametros_manuales!$L$110)*parametros_manuales!$I$30*parametros_manuales!$J$30</f>
        <v>4564.500257709</v>
      </c>
      <c r="M94" s="9" t="n">
        <f aca="false">(parametros_manuales!$D$30*(datos_base!$E$2+datos_base!$E$18+IF(parametros_manuales!$H$30="Todos",datos_base!$E$9+datos_base!$E$23,0))*parametros_manuales!$M$95+parametros_manuales!$E$30*(datos_base!$E$3+datos_base!$E$19+IF(parametros_manuales!$H$30="Todos",datos_base!$E$10+datos_base!$E$24,0))*parametros_manuales!$M$100+parametros_manuales!$F$30*(datos_base!$E$4+datos_base!$E$20+IF(parametros_manuales!$H$30="Todos",datos_base!$E$11+datos_base!$E$25,0))*parametros_manuales!$M$105+parametros_manuales!$G$30*(datos_base!$E$5+datos_base!$E$21+IF(parametros_manuales!$H$30="Todos",datos_base!$E$12+datos_base!$E$26,0))*parametros_manuales!$M$110)*parametros_manuales!$I$30*parametros_manuales!$J$30</f>
        <v>4564.500257709</v>
      </c>
      <c r="N94" s="9" t="n">
        <f aca="false">SUM(B94:M94)</f>
        <v>50716.6695301</v>
      </c>
      <c r="O94" s="9" t="n">
        <f aca="false">MAX(B94:M94)</f>
        <v>4564.500257709</v>
      </c>
      <c r="P94" s="43" t="n">
        <f aca="false">O94/(parametros_manuales!$B$7)</f>
        <v>30.43000171806</v>
      </c>
      <c r="Q94" s="8" t="str">
        <f aca="false">IF(O94=0,"-",INDEX($B$82:$M$82,MATCH(O94,B94:M94,0)))</f>
        <v>Ene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datos_base!$E$2+datos_base!$E$18+IF(parametros_manuales!$H$31="Todos",datos_base!$E$9+datos_base!$E$23,0))*parametros_manuales!$B$95+parametros_manuales!$E$31*(datos_base!$E$3+datos_base!$E$19+IF(parametros_manuales!$H$31="Todos",datos_base!$E$10+datos_base!$E$24,0))*parametros_manuales!$B$100+parametros_manuales!$F$31*(datos_base!$E$4+datos_base!$E$20+IF(parametros_manuales!$H$31="Todos",datos_base!$E$11+datos_base!$E$25,0))*parametros_manuales!$B$105+parametros_manuales!$G$31*(datos_base!$E$5+datos_base!$E$21+IF(parametros_manuales!$H$31="Todos",datos_base!$E$12+datos_base!$E$26,0))*parametros_manuales!$B$110)*parametros_manuales!$I$31*parametros_manuales!$J$31</f>
        <v>91.29000515418</v>
      </c>
      <c r="C95" s="9" t="n">
        <f aca="false">(parametros_manuales!$D$31*(datos_base!$E$2+datos_base!$E$18+IF(parametros_manuales!$H$31="Todos",datos_base!$E$9+datos_base!$E$23,0))*parametros_manuales!$C$95+parametros_manuales!$E$31*(datos_base!$E$3+datos_base!$E$19+IF(parametros_manuales!$H$31="Todos",datos_base!$E$10+datos_base!$E$24,0))*parametros_manuales!$C$100+parametros_manuales!$F$31*(datos_base!$E$4+datos_base!$E$20+IF(parametros_manuales!$H$31="Todos",datos_base!$E$11+datos_base!$E$25,0))*parametros_manuales!$C$105+parametros_manuales!$G$31*(datos_base!$E$5+datos_base!$E$21+IF(parametros_manuales!$H$31="Todos",datos_base!$E$12+datos_base!$E$26,0))*parametros_manuales!$C$110)*parametros_manuales!$I$31*parametros_manuales!$J$31</f>
        <v>88.17905835796</v>
      </c>
      <c r="D95" s="9" t="n">
        <f aca="false">(parametros_manuales!$D$31*(datos_base!$E$2+datos_base!$E$18+IF(parametros_manuales!$H$31="Todos",datos_base!$E$9+datos_base!$E$23,0))*parametros_manuales!$D$95+parametros_manuales!$E$31*(datos_base!$E$3+datos_base!$E$19+IF(parametros_manuales!$H$31="Todos",datos_base!$E$10+datos_base!$E$24,0))*parametros_manuales!$D$100+parametros_manuales!$F$31*(datos_base!$E$4+datos_base!$E$20+IF(parametros_manuales!$H$31="Todos",datos_base!$E$11+datos_base!$E$25,0))*parametros_manuales!$D$105+parametros_manuales!$G$31*(datos_base!$E$5+datos_base!$E$21+IF(parametros_manuales!$H$31="Todos",datos_base!$E$12+datos_base!$E$26,0))*parametros_manuales!$D$110)*parametros_manuales!$I$31*parametros_manuales!$J$31</f>
        <v>82.70214464627</v>
      </c>
      <c r="E95" s="9" t="n">
        <f aca="false">(parametros_manuales!$D$31*(datos_base!$E$2+datos_base!$E$18+IF(parametros_manuales!$H$31="Todos",datos_base!$E$9+datos_base!$E$23,0))*parametros_manuales!$E$95+parametros_manuales!$E$31*(datos_base!$E$3+datos_base!$E$19+IF(parametros_manuales!$H$31="Todos",datos_base!$E$10+datos_base!$E$24,0))*parametros_manuales!$E$100+parametros_manuales!$F$31*(datos_base!$E$4+datos_base!$E$20+IF(parametros_manuales!$H$31="Todos",datos_base!$E$11+datos_base!$E$25,0))*parametros_manuales!$E$105+parametros_manuales!$G$31*(datos_base!$E$5+datos_base!$E$21+IF(parametros_manuales!$H$31="Todos",datos_base!$E$12+datos_base!$E$26,0))*parametros_manuales!$E$110)*parametros_manuales!$I$31*parametros_manuales!$J$31</f>
        <v>79.18595109137</v>
      </c>
      <c r="F95" s="9" t="n">
        <f aca="false">(parametros_manuales!$D$31*(datos_base!$E$2+datos_base!$E$18+IF(parametros_manuales!$H$31="Todos",datos_base!$E$9+datos_base!$E$23,0))*parametros_manuales!$F$95+parametros_manuales!$E$31*(datos_base!$E$3+datos_base!$E$19+IF(parametros_manuales!$H$31="Todos",datos_base!$E$10+datos_base!$E$24,0))*parametros_manuales!$F$100+parametros_manuales!$F$31*(datos_base!$E$4+datos_base!$E$20+IF(parametros_manuales!$H$31="Todos",datos_base!$E$11+datos_base!$E$25,0))*parametros_manuales!$F$105+parametros_manuales!$G$31*(datos_base!$E$5+datos_base!$E$21+IF(parametros_manuales!$H$31="Todos",datos_base!$E$12+datos_base!$E$26,0))*parametros_manuales!$F$110)*parametros_manuales!$I$31*parametros_manuales!$J$31</f>
        <v>74.11428413836</v>
      </c>
      <c r="G95" s="9" t="n">
        <f aca="false">(parametros_manuales!$D$31*(datos_base!$E$2+datos_base!$E$18+IF(parametros_manuales!$H$31="Todos",datos_base!$E$9+datos_base!$E$23,0))*parametros_manuales!$G$95+parametros_manuales!$E$31*(datos_base!$E$3+datos_base!$E$19+IF(parametros_manuales!$H$31="Todos",datos_base!$E$10+datos_base!$E$24,0))*parametros_manuales!$G$100+parametros_manuales!$F$31*(datos_base!$E$4+datos_base!$E$20+IF(parametros_manuales!$H$31="Todos",datos_base!$E$11+datos_base!$E$25,0))*parametros_manuales!$G$105+parametros_manuales!$G$31*(datos_base!$E$5+datos_base!$E$21+IF(parametros_manuales!$H$31="Todos",datos_base!$E$12+datos_base!$E$26,0))*parametros_manuales!$G$110)*parametros_manuales!$I$31*parametros_manuales!$J$31</f>
        <v>72.55881074025</v>
      </c>
      <c r="H95" s="9" t="n">
        <f aca="false">(parametros_manuales!$D$31*(datos_base!$E$2+datos_base!$E$18+IF(parametros_manuales!$H$31="Todos",datos_base!$E$9+datos_base!$E$23,0))*parametros_manuales!$H$95+parametros_manuales!$E$31*(datos_base!$E$3+datos_base!$E$19+IF(parametros_manuales!$H$31="Todos",datos_base!$E$10+datos_base!$E$24,0))*parametros_manuales!$H$100+parametros_manuales!$F$31*(datos_base!$E$4+datos_base!$E$20+IF(parametros_manuales!$H$31="Todos",datos_base!$E$11+datos_base!$E$25,0))*parametros_manuales!$H$105+parametros_manuales!$G$31*(datos_base!$E$5+datos_base!$E$21+IF(parametros_manuales!$H$31="Todos",datos_base!$E$12+datos_base!$E$26,0))*parametros_manuales!$H$110)*parametros_manuales!$I$31*parametros_manuales!$J$31</f>
        <v>77.63047769326</v>
      </c>
      <c r="I95" s="9" t="n">
        <f aca="false">(parametros_manuales!$D$31*(datos_base!$E$2+datos_base!$E$18+IF(parametros_manuales!$H$31="Todos",datos_base!$E$9+datos_base!$E$23,0))*parametros_manuales!$I$95+parametros_manuales!$E$31*(datos_base!$E$3+datos_base!$E$19+IF(parametros_manuales!$H$31="Todos",datos_base!$E$10+datos_base!$E$24,0))*parametros_manuales!$I$100+parametros_manuales!$F$31*(datos_base!$E$4+datos_base!$E$20+IF(parametros_manuales!$H$31="Todos",datos_base!$E$11+datos_base!$E$25,0))*parametros_manuales!$I$105+parametros_manuales!$G$31*(datos_base!$E$5+datos_base!$E$21+IF(parametros_manuales!$H$31="Todos",datos_base!$E$12+datos_base!$E$26,0))*parametros_manuales!$I$110)*parametros_manuales!$I$31*parametros_manuales!$J$31</f>
        <v>88.17905835796</v>
      </c>
      <c r="J95" s="9" t="n">
        <f aca="false">(parametros_manuales!$D$31*(datos_base!$E$2+datos_base!$E$18+IF(parametros_manuales!$H$31="Todos",datos_base!$E$9+datos_base!$E$23,0))*parametros_manuales!$J$95+parametros_manuales!$E$31*(datos_base!$E$3+datos_base!$E$19+IF(parametros_manuales!$H$31="Todos",datos_base!$E$10+datos_base!$E$24,0))*parametros_manuales!$J$100+parametros_manuales!$F$31*(datos_base!$E$4+datos_base!$E$20+IF(parametros_manuales!$H$31="Todos",datos_base!$E$11+datos_base!$E$25,0))*parametros_manuales!$J$105+parametros_manuales!$G$31*(datos_base!$E$5+datos_base!$E$21+IF(parametros_manuales!$H$31="Todos",datos_base!$E$12+datos_base!$E$26,0))*parametros_manuales!$J$110)*parametros_manuales!$I$31*parametros_manuales!$J$31</f>
        <v>88.17905835796</v>
      </c>
      <c r="K95" s="9" t="n">
        <f aca="false">(parametros_manuales!$D$31*(datos_base!$E$2+datos_base!$E$18+IF(parametros_manuales!$H$31="Todos",datos_base!$E$9+datos_base!$E$23,0))*parametros_manuales!$K$95+parametros_manuales!$E$31*(datos_base!$E$3+datos_base!$E$19+IF(parametros_manuales!$H$31="Todos",datos_base!$E$10+datos_base!$E$24,0))*parametros_manuales!$K$100+parametros_manuales!$F$31*(datos_base!$E$4+datos_base!$E$20+IF(parametros_manuales!$H$31="Todos",datos_base!$E$11+datos_base!$E$25,0))*parametros_manuales!$K$105+parametros_manuales!$G$31*(datos_base!$E$5+datos_base!$E$21+IF(parametros_manuales!$H$31="Todos",datos_base!$E$12+datos_base!$E$26,0))*parametros_manuales!$K$110)*parametros_manuales!$I$31*parametros_manuales!$J$31</f>
        <v>89.73453175607</v>
      </c>
      <c r="L95" s="9" t="n">
        <f aca="false">(parametros_manuales!$D$31*(datos_base!$E$2+datos_base!$E$18+IF(parametros_manuales!$H$31="Todos",datos_base!$E$9+datos_base!$E$23,0))*parametros_manuales!$L$95+parametros_manuales!$E$31*(datos_base!$E$3+datos_base!$E$19+IF(parametros_manuales!$H$31="Todos",datos_base!$E$10+datos_base!$E$24,0))*parametros_manuales!$L$100+parametros_manuales!$F$31*(datos_base!$E$4+datos_base!$E$20+IF(parametros_manuales!$H$31="Todos",datos_base!$E$11+datos_base!$E$25,0))*parametros_manuales!$L$105+parametros_manuales!$G$31*(datos_base!$E$5+datos_base!$E$21+IF(parametros_manuales!$H$31="Todos",datos_base!$E$12+datos_base!$E$26,0))*parametros_manuales!$L$110)*parametros_manuales!$I$31*parametros_manuales!$J$31</f>
        <v>91.29000515418</v>
      </c>
      <c r="M95" s="9" t="n">
        <f aca="false">(parametros_manuales!$D$31*(datos_base!$E$2+datos_base!$E$18+IF(parametros_manuales!$H$31="Todos",datos_base!$E$9+datos_base!$E$23,0))*parametros_manuales!$M$95+parametros_manuales!$E$31*(datos_base!$E$3+datos_base!$E$19+IF(parametros_manuales!$H$31="Todos",datos_base!$E$10+datos_base!$E$24,0))*parametros_manuales!$M$100+parametros_manuales!$F$31*(datos_base!$E$4+datos_base!$E$20+IF(parametros_manuales!$H$31="Todos",datos_base!$E$11+datos_base!$E$25,0))*parametros_manuales!$M$105+parametros_manuales!$G$31*(datos_base!$E$5+datos_base!$E$21+IF(parametros_manuales!$H$31="Todos",datos_base!$E$12+datos_base!$E$26,0))*parametros_manuales!$M$110)*parametros_manuales!$I$31*parametros_manuales!$J$31</f>
        <v>91.29000515418</v>
      </c>
      <c r="N95" s="9" t="n">
        <f aca="false">SUM(B95:M95)</f>
        <v>1014.333390602</v>
      </c>
      <c r="O95" s="9" t="n">
        <f aca="false">MAX(B95:M95)</f>
        <v>91.29000515418</v>
      </c>
      <c r="P95" s="43" t="n">
        <f aca="false">O95/(parametros_manuales!$B$7)</f>
        <v>0.6086000343612</v>
      </c>
      <c r="Q95" s="8" t="str">
        <f aca="false">IF(O95=0,"-",INDEX($B$82:$M$82,MATCH(O95,B95:M95,0)))</f>
        <v>Ene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datos_base!$E$2+datos_base!$E$18+IF(parametros_manuales!$H$32="Todos",datos_base!$E$9+datos_base!$E$23,0))*parametros_manuales!$B$95+parametros_manuales!$E$32*(datos_base!$E$3+datos_base!$E$19+IF(parametros_manuales!$H$32="Todos",datos_base!$E$10+datos_base!$E$24,0))*parametros_manuales!$B$100+parametros_manuales!$F$32*(datos_base!$E$4+datos_base!$E$20+IF(parametros_manuales!$H$32="Todos",datos_base!$E$11+datos_base!$E$25,0))*parametros_manuales!$B$105+parametros_manuales!$G$32*(datos_base!$E$5+datos_base!$E$21+IF(parametros_manuales!$H$32="Todos",datos_base!$E$12+datos_base!$E$26,0))*parametros_manuales!$B$110)*parametros_manuales!$I$32*parametros_manuales!$J$32</f>
        <v>4564.500257709</v>
      </c>
      <c r="C96" s="9" t="n">
        <f aca="false">(parametros_manuales!$D$32*(datos_base!$E$2+datos_base!$E$18+IF(parametros_manuales!$H$32="Todos",datos_base!$E$9+datos_base!$E$23,0))*parametros_manuales!$C$95+parametros_manuales!$E$32*(datos_base!$E$3+datos_base!$E$19+IF(parametros_manuales!$H$32="Todos",datos_base!$E$10+datos_base!$E$24,0))*parametros_manuales!$C$100+parametros_manuales!$F$32*(datos_base!$E$4+datos_base!$E$20+IF(parametros_manuales!$H$32="Todos",datos_base!$E$11+datos_base!$E$25,0))*parametros_manuales!$C$105+parametros_manuales!$G$32*(datos_base!$E$5+datos_base!$E$21+IF(parametros_manuales!$H$32="Todos",datos_base!$E$12+datos_base!$E$26,0))*parametros_manuales!$C$110)*parametros_manuales!$I$32*parametros_manuales!$J$32</f>
        <v>4408.952917898</v>
      </c>
      <c r="D96" s="9" t="n">
        <f aca="false">(parametros_manuales!$D$32*(datos_base!$E$2+datos_base!$E$18+IF(parametros_manuales!$H$32="Todos",datos_base!$E$9+datos_base!$E$23,0))*parametros_manuales!$D$95+parametros_manuales!$E$32*(datos_base!$E$3+datos_base!$E$19+IF(parametros_manuales!$H$32="Todos",datos_base!$E$10+datos_base!$E$24,0))*parametros_manuales!$D$100+parametros_manuales!$F$32*(datos_base!$E$4+datos_base!$E$20+IF(parametros_manuales!$H$32="Todos",datos_base!$E$11+datos_base!$E$25,0))*parametros_manuales!$D$105+parametros_manuales!$G$32*(datos_base!$E$5+datos_base!$E$21+IF(parametros_manuales!$H$32="Todos",datos_base!$E$12+datos_base!$E$26,0))*parametros_manuales!$D$110)*parametros_manuales!$I$32*parametros_manuales!$J$32</f>
        <v>4135.1072323135</v>
      </c>
      <c r="E96" s="9" t="n">
        <f aca="false">(parametros_manuales!$D$32*(datos_base!$E$2+datos_base!$E$18+IF(parametros_manuales!$H$32="Todos",datos_base!$E$9+datos_base!$E$23,0))*parametros_manuales!$E$95+parametros_manuales!$E$32*(datos_base!$E$3+datos_base!$E$19+IF(parametros_manuales!$H$32="Todos",datos_base!$E$10+datos_base!$E$24,0))*parametros_manuales!$E$100+parametros_manuales!$F$32*(datos_base!$E$4+datos_base!$E$20+IF(parametros_manuales!$H$32="Todos",datos_base!$E$11+datos_base!$E$25,0))*parametros_manuales!$E$105+parametros_manuales!$G$32*(datos_base!$E$5+datos_base!$E$21+IF(parametros_manuales!$H$32="Todos",datos_base!$E$12+datos_base!$E$26,0))*parametros_manuales!$E$110)*parametros_manuales!$I$32*parametros_manuales!$J$32</f>
        <v>3959.2975545685</v>
      </c>
      <c r="F96" s="9" t="n">
        <f aca="false">(parametros_manuales!$D$32*(datos_base!$E$2+datos_base!$E$18+IF(parametros_manuales!$H$32="Todos",datos_base!$E$9+datos_base!$E$23,0))*parametros_manuales!$F$95+parametros_manuales!$E$32*(datos_base!$E$3+datos_base!$E$19+IF(parametros_manuales!$H$32="Todos",datos_base!$E$10+datos_base!$E$24,0))*parametros_manuales!$F$100+parametros_manuales!$F$32*(datos_base!$E$4+datos_base!$E$20+IF(parametros_manuales!$H$32="Todos",datos_base!$E$11+datos_base!$E$25,0))*parametros_manuales!$F$105+parametros_manuales!$G$32*(datos_base!$E$5+datos_base!$E$21+IF(parametros_manuales!$H$32="Todos",datos_base!$E$12+datos_base!$E$26,0))*parametros_manuales!$F$110)*parametros_manuales!$I$32*parametros_manuales!$J$32</f>
        <v>3705.714206918</v>
      </c>
      <c r="G96" s="9" t="n">
        <f aca="false">(parametros_manuales!$D$32*(datos_base!$E$2+datos_base!$E$18+IF(parametros_manuales!$H$32="Todos",datos_base!$E$9+datos_base!$E$23,0))*parametros_manuales!$G$95+parametros_manuales!$E$32*(datos_base!$E$3+datos_base!$E$19+IF(parametros_manuales!$H$32="Todos",datos_base!$E$10+datos_base!$E$24,0))*parametros_manuales!$G$100+parametros_manuales!$F$32*(datos_base!$E$4+datos_base!$E$20+IF(parametros_manuales!$H$32="Todos",datos_base!$E$11+datos_base!$E$25,0))*parametros_manuales!$G$105+parametros_manuales!$G$32*(datos_base!$E$5+datos_base!$E$21+IF(parametros_manuales!$H$32="Todos",datos_base!$E$12+datos_base!$E$26,0))*parametros_manuales!$G$110)*parametros_manuales!$I$32*parametros_manuales!$J$32</f>
        <v>3627.9405370125</v>
      </c>
      <c r="H96" s="9" t="n">
        <f aca="false">(parametros_manuales!$D$32*(datos_base!$E$2+datos_base!$E$18+IF(parametros_manuales!$H$32="Todos",datos_base!$E$9+datos_base!$E$23,0))*parametros_manuales!$H$95+parametros_manuales!$E$32*(datos_base!$E$3+datos_base!$E$19+IF(parametros_manuales!$H$32="Todos",datos_base!$E$10+datos_base!$E$24,0))*parametros_manuales!$H$100+parametros_manuales!$F$32*(datos_base!$E$4+datos_base!$E$20+IF(parametros_manuales!$H$32="Todos",datos_base!$E$11+datos_base!$E$25,0))*parametros_manuales!$H$105+parametros_manuales!$G$32*(datos_base!$E$5+datos_base!$E$21+IF(parametros_manuales!$H$32="Todos",datos_base!$E$12+datos_base!$E$26,0))*parametros_manuales!$H$110)*parametros_manuales!$I$32*parametros_manuales!$J$32</f>
        <v>3881.523884663</v>
      </c>
      <c r="I96" s="9" t="n">
        <f aca="false">(parametros_manuales!$D$32*(datos_base!$E$2+datos_base!$E$18+IF(parametros_manuales!$H$32="Todos",datos_base!$E$9+datos_base!$E$23,0))*parametros_manuales!$I$95+parametros_manuales!$E$32*(datos_base!$E$3+datos_base!$E$19+IF(parametros_manuales!$H$32="Todos",datos_base!$E$10+datos_base!$E$24,0))*parametros_manuales!$I$100+parametros_manuales!$F$32*(datos_base!$E$4+datos_base!$E$20+IF(parametros_manuales!$H$32="Todos",datos_base!$E$11+datos_base!$E$25,0))*parametros_manuales!$I$105+parametros_manuales!$G$32*(datos_base!$E$5+datos_base!$E$21+IF(parametros_manuales!$H$32="Todos",datos_base!$E$12+datos_base!$E$26,0))*parametros_manuales!$I$110)*parametros_manuales!$I$32*parametros_manuales!$J$32</f>
        <v>4408.952917898</v>
      </c>
      <c r="J96" s="9" t="n">
        <f aca="false">(parametros_manuales!$D$32*(datos_base!$E$2+datos_base!$E$18+IF(parametros_manuales!$H$32="Todos",datos_base!$E$9+datos_base!$E$23,0))*parametros_manuales!$J$95+parametros_manuales!$E$32*(datos_base!$E$3+datos_base!$E$19+IF(parametros_manuales!$H$32="Todos",datos_base!$E$10+datos_base!$E$24,0))*parametros_manuales!$J$100+parametros_manuales!$F$32*(datos_base!$E$4+datos_base!$E$20+IF(parametros_manuales!$H$32="Todos",datos_base!$E$11+datos_base!$E$25,0))*parametros_manuales!$J$105+parametros_manuales!$G$32*(datos_base!$E$5+datos_base!$E$21+IF(parametros_manuales!$H$32="Todos",datos_base!$E$12+datos_base!$E$26,0))*parametros_manuales!$J$110)*parametros_manuales!$I$32*parametros_manuales!$J$32</f>
        <v>4408.952917898</v>
      </c>
      <c r="K96" s="9" t="n">
        <f aca="false">(parametros_manuales!$D$32*(datos_base!$E$2+datos_base!$E$18+IF(parametros_manuales!$H$32="Todos",datos_base!$E$9+datos_base!$E$23,0))*parametros_manuales!$K$95+parametros_manuales!$E$32*(datos_base!$E$3+datos_base!$E$19+IF(parametros_manuales!$H$32="Todos",datos_base!$E$10+datos_base!$E$24,0))*parametros_manuales!$K$100+parametros_manuales!$F$32*(datos_base!$E$4+datos_base!$E$20+IF(parametros_manuales!$H$32="Todos",datos_base!$E$11+datos_base!$E$25,0))*parametros_manuales!$K$105+parametros_manuales!$G$32*(datos_base!$E$5+datos_base!$E$21+IF(parametros_manuales!$H$32="Todos",datos_base!$E$12+datos_base!$E$26,0))*parametros_manuales!$K$110)*parametros_manuales!$I$32*parametros_manuales!$J$32</f>
        <v>4486.7265878035</v>
      </c>
      <c r="L96" s="9" t="n">
        <f aca="false">(parametros_manuales!$D$32*(datos_base!$E$2+datos_base!$E$18+IF(parametros_manuales!$H$32="Todos",datos_base!$E$9+datos_base!$E$23,0))*parametros_manuales!$L$95+parametros_manuales!$E$32*(datos_base!$E$3+datos_base!$E$19+IF(parametros_manuales!$H$32="Todos",datos_base!$E$10+datos_base!$E$24,0))*parametros_manuales!$L$100+parametros_manuales!$F$32*(datos_base!$E$4+datos_base!$E$20+IF(parametros_manuales!$H$32="Todos",datos_base!$E$11+datos_base!$E$25,0))*parametros_manuales!$L$105+parametros_manuales!$G$32*(datos_base!$E$5+datos_base!$E$21+IF(parametros_manuales!$H$32="Todos",datos_base!$E$12+datos_base!$E$26,0))*parametros_manuales!$L$110)*parametros_manuales!$I$32*parametros_manuales!$J$32</f>
        <v>4564.500257709</v>
      </c>
      <c r="M96" s="9" t="n">
        <f aca="false">(parametros_manuales!$D$32*(datos_base!$E$2+datos_base!$E$18+IF(parametros_manuales!$H$32="Todos",datos_base!$E$9+datos_base!$E$23,0))*parametros_manuales!$M$95+parametros_manuales!$E$32*(datos_base!$E$3+datos_base!$E$19+IF(parametros_manuales!$H$32="Todos",datos_base!$E$10+datos_base!$E$24,0))*parametros_manuales!$M$100+parametros_manuales!$F$32*(datos_base!$E$4+datos_base!$E$20+IF(parametros_manuales!$H$32="Todos",datos_base!$E$11+datos_base!$E$25,0))*parametros_manuales!$M$105+parametros_manuales!$G$32*(datos_base!$E$5+datos_base!$E$21+IF(parametros_manuales!$H$32="Todos",datos_base!$E$12+datos_base!$E$26,0))*parametros_manuales!$M$110)*parametros_manuales!$I$32*parametros_manuales!$J$32</f>
        <v>4564.500257709</v>
      </c>
      <c r="N96" s="9" t="n">
        <f aca="false">SUM(B96:M96)</f>
        <v>50716.6695301</v>
      </c>
      <c r="O96" s="9" t="n">
        <f aca="false">MAX(B96:M96)</f>
        <v>4564.500257709</v>
      </c>
      <c r="P96" s="43" t="n">
        <f aca="false">O96/(parametros_manuales!$B$7)</f>
        <v>30.43000171806</v>
      </c>
      <c r="Q96" s="8" t="str">
        <f aca="false">IF(O96=0,"-",INDEX($B$82:$M$82,MATCH(O96,B96:M96,0)))</f>
        <v>Ene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datos_base!$E$2+datos_base!$E$18+IF(parametros_manuales!$H$33="Todos",datos_base!$E$9+datos_base!$E$23,0))*parametros_manuales!$B$95+parametros_manuales!$E$33*(datos_base!$E$3+datos_base!$E$19+IF(parametros_manuales!$H$33="Todos",datos_base!$E$10+datos_base!$E$24,0))*parametros_manuales!$B$100+parametros_manuales!$F$33*(datos_base!$E$4+datos_base!$E$20+IF(parametros_manuales!$H$33="Todos",datos_base!$E$11+datos_base!$E$25,0))*parametros_manuales!$B$105+parametros_manuales!$G$33*(datos_base!$E$5+datos_base!$E$21+IF(parametros_manuales!$H$33="Todos",datos_base!$E$12+datos_base!$E$26,0))*parametros_manuales!$B$110)*parametros_manuales!$I$33*parametros_manuales!$J$33</f>
        <v>4564.500257709</v>
      </c>
      <c r="C97" s="9" t="n">
        <f aca="false">(parametros_manuales!$D$33*(datos_base!$E$2+datos_base!$E$18+IF(parametros_manuales!$H$33="Todos",datos_base!$E$9+datos_base!$E$23,0))*parametros_manuales!$C$95+parametros_manuales!$E$33*(datos_base!$E$3+datos_base!$E$19+IF(parametros_manuales!$H$33="Todos",datos_base!$E$10+datos_base!$E$24,0))*parametros_manuales!$C$100+parametros_manuales!$F$33*(datos_base!$E$4+datos_base!$E$20+IF(parametros_manuales!$H$33="Todos",datos_base!$E$11+datos_base!$E$25,0))*parametros_manuales!$C$105+parametros_manuales!$G$33*(datos_base!$E$5+datos_base!$E$21+IF(parametros_manuales!$H$33="Todos",datos_base!$E$12+datos_base!$E$26,0))*parametros_manuales!$C$110)*parametros_manuales!$I$33*parametros_manuales!$J$33</f>
        <v>4408.952917898</v>
      </c>
      <c r="D97" s="9" t="n">
        <f aca="false">(parametros_manuales!$D$33*(datos_base!$E$2+datos_base!$E$18+IF(parametros_manuales!$H$33="Todos",datos_base!$E$9+datos_base!$E$23,0))*parametros_manuales!$D$95+parametros_manuales!$E$33*(datos_base!$E$3+datos_base!$E$19+IF(parametros_manuales!$H$33="Todos",datos_base!$E$10+datos_base!$E$24,0))*parametros_manuales!$D$100+parametros_manuales!$F$33*(datos_base!$E$4+datos_base!$E$20+IF(parametros_manuales!$H$33="Todos",datos_base!$E$11+datos_base!$E$25,0))*parametros_manuales!$D$105+parametros_manuales!$G$33*(datos_base!$E$5+datos_base!$E$21+IF(parametros_manuales!$H$33="Todos",datos_base!$E$12+datos_base!$E$26,0))*parametros_manuales!$D$110)*parametros_manuales!$I$33*parametros_manuales!$J$33</f>
        <v>4135.1072323135</v>
      </c>
      <c r="E97" s="9" t="n">
        <f aca="false">(parametros_manuales!$D$33*(datos_base!$E$2+datos_base!$E$18+IF(parametros_manuales!$H$33="Todos",datos_base!$E$9+datos_base!$E$23,0))*parametros_manuales!$E$95+parametros_manuales!$E$33*(datos_base!$E$3+datos_base!$E$19+IF(parametros_manuales!$H$33="Todos",datos_base!$E$10+datos_base!$E$24,0))*parametros_manuales!$E$100+parametros_manuales!$F$33*(datos_base!$E$4+datos_base!$E$20+IF(parametros_manuales!$H$33="Todos",datos_base!$E$11+datos_base!$E$25,0))*parametros_manuales!$E$105+parametros_manuales!$G$33*(datos_base!$E$5+datos_base!$E$21+IF(parametros_manuales!$H$33="Todos",datos_base!$E$12+datos_base!$E$26,0))*parametros_manuales!$E$110)*parametros_manuales!$I$33*parametros_manuales!$J$33</f>
        <v>3959.2975545685</v>
      </c>
      <c r="F97" s="9" t="n">
        <f aca="false">(parametros_manuales!$D$33*(datos_base!$E$2+datos_base!$E$18+IF(parametros_manuales!$H$33="Todos",datos_base!$E$9+datos_base!$E$23,0))*parametros_manuales!$F$95+parametros_manuales!$E$33*(datos_base!$E$3+datos_base!$E$19+IF(parametros_manuales!$H$33="Todos",datos_base!$E$10+datos_base!$E$24,0))*parametros_manuales!$F$100+parametros_manuales!$F$33*(datos_base!$E$4+datos_base!$E$20+IF(parametros_manuales!$H$33="Todos",datos_base!$E$11+datos_base!$E$25,0))*parametros_manuales!$F$105+parametros_manuales!$G$33*(datos_base!$E$5+datos_base!$E$21+IF(parametros_manuales!$H$33="Todos",datos_base!$E$12+datos_base!$E$26,0))*parametros_manuales!$F$110)*parametros_manuales!$I$33*parametros_manuales!$J$33</f>
        <v>3705.714206918</v>
      </c>
      <c r="G97" s="9" t="n">
        <f aca="false">(parametros_manuales!$D$33*(datos_base!$E$2+datos_base!$E$18+IF(parametros_manuales!$H$33="Todos",datos_base!$E$9+datos_base!$E$23,0))*parametros_manuales!$G$95+parametros_manuales!$E$33*(datos_base!$E$3+datos_base!$E$19+IF(parametros_manuales!$H$33="Todos",datos_base!$E$10+datos_base!$E$24,0))*parametros_manuales!$G$100+parametros_manuales!$F$33*(datos_base!$E$4+datos_base!$E$20+IF(parametros_manuales!$H$33="Todos",datos_base!$E$11+datos_base!$E$25,0))*parametros_manuales!$G$105+parametros_manuales!$G$33*(datos_base!$E$5+datos_base!$E$21+IF(parametros_manuales!$H$33="Todos",datos_base!$E$12+datos_base!$E$26,0))*parametros_manuales!$G$110)*parametros_manuales!$I$33*parametros_manuales!$J$33</f>
        <v>3627.9405370125</v>
      </c>
      <c r="H97" s="9" t="n">
        <f aca="false">(parametros_manuales!$D$33*(datos_base!$E$2+datos_base!$E$18+IF(parametros_manuales!$H$33="Todos",datos_base!$E$9+datos_base!$E$23,0))*parametros_manuales!$H$95+parametros_manuales!$E$33*(datos_base!$E$3+datos_base!$E$19+IF(parametros_manuales!$H$33="Todos",datos_base!$E$10+datos_base!$E$24,0))*parametros_manuales!$H$100+parametros_manuales!$F$33*(datos_base!$E$4+datos_base!$E$20+IF(parametros_manuales!$H$33="Todos",datos_base!$E$11+datos_base!$E$25,0))*parametros_manuales!$H$105+parametros_manuales!$G$33*(datos_base!$E$5+datos_base!$E$21+IF(parametros_manuales!$H$33="Todos",datos_base!$E$12+datos_base!$E$26,0))*parametros_manuales!$H$110)*parametros_manuales!$I$33*parametros_manuales!$J$33</f>
        <v>3881.523884663</v>
      </c>
      <c r="I97" s="9" t="n">
        <f aca="false">(parametros_manuales!$D$33*(datos_base!$E$2+datos_base!$E$18+IF(parametros_manuales!$H$33="Todos",datos_base!$E$9+datos_base!$E$23,0))*parametros_manuales!$I$95+parametros_manuales!$E$33*(datos_base!$E$3+datos_base!$E$19+IF(parametros_manuales!$H$33="Todos",datos_base!$E$10+datos_base!$E$24,0))*parametros_manuales!$I$100+parametros_manuales!$F$33*(datos_base!$E$4+datos_base!$E$20+IF(parametros_manuales!$H$33="Todos",datos_base!$E$11+datos_base!$E$25,0))*parametros_manuales!$I$105+parametros_manuales!$G$33*(datos_base!$E$5+datos_base!$E$21+IF(parametros_manuales!$H$33="Todos",datos_base!$E$12+datos_base!$E$26,0))*parametros_manuales!$I$110)*parametros_manuales!$I$33*parametros_manuales!$J$33</f>
        <v>4408.952917898</v>
      </c>
      <c r="J97" s="9" t="n">
        <f aca="false">(parametros_manuales!$D$33*(datos_base!$E$2+datos_base!$E$18+IF(parametros_manuales!$H$33="Todos",datos_base!$E$9+datos_base!$E$23,0))*parametros_manuales!$J$95+parametros_manuales!$E$33*(datos_base!$E$3+datos_base!$E$19+IF(parametros_manuales!$H$33="Todos",datos_base!$E$10+datos_base!$E$24,0))*parametros_manuales!$J$100+parametros_manuales!$F$33*(datos_base!$E$4+datos_base!$E$20+IF(parametros_manuales!$H$33="Todos",datos_base!$E$11+datos_base!$E$25,0))*parametros_manuales!$J$105+parametros_manuales!$G$33*(datos_base!$E$5+datos_base!$E$21+IF(parametros_manuales!$H$33="Todos",datos_base!$E$12+datos_base!$E$26,0))*parametros_manuales!$J$110)*parametros_manuales!$I$33*parametros_manuales!$J$33</f>
        <v>4408.952917898</v>
      </c>
      <c r="K97" s="9" t="n">
        <f aca="false">(parametros_manuales!$D$33*(datos_base!$E$2+datos_base!$E$18+IF(parametros_manuales!$H$33="Todos",datos_base!$E$9+datos_base!$E$23,0))*parametros_manuales!$K$95+parametros_manuales!$E$33*(datos_base!$E$3+datos_base!$E$19+IF(parametros_manuales!$H$33="Todos",datos_base!$E$10+datos_base!$E$24,0))*parametros_manuales!$K$100+parametros_manuales!$F$33*(datos_base!$E$4+datos_base!$E$20+IF(parametros_manuales!$H$33="Todos",datos_base!$E$11+datos_base!$E$25,0))*parametros_manuales!$K$105+parametros_manuales!$G$33*(datos_base!$E$5+datos_base!$E$21+IF(parametros_manuales!$H$33="Todos",datos_base!$E$12+datos_base!$E$26,0))*parametros_manuales!$K$110)*parametros_manuales!$I$33*parametros_manuales!$J$33</f>
        <v>4486.7265878035</v>
      </c>
      <c r="L97" s="9" t="n">
        <f aca="false">(parametros_manuales!$D$33*(datos_base!$E$2+datos_base!$E$18+IF(parametros_manuales!$H$33="Todos",datos_base!$E$9+datos_base!$E$23,0))*parametros_manuales!$L$95+parametros_manuales!$E$33*(datos_base!$E$3+datos_base!$E$19+IF(parametros_manuales!$H$33="Todos",datos_base!$E$10+datos_base!$E$24,0))*parametros_manuales!$L$100+parametros_manuales!$F$33*(datos_base!$E$4+datos_base!$E$20+IF(parametros_manuales!$H$33="Todos",datos_base!$E$11+datos_base!$E$25,0))*parametros_manuales!$L$105+parametros_manuales!$G$33*(datos_base!$E$5+datos_base!$E$21+IF(parametros_manuales!$H$33="Todos",datos_base!$E$12+datos_base!$E$26,0))*parametros_manuales!$L$110)*parametros_manuales!$I$33*parametros_manuales!$J$33</f>
        <v>4564.500257709</v>
      </c>
      <c r="M97" s="9" t="n">
        <f aca="false">(parametros_manuales!$D$33*(datos_base!$E$2+datos_base!$E$18+IF(parametros_manuales!$H$33="Todos",datos_base!$E$9+datos_base!$E$23,0))*parametros_manuales!$M$95+parametros_manuales!$E$33*(datos_base!$E$3+datos_base!$E$19+IF(parametros_manuales!$H$33="Todos",datos_base!$E$10+datos_base!$E$24,0))*parametros_manuales!$M$100+parametros_manuales!$F$33*(datos_base!$E$4+datos_base!$E$20+IF(parametros_manuales!$H$33="Todos",datos_base!$E$11+datos_base!$E$25,0))*parametros_manuales!$M$105+parametros_manuales!$G$33*(datos_base!$E$5+datos_base!$E$21+IF(parametros_manuales!$H$33="Todos",datos_base!$E$12+datos_base!$E$26,0))*parametros_manuales!$M$110)*parametros_manuales!$I$33*parametros_manuales!$J$33</f>
        <v>4564.500257709</v>
      </c>
      <c r="N97" s="9" t="n">
        <f aca="false">SUM(B97:M97)</f>
        <v>50716.6695301</v>
      </c>
      <c r="O97" s="9" t="n">
        <f aca="false">MAX(B97:M97)</f>
        <v>4564.500257709</v>
      </c>
      <c r="P97" s="43" t="n">
        <f aca="false">O97/(parametros_manuales!$B$7)</f>
        <v>30.43000171806</v>
      </c>
      <c r="Q97" s="8" t="str">
        <f aca="false">IF(O97=0,"-",INDEX($B$82:$M$82,MATCH(O97,B97:M97,0)))</f>
        <v>Ene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datos_base!$E$2+datos_base!$E$18+IF(parametros_manuales!$H$34="Todos",datos_base!$E$9+datos_base!$E$23,0))*parametros_manuales!$B$95+parametros_manuales!$E$34*(datos_base!$E$3+datos_base!$E$19+IF(parametros_manuales!$H$34="Todos",datos_base!$E$10+datos_base!$E$24,0))*parametros_manuales!$B$100+parametros_manuales!$F$34*(datos_base!$E$4+datos_base!$E$20+IF(parametros_manuales!$H$34="Todos",datos_base!$E$11+datos_base!$E$25,0))*parametros_manuales!$B$105+parametros_manuales!$G$34*(datos_base!$E$5+datos_base!$E$21+IF(parametros_manuales!$H$34="Todos",datos_base!$E$12+datos_base!$E$26,0))*parametros_manuales!$B$110)*parametros_manuales!$I$34*parametros_manuales!$J$34</f>
        <v>4564.500257709</v>
      </c>
      <c r="C98" s="9" t="n">
        <f aca="false">(parametros_manuales!$D$34*(datos_base!$E$2+datos_base!$E$18+IF(parametros_manuales!$H$34="Todos",datos_base!$E$9+datos_base!$E$23,0))*parametros_manuales!$C$95+parametros_manuales!$E$34*(datos_base!$E$3+datos_base!$E$19+IF(parametros_manuales!$H$34="Todos",datos_base!$E$10+datos_base!$E$24,0))*parametros_manuales!$C$100+parametros_manuales!$F$34*(datos_base!$E$4+datos_base!$E$20+IF(parametros_manuales!$H$34="Todos",datos_base!$E$11+datos_base!$E$25,0))*parametros_manuales!$C$105+parametros_manuales!$G$34*(datos_base!$E$5+datos_base!$E$21+IF(parametros_manuales!$H$34="Todos",datos_base!$E$12+datos_base!$E$26,0))*parametros_manuales!$C$110)*parametros_manuales!$I$34*parametros_manuales!$J$34</f>
        <v>4408.952917898</v>
      </c>
      <c r="D98" s="9" t="n">
        <f aca="false">(parametros_manuales!$D$34*(datos_base!$E$2+datos_base!$E$18+IF(parametros_manuales!$H$34="Todos",datos_base!$E$9+datos_base!$E$23,0))*parametros_manuales!$D$95+parametros_manuales!$E$34*(datos_base!$E$3+datos_base!$E$19+IF(parametros_manuales!$H$34="Todos",datos_base!$E$10+datos_base!$E$24,0))*parametros_manuales!$D$100+parametros_manuales!$F$34*(datos_base!$E$4+datos_base!$E$20+IF(parametros_manuales!$H$34="Todos",datos_base!$E$11+datos_base!$E$25,0))*parametros_manuales!$D$105+parametros_manuales!$G$34*(datos_base!$E$5+datos_base!$E$21+IF(parametros_manuales!$H$34="Todos",datos_base!$E$12+datos_base!$E$26,0))*parametros_manuales!$D$110)*parametros_manuales!$I$34*parametros_manuales!$J$34</f>
        <v>4135.1072323135</v>
      </c>
      <c r="E98" s="9" t="n">
        <f aca="false">(parametros_manuales!$D$34*(datos_base!$E$2+datos_base!$E$18+IF(parametros_manuales!$H$34="Todos",datos_base!$E$9+datos_base!$E$23,0))*parametros_manuales!$E$95+parametros_manuales!$E$34*(datos_base!$E$3+datos_base!$E$19+IF(parametros_manuales!$H$34="Todos",datos_base!$E$10+datos_base!$E$24,0))*parametros_manuales!$E$100+parametros_manuales!$F$34*(datos_base!$E$4+datos_base!$E$20+IF(parametros_manuales!$H$34="Todos",datos_base!$E$11+datos_base!$E$25,0))*parametros_manuales!$E$105+parametros_manuales!$G$34*(datos_base!$E$5+datos_base!$E$21+IF(parametros_manuales!$H$34="Todos",datos_base!$E$12+datos_base!$E$26,0))*parametros_manuales!$E$110)*parametros_manuales!$I$34*parametros_manuales!$J$34</f>
        <v>3959.2975545685</v>
      </c>
      <c r="F98" s="9" t="n">
        <f aca="false">(parametros_manuales!$D$34*(datos_base!$E$2+datos_base!$E$18+IF(parametros_manuales!$H$34="Todos",datos_base!$E$9+datos_base!$E$23,0))*parametros_manuales!$F$95+parametros_manuales!$E$34*(datos_base!$E$3+datos_base!$E$19+IF(parametros_manuales!$H$34="Todos",datos_base!$E$10+datos_base!$E$24,0))*parametros_manuales!$F$100+parametros_manuales!$F$34*(datos_base!$E$4+datos_base!$E$20+IF(parametros_manuales!$H$34="Todos",datos_base!$E$11+datos_base!$E$25,0))*parametros_manuales!$F$105+parametros_manuales!$G$34*(datos_base!$E$5+datos_base!$E$21+IF(parametros_manuales!$H$34="Todos",datos_base!$E$12+datos_base!$E$26,0))*parametros_manuales!$F$110)*parametros_manuales!$I$34*parametros_manuales!$J$34</f>
        <v>3705.714206918</v>
      </c>
      <c r="G98" s="9" t="n">
        <f aca="false">(parametros_manuales!$D$34*(datos_base!$E$2+datos_base!$E$18+IF(parametros_manuales!$H$34="Todos",datos_base!$E$9+datos_base!$E$23,0))*parametros_manuales!$G$95+parametros_manuales!$E$34*(datos_base!$E$3+datos_base!$E$19+IF(parametros_manuales!$H$34="Todos",datos_base!$E$10+datos_base!$E$24,0))*parametros_manuales!$G$100+parametros_manuales!$F$34*(datos_base!$E$4+datos_base!$E$20+IF(parametros_manuales!$H$34="Todos",datos_base!$E$11+datos_base!$E$25,0))*parametros_manuales!$G$105+parametros_manuales!$G$34*(datos_base!$E$5+datos_base!$E$21+IF(parametros_manuales!$H$34="Todos",datos_base!$E$12+datos_base!$E$26,0))*parametros_manuales!$G$110)*parametros_manuales!$I$34*parametros_manuales!$J$34</f>
        <v>3627.9405370125</v>
      </c>
      <c r="H98" s="9" t="n">
        <f aca="false">(parametros_manuales!$D$34*(datos_base!$E$2+datos_base!$E$18+IF(parametros_manuales!$H$34="Todos",datos_base!$E$9+datos_base!$E$23,0))*parametros_manuales!$H$95+parametros_manuales!$E$34*(datos_base!$E$3+datos_base!$E$19+IF(parametros_manuales!$H$34="Todos",datos_base!$E$10+datos_base!$E$24,0))*parametros_manuales!$H$100+parametros_manuales!$F$34*(datos_base!$E$4+datos_base!$E$20+IF(parametros_manuales!$H$34="Todos",datos_base!$E$11+datos_base!$E$25,0))*parametros_manuales!$H$105+parametros_manuales!$G$34*(datos_base!$E$5+datos_base!$E$21+IF(parametros_manuales!$H$34="Todos",datos_base!$E$12+datos_base!$E$26,0))*parametros_manuales!$H$110)*parametros_manuales!$I$34*parametros_manuales!$J$34</f>
        <v>3881.523884663</v>
      </c>
      <c r="I98" s="9" t="n">
        <f aca="false">(parametros_manuales!$D$34*(datos_base!$E$2+datos_base!$E$18+IF(parametros_manuales!$H$34="Todos",datos_base!$E$9+datos_base!$E$23,0))*parametros_manuales!$I$95+parametros_manuales!$E$34*(datos_base!$E$3+datos_base!$E$19+IF(parametros_manuales!$H$34="Todos",datos_base!$E$10+datos_base!$E$24,0))*parametros_manuales!$I$100+parametros_manuales!$F$34*(datos_base!$E$4+datos_base!$E$20+IF(parametros_manuales!$H$34="Todos",datos_base!$E$11+datos_base!$E$25,0))*parametros_manuales!$I$105+parametros_manuales!$G$34*(datos_base!$E$5+datos_base!$E$21+IF(parametros_manuales!$H$34="Todos",datos_base!$E$12+datos_base!$E$26,0))*parametros_manuales!$I$110)*parametros_manuales!$I$34*parametros_manuales!$J$34</f>
        <v>4408.952917898</v>
      </c>
      <c r="J98" s="9" t="n">
        <f aca="false">(parametros_manuales!$D$34*(datos_base!$E$2+datos_base!$E$18+IF(parametros_manuales!$H$34="Todos",datos_base!$E$9+datos_base!$E$23,0))*parametros_manuales!$J$95+parametros_manuales!$E$34*(datos_base!$E$3+datos_base!$E$19+IF(parametros_manuales!$H$34="Todos",datos_base!$E$10+datos_base!$E$24,0))*parametros_manuales!$J$100+parametros_manuales!$F$34*(datos_base!$E$4+datos_base!$E$20+IF(parametros_manuales!$H$34="Todos",datos_base!$E$11+datos_base!$E$25,0))*parametros_manuales!$J$105+parametros_manuales!$G$34*(datos_base!$E$5+datos_base!$E$21+IF(parametros_manuales!$H$34="Todos",datos_base!$E$12+datos_base!$E$26,0))*parametros_manuales!$J$110)*parametros_manuales!$I$34*parametros_manuales!$J$34</f>
        <v>4408.952917898</v>
      </c>
      <c r="K98" s="9" t="n">
        <f aca="false">(parametros_manuales!$D$34*(datos_base!$E$2+datos_base!$E$18+IF(parametros_manuales!$H$34="Todos",datos_base!$E$9+datos_base!$E$23,0))*parametros_manuales!$K$95+parametros_manuales!$E$34*(datos_base!$E$3+datos_base!$E$19+IF(parametros_manuales!$H$34="Todos",datos_base!$E$10+datos_base!$E$24,0))*parametros_manuales!$K$100+parametros_manuales!$F$34*(datos_base!$E$4+datos_base!$E$20+IF(parametros_manuales!$H$34="Todos",datos_base!$E$11+datos_base!$E$25,0))*parametros_manuales!$K$105+parametros_manuales!$G$34*(datos_base!$E$5+datos_base!$E$21+IF(parametros_manuales!$H$34="Todos",datos_base!$E$12+datos_base!$E$26,0))*parametros_manuales!$K$110)*parametros_manuales!$I$34*parametros_manuales!$J$34</f>
        <v>4486.7265878035</v>
      </c>
      <c r="L98" s="9" t="n">
        <f aca="false">(parametros_manuales!$D$34*(datos_base!$E$2+datos_base!$E$18+IF(parametros_manuales!$H$34="Todos",datos_base!$E$9+datos_base!$E$23,0))*parametros_manuales!$L$95+parametros_manuales!$E$34*(datos_base!$E$3+datos_base!$E$19+IF(parametros_manuales!$H$34="Todos",datos_base!$E$10+datos_base!$E$24,0))*parametros_manuales!$L$100+parametros_manuales!$F$34*(datos_base!$E$4+datos_base!$E$20+IF(parametros_manuales!$H$34="Todos",datos_base!$E$11+datos_base!$E$25,0))*parametros_manuales!$L$105+parametros_manuales!$G$34*(datos_base!$E$5+datos_base!$E$21+IF(parametros_manuales!$H$34="Todos",datos_base!$E$12+datos_base!$E$26,0))*parametros_manuales!$L$110)*parametros_manuales!$I$34*parametros_manuales!$J$34</f>
        <v>4564.500257709</v>
      </c>
      <c r="M98" s="9" t="n">
        <f aca="false">(parametros_manuales!$D$34*(datos_base!$E$2+datos_base!$E$18+IF(parametros_manuales!$H$34="Todos",datos_base!$E$9+datos_base!$E$23,0))*parametros_manuales!$M$95+parametros_manuales!$E$34*(datos_base!$E$3+datos_base!$E$19+IF(parametros_manuales!$H$34="Todos",datos_base!$E$10+datos_base!$E$24,0))*parametros_manuales!$M$100+parametros_manuales!$F$34*(datos_base!$E$4+datos_base!$E$20+IF(parametros_manuales!$H$34="Todos",datos_base!$E$11+datos_base!$E$25,0))*parametros_manuales!$M$105+parametros_manuales!$G$34*(datos_base!$E$5+datos_base!$E$21+IF(parametros_manuales!$H$34="Todos",datos_base!$E$12+datos_base!$E$26,0))*parametros_manuales!$M$110)*parametros_manuales!$I$34*parametros_manuales!$J$34</f>
        <v>4564.500257709</v>
      </c>
      <c r="N98" s="9" t="n">
        <f aca="false">SUM(B98:M98)</f>
        <v>50716.6695301</v>
      </c>
      <c r="O98" s="9" t="n">
        <f aca="false">MAX(B98:M98)</f>
        <v>4564.500257709</v>
      </c>
      <c r="P98" s="43" t="n">
        <f aca="false">O98/(parametros_manuales!$B$7)</f>
        <v>30.43000171806</v>
      </c>
      <c r="Q98" s="8" t="str">
        <f aca="false">IF(O98=0,"-",INDEX($B$82:$M$82,MATCH(O98,B98:M98,0)))</f>
        <v>Ene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datos_base!$E$2+datos_base!$E$18+IF(parametros_manuales!$H$35="Todos",datos_base!$E$9+datos_base!$E$23,0))*parametros_manuales!$B$95+parametros_manuales!$E$35*(datos_base!$E$3+datos_base!$E$19+IF(parametros_manuales!$H$35="Todos",datos_base!$E$10+datos_base!$E$24,0))*parametros_manuales!$B$100+parametros_manuales!$F$35*(datos_base!$E$4+datos_base!$E$20+IF(parametros_manuales!$H$35="Todos",datos_base!$E$11+datos_base!$E$25,0))*parametros_manuales!$B$105+parametros_manuales!$G$35*(datos_base!$E$5+datos_base!$E$21+IF(parametros_manuales!$H$35="Todos",datos_base!$E$12+datos_base!$E$26,0))*parametros_manuales!$B$110)*parametros_manuales!$I$35*parametros_manuales!$J$35</f>
        <v>4564.500257709</v>
      </c>
      <c r="C99" s="9" t="n">
        <f aca="false">(parametros_manuales!$D$35*(datos_base!$E$2+datos_base!$E$18+IF(parametros_manuales!$H$35="Todos",datos_base!$E$9+datos_base!$E$23,0))*parametros_manuales!$C$95+parametros_manuales!$E$35*(datos_base!$E$3+datos_base!$E$19+IF(parametros_manuales!$H$35="Todos",datos_base!$E$10+datos_base!$E$24,0))*parametros_manuales!$C$100+parametros_manuales!$F$35*(datos_base!$E$4+datos_base!$E$20+IF(parametros_manuales!$H$35="Todos",datos_base!$E$11+datos_base!$E$25,0))*parametros_manuales!$C$105+parametros_manuales!$G$35*(datos_base!$E$5+datos_base!$E$21+IF(parametros_manuales!$H$35="Todos",datos_base!$E$12+datos_base!$E$26,0))*parametros_manuales!$C$110)*parametros_manuales!$I$35*parametros_manuales!$J$35</f>
        <v>4408.952917898</v>
      </c>
      <c r="D99" s="9" t="n">
        <f aca="false">(parametros_manuales!$D$35*(datos_base!$E$2+datos_base!$E$18+IF(parametros_manuales!$H$35="Todos",datos_base!$E$9+datos_base!$E$23,0))*parametros_manuales!$D$95+parametros_manuales!$E$35*(datos_base!$E$3+datos_base!$E$19+IF(parametros_manuales!$H$35="Todos",datos_base!$E$10+datos_base!$E$24,0))*parametros_manuales!$D$100+parametros_manuales!$F$35*(datos_base!$E$4+datos_base!$E$20+IF(parametros_manuales!$H$35="Todos",datos_base!$E$11+datos_base!$E$25,0))*parametros_manuales!$D$105+parametros_manuales!$G$35*(datos_base!$E$5+datos_base!$E$21+IF(parametros_manuales!$H$35="Todos",datos_base!$E$12+datos_base!$E$26,0))*parametros_manuales!$D$110)*parametros_manuales!$I$35*parametros_manuales!$J$35</f>
        <v>4135.1072323135</v>
      </c>
      <c r="E99" s="9" t="n">
        <f aca="false">(parametros_manuales!$D$35*(datos_base!$E$2+datos_base!$E$18+IF(parametros_manuales!$H$35="Todos",datos_base!$E$9+datos_base!$E$23,0))*parametros_manuales!$E$95+parametros_manuales!$E$35*(datos_base!$E$3+datos_base!$E$19+IF(parametros_manuales!$H$35="Todos",datos_base!$E$10+datos_base!$E$24,0))*parametros_manuales!$E$100+parametros_manuales!$F$35*(datos_base!$E$4+datos_base!$E$20+IF(parametros_manuales!$H$35="Todos",datos_base!$E$11+datos_base!$E$25,0))*parametros_manuales!$E$105+parametros_manuales!$G$35*(datos_base!$E$5+datos_base!$E$21+IF(parametros_manuales!$H$35="Todos",datos_base!$E$12+datos_base!$E$26,0))*parametros_manuales!$E$110)*parametros_manuales!$I$35*parametros_manuales!$J$35</f>
        <v>3959.2975545685</v>
      </c>
      <c r="F99" s="9" t="n">
        <f aca="false">(parametros_manuales!$D$35*(datos_base!$E$2+datos_base!$E$18+IF(parametros_manuales!$H$35="Todos",datos_base!$E$9+datos_base!$E$23,0))*parametros_manuales!$F$95+parametros_manuales!$E$35*(datos_base!$E$3+datos_base!$E$19+IF(parametros_manuales!$H$35="Todos",datos_base!$E$10+datos_base!$E$24,0))*parametros_manuales!$F$100+parametros_manuales!$F$35*(datos_base!$E$4+datos_base!$E$20+IF(parametros_manuales!$H$35="Todos",datos_base!$E$11+datos_base!$E$25,0))*parametros_manuales!$F$105+parametros_manuales!$G$35*(datos_base!$E$5+datos_base!$E$21+IF(parametros_manuales!$H$35="Todos",datos_base!$E$12+datos_base!$E$26,0))*parametros_manuales!$F$110)*parametros_manuales!$I$35*parametros_manuales!$J$35</f>
        <v>3705.714206918</v>
      </c>
      <c r="G99" s="9" t="n">
        <f aca="false">(parametros_manuales!$D$35*(datos_base!$E$2+datos_base!$E$18+IF(parametros_manuales!$H$35="Todos",datos_base!$E$9+datos_base!$E$23,0))*parametros_manuales!$G$95+parametros_manuales!$E$35*(datos_base!$E$3+datos_base!$E$19+IF(parametros_manuales!$H$35="Todos",datos_base!$E$10+datos_base!$E$24,0))*parametros_manuales!$G$100+parametros_manuales!$F$35*(datos_base!$E$4+datos_base!$E$20+IF(parametros_manuales!$H$35="Todos",datos_base!$E$11+datos_base!$E$25,0))*parametros_manuales!$G$105+parametros_manuales!$G$35*(datos_base!$E$5+datos_base!$E$21+IF(parametros_manuales!$H$35="Todos",datos_base!$E$12+datos_base!$E$26,0))*parametros_manuales!$G$110)*parametros_manuales!$I$35*parametros_manuales!$J$35</f>
        <v>3627.9405370125</v>
      </c>
      <c r="H99" s="9" t="n">
        <f aca="false">(parametros_manuales!$D$35*(datos_base!$E$2+datos_base!$E$18+IF(parametros_manuales!$H$35="Todos",datos_base!$E$9+datos_base!$E$23,0))*parametros_manuales!$H$95+parametros_manuales!$E$35*(datos_base!$E$3+datos_base!$E$19+IF(parametros_manuales!$H$35="Todos",datos_base!$E$10+datos_base!$E$24,0))*parametros_manuales!$H$100+parametros_manuales!$F$35*(datos_base!$E$4+datos_base!$E$20+IF(parametros_manuales!$H$35="Todos",datos_base!$E$11+datos_base!$E$25,0))*parametros_manuales!$H$105+parametros_manuales!$G$35*(datos_base!$E$5+datos_base!$E$21+IF(parametros_manuales!$H$35="Todos",datos_base!$E$12+datos_base!$E$26,0))*parametros_manuales!$H$110)*parametros_manuales!$I$35*parametros_manuales!$J$35</f>
        <v>3881.523884663</v>
      </c>
      <c r="I99" s="9" t="n">
        <f aca="false">(parametros_manuales!$D$35*(datos_base!$E$2+datos_base!$E$18+IF(parametros_manuales!$H$35="Todos",datos_base!$E$9+datos_base!$E$23,0))*parametros_manuales!$I$95+parametros_manuales!$E$35*(datos_base!$E$3+datos_base!$E$19+IF(parametros_manuales!$H$35="Todos",datos_base!$E$10+datos_base!$E$24,0))*parametros_manuales!$I$100+parametros_manuales!$F$35*(datos_base!$E$4+datos_base!$E$20+IF(parametros_manuales!$H$35="Todos",datos_base!$E$11+datos_base!$E$25,0))*parametros_manuales!$I$105+parametros_manuales!$G$35*(datos_base!$E$5+datos_base!$E$21+IF(parametros_manuales!$H$35="Todos",datos_base!$E$12+datos_base!$E$26,0))*parametros_manuales!$I$110)*parametros_manuales!$I$35*parametros_manuales!$J$35</f>
        <v>4408.952917898</v>
      </c>
      <c r="J99" s="9" t="n">
        <f aca="false">(parametros_manuales!$D$35*(datos_base!$E$2+datos_base!$E$18+IF(parametros_manuales!$H$35="Todos",datos_base!$E$9+datos_base!$E$23,0))*parametros_manuales!$J$95+parametros_manuales!$E$35*(datos_base!$E$3+datos_base!$E$19+IF(parametros_manuales!$H$35="Todos",datos_base!$E$10+datos_base!$E$24,0))*parametros_manuales!$J$100+parametros_manuales!$F$35*(datos_base!$E$4+datos_base!$E$20+IF(parametros_manuales!$H$35="Todos",datos_base!$E$11+datos_base!$E$25,0))*parametros_manuales!$J$105+parametros_manuales!$G$35*(datos_base!$E$5+datos_base!$E$21+IF(parametros_manuales!$H$35="Todos",datos_base!$E$12+datos_base!$E$26,0))*parametros_manuales!$J$110)*parametros_manuales!$I$35*parametros_manuales!$J$35</f>
        <v>4408.952917898</v>
      </c>
      <c r="K99" s="9" t="n">
        <f aca="false">(parametros_manuales!$D$35*(datos_base!$E$2+datos_base!$E$18+IF(parametros_manuales!$H$35="Todos",datos_base!$E$9+datos_base!$E$23,0))*parametros_manuales!$K$95+parametros_manuales!$E$35*(datos_base!$E$3+datos_base!$E$19+IF(parametros_manuales!$H$35="Todos",datos_base!$E$10+datos_base!$E$24,0))*parametros_manuales!$K$100+parametros_manuales!$F$35*(datos_base!$E$4+datos_base!$E$20+IF(parametros_manuales!$H$35="Todos",datos_base!$E$11+datos_base!$E$25,0))*parametros_manuales!$K$105+parametros_manuales!$G$35*(datos_base!$E$5+datos_base!$E$21+IF(parametros_manuales!$H$35="Todos",datos_base!$E$12+datos_base!$E$26,0))*parametros_manuales!$K$110)*parametros_manuales!$I$35*parametros_manuales!$J$35</f>
        <v>4486.7265878035</v>
      </c>
      <c r="L99" s="9" t="n">
        <f aca="false">(parametros_manuales!$D$35*(datos_base!$E$2+datos_base!$E$18+IF(parametros_manuales!$H$35="Todos",datos_base!$E$9+datos_base!$E$23,0))*parametros_manuales!$L$95+parametros_manuales!$E$35*(datos_base!$E$3+datos_base!$E$19+IF(parametros_manuales!$H$35="Todos",datos_base!$E$10+datos_base!$E$24,0))*parametros_manuales!$L$100+parametros_manuales!$F$35*(datos_base!$E$4+datos_base!$E$20+IF(parametros_manuales!$H$35="Todos",datos_base!$E$11+datos_base!$E$25,0))*parametros_manuales!$L$105+parametros_manuales!$G$35*(datos_base!$E$5+datos_base!$E$21+IF(parametros_manuales!$H$35="Todos",datos_base!$E$12+datos_base!$E$26,0))*parametros_manuales!$L$110)*parametros_manuales!$I$35*parametros_manuales!$J$35</f>
        <v>4564.500257709</v>
      </c>
      <c r="M99" s="9" t="n">
        <f aca="false">(parametros_manuales!$D$35*(datos_base!$E$2+datos_base!$E$18+IF(parametros_manuales!$H$35="Todos",datos_base!$E$9+datos_base!$E$23,0))*parametros_manuales!$M$95+parametros_manuales!$E$35*(datos_base!$E$3+datos_base!$E$19+IF(parametros_manuales!$H$35="Todos",datos_base!$E$10+datos_base!$E$24,0))*parametros_manuales!$M$100+parametros_manuales!$F$35*(datos_base!$E$4+datos_base!$E$20+IF(parametros_manuales!$H$35="Todos",datos_base!$E$11+datos_base!$E$25,0))*parametros_manuales!$M$105+parametros_manuales!$G$35*(datos_base!$E$5+datos_base!$E$21+IF(parametros_manuales!$H$35="Todos",datos_base!$E$12+datos_base!$E$26,0))*parametros_manuales!$M$110)*parametros_manuales!$I$35*parametros_manuales!$J$35</f>
        <v>4564.500257709</v>
      </c>
      <c r="N99" s="9" t="n">
        <f aca="false">SUM(B99:M99)</f>
        <v>50716.6695301</v>
      </c>
      <c r="O99" s="9" t="n">
        <f aca="false">MAX(B99:M99)</f>
        <v>4564.500257709</v>
      </c>
      <c r="P99" s="43" t="n">
        <f aca="false">O99/(parametros_manuales!$B$7)</f>
        <v>30.43000171806</v>
      </c>
      <c r="Q99" s="8" t="str">
        <f aca="false">IF(O99=0,"-",INDEX($B$82:$M$82,MATCH(O99,B99:M99,0)))</f>
        <v>Ene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datos_base!$E$2+datos_base!$E$18+IF(parametros_manuales!$H$36="Todos",datos_base!$E$9+datos_base!$E$23,0))*parametros_manuales!$B$95+parametros_manuales!$E$36*(datos_base!$E$3+datos_base!$E$19+IF(parametros_manuales!$H$36="Todos",datos_base!$E$10+datos_base!$E$24,0))*parametros_manuales!$B$100+parametros_manuales!$F$36*(datos_base!$E$4+datos_base!$E$20+IF(parametros_manuales!$H$36="Todos",datos_base!$E$11+datos_base!$E$25,0))*parametros_manuales!$B$105+parametros_manuales!$G$36*(datos_base!$E$5+datos_base!$E$21+IF(parametros_manuales!$H$36="Todos",datos_base!$E$12+datos_base!$E$26,0))*parametros_manuales!$B$110)*parametros_manuales!$I$36*parametros_manuales!$J$36</f>
        <v>228.22501288545</v>
      </c>
      <c r="C100" s="9" t="n">
        <f aca="false">(parametros_manuales!$D$36*(datos_base!$E$2+datos_base!$E$18+IF(parametros_manuales!$H$36="Todos",datos_base!$E$9+datos_base!$E$23,0))*parametros_manuales!$C$95+parametros_manuales!$E$36*(datos_base!$E$3+datos_base!$E$19+IF(parametros_manuales!$H$36="Todos",datos_base!$E$10+datos_base!$E$24,0))*parametros_manuales!$C$100+parametros_manuales!$F$36*(datos_base!$E$4+datos_base!$E$20+IF(parametros_manuales!$H$36="Todos",datos_base!$E$11+datos_base!$E$25,0))*parametros_manuales!$C$105+parametros_manuales!$G$36*(datos_base!$E$5+datos_base!$E$21+IF(parametros_manuales!$H$36="Todos",datos_base!$E$12+datos_base!$E$26,0))*parametros_manuales!$C$110)*parametros_manuales!$I$36*parametros_manuales!$J$36</f>
        <v>220.4476458949</v>
      </c>
      <c r="D100" s="9" t="n">
        <f aca="false">(parametros_manuales!$D$36*(datos_base!$E$2+datos_base!$E$18+IF(parametros_manuales!$H$36="Todos",datos_base!$E$9+datos_base!$E$23,0))*parametros_manuales!$D$95+parametros_manuales!$E$36*(datos_base!$E$3+datos_base!$E$19+IF(parametros_manuales!$H$36="Todos",datos_base!$E$10+datos_base!$E$24,0))*parametros_manuales!$D$100+parametros_manuales!$F$36*(datos_base!$E$4+datos_base!$E$20+IF(parametros_manuales!$H$36="Todos",datos_base!$E$11+datos_base!$E$25,0))*parametros_manuales!$D$105+parametros_manuales!$G$36*(datos_base!$E$5+datos_base!$E$21+IF(parametros_manuales!$H$36="Todos",datos_base!$E$12+datos_base!$E$26,0))*parametros_manuales!$D$110)*parametros_manuales!$I$36*parametros_manuales!$J$36</f>
        <v>206.755361615675</v>
      </c>
      <c r="E100" s="9" t="n">
        <f aca="false">(parametros_manuales!$D$36*(datos_base!$E$2+datos_base!$E$18+IF(parametros_manuales!$H$36="Todos",datos_base!$E$9+datos_base!$E$23,0))*parametros_manuales!$E$95+parametros_manuales!$E$36*(datos_base!$E$3+datos_base!$E$19+IF(parametros_manuales!$H$36="Todos",datos_base!$E$10+datos_base!$E$24,0))*parametros_manuales!$E$100+parametros_manuales!$F$36*(datos_base!$E$4+datos_base!$E$20+IF(parametros_manuales!$H$36="Todos",datos_base!$E$11+datos_base!$E$25,0))*parametros_manuales!$E$105+parametros_manuales!$G$36*(datos_base!$E$5+datos_base!$E$21+IF(parametros_manuales!$H$36="Todos",datos_base!$E$12+datos_base!$E$26,0))*parametros_manuales!$E$110)*parametros_manuales!$I$36*parametros_manuales!$J$36</f>
        <v>197.964877728425</v>
      </c>
      <c r="F100" s="9" t="n">
        <f aca="false">(parametros_manuales!$D$36*(datos_base!$E$2+datos_base!$E$18+IF(parametros_manuales!$H$36="Todos",datos_base!$E$9+datos_base!$E$23,0))*parametros_manuales!$F$95+parametros_manuales!$E$36*(datos_base!$E$3+datos_base!$E$19+IF(parametros_manuales!$H$36="Todos",datos_base!$E$10+datos_base!$E$24,0))*parametros_manuales!$F$100+parametros_manuales!$F$36*(datos_base!$E$4+datos_base!$E$20+IF(parametros_manuales!$H$36="Todos",datos_base!$E$11+datos_base!$E$25,0))*parametros_manuales!$F$105+parametros_manuales!$G$36*(datos_base!$E$5+datos_base!$E$21+IF(parametros_manuales!$H$36="Todos",datos_base!$E$12+datos_base!$E$26,0))*parametros_manuales!$F$110)*parametros_manuales!$I$36*parametros_manuales!$J$36</f>
        <v>185.2857103459</v>
      </c>
      <c r="G100" s="9" t="n">
        <f aca="false">(parametros_manuales!$D$36*(datos_base!$E$2+datos_base!$E$18+IF(parametros_manuales!$H$36="Todos",datos_base!$E$9+datos_base!$E$23,0))*parametros_manuales!$G$95+parametros_manuales!$E$36*(datos_base!$E$3+datos_base!$E$19+IF(parametros_manuales!$H$36="Todos",datos_base!$E$10+datos_base!$E$24,0))*parametros_manuales!$G$100+parametros_manuales!$F$36*(datos_base!$E$4+datos_base!$E$20+IF(parametros_manuales!$H$36="Todos",datos_base!$E$11+datos_base!$E$25,0))*parametros_manuales!$G$105+parametros_manuales!$G$36*(datos_base!$E$5+datos_base!$E$21+IF(parametros_manuales!$H$36="Todos",datos_base!$E$12+datos_base!$E$26,0))*parametros_manuales!$G$110)*parametros_manuales!$I$36*parametros_manuales!$J$36</f>
        <v>181.397026850625</v>
      </c>
      <c r="H100" s="9" t="n">
        <f aca="false">(parametros_manuales!$D$36*(datos_base!$E$2+datos_base!$E$18+IF(parametros_manuales!$H$36="Todos",datos_base!$E$9+datos_base!$E$23,0))*parametros_manuales!$H$95+parametros_manuales!$E$36*(datos_base!$E$3+datos_base!$E$19+IF(parametros_manuales!$H$36="Todos",datos_base!$E$10+datos_base!$E$24,0))*parametros_manuales!$H$100+parametros_manuales!$F$36*(datos_base!$E$4+datos_base!$E$20+IF(parametros_manuales!$H$36="Todos",datos_base!$E$11+datos_base!$E$25,0))*parametros_manuales!$H$105+parametros_manuales!$G$36*(datos_base!$E$5+datos_base!$E$21+IF(parametros_manuales!$H$36="Todos",datos_base!$E$12+datos_base!$E$26,0))*parametros_manuales!$H$110)*parametros_manuales!$I$36*parametros_manuales!$J$36</f>
        <v>194.07619423315</v>
      </c>
      <c r="I100" s="9" t="n">
        <f aca="false">(parametros_manuales!$D$36*(datos_base!$E$2+datos_base!$E$18+IF(parametros_manuales!$H$36="Todos",datos_base!$E$9+datos_base!$E$23,0))*parametros_manuales!$I$95+parametros_manuales!$E$36*(datos_base!$E$3+datos_base!$E$19+IF(parametros_manuales!$H$36="Todos",datos_base!$E$10+datos_base!$E$24,0))*parametros_manuales!$I$100+parametros_manuales!$F$36*(datos_base!$E$4+datos_base!$E$20+IF(parametros_manuales!$H$36="Todos",datos_base!$E$11+datos_base!$E$25,0))*parametros_manuales!$I$105+parametros_manuales!$G$36*(datos_base!$E$5+datos_base!$E$21+IF(parametros_manuales!$H$36="Todos",datos_base!$E$12+datos_base!$E$26,0))*parametros_manuales!$I$110)*parametros_manuales!$I$36*parametros_manuales!$J$36</f>
        <v>220.4476458949</v>
      </c>
      <c r="J100" s="9" t="n">
        <f aca="false">(parametros_manuales!$D$36*(datos_base!$E$2+datos_base!$E$18+IF(parametros_manuales!$H$36="Todos",datos_base!$E$9+datos_base!$E$23,0))*parametros_manuales!$J$95+parametros_manuales!$E$36*(datos_base!$E$3+datos_base!$E$19+IF(parametros_manuales!$H$36="Todos",datos_base!$E$10+datos_base!$E$24,0))*parametros_manuales!$J$100+parametros_manuales!$F$36*(datos_base!$E$4+datos_base!$E$20+IF(parametros_manuales!$H$36="Todos",datos_base!$E$11+datos_base!$E$25,0))*parametros_manuales!$J$105+parametros_manuales!$G$36*(datos_base!$E$5+datos_base!$E$21+IF(parametros_manuales!$H$36="Todos",datos_base!$E$12+datos_base!$E$26,0))*parametros_manuales!$J$110)*parametros_manuales!$I$36*parametros_manuales!$J$36</f>
        <v>220.4476458949</v>
      </c>
      <c r="K100" s="9" t="n">
        <f aca="false">(parametros_manuales!$D$36*(datos_base!$E$2+datos_base!$E$18+IF(parametros_manuales!$H$36="Todos",datos_base!$E$9+datos_base!$E$23,0))*parametros_manuales!$K$95+parametros_manuales!$E$36*(datos_base!$E$3+datos_base!$E$19+IF(parametros_manuales!$H$36="Todos",datos_base!$E$10+datos_base!$E$24,0))*parametros_manuales!$K$100+parametros_manuales!$F$36*(datos_base!$E$4+datos_base!$E$20+IF(parametros_manuales!$H$36="Todos",datos_base!$E$11+datos_base!$E$25,0))*parametros_manuales!$K$105+parametros_manuales!$G$36*(datos_base!$E$5+datos_base!$E$21+IF(parametros_manuales!$H$36="Todos",datos_base!$E$12+datos_base!$E$26,0))*parametros_manuales!$K$110)*parametros_manuales!$I$36*parametros_manuales!$J$36</f>
        <v>224.336329390175</v>
      </c>
      <c r="L100" s="9" t="n">
        <f aca="false">(parametros_manuales!$D$36*(datos_base!$E$2+datos_base!$E$18+IF(parametros_manuales!$H$36="Todos",datos_base!$E$9+datos_base!$E$23,0))*parametros_manuales!$L$95+parametros_manuales!$E$36*(datos_base!$E$3+datos_base!$E$19+IF(parametros_manuales!$H$36="Todos",datos_base!$E$10+datos_base!$E$24,0))*parametros_manuales!$L$100+parametros_manuales!$F$36*(datos_base!$E$4+datos_base!$E$20+IF(parametros_manuales!$H$36="Todos",datos_base!$E$11+datos_base!$E$25,0))*parametros_manuales!$L$105+parametros_manuales!$G$36*(datos_base!$E$5+datos_base!$E$21+IF(parametros_manuales!$H$36="Todos",datos_base!$E$12+datos_base!$E$26,0))*parametros_manuales!$L$110)*parametros_manuales!$I$36*parametros_manuales!$J$36</f>
        <v>228.22501288545</v>
      </c>
      <c r="M100" s="9" t="n">
        <f aca="false">(parametros_manuales!$D$36*(datos_base!$E$2+datos_base!$E$18+IF(parametros_manuales!$H$36="Todos",datos_base!$E$9+datos_base!$E$23,0))*parametros_manuales!$M$95+parametros_manuales!$E$36*(datos_base!$E$3+datos_base!$E$19+IF(parametros_manuales!$H$36="Todos",datos_base!$E$10+datos_base!$E$24,0))*parametros_manuales!$M$100+parametros_manuales!$F$36*(datos_base!$E$4+datos_base!$E$20+IF(parametros_manuales!$H$36="Todos",datos_base!$E$11+datos_base!$E$25,0))*parametros_manuales!$M$105+parametros_manuales!$G$36*(datos_base!$E$5+datos_base!$E$21+IF(parametros_manuales!$H$36="Todos",datos_base!$E$12+datos_base!$E$26,0))*parametros_manuales!$M$110)*parametros_manuales!$I$36*parametros_manuales!$J$36</f>
        <v>228.22501288545</v>
      </c>
      <c r="N100" s="9" t="n">
        <f aca="false">SUM(B100:M100)</f>
        <v>2535.833476505</v>
      </c>
      <c r="O100" s="9" t="n">
        <f aca="false">MAX(B100:M100)</f>
        <v>228.22501288545</v>
      </c>
      <c r="P100" s="43" t="n">
        <f aca="false">O100/(parametros_manuales!$B$7)</f>
        <v>1.521500085903</v>
      </c>
      <c r="Q100" s="8" t="str">
        <f aca="false">IF(O100=0,"-",INDEX($B$82:$M$82,MATCH(O100,B100:M100,0)))</f>
        <v>Ene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datos_base!$E$2+datos_base!$E$18+IF(parametros_manuales!$H$37="Todos",datos_base!$E$9+datos_base!$E$23,0))*parametros_manuales!$B$95+parametros_manuales!$E$37*(datos_base!$E$3+datos_base!$E$19+IF(parametros_manuales!$H$37="Todos",datos_base!$E$10+datos_base!$E$24,0))*parametros_manuales!$B$100+parametros_manuales!$F$37*(datos_base!$E$4+datos_base!$E$20+IF(parametros_manuales!$H$37="Todos",datos_base!$E$11+datos_base!$E$25,0))*parametros_manuales!$B$105+parametros_manuales!$G$37*(datos_base!$E$5+datos_base!$E$21+IF(parametros_manuales!$H$37="Todos",datos_base!$E$12+datos_base!$E$26,0))*parametros_manuales!$B$110)*parametros_manuales!$I$37*parametros_manuales!$J$37</f>
        <v>4564.500257709</v>
      </c>
      <c r="C101" s="9" t="n">
        <f aca="false">(parametros_manuales!$D$37*(datos_base!$E$2+datos_base!$E$18+IF(parametros_manuales!$H$37="Todos",datos_base!$E$9+datos_base!$E$23,0))*parametros_manuales!$C$95+parametros_manuales!$E$37*(datos_base!$E$3+datos_base!$E$19+IF(parametros_manuales!$H$37="Todos",datos_base!$E$10+datos_base!$E$24,0))*parametros_manuales!$C$100+parametros_manuales!$F$37*(datos_base!$E$4+datos_base!$E$20+IF(parametros_manuales!$H$37="Todos",datos_base!$E$11+datos_base!$E$25,0))*parametros_manuales!$C$105+parametros_manuales!$G$37*(datos_base!$E$5+datos_base!$E$21+IF(parametros_manuales!$H$37="Todos",datos_base!$E$12+datos_base!$E$26,0))*parametros_manuales!$C$110)*parametros_manuales!$I$37*parametros_manuales!$J$37</f>
        <v>4408.952917898</v>
      </c>
      <c r="D101" s="9" t="n">
        <f aca="false">(parametros_manuales!$D$37*(datos_base!$E$2+datos_base!$E$18+IF(parametros_manuales!$H$37="Todos",datos_base!$E$9+datos_base!$E$23,0))*parametros_manuales!$D$95+parametros_manuales!$E$37*(datos_base!$E$3+datos_base!$E$19+IF(parametros_manuales!$H$37="Todos",datos_base!$E$10+datos_base!$E$24,0))*parametros_manuales!$D$100+parametros_manuales!$F$37*(datos_base!$E$4+datos_base!$E$20+IF(parametros_manuales!$H$37="Todos",datos_base!$E$11+datos_base!$E$25,0))*parametros_manuales!$D$105+parametros_manuales!$G$37*(datos_base!$E$5+datos_base!$E$21+IF(parametros_manuales!$H$37="Todos",datos_base!$E$12+datos_base!$E$26,0))*parametros_manuales!$D$110)*parametros_manuales!$I$37*parametros_manuales!$J$37</f>
        <v>4135.1072323135</v>
      </c>
      <c r="E101" s="9" t="n">
        <f aca="false">(parametros_manuales!$D$37*(datos_base!$E$2+datos_base!$E$18+IF(parametros_manuales!$H$37="Todos",datos_base!$E$9+datos_base!$E$23,0))*parametros_manuales!$E$95+parametros_manuales!$E$37*(datos_base!$E$3+datos_base!$E$19+IF(parametros_manuales!$H$37="Todos",datos_base!$E$10+datos_base!$E$24,0))*parametros_manuales!$E$100+parametros_manuales!$F$37*(datos_base!$E$4+datos_base!$E$20+IF(parametros_manuales!$H$37="Todos",datos_base!$E$11+datos_base!$E$25,0))*parametros_manuales!$E$105+parametros_manuales!$G$37*(datos_base!$E$5+datos_base!$E$21+IF(parametros_manuales!$H$37="Todos",datos_base!$E$12+datos_base!$E$26,0))*parametros_manuales!$E$110)*parametros_manuales!$I$37*parametros_manuales!$J$37</f>
        <v>3959.2975545685</v>
      </c>
      <c r="F101" s="9" t="n">
        <f aca="false">(parametros_manuales!$D$37*(datos_base!$E$2+datos_base!$E$18+IF(parametros_manuales!$H$37="Todos",datos_base!$E$9+datos_base!$E$23,0))*parametros_manuales!$F$95+parametros_manuales!$E$37*(datos_base!$E$3+datos_base!$E$19+IF(parametros_manuales!$H$37="Todos",datos_base!$E$10+datos_base!$E$24,0))*parametros_manuales!$F$100+parametros_manuales!$F$37*(datos_base!$E$4+datos_base!$E$20+IF(parametros_manuales!$H$37="Todos",datos_base!$E$11+datos_base!$E$25,0))*parametros_manuales!$F$105+parametros_manuales!$G$37*(datos_base!$E$5+datos_base!$E$21+IF(parametros_manuales!$H$37="Todos",datos_base!$E$12+datos_base!$E$26,0))*parametros_manuales!$F$110)*parametros_manuales!$I$37*parametros_manuales!$J$37</f>
        <v>3705.714206918</v>
      </c>
      <c r="G101" s="9" t="n">
        <f aca="false">(parametros_manuales!$D$37*(datos_base!$E$2+datos_base!$E$18+IF(parametros_manuales!$H$37="Todos",datos_base!$E$9+datos_base!$E$23,0))*parametros_manuales!$G$95+parametros_manuales!$E$37*(datos_base!$E$3+datos_base!$E$19+IF(parametros_manuales!$H$37="Todos",datos_base!$E$10+datos_base!$E$24,0))*parametros_manuales!$G$100+parametros_manuales!$F$37*(datos_base!$E$4+datos_base!$E$20+IF(parametros_manuales!$H$37="Todos",datos_base!$E$11+datos_base!$E$25,0))*parametros_manuales!$G$105+parametros_manuales!$G$37*(datos_base!$E$5+datos_base!$E$21+IF(parametros_manuales!$H$37="Todos",datos_base!$E$12+datos_base!$E$26,0))*parametros_manuales!$G$110)*parametros_manuales!$I$37*parametros_manuales!$J$37</f>
        <v>3627.9405370125</v>
      </c>
      <c r="H101" s="9" t="n">
        <f aca="false">(parametros_manuales!$D$37*(datos_base!$E$2+datos_base!$E$18+IF(parametros_manuales!$H$37="Todos",datos_base!$E$9+datos_base!$E$23,0))*parametros_manuales!$H$95+parametros_manuales!$E$37*(datos_base!$E$3+datos_base!$E$19+IF(parametros_manuales!$H$37="Todos",datos_base!$E$10+datos_base!$E$24,0))*parametros_manuales!$H$100+parametros_manuales!$F$37*(datos_base!$E$4+datos_base!$E$20+IF(parametros_manuales!$H$37="Todos",datos_base!$E$11+datos_base!$E$25,0))*parametros_manuales!$H$105+parametros_manuales!$G$37*(datos_base!$E$5+datos_base!$E$21+IF(parametros_manuales!$H$37="Todos",datos_base!$E$12+datos_base!$E$26,0))*parametros_manuales!$H$110)*parametros_manuales!$I$37*parametros_manuales!$J$37</f>
        <v>3881.523884663</v>
      </c>
      <c r="I101" s="9" t="n">
        <f aca="false">(parametros_manuales!$D$37*(datos_base!$E$2+datos_base!$E$18+IF(parametros_manuales!$H$37="Todos",datos_base!$E$9+datos_base!$E$23,0))*parametros_manuales!$I$95+parametros_manuales!$E$37*(datos_base!$E$3+datos_base!$E$19+IF(parametros_manuales!$H$37="Todos",datos_base!$E$10+datos_base!$E$24,0))*parametros_manuales!$I$100+parametros_manuales!$F$37*(datos_base!$E$4+datos_base!$E$20+IF(parametros_manuales!$H$37="Todos",datos_base!$E$11+datos_base!$E$25,0))*parametros_manuales!$I$105+parametros_manuales!$G$37*(datos_base!$E$5+datos_base!$E$21+IF(parametros_manuales!$H$37="Todos",datos_base!$E$12+datos_base!$E$26,0))*parametros_manuales!$I$110)*parametros_manuales!$I$37*parametros_manuales!$J$37</f>
        <v>4408.952917898</v>
      </c>
      <c r="J101" s="9" t="n">
        <f aca="false">(parametros_manuales!$D$37*(datos_base!$E$2+datos_base!$E$18+IF(parametros_manuales!$H$37="Todos",datos_base!$E$9+datos_base!$E$23,0))*parametros_manuales!$J$95+parametros_manuales!$E$37*(datos_base!$E$3+datos_base!$E$19+IF(parametros_manuales!$H$37="Todos",datos_base!$E$10+datos_base!$E$24,0))*parametros_manuales!$J$100+parametros_manuales!$F$37*(datos_base!$E$4+datos_base!$E$20+IF(parametros_manuales!$H$37="Todos",datos_base!$E$11+datos_base!$E$25,0))*parametros_manuales!$J$105+parametros_manuales!$G$37*(datos_base!$E$5+datos_base!$E$21+IF(parametros_manuales!$H$37="Todos",datos_base!$E$12+datos_base!$E$26,0))*parametros_manuales!$J$110)*parametros_manuales!$I$37*parametros_manuales!$J$37</f>
        <v>4408.952917898</v>
      </c>
      <c r="K101" s="9" t="n">
        <f aca="false">(parametros_manuales!$D$37*(datos_base!$E$2+datos_base!$E$18+IF(parametros_manuales!$H$37="Todos",datos_base!$E$9+datos_base!$E$23,0))*parametros_manuales!$K$95+parametros_manuales!$E$37*(datos_base!$E$3+datos_base!$E$19+IF(parametros_manuales!$H$37="Todos",datos_base!$E$10+datos_base!$E$24,0))*parametros_manuales!$K$100+parametros_manuales!$F$37*(datos_base!$E$4+datos_base!$E$20+IF(parametros_manuales!$H$37="Todos",datos_base!$E$11+datos_base!$E$25,0))*parametros_manuales!$K$105+parametros_manuales!$G$37*(datos_base!$E$5+datos_base!$E$21+IF(parametros_manuales!$H$37="Todos",datos_base!$E$12+datos_base!$E$26,0))*parametros_manuales!$K$110)*parametros_manuales!$I$37*parametros_manuales!$J$37</f>
        <v>4486.7265878035</v>
      </c>
      <c r="L101" s="9" t="n">
        <f aca="false">(parametros_manuales!$D$37*(datos_base!$E$2+datos_base!$E$18+IF(parametros_manuales!$H$37="Todos",datos_base!$E$9+datos_base!$E$23,0))*parametros_manuales!$L$95+parametros_manuales!$E$37*(datos_base!$E$3+datos_base!$E$19+IF(parametros_manuales!$H$37="Todos",datos_base!$E$10+datos_base!$E$24,0))*parametros_manuales!$L$100+parametros_manuales!$F$37*(datos_base!$E$4+datos_base!$E$20+IF(parametros_manuales!$H$37="Todos",datos_base!$E$11+datos_base!$E$25,0))*parametros_manuales!$L$105+parametros_manuales!$G$37*(datos_base!$E$5+datos_base!$E$21+IF(parametros_manuales!$H$37="Todos",datos_base!$E$12+datos_base!$E$26,0))*parametros_manuales!$L$110)*parametros_manuales!$I$37*parametros_manuales!$J$37</f>
        <v>4564.500257709</v>
      </c>
      <c r="M101" s="9" t="n">
        <f aca="false">(parametros_manuales!$D$37*(datos_base!$E$2+datos_base!$E$18+IF(parametros_manuales!$H$37="Todos",datos_base!$E$9+datos_base!$E$23,0))*parametros_manuales!$M$95+parametros_manuales!$E$37*(datos_base!$E$3+datos_base!$E$19+IF(parametros_manuales!$H$37="Todos",datos_base!$E$10+datos_base!$E$24,0))*parametros_manuales!$M$100+parametros_manuales!$F$37*(datos_base!$E$4+datos_base!$E$20+IF(parametros_manuales!$H$37="Todos",datos_base!$E$11+datos_base!$E$25,0))*parametros_manuales!$M$105+parametros_manuales!$G$37*(datos_base!$E$5+datos_base!$E$21+IF(parametros_manuales!$H$37="Todos",datos_base!$E$12+datos_base!$E$26,0))*parametros_manuales!$M$110)*parametros_manuales!$I$37*parametros_manuales!$J$37</f>
        <v>4564.500257709</v>
      </c>
      <c r="N101" s="9" t="n">
        <f aca="false">SUM(B101:M101)</f>
        <v>50716.6695301</v>
      </c>
      <c r="O101" s="9" t="n">
        <f aca="false">MAX(B101:M101)</f>
        <v>4564.500257709</v>
      </c>
      <c r="P101" s="43" t="n">
        <f aca="false">O101/(parametros_manuales!$B$7)</f>
        <v>30.43000171806</v>
      </c>
      <c r="Q101" s="8" t="str">
        <f aca="false">IF(O101=0,"-",INDEX($B$82:$M$82,MATCH(O101,B101:M101,0)))</f>
        <v>Ene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datos_base!$E$2+datos_base!$E$18+IF(parametros_manuales!$H$38="Todos",datos_base!$E$9+datos_base!$E$23,0))*parametros_manuales!$B$95+parametros_manuales!$E$38*(datos_base!$E$3+datos_base!$E$19+IF(parametros_manuales!$H$38="Todos",datos_base!$E$10+datos_base!$E$24,0))*parametros_manuales!$B$100+parametros_manuales!$F$38*(datos_base!$E$4+datos_base!$E$20+IF(parametros_manuales!$H$38="Todos",datos_base!$E$11+datos_base!$E$25,0))*parametros_manuales!$B$105+parametros_manuales!$G$38*(datos_base!$E$5+datos_base!$E$21+IF(parametros_manuales!$H$38="Todos",datos_base!$E$12+datos_base!$E$26,0))*parametros_manuales!$B$110)*parametros_manuales!$I$38*parametros_manuales!$J$38</f>
        <v>1554.889457709</v>
      </c>
      <c r="C102" s="9" t="n">
        <f aca="false">(parametros_manuales!$D$38*(datos_base!$E$2+datos_base!$E$18+IF(parametros_manuales!$H$38="Todos",datos_base!$E$9+datos_base!$E$23,0))*parametros_manuales!$C$95+parametros_manuales!$E$38*(datos_base!$E$3+datos_base!$E$19+IF(parametros_manuales!$H$38="Todos",datos_base!$E$10+datos_base!$E$24,0))*parametros_manuales!$C$100+parametros_manuales!$F$38*(datos_base!$E$4+datos_base!$E$20+IF(parametros_manuales!$H$38="Todos",datos_base!$E$11+datos_base!$E$25,0))*parametros_manuales!$C$105+parametros_manuales!$G$38*(datos_base!$E$5+datos_base!$E$21+IF(parametros_manuales!$H$38="Todos",datos_base!$E$12+datos_base!$E$26,0))*parametros_manuales!$C$110)*parametros_manuales!$I$38*parametros_manuales!$J$38</f>
        <v>1466.795317898</v>
      </c>
      <c r="D102" s="9" t="n">
        <f aca="false">(parametros_manuales!$D$38*(datos_base!$E$2+datos_base!$E$18+IF(parametros_manuales!$H$38="Todos",datos_base!$E$9+datos_base!$E$23,0))*parametros_manuales!$D$95+parametros_manuales!$E$38*(datos_base!$E$3+datos_base!$E$19+IF(parametros_manuales!$H$38="Todos",datos_base!$E$10+datos_base!$E$24,0))*parametros_manuales!$D$100+parametros_manuales!$F$38*(datos_base!$E$4+datos_base!$E$20+IF(parametros_manuales!$H$38="Todos",datos_base!$E$11+datos_base!$E$25,0))*parametros_manuales!$D$105+parametros_manuales!$G$38*(datos_base!$E$5+datos_base!$E$21+IF(parametros_manuales!$H$38="Todos",datos_base!$E$12+datos_base!$E$26,0))*parametros_manuales!$D$110)*parametros_manuales!$I$38*parametros_manuales!$J$38</f>
        <v>1426.1710323135</v>
      </c>
      <c r="E102" s="9" t="n">
        <f aca="false">(parametros_manuales!$D$38*(datos_base!$E$2+datos_base!$E$18+IF(parametros_manuales!$H$38="Todos",datos_base!$E$9+datos_base!$E$23,0))*parametros_manuales!$E$95+parametros_manuales!$E$38*(datos_base!$E$3+datos_base!$E$19+IF(parametros_manuales!$H$38="Todos",datos_base!$E$10+datos_base!$E$24,0))*parametros_manuales!$E$100+parametros_manuales!$F$38*(datos_base!$E$4+datos_base!$E$20+IF(parametros_manuales!$H$38="Todos",datos_base!$E$11+datos_base!$E$25,0))*parametros_manuales!$E$105+parametros_manuales!$G$38*(datos_base!$E$5+datos_base!$E$21+IF(parametros_manuales!$H$38="Todos",datos_base!$E$12+datos_base!$E$26,0))*parametros_manuales!$E$110)*parametros_manuales!$I$38*parametros_manuales!$J$38</f>
        <v>1383.8353545685</v>
      </c>
      <c r="F102" s="9" t="n">
        <f aca="false">(parametros_manuales!$D$38*(datos_base!$E$2+datos_base!$E$18+IF(parametros_manuales!$H$38="Todos",datos_base!$E$9+datos_base!$E$23,0))*parametros_manuales!$F$95+parametros_manuales!$E$38*(datos_base!$E$3+datos_base!$E$19+IF(parametros_manuales!$H$38="Todos",datos_base!$E$10+datos_base!$E$24,0))*parametros_manuales!$F$100+parametros_manuales!$F$38*(datos_base!$E$4+datos_base!$E$20+IF(parametros_manuales!$H$38="Todos",datos_base!$E$11+datos_base!$E$25,0))*parametros_manuales!$F$105+parametros_manuales!$G$38*(datos_base!$E$5+datos_base!$E$21+IF(parametros_manuales!$H$38="Todos",datos_base!$E$12+datos_base!$E$26,0))*parametros_manuales!$F$110)*parametros_manuales!$I$38*parametros_manuales!$J$38</f>
        <v>1297.452606918</v>
      </c>
      <c r="G102" s="9" t="n">
        <f aca="false">(parametros_manuales!$D$38*(datos_base!$E$2+datos_base!$E$18+IF(parametros_manuales!$H$38="Todos",datos_base!$E$9+datos_base!$E$23,0))*parametros_manuales!$G$95+parametros_manuales!$E$38*(datos_base!$E$3+datos_base!$E$19+IF(parametros_manuales!$H$38="Todos",datos_base!$E$10+datos_base!$E$24,0))*parametros_manuales!$G$100+parametros_manuales!$F$38*(datos_base!$E$4+datos_base!$E$20+IF(parametros_manuales!$H$38="Todos",datos_base!$E$11+datos_base!$E$25,0))*parametros_manuales!$G$105+parametros_manuales!$G$38*(datos_base!$E$5+datos_base!$E$21+IF(parametros_manuales!$H$38="Todos",datos_base!$E$12+datos_base!$E$26,0))*parametros_manuales!$G$110)*parametros_manuales!$I$38*parametros_manuales!$J$38</f>
        <v>1253.4055370125</v>
      </c>
      <c r="H102" s="9" t="n">
        <f aca="false">(parametros_manuales!$D$38*(datos_base!$E$2+datos_base!$E$18+IF(parametros_manuales!$H$38="Todos",datos_base!$E$9+datos_base!$E$23,0))*parametros_manuales!$H$95+parametros_manuales!$E$38*(datos_base!$E$3+datos_base!$E$19+IF(parametros_manuales!$H$38="Todos",datos_base!$E$10+datos_base!$E$24,0))*parametros_manuales!$H$100+parametros_manuales!$F$38*(datos_base!$E$4+datos_base!$E$20+IF(parametros_manuales!$H$38="Todos",datos_base!$E$11+datos_base!$E$25,0))*parametros_manuales!$H$105+parametros_manuales!$G$38*(datos_base!$E$5+datos_base!$E$21+IF(parametros_manuales!$H$38="Todos",datos_base!$E$12+datos_base!$E$26,0))*parametros_manuales!$H$110)*parametros_manuales!$I$38*parametros_manuales!$J$38</f>
        <v>1339.788284663</v>
      </c>
      <c r="I102" s="9" t="n">
        <f aca="false">(parametros_manuales!$D$38*(datos_base!$E$2+datos_base!$E$18+IF(parametros_manuales!$H$38="Todos",datos_base!$E$9+datos_base!$E$23,0))*parametros_manuales!$I$95+parametros_manuales!$E$38*(datos_base!$E$3+datos_base!$E$19+IF(parametros_manuales!$H$38="Todos",datos_base!$E$10+datos_base!$E$24,0))*parametros_manuales!$I$100+parametros_manuales!$F$38*(datos_base!$E$4+datos_base!$E$20+IF(parametros_manuales!$H$38="Todos",datos_base!$E$11+datos_base!$E$25,0))*parametros_manuales!$I$105+parametros_manuales!$G$38*(datos_base!$E$5+datos_base!$E$21+IF(parametros_manuales!$H$38="Todos",datos_base!$E$12+datos_base!$E$26,0))*parametros_manuales!$I$110)*parametros_manuales!$I$38*parametros_manuales!$J$38</f>
        <v>1466.795317898</v>
      </c>
      <c r="J102" s="9" t="n">
        <f aca="false">(parametros_manuales!$D$38*(datos_base!$E$2+datos_base!$E$18+IF(parametros_manuales!$H$38="Todos",datos_base!$E$9+datos_base!$E$23,0))*parametros_manuales!$J$95+parametros_manuales!$E$38*(datos_base!$E$3+datos_base!$E$19+IF(parametros_manuales!$H$38="Todos",datos_base!$E$10+datos_base!$E$24,0))*parametros_manuales!$J$100+parametros_manuales!$F$38*(datos_base!$E$4+datos_base!$E$20+IF(parametros_manuales!$H$38="Todos",datos_base!$E$11+datos_base!$E$25,0))*parametros_manuales!$J$105+parametros_manuales!$G$38*(datos_base!$E$5+datos_base!$E$21+IF(parametros_manuales!$H$38="Todos",datos_base!$E$12+datos_base!$E$26,0))*parametros_manuales!$J$110)*parametros_manuales!$I$38*parametros_manuales!$J$38</f>
        <v>1466.795317898</v>
      </c>
      <c r="K102" s="9" t="n">
        <f aca="false">(parametros_manuales!$D$38*(datos_base!$E$2+datos_base!$E$18+IF(parametros_manuales!$H$38="Todos",datos_base!$E$9+datos_base!$E$23,0))*parametros_manuales!$K$95+parametros_manuales!$E$38*(datos_base!$E$3+datos_base!$E$19+IF(parametros_manuales!$H$38="Todos",datos_base!$E$10+datos_base!$E$24,0))*parametros_manuales!$K$100+parametros_manuales!$F$38*(datos_base!$E$4+datos_base!$E$20+IF(parametros_manuales!$H$38="Todos",datos_base!$E$11+datos_base!$E$25,0))*parametros_manuales!$K$105+parametros_manuales!$G$38*(datos_base!$E$5+datos_base!$E$21+IF(parametros_manuales!$H$38="Todos",datos_base!$E$12+datos_base!$E$26,0))*parametros_manuales!$K$110)*parametros_manuales!$I$38*parametros_manuales!$J$38</f>
        <v>1510.8423878035</v>
      </c>
      <c r="L102" s="9" t="n">
        <f aca="false">(parametros_manuales!$D$38*(datos_base!$E$2+datos_base!$E$18+IF(parametros_manuales!$H$38="Todos",datos_base!$E$9+datos_base!$E$23,0))*parametros_manuales!$L$95+parametros_manuales!$E$38*(datos_base!$E$3+datos_base!$E$19+IF(parametros_manuales!$H$38="Todos",datos_base!$E$10+datos_base!$E$24,0))*parametros_manuales!$L$100+parametros_manuales!$F$38*(datos_base!$E$4+datos_base!$E$20+IF(parametros_manuales!$H$38="Todos",datos_base!$E$11+datos_base!$E$25,0))*parametros_manuales!$L$105+parametros_manuales!$G$38*(datos_base!$E$5+datos_base!$E$21+IF(parametros_manuales!$H$38="Todos",datos_base!$E$12+datos_base!$E$26,0))*parametros_manuales!$L$110)*parametros_manuales!$I$38*parametros_manuales!$J$38</f>
        <v>1554.889457709</v>
      </c>
      <c r="M102" s="9" t="n">
        <f aca="false">(parametros_manuales!$D$38*(datos_base!$E$2+datos_base!$E$18+IF(parametros_manuales!$H$38="Todos",datos_base!$E$9+datos_base!$E$23,0))*parametros_manuales!$M$95+parametros_manuales!$E$38*(datos_base!$E$3+datos_base!$E$19+IF(parametros_manuales!$H$38="Todos",datos_base!$E$10+datos_base!$E$24,0))*parametros_manuales!$M$100+parametros_manuales!$F$38*(datos_base!$E$4+datos_base!$E$20+IF(parametros_manuales!$H$38="Todos",datos_base!$E$11+datos_base!$E$25,0))*parametros_manuales!$M$105+parametros_manuales!$G$38*(datos_base!$E$5+datos_base!$E$21+IF(parametros_manuales!$H$38="Todos",datos_base!$E$12+datos_base!$E$26,0))*parametros_manuales!$M$110)*parametros_manuales!$I$38*parametros_manuales!$J$38</f>
        <v>1554.889457709</v>
      </c>
      <c r="N102" s="9" t="n">
        <f aca="false">SUM(B102:M102)</f>
        <v>17276.5495301</v>
      </c>
      <c r="O102" s="9" t="n">
        <f aca="false">MAX(B102:M102)</f>
        <v>1554.889457709</v>
      </c>
      <c r="P102" s="43" t="n">
        <f aca="false">O102/(parametros_manuales!$B$7)</f>
        <v>10.36592971806</v>
      </c>
      <c r="Q102" s="8" t="str">
        <f aca="false">IF(O102=0,"-",INDEX($B$82:$M$82,MATCH(O102,B102:M102,0)))</f>
        <v>Ene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datos_base!$E$2+datos_base!$E$18+IF(parametros_manuales!$H$39="Todos",datos_base!$E$9+datos_base!$E$23,0))*parametros_manuales!$B$95+parametros_manuales!$E$39*(datos_base!$E$3+datos_base!$E$19+IF(parametros_manuales!$H$39="Todos",datos_base!$E$10+datos_base!$E$24,0))*parametros_manuales!$B$100+parametros_manuales!$F$39*(datos_base!$E$4+datos_base!$E$20+IF(parametros_manuales!$H$39="Todos",datos_base!$E$11+datos_base!$E$25,0))*parametros_manuales!$B$105+parametros_manuales!$G$39*(datos_base!$E$5+datos_base!$E$21+IF(parametros_manuales!$H$39="Todos",datos_base!$E$12+datos_base!$E$26,0))*parametros_manuales!$B$110)*parametros_manuales!$I$39*parametros_manuales!$J$39</f>
        <v>1554.889457709</v>
      </c>
      <c r="C103" s="9" t="n">
        <f aca="false">(parametros_manuales!$D$39*(datos_base!$E$2+datos_base!$E$18+IF(parametros_manuales!$H$39="Todos",datos_base!$E$9+datos_base!$E$23,0))*parametros_manuales!$C$95+parametros_manuales!$E$39*(datos_base!$E$3+datos_base!$E$19+IF(parametros_manuales!$H$39="Todos",datos_base!$E$10+datos_base!$E$24,0))*parametros_manuales!$C$100+parametros_manuales!$F$39*(datos_base!$E$4+datos_base!$E$20+IF(parametros_manuales!$H$39="Todos",datos_base!$E$11+datos_base!$E$25,0))*parametros_manuales!$C$105+parametros_manuales!$G$39*(datos_base!$E$5+datos_base!$E$21+IF(parametros_manuales!$H$39="Todos",datos_base!$E$12+datos_base!$E$26,0))*parametros_manuales!$C$110)*parametros_manuales!$I$39*parametros_manuales!$J$39</f>
        <v>1466.795317898</v>
      </c>
      <c r="D103" s="9" t="n">
        <f aca="false">(parametros_manuales!$D$39*(datos_base!$E$2+datos_base!$E$18+IF(parametros_manuales!$H$39="Todos",datos_base!$E$9+datos_base!$E$23,0))*parametros_manuales!$D$95+parametros_manuales!$E$39*(datos_base!$E$3+datos_base!$E$19+IF(parametros_manuales!$H$39="Todos",datos_base!$E$10+datos_base!$E$24,0))*parametros_manuales!$D$100+parametros_manuales!$F$39*(datos_base!$E$4+datos_base!$E$20+IF(parametros_manuales!$H$39="Todos",datos_base!$E$11+datos_base!$E$25,0))*parametros_manuales!$D$105+parametros_manuales!$G$39*(datos_base!$E$5+datos_base!$E$21+IF(parametros_manuales!$H$39="Todos",datos_base!$E$12+datos_base!$E$26,0))*parametros_manuales!$D$110)*parametros_manuales!$I$39*parametros_manuales!$J$39</f>
        <v>1426.1710323135</v>
      </c>
      <c r="E103" s="9" t="n">
        <f aca="false">(parametros_manuales!$D$39*(datos_base!$E$2+datos_base!$E$18+IF(parametros_manuales!$H$39="Todos",datos_base!$E$9+datos_base!$E$23,0))*parametros_manuales!$E$95+parametros_manuales!$E$39*(datos_base!$E$3+datos_base!$E$19+IF(parametros_manuales!$H$39="Todos",datos_base!$E$10+datos_base!$E$24,0))*parametros_manuales!$E$100+parametros_manuales!$F$39*(datos_base!$E$4+datos_base!$E$20+IF(parametros_manuales!$H$39="Todos",datos_base!$E$11+datos_base!$E$25,0))*parametros_manuales!$E$105+parametros_manuales!$G$39*(datos_base!$E$5+datos_base!$E$21+IF(parametros_manuales!$H$39="Todos",datos_base!$E$12+datos_base!$E$26,0))*parametros_manuales!$E$110)*parametros_manuales!$I$39*parametros_manuales!$J$39</f>
        <v>1383.8353545685</v>
      </c>
      <c r="F103" s="9" t="n">
        <f aca="false">(parametros_manuales!$D$39*(datos_base!$E$2+datos_base!$E$18+IF(parametros_manuales!$H$39="Todos",datos_base!$E$9+datos_base!$E$23,0))*parametros_manuales!$F$95+parametros_manuales!$E$39*(datos_base!$E$3+datos_base!$E$19+IF(parametros_manuales!$H$39="Todos",datos_base!$E$10+datos_base!$E$24,0))*parametros_manuales!$F$100+parametros_manuales!$F$39*(datos_base!$E$4+datos_base!$E$20+IF(parametros_manuales!$H$39="Todos",datos_base!$E$11+datos_base!$E$25,0))*parametros_manuales!$F$105+parametros_manuales!$G$39*(datos_base!$E$5+datos_base!$E$21+IF(parametros_manuales!$H$39="Todos",datos_base!$E$12+datos_base!$E$26,0))*parametros_manuales!$F$110)*parametros_manuales!$I$39*parametros_manuales!$J$39</f>
        <v>1297.452606918</v>
      </c>
      <c r="G103" s="9" t="n">
        <f aca="false">(parametros_manuales!$D$39*(datos_base!$E$2+datos_base!$E$18+IF(parametros_manuales!$H$39="Todos",datos_base!$E$9+datos_base!$E$23,0))*parametros_manuales!$G$95+parametros_manuales!$E$39*(datos_base!$E$3+datos_base!$E$19+IF(parametros_manuales!$H$39="Todos",datos_base!$E$10+datos_base!$E$24,0))*parametros_manuales!$G$100+parametros_manuales!$F$39*(datos_base!$E$4+datos_base!$E$20+IF(parametros_manuales!$H$39="Todos",datos_base!$E$11+datos_base!$E$25,0))*parametros_manuales!$G$105+parametros_manuales!$G$39*(datos_base!$E$5+datos_base!$E$21+IF(parametros_manuales!$H$39="Todos",datos_base!$E$12+datos_base!$E$26,0))*parametros_manuales!$G$110)*parametros_manuales!$I$39*parametros_manuales!$J$39</f>
        <v>1253.4055370125</v>
      </c>
      <c r="H103" s="9" t="n">
        <f aca="false">(parametros_manuales!$D$39*(datos_base!$E$2+datos_base!$E$18+IF(parametros_manuales!$H$39="Todos",datos_base!$E$9+datos_base!$E$23,0))*parametros_manuales!$H$95+parametros_manuales!$E$39*(datos_base!$E$3+datos_base!$E$19+IF(parametros_manuales!$H$39="Todos",datos_base!$E$10+datos_base!$E$24,0))*parametros_manuales!$H$100+parametros_manuales!$F$39*(datos_base!$E$4+datos_base!$E$20+IF(parametros_manuales!$H$39="Todos",datos_base!$E$11+datos_base!$E$25,0))*parametros_manuales!$H$105+parametros_manuales!$G$39*(datos_base!$E$5+datos_base!$E$21+IF(parametros_manuales!$H$39="Todos",datos_base!$E$12+datos_base!$E$26,0))*parametros_manuales!$H$110)*parametros_manuales!$I$39*parametros_manuales!$J$39</f>
        <v>1339.788284663</v>
      </c>
      <c r="I103" s="9" t="n">
        <f aca="false">(parametros_manuales!$D$39*(datos_base!$E$2+datos_base!$E$18+IF(parametros_manuales!$H$39="Todos",datos_base!$E$9+datos_base!$E$23,0))*parametros_manuales!$I$95+parametros_manuales!$E$39*(datos_base!$E$3+datos_base!$E$19+IF(parametros_manuales!$H$39="Todos",datos_base!$E$10+datos_base!$E$24,0))*parametros_manuales!$I$100+parametros_manuales!$F$39*(datos_base!$E$4+datos_base!$E$20+IF(parametros_manuales!$H$39="Todos",datos_base!$E$11+datos_base!$E$25,0))*parametros_manuales!$I$105+parametros_manuales!$G$39*(datos_base!$E$5+datos_base!$E$21+IF(parametros_manuales!$H$39="Todos",datos_base!$E$12+datos_base!$E$26,0))*parametros_manuales!$I$110)*parametros_manuales!$I$39*parametros_manuales!$J$39</f>
        <v>1466.795317898</v>
      </c>
      <c r="J103" s="9" t="n">
        <f aca="false">(parametros_manuales!$D$39*(datos_base!$E$2+datos_base!$E$18+IF(parametros_manuales!$H$39="Todos",datos_base!$E$9+datos_base!$E$23,0))*parametros_manuales!$J$95+parametros_manuales!$E$39*(datos_base!$E$3+datos_base!$E$19+IF(parametros_manuales!$H$39="Todos",datos_base!$E$10+datos_base!$E$24,0))*parametros_manuales!$J$100+parametros_manuales!$F$39*(datos_base!$E$4+datos_base!$E$20+IF(parametros_manuales!$H$39="Todos",datos_base!$E$11+datos_base!$E$25,0))*parametros_manuales!$J$105+parametros_manuales!$G$39*(datos_base!$E$5+datos_base!$E$21+IF(parametros_manuales!$H$39="Todos",datos_base!$E$12+datos_base!$E$26,0))*parametros_manuales!$J$110)*parametros_manuales!$I$39*parametros_manuales!$J$39</f>
        <v>1466.795317898</v>
      </c>
      <c r="K103" s="9" t="n">
        <f aca="false">(parametros_manuales!$D$39*(datos_base!$E$2+datos_base!$E$18+IF(parametros_manuales!$H$39="Todos",datos_base!$E$9+datos_base!$E$23,0))*parametros_manuales!$K$95+parametros_manuales!$E$39*(datos_base!$E$3+datos_base!$E$19+IF(parametros_manuales!$H$39="Todos",datos_base!$E$10+datos_base!$E$24,0))*parametros_manuales!$K$100+parametros_manuales!$F$39*(datos_base!$E$4+datos_base!$E$20+IF(parametros_manuales!$H$39="Todos",datos_base!$E$11+datos_base!$E$25,0))*parametros_manuales!$K$105+parametros_manuales!$G$39*(datos_base!$E$5+datos_base!$E$21+IF(parametros_manuales!$H$39="Todos",datos_base!$E$12+datos_base!$E$26,0))*parametros_manuales!$K$110)*parametros_manuales!$I$39*parametros_manuales!$J$39</f>
        <v>1510.8423878035</v>
      </c>
      <c r="L103" s="9" t="n">
        <f aca="false">(parametros_manuales!$D$39*(datos_base!$E$2+datos_base!$E$18+IF(parametros_manuales!$H$39="Todos",datos_base!$E$9+datos_base!$E$23,0))*parametros_manuales!$L$95+parametros_manuales!$E$39*(datos_base!$E$3+datos_base!$E$19+IF(parametros_manuales!$H$39="Todos",datos_base!$E$10+datos_base!$E$24,0))*parametros_manuales!$L$100+parametros_manuales!$F$39*(datos_base!$E$4+datos_base!$E$20+IF(parametros_manuales!$H$39="Todos",datos_base!$E$11+datos_base!$E$25,0))*parametros_manuales!$L$105+parametros_manuales!$G$39*(datos_base!$E$5+datos_base!$E$21+IF(parametros_manuales!$H$39="Todos",datos_base!$E$12+datos_base!$E$26,0))*parametros_manuales!$L$110)*parametros_manuales!$I$39*parametros_manuales!$J$39</f>
        <v>1554.889457709</v>
      </c>
      <c r="M103" s="9" t="n">
        <f aca="false">(parametros_manuales!$D$39*(datos_base!$E$2+datos_base!$E$18+IF(parametros_manuales!$H$39="Todos",datos_base!$E$9+datos_base!$E$23,0))*parametros_manuales!$M$95+parametros_manuales!$E$39*(datos_base!$E$3+datos_base!$E$19+IF(parametros_manuales!$H$39="Todos",datos_base!$E$10+datos_base!$E$24,0))*parametros_manuales!$M$100+parametros_manuales!$F$39*(datos_base!$E$4+datos_base!$E$20+IF(parametros_manuales!$H$39="Todos",datos_base!$E$11+datos_base!$E$25,0))*parametros_manuales!$M$105+parametros_manuales!$G$39*(datos_base!$E$5+datos_base!$E$21+IF(parametros_manuales!$H$39="Todos",datos_base!$E$12+datos_base!$E$26,0))*parametros_manuales!$M$110)*parametros_manuales!$I$39*parametros_manuales!$J$39</f>
        <v>1554.889457709</v>
      </c>
      <c r="N103" s="9" t="n">
        <f aca="false">SUM(B103:M103)</f>
        <v>17276.5495301</v>
      </c>
      <c r="O103" s="9" t="n">
        <f aca="false">MAX(B103:M103)</f>
        <v>1554.889457709</v>
      </c>
      <c r="P103" s="43" t="n">
        <f aca="false">O103/(parametros_manuales!$B$7)</f>
        <v>10.36592971806</v>
      </c>
      <c r="Q103" s="8" t="str">
        <f aca="false">IF(O103=0,"-",INDEX($B$82:$M$82,MATCH(O103,B103:M103,0)))</f>
        <v>Ene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datos_base!$E$2+datos_base!$E$18+IF(parametros_manuales!$H$40="Todos",datos_base!$E$9+datos_base!$E$23,0))*parametros_manuales!$B$95+parametros_manuales!$E$40*(datos_base!$E$3+datos_base!$E$19+IF(parametros_manuales!$H$40="Todos",datos_base!$E$10+datos_base!$E$24,0))*parametros_manuales!$B$100+parametros_manuales!$F$40*(datos_base!$E$4+datos_base!$E$20+IF(parametros_manuales!$H$40="Todos",datos_base!$E$11+datos_base!$E$25,0))*parametros_manuales!$B$105+parametros_manuales!$G$40*(datos_base!$E$5+datos_base!$E$21+IF(parametros_manuales!$H$40="Todos",datos_base!$E$12+datos_base!$E$26,0))*parametros_manuales!$B$110)*parametros_manuales!$I$40*parametros_manuales!$J$40</f>
        <v>1554.889457709</v>
      </c>
      <c r="C104" s="9" t="n">
        <f aca="false">(parametros_manuales!$D$40*(datos_base!$E$2+datos_base!$E$18+IF(parametros_manuales!$H$40="Todos",datos_base!$E$9+datos_base!$E$23,0))*parametros_manuales!$C$95+parametros_manuales!$E$40*(datos_base!$E$3+datos_base!$E$19+IF(parametros_manuales!$H$40="Todos",datos_base!$E$10+datos_base!$E$24,0))*parametros_manuales!$C$100+parametros_manuales!$F$40*(datos_base!$E$4+datos_base!$E$20+IF(parametros_manuales!$H$40="Todos",datos_base!$E$11+datos_base!$E$25,0))*parametros_manuales!$C$105+parametros_manuales!$G$40*(datos_base!$E$5+datos_base!$E$21+IF(parametros_manuales!$H$40="Todos",datos_base!$E$12+datos_base!$E$26,0))*parametros_manuales!$C$110)*parametros_manuales!$I$40*parametros_manuales!$J$40</f>
        <v>1466.795317898</v>
      </c>
      <c r="D104" s="9" t="n">
        <f aca="false">(parametros_manuales!$D$40*(datos_base!$E$2+datos_base!$E$18+IF(parametros_manuales!$H$40="Todos",datos_base!$E$9+datos_base!$E$23,0))*parametros_manuales!$D$95+parametros_manuales!$E$40*(datos_base!$E$3+datos_base!$E$19+IF(parametros_manuales!$H$40="Todos",datos_base!$E$10+datos_base!$E$24,0))*parametros_manuales!$D$100+parametros_manuales!$F$40*(datos_base!$E$4+datos_base!$E$20+IF(parametros_manuales!$H$40="Todos",datos_base!$E$11+datos_base!$E$25,0))*parametros_manuales!$D$105+parametros_manuales!$G$40*(datos_base!$E$5+datos_base!$E$21+IF(parametros_manuales!$H$40="Todos",datos_base!$E$12+datos_base!$E$26,0))*parametros_manuales!$D$110)*parametros_manuales!$I$40*parametros_manuales!$J$40</f>
        <v>1426.1710323135</v>
      </c>
      <c r="E104" s="9" t="n">
        <f aca="false">(parametros_manuales!$D$40*(datos_base!$E$2+datos_base!$E$18+IF(parametros_manuales!$H$40="Todos",datos_base!$E$9+datos_base!$E$23,0))*parametros_manuales!$E$95+parametros_manuales!$E$40*(datos_base!$E$3+datos_base!$E$19+IF(parametros_manuales!$H$40="Todos",datos_base!$E$10+datos_base!$E$24,0))*parametros_manuales!$E$100+parametros_manuales!$F$40*(datos_base!$E$4+datos_base!$E$20+IF(parametros_manuales!$H$40="Todos",datos_base!$E$11+datos_base!$E$25,0))*parametros_manuales!$E$105+parametros_manuales!$G$40*(datos_base!$E$5+datos_base!$E$21+IF(parametros_manuales!$H$40="Todos",datos_base!$E$12+datos_base!$E$26,0))*parametros_manuales!$E$110)*parametros_manuales!$I$40*parametros_manuales!$J$40</f>
        <v>1383.8353545685</v>
      </c>
      <c r="F104" s="9" t="n">
        <f aca="false">(parametros_manuales!$D$40*(datos_base!$E$2+datos_base!$E$18+IF(parametros_manuales!$H$40="Todos",datos_base!$E$9+datos_base!$E$23,0))*parametros_manuales!$F$95+parametros_manuales!$E$40*(datos_base!$E$3+datos_base!$E$19+IF(parametros_manuales!$H$40="Todos",datos_base!$E$10+datos_base!$E$24,0))*parametros_manuales!$F$100+parametros_manuales!$F$40*(datos_base!$E$4+datos_base!$E$20+IF(parametros_manuales!$H$40="Todos",datos_base!$E$11+datos_base!$E$25,0))*parametros_manuales!$F$105+parametros_manuales!$G$40*(datos_base!$E$5+datos_base!$E$21+IF(parametros_manuales!$H$40="Todos",datos_base!$E$12+datos_base!$E$26,0))*parametros_manuales!$F$110)*parametros_manuales!$I$40*parametros_manuales!$J$40</f>
        <v>1297.452606918</v>
      </c>
      <c r="G104" s="9" t="n">
        <f aca="false">(parametros_manuales!$D$40*(datos_base!$E$2+datos_base!$E$18+IF(parametros_manuales!$H$40="Todos",datos_base!$E$9+datos_base!$E$23,0))*parametros_manuales!$G$95+parametros_manuales!$E$40*(datos_base!$E$3+datos_base!$E$19+IF(parametros_manuales!$H$40="Todos",datos_base!$E$10+datos_base!$E$24,0))*parametros_manuales!$G$100+parametros_manuales!$F$40*(datos_base!$E$4+datos_base!$E$20+IF(parametros_manuales!$H$40="Todos",datos_base!$E$11+datos_base!$E$25,0))*parametros_manuales!$G$105+parametros_manuales!$G$40*(datos_base!$E$5+datos_base!$E$21+IF(parametros_manuales!$H$40="Todos",datos_base!$E$12+datos_base!$E$26,0))*parametros_manuales!$G$110)*parametros_manuales!$I$40*parametros_manuales!$J$40</f>
        <v>1253.4055370125</v>
      </c>
      <c r="H104" s="9" t="n">
        <f aca="false">(parametros_manuales!$D$40*(datos_base!$E$2+datos_base!$E$18+IF(parametros_manuales!$H$40="Todos",datos_base!$E$9+datos_base!$E$23,0))*parametros_manuales!$H$95+parametros_manuales!$E$40*(datos_base!$E$3+datos_base!$E$19+IF(parametros_manuales!$H$40="Todos",datos_base!$E$10+datos_base!$E$24,0))*parametros_manuales!$H$100+parametros_manuales!$F$40*(datos_base!$E$4+datos_base!$E$20+IF(parametros_manuales!$H$40="Todos",datos_base!$E$11+datos_base!$E$25,0))*parametros_manuales!$H$105+parametros_manuales!$G$40*(datos_base!$E$5+datos_base!$E$21+IF(parametros_manuales!$H$40="Todos",datos_base!$E$12+datos_base!$E$26,0))*parametros_manuales!$H$110)*parametros_manuales!$I$40*parametros_manuales!$J$40</f>
        <v>1339.788284663</v>
      </c>
      <c r="I104" s="9" t="n">
        <f aca="false">(parametros_manuales!$D$40*(datos_base!$E$2+datos_base!$E$18+IF(parametros_manuales!$H$40="Todos",datos_base!$E$9+datos_base!$E$23,0))*parametros_manuales!$I$95+parametros_manuales!$E$40*(datos_base!$E$3+datos_base!$E$19+IF(parametros_manuales!$H$40="Todos",datos_base!$E$10+datos_base!$E$24,0))*parametros_manuales!$I$100+parametros_manuales!$F$40*(datos_base!$E$4+datos_base!$E$20+IF(parametros_manuales!$H$40="Todos",datos_base!$E$11+datos_base!$E$25,0))*parametros_manuales!$I$105+parametros_manuales!$G$40*(datos_base!$E$5+datos_base!$E$21+IF(parametros_manuales!$H$40="Todos",datos_base!$E$12+datos_base!$E$26,0))*parametros_manuales!$I$110)*parametros_manuales!$I$40*parametros_manuales!$J$40</f>
        <v>1466.795317898</v>
      </c>
      <c r="J104" s="9" t="n">
        <f aca="false">(parametros_manuales!$D$40*(datos_base!$E$2+datos_base!$E$18+IF(parametros_manuales!$H$40="Todos",datos_base!$E$9+datos_base!$E$23,0))*parametros_manuales!$J$95+parametros_manuales!$E$40*(datos_base!$E$3+datos_base!$E$19+IF(parametros_manuales!$H$40="Todos",datos_base!$E$10+datos_base!$E$24,0))*parametros_manuales!$J$100+parametros_manuales!$F$40*(datos_base!$E$4+datos_base!$E$20+IF(parametros_manuales!$H$40="Todos",datos_base!$E$11+datos_base!$E$25,0))*parametros_manuales!$J$105+parametros_manuales!$G$40*(datos_base!$E$5+datos_base!$E$21+IF(parametros_manuales!$H$40="Todos",datos_base!$E$12+datos_base!$E$26,0))*parametros_manuales!$J$110)*parametros_manuales!$I$40*parametros_manuales!$J$40</f>
        <v>1466.795317898</v>
      </c>
      <c r="K104" s="9" t="n">
        <f aca="false">(parametros_manuales!$D$40*(datos_base!$E$2+datos_base!$E$18+IF(parametros_manuales!$H$40="Todos",datos_base!$E$9+datos_base!$E$23,0))*parametros_manuales!$K$95+parametros_manuales!$E$40*(datos_base!$E$3+datos_base!$E$19+IF(parametros_manuales!$H$40="Todos",datos_base!$E$10+datos_base!$E$24,0))*parametros_manuales!$K$100+parametros_manuales!$F$40*(datos_base!$E$4+datos_base!$E$20+IF(parametros_manuales!$H$40="Todos",datos_base!$E$11+datos_base!$E$25,0))*parametros_manuales!$K$105+parametros_manuales!$G$40*(datos_base!$E$5+datos_base!$E$21+IF(parametros_manuales!$H$40="Todos",datos_base!$E$12+datos_base!$E$26,0))*parametros_manuales!$K$110)*parametros_manuales!$I$40*parametros_manuales!$J$40</f>
        <v>1510.8423878035</v>
      </c>
      <c r="L104" s="9" t="n">
        <f aca="false">(parametros_manuales!$D$40*(datos_base!$E$2+datos_base!$E$18+IF(parametros_manuales!$H$40="Todos",datos_base!$E$9+datos_base!$E$23,0))*parametros_manuales!$L$95+parametros_manuales!$E$40*(datos_base!$E$3+datos_base!$E$19+IF(parametros_manuales!$H$40="Todos",datos_base!$E$10+datos_base!$E$24,0))*parametros_manuales!$L$100+parametros_manuales!$F$40*(datos_base!$E$4+datos_base!$E$20+IF(parametros_manuales!$H$40="Todos",datos_base!$E$11+datos_base!$E$25,0))*parametros_manuales!$L$105+parametros_manuales!$G$40*(datos_base!$E$5+datos_base!$E$21+IF(parametros_manuales!$H$40="Todos",datos_base!$E$12+datos_base!$E$26,0))*parametros_manuales!$L$110)*parametros_manuales!$I$40*parametros_manuales!$J$40</f>
        <v>1554.889457709</v>
      </c>
      <c r="M104" s="9" t="n">
        <f aca="false">(parametros_manuales!$D$40*(datos_base!$E$2+datos_base!$E$18+IF(parametros_manuales!$H$40="Todos",datos_base!$E$9+datos_base!$E$23,0))*parametros_manuales!$M$95+parametros_manuales!$E$40*(datos_base!$E$3+datos_base!$E$19+IF(parametros_manuales!$H$40="Todos",datos_base!$E$10+datos_base!$E$24,0))*parametros_manuales!$M$100+parametros_manuales!$F$40*(datos_base!$E$4+datos_base!$E$20+IF(parametros_manuales!$H$40="Todos",datos_base!$E$11+datos_base!$E$25,0))*parametros_manuales!$M$105+parametros_manuales!$G$40*(datos_base!$E$5+datos_base!$E$21+IF(parametros_manuales!$H$40="Todos",datos_base!$E$12+datos_base!$E$26,0))*parametros_manuales!$M$110)*parametros_manuales!$I$40*parametros_manuales!$J$40</f>
        <v>1554.889457709</v>
      </c>
      <c r="N104" s="9" t="n">
        <f aca="false">SUM(B104:M104)</f>
        <v>17276.5495301</v>
      </c>
      <c r="O104" s="9" t="n">
        <f aca="false">MAX(B104:M104)</f>
        <v>1554.889457709</v>
      </c>
      <c r="P104" s="43" t="n">
        <f aca="false">O104/(parametros_manuales!$B$7)</f>
        <v>10.36592971806</v>
      </c>
      <c r="Q104" s="8" t="str">
        <f aca="false">IF(O104=0,"-",INDEX($B$82:$M$82,MATCH(O104,B104:M104,0)))</f>
        <v>Ene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datos_base!$E$2+datos_base!$E$18+IF(parametros_manuales!$H$41="Todos",datos_base!$E$9+datos_base!$E$23,0))*parametros_manuales!$B$95+parametros_manuales!$E$41*(datos_base!$E$3+datos_base!$E$19+IF(parametros_manuales!$H$41="Todos",datos_base!$E$10+datos_base!$E$24,0))*parametros_manuales!$B$100+parametros_manuales!$F$41*(datos_base!$E$4+datos_base!$E$20+IF(parametros_manuales!$H$41="Todos",datos_base!$E$11+datos_base!$E$25,0))*parametros_manuales!$B$105+parametros_manuales!$G$41*(datos_base!$E$5+datos_base!$E$21+IF(parametros_manuales!$H$41="Todos",datos_base!$E$12+datos_base!$E$26,0))*parametros_manuales!$B$110)*parametros_manuales!$I$41*parametros_manuales!$J$41</f>
        <v>1554.889457709</v>
      </c>
      <c r="C105" s="9" t="n">
        <f aca="false">(parametros_manuales!$D$41*(datos_base!$E$2+datos_base!$E$18+IF(parametros_manuales!$H$41="Todos",datos_base!$E$9+datos_base!$E$23,0))*parametros_manuales!$C$95+parametros_manuales!$E$41*(datos_base!$E$3+datos_base!$E$19+IF(parametros_manuales!$H$41="Todos",datos_base!$E$10+datos_base!$E$24,0))*parametros_manuales!$C$100+parametros_manuales!$F$41*(datos_base!$E$4+datos_base!$E$20+IF(parametros_manuales!$H$41="Todos",datos_base!$E$11+datos_base!$E$25,0))*parametros_manuales!$C$105+parametros_manuales!$G$41*(datos_base!$E$5+datos_base!$E$21+IF(parametros_manuales!$H$41="Todos",datos_base!$E$12+datos_base!$E$26,0))*parametros_manuales!$C$110)*parametros_manuales!$I$41*parametros_manuales!$J$41</f>
        <v>1466.795317898</v>
      </c>
      <c r="D105" s="9" t="n">
        <f aca="false">(parametros_manuales!$D$41*(datos_base!$E$2+datos_base!$E$18+IF(parametros_manuales!$H$41="Todos",datos_base!$E$9+datos_base!$E$23,0))*parametros_manuales!$D$95+parametros_manuales!$E$41*(datos_base!$E$3+datos_base!$E$19+IF(parametros_manuales!$H$41="Todos",datos_base!$E$10+datos_base!$E$24,0))*parametros_manuales!$D$100+parametros_manuales!$F$41*(datos_base!$E$4+datos_base!$E$20+IF(parametros_manuales!$H$41="Todos",datos_base!$E$11+datos_base!$E$25,0))*parametros_manuales!$D$105+parametros_manuales!$G$41*(datos_base!$E$5+datos_base!$E$21+IF(parametros_manuales!$H$41="Todos",datos_base!$E$12+datos_base!$E$26,0))*parametros_manuales!$D$110)*parametros_manuales!$I$41*parametros_manuales!$J$41</f>
        <v>1426.1710323135</v>
      </c>
      <c r="E105" s="9" t="n">
        <f aca="false">(parametros_manuales!$D$41*(datos_base!$E$2+datos_base!$E$18+IF(parametros_manuales!$H$41="Todos",datos_base!$E$9+datos_base!$E$23,0))*parametros_manuales!$E$95+parametros_manuales!$E$41*(datos_base!$E$3+datos_base!$E$19+IF(parametros_manuales!$H$41="Todos",datos_base!$E$10+datos_base!$E$24,0))*parametros_manuales!$E$100+parametros_manuales!$F$41*(datos_base!$E$4+datos_base!$E$20+IF(parametros_manuales!$H$41="Todos",datos_base!$E$11+datos_base!$E$25,0))*parametros_manuales!$E$105+parametros_manuales!$G$41*(datos_base!$E$5+datos_base!$E$21+IF(parametros_manuales!$H$41="Todos",datos_base!$E$12+datos_base!$E$26,0))*parametros_manuales!$E$110)*parametros_manuales!$I$41*parametros_manuales!$J$41</f>
        <v>1383.8353545685</v>
      </c>
      <c r="F105" s="9" t="n">
        <f aca="false">(parametros_manuales!$D$41*(datos_base!$E$2+datos_base!$E$18+IF(parametros_manuales!$H$41="Todos",datos_base!$E$9+datos_base!$E$23,0))*parametros_manuales!$F$95+parametros_manuales!$E$41*(datos_base!$E$3+datos_base!$E$19+IF(parametros_manuales!$H$41="Todos",datos_base!$E$10+datos_base!$E$24,0))*parametros_manuales!$F$100+parametros_manuales!$F$41*(datos_base!$E$4+datos_base!$E$20+IF(parametros_manuales!$H$41="Todos",datos_base!$E$11+datos_base!$E$25,0))*parametros_manuales!$F$105+parametros_manuales!$G$41*(datos_base!$E$5+datos_base!$E$21+IF(parametros_manuales!$H$41="Todos",datos_base!$E$12+datos_base!$E$26,0))*parametros_manuales!$F$110)*parametros_manuales!$I$41*parametros_manuales!$J$41</f>
        <v>1297.452606918</v>
      </c>
      <c r="G105" s="9" t="n">
        <f aca="false">(parametros_manuales!$D$41*(datos_base!$E$2+datos_base!$E$18+IF(parametros_manuales!$H$41="Todos",datos_base!$E$9+datos_base!$E$23,0))*parametros_manuales!$G$95+parametros_manuales!$E$41*(datos_base!$E$3+datos_base!$E$19+IF(parametros_manuales!$H$41="Todos",datos_base!$E$10+datos_base!$E$24,0))*parametros_manuales!$G$100+parametros_manuales!$F$41*(datos_base!$E$4+datos_base!$E$20+IF(parametros_manuales!$H$41="Todos",datos_base!$E$11+datos_base!$E$25,0))*parametros_manuales!$G$105+parametros_manuales!$G$41*(datos_base!$E$5+datos_base!$E$21+IF(parametros_manuales!$H$41="Todos",datos_base!$E$12+datos_base!$E$26,0))*parametros_manuales!$G$110)*parametros_manuales!$I$41*parametros_manuales!$J$41</f>
        <v>1253.4055370125</v>
      </c>
      <c r="H105" s="9" t="n">
        <f aca="false">(parametros_manuales!$D$41*(datos_base!$E$2+datos_base!$E$18+IF(parametros_manuales!$H$41="Todos",datos_base!$E$9+datos_base!$E$23,0))*parametros_manuales!$H$95+parametros_manuales!$E$41*(datos_base!$E$3+datos_base!$E$19+IF(parametros_manuales!$H$41="Todos",datos_base!$E$10+datos_base!$E$24,0))*parametros_manuales!$H$100+parametros_manuales!$F$41*(datos_base!$E$4+datos_base!$E$20+IF(parametros_manuales!$H$41="Todos",datos_base!$E$11+datos_base!$E$25,0))*parametros_manuales!$H$105+parametros_manuales!$G$41*(datos_base!$E$5+datos_base!$E$21+IF(parametros_manuales!$H$41="Todos",datos_base!$E$12+datos_base!$E$26,0))*parametros_manuales!$H$110)*parametros_manuales!$I$41*parametros_manuales!$J$41</f>
        <v>1339.788284663</v>
      </c>
      <c r="I105" s="9" t="n">
        <f aca="false">(parametros_manuales!$D$41*(datos_base!$E$2+datos_base!$E$18+IF(parametros_manuales!$H$41="Todos",datos_base!$E$9+datos_base!$E$23,0))*parametros_manuales!$I$95+parametros_manuales!$E$41*(datos_base!$E$3+datos_base!$E$19+IF(parametros_manuales!$H$41="Todos",datos_base!$E$10+datos_base!$E$24,0))*parametros_manuales!$I$100+parametros_manuales!$F$41*(datos_base!$E$4+datos_base!$E$20+IF(parametros_manuales!$H$41="Todos",datos_base!$E$11+datos_base!$E$25,0))*parametros_manuales!$I$105+parametros_manuales!$G$41*(datos_base!$E$5+datos_base!$E$21+IF(parametros_manuales!$H$41="Todos",datos_base!$E$12+datos_base!$E$26,0))*parametros_manuales!$I$110)*parametros_manuales!$I$41*parametros_manuales!$J$41</f>
        <v>1466.795317898</v>
      </c>
      <c r="J105" s="9" t="n">
        <f aca="false">(parametros_manuales!$D$41*(datos_base!$E$2+datos_base!$E$18+IF(parametros_manuales!$H$41="Todos",datos_base!$E$9+datos_base!$E$23,0))*parametros_manuales!$J$95+parametros_manuales!$E$41*(datos_base!$E$3+datos_base!$E$19+IF(parametros_manuales!$H$41="Todos",datos_base!$E$10+datos_base!$E$24,0))*parametros_manuales!$J$100+parametros_manuales!$F$41*(datos_base!$E$4+datos_base!$E$20+IF(parametros_manuales!$H$41="Todos",datos_base!$E$11+datos_base!$E$25,0))*parametros_manuales!$J$105+parametros_manuales!$G$41*(datos_base!$E$5+datos_base!$E$21+IF(parametros_manuales!$H$41="Todos",datos_base!$E$12+datos_base!$E$26,0))*parametros_manuales!$J$110)*parametros_manuales!$I$41*parametros_manuales!$J$41</f>
        <v>1466.795317898</v>
      </c>
      <c r="K105" s="9" t="n">
        <f aca="false">(parametros_manuales!$D$41*(datos_base!$E$2+datos_base!$E$18+IF(parametros_manuales!$H$41="Todos",datos_base!$E$9+datos_base!$E$23,0))*parametros_manuales!$K$95+parametros_manuales!$E$41*(datos_base!$E$3+datos_base!$E$19+IF(parametros_manuales!$H$41="Todos",datos_base!$E$10+datos_base!$E$24,0))*parametros_manuales!$K$100+parametros_manuales!$F$41*(datos_base!$E$4+datos_base!$E$20+IF(parametros_manuales!$H$41="Todos",datos_base!$E$11+datos_base!$E$25,0))*parametros_manuales!$K$105+parametros_manuales!$G$41*(datos_base!$E$5+datos_base!$E$21+IF(parametros_manuales!$H$41="Todos",datos_base!$E$12+datos_base!$E$26,0))*parametros_manuales!$K$110)*parametros_manuales!$I$41*parametros_manuales!$J$41</f>
        <v>1510.8423878035</v>
      </c>
      <c r="L105" s="9" t="n">
        <f aca="false">(parametros_manuales!$D$41*(datos_base!$E$2+datos_base!$E$18+IF(parametros_manuales!$H$41="Todos",datos_base!$E$9+datos_base!$E$23,0))*parametros_manuales!$L$95+parametros_manuales!$E$41*(datos_base!$E$3+datos_base!$E$19+IF(parametros_manuales!$H$41="Todos",datos_base!$E$10+datos_base!$E$24,0))*parametros_manuales!$L$100+parametros_manuales!$F$41*(datos_base!$E$4+datos_base!$E$20+IF(parametros_manuales!$H$41="Todos",datos_base!$E$11+datos_base!$E$25,0))*parametros_manuales!$L$105+parametros_manuales!$G$41*(datos_base!$E$5+datos_base!$E$21+IF(parametros_manuales!$H$41="Todos",datos_base!$E$12+datos_base!$E$26,0))*parametros_manuales!$L$110)*parametros_manuales!$I$41*parametros_manuales!$J$41</f>
        <v>1554.889457709</v>
      </c>
      <c r="M105" s="9" t="n">
        <f aca="false">(parametros_manuales!$D$41*(datos_base!$E$2+datos_base!$E$18+IF(parametros_manuales!$H$41="Todos",datos_base!$E$9+datos_base!$E$23,0))*parametros_manuales!$M$95+parametros_manuales!$E$41*(datos_base!$E$3+datos_base!$E$19+IF(parametros_manuales!$H$41="Todos",datos_base!$E$10+datos_base!$E$24,0))*parametros_manuales!$M$100+parametros_manuales!$F$41*(datos_base!$E$4+datos_base!$E$20+IF(parametros_manuales!$H$41="Todos",datos_base!$E$11+datos_base!$E$25,0))*parametros_manuales!$M$105+parametros_manuales!$G$41*(datos_base!$E$5+datos_base!$E$21+IF(parametros_manuales!$H$41="Todos",datos_base!$E$12+datos_base!$E$26,0))*parametros_manuales!$M$110)*parametros_manuales!$I$41*parametros_manuales!$J$41</f>
        <v>1554.889457709</v>
      </c>
      <c r="N105" s="9" t="n">
        <f aca="false">SUM(B105:M105)</f>
        <v>17276.5495301</v>
      </c>
      <c r="O105" s="9" t="n">
        <f aca="false">MAX(B105:M105)</f>
        <v>1554.889457709</v>
      </c>
      <c r="P105" s="43" t="n">
        <f aca="false">O105/(parametros_manuales!$B$7)</f>
        <v>10.36592971806</v>
      </c>
      <c r="Q105" s="8" t="str">
        <f aca="false">IF(O105=0,"-",INDEX($B$82:$M$82,MATCH(O105,B105:M105,0)))</f>
        <v>Ene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datos_base!$E$2+datos_base!$E$18+IF(parametros_manuales!$H$42="Todos",datos_base!$E$9+datos_base!$E$23,0))*parametros_manuales!$B$95+parametros_manuales!$E$42*(datos_base!$E$3+datos_base!$E$19+IF(parametros_manuales!$H$42="Todos",datos_base!$E$10+datos_base!$E$24,0))*parametros_manuales!$B$100+parametros_manuales!$F$42*(datos_base!$E$4+datos_base!$E$20+IF(parametros_manuales!$H$42="Todos",datos_base!$E$11+datos_base!$E$25,0))*parametros_manuales!$B$105+parametros_manuales!$G$42*(datos_base!$E$5+datos_base!$E$21+IF(parametros_manuales!$H$42="Todos",datos_base!$E$12+datos_base!$E$26,0))*parametros_manuales!$B$110)*parametros_manuales!$I$42*parametros_manuales!$J$42</f>
        <v>1554.889457709</v>
      </c>
      <c r="C106" s="9" t="n">
        <f aca="false">(parametros_manuales!$D$42*(datos_base!$E$2+datos_base!$E$18+IF(parametros_manuales!$H$42="Todos",datos_base!$E$9+datos_base!$E$23,0))*parametros_manuales!$C$95+parametros_manuales!$E$42*(datos_base!$E$3+datos_base!$E$19+IF(parametros_manuales!$H$42="Todos",datos_base!$E$10+datos_base!$E$24,0))*parametros_manuales!$C$100+parametros_manuales!$F$42*(datos_base!$E$4+datos_base!$E$20+IF(parametros_manuales!$H$42="Todos",datos_base!$E$11+datos_base!$E$25,0))*parametros_manuales!$C$105+parametros_manuales!$G$42*(datos_base!$E$5+datos_base!$E$21+IF(parametros_manuales!$H$42="Todos",datos_base!$E$12+datos_base!$E$26,0))*parametros_manuales!$C$110)*parametros_manuales!$I$42*parametros_manuales!$J$42</f>
        <v>1466.795317898</v>
      </c>
      <c r="D106" s="9" t="n">
        <f aca="false">(parametros_manuales!$D$42*(datos_base!$E$2+datos_base!$E$18+IF(parametros_manuales!$H$42="Todos",datos_base!$E$9+datos_base!$E$23,0))*parametros_manuales!$D$95+parametros_manuales!$E$42*(datos_base!$E$3+datos_base!$E$19+IF(parametros_manuales!$H$42="Todos",datos_base!$E$10+datos_base!$E$24,0))*parametros_manuales!$D$100+parametros_manuales!$F$42*(datos_base!$E$4+datos_base!$E$20+IF(parametros_manuales!$H$42="Todos",datos_base!$E$11+datos_base!$E$25,0))*parametros_manuales!$D$105+parametros_manuales!$G$42*(datos_base!$E$5+datos_base!$E$21+IF(parametros_manuales!$H$42="Todos",datos_base!$E$12+datos_base!$E$26,0))*parametros_manuales!$D$110)*parametros_manuales!$I$42*parametros_manuales!$J$42</f>
        <v>1426.1710323135</v>
      </c>
      <c r="E106" s="9" t="n">
        <f aca="false">(parametros_manuales!$D$42*(datos_base!$E$2+datos_base!$E$18+IF(parametros_manuales!$H$42="Todos",datos_base!$E$9+datos_base!$E$23,0))*parametros_manuales!$E$95+parametros_manuales!$E$42*(datos_base!$E$3+datos_base!$E$19+IF(parametros_manuales!$H$42="Todos",datos_base!$E$10+datos_base!$E$24,0))*parametros_manuales!$E$100+parametros_manuales!$F$42*(datos_base!$E$4+datos_base!$E$20+IF(parametros_manuales!$H$42="Todos",datos_base!$E$11+datos_base!$E$25,0))*parametros_manuales!$E$105+parametros_manuales!$G$42*(datos_base!$E$5+datos_base!$E$21+IF(parametros_manuales!$H$42="Todos",datos_base!$E$12+datos_base!$E$26,0))*parametros_manuales!$E$110)*parametros_manuales!$I$42*parametros_manuales!$J$42</f>
        <v>1383.8353545685</v>
      </c>
      <c r="F106" s="9" t="n">
        <f aca="false">(parametros_manuales!$D$42*(datos_base!$E$2+datos_base!$E$18+IF(parametros_manuales!$H$42="Todos",datos_base!$E$9+datos_base!$E$23,0))*parametros_manuales!$F$95+parametros_manuales!$E$42*(datos_base!$E$3+datos_base!$E$19+IF(parametros_manuales!$H$42="Todos",datos_base!$E$10+datos_base!$E$24,0))*parametros_manuales!$F$100+parametros_manuales!$F$42*(datos_base!$E$4+datos_base!$E$20+IF(parametros_manuales!$H$42="Todos",datos_base!$E$11+datos_base!$E$25,0))*parametros_manuales!$F$105+parametros_manuales!$G$42*(datos_base!$E$5+datos_base!$E$21+IF(parametros_manuales!$H$42="Todos",datos_base!$E$12+datos_base!$E$26,0))*parametros_manuales!$F$110)*parametros_manuales!$I$42*parametros_manuales!$J$42</f>
        <v>1297.452606918</v>
      </c>
      <c r="G106" s="9" t="n">
        <f aca="false">(parametros_manuales!$D$42*(datos_base!$E$2+datos_base!$E$18+IF(parametros_manuales!$H$42="Todos",datos_base!$E$9+datos_base!$E$23,0))*parametros_manuales!$G$95+parametros_manuales!$E$42*(datos_base!$E$3+datos_base!$E$19+IF(parametros_manuales!$H$42="Todos",datos_base!$E$10+datos_base!$E$24,0))*parametros_manuales!$G$100+parametros_manuales!$F$42*(datos_base!$E$4+datos_base!$E$20+IF(parametros_manuales!$H$42="Todos",datos_base!$E$11+datos_base!$E$25,0))*parametros_manuales!$G$105+parametros_manuales!$G$42*(datos_base!$E$5+datos_base!$E$21+IF(parametros_manuales!$H$42="Todos",datos_base!$E$12+datos_base!$E$26,0))*parametros_manuales!$G$110)*parametros_manuales!$I$42*parametros_manuales!$J$42</f>
        <v>1253.4055370125</v>
      </c>
      <c r="H106" s="9" t="n">
        <f aca="false">(parametros_manuales!$D$42*(datos_base!$E$2+datos_base!$E$18+IF(parametros_manuales!$H$42="Todos",datos_base!$E$9+datos_base!$E$23,0))*parametros_manuales!$H$95+parametros_manuales!$E$42*(datos_base!$E$3+datos_base!$E$19+IF(parametros_manuales!$H$42="Todos",datos_base!$E$10+datos_base!$E$24,0))*parametros_manuales!$H$100+parametros_manuales!$F$42*(datos_base!$E$4+datos_base!$E$20+IF(parametros_manuales!$H$42="Todos",datos_base!$E$11+datos_base!$E$25,0))*parametros_manuales!$H$105+parametros_manuales!$G$42*(datos_base!$E$5+datos_base!$E$21+IF(parametros_manuales!$H$42="Todos",datos_base!$E$12+datos_base!$E$26,0))*parametros_manuales!$H$110)*parametros_manuales!$I$42*parametros_manuales!$J$42</f>
        <v>1339.788284663</v>
      </c>
      <c r="I106" s="9" t="n">
        <f aca="false">(parametros_manuales!$D$42*(datos_base!$E$2+datos_base!$E$18+IF(parametros_manuales!$H$42="Todos",datos_base!$E$9+datos_base!$E$23,0))*parametros_manuales!$I$95+parametros_manuales!$E$42*(datos_base!$E$3+datos_base!$E$19+IF(parametros_manuales!$H$42="Todos",datos_base!$E$10+datos_base!$E$24,0))*parametros_manuales!$I$100+parametros_manuales!$F$42*(datos_base!$E$4+datos_base!$E$20+IF(parametros_manuales!$H$42="Todos",datos_base!$E$11+datos_base!$E$25,0))*parametros_manuales!$I$105+parametros_manuales!$G$42*(datos_base!$E$5+datos_base!$E$21+IF(parametros_manuales!$H$42="Todos",datos_base!$E$12+datos_base!$E$26,0))*parametros_manuales!$I$110)*parametros_manuales!$I$42*parametros_manuales!$J$42</f>
        <v>1466.795317898</v>
      </c>
      <c r="J106" s="9" t="n">
        <f aca="false">(parametros_manuales!$D$42*(datos_base!$E$2+datos_base!$E$18+IF(parametros_manuales!$H$42="Todos",datos_base!$E$9+datos_base!$E$23,0))*parametros_manuales!$J$95+parametros_manuales!$E$42*(datos_base!$E$3+datos_base!$E$19+IF(parametros_manuales!$H$42="Todos",datos_base!$E$10+datos_base!$E$24,0))*parametros_manuales!$J$100+parametros_manuales!$F$42*(datos_base!$E$4+datos_base!$E$20+IF(parametros_manuales!$H$42="Todos",datos_base!$E$11+datos_base!$E$25,0))*parametros_manuales!$J$105+parametros_manuales!$G$42*(datos_base!$E$5+datos_base!$E$21+IF(parametros_manuales!$H$42="Todos",datos_base!$E$12+datos_base!$E$26,0))*parametros_manuales!$J$110)*parametros_manuales!$I$42*parametros_manuales!$J$42</f>
        <v>1466.795317898</v>
      </c>
      <c r="K106" s="9" t="n">
        <f aca="false">(parametros_manuales!$D$42*(datos_base!$E$2+datos_base!$E$18+IF(parametros_manuales!$H$42="Todos",datos_base!$E$9+datos_base!$E$23,0))*parametros_manuales!$K$95+parametros_manuales!$E$42*(datos_base!$E$3+datos_base!$E$19+IF(parametros_manuales!$H$42="Todos",datos_base!$E$10+datos_base!$E$24,0))*parametros_manuales!$K$100+parametros_manuales!$F$42*(datos_base!$E$4+datos_base!$E$20+IF(parametros_manuales!$H$42="Todos",datos_base!$E$11+datos_base!$E$25,0))*parametros_manuales!$K$105+parametros_manuales!$G$42*(datos_base!$E$5+datos_base!$E$21+IF(parametros_manuales!$H$42="Todos",datos_base!$E$12+datos_base!$E$26,0))*parametros_manuales!$K$110)*parametros_manuales!$I$42*parametros_manuales!$J$42</f>
        <v>1510.8423878035</v>
      </c>
      <c r="L106" s="9" t="n">
        <f aca="false">(parametros_manuales!$D$42*(datos_base!$E$2+datos_base!$E$18+IF(parametros_manuales!$H$42="Todos",datos_base!$E$9+datos_base!$E$23,0))*parametros_manuales!$L$95+parametros_manuales!$E$42*(datos_base!$E$3+datos_base!$E$19+IF(parametros_manuales!$H$42="Todos",datos_base!$E$10+datos_base!$E$24,0))*parametros_manuales!$L$100+parametros_manuales!$F$42*(datos_base!$E$4+datos_base!$E$20+IF(parametros_manuales!$H$42="Todos",datos_base!$E$11+datos_base!$E$25,0))*parametros_manuales!$L$105+parametros_manuales!$G$42*(datos_base!$E$5+datos_base!$E$21+IF(parametros_manuales!$H$42="Todos",datos_base!$E$12+datos_base!$E$26,0))*parametros_manuales!$L$110)*parametros_manuales!$I$42*parametros_manuales!$J$42</f>
        <v>1554.889457709</v>
      </c>
      <c r="M106" s="9" t="n">
        <f aca="false">(parametros_manuales!$D$42*(datos_base!$E$2+datos_base!$E$18+IF(parametros_manuales!$H$42="Todos",datos_base!$E$9+datos_base!$E$23,0))*parametros_manuales!$M$95+parametros_manuales!$E$42*(datos_base!$E$3+datos_base!$E$19+IF(parametros_manuales!$H$42="Todos",datos_base!$E$10+datos_base!$E$24,0))*parametros_manuales!$M$100+parametros_manuales!$F$42*(datos_base!$E$4+datos_base!$E$20+IF(parametros_manuales!$H$42="Todos",datos_base!$E$11+datos_base!$E$25,0))*parametros_manuales!$M$105+parametros_manuales!$G$42*(datos_base!$E$5+datos_base!$E$21+IF(parametros_manuales!$H$42="Todos",datos_base!$E$12+datos_base!$E$26,0))*parametros_manuales!$M$110)*parametros_manuales!$I$42*parametros_manuales!$J$42</f>
        <v>1554.889457709</v>
      </c>
      <c r="N106" s="9" t="n">
        <f aca="false">SUM(B106:M106)</f>
        <v>17276.5495301</v>
      </c>
      <c r="O106" s="9" t="n">
        <f aca="false">MAX(B106:M106)</f>
        <v>1554.889457709</v>
      </c>
      <c r="P106" s="43" t="n">
        <f aca="false">O106/(parametros_manuales!$B$7)</f>
        <v>10.36592971806</v>
      </c>
      <c r="Q106" s="8" t="str">
        <f aca="false">IF(O106=0,"-",INDEX($B$82:$M$82,MATCH(O106,B106:M106,0)))</f>
        <v>Ene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datos_base!$E$2+datos_base!$E$18+IF(parametros_manuales!$H$43="Todos",datos_base!$E$9+datos_base!$E$23,0))*parametros_manuales!$B$95+parametros_manuales!$E$43*(datos_base!$E$3+datos_base!$E$19+IF(parametros_manuales!$H$43="Todos",datos_base!$E$10+datos_base!$E$24,0))*parametros_manuales!$B$100+parametros_manuales!$F$43*(datos_base!$E$4+datos_base!$E$20+IF(parametros_manuales!$H$43="Todos",datos_base!$E$11+datos_base!$E$25,0))*parametros_manuales!$B$105+parametros_manuales!$G$43*(datos_base!$E$5+datos_base!$E$21+IF(parametros_manuales!$H$43="Todos",datos_base!$E$12+datos_base!$E$26,0))*parametros_manuales!$B$110)*parametros_manuales!$I$43*parametros_manuales!$J$43</f>
        <v>4564.500257709</v>
      </c>
      <c r="C107" s="9" t="n">
        <f aca="false">(parametros_manuales!$D$43*(datos_base!$E$2+datos_base!$E$18+IF(parametros_manuales!$H$43="Todos",datos_base!$E$9+datos_base!$E$23,0))*parametros_manuales!$C$95+parametros_manuales!$E$43*(datos_base!$E$3+datos_base!$E$19+IF(parametros_manuales!$H$43="Todos",datos_base!$E$10+datos_base!$E$24,0))*parametros_manuales!$C$100+parametros_manuales!$F$43*(datos_base!$E$4+datos_base!$E$20+IF(parametros_manuales!$H$43="Todos",datos_base!$E$11+datos_base!$E$25,0))*parametros_manuales!$C$105+parametros_manuales!$G$43*(datos_base!$E$5+datos_base!$E$21+IF(parametros_manuales!$H$43="Todos",datos_base!$E$12+datos_base!$E$26,0))*parametros_manuales!$C$110)*parametros_manuales!$I$43*parametros_manuales!$J$43</f>
        <v>4408.952917898</v>
      </c>
      <c r="D107" s="9" t="n">
        <f aca="false">(parametros_manuales!$D$43*(datos_base!$E$2+datos_base!$E$18+IF(parametros_manuales!$H$43="Todos",datos_base!$E$9+datos_base!$E$23,0))*parametros_manuales!$D$95+parametros_manuales!$E$43*(datos_base!$E$3+datos_base!$E$19+IF(parametros_manuales!$H$43="Todos",datos_base!$E$10+datos_base!$E$24,0))*parametros_manuales!$D$100+parametros_manuales!$F$43*(datos_base!$E$4+datos_base!$E$20+IF(parametros_manuales!$H$43="Todos",datos_base!$E$11+datos_base!$E$25,0))*parametros_manuales!$D$105+parametros_manuales!$G$43*(datos_base!$E$5+datos_base!$E$21+IF(parametros_manuales!$H$43="Todos",datos_base!$E$12+datos_base!$E$26,0))*parametros_manuales!$D$110)*parametros_manuales!$I$43*parametros_manuales!$J$43</f>
        <v>4135.1072323135</v>
      </c>
      <c r="E107" s="9" t="n">
        <f aca="false">(parametros_manuales!$D$43*(datos_base!$E$2+datos_base!$E$18+IF(parametros_manuales!$H$43="Todos",datos_base!$E$9+datos_base!$E$23,0))*parametros_manuales!$E$95+parametros_manuales!$E$43*(datos_base!$E$3+datos_base!$E$19+IF(parametros_manuales!$H$43="Todos",datos_base!$E$10+datos_base!$E$24,0))*parametros_manuales!$E$100+parametros_manuales!$F$43*(datos_base!$E$4+datos_base!$E$20+IF(parametros_manuales!$H$43="Todos",datos_base!$E$11+datos_base!$E$25,0))*parametros_manuales!$E$105+parametros_manuales!$G$43*(datos_base!$E$5+datos_base!$E$21+IF(parametros_manuales!$H$43="Todos",datos_base!$E$12+datos_base!$E$26,0))*parametros_manuales!$E$110)*parametros_manuales!$I$43*parametros_manuales!$J$43</f>
        <v>3959.2975545685</v>
      </c>
      <c r="F107" s="9" t="n">
        <f aca="false">(parametros_manuales!$D$43*(datos_base!$E$2+datos_base!$E$18+IF(parametros_manuales!$H$43="Todos",datos_base!$E$9+datos_base!$E$23,0))*parametros_manuales!$F$95+parametros_manuales!$E$43*(datos_base!$E$3+datos_base!$E$19+IF(parametros_manuales!$H$43="Todos",datos_base!$E$10+datos_base!$E$24,0))*parametros_manuales!$F$100+parametros_manuales!$F$43*(datos_base!$E$4+datos_base!$E$20+IF(parametros_manuales!$H$43="Todos",datos_base!$E$11+datos_base!$E$25,0))*parametros_manuales!$F$105+parametros_manuales!$G$43*(datos_base!$E$5+datos_base!$E$21+IF(parametros_manuales!$H$43="Todos",datos_base!$E$12+datos_base!$E$26,0))*parametros_manuales!$F$110)*parametros_manuales!$I$43*parametros_manuales!$J$43</f>
        <v>3705.714206918</v>
      </c>
      <c r="G107" s="9" t="n">
        <f aca="false">(parametros_manuales!$D$43*(datos_base!$E$2+datos_base!$E$18+IF(parametros_manuales!$H$43="Todos",datos_base!$E$9+datos_base!$E$23,0))*parametros_manuales!$G$95+parametros_manuales!$E$43*(datos_base!$E$3+datos_base!$E$19+IF(parametros_manuales!$H$43="Todos",datos_base!$E$10+datos_base!$E$24,0))*parametros_manuales!$G$100+parametros_manuales!$F$43*(datos_base!$E$4+datos_base!$E$20+IF(parametros_manuales!$H$43="Todos",datos_base!$E$11+datos_base!$E$25,0))*parametros_manuales!$G$105+parametros_manuales!$G$43*(datos_base!$E$5+datos_base!$E$21+IF(parametros_manuales!$H$43="Todos",datos_base!$E$12+datos_base!$E$26,0))*parametros_manuales!$G$110)*parametros_manuales!$I$43*parametros_manuales!$J$43</f>
        <v>3627.9405370125</v>
      </c>
      <c r="H107" s="9" t="n">
        <f aca="false">(parametros_manuales!$D$43*(datos_base!$E$2+datos_base!$E$18+IF(parametros_manuales!$H$43="Todos",datos_base!$E$9+datos_base!$E$23,0))*parametros_manuales!$H$95+parametros_manuales!$E$43*(datos_base!$E$3+datos_base!$E$19+IF(parametros_manuales!$H$43="Todos",datos_base!$E$10+datos_base!$E$24,0))*parametros_manuales!$H$100+parametros_manuales!$F$43*(datos_base!$E$4+datos_base!$E$20+IF(parametros_manuales!$H$43="Todos",datos_base!$E$11+datos_base!$E$25,0))*parametros_manuales!$H$105+parametros_manuales!$G$43*(datos_base!$E$5+datos_base!$E$21+IF(parametros_manuales!$H$43="Todos",datos_base!$E$12+datos_base!$E$26,0))*parametros_manuales!$H$110)*parametros_manuales!$I$43*parametros_manuales!$J$43</f>
        <v>3881.523884663</v>
      </c>
      <c r="I107" s="9" t="n">
        <f aca="false">(parametros_manuales!$D$43*(datos_base!$E$2+datos_base!$E$18+IF(parametros_manuales!$H$43="Todos",datos_base!$E$9+datos_base!$E$23,0))*parametros_manuales!$I$95+parametros_manuales!$E$43*(datos_base!$E$3+datos_base!$E$19+IF(parametros_manuales!$H$43="Todos",datos_base!$E$10+datos_base!$E$24,0))*parametros_manuales!$I$100+parametros_manuales!$F$43*(datos_base!$E$4+datos_base!$E$20+IF(parametros_manuales!$H$43="Todos",datos_base!$E$11+datos_base!$E$25,0))*parametros_manuales!$I$105+parametros_manuales!$G$43*(datos_base!$E$5+datos_base!$E$21+IF(parametros_manuales!$H$43="Todos",datos_base!$E$12+datos_base!$E$26,0))*parametros_manuales!$I$110)*parametros_manuales!$I$43*parametros_manuales!$J$43</f>
        <v>4408.952917898</v>
      </c>
      <c r="J107" s="9" t="n">
        <f aca="false">(parametros_manuales!$D$43*(datos_base!$E$2+datos_base!$E$18+IF(parametros_manuales!$H$43="Todos",datos_base!$E$9+datos_base!$E$23,0))*parametros_manuales!$J$95+parametros_manuales!$E$43*(datos_base!$E$3+datos_base!$E$19+IF(parametros_manuales!$H$43="Todos",datos_base!$E$10+datos_base!$E$24,0))*parametros_manuales!$J$100+parametros_manuales!$F$43*(datos_base!$E$4+datos_base!$E$20+IF(parametros_manuales!$H$43="Todos",datos_base!$E$11+datos_base!$E$25,0))*parametros_manuales!$J$105+parametros_manuales!$G$43*(datos_base!$E$5+datos_base!$E$21+IF(parametros_manuales!$H$43="Todos",datos_base!$E$12+datos_base!$E$26,0))*parametros_manuales!$J$110)*parametros_manuales!$I$43*parametros_manuales!$J$43</f>
        <v>4408.952917898</v>
      </c>
      <c r="K107" s="9" t="n">
        <f aca="false">(parametros_manuales!$D$43*(datos_base!$E$2+datos_base!$E$18+IF(parametros_manuales!$H$43="Todos",datos_base!$E$9+datos_base!$E$23,0))*parametros_manuales!$K$95+parametros_manuales!$E$43*(datos_base!$E$3+datos_base!$E$19+IF(parametros_manuales!$H$43="Todos",datos_base!$E$10+datos_base!$E$24,0))*parametros_manuales!$K$100+parametros_manuales!$F$43*(datos_base!$E$4+datos_base!$E$20+IF(parametros_manuales!$H$43="Todos",datos_base!$E$11+datos_base!$E$25,0))*parametros_manuales!$K$105+parametros_manuales!$G$43*(datos_base!$E$5+datos_base!$E$21+IF(parametros_manuales!$H$43="Todos",datos_base!$E$12+datos_base!$E$26,0))*parametros_manuales!$K$110)*parametros_manuales!$I$43*parametros_manuales!$J$43</f>
        <v>4486.7265878035</v>
      </c>
      <c r="L107" s="9" t="n">
        <f aca="false">(parametros_manuales!$D$43*(datos_base!$E$2+datos_base!$E$18+IF(parametros_manuales!$H$43="Todos",datos_base!$E$9+datos_base!$E$23,0))*parametros_manuales!$L$95+parametros_manuales!$E$43*(datos_base!$E$3+datos_base!$E$19+IF(parametros_manuales!$H$43="Todos",datos_base!$E$10+datos_base!$E$24,0))*parametros_manuales!$L$100+parametros_manuales!$F$43*(datos_base!$E$4+datos_base!$E$20+IF(parametros_manuales!$H$43="Todos",datos_base!$E$11+datos_base!$E$25,0))*parametros_manuales!$L$105+parametros_manuales!$G$43*(datos_base!$E$5+datos_base!$E$21+IF(parametros_manuales!$H$43="Todos",datos_base!$E$12+datos_base!$E$26,0))*parametros_manuales!$L$110)*parametros_manuales!$I$43*parametros_manuales!$J$43</f>
        <v>4564.500257709</v>
      </c>
      <c r="M107" s="9" t="n">
        <f aca="false">(parametros_manuales!$D$43*(datos_base!$E$2+datos_base!$E$18+IF(parametros_manuales!$H$43="Todos",datos_base!$E$9+datos_base!$E$23,0))*parametros_manuales!$M$95+parametros_manuales!$E$43*(datos_base!$E$3+datos_base!$E$19+IF(parametros_manuales!$H$43="Todos",datos_base!$E$10+datos_base!$E$24,0))*parametros_manuales!$M$100+parametros_manuales!$F$43*(datos_base!$E$4+datos_base!$E$20+IF(parametros_manuales!$H$43="Todos",datos_base!$E$11+datos_base!$E$25,0))*parametros_manuales!$M$105+parametros_manuales!$G$43*(datos_base!$E$5+datos_base!$E$21+IF(parametros_manuales!$H$43="Todos",datos_base!$E$12+datos_base!$E$26,0))*parametros_manuales!$M$110)*parametros_manuales!$I$43*parametros_manuales!$J$43</f>
        <v>4564.500257709</v>
      </c>
      <c r="N107" s="9" t="n">
        <f aca="false">SUM(B107:M107)</f>
        <v>50716.6695301</v>
      </c>
      <c r="O107" s="9" t="n">
        <f aca="false">MAX(B107:M107)</f>
        <v>4564.500257709</v>
      </c>
      <c r="P107" s="43" t="n">
        <f aca="false">O107/(parametros_manuales!$B$7)</f>
        <v>30.43000171806</v>
      </c>
      <c r="Q107" s="8" t="str">
        <f aca="false">IF(O107=0,"-",INDEX($B$82:$M$82,MATCH(O107,B107:M107,0)))</f>
        <v>Ene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194</v>
      </c>
      <c r="B109" s="7" t="s">
        <v>61</v>
      </c>
      <c r="C109" s="7" t="s">
        <v>62</v>
      </c>
      <c r="D109" s="7" t="s">
        <v>63</v>
      </c>
      <c r="E109" s="7" t="s">
        <v>64</v>
      </c>
      <c r="F109" s="7" t="s">
        <v>65</v>
      </c>
      <c r="G109" s="7" t="s">
        <v>66</v>
      </c>
      <c r="H109" s="7" t="s">
        <v>67</v>
      </c>
      <c r="I109" s="7" t="s">
        <v>68</v>
      </c>
      <c r="J109" s="7" t="s">
        <v>69</v>
      </c>
      <c r="K109" s="7" t="s">
        <v>70</v>
      </c>
      <c r="L109" s="7" t="s">
        <v>71</v>
      </c>
      <c r="M109" s="7" t="s">
        <v>72</v>
      </c>
      <c r="N109" s="7" t="s">
        <v>183</v>
      </c>
      <c r="O109" s="7" t="s">
        <v>188</v>
      </c>
      <c r="P109" s="7" t="s">
        <v>189</v>
      </c>
      <c r="Q109" s="7" t="s">
        <v>190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datos_base!$F$2+datos_base!$F$18+IF(parametros_manuales!$H$19="Todos",datos_base!$F$9+datos_base!$F$23,0))*parametros_manuales!$B$95+parametros_manuales!$E$19*(datos_base!$F$3+datos_base!$F$19+IF(parametros_manuales!$H$19="Todos",datos_base!$F$10+datos_base!$F$24,0))*parametros_manuales!$B$100+parametros_manuales!$F$19*(datos_base!$F$4+datos_base!$F$20+IF(parametros_manuales!$H$19="Todos",datos_base!$F$11+datos_base!$F$25,0))*parametros_manuales!$B$105+parametros_manuales!$G$19*(datos_base!$F$5+datos_base!$F$21+IF(parametros_manuales!$H$19="Todos",datos_base!$F$12+datos_base!$F$26,0))*parametros_manuales!$B$110)*parametros_manuales!$I$19*parametros_manuales!$J$19</f>
        <v>7944.750497511</v>
      </c>
      <c r="C110" s="9" t="n">
        <f aca="false">(parametros_manuales!$D$19*(datos_base!$F$2+datos_base!$F$18+IF(parametros_manuales!$H$19="Todos",datos_base!$F$9+datos_base!$F$23,0))*parametros_manuales!$C$95+parametros_manuales!$E$19*(datos_base!$F$3+datos_base!$F$19+IF(parametros_manuales!$H$19="Todos",datos_base!$F$10+datos_base!$F$24,0))*parametros_manuales!$C$100+parametros_manuales!$F$19*(datos_base!$F$4+datos_base!$F$20+IF(parametros_manuales!$H$19="Todos",datos_base!$F$11+datos_base!$F$25,0))*parametros_manuales!$C$105+parametros_manuales!$G$19*(datos_base!$F$5+datos_base!$F$21+IF(parametros_manuales!$H$19="Todos",datos_base!$F$12+datos_base!$F$26,0))*parametros_manuales!$C$110)*parametros_manuales!$I$19*parametros_manuales!$J$19</f>
        <v>7683.154769332</v>
      </c>
      <c r="D110" s="9" t="n">
        <f aca="false">(parametros_manuales!$D$19*(datos_base!$F$2+datos_base!$F$18+IF(parametros_manuales!$H$19="Todos",datos_base!$F$9+datos_base!$F$23,0))*parametros_manuales!$D$95+parametros_manuales!$E$19*(datos_base!$F$3+datos_base!$F$19+IF(parametros_manuales!$H$19="Todos",datos_base!$F$10+datos_base!$F$24,0))*parametros_manuales!$D$100+parametros_manuales!$F$19*(datos_base!$F$4+datos_base!$F$20+IF(parametros_manuales!$H$19="Todos",datos_base!$F$11+datos_base!$F$25,0))*parametros_manuales!$D$105+parametros_manuales!$G$19*(datos_base!$F$5+datos_base!$F$21+IF(parametros_manuales!$H$19="Todos",datos_base!$F$12+datos_base!$F$26,0))*parametros_manuales!$D$110)*parametros_manuales!$I$19*parametros_manuales!$J$19</f>
        <v>7192.7983063215</v>
      </c>
      <c r="E110" s="9" t="n">
        <f aca="false">(parametros_manuales!$D$19*(datos_base!$F$2+datos_base!$F$18+IF(parametros_manuales!$H$19="Todos",datos_base!$F$9+datos_base!$F$23,0))*parametros_manuales!$E$95+parametros_manuales!$E$19*(datos_base!$F$3+datos_base!$F$19+IF(parametros_manuales!$H$19="Todos",datos_base!$F$10+datos_base!$F$24,0))*parametros_manuales!$E$100+parametros_manuales!$F$19*(datos_base!$F$4+datos_base!$F$20+IF(parametros_manuales!$H$19="Todos",datos_base!$F$11+datos_base!$F$25,0))*parametros_manuales!$E$105+parametros_manuales!$G$19*(datos_base!$F$5+datos_base!$F$21+IF(parametros_manuales!$H$19="Todos",datos_base!$F$12+datos_base!$F$26,0))*parametros_manuales!$E$110)*parametros_manuales!$I$19*parametros_manuales!$J$19</f>
        <v>6882.2211427715</v>
      </c>
      <c r="F110" s="9" t="n">
        <f aca="false">(parametros_manuales!$D$19*(datos_base!$F$2+datos_base!$F$18+IF(parametros_manuales!$H$19="Todos",datos_base!$F$9+datos_base!$F$23,0))*parametros_manuales!$F$95+parametros_manuales!$E$19*(datos_base!$F$3+datos_base!$F$19+IF(parametros_manuales!$H$19="Todos",datos_base!$F$10+datos_base!$F$24,0))*parametros_manuales!$F$100+parametros_manuales!$F$19*(datos_base!$F$4+datos_base!$F$20+IF(parametros_manuales!$H$19="Todos",datos_base!$F$11+datos_base!$F$25,0))*parametros_manuales!$F$105+parametros_manuales!$G$19*(datos_base!$F$5+datos_base!$F$21+IF(parametros_manuales!$H$19="Todos",datos_base!$F$12+datos_base!$F$26,0))*parametros_manuales!$F$110)*parametros_manuales!$I$19*parametros_manuales!$J$19</f>
        <v>6440.846115132</v>
      </c>
      <c r="G110" s="9" t="n">
        <f aca="false">(parametros_manuales!$D$19*(datos_base!$F$2+datos_base!$F$18+IF(parametros_manuales!$H$19="Todos",datos_base!$F$9+datos_base!$F$23,0))*parametros_manuales!$G$95+parametros_manuales!$E$19*(datos_base!$F$3+datos_base!$F$19+IF(parametros_manuales!$H$19="Todos",datos_base!$F$10+datos_base!$F$24,0))*parametros_manuales!$G$100+parametros_manuales!$F$19*(datos_base!$F$4+datos_base!$F$20+IF(parametros_manuales!$H$19="Todos",datos_base!$F$11+datos_base!$F$25,0))*parametros_manuales!$G$105+parametros_manuales!$G$19*(datos_base!$F$5+datos_base!$F$21+IF(parametros_manuales!$H$19="Todos",datos_base!$F$12+datos_base!$F$26,0))*parametros_manuales!$G$110)*parametros_manuales!$I$19*parametros_manuales!$J$19</f>
        <v>6310.0482510425</v>
      </c>
      <c r="H110" s="9" t="n">
        <f aca="false">(parametros_manuales!$D$19*(datos_base!$F$2+datos_base!$F$18+IF(parametros_manuales!$H$19="Todos",datos_base!$F$9+datos_base!$F$23,0))*parametros_manuales!$H$95+parametros_manuales!$E$19*(datos_base!$F$3+datos_base!$F$19+IF(parametros_manuales!$H$19="Todos",datos_base!$F$10+datos_base!$F$24,0))*parametros_manuales!$H$100+parametros_manuales!$F$19*(datos_base!$F$4+datos_base!$F$20+IF(parametros_manuales!$H$19="Todos",datos_base!$F$11+datos_base!$F$25,0))*parametros_manuales!$H$105+parametros_manuales!$G$19*(datos_base!$F$5+datos_base!$F$21+IF(parametros_manuales!$H$19="Todos",datos_base!$F$12+datos_base!$F$26,0))*parametros_manuales!$H$110)*parametros_manuales!$I$19*parametros_manuales!$J$19</f>
        <v>6751.423278682</v>
      </c>
      <c r="I110" s="9" t="n">
        <f aca="false">(parametros_manuales!$D$19*(datos_base!$F$2+datos_base!$F$18+IF(parametros_manuales!$H$19="Todos",datos_base!$F$9+datos_base!$F$23,0))*parametros_manuales!$I$95+parametros_manuales!$E$19*(datos_base!$F$3+datos_base!$F$19+IF(parametros_manuales!$H$19="Todos",datos_base!$F$10+datos_base!$F$24,0))*parametros_manuales!$I$100+parametros_manuales!$F$19*(datos_base!$F$4+datos_base!$F$20+IF(parametros_manuales!$H$19="Todos",datos_base!$F$11+datos_base!$F$25,0))*parametros_manuales!$I$105+parametros_manuales!$G$19*(datos_base!$F$5+datos_base!$F$21+IF(parametros_manuales!$H$19="Todos",datos_base!$F$12+datos_base!$F$26,0))*parametros_manuales!$I$110)*parametros_manuales!$I$19*parametros_manuales!$J$19</f>
        <v>7683.154769332</v>
      </c>
      <c r="J110" s="9" t="n">
        <f aca="false">(parametros_manuales!$D$19*(datos_base!$F$2+datos_base!$F$18+IF(parametros_manuales!$H$19="Todos",datos_base!$F$9+datos_base!$F$23,0))*parametros_manuales!$J$95+parametros_manuales!$E$19*(datos_base!$F$3+datos_base!$F$19+IF(parametros_manuales!$H$19="Todos",datos_base!$F$10+datos_base!$F$24,0))*parametros_manuales!$J$100+parametros_manuales!$F$19*(datos_base!$F$4+datos_base!$F$20+IF(parametros_manuales!$H$19="Todos",datos_base!$F$11+datos_base!$F$25,0))*parametros_manuales!$J$105+parametros_manuales!$G$19*(datos_base!$F$5+datos_base!$F$21+IF(parametros_manuales!$H$19="Todos",datos_base!$F$12+datos_base!$F$26,0))*parametros_manuales!$J$110)*parametros_manuales!$I$19*parametros_manuales!$J$19</f>
        <v>7683.154769332</v>
      </c>
      <c r="K110" s="9" t="n">
        <f aca="false">(parametros_manuales!$D$19*(datos_base!$F$2+datos_base!$F$18+IF(parametros_manuales!$H$19="Todos",datos_base!$F$9+datos_base!$F$23,0))*parametros_manuales!$K$95+parametros_manuales!$E$19*(datos_base!$F$3+datos_base!$F$19+IF(parametros_manuales!$H$19="Todos",datos_base!$F$10+datos_base!$F$24,0))*parametros_manuales!$K$100+parametros_manuales!$F$19*(datos_base!$F$4+datos_base!$F$20+IF(parametros_manuales!$H$19="Todos",datos_base!$F$11+datos_base!$F$25,0))*parametros_manuales!$K$105+parametros_manuales!$G$19*(datos_base!$F$5+datos_base!$F$21+IF(parametros_manuales!$H$19="Todos",datos_base!$F$12+datos_base!$F$26,0))*parametros_manuales!$K$110)*parametros_manuales!$I$19*parametros_manuales!$J$19</f>
        <v>7813.9526334215</v>
      </c>
      <c r="L110" s="9" t="n">
        <f aca="false">(parametros_manuales!$D$19*(datos_base!$F$2+datos_base!$F$18+IF(parametros_manuales!$H$19="Todos",datos_base!$F$9+datos_base!$F$23,0))*parametros_manuales!$L$95+parametros_manuales!$E$19*(datos_base!$F$3+datos_base!$F$19+IF(parametros_manuales!$H$19="Todos",datos_base!$F$10+datos_base!$F$24,0))*parametros_manuales!$L$100+parametros_manuales!$F$19*(datos_base!$F$4+datos_base!$F$20+IF(parametros_manuales!$H$19="Todos",datos_base!$F$11+datos_base!$F$25,0))*parametros_manuales!$L$105+parametros_manuales!$G$19*(datos_base!$F$5+datos_base!$F$21+IF(parametros_manuales!$H$19="Todos",datos_base!$F$12+datos_base!$F$26,0))*parametros_manuales!$L$110)*parametros_manuales!$I$19*parametros_manuales!$J$19</f>
        <v>7944.750497511</v>
      </c>
      <c r="M110" s="9" t="n">
        <f aca="false">(parametros_manuales!$D$19*(datos_base!$F$2+datos_base!$F$18+IF(parametros_manuales!$H$19="Todos",datos_base!$F$9+datos_base!$F$23,0))*parametros_manuales!$M$95+parametros_manuales!$E$19*(datos_base!$F$3+datos_base!$F$19+IF(parametros_manuales!$H$19="Todos",datos_base!$F$10+datos_base!$F$24,0))*parametros_manuales!$M$100+parametros_manuales!$F$19*(datos_base!$F$4+datos_base!$F$20+IF(parametros_manuales!$H$19="Todos",datos_base!$F$11+datos_base!$F$25,0))*parametros_manuales!$M$105+parametros_manuales!$G$19*(datos_base!$F$5+datos_base!$F$21+IF(parametros_manuales!$H$19="Todos",datos_base!$F$12+datos_base!$F$26,0))*parametros_manuales!$M$110)*parametros_manuales!$I$19*parametros_manuales!$J$19</f>
        <v>7944.750497511</v>
      </c>
      <c r="N110" s="9" t="n">
        <f aca="false">SUM(B110:M110)</f>
        <v>88275.0055279</v>
      </c>
      <c r="O110" s="9" t="n">
        <f aca="false">MAX(B110:M110)</f>
        <v>7944.750497511</v>
      </c>
      <c r="P110" s="43" t="n">
        <f aca="false">O110/(parametros_manuales!$B$7)</f>
        <v>52.96500331674</v>
      </c>
      <c r="Q110" s="8" t="str">
        <f aca="false">IF(O110=0,"-",INDEX($B$109:$M$109,MATCH(O110,B110:M110,0)))</f>
        <v>Ene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datos_base!$F$2+datos_base!$F$18+IF(parametros_manuales!$H$20="Todos",datos_base!$F$9+datos_base!$F$23,0))*parametros_manuales!$B$95+parametros_manuales!$E$20*(datos_base!$F$3+datos_base!$F$19+IF(parametros_manuales!$H$20="Todos",datos_base!$F$10+datos_base!$F$24,0))*parametros_manuales!$B$100+parametros_manuales!$F$20*(datos_base!$F$4+datos_base!$F$20+IF(parametros_manuales!$H$20="Todos",datos_base!$F$11+datos_base!$F$25,0))*parametros_manuales!$B$105+parametros_manuales!$G$20*(datos_base!$F$5+datos_base!$F$21+IF(parametros_manuales!$H$20="Todos",datos_base!$F$12+datos_base!$F$26,0))*parametros_manuales!$B$110)*parametros_manuales!$I$20*parametros_manuales!$J$20</f>
        <v>2354.361553611</v>
      </c>
      <c r="C111" s="9" t="n">
        <f aca="false">(parametros_manuales!$D$20*(datos_base!$F$2+datos_base!$F$18+IF(parametros_manuales!$H$20="Todos",datos_base!$F$9+datos_base!$F$23,0))*parametros_manuales!$C$95+parametros_manuales!$E$20*(datos_base!$F$3+datos_base!$F$19+IF(parametros_manuales!$H$20="Todos",datos_base!$F$10+datos_base!$F$24,0))*parametros_manuales!$C$100+parametros_manuales!$F$20*(datos_base!$F$4+datos_base!$F$20+IF(parametros_manuales!$H$20="Todos",datos_base!$F$11+datos_base!$F$25,0))*parametros_manuales!$C$105+parametros_manuales!$G$20*(datos_base!$F$5+datos_base!$F$21+IF(parametros_manuales!$H$20="Todos",datos_base!$F$12+datos_base!$F$26,0))*parametros_manuales!$C$110)*parametros_manuales!$I$20*parametros_manuales!$J$20</f>
        <v>2092.765825432</v>
      </c>
      <c r="D111" s="9" t="n">
        <f aca="false">(parametros_manuales!$D$20*(datos_base!$F$2+datos_base!$F$18+IF(parametros_manuales!$H$20="Todos",datos_base!$F$9+datos_base!$F$23,0))*parametros_manuales!$D$95+parametros_manuales!$E$20*(datos_base!$F$3+datos_base!$F$19+IF(parametros_manuales!$H$20="Todos",datos_base!$F$10+datos_base!$F$24,0))*parametros_manuales!$D$100+parametros_manuales!$F$20*(datos_base!$F$4+datos_base!$F$20+IF(parametros_manuales!$H$20="Todos",datos_base!$F$11+datos_base!$F$25,0))*parametros_manuales!$D$105+parametros_manuales!$G$20*(datos_base!$F$5+datos_base!$F$21+IF(parametros_manuales!$H$20="Todos",datos_base!$F$12+datos_base!$F$26,0))*parametros_manuales!$D$110)*parametros_manuales!$I$20*parametros_manuales!$J$20</f>
        <v>2223.5636895215</v>
      </c>
      <c r="E111" s="9" t="n">
        <f aca="false">(parametros_manuales!$D$20*(datos_base!$F$2+datos_base!$F$18+IF(parametros_manuales!$H$20="Todos",datos_base!$F$9+datos_base!$F$23,0))*parametros_manuales!$E$95+parametros_manuales!$E$20*(datos_base!$F$3+datos_base!$F$19+IF(parametros_manuales!$H$20="Todos",datos_base!$F$10+datos_base!$F$24,0))*parametros_manuales!$E$100+parametros_manuales!$F$20*(datos_base!$F$4+datos_base!$F$20+IF(parametros_manuales!$H$20="Todos",datos_base!$F$11+datos_base!$F$25,0))*parametros_manuales!$E$105+parametros_manuales!$G$20*(datos_base!$F$5+datos_base!$F$21+IF(parametros_manuales!$H$20="Todos",datos_base!$F$12+datos_base!$F$26,0))*parametros_manuales!$E$110)*parametros_manuales!$I$20*parametros_manuales!$J$20</f>
        <v>2223.5636895215</v>
      </c>
      <c r="F111" s="9" t="n">
        <f aca="false">(parametros_manuales!$D$20*(datos_base!$F$2+datos_base!$F$18+IF(parametros_manuales!$H$20="Todos",datos_base!$F$9+datos_base!$F$23,0))*parametros_manuales!$F$95+parametros_manuales!$E$20*(datos_base!$F$3+datos_base!$F$19+IF(parametros_manuales!$H$20="Todos",datos_base!$F$10+datos_base!$F$24,0))*parametros_manuales!$F$100+parametros_manuales!$F$20*(datos_base!$F$4+datos_base!$F$20+IF(parametros_manuales!$H$20="Todos",datos_base!$F$11+datos_base!$F$25,0))*parametros_manuales!$F$105+parametros_manuales!$G$20*(datos_base!$F$5+datos_base!$F$21+IF(parametros_manuales!$H$20="Todos",datos_base!$F$12+datos_base!$F$26,0))*parametros_manuales!$F$110)*parametros_manuales!$I$20*parametros_manuales!$J$20</f>
        <v>2092.765825432</v>
      </c>
      <c r="G111" s="9" t="n">
        <f aca="false">(parametros_manuales!$D$20*(datos_base!$F$2+datos_base!$F$18+IF(parametros_manuales!$H$20="Todos",datos_base!$F$9+datos_base!$F$23,0))*parametros_manuales!$G$95+parametros_manuales!$E$20*(datos_base!$F$3+datos_base!$F$19+IF(parametros_manuales!$H$20="Todos",datos_base!$F$10+datos_base!$F$24,0))*parametros_manuales!$G$100+parametros_manuales!$F$20*(datos_base!$F$4+datos_base!$F$20+IF(parametros_manuales!$H$20="Todos",datos_base!$F$11+datos_base!$F$25,0))*parametros_manuales!$G$105+parametros_manuales!$G$20*(datos_base!$F$5+datos_base!$F$21+IF(parametros_manuales!$H$20="Todos",datos_base!$F$12+datos_base!$F$26,0))*parametros_manuales!$G$110)*parametros_manuales!$I$20*parametros_manuales!$J$20</f>
        <v>1961.9679613425</v>
      </c>
      <c r="H111" s="9" t="n">
        <f aca="false">(parametros_manuales!$D$20*(datos_base!$F$2+datos_base!$F$18+IF(parametros_manuales!$H$20="Todos",datos_base!$F$9+datos_base!$F$23,0))*parametros_manuales!$H$95+parametros_manuales!$E$20*(datos_base!$F$3+datos_base!$F$19+IF(parametros_manuales!$H$20="Todos",datos_base!$F$10+datos_base!$F$24,0))*parametros_manuales!$H$100+parametros_manuales!$F$20*(datos_base!$F$4+datos_base!$F$20+IF(parametros_manuales!$H$20="Todos",datos_base!$F$11+datos_base!$F$25,0))*parametros_manuales!$H$105+parametros_manuales!$G$20*(datos_base!$F$5+datos_base!$F$21+IF(parametros_manuales!$H$20="Todos",datos_base!$F$12+datos_base!$F$26,0))*parametros_manuales!$H$110)*parametros_manuales!$I$20*parametros_manuales!$J$20</f>
        <v>2092.765825432</v>
      </c>
      <c r="I111" s="9" t="n">
        <f aca="false">(parametros_manuales!$D$20*(datos_base!$F$2+datos_base!$F$18+IF(parametros_manuales!$H$20="Todos",datos_base!$F$9+datos_base!$F$23,0))*parametros_manuales!$I$95+parametros_manuales!$E$20*(datos_base!$F$3+datos_base!$F$19+IF(parametros_manuales!$H$20="Todos",datos_base!$F$10+datos_base!$F$24,0))*parametros_manuales!$I$100+parametros_manuales!$F$20*(datos_base!$F$4+datos_base!$F$20+IF(parametros_manuales!$H$20="Todos",datos_base!$F$11+datos_base!$F$25,0))*parametros_manuales!$I$105+parametros_manuales!$G$20*(datos_base!$F$5+datos_base!$F$21+IF(parametros_manuales!$H$20="Todos",datos_base!$F$12+datos_base!$F$26,0))*parametros_manuales!$I$110)*parametros_manuales!$I$20*parametros_manuales!$J$20</f>
        <v>2092.765825432</v>
      </c>
      <c r="J111" s="9" t="n">
        <f aca="false">(parametros_manuales!$D$20*(datos_base!$F$2+datos_base!$F$18+IF(parametros_manuales!$H$20="Todos",datos_base!$F$9+datos_base!$F$23,0))*parametros_manuales!$J$95+parametros_manuales!$E$20*(datos_base!$F$3+datos_base!$F$19+IF(parametros_manuales!$H$20="Todos",datos_base!$F$10+datos_base!$F$24,0))*parametros_manuales!$J$100+parametros_manuales!$F$20*(datos_base!$F$4+datos_base!$F$20+IF(parametros_manuales!$H$20="Todos",datos_base!$F$11+datos_base!$F$25,0))*parametros_manuales!$J$105+parametros_manuales!$G$20*(datos_base!$F$5+datos_base!$F$21+IF(parametros_manuales!$H$20="Todos",datos_base!$F$12+datos_base!$F$26,0))*parametros_manuales!$J$110)*parametros_manuales!$I$20*parametros_manuales!$J$20</f>
        <v>2092.765825432</v>
      </c>
      <c r="K111" s="9" t="n">
        <f aca="false">(parametros_manuales!$D$20*(datos_base!$F$2+datos_base!$F$18+IF(parametros_manuales!$H$20="Todos",datos_base!$F$9+datos_base!$F$23,0))*parametros_manuales!$K$95+parametros_manuales!$E$20*(datos_base!$F$3+datos_base!$F$19+IF(parametros_manuales!$H$20="Todos",datos_base!$F$10+datos_base!$F$24,0))*parametros_manuales!$K$100+parametros_manuales!$F$20*(datos_base!$F$4+datos_base!$F$20+IF(parametros_manuales!$H$20="Todos",datos_base!$F$11+datos_base!$F$25,0))*parametros_manuales!$K$105+parametros_manuales!$G$20*(datos_base!$F$5+datos_base!$F$21+IF(parametros_manuales!$H$20="Todos",datos_base!$F$12+datos_base!$F$26,0))*parametros_manuales!$K$110)*parametros_manuales!$I$20*parametros_manuales!$J$20</f>
        <v>2223.5636895215</v>
      </c>
      <c r="L111" s="9" t="n">
        <f aca="false">(parametros_manuales!$D$20*(datos_base!$F$2+datos_base!$F$18+IF(parametros_manuales!$H$20="Todos",datos_base!$F$9+datos_base!$F$23,0))*parametros_manuales!$L$95+parametros_manuales!$E$20*(datos_base!$F$3+datos_base!$F$19+IF(parametros_manuales!$H$20="Todos",datos_base!$F$10+datos_base!$F$24,0))*parametros_manuales!$L$100+parametros_manuales!$F$20*(datos_base!$F$4+datos_base!$F$20+IF(parametros_manuales!$H$20="Todos",datos_base!$F$11+datos_base!$F$25,0))*parametros_manuales!$L$105+parametros_manuales!$G$20*(datos_base!$F$5+datos_base!$F$21+IF(parametros_manuales!$H$20="Todos",datos_base!$F$12+datos_base!$F$26,0))*parametros_manuales!$L$110)*parametros_manuales!$I$20*parametros_manuales!$J$20</f>
        <v>2354.361553611</v>
      </c>
      <c r="M111" s="9" t="n">
        <f aca="false">(parametros_manuales!$D$20*(datos_base!$F$2+datos_base!$F$18+IF(parametros_manuales!$H$20="Todos",datos_base!$F$9+datos_base!$F$23,0))*parametros_manuales!$M$95+parametros_manuales!$E$20*(datos_base!$F$3+datos_base!$F$19+IF(parametros_manuales!$H$20="Todos",datos_base!$F$10+datos_base!$F$24,0))*parametros_manuales!$M$100+parametros_manuales!$F$20*(datos_base!$F$4+datos_base!$F$20+IF(parametros_manuales!$H$20="Todos",datos_base!$F$11+datos_base!$F$25,0))*parametros_manuales!$M$105+parametros_manuales!$G$20*(datos_base!$F$5+datos_base!$F$21+IF(parametros_manuales!$H$20="Todos",datos_base!$F$12+datos_base!$F$26,0))*parametros_manuales!$M$110)*parametros_manuales!$I$20*parametros_manuales!$J$20</f>
        <v>2354.361553611</v>
      </c>
      <c r="N111" s="9" t="n">
        <f aca="false">SUM(B111:M111)</f>
        <v>26159.5728179</v>
      </c>
      <c r="O111" s="9" t="n">
        <f aca="false">MAX(B111:M111)</f>
        <v>2354.361553611</v>
      </c>
      <c r="P111" s="43" t="n">
        <f aca="false">O111/(parametros_manuales!$B$7)</f>
        <v>15.69574369074</v>
      </c>
      <c r="Q111" s="8" t="str">
        <f aca="false">IF(O111=0,"-",INDEX($B$109:$M$109,MATCH(O111,B111:M111,0)))</f>
        <v>Ene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datos_base!$F$2+datos_base!$F$18+IF(parametros_manuales!$H$21="Todos",datos_base!$F$9+datos_base!$F$23,0))*parametros_manuales!$B$95+parametros_manuales!$E$21*(datos_base!$F$3+datos_base!$F$19+IF(parametros_manuales!$H$21="Todos",datos_base!$F$10+datos_base!$F$24,0))*parametros_manuales!$B$100+parametros_manuales!$F$21*(datos_base!$F$4+datos_base!$F$20+IF(parametros_manuales!$H$21="Todos",datos_base!$F$11+datos_base!$F$25,0))*parametros_manuales!$B$105+parametros_manuales!$G$21*(datos_base!$F$5+datos_base!$F$21+IF(parametros_manuales!$H$21="Todos",datos_base!$F$12+datos_base!$F$26,0))*parametros_manuales!$B$110)*parametros_manuales!$I$21*parametros_manuales!$J$21</f>
        <v>5590.3889439</v>
      </c>
      <c r="C112" s="9" t="n">
        <f aca="false">(parametros_manuales!$D$21*(datos_base!$F$2+datos_base!$F$18+IF(parametros_manuales!$H$21="Todos",datos_base!$F$9+datos_base!$F$23,0))*parametros_manuales!$C$95+parametros_manuales!$E$21*(datos_base!$F$3+datos_base!$F$19+IF(parametros_manuales!$H$21="Todos",datos_base!$F$10+datos_base!$F$24,0))*parametros_manuales!$C$100+parametros_manuales!$F$21*(datos_base!$F$4+datos_base!$F$20+IF(parametros_manuales!$H$21="Todos",datos_base!$F$11+datos_base!$F$25,0))*parametros_manuales!$C$105+parametros_manuales!$G$21*(datos_base!$F$5+datos_base!$F$21+IF(parametros_manuales!$H$21="Todos",datos_base!$F$12+datos_base!$F$26,0))*parametros_manuales!$C$110)*parametros_manuales!$I$21*parametros_manuales!$J$21</f>
        <v>5590.3889439</v>
      </c>
      <c r="D112" s="9" t="n">
        <f aca="false">(parametros_manuales!$D$21*(datos_base!$F$2+datos_base!$F$18+IF(parametros_manuales!$H$21="Todos",datos_base!$F$9+datos_base!$F$23,0))*parametros_manuales!$D$95+parametros_manuales!$E$21*(datos_base!$F$3+datos_base!$F$19+IF(parametros_manuales!$H$21="Todos",datos_base!$F$10+datos_base!$F$24,0))*parametros_manuales!$D$100+parametros_manuales!$F$21*(datos_base!$F$4+datos_base!$F$20+IF(parametros_manuales!$H$21="Todos",datos_base!$F$11+datos_base!$F$25,0))*parametros_manuales!$D$105+parametros_manuales!$G$21*(datos_base!$F$5+datos_base!$F$21+IF(parametros_manuales!$H$21="Todos",datos_base!$F$12+datos_base!$F$26,0))*parametros_manuales!$D$110)*parametros_manuales!$I$21*parametros_manuales!$J$21</f>
        <v>4969.2346168</v>
      </c>
      <c r="E112" s="9" t="n">
        <f aca="false">(parametros_manuales!$D$21*(datos_base!$F$2+datos_base!$F$18+IF(parametros_manuales!$H$21="Todos",datos_base!$F$9+datos_base!$F$23,0))*parametros_manuales!$E$95+parametros_manuales!$E$21*(datos_base!$F$3+datos_base!$F$19+IF(parametros_manuales!$H$21="Todos",datos_base!$F$10+datos_base!$F$24,0))*parametros_manuales!$E$100+parametros_manuales!$F$21*(datos_base!$F$4+datos_base!$F$20+IF(parametros_manuales!$H$21="Todos",datos_base!$F$11+datos_base!$F$25,0))*parametros_manuales!$E$105+parametros_manuales!$G$21*(datos_base!$F$5+datos_base!$F$21+IF(parametros_manuales!$H$21="Todos",datos_base!$F$12+datos_base!$F$26,0))*parametros_manuales!$E$110)*parametros_manuales!$I$21*parametros_manuales!$J$21</f>
        <v>4658.65745325</v>
      </c>
      <c r="F112" s="9" t="n">
        <f aca="false">(parametros_manuales!$D$21*(datos_base!$F$2+datos_base!$F$18+IF(parametros_manuales!$H$21="Todos",datos_base!$F$9+datos_base!$F$23,0))*parametros_manuales!$F$95+parametros_manuales!$E$21*(datos_base!$F$3+datos_base!$F$19+IF(parametros_manuales!$H$21="Todos",datos_base!$F$10+datos_base!$F$24,0))*parametros_manuales!$F$100+parametros_manuales!$F$21*(datos_base!$F$4+datos_base!$F$20+IF(parametros_manuales!$H$21="Todos",datos_base!$F$11+datos_base!$F$25,0))*parametros_manuales!$F$105+parametros_manuales!$G$21*(datos_base!$F$5+datos_base!$F$21+IF(parametros_manuales!$H$21="Todos",datos_base!$F$12+datos_base!$F$26,0))*parametros_manuales!$F$110)*parametros_manuales!$I$21*parametros_manuales!$J$21</f>
        <v>4348.0802897</v>
      </c>
      <c r="G112" s="9" t="n">
        <f aca="false">(parametros_manuales!$D$21*(datos_base!$F$2+datos_base!$F$18+IF(parametros_manuales!$H$21="Todos",datos_base!$F$9+datos_base!$F$23,0))*parametros_manuales!$G$95+parametros_manuales!$E$21*(datos_base!$F$3+datos_base!$F$19+IF(parametros_manuales!$H$21="Todos",datos_base!$F$10+datos_base!$F$24,0))*parametros_manuales!$G$100+parametros_manuales!$F$21*(datos_base!$F$4+datos_base!$F$20+IF(parametros_manuales!$H$21="Todos",datos_base!$F$11+datos_base!$F$25,0))*parametros_manuales!$G$105+parametros_manuales!$G$21*(datos_base!$F$5+datos_base!$F$21+IF(parametros_manuales!$H$21="Todos",datos_base!$F$12+datos_base!$F$26,0))*parametros_manuales!$G$110)*parametros_manuales!$I$21*parametros_manuales!$J$21</f>
        <v>4348.0802897</v>
      </c>
      <c r="H112" s="9" t="n">
        <f aca="false">(parametros_manuales!$D$21*(datos_base!$F$2+datos_base!$F$18+IF(parametros_manuales!$H$21="Todos",datos_base!$F$9+datos_base!$F$23,0))*parametros_manuales!$H$95+parametros_manuales!$E$21*(datos_base!$F$3+datos_base!$F$19+IF(parametros_manuales!$H$21="Todos",datos_base!$F$10+datos_base!$F$24,0))*parametros_manuales!$H$100+parametros_manuales!$F$21*(datos_base!$F$4+datos_base!$F$20+IF(parametros_manuales!$H$21="Todos",datos_base!$F$11+datos_base!$F$25,0))*parametros_manuales!$H$105+parametros_manuales!$G$21*(datos_base!$F$5+datos_base!$F$21+IF(parametros_manuales!$H$21="Todos",datos_base!$F$12+datos_base!$F$26,0))*parametros_manuales!$H$110)*parametros_manuales!$I$21*parametros_manuales!$J$21</f>
        <v>4658.65745325</v>
      </c>
      <c r="I112" s="9" t="n">
        <f aca="false">(parametros_manuales!$D$21*(datos_base!$F$2+datos_base!$F$18+IF(parametros_manuales!$H$21="Todos",datos_base!$F$9+datos_base!$F$23,0))*parametros_manuales!$I$95+parametros_manuales!$E$21*(datos_base!$F$3+datos_base!$F$19+IF(parametros_manuales!$H$21="Todos",datos_base!$F$10+datos_base!$F$24,0))*parametros_manuales!$I$100+parametros_manuales!$F$21*(datos_base!$F$4+datos_base!$F$20+IF(parametros_manuales!$H$21="Todos",datos_base!$F$11+datos_base!$F$25,0))*parametros_manuales!$I$105+parametros_manuales!$G$21*(datos_base!$F$5+datos_base!$F$21+IF(parametros_manuales!$H$21="Todos",datos_base!$F$12+datos_base!$F$26,0))*parametros_manuales!$I$110)*parametros_manuales!$I$21*parametros_manuales!$J$21</f>
        <v>5590.3889439</v>
      </c>
      <c r="J112" s="9" t="n">
        <f aca="false">(parametros_manuales!$D$21*(datos_base!$F$2+datos_base!$F$18+IF(parametros_manuales!$H$21="Todos",datos_base!$F$9+datos_base!$F$23,0))*parametros_manuales!$J$95+parametros_manuales!$E$21*(datos_base!$F$3+datos_base!$F$19+IF(parametros_manuales!$H$21="Todos",datos_base!$F$10+datos_base!$F$24,0))*parametros_manuales!$J$100+parametros_manuales!$F$21*(datos_base!$F$4+datos_base!$F$20+IF(parametros_manuales!$H$21="Todos",datos_base!$F$11+datos_base!$F$25,0))*parametros_manuales!$J$105+parametros_manuales!$G$21*(datos_base!$F$5+datos_base!$F$21+IF(parametros_manuales!$H$21="Todos",datos_base!$F$12+datos_base!$F$26,0))*parametros_manuales!$J$110)*parametros_manuales!$I$21*parametros_manuales!$J$21</f>
        <v>5590.3889439</v>
      </c>
      <c r="K112" s="9" t="n">
        <f aca="false">(parametros_manuales!$D$21*(datos_base!$F$2+datos_base!$F$18+IF(parametros_manuales!$H$21="Todos",datos_base!$F$9+datos_base!$F$23,0))*parametros_manuales!$K$95+parametros_manuales!$E$21*(datos_base!$F$3+datos_base!$F$19+IF(parametros_manuales!$H$21="Todos",datos_base!$F$10+datos_base!$F$24,0))*parametros_manuales!$K$100+parametros_manuales!$F$21*(datos_base!$F$4+datos_base!$F$20+IF(parametros_manuales!$H$21="Todos",datos_base!$F$11+datos_base!$F$25,0))*parametros_manuales!$K$105+parametros_manuales!$G$21*(datos_base!$F$5+datos_base!$F$21+IF(parametros_manuales!$H$21="Todos",datos_base!$F$12+datos_base!$F$26,0))*parametros_manuales!$K$110)*parametros_manuales!$I$21*parametros_manuales!$J$21</f>
        <v>5590.3889439</v>
      </c>
      <c r="L112" s="9" t="n">
        <f aca="false">(parametros_manuales!$D$21*(datos_base!$F$2+datos_base!$F$18+IF(parametros_manuales!$H$21="Todos",datos_base!$F$9+datos_base!$F$23,0))*parametros_manuales!$L$95+parametros_manuales!$E$21*(datos_base!$F$3+datos_base!$F$19+IF(parametros_manuales!$H$21="Todos",datos_base!$F$10+datos_base!$F$24,0))*parametros_manuales!$L$100+parametros_manuales!$F$21*(datos_base!$F$4+datos_base!$F$20+IF(parametros_manuales!$H$21="Todos",datos_base!$F$11+datos_base!$F$25,0))*parametros_manuales!$L$105+parametros_manuales!$G$21*(datos_base!$F$5+datos_base!$F$21+IF(parametros_manuales!$H$21="Todos",datos_base!$F$12+datos_base!$F$26,0))*parametros_manuales!$L$110)*parametros_manuales!$I$21*parametros_manuales!$J$21</f>
        <v>5590.3889439</v>
      </c>
      <c r="M112" s="9" t="n">
        <f aca="false">(parametros_manuales!$D$21*(datos_base!$F$2+datos_base!$F$18+IF(parametros_manuales!$H$21="Todos",datos_base!$F$9+datos_base!$F$23,0))*parametros_manuales!$M$95+parametros_manuales!$E$21*(datos_base!$F$3+datos_base!$F$19+IF(parametros_manuales!$H$21="Todos",datos_base!$F$10+datos_base!$F$24,0))*parametros_manuales!$M$100+parametros_manuales!$F$21*(datos_base!$F$4+datos_base!$F$20+IF(parametros_manuales!$H$21="Todos",datos_base!$F$11+datos_base!$F$25,0))*parametros_manuales!$M$105+parametros_manuales!$G$21*(datos_base!$F$5+datos_base!$F$21+IF(parametros_manuales!$H$21="Todos",datos_base!$F$12+datos_base!$F$26,0))*parametros_manuales!$M$110)*parametros_manuales!$I$21*parametros_manuales!$J$21</f>
        <v>5590.3889439</v>
      </c>
      <c r="N112" s="9" t="n">
        <f aca="false">SUM(B112:M112)</f>
        <v>62115.43271</v>
      </c>
      <c r="O112" s="9" t="n">
        <f aca="false">MAX(B112:M112)</f>
        <v>5590.3889439</v>
      </c>
      <c r="P112" s="43" t="n">
        <f aca="false">O112/(parametros_manuales!$B$7)</f>
        <v>37.269259626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datos_base!$F$2+datos_base!$F$18+IF(parametros_manuales!$H$22="Todos",datos_base!$F$9+datos_base!$F$23,0))*parametros_manuales!$B$95+parametros_manuales!$E$22*(datos_base!$F$3+datos_base!$F$19+IF(parametros_manuales!$H$22="Todos",datos_base!$F$10+datos_base!$F$24,0))*parametros_manuales!$B$100+parametros_manuales!$F$22*(datos_base!$F$4+datos_base!$F$20+IF(parametros_manuales!$H$22="Todos",datos_base!$F$11+datos_base!$F$25,0))*parametros_manuales!$B$105+parametros_manuales!$G$22*(datos_base!$F$5+datos_base!$F$21+IF(parametros_manuales!$H$22="Todos",datos_base!$F$12+datos_base!$F$26,0))*parametros_manuales!$B$110)*parametros_manuales!$I$22*parametros_manuales!$J$22</f>
        <v>15889.500995022</v>
      </c>
      <c r="C113" s="9" t="n">
        <f aca="false">(parametros_manuales!$D$22*(datos_base!$F$2+datos_base!$F$18+IF(parametros_manuales!$H$22="Todos",datos_base!$F$9+datos_base!$F$23,0))*parametros_manuales!$C$95+parametros_manuales!$E$22*(datos_base!$F$3+datos_base!$F$19+IF(parametros_manuales!$H$22="Todos",datos_base!$F$10+datos_base!$F$24,0))*parametros_manuales!$C$100+parametros_manuales!$F$22*(datos_base!$F$4+datos_base!$F$20+IF(parametros_manuales!$H$22="Todos",datos_base!$F$11+datos_base!$F$25,0))*parametros_manuales!$C$105+parametros_manuales!$G$22*(datos_base!$F$5+datos_base!$F$21+IF(parametros_manuales!$H$22="Todos",datos_base!$F$12+datos_base!$F$26,0))*parametros_manuales!$C$110)*parametros_manuales!$I$22*parametros_manuales!$J$22</f>
        <v>15366.309538664</v>
      </c>
      <c r="D113" s="9" t="n">
        <f aca="false">(parametros_manuales!$D$22*(datos_base!$F$2+datos_base!$F$18+IF(parametros_manuales!$H$22="Todos",datos_base!$F$9+datos_base!$F$23,0))*parametros_manuales!$D$95+parametros_manuales!$E$22*(datos_base!$F$3+datos_base!$F$19+IF(parametros_manuales!$H$22="Todos",datos_base!$F$10+datos_base!$F$24,0))*parametros_manuales!$D$100+parametros_manuales!$F$22*(datos_base!$F$4+datos_base!$F$20+IF(parametros_manuales!$H$22="Todos",datos_base!$F$11+datos_base!$F$25,0))*parametros_manuales!$D$105+parametros_manuales!$G$22*(datos_base!$F$5+datos_base!$F$21+IF(parametros_manuales!$H$22="Todos",datos_base!$F$12+datos_base!$F$26,0))*parametros_manuales!$D$110)*parametros_manuales!$I$22*parametros_manuales!$J$22</f>
        <v>14385.596612643</v>
      </c>
      <c r="E113" s="9" t="n">
        <f aca="false">(parametros_manuales!$D$22*(datos_base!$F$2+datos_base!$F$18+IF(parametros_manuales!$H$22="Todos",datos_base!$F$9+datos_base!$F$23,0))*parametros_manuales!$E$95+parametros_manuales!$E$22*(datos_base!$F$3+datos_base!$F$19+IF(parametros_manuales!$H$22="Todos",datos_base!$F$10+datos_base!$F$24,0))*parametros_manuales!$E$100+parametros_manuales!$F$22*(datos_base!$F$4+datos_base!$F$20+IF(parametros_manuales!$H$22="Todos",datos_base!$F$11+datos_base!$F$25,0))*parametros_manuales!$E$105+parametros_manuales!$G$22*(datos_base!$F$5+datos_base!$F$21+IF(parametros_manuales!$H$22="Todos",datos_base!$F$12+datos_base!$F$26,0))*parametros_manuales!$E$110)*parametros_manuales!$I$22*parametros_manuales!$J$22</f>
        <v>13764.442285543</v>
      </c>
      <c r="F113" s="9" t="n">
        <f aca="false">(parametros_manuales!$D$22*(datos_base!$F$2+datos_base!$F$18+IF(parametros_manuales!$H$22="Todos",datos_base!$F$9+datos_base!$F$23,0))*parametros_manuales!$F$95+parametros_manuales!$E$22*(datos_base!$F$3+datos_base!$F$19+IF(parametros_manuales!$H$22="Todos",datos_base!$F$10+datos_base!$F$24,0))*parametros_manuales!$F$100+parametros_manuales!$F$22*(datos_base!$F$4+datos_base!$F$20+IF(parametros_manuales!$H$22="Todos",datos_base!$F$11+datos_base!$F$25,0))*parametros_manuales!$F$105+parametros_manuales!$G$22*(datos_base!$F$5+datos_base!$F$21+IF(parametros_manuales!$H$22="Todos",datos_base!$F$12+datos_base!$F$26,0))*parametros_manuales!$F$110)*parametros_manuales!$I$22*parametros_manuales!$J$22</f>
        <v>12881.692230264</v>
      </c>
      <c r="G113" s="9" t="n">
        <f aca="false">(parametros_manuales!$D$22*(datos_base!$F$2+datos_base!$F$18+IF(parametros_manuales!$H$22="Todos",datos_base!$F$9+datos_base!$F$23,0))*parametros_manuales!$G$95+parametros_manuales!$E$22*(datos_base!$F$3+datos_base!$F$19+IF(parametros_manuales!$H$22="Todos",datos_base!$F$10+datos_base!$F$24,0))*parametros_manuales!$G$100+parametros_manuales!$F$22*(datos_base!$F$4+datos_base!$F$20+IF(parametros_manuales!$H$22="Todos",datos_base!$F$11+datos_base!$F$25,0))*parametros_manuales!$G$105+parametros_manuales!$G$22*(datos_base!$F$5+datos_base!$F$21+IF(parametros_manuales!$H$22="Todos",datos_base!$F$12+datos_base!$F$26,0))*parametros_manuales!$G$110)*parametros_manuales!$I$22*parametros_manuales!$J$22</f>
        <v>12620.096502085</v>
      </c>
      <c r="H113" s="9" t="n">
        <f aca="false">(parametros_manuales!$D$22*(datos_base!$F$2+datos_base!$F$18+IF(parametros_manuales!$H$22="Todos",datos_base!$F$9+datos_base!$F$23,0))*parametros_manuales!$H$95+parametros_manuales!$E$22*(datos_base!$F$3+datos_base!$F$19+IF(parametros_manuales!$H$22="Todos",datos_base!$F$10+datos_base!$F$24,0))*parametros_manuales!$H$100+parametros_manuales!$F$22*(datos_base!$F$4+datos_base!$F$20+IF(parametros_manuales!$H$22="Todos",datos_base!$F$11+datos_base!$F$25,0))*parametros_manuales!$H$105+parametros_manuales!$G$22*(datos_base!$F$5+datos_base!$F$21+IF(parametros_manuales!$H$22="Todos",datos_base!$F$12+datos_base!$F$26,0))*parametros_manuales!$H$110)*parametros_manuales!$I$22*parametros_manuales!$J$22</f>
        <v>13502.846557364</v>
      </c>
      <c r="I113" s="9" t="n">
        <f aca="false">(parametros_manuales!$D$22*(datos_base!$F$2+datos_base!$F$18+IF(parametros_manuales!$H$22="Todos",datos_base!$F$9+datos_base!$F$23,0))*parametros_manuales!$I$95+parametros_manuales!$E$22*(datos_base!$F$3+datos_base!$F$19+IF(parametros_manuales!$H$22="Todos",datos_base!$F$10+datos_base!$F$24,0))*parametros_manuales!$I$100+parametros_manuales!$F$22*(datos_base!$F$4+datos_base!$F$20+IF(parametros_manuales!$H$22="Todos",datos_base!$F$11+datos_base!$F$25,0))*parametros_manuales!$I$105+parametros_manuales!$G$22*(datos_base!$F$5+datos_base!$F$21+IF(parametros_manuales!$H$22="Todos",datos_base!$F$12+datos_base!$F$26,0))*parametros_manuales!$I$110)*parametros_manuales!$I$22*parametros_manuales!$J$22</f>
        <v>15366.309538664</v>
      </c>
      <c r="J113" s="9" t="n">
        <f aca="false">(parametros_manuales!$D$22*(datos_base!$F$2+datos_base!$F$18+IF(parametros_manuales!$H$22="Todos",datos_base!$F$9+datos_base!$F$23,0))*parametros_manuales!$J$95+parametros_manuales!$E$22*(datos_base!$F$3+datos_base!$F$19+IF(parametros_manuales!$H$22="Todos",datos_base!$F$10+datos_base!$F$24,0))*parametros_manuales!$J$100+parametros_manuales!$F$22*(datos_base!$F$4+datos_base!$F$20+IF(parametros_manuales!$H$22="Todos",datos_base!$F$11+datos_base!$F$25,0))*parametros_manuales!$J$105+parametros_manuales!$G$22*(datos_base!$F$5+datos_base!$F$21+IF(parametros_manuales!$H$22="Todos",datos_base!$F$12+datos_base!$F$26,0))*parametros_manuales!$J$110)*parametros_manuales!$I$22*parametros_manuales!$J$22</f>
        <v>15366.309538664</v>
      </c>
      <c r="K113" s="9" t="n">
        <f aca="false">(parametros_manuales!$D$22*(datos_base!$F$2+datos_base!$F$18+IF(parametros_manuales!$H$22="Todos",datos_base!$F$9+datos_base!$F$23,0))*parametros_manuales!$K$95+parametros_manuales!$E$22*(datos_base!$F$3+datos_base!$F$19+IF(parametros_manuales!$H$22="Todos",datos_base!$F$10+datos_base!$F$24,0))*parametros_manuales!$K$100+parametros_manuales!$F$22*(datos_base!$F$4+datos_base!$F$20+IF(parametros_manuales!$H$22="Todos",datos_base!$F$11+datos_base!$F$25,0))*parametros_manuales!$K$105+parametros_manuales!$G$22*(datos_base!$F$5+datos_base!$F$21+IF(parametros_manuales!$H$22="Todos",datos_base!$F$12+datos_base!$F$26,0))*parametros_manuales!$K$110)*parametros_manuales!$I$22*parametros_manuales!$J$22</f>
        <v>15627.905266843</v>
      </c>
      <c r="L113" s="9" t="n">
        <f aca="false">(parametros_manuales!$D$22*(datos_base!$F$2+datos_base!$F$18+IF(parametros_manuales!$H$22="Todos",datos_base!$F$9+datos_base!$F$23,0))*parametros_manuales!$L$95+parametros_manuales!$E$22*(datos_base!$F$3+datos_base!$F$19+IF(parametros_manuales!$H$22="Todos",datos_base!$F$10+datos_base!$F$24,0))*parametros_manuales!$L$100+parametros_manuales!$F$22*(datos_base!$F$4+datos_base!$F$20+IF(parametros_manuales!$H$22="Todos",datos_base!$F$11+datos_base!$F$25,0))*parametros_manuales!$L$105+parametros_manuales!$G$22*(datos_base!$F$5+datos_base!$F$21+IF(parametros_manuales!$H$22="Todos",datos_base!$F$12+datos_base!$F$26,0))*parametros_manuales!$L$110)*parametros_manuales!$I$22*parametros_manuales!$J$22</f>
        <v>15889.500995022</v>
      </c>
      <c r="M113" s="9" t="n">
        <f aca="false">(parametros_manuales!$D$22*(datos_base!$F$2+datos_base!$F$18+IF(parametros_manuales!$H$22="Todos",datos_base!$F$9+datos_base!$F$23,0))*parametros_manuales!$M$95+parametros_manuales!$E$22*(datos_base!$F$3+datos_base!$F$19+IF(parametros_manuales!$H$22="Todos",datos_base!$F$10+datos_base!$F$24,0))*parametros_manuales!$M$100+parametros_manuales!$F$22*(datos_base!$F$4+datos_base!$F$20+IF(parametros_manuales!$H$22="Todos",datos_base!$F$11+datos_base!$F$25,0))*parametros_manuales!$M$105+parametros_manuales!$G$22*(datos_base!$F$5+datos_base!$F$21+IF(parametros_manuales!$H$22="Todos",datos_base!$F$12+datos_base!$F$26,0))*parametros_manuales!$M$110)*parametros_manuales!$I$22*parametros_manuales!$J$22</f>
        <v>15889.500995022</v>
      </c>
      <c r="N113" s="9" t="n">
        <f aca="false">SUM(B113:M113)</f>
        <v>176550.0110558</v>
      </c>
      <c r="O113" s="9" t="n">
        <f aca="false">MAX(B113:M113)</f>
        <v>15889.500995022</v>
      </c>
      <c r="P113" s="43" t="n">
        <f aca="false">O113/(parametros_manuales!$B$7)</f>
        <v>105.93000663348</v>
      </c>
      <c r="Q113" s="8" t="str">
        <f aca="false">IF(O113=0,"-",INDEX($B$109:$M$109,MATCH(O113,B113:M113,0)))</f>
        <v>Ene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datos_base!$F$2+datos_base!$F$18+IF(parametros_manuales!$H$23="Todos",datos_base!$F$9+datos_base!$F$23,0))*parametros_manuales!$B$95+parametros_manuales!$E$23*(datos_base!$F$3+datos_base!$F$19+IF(parametros_manuales!$H$23="Todos",datos_base!$F$10+datos_base!$F$24,0))*parametros_manuales!$B$100+parametros_manuales!$F$23*(datos_base!$F$4+datos_base!$F$20+IF(parametros_manuales!$H$23="Todos",datos_base!$F$11+datos_base!$F$25,0))*parametros_manuales!$B$105+parametros_manuales!$G$23*(datos_base!$F$5+datos_base!$F$21+IF(parametros_manuales!$H$23="Todos",datos_base!$F$12+datos_base!$F$26,0))*parametros_manuales!$B$110)*parametros_manuales!$I$23*parametros_manuales!$J$23</f>
        <v>7944.750497511</v>
      </c>
      <c r="C114" s="9" t="n">
        <f aca="false">(parametros_manuales!$D$23*(datos_base!$F$2+datos_base!$F$18+IF(parametros_manuales!$H$23="Todos",datos_base!$F$9+datos_base!$F$23,0))*parametros_manuales!$C$95+parametros_manuales!$E$23*(datos_base!$F$3+datos_base!$F$19+IF(parametros_manuales!$H$23="Todos",datos_base!$F$10+datos_base!$F$24,0))*parametros_manuales!$C$100+parametros_manuales!$F$23*(datos_base!$F$4+datos_base!$F$20+IF(parametros_manuales!$H$23="Todos",datos_base!$F$11+datos_base!$F$25,0))*parametros_manuales!$C$105+parametros_manuales!$G$23*(datos_base!$F$5+datos_base!$F$21+IF(parametros_manuales!$H$23="Todos",datos_base!$F$12+datos_base!$F$26,0))*parametros_manuales!$C$110)*parametros_manuales!$I$23*parametros_manuales!$J$23</f>
        <v>7683.154769332</v>
      </c>
      <c r="D114" s="9" t="n">
        <f aca="false">(parametros_manuales!$D$23*(datos_base!$F$2+datos_base!$F$18+IF(parametros_manuales!$H$23="Todos",datos_base!$F$9+datos_base!$F$23,0))*parametros_manuales!$D$95+parametros_manuales!$E$23*(datos_base!$F$3+datos_base!$F$19+IF(parametros_manuales!$H$23="Todos",datos_base!$F$10+datos_base!$F$24,0))*parametros_manuales!$D$100+parametros_manuales!$F$23*(datos_base!$F$4+datos_base!$F$20+IF(parametros_manuales!$H$23="Todos",datos_base!$F$11+datos_base!$F$25,0))*parametros_manuales!$D$105+parametros_manuales!$G$23*(datos_base!$F$5+datos_base!$F$21+IF(parametros_manuales!$H$23="Todos",datos_base!$F$12+datos_base!$F$26,0))*parametros_manuales!$D$110)*parametros_manuales!$I$23*parametros_manuales!$J$23</f>
        <v>7192.7983063215</v>
      </c>
      <c r="E114" s="9" t="n">
        <f aca="false">(parametros_manuales!$D$23*(datos_base!$F$2+datos_base!$F$18+IF(parametros_manuales!$H$23="Todos",datos_base!$F$9+datos_base!$F$23,0))*parametros_manuales!$E$95+parametros_manuales!$E$23*(datos_base!$F$3+datos_base!$F$19+IF(parametros_manuales!$H$23="Todos",datos_base!$F$10+datos_base!$F$24,0))*parametros_manuales!$E$100+parametros_manuales!$F$23*(datos_base!$F$4+datos_base!$F$20+IF(parametros_manuales!$H$23="Todos",datos_base!$F$11+datos_base!$F$25,0))*parametros_manuales!$E$105+parametros_manuales!$G$23*(datos_base!$F$5+datos_base!$F$21+IF(parametros_manuales!$H$23="Todos",datos_base!$F$12+datos_base!$F$26,0))*parametros_manuales!$E$110)*parametros_manuales!$I$23*parametros_manuales!$J$23</f>
        <v>6882.2211427715</v>
      </c>
      <c r="F114" s="9" t="n">
        <f aca="false">(parametros_manuales!$D$23*(datos_base!$F$2+datos_base!$F$18+IF(parametros_manuales!$H$23="Todos",datos_base!$F$9+datos_base!$F$23,0))*parametros_manuales!$F$95+parametros_manuales!$E$23*(datos_base!$F$3+datos_base!$F$19+IF(parametros_manuales!$H$23="Todos",datos_base!$F$10+datos_base!$F$24,0))*parametros_manuales!$F$100+parametros_manuales!$F$23*(datos_base!$F$4+datos_base!$F$20+IF(parametros_manuales!$H$23="Todos",datos_base!$F$11+datos_base!$F$25,0))*parametros_manuales!$F$105+parametros_manuales!$G$23*(datos_base!$F$5+datos_base!$F$21+IF(parametros_manuales!$H$23="Todos",datos_base!$F$12+datos_base!$F$26,0))*parametros_manuales!$F$110)*parametros_manuales!$I$23*parametros_manuales!$J$23</f>
        <v>6440.846115132</v>
      </c>
      <c r="G114" s="9" t="n">
        <f aca="false">(parametros_manuales!$D$23*(datos_base!$F$2+datos_base!$F$18+IF(parametros_manuales!$H$23="Todos",datos_base!$F$9+datos_base!$F$23,0))*parametros_manuales!$G$95+parametros_manuales!$E$23*(datos_base!$F$3+datos_base!$F$19+IF(parametros_manuales!$H$23="Todos",datos_base!$F$10+datos_base!$F$24,0))*parametros_manuales!$G$100+parametros_manuales!$F$23*(datos_base!$F$4+datos_base!$F$20+IF(parametros_manuales!$H$23="Todos",datos_base!$F$11+datos_base!$F$25,0))*parametros_manuales!$G$105+parametros_manuales!$G$23*(datos_base!$F$5+datos_base!$F$21+IF(parametros_manuales!$H$23="Todos",datos_base!$F$12+datos_base!$F$26,0))*parametros_manuales!$G$110)*parametros_manuales!$I$23*parametros_manuales!$J$23</f>
        <v>6310.0482510425</v>
      </c>
      <c r="H114" s="9" t="n">
        <f aca="false">(parametros_manuales!$D$23*(datos_base!$F$2+datos_base!$F$18+IF(parametros_manuales!$H$23="Todos",datos_base!$F$9+datos_base!$F$23,0))*parametros_manuales!$H$95+parametros_manuales!$E$23*(datos_base!$F$3+datos_base!$F$19+IF(parametros_manuales!$H$23="Todos",datos_base!$F$10+datos_base!$F$24,0))*parametros_manuales!$H$100+parametros_manuales!$F$23*(datos_base!$F$4+datos_base!$F$20+IF(parametros_manuales!$H$23="Todos",datos_base!$F$11+datos_base!$F$25,0))*parametros_manuales!$H$105+parametros_manuales!$G$23*(datos_base!$F$5+datos_base!$F$21+IF(parametros_manuales!$H$23="Todos",datos_base!$F$12+datos_base!$F$26,0))*parametros_manuales!$H$110)*parametros_manuales!$I$23*parametros_manuales!$J$23</f>
        <v>6751.423278682</v>
      </c>
      <c r="I114" s="9" t="n">
        <f aca="false">(parametros_manuales!$D$23*(datos_base!$F$2+datos_base!$F$18+IF(parametros_manuales!$H$23="Todos",datos_base!$F$9+datos_base!$F$23,0))*parametros_manuales!$I$95+parametros_manuales!$E$23*(datos_base!$F$3+datos_base!$F$19+IF(parametros_manuales!$H$23="Todos",datos_base!$F$10+datos_base!$F$24,0))*parametros_manuales!$I$100+parametros_manuales!$F$23*(datos_base!$F$4+datos_base!$F$20+IF(parametros_manuales!$H$23="Todos",datos_base!$F$11+datos_base!$F$25,0))*parametros_manuales!$I$105+parametros_manuales!$G$23*(datos_base!$F$5+datos_base!$F$21+IF(parametros_manuales!$H$23="Todos",datos_base!$F$12+datos_base!$F$26,0))*parametros_manuales!$I$110)*parametros_manuales!$I$23*parametros_manuales!$J$23</f>
        <v>7683.154769332</v>
      </c>
      <c r="J114" s="9" t="n">
        <f aca="false">(parametros_manuales!$D$23*(datos_base!$F$2+datos_base!$F$18+IF(parametros_manuales!$H$23="Todos",datos_base!$F$9+datos_base!$F$23,0))*parametros_manuales!$J$95+parametros_manuales!$E$23*(datos_base!$F$3+datos_base!$F$19+IF(parametros_manuales!$H$23="Todos",datos_base!$F$10+datos_base!$F$24,0))*parametros_manuales!$J$100+parametros_manuales!$F$23*(datos_base!$F$4+datos_base!$F$20+IF(parametros_manuales!$H$23="Todos",datos_base!$F$11+datos_base!$F$25,0))*parametros_manuales!$J$105+parametros_manuales!$G$23*(datos_base!$F$5+datos_base!$F$21+IF(parametros_manuales!$H$23="Todos",datos_base!$F$12+datos_base!$F$26,0))*parametros_manuales!$J$110)*parametros_manuales!$I$23*parametros_manuales!$J$23</f>
        <v>7683.154769332</v>
      </c>
      <c r="K114" s="9" t="n">
        <f aca="false">(parametros_manuales!$D$23*(datos_base!$F$2+datos_base!$F$18+IF(parametros_manuales!$H$23="Todos",datos_base!$F$9+datos_base!$F$23,0))*parametros_manuales!$K$95+parametros_manuales!$E$23*(datos_base!$F$3+datos_base!$F$19+IF(parametros_manuales!$H$23="Todos",datos_base!$F$10+datos_base!$F$24,0))*parametros_manuales!$K$100+parametros_manuales!$F$23*(datos_base!$F$4+datos_base!$F$20+IF(parametros_manuales!$H$23="Todos",datos_base!$F$11+datos_base!$F$25,0))*parametros_manuales!$K$105+parametros_manuales!$G$23*(datos_base!$F$5+datos_base!$F$21+IF(parametros_manuales!$H$23="Todos",datos_base!$F$12+datos_base!$F$26,0))*parametros_manuales!$K$110)*parametros_manuales!$I$23*parametros_manuales!$J$23</f>
        <v>7813.9526334215</v>
      </c>
      <c r="L114" s="9" t="n">
        <f aca="false">(parametros_manuales!$D$23*(datos_base!$F$2+datos_base!$F$18+IF(parametros_manuales!$H$23="Todos",datos_base!$F$9+datos_base!$F$23,0))*parametros_manuales!$L$95+parametros_manuales!$E$23*(datos_base!$F$3+datos_base!$F$19+IF(parametros_manuales!$H$23="Todos",datos_base!$F$10+datos_base!$F$24,0))*parametros_manuales!$L$100+parametros_manuales!$F$23*(datos_base!$F$4+datos_base!$F$20+IF(parametros_manuales!$H$23="Todos",datos_base!$F$11+datos_base!$F$25,0))*parametros_manuales!$L$105+parametros_manuales!$G$23*(datos_base!$F$5+datos_base!$F$21+IF(parametros_manuales!$H$23="Todos",datos_base!$F$12+datos_base!$F$26,0))*parametros_manuales!$L$110)*parametros_manuales!$I$23*parametros_manuales!$J$23</f>
        <v>7944.750497511</v>
      </c>
      <c r="M114" s="9" t="n">
        <f aca="false">(parametros_manuales!$D$23*(datos_base!$F$2+datos_base!$F$18+IF(parametros_manuales!$H$23="Todos",datos_base!$F$9+datos_base!$F$23,0))*parametros_manuales!$M$95+parametros_manuales!$E$23*(datos_base!$F$3+datos_base!$F$19+IF(parametros_manuales!$H$23="Todos",datos_base!$F$10+datos_base!$F$24,0))*parametros_manuales!$M$100+parametros_manuales!$F$23*(datos_base!$F$4+datos_base!$F$20+IF(parametros_manuales!$H$23="Todos",datos_base!$F$11+datos_base!$F$25,0))*parametros_manuales!$M$105+parametros_manuales!$G$23*(datos_base!$F$5+datos_base!$F$21+IF(parametros_manuales!$H$23="Todos",datos_base!$F$12+datos_base!$F$26,0))*parametros_manuales!$M$110)*parametros_manuales!$I$23*parametros_manuales!$J$23</f>
        <v>7944.750497511</v>
      </c>
      <c r="N114" s="9" t="n">
        <f aca="false">SUM(B114:M114)</f>
        <v>88275.0055279</v>
      </c>
      <c r="O114" s="9" t="n">
        <f aca="false">MAX(B114:M114)</f>
        <v>7944.750497511</v>
      </c>
      <c r="P114" s="43" t="n">
        <f aca="false">O114/(parametros_manuales!$B$7)</f>
        <v>52.96500331674</v>
      </c>
      <c r="Q114" s="8" t="str">
        <f aca="false">IF(O114=0,"-",INDEX($B$109:$M$109,MATCH(O114,B114:M114,0)))</f>
        <v>Ene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datos_base!$F$2+datos_base!$F$18+IF(parametros_manuales!$H$24="Todos",datos_base!$F$9+datos_base!$F$23,0))*parametros_manuales!$B$95+parametros_manuales!$E$24*(datos_base!$F$3+datos_base!$F$19+IF(parametros_manuales!$H$24="Todos",datos_base!$F$10+datos_base!$F$24,0))*parametros_manuales!$B$100+parametros_manuales!$F$24*(datos_base!$F$4+datos_base!$F$20+IF(parametros_manuales!$H$24="Todos",datos_base!$F$11+datos_base!$F$25,0))*parametros_manuales!$B$105+parametros_manuales!$G$24*(datos_base!$F$5+datos_base!$F$21+IF(parametros_manuales!$H$24="Todos",datos_base!$F$12+datos_base!$F$26,0))*parametros_manuales!$B$110)*parametros_manuales!$I$24*parametros_manuales!$J$24</f>
        <v>7944.750497511</v>
      </c>
      <c r="C115" s="9" t="n">
        <f aca="false">(parametros_manuales!$D$24*(datos_base!$F$2+datos_base!$F$18+IF(parametros_manuales!$H$24="Todos",datos_base!$F$9+datos_base!$F$23,0))*parametros_manuales!$C$95+parametros_manuales!$E$24*(datos_base!$F$3+datos_base!$F$19+IF(parametros_manuales!$H$24="Todos",datos_base!$F$10+datos_base!$F$24,0))*parametros_manuales!$C$100+parametros_manuales!$F$24*(datos_base!$F$4+datos_base!$F$20+IF(parametros_manuales!$H$24="Todos",datos_base!$F$11+datos_base!$F$25,0))*parametros_manuales!$C$105+parametros_manuales!$G$24*(datos_base!$F$5+datos_base!$F$21+IF(parametros_manuales!$H$24="Todos",datos_base!$F$12+datos_base!$F$26,0))*parametros_manuales!$C$110)*parametros_manuales!$I$24*parametros_manuales!$J$24</f>
        <v>7683.154769332</v>
      </c>
      <c r="D115" s="9" t="n">
        <f aca="false">(parametros_manuales!$D$24*(datos_base!$F$2+datos_base!$F$18+IF(parametros_manuales!$H$24="Todos",datos_base!$F$9+datos_base!$F$23,0))*parametros_manuales!$D$95+parametros_manuales!$E$24*(datos_base!$F$3+datos_base!$F$19+IF(parametros_manuales!$H$24="Todos",datos_base!$F$10+datos_base!$F$24,0))*parametros_manuales!$D$100+parametros_manuales!$F$24*(datos_base!$F$4+datos_base!$F$20+IF(parametros_manuales!$H$24="Todos",datos_base!$F$11+datos_base!$F$25,0))*parametros_manuales!$D$105+parametros_manuales!$G$24*(datos_base!$F$5+datos_base!$F$21+IF(parametros_manuales!$H$24="Todos",datos_base!$F$12+datos_base!$F$26,0))*parametros_manuales!$D$110)*parametros_manuales!$I$24*parametros_manuales!$J$24</f>
        <v>7192.7983063215</v>
      </c>
      <c r="E115" s="9" t="n">
        <f aca="false">(parametros_manuales!$D$24*(datos_base!$F$2+datos_base!$F$18+IF(parametros_manuales!$H$24="Todos",datos_base!$F$9+datos_base!$F$23,0))*parametros_manuales!$E$95+parametros_manuales!$E$24*(datos_base!$F$3+datos_base!$F$19+IF(parametros_manuales!$H$24="Todos",datos_base!$F$10+datos_base!$F$24,0))*parametros_manuales!$E$100+parametros_manuales!$F$24*(datos_base!$F$4+datos_base!$F$20+IF(parametros_manuales!$H$24="Todos",datos_base!$F$11+datos_base!$F$25,0))*parametros_manuales!$E$105+parametros_manuales!$G$24*(datos_base!$F$5+datos_base!$F$21+IF(parametros_manuales!$H$24="Todos",datos_base!$F$12+datos_base!$F$26,0))*parametros_manuales!$E$110)*parametros_manuales!$I$24*parametros_manuales!$J$24</f>
        <v>6882.2211427715</v>
      </c>
      <c r="F115" s="9" t="n">
        <f aca="false">(parametros_manuales!$D$24*(datos_base!$F$2+datos_base!$F$18+IF(parametros_manuales!$H$24="Todos",datos_base!$F$9+datos_base!$F$23,0))*parametros_manuales!$F$95+parametros_manuales!$E$24*(datos_base!$F$3+datos_base!$F$19+IF(parametros_manuales!$H$24="Todos",datos_base!$F$10+datos_base!$F$24,0))*parametros_manuales!$F$100+parametros_manuales!$F$24*(datos_base!$F$4+datos_base!$F$20+IF(parametros_manuales!$H$24="Todos",datos_base!$F$11+datos_base!$F$25,0))*parametros_manuales!$F$105+parametros_manuales!$G$24*(datos_base!$F$5+datos_base!$F$21+IF(parametros_manuales!$H$24="Todos",datos_base!$F$12+datos_base!$F$26,0))*parametros_manuales!$F$110)*parametros_manuales!$I$24*parametros_manuales!$J$24</f>
        <v>6440.846115132</v>
      </c>
      <c r="G115" s="9" t="n">
        <f aca="false">(parametros_manuales!$D$24*(datos_base!$F$2+datos_base!$F$18+IF(parametros_manuales!$H$24="Todos",datos_base!$F$9+datos_base!$F$23,0))*parametros_manuales!$G$95+parametros_manuales!$E$24*(datos_base!$F$3+datos_base!$F$19+IF(parametros_manuales!$H$24="Todos",datos_base!$F$10+datos_base!$F$24,0))*parametros_manuales!$G$100+parametros_manuales!$F$24*(datos_base!$F$4+datos_base!$F$20+IF(parametros_manuales!$H$24="Todos",datos_base!$F$11+datos_base!$F$25,0))*parametros_manuales!$G$105+parametros_manuales!$G$24*(datos_base!$F$5+datos_base!$F$21+IF(parametros_manuales!$H$24="Todos",datos_base!$F$12+datos_base!$F$26,0))*parametros_manuales!$G$110)*parametros_manuales!$I$24*parametros_manuales!$J$24</f>
        <v>6310.0482510425</v>
      </c>
      <c r="H115" s="9" t="n">
        <f aca="false">(parametros_manuales!$D$24*(datos_base!$F$2+datos_base!$F$18+IF(parametros_manuales!$H$24="Todos",datos_base!$F$9+datos_base!$F$23,0))*parametros_manuales!$H$95+parametros_manuales!$E$24*(datos_base!$F$3+datos_base!$F$19+IF(parametros_manuales!$H$24="Todos",datos_base!$F$10+datos_base!$F$24,0))*parametros_manuales!$H$100+parametros_manuales!$F$24*(datos_base!$F$4+datos_base!$F$20+IF(parametros_manuales!$H$24="Todos",datos_base!$F$11+datos_base!$F$25,0))*parametros_manuales!$H$105+parametros_manuales!$G$24*(datos_base!$F$5+datos_base!$F$21+IF(parametros_manuales!$H$24="Todos",datos_base!$F$12+datos_base!$F$26,0))*parametros_manuales!$H$110)*parametros_manuales!$I$24*parametros_manuales!$J$24</f>
        <v>6751.423278682</v>
      </c>
      <c r="I115" s="9" t="n">
        <f aca="false">(parametros_manuales!$D$24*(datos_base!$F$2+datos_base!$F$18+IF(parametros_manuales!$H$24="Todos",datos_base!$F$9+datos_base!$F$23,0))*parametros_manuales!$I$95+parametros_manuales!$E$24*(datos_base!$F$3+datos_base!$F$19+IF(parametros_manuales!$H$24="Todos",datos_base!$F$10+datos_base!$F$24,0))*parametros_manuales!$I$100+parametros_manuales!$F$24*(datos_base!$F$4+datos_base!$F$20+IF(parametros_manuales!$H$24="Todos",datos_base!$F$11+datos_base!$F$25,0))*parametros_manuales!$I$105+parametros_manuales!$G$24*(datos_base!$F$5+datos_base!$F$21+IF(parametros_manuales!$H$24="Todos",datos_base!$F$12+datos_base!$F$26,0))*parametros_manuales!$I$110)*parametros_manuales!$I$24*parametros_manuales!$J$24</f>
        <v>7683.154769332</v>
      </c>
      <c r="J115" s="9" t="n">
        <f aca="false">(parametros_manuales!$D$24*(datos_base!$F$2+datos_base!$F$18+IF(parametros_manuales!$H$24="Todos",datos_base!$F$9+datos_base!$F$23,0))*parametros_manuales!$J$95+parametros_manuales!$E$24*(datos_base!$F$3+datos_base!$F$19+IF(parametros_manuales!$H$24="Todos",datos_base!$F$10+datos_base!$F$24,0))*parametros_manuales!$J$100+parametros_manuales!$F$24*(datos_base!$F$4+datos_base!$F$20+IF(parametros_manuales!$H$24="Todos",datos_base!$F$11+datos_base!$F$25,0))*parametros_manuales!$J$105+parametros_manuales!$G$24*(datos_base!$F$5+datos_base!$F$21+IF(parametros_manuales!$H$24="Todos",datos_base!$F$12+datos_base!$F$26,0))*parametros_manuales!$J$110)*parametros_manuales!$I$24*parametros_manuales!$J$24</f>
        <v>7683.154769332</v>
      </c>
      <c r="K115" s="9" t="n">
        <f aca="false">(parametros_manuales!$D$24*(datos_base!$F$2+datos_base!$F$18+IF(parametros_manuales!$H$24="Todos",datos_base!$F$9+datos_base!$F$23,0))*parametros_manuales!$K$95+parametros_manuales!$E$24*(datos_base!$F$3+datos_base!$F$19+IF(parametros_manuales!$H$24="Todos",datos_base!$F$10+datos_base!$F$24,0))*parametros_manuales!$K$100+parametros_manuales!$F$24*(datos_base!$F$4+datos_base!$F$20+IF(parametros_manuales!$H$24="Todos",datos_base!$F$11+datos_base!$F$25,0))*parametros_manuales!$K$105+parametros_manuales!$G$24*(datos_base!$F$5+datos_base!$F$21+IF(parametros_manuales!$H$24="Todos",datos_base!$F$12+datos_base!$F$26,0))*parametros_manuales!$K$110)*parametros_manuales!$I$24*parametros_manuales!$J$24</f>
        <v>7813.9526334215</v>
      </c>
      <c r="L115" s="9" t="n">
        <f aca="false">(parametros_manuales!$D$24*(datos_base!$F$2+datos_base!$F$18+IF(parametros_manuales!$H$24="Todos",datos_base!$F$9+datos_base!$F$23,0))*parametros_manuales!$L$95+parametros_manuales!$E$24*(datos_base!$F$3+datos_base!$F$19+IF(parametros_manuales!$H$24="Todos",datos_base!$F$10+datos_base!$F$24,0))*parametros_manuales!$L$100+parametros_manuales!$F$24*(datos_base!$F$4+datos_base!$F$20+IF(parametros_manuales!$H$24="Todos",datos_base!$F$11+datos_base!$F$25,0))*parametros_manuales!$L$105+parametros_manuales!$G$24*(datos_base!$F$5+datos_base!$F$21+IF(parametros_manuales!$H$24="Todos",datos_base!$F$12+datos_base!$F$26,0))*parametros_manuales!$L$110)*parametros_manuales!$I$24*parametros_manuales!$J$24</f>
        <v>7944.750497511</v>
      </c>
      <c r="M115" s="9" t="n">
        <f aca="false">(parametros_manuales!$D$24*(datos_base!$F$2+datos_base!$F$18+IF(parametros_manuales!$H$24="Todos",datos_base!$F$9+datos_base!$F$23,0))*parametros_manuales!$M$95+parametros_manuales!$E$24*(datos_base!$F$3+datos_base!$F$19+IF(parametros_manuales!$H$24="Todos",datos_base!$F$10+datos_base!$F$24,0))*parametros_manuales!$M$100+parametros_manuales!$F$24*(datos_base!$F$4+datos_base!$F$20+IF(parametros_manuales!$H$24="Todos",datos_base!$F$11+datos_base!$F$25,0))*parametros_manuales!$M$105+parametros_manuales!$G$24*(datos_base!$F$5+datos_base!$F$21+IF(parametros_manuales!$H$24="Todos",datos_base!$F$12+datos_base!$F$26,0))*parametros_manuales!$M$110)*parametros_manuales!$I$24*parametros_manuales!$J$24</f>
        <v>7944.750497511</v>
      </c>
      <c r="N115" s="9" t="n">
        <f aca="false">SUM(B115:M115)</f>
        <v>88275.0055279</v>
      </c>
      <c r="O115" s="9" t="n">
        <f aca="false">MAX(B115:M115)</f>
        <v>7944.750497511</v>
      </c>
      <c r="P115" s="43" t="n">
        <f aca="false">O115/(parametros_manuales!$B$7)</f>
        <v>52.96500331674</v>
      </c>
      <c r="Q115" s="8" t="str">
        <f aca="false">IF(O115=0,"-",INDEX($B$109:$M$109,MATCH(O115,B115:M115,0)))</f>
        <v>Ene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datos_base!$F$2+datos_base!$F$18+IF(parametros_manuales!$H$25="Todos",datos_base!$F$9+datos_base!$F$23,0))*parametros_manuales!$B$95+parametros_manuales!$E$25*(datos_base!$F$3+datos_base!$F$19+IF(parametros_manuales!$H$25="Todos",datos_base!$F$10+datos_base!$F$24,0))*parametros_manuales!$B$100+parametros_manuales!$F$25*(datos_base!$F$4+datos_base!$F$20+IF(parametros_manuales!$H$25="Todos",datos_base!$F$11+datos_base!$F$25,0))*parametros_manuales!$B$105+parametros_manuales!$G$25*(datos_base!$F$5+datos_base!$F$21+IF(parametros_manuales!$H$25="Todos",datos_base!$F$12+datos_base!$F$26,0))*parametros_manuales!$B$110)*parametros_manuales!$I$25*parametros_manuales!$J$25</f>
        <v>7944.750497511</v>
      </c>
      <c r="C116" s="9" t="n">
        <f aca="false">(parametros_manuales!$D$25*(datos_base!$F$2+datos_base!$F$18+IF(parametros_manuales!$H$25="Todos",datos_base!$F$9+datos_base!$F$23,0))*parametros_manuales!$C$95+parametros_manuales!$E$25*(datos_base!$F$3+datos_base!$F$19+IF(parametros_manuales!$H$25="Todos",datos_base!$F$10+datos_base!$F$24,0))*parametros_manuales!$C$100+parametros_manuales!$F$25*(datos_base!$F$4+datos_base!$F$20+IF(parametros_manuales!$H$25="Todos",datos_base!$F$11+datos_base!$F$25,0))*parametros_manuales!$C$105+parametros_manuales!$G$25*(datos_base!$F$5+datos_base!$F$21+IF(parametros_manuales!$H$25="Todos",datos_base!$F$12+datos_base!$F$26,0))*parametros_manuales!$C$110)*parametros_manuales!$I$25*parametros_manuales!$J$25</f>
        <v>7683.154769332</v>
      </c>
      <c r="D116" s="9" t="n">
        <f aca="false">(parametros_manuales!$D$25*(datos_base!$F$2+datos_base!$F$18+IF(parametros_manuales!$H$25="Todos",datos_base!$F$9+datos_base!$F$23,0))*parametros_manuales!$D$95+parametros_manuales!$E$25*(datos_base!$F$3+datos_base!$F$19+IF(parametros_manuales!$H$25="Todos",datos_base!$F$10+datos_base!$F$24,0))*parametros_manuales!$D$100+parametros_manuales!$F$25*(datos_base!$F$4+datos_base!$F$20+IF(parametros_manuales!$H$25="Todos",datos_base!$F$11+datos_base!$F$25,0))*parametros_manuales!$D$105+parametros_manuales!$G$25*(datos_base!$F$5+datos_base!$F$21+IF(parametros_manuales!$H$25="Todos",datos_base!$F$12+datos_base!$F$26,0))*parametros_manuales!$D$110)*parametros_manuales!$I$25*parametros_manuales!$J$25</f>
        <v>7192.7983063215</v>
      </c>
      <c r="E116" s="9" t="n">
        <f aca="false">(parametros_manuales!$D$25*(datos_base!$F$2+datos_base!$F$18+IF(parametros_manuales!$H$25="Todos",datos_base!$F$9+datos_base!$F$23,0))*parametros_manuales!$E$95+parametros_manuales!$E$25*(datos_base!$F$3+datos_base!$F$19+IF(parametros_manuales!$H$25="Todos",datos_base!$F$10+datos_base!$F$24,0))*parametros_manuales!$E$100+parametros_manuales!$F$25*(datos_base!$F$4+datos_base!$F$20+IF(parametros_manuales!$H$25="Todos",datos_base!$F$11+datos_base!$F$25,0))*parametros_manuales!$E$105+parametros_manuales!$G$25*(datos_base!$F$5+datos_base!$F$21+IF(parametros_manuales!$H$25="Todos",datos_base!$F$12+datos_base!$F$26,0))*parametros_manuales!$E$110)*parametros_manuales!$I$25*parametros_manuales!$J$25</f>
        <v>6882.2211427715</v>
      </c>
      <c r="F116" s="9" t="n">
        <f aca="false">(parametros_manuales!$D$25*(datos_base!$F$2+datos_base!$F$18+IF(parametros_manuales!$H$25="Todos",datos_base!$F$9+datos_base!$F$23,0))*parametros_manuales!$F$95+parametros_manuales!$E$25*(datos_base!$F$3+datos_base!$F$19+IF(parametros_manuales!$H$25="Todos",datos_base!$F$10+datos_base!$F$24,0))*parametros_manuales!$F$100+parametros_manuales!$F$25*(datos_base!$F$4+datos_base!$F$20+IF(parametros_manuales!$H$25="Todos",datos_base!$F$11+datos_base!$F$25,0))*parametros_manuales!$F$105+parametros_manuales!$G$25*(datos_base!$F$5+datos_base!$F$21+IF(parametros_manuales!$H$25="Todos",datos_base!$F$12+datos_base!$F$26,0))*parametros_manuales!$F$110)*parametros_manuales!$I$25*parametros_manuales!$J$25</f>
        <v>6440.846115132</v>
      </c>
      <c r="G116" s="9" t="n">
        <f aca="false">(parametros_manuales!$D$25*(datos_base!$F$2+datos_base!$F$18+IF(parametros_manuales!$H$25="Todos",datos_base!$F$9+datos_base!$F$23,0))*parametros_manuales!$G$95+parametros_manuales!$E$25*(datos_base!$F$3+datos_base!$F$19+IF(parametros_manuales!$H$25="Todos",datos_base!$F$10+datos_base!$F$24,0))*parametros_manuales!$G$100+parametros_manuales!$F$25*(datos_base!$F$4+datos_base!$F$20+IF(parametros_manuales!$H$25="Todos",datos_base!$F$11+datos_base!$F$25,0))*parametros_manuales!$G$105+parametros_manuales!$G$25*(datos_base!$F$5+datos_base!$F$21+IF(parametros_manuales!$H$25="Todos",datos_base!$F$12+datos_base!$F$26,0))*parametros_manuales!$G$110)*parametros_manuales!$I$25*parametros_manuales!$J$25</f>
        <v>6310.0482510425</v>
      </c>
      <c r="H116" s="9" t="n">
        <f aca="false">(parametros_manuales!$D$25*(datos_base!$F$2+datos_base!$F$18+IF(parametros_manuales!$H$25="Todos",datos_base!$F$9+datos_base!$F$23,0))*parametros_manuales!$H$95+parametros_manuales!$E$25*(datos_base!$F$3+datos_base!$F$19+IF(parametros_manuales!$H$25="Todos",datos_base!$F$10+datos_base!$F$24,0))*parametros_manuales!$H$100+parametros_manuales!$F$25*(datos_base!$F$4+datos_base!$F$20+IF(parametros_manuales!$H$25="Todos",datos_base!$F$11+datos_base!$F$25,0))*parametros_manuales!$H$105+parametros_manuales!$G$25*(datos_base!$F$5+datos_base!$F$21+IF(parametros_manuales!$H$25="Todos",datos_base!$F$12+datos_base!$F$26,0))*parametros_manuales!$H$110)*parametros_manuales!$I$25*parametros_manuales!$J$25</f>
        <v>6751.423278682</v>
      </c>
      <c r="I116" s="9" t="n">
        <f aca="false">(parametros_manuales!$D$25*(datos_base!$F$2+datos_base!$F$18+IF(parametros_manuales!$H$25="Todos",datos_base!$F$9+datos_base!$F$23,0))*parametros_manuales!$I$95+parametros_manuales!$E$25*(datos_base!$F$3+datos_base!$F$19+IF(parametros_manuales!$H$25="Todos",datos_base!$F$10+datos_base!$F$24,0))*parametros_manuales!$I$100+parametros_manuales!$F$25*(datos_base!$F$4+datos_base!$F$20+IF(parametros_manuales!$H$25="Todos",datos_base!$F$11+datos_base!$F$25,0))*parametros_manuales!$I$105+parametros_manuales!$G$25*(datos_base!$F$5+datos_base!$F$21+IF(parametros_manuales!$H$25="Todos",datos_base!$F$12+datos_base!$F$26,0))*parametros_manuales!$I$110)*parametros_manuales!$I$25*parametros_manuales!$J$25</f>
        <v>7683.154769332</v>
      </c>
      <c r="J116" s="9" t="n">
        <f aca="false">(parametros_manuales!$D$25*(datos_base!$F$2+datos_base!$F$18+IF(parametros_manuales!$H$25="Todos",datos_base!$F$9+datos_base!$F$23,0))*parametros_manuales!$J$95+parametros_manuales!$E$25*(datos_base!$F$3+datos_base!$F$19+IF(parametros_manuales!$H$25="Todos",datos_base!$F$10+datos_base!$F$24,0))*parametros_manuales!$J$100+parametros_manuales!$F$25*(datos_base!$F$4+datos_base!$F$20+IF(parametros_manuales!$H$25="Todos",datos_base!$F$11+datos_base!$F$25,0))*parametros_manuales!$J$105+parametros_manuales!$G$25*(datos_base!$F$5+datos_base!$F$21+IF(parametros_manuales!$H$25="Todos",datos_base!$F$12+datos_base!$F$26,0))*parametros_manuales!$J$110)*parametros_manuales!$I$25*parametros_manuales!$J$25</f>
        <v>7683.154769332</v>
      </c>
      <c r="K116" s="9" t="n">
        <f aca="false">(parametros_manuales!$D$25*(datos_base!$F$2+datos_base!$F$18+IF(parametros_manuales!$H$25="Todos",datos_base!$F$9+datos_base!$F$23,0))*parametros_manuales!$K$95+parametros_manuales!$E$25*(datos_base!$F$3+datos_base!$F$19+IF(parametros_manuales!$H$25="Todos",datos_base!$F$10+datos_base!$F$24,0))*parametros_manuales!$K$100+parametros_manuales!$F$25*(datos_base!$F$4+datos_base!$F$20+IF(parametros_manuales!$H$25="Todos",datos_base!$F$11+datos_base!$F$25,0))*parametros_manuales!$K$105+parametros_manuales!$G$25*(datos_base!$F$5+datos_base!$F$21+IF(parametros_manuales!$H$25="Todos",datos_base!$F$12+datos_base!$F$26,0))*parametros_manuales!$K$110)*parametros_manuales!$I$25*parametros_manuales!$J$25</f>
        <v>7813.9526334215</v>
      </c>
      <c r="L116" s="9" t="n">
        <f aca="false">(parametros_manuales!$D$25*(datos_base!$F$2+datos_base!$F$18+IF(parametros_manuales!$H$25="Todos",datos_base!$F$9+datos_base!$F$23,0))*parametros_manuales!$L$95+parametros_manuales!$E$25*(datos_base!$F$3+datos_base!$F$19+IF(parametros_manuales!$H$25="Todos",datos_base!$F$10+datos_base!$F$24,0))*parametros_manuales!$L$100+parametros_manuales!$F$25*(datos_base!$F$4+datos_base!$F$20+IF(parametros_manuales!$H$25="Todos",datos_base!$F$11+datos_base!$F$25,0))*parametros_manuales!$L$105+parametros_manuales!$G$25*(datos_base!$F$5+datos_base!$F$21+IF(parametros_manuales!$H$25="Todos",datos_base!$F$12+datos_base!$F$26,0))*parametros_manuales!$L$110)*parametros_manuales!$I$25*parametros_manuales!$J$25</f>
        <v>7944.750497511</v>
      </c>
      <c r="M116" s="9" t="n">
        <f aca="false">(parametros_manuales!$D$25*(datos_base!$F$2+datos_base!$F$18+IF(parametros_manuales!$H$25="Todos",datos_base!$F$9+datos_base!$F$23,0))*parametros_manuales!$M$95+parametros_manuales!$E$25*(datos_base!$F$3+datos_base!$F$19+IF(parametros_manuales!$H$25="Todos",datos_base!$F$10+datos_base!$F$24,0))*parametros_manuales!$M$100+parametros_manuales!$F$25*(datos_base!$F$4+datos_base!$F$20+IF(parametros_manuales!$H$25="Todos",datos_base!$F$11+datos_base!$F$25,0))*parametros_manuales!$M$105+parametros_manuales!$G$25*(datos_base!$F$5+datos_base!$F$21+IF(parametros_manuales!$H$25="Todos",datos_base!$F$12+datos_base!$F$26,0))*parametros_manuales!$M$110)*parametros_manuales!$I$25*parametros_manuales!$J$25</f>
        <v>7944.750497511</v>
      </c>
      <c r="N116" s="9" t="n">
        <f aca="false">SUM(B116:M116)</f>
        <v>88275.0055279</v>
      </c>
      <c r="O116" s="9" t="n">
        <f aca="false">MAX(B116:M116)</f>
        <v>7944.750497511</v>
      </c>
      <c r="P116" s="43" t="n">
        <f aca="false">O116/(parametros_manuales!$B$7)</f>
        <v>52.96500331674</v>
      </c>
      <c r="Q116" s="8" t="str">
        <f aca="false">IF(O116=0,"-",INDEX($B$109:$M$109,MATCH(O116,B116:M116,0)))</f>
        <v>Ene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datos_base!$F$2+datos_base!$F$18+IF(parametros_manuales!$H$26="Todos",datos_base!$F$9+datos_base!$F$23,0))*parametros_manuales!$B$95+parametros_manuales!$E$26*(datos_base!$F$3+datos_base!$F$19+IF(parametros_manuales!$H$26="Todos",datos_base!$F$10+datos_base!$F$24,0))*parametros_manuales!$B$100+parametros_manuales!$F$26*(datos_base!$F$4+datos_base!$F$20+IF(parametros_manuales!$H$26="Todos",datos_base!$F$11+datos_base!$F$25,0))*parametros_manuales!$B$105+parametros_manuales!$G$26*(datos_base!$F$5+datos_base!$F$21+IF(parametros_manuales!$H$26="Todos",datos_base!$F$12+datos_base!$F$26,0))*parametros_manuales!$B$110)*parametros_manuales!$I$26*parametros_manuales!$J$26</f>
        <v>2354.361553611</v>
      </c>
      <c r="C117" s="9" t="n">
        <f aca="false">(parametros_manuales!$D$26*(datos_base!$F$2+datos_base!$F$18+IF(parametros_manuales!$H$26="Todos",datos_base!$F$9+datos_base!$F$23,0))*parametros_manuales!$C$95+parametros_manuales!$E$26*(datos_base!$F$3+datos_base!$F$19+IF(parametros_manuales!$H$26="Todos",datos_base!$F$10+datos_base!$F$24,0))*parametros_manuales!$C$100+parametros_manuales!$F$26*(datos_base!$F$4+datos_base!$F$20+IF(parametros_manuales!$H$26="Todos",datos_base!$F$11+datos_base!$F$25,0))*parametros_manuales!$C$105+parametros_manuales!$G$26*(datos_base!$F$5+datos_base!$F$21+IF(parametros_manuales!$H$26="Todos",datos_base!$F$12+datos_base!$F$26,0))*parametros_manuales!$C$110)*parametros_manuales!$I$26*parametros_manuales!$J$26</f>
        <v>2092.765825432</v>
      </c>
      <c r="D117" s="9" t="n">
        <f aca="false">(parametros_manuales!$D$26*(datos_base!$F$2+datos_base!$F$18+IF(parametros_manuales!$H$26="Todos",datos_base!$F$9+datos_base!$F$23,0))*parametros_manuales!$D$95+parametros_manuales!$E$26*(datos_base!$F$3+datos_base!$F$19+IF(parametros_manuales!$H$26="Todos",datos_base!$F$10+datos_base!$F$24,0))*parametros_manuales!$D$100+parametros_manuales!$F$26*(datos_base!$F$4+datos_base!$F$20+IF(parametros_manuales!$H$26="Todos",datos_base!$F$11+datos_base!$F$25,0))*parametros_manuales!$D$105+parametros_manuales!$G$26*(datos_base!$F$5+datos_base!$F$21+IF(parametros_manuales!$H$26="Todos",datos_base!$F$12+datos_base!$F$26,0))*parametros_manuales!$D$110)*parametros_manuales!$I$26*parametros_manuales!$J$26</f>
        <v>2223.5636895215</v>
      </c>
      <c r="E117" s="9" t="n">
        <f aca="false">(parametros_manuales!$D$26*(datos_base!$F$2+datos_base!$F$18+IF(parametros_manuales!$H$26="Todos",datos_base!$F$9+datos_base!$F$23,0))*parametros_manuales!$E$95+parametros_manuales!$E$26*(datos_base!$F$3+datos_base!$F$19+IF(parametros_manuales!$H$26="Todos",datos_base!$F$10+datos_base!$F$24,0))*parametros_manuales!$E$100+parametros_manuales!$F$26*(datos_base!$F$4+datos_base!$F$20+IF(parametros_manuales!$H$26="Todos",datos_base!$F$11+datos_base!$F$25,0))*parametros_manuales!$E$105+parametros_manuales!$G$26*(datos_base!$F$5+datos_base!$F$21+IF(parametros_manuales!$H$26="Todos",datos_base!$F$12+datos_base!$F$26,0))*parametros_manuales!$E$110)*parametros_manuales!$I$26*parametros_manuales!$J$26</f>
        <v>2223.5636895215</v>
      </c>
      <c r="F117" s="9" t="n">
        <f aca="false">(parametros_manuales!$D$26*(datos_base!$F$2+datos_base!$F$18+IF(parametros_manuales!$H$26="Todos",datos_base!$F$9+datos_base!$F$23,0))*parametros_manuales!$F$95+parametros_manuales!$E$26*(datos_base!$F$3+datos_base!$F$19+IF(parametros_manuales!$H$26="Todos",datos_base!$F$10+datos_base!$F$24,0))*parametros_manuales!$F$100+parametros_manuales!$F$26*(datos_base!$F$4+datos_base!$F$20+IF(parametros_manuales!$H$26="Todos",datos_base!$F$11+datos_base!$F$25,0))*parametros_manuales!$F$105+parametros_manuales!$G$26*(datos_base!$F$5+datos_base!$F$21+IF(parametros_manuales!$H$26="Todos",datos_base!$F$12+datos_base!$F$26,0))*parametros_manuales!$F$110)*parametros_manuales!$I$26*parametros_manuales!$J$26</f>
        <v>2092.765825432</v>
      </c>
      <c r="G117" s="9" t="n">
        <f aca="false">(parametros_manuales!$D$26*(datos_base!$F$2+datos_base!$F$18+IF(parametros_manuales!$H$26="Todos",datos_base!$F$9+datos_base!$F$23,0))*parametros_manuales!$G$95+parametros_manuales!$E$26*(datos_base!$F$3+datos_base!$F$19+IF(parametros_manuales!$H$26="Todos",datos_base!$F$10+datos_base!$F$24,0))*parametros_manuales!$G$100+parametros_manuales!$F$26*(datos_base!$F$4+datos_base!$F$20+IF(parametros_manuales!$H$26="Todos",datos_base!$F$11+datos_base!$F$25,0))*parametros_manuales!$G$105+parametros_manuales!$G$26*(datos_base!$F$5+datos_base!$F$21+IF(parametros_manuales!$H$26="Todos",datos_base!$F$12+datos_base!$F$26,0))*parametros_manuales!$G$110)*parametros_manuales!$I$26*parametros_manuales!$J$26</f>
        <v>1961.9679613425</v>
      </c>
      <c r="H117" s="9" t="n">
        <f aca="false">(parametros_manuales!$D$26*(datos_base!$F$2+datos_base!$F$18+IF(parametros_manuales!$H$26="Todos",datos_base!$F$9+datos_base!$F$23,0))*parametros_manuales!$H$95+parametros_manuales!$E$26*(datos_base!$F$3+datos_base!$F$19+IF(parametros_manuales!$H$26="Todos",datos_base!$F$10+datos_base!$F$24,0))*parametros_manuales!$H$100+parametros_manuales!$F$26*(datos_base!$F$4+datos_base!$F$20+IF(parametros_manuales!$H$26="Todos",datos_base!$F$11+datos_base!$F$25,0))*parametros_manuales!$H$105+parametros_manuales!$G$26*(datos_base!$F$5+datos_base!$F$21+IF(parametros_manuales!$H$26="Todos",datos_base!$F$12+datos_base!$F$26,0))*parametros_manuales!$H$110)*parametros_manuales!$I$26*parametros_manuales!$J$26</f>
        <v>2092.765825432</v>
      </c>
      <c r="I117" s="9" t="n">
        <f aca="false">(parametros_manuales!$D$26*(datos_base!$F$2+datos_base!$F$18+IF(parametros_manuales!$H$26="Todos",datos_base!$F$9+datos_base!$F$23,0))*parametros_manuales!$I$95+parametros_manuales!$E$26*(datos_base!$F$3+datos_base!$F$19+IF(parametros_manuales!$H$26="Todos",datos_base!$F$10+datos_base!$F$24,0))*parametros_manuales!$I$100+parametros_manuales!$F$26*(datos_base!$F$4+datos_base!$F$20+IF(parametros_manuales!$H$26="Todos",datos_base!$F$11+datos_base!$F$25,0))*parametros_manuales!$I$105+parametros_manuales!$G$26*(datos_base!$F$5+datos_base!$F$21+IF(parametros_manuales!$H$26="Todos",datos_base!$F$12+datos_base!$F$26,0))*parametros_manuales!$I$110)*parametros_manuales!$I$26*parametros_manuales!$J$26</f>
        <v>2092.765825432</v>
      </c>
      <c r="J117" s="9" t="n">
        <f aca="false">(parametros_manuales!$D$26*(datos_base!$F$2+datos_base!$F$18+IF(parametros_manuales!$H$26="Todos",datos_base!$F$9+datos_base!$F$23,0))*parametros_manuales!$J$95+parametros_manuales!$E$26*(datos_base!$F$3+datos_base!$F$19+IF(parametros_manuales!$H$26="Todos",datos_base!$F$10+datos_base!$F$24,0))*parametros_manuales!$J$100+parametros_manuales!$F$26*(datos_base!$F$4+datos_base!$F$20+IF(parametros_manuales!$H$26="Todos",datos_base!$F$11+datos_base!$F$25,0))*parametros_manuales!$J$105+parametros_manuales!$G$26*(datos_base!$F$5+datos_base!$F$21+IF(parametros_manuales!$H$26="Todos",datos_base!$F$12+datos_base!$F$26,0))*parametros_manuales!$J$110)*parametros_manuales!$I$26*parametros_manuales!$J$26</f>
        <v>2092.765825432</v>
      </c>
      <c r="K117" s="9" t="n">
        <f aca="false">(parametros_manuales!$D$26*(datos_base!$F$2+datos_base!$F$18+IF(parametros_manuales!$H$26="Todos",datos_base!$F$9+datos_base!$F$23,0))*parametros_manuales!$K$95+parametros_manuales!$E$26*(datos_base!$F$3+datos_base!$F$19+IF(parametros_manuales!$H$26="Todos",datos_base!$F$10+datos_base!$F$24,0))*parametros_manuales!$K$100+parametros_manuales!$F$26*(datos_base!$F$4+datos_base!$F$20+IF(parametros_manuales!$H$26="Todos",datos_base!$F$11+datos_base!$F$25,0))*parametros_manuales!$K$105+parametros_manuales!$G$26*(datos_base!$F$5+datos_base!$F$21+IF(parametros_manuales!$H$26="Todos",datos_base!$F$12+datos_base!$F$26,0))*parametros_manuales!$K$110)*parametros_manuales!$I$26*parametros_manuales!$J$26</f>
        <v>2223.5636895215</v>
      </c>
      <c r="L117" s="9" t="n">
        <f aca="false">(parametros_manuales!$D$26*(datos_base!$F$2+datos_base!$F$18+IF(parametros_manuales!$H$26="Todos",datos_base!$F$9+datos_base!$F$23,0))*parametros_manuales!$L$95+parametros_manuales!$E$26*(datos_base!$F$3+datos_base!$F$19+IF(parametros_manuales!$H$26="Todos",datos_base!$F$10+datos_base!$F$24,0))*parametros_manuales!$L$100+parametros_manuales!$F$26*(datos_base!$F$4+datos_base!$F$20+IF(parametros_manuales!$H$26="Todos",datos_base!$F$11+datos_base!$F$25,0))*parametros_manuales!$L$105+parametros_manuales!$G$26*(datos_base!$F$5+datos_base!$F$21+IF(parametros_manuales!$H$26="Todos",datos_base!$F$12+datos_base!$F$26,0))*parametros_manuales!$L$110)*parametros_manuales!$I$26*parametros_manuales!$J$26</f>
        <v>2354.361553611</v>
      </c>
      <c r="M117" s="9" t="n">
        <f aca="false">(parametros_manuales!$D$26*(datos_base!$F$2+datos_base!$F$18+IF(parametros_manuales!$H$26="Todos",datos_base!$F$9+datos_base!$F$23,0))*parametros_manuales!$M$95+parametros_manuales!$E$26*(datos_base!$F$3+datos_base!$F$19+IF(parametros_manuales!$H$26="Todos",datos_base!$F$10+datos_base!$F$24,0))*parametros_manuales!$M$100+parametros_manuales!$F$26*(datos_base!$F$4+datos_base!$F$20+IF(parametros_manuales!$H$26="Todos",datos_base!$F$11+datos_base!$F$25,0))*parametros_manuales!$M$105+parametros_manuales!$G$26*(datos_base!$F$5+datos_base!$F$21+IF(parametros_manuales!$H$26="Todos",datos_base!$F$12+datos_base!$F$26,0))*parametros_manuales!$M$110)*parametros_manuales!$I$26*parametros_manuales!$J$26</f>
        <v>2354.361553611</v>
      </c>
      <c r="N117" s="9" t="n">
        <f aca="false">SUM(B117:M117)</f>
        <v>26159.5728179</v>
      </c>
      <c r="O117" s="9" t="n">
        <f aca="false">MAX(B117:M117)</f>
        <v>2354.361553611</v>
      </c>
      <c r="P117" s="43" t="n">
        <f aca="false">O117/(parametros_manuales!$B$7)</f>
        <v>15.69574369074</v>
      </c>
      <c r="Q117" s="8" t="str">
        <f aca="false">IF(O117=0,"-",INDEX($B$109:$M$109,MATCH(O117,B117:M117,0)))</f>
        <v>Ene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datos_base!$F$2+datos_base!$F$18+IF(parametros_manuales!$H$27="Todos",datos_base!$F$9+datos_base!$F$23,0))*parametros_manuales!$B$95+parametros_manuales!$E$27*(datos_base!$F$3+datos_base!$F$19+IF(parametros_manuales!$H$27="Todos",datos_base!$F$10+datos_base!$F$24,0))*parametros_manuales!$B$100+parametros_manuales!$F$27*(datos_base!$F$4+datos_base!$F$20+IF(parametros_manuales!$H$27="Todos",datos_base!$F$11+datos_base!$F$25,0))*parametros_manuales!$B$105+parametros_manuales!$G$27*(datos_base!$F$5+datos_base!$F$21+IF(parametros_manuales!$H$27="Todos",datos_base!$F$12+datos_base!$F$26,0))*parametros_manuales!$B$110)*parametros_manuales!$I$27*parametros_manuales!$J$27</f>
        <v>2354.361553611</v>
      </c>
      <c r="C118" s="9" t="n">
        <f aca="false">(parametros_manuales!$D$27*(datos_base!$F$2+datos_base!$F$18+IF(parametros_manuales!$H$27="Todos",datos_base!$F$9+datos_base!$F$23,0))*parametros_manuales!$C$95+parametros_manuales!$E$27*(datos_base!$F$3+datos_base!$F$19+IF(parametros_manuales!$H$27="Todos",datos_base!$F$10+datos_base!$F$24,0))*parametros_manuales!$C$100+parametros_manuales!$F$27*(datos_base!$F$4+datos_base!$F$20+IF(parametros_manuales!$H$27="Todos",datos_base!$F$11+datos_base!$F$25,0))*parametros_manuales!$C$105+parametros_manuales!$G$27*(datos_base!$F$5+datos_base!$F$21+IF(parametros_manuales!$H$27="Todos",datos_base!$F$12+datos_base!$F$26,0))*parametros_manuales!$C$110)*parametros_manuales!$I$27*parametros_manuales!$J$27</f>
        <v>2092.765825432</v>
      </c>
      <c r="D118" s="9" t="n">
        <f aca="false">(parametros_manuales!$D$27*(datos_base!$F$2+datos_base!$F$18+IF(parametros_manuales!$H$27="Todos",datos_base!$F$9+datos_base!$F$23,0))*parametros_manuales!$D$95+parametros_manuales!$E$27*(datos_base!$F$3+datos_base!$F$19+IF(parametros_manuales!$H$27="Todos",datos_base!$F$10+datos_base!$F$24,0))*parametros_manuales!$D$100+parametros_manuales!$F$27*(datos_base!$F$4+datos_base!$F$20+IF(parametros_manuales!$H$27="Todos",datos_base!$F$11+datos_base!$F$25,0))*parametros_manuales!$D$105+parametros_manuales!$G$27*(datos_base!$F$5+datos_base!$F$21+IF(parametros_manuales!$H$27="Todos",datos_base!$F$12+datos_base!$F$26,0))*parametros_manuales!$D$110)*parametros_manuales!$I$27*parametros_manuales!$J$27</f>
        <v>2223.5636895215</v>
      </c>
      <c r="E118" s="9" t="n">
        <f aca="false">(parametros_manuales!$D$27*(datos_base!$F$2+datos_base!$F$18+IF(parametros_manuales!$H$27="Todos",datos_base!$F$9+datos_base!$F$23,0))*parametros_manuales!$E$95+parametros_manuales!$E$27*(datos_base!$F$3+datos_base!$F$19+IF(parametros_manuales!$H$27="Todos",datos_base!$F$10+datos_base!$F$24,0))*parametros_manuales!$E$100+parametros_manuales!$F$27*(datos_base!$F$4+datos_base!$F$20+IF(parametros_manuales!$H$27="Todos",datos_base!$F$11+datos_base!$F$25,0))*parametros_manuales!$E$105+parametros_manuales!$G$27*(datos_base!$F$5+datos_base!$F$21+IF(parametros_manuales!$H$27="Todos",datos_base!$F$12+datos_base!$F$26,0))*parametros_manuales!$E$110)*parametros_manuales!$I$27*parametros_manuales!$J$27</f>
        <v>2223.5636895215</v>
      </c>
      <c r="F118" s="9" t="n">
        <f aca="false">(parametros_manuales!$D$27*(datos_base!$F$2+datos_base!$F$18+IF(parametros_manuales!$H$27="Todos",datos_base!$F$9+datos_base!$F$23,0))*parametros_manuales!$F$95+parametros_manuales!$E$27*(datos_base!$F$3+datos_base!$F$19+IF(parametros_manuales!$H$27="Todos",datos_base!$F$10+datos_base!$F$24,0))*parametros_manuales!$F$100+parametros_manuales!$F$27*(datos_base!$F$4+datos_base!$F$20+IF(parametros_manuales!$H$27="Todos",datos_base!$F$11+datos_base!$F$25,0))*parametros_manuales!$F$105+parametros_manuales!$G$27*(datos_base!$F$5+datos_base!$F$21+IF(parametros_manuales!$H$27="Todos",datos_base!$F$12+datos_base!$F$26,0))*parametros_manuales!$F$110)*parametros_manuales!$I$27*parametros_manuales!$J$27</f>
        <v>2092.765825432</v>
      </c>
      <c r="G118" s="9" t="n">
        <f aca="false">(parametros_manuales!$D$27*(datos_base!$F$2+datos_base!$F$18+IF(parametros_manuales!$H$27="Todos",datos_base!$F$9+datos_base!$F$23,0))*parametros_manuales!$G$95+parametros_manuales!$E$27*(datos_base!$F$3+datos_base!$F$19+IF(parametros_manuales!$H$27="Todos",datos_base!$F$10+datos_base!$F$24,0))*parametros_manuales!$G$100+parametros_manuales!$F$27*(datos_base!$F$4+datos_base!$F$20+IF(parametros_manuales!$H$27="Todos",datos_base!$F$11+datos_base!$F$25,0))*parametros_manuales!$G$105+parametros_manuales!$G$27*(datos_base!$F$5+datos_base!$F$21+IF(parametros_manuales!$H$27="Todos",datos_base!$F$12+datos_base!$F$26,0))*parametros_manuales!$G$110)*parametros_manuales!$I$27*parametros_manuales!$J$27</f>
        <v>1961.9679613425</v>
      </c>
      <c r="H118" s="9" t="n">
        <f aca="false">(parametros_manuales!$D$27*(datos_base!$F$2+datos_base!$F$18+IF(parametros_manuales!$H$27="Todos",datos_base!$F$9+datos_base!$F$23,0))*parametros_manuales!$H$95+parametros_manuales!$E$27*(datos_base!$F$3+datos_base!$F$19+IF(parametros_manuales!$H$27="Todos",datos_base!$F$10+datos_base!$F$24,0))*parametros_manuales!$H$100+parametros_manuales!$F$27*(datos_base!$F$4+datos_base!$F$20+IF(parametros_manuales!$H$27="Todos",datos_base!$F$11+datos_base!$F$25,0))*parametros_manuales!$H$105+parametros_manuales!$G$27*(datos_base!$F$5+datos_base!$F$21+IF(parametros_manuales!$H$27="Todos",datos_base!$F$12+datos_base!$F$26,0))*parametros_manuales!$H$110)*parametros_manuales!$I$27*parametros_manuales!$J$27</f>
        <v>2092.765825432</v>
      </c>
      <c r="I118" s="9" t="n">
        <f aca="false">(parametros_manuales!$D$27*(datos_base!$F$2+datos_base!$F$18+IF(parametros_manuales!$H$27="Todos",datos_base!$F$9+datos_base!$F$23,0))*parametros_manuales!$I$95+parametros_manuales!$E$27*(datos_base!$F$3+datos_base!$F$19+IF(parametros_manuales!$H$27="Todos",datos_base!$F$10+datos_base!$F$24,0))*parametros_manuales!$I$100+parametros_manuales!$F$27*(datos_base!$F$4+datos_base!$F$20+IF(parametros_manuales!$H$27="Todos",datos_base!$F$11+datos_base!$F$25,0))*parametros_manuales!$I$105+parametros_manuales!$G$27*(datos_base!$F$5+datos_base!$F$21+IF(parametros_manuales!$H$27="Todos",datos_base!$F$12+datos_base!$F$26,0))*parametros_manuales!$I$110)*parametros_manuales!$I$27*parametros_manuales!$J$27</f>
        <v>2092.765825432</v>
      </c>
      <c r="J118" s="9" t="n">
        <f aca="false">(parametros_manuales!$D$27*(datos_base!$F$2+datos_base!$F$18+IF(parametros_manuales!$H$27="Todos",datos_base!$F$9+datos_base!$F$23,0))*parametros_manuales!$J$95+parametros_manuales!$E$27*(datos_base!$F$3+datos_base!$F$19+IF(parametros_manuales!$H$27="Todos",datos_base!$F$10+datos_base!$F$24,0))*parametros_manuales!$J$100+parametros_manuales!$F$27*(datos_base!$F$4+datos_base!$F$20+IF(parametros_manuales!$H$27="Todos",datos_base!$F$11+datos_base!$F$25,0))*parametros_manuales!$J$105+parametros_manuales!$G$27*(datos_base!$F$5+datos_base!$F$21+IF(parametros_manuales!$H$27="Todos",datos_base!$F$12+datos_base!$F$26,0))*parametros_manuales!$J$110)*parametros_manuales!$I$27*parametros_manuales!$J$27</f>
        <v>2092.765825432</v>
      </c>
      <c r="K118" s="9" t="n">
        <f aca="false">(parametros_manuales!$D$27*(datos_base!$F$2+datos_base!$F$18+IF(parametros_manuales!$H$27="Todos",datos_base!$F$9+datos_base!$F$23,0))*parametros_manuales!$K$95+parametros_manuales!$E$27*(datos_base!$F$3+datos_base!$F$19+IF(parametros_manuales!$H$27="Todos",datos_base!$F$10+datos_base!$F$24,0))*parametros_manuales!$K$100+parametros_manuales!$F$27*(datos_base!$F$4+datos_base!$F$20+IF(parametros_manuales!$H$27="Todos",datos_base!$F$11+datos_base!$F$25,0))*parametros_manuales!$K$105+parametros_manuales!$G$27*(datos_base!$F$5+datos_base!$F$21+IF(parametros_manuales!$H$27="Todos",datos_base!$F$12+datos_base!$F$26,0))*parametros_manuales!$K$110)*parametros_manuales!$I$27*parametros_manuales!$J$27</f>
        <v>2223.5636895215</v>
      </c>
      <c r="L118" s="9" t="n">
        <f aca="false">(parametros_manuales!$D$27*(datos_base!$F$2+datos_base!$F$18+IF(parametros_manuales!$H$27="Todos",datos_base!$F$9+datos_base!$F$23,0))*parametros_manuales!$L$95+parametros_manuales!$E$27*(datos_base!$F$3+datos_base!$F$19+IF(parametros_manuales!$H$27="Todos",datos_base!$F$10+datos_base!$F$24,0))*parametros_manuales!$L$100+parametros_manuales!$F$27*(datos_base!$F$4+datos_base!$F$20+IF(parametros_manuales!$H$27="Todos",datos_base!$F$11+datos_base!$F$25,0))*parametros_manuales!$L$105+parametros_manuales!$G$27*(datos_base!$F$5+datos_base!$F$21+IF(parametros_manuales!$H$27="Todos",datos_base!$F$12+datos_base!$F$26,0))*parametros_manuales!$L$110)*parametros_manuales!$I$27*parametros_manuales!$J$27</f>
        <v>2354.361553611</v>
      </c>
      <c r="M118" s="9" t="n">
        <f aca="false">(parametros_manuales!$D$27*(datos_base!$F$2+datos_base!$F$18+IF(parametros_manuales!$H$27="Todos",datos_base!$F$9+datos_base!$F$23,0))*parametros_manuales!$M$95+parametros_manuales!$E$27*(datos_base!$F$3+datos_base!$F$19+IF(parametros_manuales!$H$27="Todos",datos_base!$F$10+datos_base!$F$24,0))*parametros_manuales!$M$100+parametros_manuales!$F$27*(datos_base!$F$4+datos_base!$F$20+IF(parametros_manuales!$H$27="Todos",datos_base!$F$11+datos_base!$F$25,0))*parametros_manuales!$M$105+parametros_manuales!$G$27*(datos_base!$F$5+datos_base!$F$21+IF(parametros_manuales!$H$27="Todos",datos_base!$F$12+datos_base!$F$26,0))*parametros_manuales!$M$110)*parametros_manuales!$I$27*parametros_manuales!$J$27</f>
        <v>2354.361553611</v>
      </c>
      <c r="N118" s="9" t="n">
        <f aca="false">SUM(B118:M118)</f>
        <v>26159.5728179</v>
      </c>
      <c r="O118" s="9" t="n">
        <f aca="false">MAX(B118:M118)</f>
        <v>2354.361553611</v>
      </c>
      <c r="P118" s="43" t="n">
        <f aca="false">O118/(parametros_manuales!$B$7)</f>
        <v>15.69574369074</v>
      </c>
      <c r="Q118" s="8" t="str">
        <f aca="false">IF(O118=0,"-",INDEX($B$109:$M$109,MATCH(O118,B118:M118,0)))</f>
        <v>Ene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datos_base!$F$2+datos_base!$F$18+IF(parametros_manuales!$H$28="Todos",datos_base!$F$9+datos_base!$F$23,0))*parametros_manuales!$B$95+parametros_manuales!$E$28*(datos_base!$F$3+datos_base!$F$19+IF(parametros_manuales!$H$28="Todos",datos_base!$F$10+datos_base!$F$24,0))*parametros_manuales!$B$100+parametros_manuales!$F$28*(datos_base!$F$4+datos_base!$F$20+IF(parametros_manuales!$H$28="Todos",datos_base!$F$11+datos_base!$F$25,0))*parametros_manuales!$B$105+parametros_manuales!$G$28*(datos_base!$F$5+datos_base!$F$21+IF(parametros_manuales!$H$28="Todos",datos_base!$F$12+datos_base!$F$26,0))*parametros_manuales!$B$110)*parametros_manuales!$I$28*parametros_manuales!$J$28</f>
        <v>7944.750497511</v>
      </c>
      <c r="C119" s="9" t="n">
        <f aca="false">(parametros_manuales!$D$28*(datos_base!$F$2+datos_base!$F$18+IF(parametros_manuales!$H$28="Todos",datos_base!$F$9+datos_base!$F$23,0))*parametros_manuales!$C$95+parametros_manuales!$E$28*(datos_base!$F$3+datos_base!$F$19+IF(parametros_manuales!$H$28="Todos",datos_base!$F$10+datos_base!$F$24,0))*parametros_manuales!$C$100+parametros_manuales!$F$28*(datos_base!$F$4+datos_base!$F$20+IF(parametros_manuales!$H$28="Todos",datos_base!$F$11+datos_base!$F$25,0))*parametros_manuales!$C$105+parametros_manuales!$G$28*(datos_base!$F$5+datos_base!$F$21+IF(parametros_manuales!$H$28="Todos",datos_base!$F$12+datos_base!$F$26,0))*parametros_manuales!$C$110)*parametros_manuales!$I$28*parametros_manuales!$J$28</f>
        <v>7683.154769332</v>
      </c>
      <c r="D119" s="9" t="n">
        <f aca="false">(parametros_manuales!$D$28*(datos_base!$F$2+datos_base!$F$18+IF(parametros_manuales!$H$28="Todos",datos_base!$F$9+datos_base!$F$23,0))*parametros_manuales!$D$95+parametros_manuales!$E$28*(datos_base!$F$3+datos_base!$F$19+IF(parametros_manuales!$H$28="Todos",datos_base!$F$10+datos_base!$F$24,0))*parametros_manuales!$D$100+parametros_manuales!$F$28*(datos_base!$F$4+datos_base!$F$20+IF(parametros_manuales!$H$28="Todos",datos_base!$F$11+datos_base!$F$25,0))*parametros_manuales!$D$105+parametros_manuales!$G$28*(datos_base!$F$5+datos_base!$F$21+IF(parametros_manuales!$H$28="Todos",datos_base!$F$12+datos_base!$F$26,0))*parametros_manuales!$D$110)*parametros_manuales!$I$28*parametros_manuales!$J$28</f>
        <v>7192.7983063215</v>
      </c>
      <c r="E119" s="9" t="n">
        <f aca="false">(parametros_manuales!$D$28*(datos_base!$F$2+datos_base!$F$18+IF(parametros_manuales!$H$28="Todos",datos_base!$F$9+datos_base!$F$23,0))*parametros_manuales!$E$95+parametros_manuales!$E$28*(datos_base!$F$3+datos_base!$F$19+IF(parametros_manuales!$H$28="Todos",datos_base!$F$10+datos_base!$F$24,0))*parametros_manuales!$E$100+parametros_manuales!$F$28*(datos_base!$F$4+datos_base!$F$20+IF(parametros_manuales!$H$28="Todos",datos_base!$F$11+datos_base!$F$25,0))*parametros_manuales!$E$105+parametros_manuales!$G$28*(datos_base!$F$5+datos_base!$F$21+IF(parametros_manuales!$H$28="Todos",datos_base!$F$12+datos_base!$F$26,0))*parametros_manuales!$E$110)*parametros_manuales!$I$28*parametros_manuales!$J$28</f>
        <v>6882.2211427715</v>
      </c>
      <c r="F119" s="9" t="n">
        <f aca="false">(parametros_manuales!$D$28*(datos_base!$F$2+datos_base!$F$18+IF(parametros_manuales!$H$28="Todos",datos_base!$F$9+datos_base!$F$23,0))*parametros_manuales!$F$95+parametros_manuales!$E$28*(datos_base!$F$3+datos_base!$F$19+IF(parametros_manuales!$H$28="Todos",datos_base!$F$10+datos_base!$F$24,0))*parametros_manuales!$F$100+parametros_manuales!$F$28*(datos_base!$F$4+datos_base!$F$20+IF(parametros_manuales!$H$28="Todos",datos_base!$F$11+datos_base!$F$25,0))*parametros_manuales!$F$105+parametros_manuales!$G$28*(datos_base!$F$5+datos_base!$F$21+IF(parametros_manuales!$H$28="Todos",datos_base!$F$12+datos_base!$F$26,0))*parametros_manuales!$F$110)*parametros_manuales!$I$28*parametros_manuales!$J$28</f>
        <v>6440.846115132</v>
      </c>
      <c r="G119" s="9" t="n">
        <f aca="false">(parametros_manuales!$D$28*(datos_base!$F$2+datos_base!$F$18+IF(parametros_manuales!$H$28="Todos",datos_base!$F$9+datos_base!$F$23,0))*parametros_manuales!$G$95+parametros_manuales!$E$28*(datos_base!$F$3+datos_base!$F$19+IF(parametros_manuales!$H$28="Todos",datos_base!$F$10+datos_base!$F$24,0))*parametros_manuales!$G$100+parametros_manuales!$F$28*(datos_base!$F$4+datos_base!$F$20+IF(parametros_manuales!$H$28="Todos",datos_base!$F$11+datos_base!$F$25,0))*parametros_manuales!$G$105+parametros_manuales!$G$28*(datos_base!$F$5+datos_base!$F$21+IF(parametros_manuales!$H$28="Todos",datos_base!$F$12+datos_base!$F$26,0))*parametros_manuales!$G$110)*parametros_manuales!$I$28*parametros_manuales!$J$28</f>
        <v>6310.0482510425</v>
      </c>
      <c r="H119" s="9" t="n">
        <f aca="false">(parametros_manuales!$D$28*(datos_base!$F$2+datos_base!$F$18+IF(parametros_manuales!$H$28="Todos",datos_base!$F$9+datos_base!$F$23,0))*parametros_manuales!$H$95+parametros_manuales!$E$28*(datos_base!$F$3+datos_base!$F$19+IF(parametros_manuales!$H$28="Todos",datos_base!$F$10+datos_base!$F$24,0))*parametros_manuales!$H$100+parametros_manuales!$F$28*(datos_base!$F$4+datos_base!$F$20+IF(parametros_manuales!$H$28="Todos",datos_base!$F$11+datos_base!$F$25,0))*parametros_manuales!$H$105+parametros_manuales!$G$28*(datos_base!$F$5+datos_base!$F$21+IF(parametros_manuales!$H$28="Todos",datos_base!$F$12+datos_base!$F$26,0))*parametros_manuales!$H$110)*parametros_manuales!$I$28*parametros_manuales!$J$28</f>
        <v>6751.423278682</v>
      </c>
      <c r="I119" s="9" t="n">
        <f aca="false">(parametros_manuales!$D$28*(datos_base!$F$2+datos_base!$F$18+IF(parametros_manuales!$H$28="Todos",datos_base!$F$9+datos_base!$F$23,0))*parametros_manuales!$I$95+parametros_manuales!$E$28*(datos_base!$F$3+datos_base!$F$19+IF(parametros_manuales!$H$28="Todos",datos_base!$F$10+datos_base!$F$24,0))*parametros_manuales!$I$100+parametros_manuales!$F$28*(datos_base!$F$4+datos_base!$F$20+IF(parametros_manuales!$H$28="Todos",datos_base!$F$11+datos_base!$F$25,0))*parametros_manuales!$I$105+parametros_manuales!$G$28*(datos_base!$F$5+datos_base!$F$21+IF(parametros_manuales!$H$28="Todos",datos_base!$F$12+datos_base!$F$26,0))*parametros_manuales!$I$110)*parametros_manuales!$I$28*parametros_manuales!$J$28</f>
        <v>7683.154769332</v>
      </c>
      <c r="J119" s="9" t="n">
        <f aca="false">(parametros_manuales!$D$28*(datos_base!$F$2+datos_base!$F$18+IF(parametros_manuales!$H$28="Todos",datos_base!$F$9+datos_base!$F$23,0))*parametros_manuales!$J$95+parametros_manuales!$E$28*(datos_base!$F$3+datos_base!$F$19+IF(parametros_manuales!$H$28="Todos",datos_base!$F$10+datos_base!$F$24,0))*parametros_manuales!$J$100+parametros_manuales!$F$28*(datos_base!$F$4+datos_base!$F$20+IF(parametros_manuales!$H$28="Todos",datos_base!$F$11+datos_base!$F$25,0))*parametros_manuales!$J$105+parametros_manuales!$G$28*(datos_base!$F$5+datos_base!$F$21+IF(parametros_manuales!$H$28="Todos",datos_base!$F$12+datos_base!$F$26,0))*parametros_manuales!$J$110)*parametros_manuales!$I$28*parametros_manuales!$J$28</f>
        <v>7683.154769332</v>
      </c>
      <c r="K119" s="9" t="n">
        <f aca="false">(parametros_manuales!$D$28*(datos_base!$F$2+datos_base!$F$18+IF(parametros_manuales!$H$28="Todos",datos_base!$F$9+datos_base!$F$23,0))*parametros_manuales!$K$95+parametros_manuales!$E$28*(datos_base!$F$3+datos_base!$F$19+IF(parametros_manuales!$H$28="Todos",datos_base!$F$10+datos_base!$F$24,0))*parametros_manuales!$K$100+parametros_manuales!$F$28*(datos_base!$F$4+datos_base!$F$20+IF(parametros_manuales!$H$28="Todos",datos_base!$F$11+datos_base!$F$25,0))*parametros_manuales!$K$105+parametros_manuales!$G$28*(datos_base!$F$5+datos_base!$F$21+IF(parametros_manuales!$H$28="Todos",datos_base!$F$12+datos_base!$F$26,0))*parametros_manuales!$K$110)*parametros_manuales!$I$28*parametros_manuales!$J$28</f>
        <v>7813.9526334215</v>
      </c>
      <c r="L119" s="9" t="n">
        <f aca="false">(parametros_manuales!$D$28*(datos_base!$F$2+datos_base!$F$18+IF(parametros_manuales!$H$28="Todos",datos_base!$F$9+datos_base!$F$23,0))*parametros_manuales!$L$95+parametros_manuales!$E$28*(datos_base!$F$3+datos_base!$F$19+IF(parametros_manuales!$H$28="Todos",datos_base!$F$10+datos_base!$F$24,0))*parametros_manuales!$L$100+parametros_manuales!$F$28*(datos_base!$F$4+datos_base!$F$20+IF(parametros_manuales!$H$28="Todos",datos_base!$F$11+datos_base!$F$25,0))*parametros_manuales!$L$105+parametros_manuales!$G$28*(datos_base!$F$5+datos_base!$F$21+IF(parametros_manuales!$H$28="Todos",datos_base!$F$12+datos_base!$F$26,0))*parametros_manuales!$L$110)*parametros_manuales!$I$28*parametros_manuales!$J$28</f>
        <v>7944.750497511</v>
      </c>
      <c r="M119" s="9" t="n">
        <f aca="false">(parametros_manuales!$D$28*(datos_base!$F$2+datos_base!$F$18+IF(parametros_manuales!$H$28="Todos",datos_base!$F$9+datos_base!$F$23,0))*parametros_manuales!$M$95+parametros_manuales!$E$28*(datos_base!$F$3+datos_base!$F$19+IF(parametros_manuales!$H$28="Todos",datos_base!$F$10+datos_base!$F$24,0))*parametros_manuales!$M$100+parametros_manuales!$F$28*(datos_base!$F$4+datos_base!$F$20+IF(parametros_manuales!$H$28="Todos",datos_base!$F$11+datos_base!$F$25,0))*parametros_manuales!$M$105+parametros_manuales!$G$28*(datos_base!$F$5+datos_base!$F$21+IF(parametros_manuales!$H$28="Todos",datos_base!$F$12+datos_base!$F$26,0))*parametros_manuales!$M$110)*parametros_manuales!$I$28*parametros_manuales!$J$28</f>
        <v>7944.750497511</v>
      </c>
      <c r="N119" s="9" t="n">
        <f aca="false">SUM(B119:M119)</f>
        <v>88275.0055279</v>
      </c>
      <c r="O119" s="9" t="n">
        <f aca="false">MAX(B119:M119)</f>
        <v>7944.750497511</v>
      </c>
      <c r="P119" s="43" t="n">
        <f aca="false">O119/(parametros_manuales!$B$7)</f>
        <v>52.96500331674</v>
      </c>
      <c r="Q119" s="8" t="str">
        <f aca="false">IF(O119=0,"-",INDEX($B$109:$M$109,MATCH(O119,B119:M119,0)))</f>
        <v>Ene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datos_base!$F$2+datos_base!$F$18+IF(parametros_manuales!$H$29="Todos",datos_base!$F$9+datos_base!$F$23,0))*parametros_manuales!$B$95+parametros_manuales!$E$29*(datos_base!$F$3+datos_base!$F$19+IF(parametros_manuales!$H$29="Todos",datos_base!$F$10+datos_base!$F$24,0))*parametros_manuales!$B$100+parametros_manuales!$F$29*(datos_base!$F$4+datos_base!$F$20+IF(parametros_manuales!$H$29="Todos",datos_base!$F$11+datos_base!$F$25,0))*parametros_manuales!$B$105+parametros_manuales!$G$29*(datos_base!$F$5+datos_base!$F$21+IF(parametros_manuales!$H$29="Todos",datos_base!$F$12+datos_base!$F$26,0))*parametros_manuales!$B$110)*parametros_manuales!$I$29*parametros_manuales!$J$29</f>
        <v>7944.750497511</v>
      </c>
      <c r="C120" s="9" t="n">
        <f aca="false">(parametros_manuales!$D$29*(datos_base!$F$2+datos_base!$F$18+IF(parametros_manuales!$H$29="Todos",datos_base!$F$9+datos_base!$F$23,0))*parametros_manuales!$C$95+parametros_manuales!$E$29*(datos_base!$F$3+datos_base!$F$19+IF(parametros_manuales!$H$29="Todos",datos_base!$F$10+datos_base!$F$24,0))*parametros_manuales!$C$100+parametros_manuales!$F$29*(datos_base!$F$4+datos_base!$F$20+IF(parametros_manuales!$H$29="Todos",datos_base!$F$11+datos_base!$F$25,0))*parametros_manuales!$C$105+parametros_manuales!$G$29*(datos_base!$F$5+datos_base!$F$21+IF(parametros_manuales!$H$29="Todos",datos_base!$F$12+datos_base!$F$26,0))*parametros_manuales!$C$110)*parametros_manuales!$I$29*parametros_manuales!$J$29</f>
        <v>7683.154769332</v>
      </c>
      <c r="D120" s="9" t="n">
        <f aca="false">(parametros_manuales!$D$29*(datos_base!$F$2+datos_base!$F$18+IF(parametros_manuales!$H$29="Todos",datos_base!$F$9+datos_base!$F$23,0))*parametros_manuales!$D$95+parametros_manuales!$E$29*(datos_base!$F$3+datos_base!$F$19+IF(parametros_manuales!$H$29="Todos",datos_base!$F$10+datos_base!$F$24,0))*parametros_manuales!$D$100+parametros_manuales!$F$29*(datos_base!$F$4+datos_base!$F$20+IF(parametros_manuales!$H$29="Todos",datos_base!$F$11+datos_base!$F$25,0))*parametros_manuales!$D$105+parametros_manuales!$G$29*(datos_base!$F$5+datos_base!$F$21+IF(parametros_manuales!$H$29="Todos",datos_base!$F$12+datos_base!$F$26,0))*parametros_manuales!$D$110)*parametros_manuales!$I$29*parametros_manuales!$J$29</f>
        <v>7192.7983063215</v>
      </c>
      <c r="E120" s="9" t="n">
        <f aca="false">(parametros_manuales!$D$29*(datos_base!$F$2+datos_base!$F$18+IF(parametros_manuales!$H$29="Todos",datos_base!$F$9+datos_base!$F$23,0))*parametros_manuales!$E$95+parametros_manuales!$E$29*(datos_base!$F$3+datos_base!$F$19+IF(parametros_manuales!$H$29="Todos",datos_base!$F$10+datos_base!$F$24,0))*parametros_manuales!$E$100+parametros_manuales!$F$29*(datos_base!$F$4+datos_base!$F$20+IF(parametros_manuales!$H$29="Todos",datos_base!$F$11+datos_base!$F$25,0))*parametros_manuales!$E$105+parametros_manuales!$G$29*(datos_base!$F$5+datos_base!$F$21+IF(parametros_manuales!$H$29="Todos",datos_base!$F$12+datos_base!$F$26,0))*parametros_manuales!$E$110)*parametros_manuales!$I$29*parametros_manuales!$J$29</f>
        <v>6882.2211427715</v>
      </c>
      <c r="F120" s="9" t="n">
        <f aca="false">(parametros_manuales!$D$29*(datos_base!$F$2+datos_base!$F$18+IF(parametros_manuales!$H$29="Todos",datos_base!$F$9+datos_base!$F$23,0))*parametros_manuales!$F$95+parametros_manuales!$E$29*(datos_base!$F$3+datos_base!$F$19+IF(parametros_manuales!$H$29="Todos",datos_base!$F$10+datos_base!$F$24,0))*parametros_manuales!$F$100+parametros_manuales!$F$29*(datos_base!$F$4+datos_base!$F$20+IF(parametros_manuales!$H$29="Todos",datos_base!$F$11+datos_base!$F$25,0))*parametros_manuales!$F$105+parametros_manuales!$G$29*(datos_base!$F$5+datos_base!$F$21+IF(parametros_manuales!$H$29="Todos",datos_base!$F$12+datos_base!$F$26,0))*parametros_manuales!$F$110)*parametros_manuales!$I$29*parametros_manuales!$J$29</f>
        <v>6440.846115132</v>
      </c>
      <c r="G120" s="9" t="n">
        <f aca="false">(parametros_manuales!$D$29*(datos_base!$F$2+datos_base!$F$18+IF(parametros_manuales!$H$29="Todos",datos_base!$F$9+datos_base!$F$23,0))*parametros_manuales!$G$95+parametros_manuales!$E$29*(datos_base!$F$3+datos_base!$F$19+IF(parametros_manuales!$H$29="Todos",datos_base!$F$10+datos_base!$F$24,0))*parametros_manuales!$G$100+parametros_manuales!$F$29*(datos_base!$F$4+datos_base!$F$20+IF(parametros_manuales!$H$29="Todos",datos_base!$F$11+datos_base!$F$25,0))*parametros_manuales!$G$105+parametros_manuales!$G$29*(datos_base!$F$5+datos_base!$F$21+IF(parametros_manuales!$H$29="Todos",datos_base!$F$12+datos_base!$F$26,0))*parametros_manuales!$G$110)*parametros_manuales!$I$29*parametros_manuales!$J$29</f>
        <v>6310.0482510425</v>
      </c>
      <c r="H120" s="9" t="n">
        <f aca="false">(parametros_manuales!$D$29*(datos_base!$F$2+datos_base!$F$18+IF(parametros_manuales!$H$29="Todos",datos_base!$F$9+datos_base!$F$23,0))*parametros_manuales!$H$95+parametros_manuales!$E$29*(datos_base!$F$3+datos_base!$F$19+IF(parametros_manuales!$H$29="Todos",datos_base!$F$10+datos_base!$F$24,0))*parametros_manuales!$H$100+parametros_manuales!$F$29*(datos_base!$F$4+datos_base!$F$20+IF(parametros_manuales!$H$29="Todos",datos_base!$F$11+datos_base!$F$25,0))*parametros_manuales!$H$105+parametros_manuales!$G$29*(datos_base!$F$5+datos_base!$F$21+IF(parametros_manuales!$H$29="Todos",datos_base!$F$12+datos_base!$F$26,0))*parametros_manuales!$H$110)*parametros_manuales!$I$29*parametros_manuales!$J$29</f>
        <v>6751.423278682</v>
      </c>
      <c r="I120" s="9" t="n">
        <f aca="false">(parametros_manuales!$D$29*(datos_base!$F$2+datos_base!$F$18+IF(parametros_manuales!$H$29="Todos",datos_base!$F$9+datos_base!$F$23,0))*parametros_manuales!$I$95+parametros_manuales!$E$29*(datos_base!$F$3+datos_base!$F$19+IF(parametros_manuales!$H$29="Todos",datos_base!$F$10+datos_base!$F$24,0))*parametros_manuales!$I$100+parametros_manuales!$F$29*(datos_base!$F$4+datos_base!$F$20+IF(parametros_manuales!$H$29="Todos",datos_base!$F$11+datos_base!$F$25,0))*parametros_manuales!$I$105+parametros_manuales!$G$29*(datos_base!$F$5+datos_base!$F$21+IF(parametros_manuales!$H$29="Todos",datos_base!$F$12+datos_base!$F$26,0))*parametros_manuales!$I$110)*parametros_manuales!$I$29*parametros_manuales!$J$29</f>
        <v>7683.154769332</v>
      </c>
      <c r="J120" s="9" t="n">
        <f aca="false">(parametros_manuales!$D$29*(datos_base!$F$2+datos_base!$F$18+IF(parametros_manuales!$H$29="Todos",datos_base!$F$9+datos_base!$F$23,0))*parametros_manuales!$J$95+parametros_manuales!$E$29*(datos_base!$F$3+datos_base!$F$19+IF(parametros_manuales!$H$29="Todos",datos_base!$F$10+datos_base!$F$24,0))*parametros_manuales!$J$100+parametros_manuales!$F$29*(datos_base!$F$4+datos_base!$F$20+IF(parametros_manuales!$H$29="Todos",datos_base!$F$11+datos_base!$F$25,0))*parametros_manuales!$J$105+parametros_manuales!$G$29*(datos_base!$F$5+datos_base!$F$21+IF(parametros_manuales!$H$29="Todos",datos_base!$F$12+datos_base!$F$26,0))*parametros_manuales!$J$110)*parametros_manuales!$I$29*parametros_manuales!$J$29</f>
        <v>7683.154769332</v>
      </c>
      <c r="K120" s="9" t="n">
        <f aca="false">(parametros_manuales!$D$29*(datos_base!$F$2+datos_base!$F$18+IF(parametros_manuales!$H$29="Todos",datos_base!$F$9+datos_base!$F$23,0))*parametros_manuales!$K$95+parametros_manuales!$E$29*(datos_base!$F$3+datos_base!$F$19+IF(parametros_manuales!$H$29="Todos",datos_base!$F$10+datos_base!$F$24,0))*parametros_manuales!$K$100+parametros_manuales!$F$29*(datos_base!$F$4+datos_base!$F$20+IF(parametros_manuales!$H$29="Todos",datos_base!$F$11+datos_base!$F$25,0))*parametros_manuales!$K$105+parametros_manuales!$G$29*(datos_base!$F$5+datos_base!$F$21+IF(parametros_manuales!$H$29="Todos",datos_base!$F$12+datos_base!$F$26,0))*parametros_manuales!$K$110)*parametros_manuales!$I$29*parametros_manuales!$J$29</f>
        <v>7813.9526334215</v>
      </c>
      <c r="L120" s="9" t="n">
        <f aca="false">(parametros_manuales!$D$29*(datos_base!$F$2+datos_base!$F$18+IF(parametros_manuales!$H$29="Todos",datos_base!$F$9+datos_base!$F$23,0))*parametros_manuales!$L$95+parametros_manuales!$E$29*(datos_base!$F$3+datos_base!$F$19+IF(parametros_manuales!$H$29="Todos",datos_base!$F$10+datos_base!$F$24,0))*parametros_manuales!$L$100+parametros_manuales!$F$29*(datos_base!$F$4+datos_base!$F$20+IF(parametros_manuales!$H$29="Todos",datos_base!$F$11+datos_base!$F$25,0))*parametros_manuales!$L$105+parametros_manuales!$G$29*(datos_base!$F$5+datos_base!$F$21+IF(parametros_manuales!$H$29="Todos",datos_base!$F$12+datos_base!$F$26,0))*parametros_manuales!$L$110)*parametros_manuales!$I$29*parametros_manuales!$J$29</f>
        <v>7944.750497511</v>
      </c>
      <c r="M120" s="9" t="n">
        <f aca="false">(parametros_manuales!$D$29*(datos_base!$F$2+datos_base!$F$18+IF(parametros_manuales!$H$29="Todos",datos_base!$F$9+datos_base!$F$23,0))*parametros_manuales!$M$95+parametros_manuales!$E$29*(datos_base!$F$3+datos_base!$F$19+IF(parametros_manuales!$H$29="Todos",datos_base!$F$10+datos_base!$F$24,0))*parametros_manuales!$M$100+parametros_manuales!$F$29*(datos_base!$F$4+datos_base!$F$20+IF(parametros_manuales!$H$29="Todos",datos_base!$F$11+datos_base!$F$25,0))*parametros_manuales!$M$105+parametros_manuales!$G$29*(datos_base!$F$5+datos_base!$F$21+IF(parametros_manuales!$H$29="Todos",datos_base!$F$12+datos_base!$F$26,0))*parametros_manuales!$M$110)*parametros_manuales!$I$29*parametros_manuales!$J$29</f>
        <v>7944.750497511</v>
      </c>
      <c r="N120" s="9" t="n">
        <f aca="false">SUM(B120:M120)</f>
        <v>88275.0055279</v>
      </c>
      <c r="O120" s="9" t="n">
        <f aca="false">MAX(B120:M120)</f>
        <v>7944.750497511</v>
      </c>
      <c r="P120" s="43" t="n">
        <f aca="false">O120/(parametros_manuales!$B$7)</f>
        <v>52.96500331674</v>
      </c>
      <c r="Q120" s="8" t="str">
        <f aca="false">IF(O120=0,"-",INDEX($B$109:$M$109,MATCH(O120,B120:M120,0)))</f>
        <v>Ene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datos_base!$F$2+datos_base!$F$18+IF(parametros_manuales!$H$30="Todos",datos_base!$F$9+datos_base!$F$23,0))*parametros_manuales!$B$95+parametros_manuales!$E$30*(datos_base!$F$3+datos_base!$F$19+IF(parametros_manuales!$H$30="Todos",datos_base!$F$10+datos_base!$F$24,0))*parametros_manuales!$B$100+parametros_manuales!$F$30*(datos_base!$F$4+datos_base!$F$20+IF(parametros_manuales!$H$30="Todos",datos_base!$F$11+datos_base!$F$25,0))*parametros_manuales!$B$105+parametros_manuales!$G$30*(datos_base!$F$5+datos_base!$F$21+IF(parametros_manuales!$H$30="Todos",datos_base!$F$12+datos_base!$F$26,0))*parametros_manuales!$B$110)*parametros_manuales!$I$30*parametros_manuales!$J$30</f>
        <v>7944.750497511</v>
      </c>
      <c r="C121" s="9" t="n">
        <f aca="false">(parametros_manuales!$D$30*(datos_base!$F$2+datos_base!$F$18+IF(parametros_manuales!$H$30="Todos",datos_base!$F$9+datos_base!$F$23,0))*parametros_manuales!$C$95+parametros_manuales!$E$30*(datos_base!$F$3+datos_base!$F$19+IF(parametros_manuales!$H$30="Todos",datos_base!$F$10+datos_base!$F$24,0))*parametros_manuales!$C$100+parametros_manuales!$F$30*(datos_base!$F$4+datos_base!$F$20+IF(parametros_manuales!$H$30="Todos",datos_base!$F$11+datos_base!$F$25,0))*parametros_manuales!$C$105+parametros_manuales!$G$30*(datos_base!$F$5+datos_base!$F$21+IF(parametros_manuales!$H$30="Todos",datos_base!$F$12+datos_base!$F$26,0))*parametros_manuales!$C$110)*parametros_manuales!$I$30*parametros_manuales!$J$30</f>
        <v>7683.154769332</v>
      </c>
      <c r="D121" s="9" t="n">
        <f aca="false">(parametros_manuales!$D$30*(datos_base!$F$2+datos_base!$F$18+IF(parametros_manuales!$H$30="Todos",datos_base!$F$9+datos_base!$F$23,0))*parametros_manuales!$D$95+parametros_manuales!$E$30*(datos_base!$F$3+datos_base!$F$19+IF(parametros_manuales!$H$30="Todos",datos_base!$F$10+datos_base!$F$24,0))*parametros_manuales!$D$100+parametros_manuales!$F$30*(datos_base!$F$4+datos_base!$F$20+IF(parametros_manuales!$H$30="Todos",datos_base!$F$11+datos_base!$F$25,0))*parametros_manuales!$D$105+parametros_manuales!$G$30*(datos_base!$F$5+datos_base!$F$21+IF(parametros_manuales!$H$30="Todos",datos_base!$F$12+datos_base!$F$26,0))*parametros_manuales!$D$110)*parametros_manuales!$I$30*parametros_manuales!$J$30</f>
        <v>7192.7983063215</v>
      </c>
      <c r="E121" s="9" t="n">
        <f aca="false">(parametros_manuales!$D$30*(datos_base!$F$2+datos_base!$F$18+IF(parametros_manuales!$H$30="Todos",datos_base!$F$9+datos_base!$F$23,0))*parametros_manuales!$E$95+parametros_manuales!$E$30*(datos_base!$F$3+datos_base!$F$19+IF(parametros_manuales!$H$30="Todos",datos_base!$F$10+datos_base!$F$24,0))*parametros_manuales!$E$100+parametros_manuales!$F$30*(datos_base!$F$4+datos_base!$F$20+IF(parametros_manuales!$H$30="Todos",datos_base!$F$11+datos_base!$F$25,0))*parametros_manuales!$E$105+parametros_manuales!$G$30*(datos_base!$F$5+datos_base!$F$21+IF(parametros_manuales!$H$30="Todos",datos_base!$F$12+datos_base!$F$26,0))*parametros_manuales!$E$110)*parametros_manuales!$I$30*parametros_manuales!$J$30</f>
        <v>6882.2211427715</v>
      </c>
      <c r="F121" s="9" t="n">
        <f aca="false">(parametros_manuales!$D$30*(datos_base!$F$2+datos_base!$F$18+IF(parametros_manuales!$H$30="Todos",datos_base!$F$9+datos_base!$F$23,0))*parametros_manuales!$F$95+parametros_manuales!$E$30*(datos_base!$F$3+datos_base!$F$19+IF(parametros_manuales!$H$30="Todos",datos_base!$F$10+datos_base!$F$24,0))*parametros_manuales!$F$100+parametros_manuales!$F$30*(datos_base!$F$4+datos_base!$F$20+IF(parametros_manuales!$H$30="Todos",datos_base!$F$11+datos_base!$F$25,0))*parametros_manuales!$F$105+parametros_manuales!$G$30*(datos_base!$F$5+datos_base!$F$21+IF(parametros_manuales!$H$30="Todos",datos_base!$F$12+datos_base!$F$26,0))*parametros_manuales!$F$110)*parametros_manuales!$I$30*parametros_manuales!$J$30</f>
        <v>6440.846115132</v>
      </c>
      <c r="G121" s="9" t="n">
        <f aca="false">(parametros_manuales!$D$30*(datos_base!$F$2+datos_base!$F$18+IF(parametros_manuales!$H$30="Todos",datos_base!$F$9+datos_base!$F$23,0))*parametros_manuales!$G$95+parametros_manuales!$E$30*(datos_base!$F$3+datos_base!$F$19+IF(parametros_manuales!$H$30="Todos",datos_base!$F$10+datos_base!$F$24,0))*parametros_manuales!$G$100+parametros_manuales!$F$30*(datos_base!$F$4+datos_base!$F$20+IF(parametros_manuales!$H$30="Todos",datos_base!$F$11+datos_base!$F$25,0))*parametros_manuales!$G$105+parametros_manuales!$G$30*(datos_base!$F$5+datos_base!$F$21+IF(parametros_manuales!$H$30="Todos",datos_base!$F$12+datos_base!$F$26,0))*parametros_manuales!$G$110)*parametros_manuales!$I$30*parametros_manuales!$J$30</f>
        <v>6310.0482510425</v>
      </c>
      <c r="H121" s="9" t="n">
        <f aca="false">(parametros_manuales!$D$30*(datos_base!$F$2+datos_base!$F$18+IF(parametros_manuales!$H$30="Todos",datos_base!$F$9+datos_base!$F$23,0))*parametros_manuales!$H$95+parametros_manuales!$E$30*(datos_base!$F$3+datos_base!$F$19+IF(parametros_manuales!$H$30="Todos",datos_base!$F$10+datos_base!$F$24,0))*parametros_manuales!$H$100+parametros_manuales!$F$30*(datos_base!$F$4+datos_base!$F$20+IF(parametros_manuales!$H$30="Todos",datos_base!$F$11+datos_base!$F$25,0))*parametros_manuales!$H$105+parametros_manuales!$G$30*(datos_base!$F$5+datos_base!$F$21+IF(parametros_manuales!$H$30="Todos",datos_base!$F$12+datos_base!$F$26,0))*parametros_manuales!$H$110)*parametros_manuales!$I$30*parametros_manuales!$J$30</f>
        <v>6751.423278682</v>
      </c>
      <c r="I121" s="9" t="n">
        <f aca="false">(parametros_manuales!$D$30*(datos_base!$F$2+datos_base!$F$18+IF(parametros_manuales!$H$30="Todos",datos_base!$F$9+datos_base!$F$23,0))*parametros_manuales!$I$95+parametros_manuales!$E$30*(datos_base!$F$3+datos_base!$F$19+IF(parametros_manuales!$H$30="Todos",datos_base!$F$10+datos_base!$F$24,0))*parametros_manuales!$I$100+parametros_manuales!$F$30*(datos_base!$F$4+datos_base!$F$20+IF(parametros_manuales!$H$30="Todos",datos_base!$F$11+datos_base!$F$25,0))*parametros_manuales!$I$105+parametros_manuales!$G$30*(datos_base!$F$5+datos_base!$F$21+IF(parametros_manuales!$H$30="Todos",datos_base!$F$12+datos_base!$F$26,0))*parametros_manuales!$I$110)*parametros_manuales!$I$30*parametros_manuales!$J$30</f>
        <v>7683.154769332</v>
      </c>
      <c r="J121" s="9" t="n">
        <f aca="false">(parametros_manuales!$D$30*(datos_base!$F$2+datos_base!$F$18+IF(parametros_manuales!$H$30="Todos",datos_base!$F$9+datos_base!$F$23,0))*parametros_manuales!$J$95+parametros_manuales!$E$30*(datos_base!$F$3+datos_base!$F$19+IF(parametros_manuales!$H$30="Todos",datos_base!$F$10+datos_base!$F$24,0))*parametros_manuales!$J$100+parametros_manuales!$F$30*(datos_base!$F$4+datos_base!$F$20+IF(parametros_manuales!$H$30="Todos",datos_base!$F$11+datos_base!$F$25,0))*parametros_manuales!$J$105+parametros_manuales!$G$30*(datos_base!$F$5+datos_base!$F$21+IF(parametros_manuales!$H$30="Todos",datos_base!$F$12+datos_base!$F$26,0))*parametros_manuales!$J$110)*parametros_manuales!$I$30*parametros_manuales!$J$30</f>
        <v>7683.154769332</v>
      </c>
      <c r="K121" s="9" t="n">
        <f aca="false">(parametros_manuales!$D$30*(datos_base!$F$2+datos_base!$F$18+IF(parametros_manuales!$H$30="Todos",datos_base!$F$9+datos_base!$F$23,0))*parametros_manuales!$K$95+parametros_manuales!$E$30*(datos_base!$F$3+datos_base!$F$19+IF(parametros_manuales!$H$30="Todos",datos_base!$F$10+datos_base!$F$24,0))*parametros_manuales!$K$100+parametros_manuales!$F$30*(datos_base!$F$4+datos_base!$F$20+IF(parametros_manuales!$H$30="Todos",datos_base!$F$11+datos_base!$F$25,0))*parametros_manuales!$K$105+parametros_manuales!$G$30*(datos_base!$F$5+datos_base!$F$21+IF(parametros_manuales!$H$30="Todos",datos_base!$F$12+datos_base!$F$26,0))*parametros_manuales!$K$110)*parametros_manuales!$I$30*parametros_manuales!$J$30</f>
        <v>7813.9526334215</v>
      </c>
      <c r="L121" s="9" t="n">
        <f aca="false">(parametros_manuales!$D$30*(datos_base!$F$2+datos_base!$F$18+IF(parametros_manuales!$H$30="Todos",datos_base!$F$9+datos_base!$F$23,0))*parametros_manuales!$L$95+parametros_manuales!$E$30*(datos_base!$F$3+datos_base!$F$19+IF(parametros_manuales!$H$30="Todos",datos_base!$F$10+datos_base!$F$24,0))*parametros_manuales!$L$100+parametros_manuales!$F$30*(datos_base!$F$4+datos_base!$F$20+IF(parametros_manuales!$H$30="Todos",datos_base!$F$11+datos_base!$F$25,0))*parametros_manuales!$L$105+parametros_manuales!$G$30*(datos_base!$F$5+datos_base!$F$21+IF(parametros_manuales!$H$30="Todos",datos_base!$F$12+datos_base!$F$26,0))*parametros_manuales!$L$110)*parametros_manuales!$I$30*parametros_manuales!$J$30</f>
        <v>7944.750497511</v>
      </c>
      <c r="M121" s="9" t="n">
        <f aca="false">(parametros_manuales!$D$30*(datos_base!$F$2+datos_base!$F$18+IF(parametros_manuales!$H$30="Todos",datos_base!$F$9+datos_base!$F$23,0))*parametros_manuales!$M$95+parametros_manuales!$E$30*(datos_base!$F$3+datos_base!$F$19+IF(parametros_manuales!$H$30="Todos",datos_base!$F$10+datos_base!$F$24,0))*parametros_manuales!$M$100+parametros_manuales!$F$30*(datos_base!$F$4+datos_base!$F$20+IF(parametros_manuales!$H$30="Todos",datos_base!$F$11+datos_base!$F$25,0))*parametros_manuales!$M$105+parametros_manuales!$G$30*(datos_base!$F$5+datos_base!$F$21+IF(parametros_manuales!$H$30="Todos",datos_base!$F$12+datos_base!$F$26,0))*parametros_manuales!$M$110)*parametros_manuales!$I$30*parametros_manuales!$J$30</f>
        <v>7944.750497511</v>
      </c>
      <c r="N121" s="9" t="n">
        <f aca="false">SUM(B121:M121)</f>
        <v>88275.0055279</v>
      </c>
      <c r="O121" s="9" t="n">
        <f aca="false">MAX(B121:M121)</f>
        <v>7944.750497511</v>
      </c>
      <c r="P121" s="43" t="n">
        <f aca="false">O121/(parametros_manuales!$B$7)</f>
        <v>52.96500331674</v>
      </c>
      <c r="Q121" s="8" t="str">
        <f aca="false">IF(O121=0,"-",INDEX($B$109:$M$109,MATCH(O121,B121:M121,0)))</f>
        <v>Ene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datos_base!$F$2+datos_base!$F$18+IF(parametros_manuales!$H$31="Todos",datos_base!$F$9+datos_base!$F$23,0))*parametros_manuales!$B$95+parametros_manuales!$E$31*(datos_base!$F$3+datos_base!$F$19+IF(parametros_manuales!$H$31="Todos",datos_base!$F$10+datos_base!$F$24,0))*parametros_manuales!$B$100+parametros_manuales!$F$31*(datos_base!$F$4+datos_base!$F$20+IF(parametros_manuales!$H$31="Todos",datos_base!$F$11+datos_base!$F$25,0))*parametros_manuales!$B$105+parametros_manuales!$G$31*(datos_base!$F$5+datos_base!$F$21+IF(parametros_manuales!$H$31="Todos",datos_base!$F$12+datos_base!$F$26,0))*parametros_manuales!$B$110)*parametros_manuales!$I$31*parametros_manuales!$J$31</f>
        <v>158.89500995022</v>
      </c>
      <c r="C122" s="9" t="n">
        <f aca="false">(parametros_manuales!$D$31*(datos_base!$F$2+datos_base!$F$18+IF(parametros_manuales!$H$31="Todos",datos_base!$F$9+datos_base!$F$23,0))*parametros_manuales!$C$95+parametros_manuales!$E$31*(datos_base!$F$3+datos_base!$F$19+IF(parametros_manuales!$H$31="Todos",datos_base!$F$10+datos_base!$F$24,0))*parametros_manuales!$C$100+parametros_manuales!$F$31*(datos_base!$F$4+datos_base!$F$20+IF(parametros_manuales!$H$31="Todos",datos_base!$F$11+datos_base!$F$25,0))*parametros_manuales!$C$105+parametros_manuales!$G$31*(datos_base!$F$5+datos_base!$F$21+IF(parametros_manuales!$H$31="Todos",datos_base!$F$12+datos_base!$F$26,0))*parametros_manuales!$C$110)*parametros_manuales!$I$31*parametros_manuales!$J$31</f>
        <v>153.66309538664</v>
      </c>
      <c r="D122" s="9" t="n">
        <f aca="false">(parametros_manuales!$D$31*(datos_base!$F$2+datos_base!$F$18+IF(parametros_manuales!$H$31="Todos",datos_base!$F$9+datos_base!$F$23,0))*parametros_manuales!$D$95+parametros_manuales!$E$31*(datos_base!$F$3+datos_base!$F$19+IF(parametros_manuales!$H$31="Todos",datos_base!$F$10+datos_base!$F$24,0))*parametros_manuales!$D$100+parametros_manuales!$F$31*(datos_base!$F$4+datos_base!$F$20+IF(parametros_manuales!$H$31="Todos",datos_base!$F$11+datos_base!$F$25,0))*parametros_manuales!$D$105+parametros_manuales!$G$31*(datos_base!$F$5+datos_base!$F$21+IF(parametros_manuales!$H$31="Todos",datos_base!$F$12+datos_base!$F$26,0))*parametros_manuales!$D$110)*parametros_manuales!$I$31*parametros_manuales!$J$31</f>
        <v>143.85596612643</v>
      </c>
      <c r="E122" s="9" t="n">
        <f aca="false">(parametros_manuales!$D$31*(datos_base!$F$2+datos_base!$F$18+IF(parametros_manuales!$H$31="Todos",datos_base!$F$9+datos_base!$F$23,0))*parametros_manuales!$E$95+parametros_manuales!$E$31*(datos_base!$F$3+datos_base!$F$19+IF(parametros_manuales!$H$31="Todos",datos_base!$F$10+datos_base!$F$24,0))*parametros_manuales!$E$100+parametros_manuales!$F$31*(datos_base!$F$4+datos_base!$F$20+IF(parametros_manuales!$H$31="Todos",datos_base!$F$11+datos_base!$F$25,0))*parametros_manuales!$E$105+parametros_manuales!$G$31*(datos_base!$F$5+datos_base!$F$21+IF(parametros_manuales!$H$31="Todos",datos_base!$F$12+datos_base!$F$26,0))*parametros_manuales!$E$110)*parametros_manuales!$I$31*parametros_manuales!$J$31</f>
        <v>137.64442285543</v>
      </c>
      <c r="F122" s="9" t="n">
        <f aca="false">(parametros_manuales!$D$31*(datos_base!$F$2+datos_base!$F$18+IF(parametros_manuales!$H$31="Todos",datos_base!$F$9+datos_base!$F$23,0))*parametros_manuales!$F$95+parametros_manuales!$E$31*(datos_base!$F$3+datos_base!$F$19+IF(parametros_manuales!$H$31="Todos",datos_base!$F$10+datos_base!$F$24,0))*parametros_manuales!$F$100+parametros_manuales!$F$31*(datos_base!$F$4+datos_base!$F$20+IF(parametros_manuales!$H$31="Todos",datos_base!$F$11+datos_base!$F$25,0))*parametros_manuales!$F$105+parametros_manuales!$G$31*(datos_base!$F$5+datos_base!$F$21+IF(parametros_manuales!$H$31="Todos",datos_base!$F$12+datos_base!$F$26,0))*parametros_manuales!$F$110)*parametros_manuales!$I$31*parametros_manuales!$J$31</f>
        <v>128.81692230264</v>
      </c>
      <c r="G122" s="9" t="n">
        <f aca="false">(parametros_manuales!$D$31*(datos_base!$F$2+datos_base!$F$18+IF(parametros_manuales!$H$31="Todos",datos_base!$F$9+datos_base!$F$23,0))*parametros_manuales!$G$95+parametros_manuales!$E$31*(datos_base!$F$3+datos_base!$F$19+IF(parametros_manuales!$H$31="Todos",datos_base!$F$10+datos_base!$F$24,0))*parametros_manuales!$G$100+parametros_manuales!$F$31*(datos_base!$F$4+datos_base!$F$20+IF(parametros_manuales!$H$31="Todos",datos_base!$F$11+datos_base!$F$25,0))*parametros_manuales!$G$105+parametros_manuales!$G$31*(datos_base!$F$5+datos_base!$F$21+IF(parametros_manuales!$H$31="Todos",datos_base!$F$12+datos_base!$F$26,0))*parametros_manuales!$G$110)*parametros_manuales!$I$31*parametros_manuales!$J$31</f>
        <v>126.20096502085</v>
      </c>
      <c r="H122" s="9" t="n">
        <f aca="false">(parametros_manuales!$D$31*(datos_base!$F$2+datos_base!$F$18+IF(parametros_manuales!$H$31="Todos",datos_base!$F$9+datos_base!$F$23,0))*parametros_manuales!$H$95+parametros_manuales!$E$31*(datos_base!$F$3+datos_base!$F$19+IF(parametros_manuales!$H$31="Todos",datos_base!$F$10+datos_base!$F$24,0))*parametros_manuales!$H$100+parametros_manuales!$F$31*(datos_base!$F$4+datos_base!$F$20+IF(parametros_manuales!$H$31="Todos",datos_base!$F$11+datos_base!$F$25,0))*parametros_manuales!$H$105+parametros_manuales!$G$31*(datos_base!$F$5+datos_base!$F$21+IF(parametros_manuales!$H$31="Todos",datos_base!$F$12+datos_base!$F$26,0))*parametros_manuales!$H$110)*parametros_manuales!$I$31*parametros_manuales!$J$31</f>
        <v>135.02846557364</v>
      </c>
      <c r="I122" s="9" t="n">
        <f aca="false">(parametros_manuales!$D$31*(datos_base!$F$2+datos_base!$F$18+IF(parametros_manuales!$H$31="Todos",datos_base!$F$9+datos_base!$F$23,0))*parametros_manuales!$I$95+parametros_manuales!$E$31*(datos_base!$F$3+datos_base!$F$19+IF(parametros_manuales!$H$31="Todos",datos_base!$F$10+datos_base!$F$24,0))*parametros_manuales!$I$100+parametros_manuales!$F$31*(datos_base!$F$4+datos_base!$F$20+IF(parametros_manuales!$H$31="Todos",datos_base!$F$11+datos_base!$F$25,0))*parametros_manuales!$I$105+parametros_manuales!$G$31*(datos_base!$F$5+datos_base!$F$21+IF(parametros_manuales!$H$31="Todos",datos_base!$F$12+datos_base!$F$26,0))*parametros_manuales!$I$110)*parametros_manuales!$I$31*parametros_manuales!$J$31</f>
        <v>153.66309538664</v>
      </c>
      <c r="J122" s="9" t="n">
        <f aca="false">(parametros_manuales!$D$31*(datos_base!$F$2+datos_base!$F$18+IF(parametros_manuales!$H$31="Todos",datos_base!$F$9+datos_base!$F$23,0))*parametros_manuales!$J$95+parametros_manuales!$E$31*(datos_base!$F$3+datos_base!$F$19+IF(parametros_manuales!$H$31="Todos",datos_base!$F$10+datos_base!$F$24,0))*parametros_manuales!$J$100+parametros_manuales!$F$31*(datos_base!$F$4+datos_base!$F$20+IF(parametros_manuales!$H$31="Todos",datos_base!$F$11+datos_base!$F$25,0))*parametros_manuales!$J$105+parametros_manuales!$G$31*(datos_base!$F$5+datos_base!$F$21+IF(parametros_manuales!$H$31="Todos",datos_base!$F$12+datos_base!$F$26,0))*parametros_manuales!$J$110)*parametros_manuales!$I$31*parametros_manuales!$J$31</f>
        <v>153.66309538664</v>
      </c>
      <c r="K122" s="9" t="n">
        <f aca="false">(parametros_manuales!$D$31*(datos_base!$F$2+datos_base!$F$18+IF(parametros_manuales!$H$31="Todos",datos_base!$F$9+datos_base!$F$23,0))*parametros_manuales!$K$95+parametros_manuales!$E$31*(datos_base!$F$3+datos_base!$F$19+IF(parametros_manuales!$H$31="Todos",datos_base!$F$10+datos_base!$F$24,0))*parametros_manuales!$K$100+parametros_manuales!$F$31*(datos_base!$F$4+datos_base!$F$20+IF(parametros_manuales!$H$31="Todos",datos_base!$F$11+datos_base!$F$25,0))*parametros_manuales!$K$105+parametros_manuales!$G$31*(datos_base!$F$5+datos_base!$F$21+IF(parametros_manuales!$H$31="Todos",datos_base!$F$12+datos_base!$F$26,0))*parametros_manuales!$K$110)*parametros_manuales!$I$31*parametros_manuales!$J$31</f>
        <v>156.27905266843</v>
      </c>
      <c r="L122" s="9" t="n">
        <f aca="false">(parametros_manuales!$D$31*(datos_base!$F$2+datos_base!$F$18+IF(parametros_manuales!$H$31="Todos",datos_base!$F$9+datos_base!$F$23,0))*parametros_manuales!$L$95+parametros_manuales!$E$31*(datos_base!$F$3+datos_base!$F$19+IF(parametros_manuales!$H$31="Todos",datos_base!$F$10+datos_base!$F$24,0))*parametros_manuales!$L$100+parametros_manuales!$F$31*(datos_base!$F$4+datos_base!$F$20+IF(parametros_manuales!$H$31="Todos",datos_base!$F$11+datos_base!$F$25,0))*parametros_manuales!$L$105+parametros_manuales!$G$31*(datos_base!$F$5+datos_base!$F$21+IF(parametros_manuales!$H$31="Todos",datos_base!$F$12+datos_base!$F$26,0))*parametros_manuales!$L$110)*parametros_manuales!$I$31*parametros_manuales!$J$31</f>
        <v>158.89500995022</v>
      </c>
      <c r="M122" s="9" t="n">
        <f aca="false">(parametros_manuales!$D$31*(datos_base!$F$2+datos_base!$F$18+IF(parametros_manuales!$H$31="Todos",datos_base!$F$9+datos_base!$F$23,0))*parametros_manuales!$M$95+parametros_manuales!$E$31*(datos_base!$F$3+datos_base!$F$19+IF(parametros_manuales!$H$31="Todos",datos_base!$F$10+datos_base!$F$24,0))*parametros_manuales!$M$100+parametros_manuales!$F$31*(datos_base!$F$4+datos_base!$F$20+IF(parametros_manuales!$H$31="Todos",datos_base!$F$11+datos_base!$F$25,0))*parametros_manuales!$M$105+parametros_manuales!$G$31*(datos_base!$F$5+datos_base!$F$21+IF(parametros_manuales!$H$31="Todos",datos_base!$F$12+datos_base!$F$26,0))*parametros_manuales!$M$110)*parametros_manuales!$I$31*parametros_manuales!$J$31</f>
        <v>158.89500995022</v>
      </c>
      <c r="N122" s="9" t="n">
        <f aca="false">SUM(B122:M122)</f>
        <v>1765.500110558</v>
      </c>
      <c r="O122" s="9" t="n">
        <f aca="false">MAX(B122:M122)</f>
        <v>158.89500995022</v>
      </c>
      <c r="P122" s="43" t="n">
        <f aca="false">O122/(parametros_manuales!$B$7)</f>
        <v>1.0593000663348</v>
      </c>
      <c r="Q122" s="8" t="str">
        <f aca="false">IF(O122=0,"-",INDEX($B$109:$M$109,MATCH(O122,B122:M122,0)))</f>
        <v>Ene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datos_base!$F$2+datos_base!$F$18+IF(parametros_manuales!$H$32="Todos",datos_base!$F$9+datos_base!$F$23,0))*parametros_manuales!$B$95+parametros_manuales!$E$32*(datos_base!$F$3+datos_base!$F$19+IF(parametros_manuales!$H$32="Todos",datos_base!$F$10+datos_base!$F$24,0))*parametros_manuales!$B$100+parametros_manuales!$F$32*(datos_base!$F$4+datos_base!$F$20+IF(parametros_manuales!$H$32="Todos",datos_base!$F$11+datos_base!$F$25,0))*parametros_manuales!$B$105+parametros_manuales!$G$32*(datos_base!$F$5+datos_base!$F$21+IF(parametros_manuales!$H$32="Todos",datos_base!$F$12+datos_base!$F$26,0))*parametros_manuales!$B$110)*parametros_manuales!$I$32*parametros_manuales!$J$32</f>
        <v>7944.750497511</v>
      </c>
      <c r="C123" s="9" t="n">
        <f aca="false">(parametros_manuales!$D$32*(datos_base!$F$2+datos_base!$F$18+IF(parametros_manuales!$H$32="Todos",datos_base!$F$9+datos_base!$F$23,0))*parametros_manuales!$C$95+parametros_manuales!$E$32*(datos_base!$F$3+datos_base!$F$19+IF(parametros_manuales!$H$32="Todos",datos_base!$F$10+datos_base!$F$24,0))*parametros_manuales!$C$100+parametros_manuales!$F$32*(datos_base!$F$4+datos_base!$F$20+IF(parametros_manuales!$H$32="Todos",datos_base!$F$11+datos_base!$F$25,0))*parametros_manuales!$C$105+parametros_manuales!$G$32*(datos_base!$F$5+datos_base!$F$21+IF(parametros_manuales!$H$32="Todos",datos_base!$F$12+datos_base!$F$26,0))*parametros_manuales!$C$110)*parametros_manuales!$I$32*parametros_manuales!$J$32</f>
        <v>7683.154769332</v>
      </c>
      <c r="D123" s="9" t="n">
        <f aca="false">(parametros_manuales!$D$32*(datos_base!$F$2+datos_base!$F$18+IF(parametros_manuales!$H$32="Todos",datos_base!$F$9+datos_base!$F$23,0))*parametros_manuales!$D$95+parametros_manuales!$E$32*(datos_base!$F$3+datos_base!$F$19+IF(parametros_manuales!$H$32="Todos",datos_base!$F$10+datos_base!$F$24,0))*parametros_manuales!$D$100+parametros_manuales!$F$32*(datos_base!$F$4+datos_base!$F$20+IF(parametros_manuales!$H$32="Todos",datos_base!$F$11+datos_base!$F$25,0))*parametros_manuales!$D$105+parametros_manuales!$G$32*(datos_base!$F$5+datos_base!$F$21+IF(parametros_manuales!$H$32="Todos",datos_base!$F$12+datos_base!$F$26,0))*parametros_manuales!$D$110)*parametros_manuales!$I$32*parametros_manuales!$J$32</f>
        <v>7192.7983063215</v>
      </c>
      <c r="E123" s="9" t="n">
        <f aca="false">(parametros_manuales!$D$32*(datos_base!$F$2+datos_base!$F$18+IF(parametros_manuales!$H$32="Todos",datos_base!$F$9+datos_base!$F$23,0))*parametros_manuales!$E$95+parametros_manuales!$E$32*(datos_base!$F$3+datos_base!$F$19+IF(parametros_manuales!$H$32="Todos",datos_base!$F$10+datos_base!$F$24,0))*parametros_manuales!$E$100+parametros_manuales!$F$32*(datos_base!$F$4+datos_base!$F$20+IF(parametros_manuales!$H$32="Todos",datos_base!$F$11+datos_base!$F$25,0))*parametros_manuales!$E$105+parametros_manuales!$G$32*(datos_base!$F$5+datos_base!$F$21+IF(parametros_manuales!$H$32="Todos",datos_base!$F$12+datos_base!$F$26,0))*parametros_manuales!$E$110)*parametros_manuales!$I$32*parametros_manuales!$J$32</f>
        <v>6882.2211427715</v>
      </c>
      <c r="F123" s="9" t="n">
        <f aca="false">(parametros_manuales!$D$32*(datos_base!$F$2+datos_base!$F$18+IF(parametros_manuales!$H$32="Todos",datos_base!$F$9+datos_base!$F$23,0))*parametros_manuales!$F$95+parametros_manuales!$E$32*(datos_base!$F$3+datos_base!$F$19+IF(parametros_manuales!$H$32="Todos",datos_base!$F$10+datos_base!$F$24,0))*parametros_manuales!$F$100+parametros_manuales!$F$32*(datos_base!$F$4+datos_base!$F$20+IF(parametros_manuales!$H$32="Todos",datos_base!$F$11+datos_base!$F$25,0))*parametros_manuales!$F$105+parametros_manuales!$G$32*(datos_base!$F$5+datos_base!$F$21+IF(parametros_manuales!$H$32="Todos",datos_base!$F$12+datos_base!$F$26,0))*parametros_manuales!$F$110)*parametros_manuales!$I$32*parametros_manuales!$J$32</f>
        <v>6440.846115132</v>
      </c>
      <c r="G123" s="9" t="n">
        <f aca="false">(parametros_manuales!$D$32*(datos_base!$F$2+datos_base!$F$18+IF(parametros_manuales!$H$32="Todos",datos_base!$F$9+datos_base!$F$23,0))*parametros_manuales!$G$95+parametros_manuales!$E$32*(datos_base!$F$3+datos_base!$F$19+IF(parametros_manuales!$H$32="Todos",datos_base!$F$10+datos_base!$F$24,0))*parametros_manuales!$G$100+parametros_manuales!$F$32*(datos_base!$F$4+datos_base!$F$20+IF(parametros_manuales!$H$32="Todos",datos_base!$F$11+datos_base!$F$25,0))*parametros_manuales!$G$105+parametros_manuales!$G$32*(datos_base!$F$5+datos_base!$F$21+IF(parametros_manuales!$H$32="Todos",datos_base!$F$12+datos_base!$F$26,0))*parametros_manuales!$G$110)*parametros_manuales!$I$32*parametros_manuales!$J$32</f>
        <v>6310.0482510425</v>
      </c>
      <c r="H123" s="9" t="n">
        <f aca="false">(parametros_manuales!$D$32*(datos_base!$F$2+datos_base!$F$18+IF(parametros_manuales!$H$32="Todos",datos_base!$F$9+datos_base!$F$23,0))*parametros_manuales!$H$95+parametros_manuales!$E$32*(datos_base!$F$3+datos_base!$F$19+IF(parametros_manuales!$H$32="Todos",datos_base!$F$10+datos_base!$F$24,0))*parametros_manuales!$H$100+parametros_manuales!$F$32*(datos_base!$F$4+datos_base!$F$20+IF(parametros_manuales!$H$32="Todos",datos_base!$F$11+datos_base!$F$25,0))*parametros_manuales!$H$105+parametros_manuales!$G$32*(datos_base!$F$5+datos_base!$F$21+IF(parametros_manuales!$H$32="Todos",datos_base!$F$12+datos_base!$F$26,0))*parametros_manuales!$H$110)*parametros_manuales!$I$32*parametros_manuales!$J$32</f>
        <v>6751.423278682</v>
      </c>
      <c r="I123" s="9" t="n">
        <f aca="false">(parametros_manuales!$D$32*(datos_base!$F$2+datos_base!$F$18+IF(parametros_manuales!$H$32="Todos",datos_base!$F$9+datos_base!$F$23,0))*parametros_manuales!$I$95+parametros_manuales!$E$32*(datos_base!$F$3+datos_base!$F$19+IF(parametros_manuales!$H$32="Todos",datos_base!$F$10+datos_base!$F$24,0))*parametros_manuales!$I$100+parametros_manuales!$F$32*(datos_base!$F$4+datos_base!$F$20+IF(parametros_manuales!$H$32="Todos",datos_base!$F$11+datos_base!$F$25,0))*parametros_manuales!$I$105+parametros_manuales!$G$32*(datos_base!$F$5+datos_base!$F$21+IF(parametros_manuales!$H$32="Todos",datos_base!$F$12+datos_base!$F$26,0))*parametros_manuales!$I$110)*parametros_manuales!$I$32*parametros_manuales!$J$32</f>
        <v>7683.154769332</v>
      </c>
      <c r="J123" s="9" t="n">
        <f aca="false">(parametros_manuales!$D$32*(datos_base!$F$2+datos_base!$F$18+IF(parametros_manuales!$H$32="Todos",datos_base!$F$9+datos_base!$F$23,0))*parametros_manuales!$J$95+parametros_manuales!$E$32*(datos_base!$F$3+datos_base!$F$19+IF(parametros_manuales!$H$32="Todos",datos_base!$F$10+datos_base!$F$24,0))*parametros_manuales!$J$100+parametros_manuales!$F$32*(datos_base!$F$4+datos_base!$F$20+IF(parametros_manuales!$H$32="Todos",datos_base!$F$11+datos_base!$F$25,0))*parametros_manuales!$J$105+parametros_manuales!$G$32*(datos_base!$F$5+datos_base!$F$21+IF(parametros_manuales!$H$32="Todos",datos_base!$F$12+datos_base!$F$26,0))*parametros_manuales!$J$110)*parametros_manuales!$I$32*parametros_manuales!$J$32</f>
        <v>7683.154769332</v>
      </c>
      <c r="K123" s="9" t="n">
        <f aca="false">(parametros_manuales!$D$32*(datos_base!$F$2+datos_base!$F$18+IF(parametros_manuales!$H$32="Todos",datos_base!$F$9+datos_base!$F$23,0))*parametros_manuales!$K$95+parametros_manuales!$E$32*(datos_base!$F$3+datos_base!$F$19+IF(parametros_manuales!$H$32="Todos",datos_base!$F$10+datos_base!$F$24,0))*parametros_manuales!$K$100+parametros_manuales!$F$32*(datos_base!$F$4+datos_base!$F$20+IF(parametros_manuales!$H$32="Todos",datos_base!$F$11+datos_base!$F$25,0))*parametros_manuales!$K$105+parametros_manuales!$G$32*(datos_base!$F$5+datos_base!$F$21+IF(parametros_manuales!$H$32="Todos",datos_base!$F$12+datos_base!$F$26,0))*parametros_manuales!$K$110)*parametros_manuales!$I$32*parametros_manuales!$J$32</f>
        <v>7813.9526334215</v>
      </c>
      <c r="L123" s="9" t="n">
        <f aca="false">(parametros_manuales!$D$32*(datos_base!$F$2+datos_base!$F$18+IF(parametros_manuales!$H$32="Todos",datos_base!$F$9+datos_base!$F$23,0))*parametros_manuales!$L$95+parametros_manuales!$E$32*(datos_base!$F$3+datos_base!$F$19+IF(parametros_manuales!$H$32="Todos",datos_base!$F$10+datos_base!$F$24,0))*parametros_manuales!$L$100+parametros_manuales!$F$32*(datos_base!$F$4+datos_base!$F$20+IF(parametros_manuales!$H$32="Todos",datos_base!$F$11+datos_base!$F$25,0))*parametros_manuales!$L$105+parametros_manuales!$G$32*(datos_base!$F$5+datos_base!$F$21+IF(parametros_manuales!$H$32="Todos",datos_base!$F$12+datos_base!$F$26,0))*parametros_manuales!$L$110)*parametros_manuales!$I$32*parametros_manuales!$J$32</f>
        <v>7944.750497511</v>
      </c>
      <c r="M123" s="9" t="n">
        <f aca="false">(parametros_manuales!$D$32*(datos_base!$F$2+datos_base!$F$18+IF(parametros_manuales!$H$32="Todos",datos_base!$F$9+datos_base!$F$23,0))*parametros_manuales!$M$95+parametros_manuales!$E$32*(datos_base!$F$3+datos_base!$F$19+IF(parametros_manuales!$H$32="Todos",datos_base!$F$10+datos_base!$F$24,0))*parametros_manuales!$M$100+parametros_manuales!$F$32*(datos_base!$F$4+datos_base!$F$20+IF(parametros_manuales!$H$32="Todos",datos_base!$F$11+datos_base!$F$25,0))*parametros_manuales!$M$105+parametros_manuales!$G$32*(datos_base!$F$5+datos_base!$F$21+IF(parametros_manuales!$H$32="Todos",datos_base!$F$12+datos_base!$F$26,0))*parametros_manuales!$M$110)*parametros_manuales!$I$32*parametros_manuales!$J$32</f>
        <v>7944.750497511</v>
      </c>
      <c r="N123" s="9" t="n">
        <f aca="false">SUM(B123:M123)</f>
        <v>88275.0055279</v>
      </c>
      <c r="O123" s="9" t="n">
        <f aca="false">MAX(B123:M123)</f>
        <v>7944.750497511</v>
      </c>
      <c r="P123" s="43" t="n">
        <f aca="false">O123/(parametros_manuales!$B$7)</f>
        <v>52.96500331674</v>
      </c>
      <c r="Q123" s="8" t="str">
        <f aca="false">IF(O123=0,"-",INDEX($B$109:$M$109,MATCH(O123,B123:M123,0)))</f>
        <v>Ene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datos_base!$F$2+datos_base!$F$18+IF(parametros_manuales!$H$33="Todos",datos_base!$F$9+datos_base!$F$23,0))*parametros_manuales!$B$95+parametros_manuales!$E$33*(datos_base!$F$3+datos_base!$F$19+IF(parametros_manuales!$H$33="Todos",datos_base!$F$10+datos_base!$F$24,0))*parametros_manuales!$B$100+parametros_manuales!$F$33*(datos_base!$F$4+datos_base!$F$20+IF(parametros_manuales!$H$33="Todos",datos_base!$F$11+datos_base!$F$25,0))*parametros_manuales!$B$105+parametros_manuales!$G$33*(datos_base!$F$5+datos_base!$F$21+IF(parametros_manuales!$H$33="Todos",datos_base!$F$12+datos_base!$F$26,0))*parametros_manuales!$B$110)*parametros_manuales!$I$33*parametros_manuales!$J$33</f>
        <v>7944.750497511</v>
      </c>
      <c r="C124" s="9" t="n">
        <f aca="false">(parametros_manuales!$D$33*(datos_base!$F$2+datos_base!$F$18+IF(parametros_manuales!$H$33="Todos",datos_base!$F$9+datos_base!$F$23,0))*parametros_manuales!$C$95+parametros_manuales!$E$33*(datos_base!$F$3+datos_base!$F$19+IF(parametros_manuales!$H$33="Todos",datos_base!$F$10+datos_base!$F$24,0))*parametros_manuales!$C$100+parametros_manuales!$F$33*(datos_base!$F$4+datos_base!$F$20+IF(parametros_manuales!$H$33="Todos",datos_base!$F$11+datos_base!$F$25,0))*parametros_manuales!$C$105+parametros_manuales!$G$33*(datos_base!$F$5+datos_base!$F$21+IF(parametros_manuales!$H$33="Todos",datos_base!$F$12+datos_base!$F$26,0))*parametros_manuales!$C$110)*parametros_manuales!$I$33*parametros_manuales!$J$33</f>
        <v>7683.154769332</v>
      </c>
      <c r="D124" s="9" t="n">
        <f aca="false">(parametros_manuales!$D$33*(datos_base!$F$2+datos_base!$F$18+IF(parametros_manuales!$H$33="Todos",datos_base!$F$9+datos_base!$F$23,0))*parametros_manuales!$D$95+parametros_manuales!$E$33*(datos_base!$F$3+datos_base!$F$19+IF(parametros_manuales!$H$33="Todos",datos_base!$F$10+datos_base!$F$24,0))*parametros_manuales!$D$100+parametros_manuales!$F$33*(datos_base!$F$4+datos_base!$F$20+IF(parametros_manuales!$H$33="Todos",datos_base!$F$11+datos_base!$F$25,0))*parametros_manuales!$D$105+parametros_manuales!$G$33*(datos_base!$F$5+datos_base!$F$21+IF(parametros_manuales!$H$33="Todos",datos_base!$F$12+datos_base!$F$26,0))*parametros_manuales!$D$110)*parametros_manuales!$I$33*parametros_manuales!$J$33</f>
        <v>7192.7983063215</v>
      </c>
      <c r="E124" s="9" t="n">
        <f aca="false">(parametros_manuales!$D$33*(datos_base!$F$2+datos_base!$F$18+IF(parametros_manuales!$H$33="Todos",datos_base!$F$9+datos_base!$F$23,0))*parametros_manuales!$E$95+parametros_manuales!$E$33*(datos_base!$F$3+datos_base!$F$19+IF(parametros_manuales!$H$33="Todos",datos_base!$F$10+datos_base!$F$24,0))*parametros_manuales!$E$100+parametros_manuales!$F$33*(datos_base!$F$4+datos_base!$F$20+IF(parametros_manuales!$H$33="Todos",datos_base!$F$11+datos_base!$F$25,0))*parametros_manuales!$E$105+parametros_manuales!$G$33*(datos_base!$F$5+datos_base!$F$21+IF(parametros_manuales!$H$33="Todos",datos_base!$F$12+datos_base!$F$26,0))*parametros_manuales!$E$110)*parametros_manuales!$I$33*parametros_manuales!$J$33</f>
        <v>6882.2211427715</v>
      </c>
      <c r="F124" s="9" t="n">
        <f aca="false">(parametros_manuales!$D$33*(datos_base!$F$2+datos_base!$F$18+IF(parametros_manuales!$H$33="Todos",datos_base!$F$9+datos_base!$F$23,0))*parametros_manuales!$F$95+parametros_manuales!$E$33*(datos_base!$F$3+datos_base!$F$19+IF(parametros_manuales!$H$33="Todos",datos_base!$F$10+datos_base!$F$24,0))*parametros_manuales!$F$100+parametros_manuales!$F$33*(datos_base!$F$4+datos_base!$F$20+IF(parametros_manuales!$H$33="Todos",datos_base!$F$11+datos_base!$F$25,0))*parametros_manuales!$F$105+parametros_manuales!$G$33*(datos_base!$F$5+datos_base!$F$21+IF(parametros_manuales!$H$33="Todos",datos_base!$F$12+datos_base!$F$26,0))*parametros_manuales!$F$110)*parametros_manuales!$I$33*parametros_manuales!$J$33</f>
        <v>6440.846115132</v>
      </c>
      <c r="G124" s="9" t="n">
        <f aca="false">(parametros_manuales!$D$33*(datos_base!$F$2+datos_base!$F$18+IF(parametros_manuales!$H$33="Todos",datos_base!$F$9+datos_base!$F$23,0))*parametros_manuales!$G$95+parametros_manuales!$E$33*(datos_base!$F$3+datos_base!$F$19+IF(parametros_manuales!$H$33="Todos",datos_base!$F$10+datos_base!$F$24,0))*parametros_manuales!$G$100+parametros_manuales!$F$33*(datos_base!$F$4+datos_base!$F$20+IF(parametros_manuales!$H$33="Todos",datos_base!$F$11+datos_base!$F$25,0))*parametros_manuales!$G$105+parametros_manuales!$G$33*(datos_base!$F$5+datos_base!$F$21+IF(parametros_manuales!$H$33="Todos",datos_base!$F$12+datos_base!$F$26,0))*parametros_manuales!$G$110)*parametros_manuales!$I$33*parametros_manuales!$J$33</f>
        <v>6310.0482510425</v>
      </c>
      <c r="H124" s="9" t="n">
        <f aca="false">(parametros_manuales!$D$33*(datos_base!$F$2+datos_base!$F$18+IF(parametros_manuales!$H$33="Todos",datos_base!$F$9+datos_base!$F$23,0))*parametros_manuales!$H$95+parametros_manuales!$E$33*(datos_base!$F$3+datos_base!$F$19+IF(parametros_manuales!$H$33="Todos",datos_base!$F$10+datos_base!$F$24,0))*parametros_manuales!$H$100+parametros_manuales!$F$33*(datos_base!$F$4+datos_base!$F$20+IF(parametros_manuales!$H$33="Todos",datos_base!$F$11+datos_base!$F$25,0))*parametros_manuales!$H$105+parametros_manuales!$G$33*(datos_base!$F$5+datos_base!$F$21+IF(parametros_manuales!$H$33="Todos",datos_base!$F$12+datos_base!$F$26,0))*parametros_manuales!$H$110)*parametros_manuales!$I$33*parametros_manuales!$J$33</f>
        <v>6751.423278682</v>
      </c>
      <c r="I124" s="9" t="n">
        <f aca="false">(parametros_manuales!$D$33*(datos_base!$F$2+datos_base!$F$18+IF(parametros_manuales!$H$33="Todos",datos_base!$F$9+datos_base!$F$23,0))*parametros_manuales!$I$95+parametros_manuales!$E$33*(datos_base!$F$3+datos_base!$F$19+IF(parametros_manuales!$H$33="Todos",datos_base!$F$10+datos_base!$F$24,0))*parametros_manuales!$I$100+parametros_manuales!$F$33*(datos_base!$F$4+datos_base!$F$20+IF(parametros_manuales!$H$33="Todos",datos_base!$F$11+datos_base!$F$25,0))*parametros_manuales!$I$105+parametros_manuales!$G$33*(datos_base!$F$5+datos_base!$F$21+IF(parametros_manuales!$H$33="Todos",datos_base!$F$12+datos_base!$F$26,0))*parametros_manuales!$I$110)*parametros_manuales!$I$33*parametros_manuales!$J$33</f>
        <v>7683.154769332</v>
      </c>
      <c r="J124" s="9" t="n">
        <f aca="false">(parametros_manuales!$D$33*(datos_base!$F$2+datos_base!$F$18+IF(parametros_manuales!$H$33="Todos",datos_base!$F$9+datos_base!$F$23,0))*parametros_manuales!$J$95+parametros_manuales!$E$33*(datos_base!$F$3+datos_base!$F$19+IF(parametros_manuales!$H$33="Todos",datos_base!$F$10+datos_base!$F$24,0))*parametros_manuales!$J$100+parametros_manuales!$F$33*(datos_base!$F$4+datos_base!$F$20+IF(parametros_manuales!$H$33="Todos",datos_base!$F$11+datos_base!$F$25,0))*parametros_manuales!$J$105+parametros_manuales!$G$33*(datos_base!$F$5+datos_base!$F$21+IF(parametros_manuales!$H$33="Todos",datos_base!$F$12+datos_base!$F$26,0))*parametros_manuales!$J$110)*parametros_manuales!$I$33*parametros_manuales!$J$33</f>
        <v>7683.154769332</v>
      </c>
      <c r="K124" s="9" t="n">
        <f aca="false">(parametros_manuales!$D$33*(datos_base!$F$2+datos_base!$F$18+IF(parametros_manuales!$H$33="Todos",datos_base!$F$9+datos_base!$F$23,0))*parametros_manuales!$K$95+parametros_manuales!$E$33*(datos_base!$F$3+datos_base!$F$19+IF(parametros_manuales!$H$33="Todos",datos_base!$F$10+datos_base!$F$24,0))*parametros_manuales!$K$100+parametros_manuales!$F$33*(datos_base!$F$4+datos_base!$F$20+IF(parametros_manuales!$H$33="Todos",datos_base!$F$11+datos_base!$F$25,0))*parametros_manuales!$K$105+parametros_manuales!$G$33*(datos_base!$F$5+datos_base!$F$21+IF(parametros_manuales!$H$33="Todos",datos_base!$F$12+datos_base!$F$26,0))*parametros_manuales!$K$110)*parametros_manuales!$I$33*parametros_manuales!$J$33</f>
        <v>7813.9526334215</v>
      </c>
      <c r="L124" s="9" t="n">
        <f aca="false">(parametros_manuales!$D$33*(datos_base!$F$2+datos_base!$F$18+IF(parametros_manuales!$H$33="Todos",datos_base!$F$9+datos_base!$F$23,0))*parametros_manuales!$L$95+parametros_manuales!$E$33*(datos_base!$F$3+datos_base!$F$19+IF(parametros_manuales!$H$33="Todos",datos_base!$F$10+datos_base!$F$24,0))*parametros_manuales!$L$100+parametros_manuales!$F$33*(datos_base!$F$4+datos_base!$F$20+IF(parametros_manuales!$H$33="Todos",datos_base!$F$11+datos_base!$F$25,0))*parametros_manuales!$L$105+parametros_manuales!$G$33*(datos_base!$F$5+datos_base!$F$21+IF(parametros_manuales!$H$33="Todos",datos_base!$F$12+datos_base!$F$26,0))*parametros_manuales!$L$110)*parametros_manuales!$I$33*parametros_manuales!$J$33</f>
        <v>7944.750497511</v>
      </c>
      <c r="M124" s="9" t="n">
        <f aca="false">(parametros_manuales!$D$33*(datos_base!$F$2+datos_base!$F$18+IF(parametros_manuales!$H$33="Todos",datos_base!$F$9+datos_base!$F$23,0))*parametros_manuales!$M$95+parametros_manuales!$E$33*(datos_base!$F$3+datos_base!$F$19+IF(parametros_manuales!$H$33="Todos",datos_base!$F$10+datos_base!$F$24,0))*parametros_manuales!$M$100+parametros_manuales!$F$33*(datos_base!$F$4+datos_base!$F$20+IF(parametros_manuales!$H$33="Todos",datos_base!$F$11+datos_base!$F$25,0))*parametros_manuales!$M$105+parametros_manuales!$G$33*(datos_base!$F$5+datos_base!$F$21+IF(parametros_manuales!$H$33="Todos",datos_base!$F$12+datos_base!$F$26,0))*parametros_manuales!$M$110)*parametros_manuales!$I$33*parametros_manuales!$J$33</f>
        <v>7944.750497511</v>
      </c>
      <c r="N124" s="9" t="n">
        <f aca="false">SUM(B124:M124)</f>
        <v>88275.0055279</v>
      </c>
      <c r="O124" s="9" t="n">
        <f aca="false">MAX(B124:M124)</f>
        <v>7944.750497511</v>
      </c>
      <c r="P124" s="43" t="n">
        <f aca="false">O124/(parametros_manuales!$B$7)</f>
        <v>52.96500331674</v>
      </c>
      <c r="Q124" s="8" t="str">
        <f aca="false">IF(O124=0,"-",INDEX($B$109:$M$109,MATCH(O124,B124:M124,0)))</f>
        <v>Ene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datos_base!$F$2+datos_base!$F$18+IF(parametros_manuales!$H$34="Todos",datos_base!$F$9+datos_base!$F$23,0))*parametros_manuales!$B$95+parametros_manuales!$E$34*(datos_base!$F$3+datos_base!$F$19+IF(parametros_manuales!$H$34="Todos",datos_base!$F$10+datos_base!$F$24,0))*parametros_manuales!$B$100+parametros_manuales!$F$34*(datos_base!$F$4+datos_base!$F$20+IF(parametros_manuales!$H$34="Todos",datos_base!$F$11+datos_base!$F$25,0))*parametros_manuales!$B$105+parametros_manuales!$G$34*(datos_base!$F$5+datos_base!$F$21+IF(parametros_manuales!$H$34="Todos",datos_base!$F$12+datos_base!$F$26,0))*parametros_manuales!$B$110)*parametros_manuales!$I$34*parametros_manuales!$J$34</f>
        <v>7944.750497511</v>
      </c>
      <c r="C125" s="9" t="n">
        <f aca="false">(parametros_manuales!$D$34*(datos_base!$F$2+datos_base!$F$18+IF(parametros_manuales!$H$34="Todos",datos_base!$F$9+datos_base!$F$23,0))*parametros_manuales!$C$95+parametros_manuales!$E$34*(datos_base!$F$3+datos_base!$F$19+IF(parametros_manuales!$H$34="Todos",datos_base!$F$10+datos_base!$F$24,0))*parametros_manuales!$C$100+parametros_manuales!$F$34*(datos_base!$F$4+datos_base!$F$20+IF(parametros_manuales!$H$34="Todos",datos_base!$F$11+datos_base!$F$25,0))*parametros_manuales!$C$105+parametros_manuales!$G$34*(datos_base!$F$5+datos_base!$F$21+IF(parametros_manuales!$H$34="Todos",datos_base!$F$12+datos_base!$F$26,0))*parametros_manuales!$C$110)*parametros_manuales!$I$34*parametros_manuales!$J$34</f>
        <v>7683.154769332</v>
      </c>
      <c r="D125" s="9" t="n">
        <f aca="false">(parametros_manuales!$D$34*(datos_base!$F$2+datos_base!$F$18+IF(parametros_manuales!$H$34="Todos",datos_base!$F$9+datos_base!$F$23,0))*parametros_manuales!$D$95+parametros_manuales!$E$34*(datos_base!$F$3+datos_base!$F$19+IF(parametros_manuales!$H$34="Todos",datos_base!$F$10+datos_base!$F$24,0))*parametros_manuales!$D$100+parametros_manuales!$F$34*(datos_base!$F$4+datos_base!$F$20+IF(parametros_manuales!$H$34="Todos",datos_base!$F$11+datos_base!$F$25,0))*parametros_manuales!$D$105+parametros_manuales!$G$34*(datos_base!$F$5+datos_base!$F$21+IF(parametros_manuales!$H$34="Todos",datos_base!$F$12+datos_base!$F$26,0))*parametros_manuales!$D$110)*parametros_manuales!$I$34*parametros_manuales!$J$34</f>
        <v>7192.7983063215</v>
      </c>
      <c r="E125" s="9" t="n">
        <f aca="false">(parametros_manuales!$D$34*(datos_base!$F$2+datos_base!$F$18+IF(parametros_manuales!$H$34="Todos",datos_base!$F$9+datos_base!$F$23,0))*parametros_manuales!$E$95+parametros_manuales!$E$34*(datos_base!$F$3+datos_base!$F$19+IF(parametros_manuales!$H$34="Todos",datos_base!$F$10+datos_base!$F$24,0))*parametros_manuales!$E$100+parametros_manuales!$F$34*(datos_base!$F$4+datos_base!$F$20+IF(parametros_manuales!$H$34="Todos",datos_base!$F$11+datos_base!$F$25,0))*parametros_manuales!$E$105+parametros_manuales!$G$34*(datos_base!$F$5+datos_base!$F$21+IF(parametros_manuales!$H$34="Todos",datos_base!$F$12+datos_base!$F$26,0))*parametros_manuales!$E$110)*parametros_manuales!$I$34*parametros_manuales!$J$34</f>
        <v>6882.2211427715</v>
      </c>
      <c r="F125" s="9" t="n">
        <f aca="false">(parametros_manuales!$D$34*(datos_base!$F$2+datos_base!$F$18+IF(parametros_manuales!$H$34="Todos",datos_base!$F$9+datos_base!$F$23,0))*parametros_manuales!$F$95+parametros_manuales!$E$34*(datos_base!$F$3+datos_base!$F$19+IF(parametros_manuales!$H$34="Todos",datos_base!$F$10+datos_base!$F$24,0))*parametros_manuales!$F$100+parametros_manuales!$F$34*(datos_base!$F$4+datos_base!$F$20+IF(parametros_manuales!$H$34="Todos",datos_base!$F$11+datos_base!$F$25,0))*parametros_manuales!$F$105+parametros_manuales!$G$34*(datos_base!$F$5+datos_base!$F$21+IF(parametros_manuales!$H$34="Todos",datos_base!$F$12+datos_base!$F$26,0))*parametros_manuales!$F$110)*parametros_manuales!$I$34*parametros_manuales!$J$34</f>
        <v>6440.846115132</v>
      </c>
      <c r="G125" s="9" t="n">
        <f aca="false">(parametros_manuales!$D$34*(datos_base!$F$2+datos_base!$F$18+IF(parametros_manuales!$H$34="Todos",datos_base!$F$9+datos_base!$F$23,0))*parametros_manuales!$G$95+parametros_manuales!$E$34*(datos_base!$F$3+datos_base!$F$19+IF(parametros_manuales!$H$34="Todos",datos_base!$F$10+datos_base!$F$24,0))*parametros_manuales!$G$100+parametros_manuales!$F$34*(datos_base!$F$4+datos_base!$F$20+IF(parametros_manuales!$H$34="Todos",datos_base!$F$11+datos_base!$F$25,0))*parametros_manuales!$G$105+parametros_manuales!$G$34*(datos_base!$F$5+datos_base!$F$21+IF(parametros_manuales!$H$34="Todos",datos_base!$F$12+datos_base!$F$26,0))*parametros_manuales!$G$110)*parametros_manuales!$I$34*parametros_manuales!$J$34</f>
        <v>6310.0482510425</v>
      </c>
      <c r="H125" s="9" t="n">
        <f aca="false">(parametros_manuales!$D$34*(datos_base!$F$2+datos_base!$F$18+IF(parametros_manuales!$H$34="Todos",datos_base!$F$9+datos_base!$F$23,0))*parametros_manuales!$H$95+parametros_manuales!$E$34*(datos_base!$F$3+datos_base!$F$19+IF(parametros_manuales!$H$34="Todos",datos_base!$F$10+datos_base!$F$24,0))*parametros_manuales!$H$100+parametros_manuales!$F$34*(datos_base!$F$4+datos_base!$F$20+IF(parametros_manuales!$H$34="Todos",datos_base!$F$11+datos_base!$F$25,0))*parametros_manuales!$H$105+parametros_manuales!$G$34*(datos_base!$F$5+datos_base!$F$21+IF(parametros_manuales!$H$34="Todos",datos_base!$F$12+datos_base!$F$26,0))*parametros_manuales!$H$110)*parametros_manuales!$I$34*parametros_manuales!$J$34</f>
        <v>6751.423278682</v>
      </c>
      <c r="I125" s="9" t="n">
        <f aca="false">(parametros_manuales!$D$34*(datos_base!$F$2+datos_base!$F$18+IF(parametros_manuales!$H$34="Todos",datos_base!$F$9+datos_base!$F$23,0))*parametros_manuales!$I$95+parametros_manuales!$E$34*(datos_base!$F$3+datos_base!$F$19+IF(parametros_manuales!$H$34="Todos",datos_base!$F$10+datos_base!$F$24,0))*parametros_manuales!$I$100+parametros_manuales!$F$34*(datos_base!$F$4+datos_base!$F$20+IF(parametros_manuales!$H$34="Todos",datos_base!$F$11+datos_base!$F$25,0))*parametros_manuales!$I$105+parametros_manuales!$G$34*(datos_base!$F$5+datos_base!$F$21+IF(parametros_manuales!$H$34="Todos",datos_base!$F$12+datos_base!$F$26,0))*parametros_manuales!$I$110)*parametros_manuales!$I$34*parametros_manuales!$J$34</f>
        <v>7683.154769332</v>
      </c>
      <c r="J125" s="9" t="n">
        <f aca="false">(parametros_manuales!$D$34*(datos_base!$F$2+datos_base!$F$18+IF(parametros_manuales!$H$34="Todos",datos_base!$F$9+datos_base!$F$23,0))*parametros_manuales!$J$95+parametros_manuales!$E$34*(datos_base!$F$3+datos_base!$F$19+IF(parametros_manuales!$H$34="Todos",datos_base!$F$10+datos_base!$F$24,0))*parametros_manuales!$J$100+parametros_manuales!$F$34*(datos_base!$F$4+datos_base!$F$20+IF(parametros_manuales!$H$34="Todos",datos_base!$F$11+datos_base!$F$25,0))*parametros_manuales!$J$105+parametros_manuales!$G$34*(datos_base!$F$5+datos_base!$F$21+IF(parametros_manuales!$H$34="Todos",datos_base!$F$12+datos_base!$F$26,0))*parametros_manuales!$J$110)*parametros_manuales!$I$34*parametros_manuales!$J$34</f>
        <v>7683.154769332</v>
      </c>
      <c r="K125" s="9" t="n">
        <f aca="false">(parametros_manuales!$D$34*(datos_base!$F$2+datos_base!$F$18+IF(parametros_manuales!$H$34="Todos",datos_base!$F$9+datos_base!$F$23,0))*parametros_manuales!$K$95+parametros_manuales!$E$34*(datos_base!$F$3+datos_base!$F$19+IF(parametros_manuales!$H$34="Todos",datos_base!$F$10+datos_base!$F$24,0))*parametros_manuales!$K$100+parametros_manuales!$F$34*(datos_base!$F$4+datos_base!$F$20+IF(parametros_manuales!$H$34="Todos",datos_base!$F$11+datos_base!$F$25,0))*parametros_manuales!$K$105+parametros_manuales!$G$34*(datos_base!$F$5+datos_base!$F$21+IF(parametros_manuales!$H$34="Todos",datos_base!$F$12+datos_base!$F$26,0))*parametros_manuales!$K$110)*parametros_manuales!$I$34*parametros_manuales!$J$34</f>
        <v>7813.9526334215</v>
      </c>
      <c r="L125" s="9" t="n">
        <f aca="false">(parametros_manuales!$D$34*(datos_base!$F$2+datos_base!$F$18+IF(parametros_manuales!$H$34="Todos",datos_base!$F$9+datos_base!$F$23,0))*parametros_manuales!$L$95+parametros_manuales!$E$34*(datos_base!$F$3+datos_base!$F$19+IF(parametros_manuales!$H$34="Todos",datos_base!$F$10+datos_base!$F$24,0))*parametros_manuales!$L$100+parametros_manuales!$F$34*(datos_base!$F$4+datos_base!$F$20+IF(parametros_manuales!$H$34="Todos",datos_base!$F$11+datos_base!$F$25,0))*parametros_manuales!$L$105+parametros_manuales!$G$34*(datos_base!$F$5+datos_base!$F$21+IF(parametros_manuales!$H$34="Todos",datos_base!$F$12+datos_base!$F$26,0))*parametros_manuales!$L$110)*parametros_manuales!$I$34*parametros_manuales!$J$34</f>
        <v>7944.750497511</v>
      </c>
      <c r="M125" s="9" t="n">
        <f aca="false">(parametros_manuales!$D$34*(datos_base!$F$2+datos_base!$F$18+IF(parametros_manuales!$H$34="Todos",datos_base!$F$9+datos_base!$F$23,0))*parametros_manuales!$M$95+parametros_manuales!$E$34*(datos_base!$F$3+datos_base!$F$19+IF(parametros_manuales!$H$34="Todos",datos_base!$F$10+datos_base!$F$24,0))*parametros_manuales!$M$100+parametros_manuales!$F$34*(datos_base!$F$4+datos_base!$F$20+IF(parametros_manuales!$H$34="Todos",datos_base!$F$11+datos_base!$F$25,0))*parametros_manuales!$M$105+parametros_manuales!$G$34*(datos_base!$F$5+datos_base!$F$21+IF(parametros_manuales!$H$34="Todos",datos_base!$F$12+datos_base!$F$26,0))*parametros_manuales!$M$110)*parametros_manuales!$I$34*parametros_manuales!$J$34</f>
        <v>7944.750497511</v>
      </c>
      <c r="N125" s="9" t="n">
        <f aca="false">SUM(B125:M125)</f>
        <v>88275.0055279</v>
      </c>
      <c r="O125" s="9" t="n">
        <f aca="false">MAX(B125:M125)</f>
        <v>7944.750497511</v>
      </c>
      <c r="P125" s="43" t="n">
        <f aca="false">O125/(parametros_manuales!$B$7)</f>
        <v>52.96500331674</v>
      </c>
      <c r="Q125" s="8" t="str">
        <f aca="false">IF(O125=0,"-",INDEX($B$109:$M$109,MATCH(O125,B125:M125,0)))</f>
        <v>Ene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datos_base!$F$2+datos_base!$F$18+IF(parametros_manuales!$H$35="Todos",datos_base!$F$9+datos_base!$F$23,0))*parametros_manuales!$B$95+parametros_manuales!$E$35*(datos_base!$F$3+datos_base!$F$19+IF(parametros_manuales!$H$35="Todos",datos_base!$F$10+datos_base!$F$24,0))*parametros_manuales!$B$100+parametros_manuales!$F$35*(datos_base!$F$4+datos_base!$F$20+IF(parametros_manuales!$H$35="Todos",datos_base!$F$11+datos_base!$F$25,0))*parametros_manuales!$B$105+parametros_manuales!$G$35*(datos_base!$F$5+datos_base!$F$21+IF(parametros_manuales!$H$35="Todos",datos_base!$F$12+datos_base!$F$26,0))*parametros_manuales!$B$110)*parametros_manuales!$I$35*parametros_manuales!$J$35</f>
        <v>7944.750497511</v>
      </c>
      <c r="C126" s="9" t="n">
        <f aca="false">(parametros_manuales!$D$35*(datos_base!$F$2+datos_base!$F$18+IF(parametros_manuales!$H$35="Todos",datos_base!$F$9+datos_base!$F$23,0))*parametros_manuales!$C$95+parametros_manuales!$E$35*(datos_base!$F$3+datos_base!$F$19+IF(parametros_manuales!$H$35="Todos",datos_base!$F$10+datos_base!$F$24,0))*parametros_manuales!$C$100+parametros_manuales!$F$35*(datos_base!$F$4+datos_base!$F$20+IF(parametros_manuales!$H$35="Todos",datos_base!$F$11+datos_base!$F$25,0))*parametros_manuales!$C$105+parametros_manuales!$G$35*(datos_base!$F$5+datos_base!$F$21+IF(parametros_manuales!$H$35="Todos",datos_base!$F$12+datos_base!$F$26,0))*parametros_manuales!$C$110)*parametros_manuales!$I$35*parametros_manuales!$J$35</f>
        <v>7683.154769332</v>
      </c>
      <c r="D126" s="9" t="n">
        <f aca="false">(parametros_manuales!$D$35*(datos_base!$F$2+datos_base!$F$18+IF(parametros_manuales!$H$35="Todos",datos_base!$F$9+datos_base!$F$23,0))*parametros_manuales!$D$95+parametros_manuales!$E$35*(datos_base!$F$3+datos_base!$F$19+IF(parametros_manuales!$H$35="Todos",datos_base!$F$10+datos_base!$F$24,0))*parametros_manuales!$D$100+parametros_manuales!$F$35*(datos_base!$F$4+datos_base!$F$20+IF(parametros_manuales!$H$35="Todos",datos_base!$F$11+datos_base!$F$25,0))*parametros_manuales!$D$105+parametros_manuales!$G$35*(datos_base!$F$5+datos_base!$F$21+IF(parametros_manuales!$H$35="Todos",datos_base!$F$12+datos_base!$F$26,0))*parametros_manuales!$D$110)*parametros_manuales!$I$35*parametros_manuales!$J$35</f>
        <v>7192.7983063215</v>
      </c>
      <c r="E126" s="9" t="n">
        <f aca="false">(parametros_manuales!$D$35*(datos_base!$F$2+datos_base!$F$18+IF(parametros_manuales!$H$35="Todos",datos_base!$F$9+datos_base!$F$23,0))*parametros_manuales!$E$95+parametros_manuales!$E$35*(datos_base!$F$3+datos_base!$F$19+IF(parametros_manuales!$H$35="Todos",datos_base!$F$10+datos_base!$F$24,0))*parametros_manuales!$E$100+parametros_manuales!$F$35*(datos_base!$F$4+datos_base!$F$20+IF(parametros_manuales!$H$35="Todos",datos_base!$F$11+datos_base!$F$25,0))*parametros_manuales!$E$105+parametros_manuales!$G$35*(datos_base!$F$5+datos_base!$F$21+IF(parametros_manuales!$H$35="Todos",datos_base!$F$12+datos_base!$F$26,0))*parametros_manuales!$E$110)*parametros_manuales!$I$35*parametros_manuales!$J$35</f>
        <v>6882.2211427715</v>
      </c>
      <c r="F126" s="9" t="n">
        <f aca="false">(parametros_manuales!$D$35*(datos_base!$F$2+datos_base!$F$18+IF(parametros_manuales!$H$35="Todos",datos_base!$F$9+datos_base!$F$23,0))*parametros_manuales!$F$95+parametros_manuales!$E$35*(datos_base!$F$3+datos_base!$F$19+IF(parametros_manuales!$H$35="Todos",datos_base!$F$10+datos_base!$F$24,0))*parametros_manuales!$F$100+parametros_manuales!$F$35*(datos_base!$F$4+datos_base!$F$20+IF(parametros_manuales!$H$35="Todos",datos_base!$F$11+datos_base!$F$25,0))*parametros_manuales!$F$105+parametros_manuales!$G$35*(datos_base!$F$5+datos_base!$F$21+IF(parametros_manuales!$H$35="Todos",datos_base!$F$12+datos_base!$F$26,0))*parametros_manuales!$F$110)*parametros_manuales!$I$35*parametros_manuales!$J$35</f>
        <v>6440.846115132</v>
      </c>
      <c r="G126" s="9" t="n">
        <f aca="false">(parametros_manuales!$D$35*(datos_base!$F$2+datos_base!$F$18+IF(parametros_manuales!$H$35="Todos",datos_base!$F$9+datos_base!$F$23,0))*parametros_manuales!$G$95+parametros_manuales!$E$35*(datos_base!$F$3+datos_base!$F$19+IF(parametros_manuales!$H$35="Todos",datos_base!$F$10+datos_base!$F$24,0))*parametros_manuales!$G$100+parametros_manuales!$F$35*(datos_base!$F$4+datos_base!$F$20+IF(parametros_manuales!$H$35="Todos",datos_base!$F$11+datos_base!$F$25,0))*parametros_manuales!$G$105+parametros_manuales!$G$35*(datos_base!$F$5+datos_base!$F$21+IF(parametros_manuales!$H$35="Todos",datos_base!$F$12+datos_base!$F$26,0))*parametros_manuales!$G$110)*parametros_manuales!$I$35*parametros_manuales!$J$35</f>
        <v>6310.0482510425</v>
      </c>
      <c r="H126" s="9" t="n">
        <f aca="false">(parametros_manuales!$D$35*(datos_base!$F$2+datos_base!$F$18+IF(parametros_manuales!$H$35="Todos",datos_base!$F$9+datos_base!$F$23,0))*parametros_manuales!$H$95+parametros_manuales!$E$35*(datos_base!$F$3+datos_base!$F$19+IF(parametros_manuales!$H$35="Todos",datos_base!$F$10+datos_base!$F$24,0))*parametros_manuales!$H$100+parametros_manuales!$F$35*(datos_base!$F$4+datos_base!$F$20+IF(parametros_manuales!$H$35="Todos",datos_base!$F$11+datos_base!$F$25,0))*parametros_manuales!$H$105+parametros_manuales!$G$35*(datos_base!$F$5+datos_base!$F$21+IF(parametros_manuales!$H$35="Todos",datos_base!$F$12+datos_base!$F$26,0))*parametros_manuales!$H$110)*parametros_manuales!$I$35*parametros_manuales!$J$35</f>
        <v>6751.423278682</v>
      </c>
      <c r="I126" s="9" t="n">
        <f aca="false">(parametros_manuales!$D$35*(datos_base!$F$2+datos_base!$F$18+IF(parametros_manuales!$H$35="Todos",datos_base!$F$9+datos_base!$F$23,0))*parametros_manuales!$I$95+parametros_manuales!$E$35*(datos_base!$F$3+datos_base!$F$19+IF(parametros_manuales!$H$35="Todos",datos_base!$F$10+datos_base!$F$24,0))*parametros_manuales!$I$100+parametros_manuales!$F$35*(datos_base!$F$4+datos_base!$F$20+IF(parametros_manuales!$H$35="Todos",datos_base!$F$11+datos_base!$F$25,0))*parametros_manuales!$I$105+parametros_manuales!$G$35*(datos_base!$F$5+datos_base!$F$21+IF(parametros_manuales!$H$35="Todos",datos_base!$F$12+datos_base!$F$26,0))*parametros_manuales!$I$110)*parametros_manuales!$I$35*parametros_manuales!$J$35</f>
        <v>7683.154769332</v>
      </c>
      <c r="J126" s="9" t="n">
        <f aca="false">(parametros_manuales!$D$35*(datos_base!$F$2+datos_base!$F$18+IF(parametros_manuales!$H$35="Todos",datos_base!$F$9+datos_base!$F$23,0))*parametros_manuales!$J$95+parametros_manuales!$E$35*(datos_base!$F$3+datos_base!$F$19+IF(parametros_manuales!$H$35="Todos",datos_base!$F$10+datos_base!$F$24,0))*parametros_manuales!$J$100+parametros_manuales!$F$35*(datos_base!$F$4+datos_base!$F$20+IF(parametros_manuales!$H$35="Todos",datos_base!$F$11+datos_base!$F$25,0))*parametros_manuales!$J$105+parametros_manuales!$G$35*(datos_base!$F$5+datos_base!$F$21+IF(parametros_manuales!$H$35="Todos",datos_base!$F$12+datos_base!$F$26,0))*parametros_manuales!$J$110)*parametros_manuales!$I$35*parametros_manuales!$J$35</f>
        <v>7683.154769332</v>
      </c>
      <c r="K126" s="9" t="n">
        <f aca="false">(parametros_manuales!$D$35*(datos_base!$F$2+datos_base!$F$18+IF(parametros_manuales!$H$35="Todos",datos_base!$F$9+datos_base!$F$23,0))*parametros_manuales!$K$95+parametros_manuales!$E$35*(datos_base!$F$3+datos_base!$F$19+IF(parametros_manuales!$H$35="Todos",datos_base!$F$10+datos_base!$F$24,0))*parametros_manuales!$K$100+parametros_manuales!$F$35*(datos_base!$F$4+datos_base!$F$20+IF(parametros_manuales!$H$35="Todos",datos_base!$F$11+datos_base!$F$25,0))*parametros_manuales!$K$105+parametros_manuales!$G$35*(datos_base!$F$5+datos_base!$F$21+IF(parametros_manuales!$H$35="Todos",datos_base!$F$12+datos_base!$F$26,0))*parametros_manuales!$K$110)*parametros_manuales!$I$35*parametros_manuales!$J$35</f>
        <v>7813.9526334215</v>
      </c>
      <c r="L126" s="9" t="n">
        <f aca="false">(parametros_manuales!$D$35*(datos_base!$F$2+datos_base!$F$18+IF(parametros_manuales!$H$35="Todos",datos_base!$F$9+datos_base!$F$23,0))*parametros_manuales!$L$95+parametros_manuales!$E$35*(datos_base!$F$3+datos_base!$F$19+IF(parametros_manuales!$H$35="Todos",datos_base!$F$10+datos_base!$F$24,0))*parametros_manuales!$L$100+parametros_manuales!$F$35*(datos_base!$F$4+datos_base!$F$20+IF(parametros_manuales!$H$35="Todos",datos_base!$F$11+datos_base!$F$25,0))*parametros_manuales!$L$105+parametros_manuales!$G$35*(datos_base!$F$5+datos_base!$F$21+IF(parametros_manuales!$H$35="Todos",datos_base!$F$12+datos_base!$F$26,0))*parametros_manuales!$L$110)*parametros_manuales!$I$35*parametros_manuales!$J$35</f>
        <v>7944.750497511</v>
      </c>
      <c r="M126" s="9" t="n">
        <f aca="false">(parametros_manuales!$D$35*(datos_base!$F$2+datos_base!$F$18+IF(parametros_manuales!$H$35="Todos",datos_base!$F$9+datos_base!$F$23,0))*parametros_manuales!$M$95+parametros_manuales!$E$35*(datos_base!$F$3+datos_base!$F$19+IF(parametros_manuales!$H$35="Todos",datos_base!$F$10+datos_base!$F$24,0))*parametros_manuales!$M$100+parametros_manuales!$F$35*(datos_base!$F$4+datos_base!$F$20+IF(parametros_manuales!$H$35="Todos",datos_base!$F$11+datos_base!$F$25,0))*parametros_manuales!$M$105+parametros_manuales!$G$35*(datos_base!$F$5+datos_base!$F$21+IF(parametros_manuales!$H$35="Todos",datos_base!$F$12+datos_base!$F$26,0))*parametros_manuales!$M$110)*parametros_manuales!$I$35*parametros_manuales!$J$35</f>
        <v>7944.750497511</v>
      </c>
      <c r="N126" s="9" t="n">
        <f aca="false">SUM(B126:M126)</f>
        <v>88275.0055279</v>
      </c>
      <c r="O126" s="9" t="n">
        <f aca="false">MAX(B126:M126)</f>
        <v>7944.750497511</v>
      </c>
      <c r="P126" s="43" t="n">
        <f aca="false">O126/(parametros_manuales!$B$7)</f>
        <v>52.96500331674</v>
      </c>
      <c r="Q126" s="8" t="str">
        <f aca="false">IF(O126=0,"-",INDEX($B$109:$M$109,MATCH(O126,B126:M126,0)))</f>
        <v>Ene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datos_base!$F$2+datos_base!$F$18+IF(parametros_manuales!$H$36="Todos",datos_base!$F$9+datos_base!$F$23,0))*parametros_manuales!$B$95+parametros_manuales!$E$36*(datos_base!$F$3+datos_base!$F$19+IF(parametros_manuales!$H$36="Todos",datos_base!$F$10+datos_base!$F$24,0))*parametros_manuales!$B$100+parametros_manuales!$F$36*(datos_base!$F$4+datos_base!$F$20+IF(parametros_manuales!$H$36="Todos",datos_base!$F$11+datos_base!$F$25,0))*parametros_manuales!$B$105+parametros_manuales!$G$36*(datos_base!$F$5+datos_base!$F$21+IF(parametros_manuales!$H$36="Todos",datos_base!$F$12+datos_base!$F$26,0))*parametros_manuales!$B$110)*parametros_manuales!$I$36*parametros_manuales!$J$36</f>
        <v>397.23752487555</v>
      </c>
      <c r="C127" s="9" t="n">
        <f aca="false">(parametros_manuales!$D$36*(datos_base!$F$2+datos_base!$F$18+IF(parametros_manuales!$H$36="Todos",datos_base!$F$9+datos_base!$F$23,0))*parametros_manuales!$C$95+parametros_manuales!$E$36*(datos_base!$F$3+datos_base!$F$19+IF(parametros_manuales!$H$36="Todos",datos_base!$F$10+datos_base!$F$24,0))*parametros_manuales!$C$100+parametros_manuales!$F$36*(datos_base!$F$4+datos_base!$F$20+IF(parametros_manuales!$H$36="Todos",datos_base!$F$11+datos_base!$F$25,0))*parametros_manuales!$C$105+parametros_manuales!$G$36*(datos_base!$F$5+datos_base!$F$21+IF(parametros_manuales!$H$36="Todos",datos_base!$F$12+datos_base!$F$26,0))*parametros_manuales!$C$110)*parametros_manuales!$I$36*parametros_manuales!$J$36</f>
        <v>384.1577384666</v>
      </c>
      <c r="D127" s="9" t="n">
        <f aca="false">(parametros_manuales!$D$36*(datos_base!$F$2+datos_base!$F$18+IF(parametros_manuales!$H$36="Todos",datos_base!$F$9+datos_base!$F$23,0))*parametros_manuales!$D$95+parametros_manuales!$E$36*(datos_base!$F$3+datos_base!$F$19+IF(parametros_manuales!$H$36="Todos",datos_base!$F$10+datos_base!$F$24,0))*parametros_manuales!$D$100+parametros_manuales!$F$36*(datos_base!$F$4+datos_base!$F$20+IF(parametros_manuales!$H$36="Todos",datos_base!$F$11+datos_base!$F$25,0))*parametros_manuales!$D$105+parametros_manuales!$G$36*(datos_base!$F$5+datos_base!$F$21+IF(parametros_manuales!$H$36="Todos",datos_base!$F$12+datos_base!$F$26,0))*parametros_manuales!$D$110)*parametros_manuales!$I$36*parametros_manuales!$J$36</f>
        <v>359.639915316075</v>
      </c>
      <c r="E127" s="9" t="n">
        <f aca="false">(parametros_manuales!$D$36*(datos_base!$F$2+datos_base!$F$18+IF(parametros_manuales!$H$36="Todos",datos_base!$F$9+datos_base!$F$23,0))*parametros_manuales!$E$95+parametros_manuales!$E$36*(datos_base!$F$3+datos_base!$F$19+IF(parametros_manuales!$H$36="Todos",datos_base!$F$10+datos_base!$F$24,0))*parametros_manuales!$E$100+parametros_manuales!$F$36*(datos_base!$F$4+datos_base!$F$20+IF(parametros_manuales!$H$36="Todos",datos_base!$F$11+datos_base!$F$25,0))*parametros_manuales!$E$105+parametros_manuales!$G$36*(datos_base!$F$5+datos_base!$F$21+IF(parametros_manuales!$H$36="Todos",datos_base!$F$12+datos_base!$F$26,0))*parametros_manuales!$E$110)*parametros_manuales!$I$36*parametros_manuales!$J$36</f>
        <v>344.111057138575</v>
      </c>
      <c r="F127" s="9" t="n">
        <f aca="false">(parametros_manuales!$D$36*(datos_base!$F$2+datos_base!$F$18+IF(parametros_manuales!$H$36="Todos",datos_base!$F$9+datos_base!$F$23,0))*parametros_manuales!$F$95+parametros_manuales!$E$36*(datos_base!$F$3+datos_base!$F$19+IF(parametros_manuales!$H$36="Todos",datos_base!$F$10+datos_base!$F$24,0))*parametros_manuales!$F$100+parametros_manuales!$F$36*(datos_base!$F$4+datos_base!$F$20+IF(parametros_manuales!$H$36="Todos",datos_base!$F$11+datos_base!$F$25,0))*parametros_manuales!$F$105+parametros_manuales!$G$36*(datos_base!$F$5+datos_base!$F$21+IF(parametros_manuales!$H$36="Todos",datos_base!$F$12+datos_base!$F$26,0))*parametros_manuales!$F$110)*parametros_manuales!$I$36*parametros_manuales!$J$36</f>
        <v>322.0423057566</v>
      </c>
      <c r="G127" s="9" t="n">
        <f aca="false">(parametros_manuales!$D$36*(datos_base!$F$2+datos_base!$F$18+IF(parametros_manuales!$H$36="Todos",datos_base!$F$9+datos_base!$F$23,0))*parametros_manuales!$G$95+parametros_manuales!$E$36*(datos_base!$F$3+datos_base!$F$19+IF(parametros_manuales!$H$36="Todos",datos_base!$F$10+datos_base!$F$24,0))*parametros_manuales!$G$100+parametros_manuales!$F$36*(datos_base!$F$4+datos_base!$F$20+IF(parametros_manuales!$H$36="Todos",datos_base!$F$11+datos_base!$F$25,0))*parametros_manuales!$G$105+parametros_manuales!$G$36*(datos_base!$F$5+datos_base!$F$21+IF(parametros_manuales!$H$36="Todos",datos_base!$F$12+datos_base!$F$26,0))*parametros_manuales!$G$110)*parametros_manuales!$I$36*parametros_manuales!$J$36</f>
        <v>315.502412552125</v>
      </c>
      <c r="H127" s="9" t="n">
        <f aca="false">(parametros_manuales!$D$36*(datos_base!$F$2+datos_base!$F$18+IF(parametros_manuales!$H$36="Todos",datos_base!$F$9+datos_base!$F$23,0))*parametros_manuales!$H$95+parametros_manuales!$E$36*(datos_base!$F$3+datos_base!$F$19+IF(parametros_manuales!$H$36="Todos",datos_base!$F$10+datos_base!$F$24,0))*parametros_manuales!$H$100+parametros_manuales!$F$36*(datos_base!$F$4+datos_base!$F$20+IF(parametros_manuales!$H$36="Todos",datos_base!$F$11+datos_base!$F$25,0))*parametros_manuales!$H$105+parametros_manuales!$G$36*(datos_base!$F$5+datos_base!$F$21+IF(parametros_manuales!$H$36="Todos",datos_base!$F$12+datos_base!$F$26,0))*parametros_manuales!$H$110)*parametros_manuales!$I$36*parametros_manuales!$J$36</f>
        <v>337.5711639341</v>
      </c>
      <c r="I127" s="9" t="n">
        <f aca="false">(parametros_manuales!$D$36*(datos_base!$F$2+datos_base!$F$18+IF(parametros_manuales!$H$36="Todos",datos_base!$F$9+datos_base!$F$23,0))*parametros_manuales!$I$95+parametros_manuales!$E$36*(datos_base!$F$3+datos_base!$F$19+IF(parametros_manuales!$H$36="Todos",datos_base!$F$10+datos_base!$F$24,0))*parametros_manuales!$I$100+parametros_manuales!$F$36*(datos_base!$F$4+datos_base!$F$20+IF(parametros_manuales!$H$36="Todos",datos_base!$F$11+datos_base!$F$25,0))*parametros_manuales!$I$105+parametros_manuales!$G$36*(datos_base!$F$5+datos_base!$F$21+IF(parametros_manuales!$H$36="Todos",datos_base!$F$12+datos_base!$F$26,0))*parametros_manuales!$I$110)*parametros_manuales!$I$36*parametros_manuales!$J$36</f>
        <v>384.1577384666</v>
      </c>
      <c r="J127" s="9" t="n">
        <f aca="false">(parametros_manuales!$D$36*(datos_base!$F$2+datos_base!$F$18+IF(parametros_manuales!$H$36="Todos",datos_base!$F$9+datos_base!$F$23,0))*parametros_manuales!$J$95+parametros_manuales!$E$36*(datos_base!$F$3+datos_base!$F$19+IF(parametros_manuales!$H$36="Todos",datos_base!$F$10+datos_base!$F$24,0))*parametros_manuales!$J$100+parametros_manuales!$F$36*(datos_base!$F$4+datos_base!$F$20+IF(parametros_manuales!$H$36="Todos",datos_base!$F$11+datos_base!$F$25,0))*parametros_manuales!$J$105+parametros_manuales!$G$36*(datos_base!$F$5+datos_base!$F$21+IF(parametros_manuales!$H$36="Todos",datos_base!$F$12+datos_base!$F$26,0))*parametros_manuales!$J$110)*parametros_manuales!$I$36*parametros_manuales!$J$36</f>
        <v>384.1577384666</v>
      </c>
      <c r="K127" s="9" t="n">
        <f aca="false">(parametros_manuales!$D$36*(datos_base!$F$2+datos_base!$F$18+IF(parametros_manuales!$H$36="Todos",datos_base!$F$9+datos_base!$F$23,0))*parametros_manuales!$K$95+parametros_manuales!$E$36*(datos_base!$F$3+datos_base!$F$19+IF(parametros_manuales!$H$36="Todos",datos_base!$F$10+datos_base!$F$24,0))*parametros_manuales!$K$100+parametros_manuales!$F$36*(datos_base!$F$4+datos_base!$F$20+IF(parametros_manuales!$H$36="Todos",datos_base!$F$11+datos_base!$F$25,0))*parametros_manuales!$K$105+parametros_manuales!$G$36*(datos_base!$F$5+datos_base!$F$21+IF(parametros_manuales!$H$36="Todos",datos_base!$F$12+datos_base!$F$26,0))*parametros_manuales!$K$110)*parametros_manuales!$I$36*parametros_manuales!$J$36</f>
        <v>390.697631671075</v>
      </c>
      <c r="L127" s="9" t="n">
        <f aca="false">(parametros_manuales!$D$36*(datos_base!$F$2+datos_base!$F$18+IF(parametros_manuales!$H$36="Todos",datos_base!$F$9+datos_base!$F$23,0))*parametros_manuales!$L$95+parametros_manuales!$E$36*(datos_base!$F$3+datos_base!$F$19+IF(parametros_manuales!$H$36="Todos",datos_base!$F$10+datos_base!$F$24,0))*parametros_manuales!$L$100+parametros_manuales!$F$36*(datos_base!$F$4+datos_base!$F$20+IF(parametros_manuales!$H$36="Todos",datos_base!$F$11+datos_base!$F$25,0))*parametros_manuales!$L$105+parametros_manuales!$G$36*(datos_base!$F$5+datos_base!$F$21+IF(parametros_manuales!$H$36="Todos",datos_base!$F$12+datos_base!$F$26,0))*parametros_manuales!$L$110)*parametros_manuales!$I$36*parametros_manuales!$J$36</f>
        <v>397.23752487555</v>
      </c>
      <c r="M127" s="9" t="n">
        <f aca="false">(parametros_manuales!$D$36*(datos_base!$F$2+datos_base!$F$18+IF(parametros_manuales!$H$36="Todos",datos_base!$F$9+datos_base!$F$23,0))*parametros_manuales!$M$95+parametros_manuales!$E$36*(datos_base!$F$3+datos_base!$F$19+IF(parametros_manuales!$H$36="Todos",datos_base!$F$10+datos_base!$F$24,0))*parametros_manuales!$M$100+parametros_manuales!$F$36*(datos_base!$F$4+datos_base!$F$20+IF(parametros_manuales!$H$36="Todos",datos_base!$F$11+datos_base!$F$25,0))*parametros_manuales!$M$105+parametros_manuales!$G$36*(datos_base!$F$5+datos_base!$F$21+IF(parametros_manuales!$H$36="Todos",datos_base!$F$12+datos_base!$F$26,0))*parametros_manuales!$M$110)*parametros_manuales!$I$36*parametros_manuales!$J$36</f>
        <v>397.23752487555</v>
      </c>
      <c r="N127" s="9" t="n">
        <f aca="false">SUM(B127:M127)</f>
        <v>4413.750276395</v>
      </c>
      <c r="O127" s="9" t="n">
        <f aca="false">MAX(B127:M127)</f>
        <v>397.23752487555</v>
      </c>
      <c r="P127" s="43" t="n">
        <f aca="false">O127/(parametros_manuales!$B$7)</f>
        <v>2.648250165837</v>
      </c>
      <c r="Q127" s="8" t="str">
        <f aca="false">IF(O127=0,"-",INDEX($B$109:$M$109,MATCH(O127,B127:M127,0)))</f>
        <v>Ene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datos_base!$F$2+datos_base!$F$18+IF(parametros_manuales!$H$37="Todos",datos_base!$F$9+datos_base!$F$23,0))*parametros_manuales!$B$95+parametros_manuales!$E$37*(datos_base!$F$3+datos_base!$F$19+IF(parametros_manuales!$H$37="Todos",datos_base!$F$10+datos_base!$F$24,0))*parametros_manuales!$B$100+parametros_manuales!$F$37*(datos_base!$F$4+datos_base!$F$20+IF(parametros_manuales!$H$37="Todos",datos_base!$F$11+datos_base!$F$25,0))*parametros_manuales!$B$105+parametros_manuales!$G$37*(datos_base!$F$5+datos_base!$F$21+IF(parametros_manuales!$H$37="Todos",datos_base!$F$12+datos_base!$F$26,0))*parametros_manuales!$B$110)*parametros_manuales!$I$37*parametros_manuales!$J$37</f>
        <v>7944.750497511</v>
      </c>
      <c r="C128" s="9" t="n">
        <f aca="false">(parametros_manuales!$D$37*(datos_base!$F$2+datos_base!$F$18+IF(parametros_manuales!$H$37="Todos",datos_base!$F$9+datos_base!$F$23,0))*parametros_manuales!$C$95+parametros_manuales!$E$37*(datos_base!$F$3+datos_base!$F$19+IF(parametros_manuales!$H$37="Todos",datos_base!$F$10+datos_base!$F$24,0))*parametros_manuales!$C$100+parametros_manuales!$F$37*(datos_base!$F$4+datos_base!$F$20+IF(parametros_manuales!$H$37="Todos",datos_base!$F$11+datos_base!$F$25,0))*parametros_manuales!$C$105+parametros_manuales!$G$37*(datos_base!$F$5+datos_base!$F$21+IF(parametros_manuales!$H$37="Todos",datos_base!$F$12+datos_base!$F$26,0))*parametros_manuales!$C$110)*parametros_manuales!$I$37*parametros_manuales!$J$37</f>
        <v>7683.154769332</v>
      </c>
      <c r="D128" s="9" t="n">
        <f aca="false">(parametros_manuales!$D$37*(datos_base!$F$2+datos_base!$F$18+IF(parametros_manuales!$H$37="Todos",datos_base!$F$9+datos_base!$F$23,0))*parametros_manuales!$D$95+parametros_manuales!$E$37*(datos_base!$F$3+datos_base!$F$19+IF(parametros_manuales!$H$37="Todos",datos_base!$F$10+datos_base!$F$24,0))*parametros_manuales!$D$100+parametros_manuales!$F$37*(datos_base!$F$4+datos_base!$F$20+IF(parametros_manuales!$H$37="Todos",datos_base!$F$11+datos_base!$F$25,0))*parametros_manuales!$D$105+parametros_manuales!$G$37*(datos_base!$F$5+datos_base!$F$21+IF(parametros_manuales!$H$37="Todos",datos_base!$F$12+datos_base!$F$26,0))*parametros_manuales!$D$110)*parametros_manuales!$I$37*parametros_manuales!$J$37</f>
        <v>7192.7983063215</v>
      </c>
      <c r="E128" s="9" t="n">
        <f aca="false">(parametros_manuales!$D$37*(datos_base!$F$2+datos_base!$F$18+IF(parametros_manuales!$H$37="Todos",datos_base!$F$9+datos_base!$F$23,0))*parametros_manuales!$E$95+parametros_manuales!$E$37*(datos_base!$F$3+datos_base!$F$19+IF(parametros_manuales!$H$37="Todos",datos_base!$F$10+datos_base!$F$24,0))*parametros_manuales!$E$100+parametros_manuales!$F$37*(datos_base!$F$4+datos_base!$F$20+IF(parametros_manuales!$H$37="Todos",datos_base!$F$11+datos_base!$F$25,0))*parametros_manuales!$E$105+parametros_manuales!$G$37*(datos_base!$F$5+datos_base!$F$21+IF(parametros_manuales!$H$37="Todos",datos_base!$F$12+datos_base!$F$26,0))*parametros_manuales!$E$110)*parametros_manuales!$I$37*parametros_manuales!$J$37</f>
        <v>6882.2211427715</v>
      </c>
      <c r="F128" s="9" t="n">
        <f aca="false">(parametros_manuales!$D$37*(datos_base!$F$2+datos_base!$F$18+IF(parametros_manuales!$H$37="Todos",datos_base!$F$9+datos_base!$F$23,0))*parametros_manuales!$F$95+parametros_manuales!$E$37*(datos_base!$F$3+datos_base!$F$19+IF(parametros_manuales!$H$37="Todos",datos_base!$F$10+datos_base!$F$24,0))*parametros_manuales!$F$100+parametros_manuales!$F$37*(datos_base!$F$4+datos_base!$F$20+IF(parametros_manuales!$H$37="Todos",datos_base!$F$11+datos_base!$F$25,0))*parametros_manuales!$F$105+parametros_manuales!$G$37*(datos_base!$F$5+datos_base!$F$21+IF(parametros_manuales!$H$37="Todos",datos_base!$F$12+datos_base!$F$26,0))*parametros_manuales!$F$110)*parametros_manuales!$I$37*parametros_manuales!$J$37</f>
        <v>6440.846115132</v>
      </c>
      <c r="G128" s="9" t="n">
        <f aca="false">(parametros_manuales!$D$37*(datos_base!$F$2+datos_base!$F$18+IF(parametros_manuales!$H$37="Todos",datos_base!$F$9+datos_base!$F$23,0))*parametros_manuales!$G$95+parametros_manuales!$E$37*(datos_base!$F$3+datos_base!$F$19+IF(parametros_manuales!$H$37="Todos",datos_base!$F$10+datos_base!$F$24,0))*parametros_manuales!$G$100+parametros_manuales!$F$37*(datos_base!$F$4+datos_base!$F$20+IF(parametros_manuales!$H$37="Todos",datos_base!$F$11+datos_base!$F$25,0))*parametros_manuales!$G$105+parametros_manuales!$G$37*(datos_base!$F$5+datos_base!$F$21+IF(parametros_manuales!$H$37="Todos",datos_base!$F$12+datos_base!$F$26,0))*parametros_manuales!$G$110)*parametros_manuales!$I$37*parametros_manuales!$J$37</f>
        <v>6310.0482510425</v>
      </c>
      <c r="H128" s="9" t="n">
        <f aca="false">(parametros_manuales!$D$37*(datos_base!$F$2+datos_base!$F$18+IF(parametros_manuales!$H$37="Todos",datos_base!$F$9+datos_base!$F$23,0))*parametros_manuales!$H$95+parametros_manuales!$E$37*(datos_base!$F$3+datos_base!$F$19+IF(parametros_manuales!$H$37="Todos",datos_base!$F$10+datos_base!$F$24,0))*parametros_manuales!$H$100+parametros_manuales!$F$37*(datos_base!$F$4+datos_base!$F$20+IF(parametros_manuales!$H$37="Todos",datos_base!$F$11+datos_base!$F$25,0))*parametros_manuales!$H$105+parametros_manuales!$G$37*(datos_base!$F$5+datos_base!$F$21+IF(parametros_manuales!$H$37="Todos",datos_base!$F$12+datos_base!$F$26,0))*parametros_manuales!$H$110)*parametros_manuales!$I$37*parametros_manuales!$J$37</f>
        <v>6751.423278682</v>
      </c>
      <c r="I128" s="9" t="n">
        <f aca="false">(parametros_manuales!$D$37*(datos_base!$F$2+datos_base!$F$18+IF(parametros_manuales!$H$37="Todos",datos_base!$F$9+datos_base!$F$23,0))*parametros_manuales!$I$95+parametros_manuales!$E$37*(datos_base!$F$3+datos_base!$F$19+IF(parametros_manuales!$H$37="Todos",datos_base!$F$10+datos_base!$F$24,0))*parametros_manuales!$I$100+parametros_manuales!$F$37*(datos_base!$F$4+datos_base!$F$20+IF(parametros_manuales!$H$37="Todos",datos_base!$F$11+datos_base!$F$25,0))*parametros_manuales!$I$105+parametros_manuales!$G$37*(datos_base!$F$5+datos_base!$F$21+IF(parametros_manuales!$H$37="Todos",datos_base!$F$12+datos_base!$F$26,0))*parametros_manuales!$I$110)*parametros_manuales!$I$37*parametros_manuales!$J$37</f>
        <v>7683.154769332</v>
      </c>
      <c r="J128" s="9" t="n">
        <f aca="false">(parametros_manuales!$D$37*(datos_base!$F$2+datos_base!$F$18+IF(parametros_manuales!$H$37="Todos",datos_base!$F$9+datos_base!$F$23,0))*parametros_manuales!$J$95+parametros_manuales!$E$37*(datos_base!$F$3+datos_base!$F$19+IF(parametros_manuales!$H$37="Todos",datos_base!$F$10+datos_base!$F$24,0))*parametros_manuales!$J$100+parametros_manuales!$F$37*(datos_base!$F$4+datos_base!$F$20+IF(parametros_manuales!$H$37="Todos",datos_base!$F$11+datos_base!$F$25,0))*parametros_manuales!$J$105+parametros_manuales!$G$37*(datos_base!$F$5+datos_base!$F$21+IF(parametros_manuales!$H$37="Todos",datos_base!$F$12+datos_base!$F$26,0))*parametros_manuales!$J$110)*parametros_manuales!$I$37*parametros_manuales!$J$37</f>
        <v>7683.154769332</v>
      </c>
      <c r="K128" s="9" t="n">
        <f aca="false">(parametros_manuales!$D$37*(datos_base!$F$2+datos_base!$F$18+IF(parametros_manuales!$H$37="Todos",datos_base!$F$9+datos_base!$F$23,0))*parametros_manuales!$K$95+parametros_manuales!$E$37*(datos_base!$F$3+datos_base!$F$19+IF(parametros_manuales!$H$37="Todos",datos_base!$F$10+datos_base!$F$24,0))*parametros_manuales!$K$100+parametros_manuales!$F$37*(datos_base!$F$4+datos_base!$F$20+IF(parametros_manuales!$H$37="Todos",datos_base!$F$11+datos_base!$F$25,0))*parametros_manuales!$K$105+parametros_manuales!$G$37*(datos_base!$F$5+datos_base!$F$21+IF(parametros_manuales!$H$37="Todos",datos_base!$F$12+datos_base!$F$26,0))*parametros_manuales!$K$110)*parametros_manuales!$I$37*parametros_manuales!$J$37</f>
        <v>7813.9526334215</v>
      </c>
      <c r="L128" s="9" t="n">
        <f aca="false">(parametros_manuales!$D$37*(datos_base!$F$2+datos_base!$F$18+IF(parametros_manuales!$H$37="Todos",datos_base!$F$9+datos_base!$F$23,0))*parametros_manuales!$L$95+parametros_manuales!$E$37*(datos_base!$F$3+datos_base!$F$19+IF(parametros_manuales!$H$37="Todos",datos_base!$F$10+datos_base!$F$24,0))*parametros_manuales!$L$100+parametros_manuales!$F$37*(datos_base!$F$4+datos_base!$F$20+IF(parametros_manuales!$H$37="Todos",datos_base!$F$11+datos_base!$F$25,0))*parametros_manuales!$L$105+parametros_manuales!$G$37*(datos_base!$F$5+datos_base!$F$21+IF(parametros_manuales!$H$37="Todos",datos_base!$F$12+datos_base!$F$26,0))*parametros_manuales!$L$110)*parametros_manuales!$I$37*parametros_manuales!$J$37</f>
        <v>7944.750497511</v>
      </c>
      <c r="M128" s="9" t="n">
        <f aca="false">(parametros_manuales!$D$37*(datos_base!$F$2+datos_base!$F$18+IF(parametros_manuales!$H$37="Todos",datos_base!$F$9+datos_base!$F$23,0))*parametros_manuales!$M$95+parametros_manuales!$E$37*(datos_base!$F$3+datos_base!$F$19+IF(parametros_manuales!$H$37="Todos",datos_base!$F$10+datos_base!$F$24,0))*parametros_manuales!$M$100+parametros_manuales!$F$37*(datos_base!$F$4+datos_base!$F$20+IF(parametros_manuales!$H$37="Todos",datos_base!$F$11+datos_base!$F$25,0))*parametros_manuales!$M$105+parametros_manuales!$G$37*(datos_base!$F$5+datos_base!$F$21+IF(parametros_manuales!$H$37="Todos",datos_base!$F$12+datos_base!$F$26,0))*parametros_manuales!$M$110)*parametros_manuales!$I$37*parametros_manuales!$J$37</f>
        <v>7944.750497511</v>
      </c>
      <c r="N128" s="9" t="n">
        <f aca="false">SUM(B128:M128)</f>
        <v>88275.0055279</v>
      </c>
      <c r="O128" s="9" t="n">
        <f aca="false">MAX(B128:M128)</f>
        <v>7944.750497511</v>
      </c>
      <c r="P128" s="43" t="n">
        <f aca="false">O128/(parametros_manuales!$B$7)</f>
        <v>52.96500331674</v>
      </c>
      <c r="Q128" s="8" t="str">
        <f aca="false">IF(O128=0,"-",INDEX($B$109:$M$109,MATCH(O128,B128:M128,0)))</f>
        <v>Ene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datos_base!$F$2+datos_base!$F$18+IF(parametros_manuales!$H$38="Todos",datos_base!$F$9+datos_base!$F$23,0))*parametros_manuales!$B$95+parametros_manuales!$E$38*(datos_base!$F$3+datos_base!$F$19+IF(parametros_manuales!$H$38="Todos",datos_base!$F$10+datos_base!$F$24,0))*parametros_manuales!$B$100+parametros_manuales!$F$38*(datos_base!$F$4+datos_base!$F$20+IF(parametros_manuales!$H$38="Todos",datos_base!$F$11+datos_base!$F$25,0))*parametros_manuales!$B$105+parametros_manuales!$G$38*(datos_base!$F$5+datos_base!$F$21+IF(parametros_manuales!$H$38="Todos",datos_base!$F$12+datos_base!$F$26,0))*parametros_manuales!$B$110)*parametros_manuales!$I$38*parametros_manuales!$J$38</f>
        <v>2388.985697511</v>
      </c>
      <c r="C129" s="9" t="n">
        <f aca="false">(parametros_manuales!$D$38*(datos_base!$F$2+datos_base!$F$18+IF(parametros_manuales!$H$38="Todos",datos_base!$F$9+datos_base!$F$23,0))*parametros_manuales!$C$95+parametros_manuales!$E$38*(datos_base!$F$3+datos_base!$F$19+IF(parametros_manuales!$H$38="Todos",datos_base!$F$10+datos_base!$F$24,0))*parametros_manuales!$C$100+parametros_manuales!$F$38*(datos_base!$F$4+datos_base!$F$20+IF(parametros_manuales!$H$38="Todos",datos_base!$F$11+datos_base!$F$25,0))*parametros_manuales!$C$105+parametros_manuales!$G$38*(datos_base!$F$5+datos_base!$F$21+IF(parametros_manuales!$H$38="Todos",datos_base!$F$12+datos_base!$F$26,0))*parametros_manuales!$C$110)*parametros_manuales!$I$38*parametros_manuales!$J$38</f>
        <v>2250.349169332</v>
      </c>
      <c r="D129" s="9" t="n">
        <f aca="false">(parametros_manuales!$D$38*(datos_base!$F$2+datos_base!$F$18+IF(parametros_manuales!$H$38="Todos",datos_base!$F$9+datos_base!$F$23,0))*parametros_manuales!$D$95+parametros_manuales!$E$38*(datos_base!$F$3+datos_base!$F$19+IF(parametros_manuales!$H$38="Todos",datos_base!$F$10+datos_base!$F$24,0))*parametros_manuales!$D$100+parametros_manuales!$F$38*(datos_base!$F$4+datos_base!$F$20+IF(parametros_manuales!$H$38="Todos",datos_base!$F$11+datos_base!$F$25,0))*parametros_manuales!$D$105+parametros_manuales!$G$38*(datos_base!$F$5+datos_base!$F$21+IF(parametros_manuales!$H$38="Todos",datos_base!$F$12+datos_base!$F$26,0))*parametros_manuales!$D$110)*parametros_manuales!$I$38*parametros_manuales!$J$38</f>
        <v>2192.8611063215</v>
      </c>
      <c r="E129" s="9" t="n">
        <f aca="false">(parametros_manuales!$D$38*(datos_base!$F$2+datos_base!$F$18+IF(parametros_manuales!$H$38="Todos",datos_base!$F$9+datos_base!$F$23,0))*parametros_manuales!$E$95+parametros_manuales!$E$38*(datos_base!$F$3+datos_base!$F$19+IF(parametros_manuales!$H$38="Todos",datos_base!$F$10+datos_base!$F$24,0))*parametros_manuales!$E$100+parametros_manuales!$F$38*(datos_base!$F$4+datos_base!$F$20+IF(parametros_manuales!$H$38="Todos",datos_base!$F$11+datos_base!$F$25,0))*parametros_manuales!$E$105+parametros_manuales!$G$38*(datos_base!$F$5+datos_base!$F$21+IF(parametros_manuales!$H$38="Todos",datos_base!$F$12+datos_base!$F$26,0))*parametros_manuales!$E$110)*parametros_manuales!$I$38*parametros_manuales!$J$38</f>
        <v>2129.4579427715</v>
      </c>
      <c r="F129" s="9" t="n">
        <f aca="false">(parametros_manuales!$D$38*(datos_base!$F$2+datos_base!$F$18+IF(parametros_manuales!$H$38="Todos",datos_base!$F$9+datos_base!$F$23,0))*parametros_manuales!$F$95+parametros_manuales!$E$38*(datos_base!$F$3+datos_base!$F$19+IF(parametros_manuales!$H$38="Todos",datos_base!$F$10+datos_base!$F$24,0))*parametros_manuales!$F$100+parametros_manuales!$F$38*(datos_base!$F$4+datos_base!$F$20+IF(parametros_manuales!$H$38="Todos",datos_base!$F$11+datos_base!$F$25,0))*parametros_manuales!$F$105+parametros_manuales!$G$38*(datos_base!$F$5+datos_base!$F$21+IF(parametros_manuales!$H$38="Todos",datos_base!$F$12+datos_base!$F$26,0))*parametros_manuales!$F$110)*parametros_manuales!$I$38*parametros_manuales!$J$38</f>
        <v>1996.736515132</v>
      </c>
      <c r="G129" s="9" t="n">
        <f aca="false">(parametros_manuales!$D$38*(datos_base!$F$2+datos_base!$F$18+IF(parametros_manuales!$H$38="Todos",datos_base!$F$9+datos_base!$F$23,0))*parametros_manuales!$G$95+parametros_manuales!$E$38*(datos_base!$F$3+datos_base!$F$19+IF(parametros_manuales!$H$38="Todos",datos_base!$F$10+datos_base!$F$24,0))*parametros_manuales!$G$100+parametros_manuales!$F$38*(datos_base!$F$4+datos_base!$F$20+IF(parametros_manuales!$H$38="Todos",datos_base!$F$11+datos_base!$F$25,0))*parametros_manuales!$G$105+parametros_manuales!$G$38*(datos_base!$F$5+datos_base!$F$21+IF(parametros_manuales!$H$38="Todos",datos_base!$F$12+datos_base!$F$26,0))*parametros_manuales!$G$110)*parametros_manuales!$I$38*parametros_manuales!$J$38</f>
        <v>1927.4182510425</v>
      </c>
      <c r="H129" s="9" t="n">
        <f aca="false">(parametros_manuales!$D$38*(datos_base!$F$2+datos_base!$F$18+IF(parametros_manuales!$H$38="Todos",datos_base!$F$9+datos_base!$F$23,0))*parametros_manuales!$H$95+parametros_manuales!$E$38*(datos_base!$F$3+datos_base!$F$19+IF(parametros_manuales!$H$38="Todos",datos_base!$F$10+datos_base!$F$24,0))*parametros_manuales!$H$100+parametros_manuales!$F$38*(datos_base!$F$4+datos_base!$F$20+IF(parametros_manuales!$H$38="Todos",datos_base!$F$11+datos_base!$F$25,0))*parametros_manuales!$H$105+parametros_manuales!$G$38*(datos_base!$F$5+datos_base!$F$21+IF(parametros_manuales!$H$38="Todos",datos_base!$F$12+datos_base!$F$26,0))*parametros_manuales!$H$110)*parametros_manuales!$I$38*parametros_manuales!$J$38</f>
        <v>2060.139678682</v>
      </c>
      <c r="I129" s="9" t="n">
        <f aca="false">(parametros_manuales!$D$38*(datos_base!$F$2+datos_base!$F$18+IF(parametros_manuales!$H$38="Todos",datos_base!$F$9+datos_base!$F$23,0))*parametros_manuales!$I$95+parametros_manuales!$E$38*(datos_base!$F$3+datos_base!$F$19+IF(parametros_manuales!$H$38="Todos",datos_base!$F$10+datos_base!$F$24,0))*parametros_manuales!$I$100+parametros_manuales!$F$38*(datos_base!$F$4+datos_base!$F$20+IF(parametros_manuales!$H$38="Todos",datos_base!$F$11+datos_base!$F$25,0))*parametros_manuales!$I$105+parametros_manuales!$G$38*(datos_base!$F$5+datos_base!$F$21+IF(parametros_manuales!$H$38="Todos",datos_base!$F$12+datos_base!$F$26,0))*parametros_manuales!$I$110)*parametros_manuales!$I$38*parametros_manuales!$J$38</f>
        <v>2250.349169332</v>
      </c>
      <c r="J129" s="9" t="n">
        <f aca="false">(parametros_manuales!$D$38*(datos_base!$F$2+datos_base!$F$18+IF(parametros_manuales!$H$38="Todos",datos_base!$F$9+datos_base!$F$23,0))*parametros_manuales!$J$95+parametros_manuales!$E$38*(datos_base!$F$3+datos_base!$F$19+IF(parametros_manuales!$H$38="Todos",datos_base!$F$10+datos_base!$F$24,0))*parametros_manuales!$J$100+parametros_manuales!$F$38*(datos_base!$F$4+datos_base!$F$20+IF(parametros_manuales!$H$38="Todos",datos_base!$F$11+datos_base!$F$25,0))*parametros_manuales!$J$105+parametros_manuales!$G$38*(datos_base!$F$5+datos_base!$F$21+IF(parametros_manuales!$H$38="Todos",datos_base!$F$12+datos_base!$F$26,0))*parametros_manuales!$J$110)*parametros_manuales!$I$38*parametros_manuales!$J$38</f>
        <v>2250.349169332</v>
      </c>
      <c r="K129" s="9" t="n">
        <f aca="false">(parametros_manuales!$D$38*(datos_base!$F$2+datos_base!$F$18+IF(parametros_manuales!$H$38="Todos",datos_base!$F$9+datos_base!$F$23,0))*parametros_manuales!$K$95+parametros_manuales!$E$38*(datos_base!$F$3+datos_base!$F$19+IF(parametros_manuales!$H$38="Todos",datos_base!$F$10+datos_base!$F$24,0))*parametros_manuales!$K$100+parametros_manuales!$F$38*(datos_base!$F$4+datos_base!$F$20+IF(parametros_manuales!$H$38="Todos",datos_base!$F$11+datos_base!$F$25,0))*parametros_manuales!$K$105+parametros_manuales!$G$38*(datos_base!$F$5+datos_base!$F$21+IF(parametros_manuales!$H$38="Todos",datos_base!$F$12+datos_base!$F$26,0))*parametros_manuales!$K$110)*parametros_manuales!$I$38*parametros_manuales!$J$38</f>
        <v>2319.6674334215</v>
      </c>
      <c r="L129" s="9" t="n">
        <f aca="false">(parametros_manuales!$D$38*(datos_base!$F$2+datos_base!$F$18+IF(parametros_manuales!$H$38="Todos",datos_base!$F$9+datos_base!$F$23,0))*parametros_manuales!$L$95+parametros_manuales!$E$38*(datos_base!$F$3+datos_base!$F$19+IF(parametros_manuales!$H$38="Todos",datos_base!$F$10+datos_base!$F$24,0))*parametros_manuales!$L$100+parametros_manuales!$F$38*(datos_base!$F$4+datos_base!$F$20+IF(parametros_manuales!$H$38="Todos",datos_base!$F$11+datos_base!$F$25,0))*parametros_manuales!$L$105+parametros_manuales!$G$38*(datos_base!$F$5+datos_base!$F$21+IF(parametros_manuales!$H$38="Todos",datos_base!$F$12+datos_base!$F$26,0))*parametros_manuales!$L$110)*parametros_manuales!$I$38*parametros_manuales!$J$38</f>
        <v>2388.985697511</v>
      </c>
      <c r="M129" s="9" t="n">
        <f aca="false">(parametros_manuales!$D$38*(datos_base!$F$2+datos_base!$F$18+IF(parametros_manuales!$H$38="Todos",datos_base!$F$9+datos_base!$F$23,0))*parametros_manuales!$M$95+parametros_manuales!$E$38*(datos_base!$F$3+datos_base!$F$19+IF(parametros_manuales!$H$38="Todos",datos_base!$F$10+datos_base!$F$24,0))*parametros_manuales!$M$100+parametros_manuales!$F$38*(datos_base!$F$4+datos_base!$F$20+IF(parametros_manuales!$H$38="Todos",datos_base!$F$11+datos_base!$F$25,0))*parametros_manuales!$M$105+parametros_manuales!$G$38*(datos_base!$F$5+datos_base!$F$21+IF(parametros_manuales!$H$38="Todos",datos_base!$F$12+datos_base!$F$26,0))*parametros_manuales!$M$110)*parametros_manuales!$I$38*parametros_manuales!$J$38</f>
        <v>2388.985697511</v>
      </c>
      <c r="N129" s="9" t="n">
        <f aca="false">SUM(B129:M129)</f>
        <v>26544.2855279</v>
      </c>
      <c r="O129" s="9" t="n">
        <f aca="false">MAX(B129:M129)</f>
        <v>2388.985697511</v>
      </c>
      <c r="P129" s="43" t="n">
        <f aca="false">O129/(parametros_manuales!$B$7)</f>
        <v>15.92657131674</v>
      </c>
      <c r="Q129" s="8" t="str">
        <f aca="false">IF(O129=0,"-",INDEX($B$109:$M$109,MATCH(O129,B129:M129,0)))</f>
        <v>Ene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datos_base!$F$2+datos_base!$F$18+IF(parametros_manuales!$H$39="Todos",datos_base!$F$9+datos_base!$F$23,0))*parametros_manuales!$B$95+parametros_manuales!$E$39*(datos_base!$F$3+datos_base!$F$19+IF(parametros_manuales!$H$39="Todos",datos_base!$F$10+datos_base!$F$24,0))*parametros_manuales!$B$100+parametros_manuales!$F$39*(datos_base!$F$4+datos_base!$F$20+IF(parametros_manuales!$H$39="Todos",datos_base!$F$11+datos_base!$F$25,0))*parametros_manuales!$B$105+parametros_manuales!$G$39*(datos_base!$F$5+datos_base!$F$21+IF(parametros_manuales!$H$39="Todos",datos_base!$F$12+datos_base!$F$26,0))*parametros_manuales!$B$110)*parametros_manuales!$I$39*parametros_manuales!$J$39</f>
        <v>2388.985697511</v>
      </c>
      <c r="C130" s="9" t="n">
        <f aca="false">(parametros_manuales!$D$39*(datos_base!$F$2+datos_base!$F$18+IF(parametros_manuales!$H$39="Todos",datos_base!$F$9+datos_base!$F$23,0))*parametros_manuales!$C$95+parametros_manuales!$E$39*(datos_base!$F$3+datos_base!$F$19+IF(parametros_manuales!$H$39="Todos",datos_base!$F$10+datos_base!$F$24,0))*parametros_manuales!$C$100+parametros_manuales!$F$39*(datos_base!$F$4+datos_base!$F$20+IF(parametros_manuales!$H$39="Todos",datos_base!$F$11+datos_base!$F$25,0))*parametros_manuales!$C$105+parametros_manuales!$G$39*(datos_base!$F$5+datos_base!$F$21+IF(parametros_manuales!$H$39="Todos",datos_base!$F$12+datos_base!$F$26,0))*parametros_manuales!$C$110)*parametros_manuales!$I$39*parametros_manuales!$J$39</f>
        <v>2250.349169332</v>
      </c>
      <c r="D130" s="9" t="n">
        <f aca="false">(parametros_manuales!$D$39*(datos_base!$F$2+datos_base!$F$18+IF(parametros_manuales!$H$39="Todos",datos_base!$F$9+datos_base!$F$23,0))*parametros_manuales!$D$95+parametros_manuales!$E$39*(datos_base!$F$3+datos_base!$F$19+IF(parametros_manuales!$H$39="Todos",datos_base!$F$10+datos_base!$F$24,0))*parametros_manuales!$D$100+parametros_manuales!$F$39*(datos_base!$F$4+datos_base!$F$20+IF(parametros_manuales!$H$39="Todos",datos_base!$F$11+datos_base!$F$25,0))*parametros_manuales!$D$105+parametros_manuales!$G$39*(datos_base!$F$5+datos_base!$F$21+IF(parametros_manuales!$H$39="Todos",datos_base!$F$12+datos_base!$F$26,0))*parametros_manuales!$D$110)*parametros_manuales!$I$39*parametros_manuales!$J$39</f>
        <v>2192.8611063215</v>
      </c>
      <c r="E130" s="9" t="n">
        <f aca="false">(parametros_manuales!$D$39*(datos_base!$F$2+datos_base!$F$18+IF(parametros_manuales!$H$39="Todos",datos_base!$F$9+datos_base!$F$23,0))*parametros_manuales!$E$95+parametros_manuales!$E$39*(datos_base!$F$3+datos_base!$F$19+IF(parametros_manuales!$H$39="Todos",datos_base!$F$10+datos_base!$F$24,0))*parametros_manuales!$E$100+parametros_manuales!$F$39*(datos_base!$F$4+datos_base!$F$20+IF(parametros_manuales!$H$39="Todos",datos_base!$F$11+datos_base!$F$25,0))*parametros_manuales!$E$105+parametros_manuales!$G$39*(datos_base!$F$5+datos_base!$F$21+IF(parametros_manuales!$H$39="Todos",datos_base!$F$12+datos_base!$F$26,0))*parametros_manuales!$E$110)*parametros_manuales!$I$39*parametros_manuales!$J$39</f>
        <v>2129.4579427715</v>
      </c>
      <c r="F130" s="9" t="n">
        <f aca="false">(parametros_manuales!$D$39*(datos_base!$F$2+datos_base!$F$18+IF(parametros_manuales!$H$39="Todos",datos_base!$F$9+datos_base!$F$23,0))*parametros_manuales!$F$95+parametros_manuales!$E$39*(datos_base!$F$3+datos_base!$F$19+IF(parametros_manuales!$H$39="Todos",datos_base!$F$10+datos_base!$F$24,0))*parametros_manuales!$F$100+parametros_manuales!$F$39*(datos_base!$F$4+datos_base!$F$20+IF(parametros_manuales!$H$39="Todos",datos_base!$F$11+datos_base!$F$25,0))*parametros_manuales!$F$105+parametros_manuales!$G$39*(datos_base!$F$5+datos_base!$F$21+IF(parametros_manuales!$H$39="Todos",datos_base!$F$12+datos_base!$F$26,0))*parametros_manuales!$F$110)*parametros_manuales!$I$39*parametros_manuales!$J$39</f>
        <v>1996.736515132</v>
      </c>
      <c r="G130" s="9" t="n">
        <f aca="false">(parametros_manuales!$D$39*(datos_base!$F$2+datos_base!$F$18+IF(parametros_manuales!$H$39="Todos",datos_base!$F$9+datos_base!$F$23,0))*parametros_manuales!$G$95+parametros_manuales!$E$39*(datos_base!$F$3+datos_base!$F$19+IF(parametros_manuales!$H$39="Todos",datos_base!$F$10+datos_base!$F$24,0))*parametros_manuales!$G$100+parametros_manuales!$F$39*(datos_base!$F$4+datos_base!$F$20+IF(parametros_manuales!$H$39="Todos",datos_base!$F$11+datos_base!$F$25,0))*parametros_manuales!$G$105+parametros_manuales!$G$39*(datos_base!$F$5+datos_base!$F$21+IF(parametros_manuales!$H$39="Todos",datos_base!$F$12+datos_base!$F$26,0))*parametros_manuales!$G$110)*parametros_manuales!$I$39*parametros_manuales!$J$39</f>
        <v>1927.4182510425</v>
      </c>
      <c r="H130" s="9" t="n">
        <f aca="false">(parametros_manuales!$D$39*(datos_base!$F$2+datos_base!$F$18+IF(parametros_manuales!$H$39="Todos",datos_base!$F$9+datos_base!$F$23,0))*parametros_manuales!$H$95+parametros_manuales!$E$39*(datos_base!$F$3+datos_base!$F$19+IF(parametros_manuales!$H$39="Todos",datos_base!$F$10+datos_base!$F$24,0))*parametros_manuales!$H$100+parametros_manuales!$F$39*(datos_base!$F$4+datos_base!$F$20+IF(parametros_manuales!$H$39="Todos",datos_base!$F$11+datos_base!$F$25,0))*parametros_manuales!$H$105+parametros_manuales!$G$39*(datos_base!$F$5+datos_base!$F$21+IF(parametros_manuales!$H$39="Todos",datos_base!$F$12+datos_base!$F$26,0))*parametros_manuales!$H$110)*parametros_manuales!$I$39*parametros_manuales!$J$39</f>
        <v>2060.139678682</v>
      </c>
      <c r="I130" s="9" t="n">
        <f aca="false">(parametros_manuales!$D$39*(datos_base!$F$2+datos_base!$F$18+IF(parametros_manuales!$H$39="Todos",datos_base!$F$9+datos_base!$F$23,0))*parametros_manuales!$I$95+parametros_manuales!$E$39*(datos_base!$F$3+datos_base!$F$19+IF(parametros_manuales!$H$39="Todos",datos_base!$F$10+datos_base!$F$24,0))*parametros_manuales!$I$100+parametros_manuales!$F$39*(datos_base!$F$4+datos_base!$F$20+IF(parametros_manuales!$H$39="Todos",datos_base!$F$11+datos_base!$F$25,0))*parametros_manuales!$I$105+parametros_manuales!$G$39*(datos_base!$F$5+datos_base!$F$21+IF(parametros_manuales!$H$39="Todos",datos_base!$F$12+datos_base!$F$26,0))*parametros_manuales!$I$110)*parametros_manuales!$I$39*parametros_manuales!$J$39</f>
        <v>2250.349169332</v>
      </c>
      <c r="J130" s="9" t="n">
        <f aca="false">(parametros_manuales!$D$39*(datos_base!$F$2+datos_base!$F$18+IF(parametros_manuales!$H$39="Todos",datos_base!$F$9+datos_base!$F$23,0))*parametros_manuales!$J$95+parametros_manuales!$E$39*(datos_base!$F$3+datos_base!$F$19+IF(parametros_manuales!$H$39="Todos",datos_base!$F$10+datos_base!$F$24,0))*parametros_manuales!$J$100+parametros_manuales!$F$39*(datos_base!$F$4+datos_base!$F$20+IF(parametros_manuales!$H$39="Todos",datos_base!$F$11+datos_base!$F$25,0))*parametros_manuales!$J$105+parametros_manuales!$G$39*(datos_base!$F$5+datos_base!$F$21+IF(parametros_manuales!$H$39="Todos",datos_base!$F$12+datos_base!$F$26,0))*parametros_manuales!$J$110)*parametros_manuales!$I$39*parametros_manuales!$J$39</f>
        <v>2250.349169332</v>
      </c>
      <c r="K130" s="9" t="n">
        <f aca="false">(parametros_manuales!$D$39*(datos_base!$F$2+datos_base!$F$18+IF(parametros_manuales!$H$39="Todos",datos_base!$F$9+datos_base!$F$23,0))*parametros_manuales!$K$95+parametros_manuales!$E$39*(datos_base!$F$3+datos_base!$F$19+IF(parametros_manuales!$H$39="Todos",datos_base!$F$10+datos_base!$F$24,0))*parametros_manuales!$K$100+parametros_manuales!$F$39*(datos_base!$F$4+datos_base!$F$20+IF(parametros_manuales!$H$39="Todos",datos_base!$F$11+datos_base!$F$25,0))*parametros_manuales!$K$105+parametros_manuales!$G$39*(datos_base!$F$5+datos_base!$F$21+IF(parametros_manuales!$H$39="Todos",datos_base!$F$12+datos_base!$F$26,0))*parametros_manuales!$K$110)*parametros_manuales!$I$39*parametros_manuales!$J$39</f>
        <v>2319.6674334215</v>
      </c>
      <c r="L130" s="9" t="n">
        <f aca="false">(parametros_manuales!$D$39*(datos_base!$F$2+datos_base!$F$18+IF(parametros_manuales!$H$39="Todos",datos_base!$F$9+datos_base!$F$23,0))*parametros_manuales!$L$95+parametros_manuales!$E$39*(datos_base!$F$3+datos_base!$F$19+IF(parametros_manuales!$H$39="Todos",datos_base!$F$10+datos_base!$F$24,0))*parametros_manuales!$L$100+parametros_manuales!$F$39*(datos_base!$F$4+datos_base!$F$20+IF(parametros_manuales!$H$39="Todos",datos_base!$F$11+datos_base!$F$25,0))*parametros_manuales!$L$105+parametros_manuales!$G$39*(datos_base!$F$5+datos_base!$F$21+IF(parametros_manuales!$H$39="Todos",datos_base!$F$12+datos_base!$F$26,0))*parametros_manuales!$L$110)*parametros_manuales!$I$39*parametros_manuales!$J$39</f>
        <v>2388.985697511</v>
      </c>
      <c r="M130" s="9" t="n">
        <f aca="false">(parametros_manuales!$D$39*(datos_base!$F$2+datos_base!$F$18+IF(parametros_manuales!$H$39="Todos",datos_base!$F$9+datos_base!$F$23,0))*parametros_manuales!$M$95+parametros_manuales!$E$39*(datos_base!$F$3+datos_base!$F$19+IF(parametros_manuales!$H$39="Todos",datos_base!$F$10+datos_base!$F$24,0))*parametros_manuales!$M$100+parametros_manuales!$F$39*(datos_base!$F$4+datos_base!$F$20+IF(parametros_manuales!$H$39="Todos",datos_base!$F$11+datos_base!$F$25,0))*parametros_manuales!$M$105+parametros_manuales!$G$39*(datos_base!$F$5+datos_base!$F$21+IF(parametros_manuales!$H$39="Todos",datos_base!$F$12+datos_base!$F$26,0))*parametros_manuales!$M$110)*parametros_manuales!$I$39*parametros_manuales!$J$39</f>
        <v>2388.985697511</v>
      </c>
      <c r="N130" s="9" t="n">
        <f aca="false">SUM(B130:M130)</f>
        <v>26544.2855279</v>
      </c>
      <c r="O130" s="9" t="n">
        <f aca="false">MAX(B130:M130)</f>
        <v>2388.985697511</v>
      </c>
      <c r="P130" s="43" t="n">
        <f aca="false">O130/(parametros_manuales!$B$7)</f>
        <v>15.92657131674</v>
      </c>
      <c r="Q130" s="8" t="str">
        <f aca="false">IF(O130=0,"-",INDEX($B$109:$M$109,MATCH(O130,B130:M130,0)))</f>
        <v>Ene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datos_base!$F$2+datos_base!$F$18+IF(parametros_manuales!$H$40="Todos",datos_base!$F$9+datos_base!$F$23,0))*parametros_manuales!$B$95+parametros_manuales!$E$40*(datos_base!$F$3+datos_base!$F$19+IF(parametros_manuales!$H$40="Todos",datos_base!$F$10+datos_base!$F$24,0))*parametros_manuales!$B$100+parametros_manuales!$F$40*(datos_base!$F$4+datos_base!$F$20+IF(parametros_manuales!$H$40="Todos",datos_base!$F$11+datos_base!$F$25,0))*parametros_manuales!$B$105+parametros_manuales!$G$40*(datos_base!$F$5+datos_base!$F$21+IF(parametros_manuales!$H$40="Todos",datos_base!$F$12+datos_base!$F$26,0))*parametros_manuales!$B$110)*parametros_manuales!$I$40*parametros_manuales!$J$40</f>
        <v>2388.985697511</v>
      </c>
      <c r="C131" s="9" t="n">
        <f aca="false">(parametros_manuales!$D$40*(datos_base!$F$2+datos_base!$F$18+IF(parametros_manuales!$H$40="Todos",datos_base!$F$9+datos_base!$F$23,0))*parametros_manuales!$C$95+parametros_manuales!$E$40*(datos_base!$F$3+datos_base!$F$19+IF(parametros_manuales!$H$40="Todos",datos_base!$F$10+datos_base!$F$24,0))*parametros_manuales!$C$100+parametros_manuales!$F$40*(datos_base!$F$4+datos_base!$F$20+IF(parametros_manuales!$H$40="Todos",datos_base!$F$11+datos_base!$F$25,0))*parametros_manuales!$C$105+parametros_manuales!$G$40*(datos_base!$F$5+datos_base!$F$21+IF(parametros_manuales!$H$40="Todos",datos_base!$F$12+datos_base!$F$26,0))*parametros_manuales!$C$110)*parametros_manuales!$I$40*parametros_manuales!$J$40</f>
        <v>2250.349169332</v>
      </c>
      <c r="D131" s="9" t="n">
        <f aca="false">(parametros_manuales!$D$40*(datos_base!$F$2+datos_base!$F$18+IF(parametros_manuales!$H$40="Todos",datos_base!$F$9+datos_base!$F$23,0))*parametros_manuales!$D$95+parametros_manuales!$E$40*(datos_base!$F$3+datos_base!$F$19+IF(parametros_manuales!$H$40="Todos",datos_base!$F$10+datos_base!$F$24,0))*parametros_manuales!$D$100+parametros_manuales!$F$40*(datos_base!$F$4+datos_base!$F$20+IF(parametros_manuales!$H$40="Todos",datos_base!$F$11+datos_base!$F$25,0))*parametros_manuales!$D$105+parametros_manuales!$G$40*(datos_base!$F$5+datos_base!$F$21+IF(parametros_manuales!$H$40="Todos",datos_base!$F$12+datos_base!$F$26,0))*parametros_manuales!$D$110)*parametros_manuales!$I$40*parametros_manuales!$J$40</f>
        <v>2192.8611063215</v>
      </c>
      <c r="E131" s="9" t="n">
        <f aca="false">(parametros_manuales!$D$40*(datos_base!$F$2+datos_base!$F$18+IF(parametros_manuales!$H$40="Todos",datos_base!$F$9+datos_base!$F$23,0))*parametros_manuales!$E$95+parametros_manuales!$E$40*(datos_base!$F$3+datos_base!$F$19+IF(parametros_manuales!$H$40="Todos",datos_base!$F$10+datos_base!$F$24,0))*parametros_manuales!$E$100+parametros_manuales!$F$40*(datos_base!$F$4+datos_base!$F$20+IF(parametros_manuales!$H$40="Todos",datos_base!$F$11+datos_base!$F$25,0))*parametros_manuales!$E$105+parametros_manuales!$G$40*(datos_base!$F$5+datos_base!$F$21+IF(parametros_manuales!$H$40="Todos",datos_base!$F$12+datos_base!$F$26,0))*parametros_manuales!$E$110)*parametros_manuales!$I$40*parametros_manuales!$J$40</f>
        <v>2129.4579427715</v>
      </c>
      <c r="F131" s="9" t="n">
        <f aca="false">(parametros_manuales!$D$40*(datos_base!$F$2+datos_base!$F$18+IF(parametros_manuales!$H$40="Todos",datos_base!$F$9+datos_base!$F$23,0))*parametros_manuales!$F$95+parametros_manuales!$E$40*(datos_base!$F$3+datos_base!$F$19+IF(parametros_manuales!$H$40="Todos",datos_base!$F$10+datos_base!$F$24,0))*parametros_manuales!$F$100+parametros_manuales!$F$40*(datos_base!$F$4+datos_base!$F$20+IF(parametros_manuales!$H$40="Todos",datos_base!$F$11+datos_base!$F$25,0))*parametros_manuales!$F$105+parametros_manuales!$G$40*(datos_base!$F$5+datos_base!$F$21+IF(parametros_manuales!$H$40="Todos",datos_base!$F$12+datos_base!$F$26,0))*parametros_manuales!$F$110)*parametros_manuales!$I$40*parametros_manuales!$J$40</f>
        <v>1996.736515132</v>
      </c>
      <c r="G131" s="9" t="n">
        <f aca="false">(parametros_manuales!$D$40*(datos_base!$F$2+datos_base!$F$18+IF(parametros_manuales!$H$40="Todos",datos_base!$F$9+datos_base!$F$23,0))*parametros_manuales!$G$95+parametros_manuales!$E$40*(datos_base!$F$3+datos_base!$F$19+IF(parametros_manuales!$H$40="Todos",datos_base!$F$10+datos_base!$F$24,0))*parametros_manuales!$G$100+parametros_manuales!$F$40*(datos_base!$F$4+datos_base!$F$20+IF(parametros_manuales!$H$40="Todos",datos_base!$F$11+datos_base!$F$25,0))*parametros_manuales!$G$105+parametros_manuales!$G$40*(datos_base!$F$5+datos_base!$F$21+IF(parametros_manuales!$H$40="Todos",datos_base!$F$12+datos_base!$F$26,0))*parametros_manuales!$G$110)*parametros_manuales!$I$40*parametros_manuales!$J$40</f>
        <v>1927.4182510425</v>
      </c>
      <c r="H131" s="9" t="n">
        <f aca="false">(parametros_manuales!$D$40*(datos_base!$F$2+datos_base!$F$18+IF(parametros_manuales!$H$40="Todos",datos_base!$F$9+datos_base!$F$23,0))*parametros_manuales!$H$95+parametros_manuales!$E$40*(datos_base!$F$3+datos_base!$F$19+IF(parametros_manuales!$H$40="Todos",datos_base!$F$10+datos_base!$F$24,0))*parametros_manuales!$H$100+parametros_manuales!$F$40*(datos_base!$F$4+datos_base!$F$20+IF(parametros_manuales!$H$40="Todos",datos_base!$F$11+datos_base!$F$25,0))*parametros_manuales!$H$105+parametros_manuales!$G$40*(datos_base!$F$5+datos_base!$F$21+IF(parametros_manuales!$H$40="Todos",datos_base!$F$12+datos_base!$F$26,0))*parametros_manuales!$H$110)*parametros_manuales!$I$40*parametros_manuales!$J$40</f>
        <v>2060.139678682</v>
      </c>
      <c r="I131" s="9" t="n">
        <f aca="false">(parametros_manuales!$D$40*(datos_base!$F$2+datos_base!$F$18+IF(parametros_manuales!$H$40="Todos",datos_base!$F$9+datos_base!$F$23,0))*parametros_manuales!$I$95+parametros_manuales!$E$40*(datos_base!$F$3+datos_base!$F$19+IF(parametros_manuales!$H$40="Todos",datos_base!$F$10+datos_base!$F$24,0))*parametros_manuales!$I$100+parametros_manuales!$F$40*(datos_base!$F$4+datos_base!$F$20+IF(parametros_manuales!$H$40="Todos",datos_base!$F$11+datos_base!$F$25,0))*parametros_manuales!$I$105+parametros_manuales!$G$40*(datos_base!$F$5+datos_base!$F$21+IF(parametros_manuales!$H$40="Todos",datos_base!$F$12+datos_base!$F$26,0))*parametros_manuales!$I$110)*parametros_manuales!$I$40*parametros_manuales!$J$40</f>
        <v>2250.349169332</v>
      </c>
      <c r="J131" s="9" t="n">
        <f aca="false">(parametros_manuales!$D$40*(datos_base!$F$2+datos_base!$F$18+IF(parametros_manuales!$H$40="Todos",datos_base!$F$9+datos_base!$F$23,0))*parametros_manuales!$J$95+parametros_manuales!$E$40*(datos_base!$F$3+datos_base!$F$19+IF(parametros_manuales!$H$40="Todos",datos_base!$F$10+datos_base!$F$24,0))*parametros_manuales!$J$100+parametros_manuales!$F$40*(datos_base!$F$4+datos_base!$F$20+IF(parametros_manuales!$H$40="Todos",datos_base!$F$11+datos_base!$F$25,0))*parametros_manuales!$J$105+parametros_manuales!$G$40*(datos_base!$F$5+datos_base!$F$21+IF(parametros_manuales!$H$40="Todos",datos_base!$F$12+datos_base!$F$26,0))*parametros_manuales!$J$110)*parametros_manuales!$I$40*parametros_manuales!$J$40</f>
        <v>2250.349169332</v>
      </c>
      <c r="K131" s="9" t="n">
        <f aca="false">(parametros_manuales!$D$40*(datos_base!$F$2+datos_base!$F$18+IF(parametros_manuales!$H$40="Todos",datos_base!$F$9+datos_base!$F$23,0))*parametros_manuales!$K$95+parametros_manuales!$E$40*(datos_base!$F$3+datos_base!$F$19+IF(parametros_manuales!$H$40="Todos",datos_base!$F$10+datos_base!$F$24,0))*parametros_manuales!$K$100+parametros_manuales!$F$40*(datos_base!$F$4+datos_base!$F$20+IF(parametros_manuales!$H$40="Todos",datos_base!$F$11+datos_base!$F$25,0))*parametros_manuales!$K$105+parametros_manuales!$G$40*(datos_base!$F$5+datos_base!$F$21+IF(parametros_manuales!$H$40="Todos",datos_base!$F$12+datos_base!$F$26,0))*parametros_manuales!$K$110)*parametros_manuales!$I$40*parametros_manuales!$J$40</f>
        <v>2319.6674334215</v>
      </c>
      <c r="L131" s="9" t="n">
        <f aca="false">(parametros_manuales!$D$40*(datos_base!$F$2+datos_base!$F$18+IF(parametros_manuales!$H$40="Todos",datos_base!$F$9+datos_base!$F$23,0))*parametros_manuales!$L$95+parametros_manuales!$E$40*(datos_base!$F$3+datos_base!$F$19+IF(parametros_manuales!$H$40="Todos",datos_base!$F$10+datos_base!$F$24,0))*parametros_manuales!$L$100+parametros_manuales!$F$40*(datos_base!$F$4+datos_base!$F$20+IF(parametros_manuales!$H$40="Todos",datos_base!$F$11+datos_base!$F$25,0))*parametros_manuales!$L$105+parametros_manuales!$G$40*(datos_base!$F$5+datos_base!$F$21+IF(parametros_manuales!$H$40="Todos",datos_base!$F$12+datos_base!$F$26,0))*parametros_manuales!$L$110)*parametros_manuales!$I$40*parametros_manuales!$J$40</f>
        <v>2388.985697511</v>
      </c>
      <c r="M131" s="9" t="n">
        <f aca="false">(parametros_manuales!$D$40*(datos_base!$F$2+datos_base!$F$18+IF(parametros_manuales!$H$40="Todos",datos_base!$F$9+datos_base!$F$23,0))*parametros_manuales!$M$95+parametros_manuales!$E$40*(datos_base!$F$3+datos_base!$F$19+IF(parametros_manuales!$H$40="Todos",datos_base!$F$10+datos_base!$F$24,0))*parametros_manuales!$M$100+parametros_manuales!$F$40*(datos_base!$F$4+datos_base!$F$20+IF(parametros_manuales!$H$40="Todos",datos_base!$F$11+datos_base!$F$25,0))*parametros_manuales!$M$105+parametros_manuales!$G$40*(datos_base!$F$5+datos_base!$F$21+IF(parametros_manuales!$H$40="Todos",datos_base!$F$12+datos_base!$F$26,0))*parametros_manuales!$M$110)*parametros_manuales!$I$40*parametros_manuales!$J$40</f>
        <v>2388.985697511</v>
      </c>
      <c r="N131" s="9" t="n">
        <f aca="false">SUM(B131:M131)</f>
        <v>26544.2855279</v>
      </c>
      <c r="O131" s="9" t="n">
        <f aca="false">MAX(B131:M131)</f>
        <v>2388.985697511</v>
      </c>
      <c r="P131" s="43" t="n">
        <f aca="false">O131/(parametros_manuales!$B$7)</f>
        <v>15.92657131674</v>
      </c>
      <c r="Q131" s="8" t="str">
        <f aca="false">IF(O131=0,"-",INDEX($B$109:$M$109,MATCH(O131,B131:M131,0)))</f>
        <v>Ene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datos_base!$F$2+datos_base!$F$18+IF(parametros_manuales!$H$41="Todos",datos_base!$F$9+datos_base!$F$23,0))*parametros_manuales!$B$95+parametros_manuales!$E$41*(datos_base!$F$3+datos_base!$F$19+IF(parametros_manuales!$H$41="Todos",datos_base!$F$10+datos_base!$F$24,0))*parametros_manuales!$B$100+parametros_manuales!$F$41*(datos_base!$F$4+datos_base!$F$20+IF(parametros_manuales!$H$41="Todos",datos_base!$F$11+datos_base!$F$25,0))*parametros_manuales!$B$105+parametros_manuales!$G$41*(datos_base!$F$5+datos_base!$F$21+IF(parametros_manuales!$H$41="Todos",datos_base!$F$12+datos_base!$F$26,0))*parametros_manuales!$B$110)*parametros_manuales!$I$41*parametros_manuales!$J$41</f>
        <v>2388.985697511</v>
      </c>
      <c r="C132" s="9" t="n">
        <f aca="false">(parametros_manuales!$D$41*(datos_base!$F$2+datos_base!$F$18+IF(parametros_manuales!$H$41="Todos",datos_base!$F$9+datos_base!$F$23,0))*parametros_manuales!$C$95+parametros_manuales!$E$41*(datos_base!$F$3+datos_base!$F$19+IF(parametros_manuales!$H$41="Todos",datos_base!$F$10+datos_base!$F$24,0))*parametros_manuales!$C$100+parametros_manuales!$F$41*(datos_base!$F$4+datos_base!$F$20+IF(parametros_manuales!$H$41="Todos",datos_base!$F$11+datos_base!$F$25,0))*parametros_manuales!$C$105+parametros_manuales!$G$41*(datos_base!$F$5+datos_base!$F$21+IF(parametros_manuales!$H$41="Todos",datos_base!$F$12+datos_base!$F$26,0))*parametros_manuales!$C$110)*parametros_manuales!$I$41*parametros_manuales!$J$41</f>
        <v>2250.349169332</v>
      </c>
      <c r="D132" s="9" t="n">
        <f aca="false">(parametros_manuales!$D$41*(datos_base!$F$2+datos_base!$F$18+IF(parametros_manuales!$H$41="Todos",datos_base!$F$9+datos_base!$F$23,0))*parametros_manuales!$D$95+parametros_manuales!$E$41*(datos_base!$F$3+datos_base!$F$19+IF(parametros_manuales!$H$41="Todos",datos_base!$F$10+datos_base!$F$24,0))*parametros_manuales!$D$100+parametros_manuales!$F$41*(datos_base!$F$4+datos_base!$F$20+IF(parametros_manuales!$H$41="Todos",datos_base!$F$11+datos_base!$F$25,0))*parametros_manuales!$D$105+parametros_manuales!$G$41*(datos_base!$F$5+datos_base!$F$21+IF(parametros_manuales!$H$41="Todos",datos_base!$F$12+datos_base!$F$26,0))*parametros_manuales!$D$110)*parametros_manuales!$I$41*parametros_manuales!$J$41</f>
        <v>2192.8611063215</v>
      </c>
      <c r="E132" s="9" t="n">
        <f aca="false">(parametros_manuales!$D$41*(datos_base!$F$2+datos_base!$F$18+IF(parametros_manuales!$H$41="Todos",datos_base!$F$9+datos_base!$F$23,0))*parametros_manuales!$E$95+parametros_manuales!$E$41*(datos_base!$F$3+datos_base!$F$19+IF(parametros_manuales!$H$41="Todos",datos_base!$F$10+datos_base!$F$24,0))*parametros_manuales!$E$100+parametros_manuales!$F$41*(datos_base!$F$4+datos_base!$F$20+IF(parametros_manuales!$H$41="Todos",datos_base!$F$11+datos_base!$F$25,0))*parametros_manuales!$E$105+parametros_manuales!$G$41*(datos_base!$F$5+datos_base!$F$21+IF(parametros_manuales!$H$41="Todos",datos_base!$F$12+datos_base!$F$26,0))*parametros_manuales!$E$110)*parametros_manuales!$I$41*parametros_manuales!$J$41</f>
        <v>2129.4579427715</v>
      </c>
      <c r="F132" s="9" t="n">
        <f aca="false">(parametros_manuales!$D$41*(datos_base!$F$2+datos_base!$F$18+IF(parametros_manuales!$H$41="Todos",datos_base!$F$9+datos_base!$F$23,0))*parametros_manuales!$F$95+parametros_manuales!$E$41*(datos_base!$F$3+datos_base!$F$19+IF(parametros_manuales!$H$41="Todos",datos_base!$F$10+datos_base!$F$24,0))*parametros_manuales!$F$100+parametros_manuales!$F$41*(datos_base!$F$4+datos_base!$F$20+IF(parametros_manuales!$H$41="Todos",datos_base!$F$11+datos_base!$F$25,0))*parametros_manuales!$F$105+parametros_manuales!$G$41*(datos_base!$F$5+datos_base!$F$21+IF(parametros_manuales!$H$41="Todos",datos_base!$F$12+datos_base!$F$26,0))*parametros_manuales!$F$110)*parametros_manuales!$I$41*parametros_manuales!$J$41</f>
        <v>1996.736515132</v>
      </c>
      <c r="G132" s="9" t="n">
        <f aca="false">(parametros_manuales!$D$41*(datos_base!$F$2+datos_base!$F$18+IF(parametros_manuales!$H$41="Todos",datos_base!$F$9+datos_base!$F$23,0))*parametros_manuales!$G$95+parametros_manuales!$E$41*(datos_base!$F$3+datos_base!$F$19+IF(parametros_manuales!$H$41="Todos",datos_base!$F$10+datos_base!$F$24,0))*parametros_manuales!$G$100+parametros_manuales!$F$41*(datos_base!$F$4+datos_base!$F$20+IF(parametros_manuales!$H$41="Todos",datos_base!$F$11+datos_base!$F$25,0))*parametros_manuales!$G$105+parametros_manuales!$G$41*(datos_base!$F$5+datos_base!$F$21+IF(parametros_manuales!$H$41="Todos",datos_base!$F$12+datos_base!$F$26,0))*parametros_manuales!$G$110)*parametros_manuales!$I$41*parametros_manuales!$J$41</f>
        <v>1927.4182510425</v>
      </c>
      <c r="H132" s="9" t="n">
        <f aca="false">(parametros_manuales!$D$41*(datos_base!$F$2+datos_base!$F$18+IF(parametros_manuales!$H$41="Todos",datos_base!$F$9+datos_base!$F$23,0))*parametros_manuales!$H$95+parametros_manuales!$E$41*(datos_base!$F$3+datos_base!$F$19+IF(parametros_manuales!$H$41="Todos",datos_base!$F$10+datos_base!$F$24,0))*parametros_manuales!$H$100+parametros_manuales!$F$41*(datos_base!$F$4+datos_base!$F$20+IF(parametros_manuales!$H$41="Todos",datos_base!$F$11+datos_base!$F$25,0))*parametros_manuales!$H$105+parametros_manuales!$G$41*(datos_base!$F$5+datos_base!$F$21+IF(parametros_manuales!$H$41="Todos",datos_base!$F$12+datos_base!$F$26,0))*parametros_manuales!$H$110)*parametros_manuales!$I$41*parametros_manuales!$J$41</f>
        <v>2060.139678682</v>
      </c>
      <c r="I132" s="9" t="n">
        <f aca="false">(parametros_manuales!$D$41*(datos_base!$F$2+datos_base!$F$18+IF(parametros_manuales!$H$41="Todos",datos_base!$F$9+datos_base!$F$23,0))*parametros_manuales!$I$95+parametros_manuales!$E$41*(datos_base!$F$3+datos_base!$F$19+IF(parametros_manuales!$H$41="Todos",datos_base!$F$10+datos_base!$F$24,0))*parametros_manuales!$I$100+parametros_manuales!$F$41*(datos_base!$F$4+datos_base!$F$20+IF(parametros_manuales!$H$41="Todos",datos_base!$F$11+datos_base!$F$25,0))*parametros_manuales!$I$105+parametros_manuales!$G$41*(datos_base!$F$5+datos_base!$F$21+IF(parametros_manuales!$H$41="Todos",datos_base!$F$12+datos_base!$F$26,0))*parametros_manuales!$I$110)*parametros_manuales!$I$41*parametros_manuales!$J$41</f>
        <v>2250.349169332</v>
      </c>
      <c r="J132" s="9" t="n">
        <f aca="false">(parametros_manuales!$D$41*(datos_base!$F$2+datos_base!$F$18+IF(parametros_manuales!$H$41="Todos",datos_base!$F$9+datos_base!$F$23,0))*parametros_manuales!$J$95+parametros_manuales!$E$41*(datos_base!$F$3+datos_base!$F$19+IF(parametros_manuales!$H$41="Todos",datos_base!$F$10+datos_base!$F$24,0))*parametros_manuales!$J$100+parametros_manuales!$F$41*(datos_base!$F$4+datos_base!$F$20+IF(parametros_manuales!$H$41="Todos",datos_base!$F$11+datos_base!$F$25,0))*parametros_manuales!$J$105+parametros_manuales!$G$41*(datos_base!$F$5+datos_base!$F$21+IF(parametros_manuales!$H$41="Todos",datos_base!$F$12+datos_base!$F$26,0))*parametros_manuales!$J$110)*parametros_manuales!$I$41*parametros_manuales!$J$41</f>
        <v>2250.349169332</v>
      </c>
      <c r="K132" s="9" t="n">
        <f aca="false">(parametros_manuales!$D$41*(datos_base!$F$2+datos_base!$F$18+IF(parametros_manuales!$H$41="Todos",datos_base!$F$9+datos_base!$F$23,0))*parametros_manuales!$K$95+parametros_manuales!$E$41*(datos_base!$F$3+datos_base!$F$19+IF(parametros_manuales!$H$41="Todos",datos_base!$F$10+datos_base!$F$24,0))*parametros_manuales!$K$100+parametros_manuales!$F$41*(datos_base!$F$4+datos_base!$F$20+IF(parametros_manuales!$H$41="Todos",datos_base!$F$11+datos_base!$F$25,0))*parametros_manuales!$K$105+parametros_manuales!$G$41*(datos_base!$F$5+datos_base!$F$21+IF(parametros_manuales!$H$41="Todos",datos_base!$F$12+datos_base!$F$26,0))*parametros_manuales!$K$110)*parametros_manuales!$I$41*parametros_manuales!$J$41</f>
        <v>2319.6674334215</v>
      </c>
      <c r="L132" s="9" t="n">
        <f aca="false">(parametros_manuales!$D$41*(datos_base!$F$2+datos_base!$F$18+IF(parametros_manuales!$H$41="Todos",datos_base!$F$9+datos_base!$F$23,0))*parametros_manuales!$L$95+parametros_manuales!$E$41*(datos_base!$F$3+datos_base!$F$19+IF(parametros_manuales!$H$41="Todos",datos_base!$F$10+datos_base!$F$24,0))*parametros_manuales!$L$100+parametros_manuales!$F$41*(datos_base!$F$4+datos_base!$F$20+IF(parametros_manuales!$H$41="Todos",datos_base!$F$11+datos_base!$F$25,0))*parametros_manuales!$L$105+parametros_manuales!$G$41*(datos_base!$F$5+datos_base!$F$21+IF(parametros_manuales!$H$41="Todos",datos_base!$F$12+datos_base!$F$26,0))*parametros_manuales!$L$110)*parametros_manuales!$I$41*parametros_manuales!$J$41</f>
        <v>2388.985697511</v>
      </c>
      <c r="M132" s="9" t="n">
        <f aca="false">(parametros_manuales!$D$41*(datos_base!$F$2+datos_base!$F$18+IF(parametros_manuales!$H$41="Todos",datos_base!$F$9+datos_base!$F$23,0))*parametros_manuales!$M$95+parametros_manuales!$E$41*(datos_base!$F$3+datos_base!$F$19+IF(parametros_manuales!$H$41="Todos",datos_base!$F$10+datos_base!$F$24,0))*parametros_manuales!$M$100+parametros_manuales!$F$41*(datos_base!$F$4+datos_base!$F$20+IF(parametros_manuales!$H$41="Todos",datos_base!$F$11+datos_base!$F$25,0))*parametros_manuales!$M$105+parametros_manuales!$G$41*(datos_base!$F$5+datos_base!$F$21+IF(parametros_manuales!$H$41="Todos",datos_base!$F$12+datos_base!$F$26,0))*parametros_manuales!$M$110)*parametros_manuales!$I$41*parametros_manuales!$J$41</f>
        <v>2388.985697511</v>
      </c>
      <c r="N132" s="9" t="n">
        <f aca="false">SUM(B132:M132)</f>
        <v>26544.2855279</v>
      </c>
      <c r="O132" s="9" t="n">
        <f aca="false">MAX(B132:M132)</f>
        <v>2388.985697511</v>
      </c>
      <c r="P132" s="43" t="n">
        <f aca="false">O132/(parametros_manuales!$B$7)</f>
        <v>15.92657131674</v>
      </c>
      <c r="Q132" s="8" t="str">
        <f aca="false">IF(O132=0,"-",INDEX($B$109:$M$109,MATCH(O132,B132:M132,0)))</f>
        <v>Ene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datos_base!$F$2+datos_base!$F$18+IF(parametros_manuales!$H$42="Todos",datos_base!$F$9+datos_base!$F$23,0))*parametros_manuales!$B$95+parametros_manuales!$E$42*(datos_base!$F$3+datos_base!$F$19+IF(parametros_manuales!$H$42="Todos",datos_base!$F$10+datos_base!$F$24,0))*parametros_manuales!$B$100+parametros_manuales!$F$42*(datos_base!$F$4+datos_base!$F$20+IF(parametros_manuales!$H$42="Todos",datos_base!$F$11+datos_base!$F$25,0))*parametros_manuales!$B$105+parametros_manuales!$G$42*(datos_base!$F$5+datos_base!$F$21+IF(parametros_manuales!$H$42="Todos",datos_base!$F$12+datos_base!$F$26,0))*parametros_manuales!$B$110)*parametros_manuales!$I$42*parametros_manuales!$J$42</f>
        <v>2388.985697511</v>
      </c>
      <c r="C133" s="9" t="n">
        <f aca="false">(parametros_manuales!$D$42*(datos_base!$F$2+datos_base!$F$18+IF(parametros_manuales!$H$42="Todos",datos_base!$F$9+datos_base!$F$23,0))*parametros_manuales!$C$95+parametros_manuales!$E$42*(datos_base!$F$3+datos_base!$F$19+IF(parametros_manuales!$H$42="Todos",datos_base!$F$10+datos_base!$F$24,0))*parametros_manuales!$C$100+parametros_manuales!$F$42*(datos_base!$F$4+datos_base!$F$20+IF(parametros_manuales!$H$42="Todos",datos_base!$F$11+datos_base!$F$25,0))*parametros_manuales!$C$105+parametros_manuales!$G$42*(datos_base!$F$5+datos_base!$F$21+IF(parametros_manuales!$H$42="Todos",datos_base!$F$12+datos_base!$F$26,0))*parametros_manuales!$C$110)*parametros_manuales!$I$42*parametros_manuales!$J$42</f>
        <v>2250.349169332</v>
      </c>
      <c r="D133" s="9" t="n">
        <f aca="false">(parametros_manuales!$D$42*(datos_base!$F$2+datos_base!$F$18+IF(parametros_manuales!$H$42="Todos",datos_base!$F$9+datos_base!$F$23,0))*parametros_manuales!$D$95+parametros_manuales!$E$42*(datos_base!$F$3+datos_base!$F$19+IF(parametros_manuales!$H$42="Todos",datos_base!$F$10+datos_base!$F$24,0))*parametros_manuales!$D$100+parametros_manuales!$F$42*(datos_base!$F$4+datos_base!$F$20+IF(parametros_manuales!$H$42="Todos",datos_base!$F$11+datos_base!$F$25,0))*parametros_manuales!$D$105+parametros_manuales!$G$42*(datos_base!$F$5+datos_base!$F$21+IF(parametros_manuales!$H$42="Todos",datos_base!$F$12+datos_base!$F$26,0))*parametros_manuales!$D$110)*parametros_manuales!$I$42*parametros_manuales!$J$42</f>
        <v>2192.8611063215</v>
      </c>
      <c r="E133" s="9" t="n">
        <f aca="false">(parametros_manuales!$D$42*(datos_base!$F$2+datos_base!$F$18+IF(parametros_manuales!$H$42="Todos",datos_base!$F$9+datos_base!$F$23,0))*parametros_manuales!$E$95+parametros_manuales!$E$42*(datos_base!$F$3+datos_base!$F$19+IF(parametros_manuales!$H$42="Todos",datos_base!$F$10+datos_base!$F$24,0))*parametros_manuales!$E$100+parametros_manuales!$F$42*(datos_base!$F$4+datos_base!$F$20+IF(parametros_manuales!$H$42="Todos",datos_base!$F$11+datos_base!$F$25,0))*parametros_manuales!$E$105+parametros_manuales!$G$42*(datos_base!$F$5+datos_base!$F$21+IF(parametros_manuales!$H$42="Todos",datos_base!$F$12+datos_base!$F$26,0))*parametros_manuales!$E$110)*parametros_manuales!$I$42*parametros_manuales!$J$42</f>
        <v>2129.4579427715</v>
      </c>
      <c r="F133" s="9" t="n">
        <f aca="false">(parametros_manuales!$D$42*(datos_base!$F$2+datos_base!$F$18+IF(parametros_manuales!$H$42="Todos",datos_base!$F$9+datos_base!$F$23,0))*parametros_manuales!$F$95+parametros_manuales!$E$42*(datos_base!$F$3+datos_base!$F$19+IF(parametros_manuales!$H$42="Todos",datos_base!$F$10+datos_base!$F$24,0))*parametros_manuales!$F$100+parametros_manuales!$F$42*(datos_base!$F$4+datos_base!$F$20+IF(parametros_manuales!$H$42="Todos",datos_base!$F$11+datos_base!$F$25,0))*parametros_manuales!$F$105+parametros_manuales!$G$42*(datos_base!$F$5+datos_base!$F$21+IF(parametros_manuales!$H$42="Todos",datos_base!$F$12+datos_base!$F$26,0))*parametros_manuales!$F$110)*parametros_manuales!$I$42*parametros_manuales!$J$42</f>
        <v>1996.736515132</v>
      </c>
      <c r="G133" s="9" t="n">
        <f aca="false">(parametros_manuales!$D$42*(datos_base!$F$2+datos_base!$F$18+IF(parametros_manuales!$H$42="Todos",datos_base!$F$9+datos_base!$F$23,0))*parametros_manuales!$G$95+parametros_manuales!$E$42*(datos_base!$F$3+datos_base!$F$19+IF(parametros_manuales!$H$42="Todos",datos_base!$F$10+datos_base!$F$24,0))*parametros_manuales!$G$100+parametros_manuales!$F$42*(datos_base!$F$4+datos_base!$F$20+IF(parametros_manuales!$H$42="Todos",datos_base!$F$11+datos_base!$F$25,0))*parametros_manuales!$G$105+parametros_manuales!$G$42*(datos_base!$F$5+datos_base!$F$21+IF(parametros_manuales!$H$42="Todos",datos_base!$F$12+datos_base!$F$26,0))*parametros_manuales!$G$110)*parametros_manuales!$I$42*parametros_manuales!$J$42</f>
        <v>1927.4182510425</v>
      </c>
      <c r="H133" s="9" t="n">
        <f aca="false">(parametros_manuales!$D$42*(datos_base!$F$2+datos_base!$F$18+IF(parametros_manuales!$H$42="Todos",datos_base!$F$9+datos_base!$F$23,0))*parametros_manuales!$H$95+parametros_manuales!$E$42*(datos_base!$F$3+datos_base!$F$19+IF(parametros_manuales!$H$42="Todos",datos_base!$F$10+datos_base!$F$24,0))*parametros_manuales!$H$100+parametros_manuales!$F$42*(datos_base!$F$4+datos_base!$F$20+IF(parametros_manuales!$H$42="Todos",datos_base!$F$11+datos_base!$F$25,0))*parametros_manuales!$H$105+parametros_manuales!$G$42*(datos_base!$F$5+datos_base!$F$21+IF(parametros_manuales!$H$42="Todos",datos_base!$F$12+datos_base!$F$26,0))*parametros_manuales!$H$110)*parametros_manuales!$I$42*parametros_manuales!$J$42</f>
        <v>2060.139678682</v>
      </c>
      <c r="I133" s="9" t="n">
        <f aca="false">(parametros_manuales!$D$42*(datos_base!$F$2+datos_base!$F$18+IF(parametros_manuales!$H$42="Todos",datos_base!$F$9+datos_base!$F$23,0))*parametros_manuales!$I$95+parametros_manuales!$E$42*(datos_base!$F$3+datos_base!$F$19+IF(parametros_manuales!$H$42="Todos",datos_base!$F$10+datos_base!$F$24,0))*parametros_manuales!$I$100+parametros_manuales!$F$42*(datos_base!$F$4+datos_base!$F$20+IF(parametros_manuales!$H$42="Todos",datos_base!$F$11+datos_base!$F$25,0))*parametros_manuales!$I$105+parametros_manuales!$G$42*(datos_base!$F$5+datos_base!$F$21+IF(parametros_manuales!$H$42="Todos",datos_base!$F$12+datos_base!$F$26,0))*parametros_manuales!$I$110)*parametros_manuales!$I$42*parametros_manuales!$J$42</f>
        <v>2250.349169332</v>
      </c>
      <c r="J133" s="9" t="n">
        <f aca="false">(parametros_manuales!$D$42*(datos_base!$F$2+datos_base!$F$18+IF(parametros_manuales!$H$42="Todos",datos_base!$F$9+datos_base!$F$23,0))*parametros_manuales!$J$95+parametros_manuales!$E$42*(datos_base!$F$3+datos_base!$F$19+IF(parametros_manuales!$H$42="Todos",datos_base!$F$10+datos_base!$F$24,0))*parametros_manuales!$J$100+parametros_manuales!$F$42*(datos_base!$F$4+datos_base!$F$20+IF(parametros_manuales!$H$42="Todos",datos_base!$F$11+datos_base!$F$25,0))*parametros_manuales!$J$105+parametros_manuales!$G$42*(datos_base!$F$5+datos_base!$F$21+IF(parametros_manuales!$H$42="Todos",datos_base!$F$12+datos_base!$F$26,0))*parametros_manuales!$J$110)*parametros_manuales!$I$42*parametros_manuales!$J$42</f>
        <v>2250.349169332</v>
      </c>
      <c r="K133" s="9" t="n">
        <f aca="false">(parametros_manuales!$D$42*(datos_base!$F$2+datos_base!$F$18+IF(parametros_manuales!$H$42="Todos",datos_base!$F$9+datos_base!$F$23,0))*parametros_manuales!$K$95+parametros_manuales!$E$42*(datos_base!$F$3+datos_base!$F$19+IF(parametros_manuales!$H$42="Todos",datos_base!$F$10+datos_base!$F$24,0))*parametros_manuales!$K$100+parametros_manuales!$F$42*(datos_base!$F$4+datos_base!$F$20+IF(parametros_manuales!$H$42="Todos",datos_base!$F$11+datos_base!$F$25,0))*parametros_manuales!$K$105+parametros_manuales!$G$42*(datos_base!$F$5+datos_base!$F$21+IF(parametros_manuales!$H$42="Todos",datos_base!$F$12+datos_base!$F$26,0))*parametros_manuales!$K$110)*parametros_manuales!$I$42*parametros_manuales!$J$42</f>
        <v>2319.6674334215</v>
      </c>
      <c r="L133" s="9" t="n">
        <f aca="false">(parametros_manuales!$D$42*(datos_base!$F$2+datos_base!$F$18+IF(parametros_manuales!$H$42="Todos",datos_base!$F$9+datos_base!$F$23,0))*parametros_manuales!$L$95+parametros_manuales!$E$42*(datos_base!$F$3+datos_base!$F$19+IF(parametros_manuales!$H$42="Todos",datos_base!$F$10+datos_base!$F$24,0))*parametros_manuales!$L$100+parametros_manuales!$F$42*(datos_base!$F$4+datos_base!$F$20+IF(parametros_manuales!$H$42="Todos",datos_base!$F$11+datos_base!$F$25,0))*parametros_manuales!$L$105+parametros_manuales!$G$42*(datos_base!$F$5+datos_base!$F$21+IF(parametros_manuales!$H$42="Todos",datos_base!$F$12+datos_base!$F$26,0))*parametros_manuales!$L$110)*parametros_manuales!$I$42*parametros_manuales!$J$42</f>
        <v>2388.985697511</v>
      </c>
      <c r="M133" s="9" t="n">
        <f aca="false">(parametros_manuales!$D$42*(datos_base!$F$2+datos_base!$F$18+IF(parametros_manuales!$H$42="Todos",datos_base!$F$9+datos_base!$F$23,0))*parametros_manuales!$M$95+parametros_manuales!$E$42*(datos_base!$F$3+datos_base!$F$19+IF(parametros_manuales!$H$42="Todos",datos_base!$F$10+datos_base!$F$24,0))*parametros_manuales!$M$100+parametros_manuales!$F$42*(datos_base!$F$4+datos_base!$F$20+IF(parametros_manuales!$H$42="Todos",datos_base!$F$11+datos_base!$F$25,0))*parametros_manuales!$M$105+parametros_manuales!$G$42*(datos_base!$F$5+datos_base!$F$21+IF(parametros_manuales!$H$42="Todos",datos_base!$F$12+datos_base!$F$26,0))*parametros_manuales!$M$110)*parametros_manuales!$I$42*parametros_manuales!$J$42</f>
        <v>2388.985697511</v>
      </c>
      <c r="N133" s="9" t="n">
        <f aca="false">SUM(B133:M133)</f>
        <v>26544.2855279</v>
      </c>
      <c r="O133" s="9" t="n">
        <f aca="false">MAX(B133:M133)</f>
        <v>2388.985697511</v>
      </c>
      <c r="P133" s="43" t="n">
        <f aca="false">O133/(parametros_manuales!$B$7)</f>
        <v>15.92657131674</v>
      </c>
      <c r="Q133" s="8" t="str">
        <f aca="false">IF(O133=0,"-",INDEX($B$109:$M$109,MATCH(O133,B133:M133,0)))</f>
        <v>Ene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datos_base!$F$2+datos_base!$F$18+IF(parametros_manuales!$H$43="Todos",datos_base!$F$9+datos_base!$F$23,0))*parametros_manuales!$B$95+parametros_manuales!$E$43*(datos_base!$F$3+datos_base!$F$19+IF(parametros_manuales!$H$43="Todos",datos_base!$F$10+datos_base!$F$24,0))*parametros_manuales!$B$100+parametros_manuales!$F$43*(datos_base!$F$4+datos_base!$F$20+IF(parametros_manuales!$H$43="Todos",datos_base!$F$11+datos_base!$F$25,0))*parametros_manuales!$B$105+parametros_manuales!$G$43*(datos_base!$F$5+datos_base!$F$21+IF(parametros_manuales!$H$43="Todos",datos_base!$F$12+datos_base!$F$26,0))*parametros_manuales!$B$110)*parametros_manuales!$I$43*parametros_manuales!$J$43</f>
        <v>7944.750497511</v>
      </c>
      <c r="C134" s="9" t="n">
        <f aca="false">(parametros_manuales!$D$43*(datos_base!$F$2+datos_base!$F$18+IF(parametros_manuales!$H$43="Todos",datos_base!$F$9+datos_base!$F$23,0))*parametros_manuales!$C$95+parametros_manuales!$E$43*(datos_base!$F$3+datos_base!$F$19+IF(parametros_manuales!$H$43="Todos",datos_base!$F$10+datos_base!$F$24,0))*parametros_manuales!$C$100+parametros_manuales!$F$43*(datos_base!$F$4+datos_base!$F$20+IF(parametros_manuales!$H$43="Todos",datos_base!$F$11+datos_base!$F$25,0))*parametros_manuales!$C$105+parametros_manuales!$G$43*(datos_base!$F$5+datos_base!$F$21+IF(parametros_manuales!$H$43="Todos",datos_base!$F$12+datos_base!$F$26,0))*parametros_manuales!$C$110)*parametros_manuales!$I$43*parametros_manuales!$J$43</f>
        <v>7683.154769332</v>
      </c>
      <c r="D134" s="9" t="n">
        <f aca="false">(parametros_manuales!$D$43*(datos_base!$F$2+datos_base!$F$18+IF(parametros_manuales!$H$43="Todos",datos_base!$F$9+datos_base!$F$23,0))*parametros_manuales!$D$95+parametros_manuales!$E$43*(datos_base!$F$3+datos_base!$F$19+IF(parametros_manuales!$H$43="Todos",datos_base!$F$10+datos_base!$F$24,0))*parametros_manuales!$D$100+parametros_manuales!$F$43*(datos_base!$F$4+datos_base!$F$20+IF(parametros_manuales!$H$43="Todos",datos_base!$F$11+datos_base!$F$25,0))*parametros_manuales!$D$105+parametros_manuales!$G$43*(datos_base!$F$5+datos_base!$F$21+IF(parametros_manuales!$H$43="Todos",datos_base!$F$12+datos_base!$F$26,0))*parametros_manuales!$D$110)*parametros_manuales!$I$43*parametros_manuales!$J$43</f>
        <v>7192.7983063215</v>
      </c>
      <c r="E134" s="9" t="n">
        <f aca="false">(parametros_manuales!$D$43*(datos_base!$F$2+datos_base!$F$18+IF(parametros_manuales!$H$43="Todos",datos_base!$F$9+datos_base!$F$23,0))*parametros_manuales!$E$95+parametros_manuales!$E$43*(datos_base!$F$3+datos_base!$F$19+IF(parametros_manuales!$H$43="Todos",datos_base!$F$10+datos_base!$F$24,0))*parametros_manuales!$E$100+parametros_manuales!$F$43*(datos_base!$F$4+datos_base!$F$20+IF(parametros_manuales!$H$43="Todos",datos_base!$F$11+datos_base!$F$25,0))*parametros_manuales!$E$105+parametros_manuales!$G$43*(datos_base!$F$5+datos_base!$F$21+IF(parametros_manuales!$H$43="Todos",datos_base!$F$12+datos_base!$F$26,0))*parametros_manuales!$E$110)*parametros_manuales!$I$43*parametros_manuales!$J$43</f>
        <v>6882.2211427715</v>
      </c>
      <c r="F134" s="9" t="n">
        <f aca="false">(parametros_manuales!$D$43*(datos_base!$F$2+datos_base!$F$18+IF(parametros_manuales!$H$43="Todos",datos_base!$F$9+datos_base!$F$23,0))*parametros_manuales!$F$95+parametros_manuales!$E$43*(datos_base!$F$3+datos_base!$F$19+IF(parametros_manuales!$H$43="Todos",datos_base!$F$10+datos_base!$F$24,0))*parametros_manuales!$F$100+parametros_manuales!$F$43*(datos_base!$F$4+datos_base!$F$20+IF(parametros_manuales!$H$43="Todos",datos_base!$F$11+datos_base!$F$25,0))*parametros_manuales!$F$105+parametros_manuales!$G$43*(datos_base!$F$5+datos_base!$F$21+IF(parametros_manuales!$H$43="Todos",datos_base!$F$12+datos_base!$F$26,0))*parametros_manuales!$F$110)*parametros_manuales!$I$43*parametros_manuales!$J$43</f>
        <v>6440.846115132</v>
      </c>
      <c r="G134" s="9" t="n">
        <f aca="false">(parametros_manuales!$D$43*(datos_base!$F$2+datos_base!$F$18+IF(parametros_manuales!$H$43="Todos",datos_base!$F$9+datos_base!$F$23,0))*parametros_manuales!$G$95+parametros_manuales!$E$43*(datos_base!$F$3+datos_base!$F$19+IF(parametros_manuales!$H$43="Todos",datos_base!$F$10+datos_base!$F$24,0))*parametros_manuales!$G$100+parametros_manuales!$F$43*(datos_base!$F$4+datos_base!$F$20+IF(parametros_manuales!$H$43="Todos",datos_base!$F$11+datos_base!$F$25,0))*parametros_manuales!$G$105+parametros_manuales!$G$43*(datos_base!$F$5+datos_base!$F$21+IF(parametros_manuales!$H$43="Todos",datos_base!$F$12+datos_base!$F$26,0))*parametros_manuales!$G$110)*parametros_manuales!$I$43*parametros_manuales!$J$43</f>
        <v>6310.0482510425</v>
      </c>
      <c r="H134" s="9" t="n">
        <f aca="false">(parametros_manuales!$D$43*(datos_base!$F$2+datos_base!$F$18+IF(parametros_manuales!$H$43="Todos",datos_base!$F$9+datos_base!$F$23,0))*parametros_manuales!$H$95+parametros_manuales!$E$43*(datos_base!$F$3+datos_base!$F$19+IF(parametros_manuales!$H$43="Todos",datos_base!$F$10+datos_base!$F$24,0))*parametros_manuales!$H$100+parametros_manuales!$F$43*(datos_base!$F$4+datos_base!$F$20+IF(parametros_manuales!$H$43="Todos",datos_base!$F$11+datos_base!$F$25,0))*parametros_manuales!$H$105+parametros_manuales!$G$43*(datos_base!$F$5+datos_base!$F$21+IF(parametros_manuales!$H$43="Todos",datos_base!$F$12+datos_base!$F$26,0))*parametros_manuales!$H$110)*parametros_manuales!$I$43*parametros_manuales!$J$43</f>
        <v>6751.423278682</v>
      </c>
      <c r="I134" s="9" t="n">
        <f aca="false">(parametros_manuales!$D$43*(datos_base!$F$2+datos_base!$F$18+IF(parametros_manuales!$H$43="Todos",datos_base!$F$9+datos_base!$F$23,0))*parametros_manuales!$I$95+parametros_manuales!$E$43*(datos_base!$F$3+datos_base!$F$19+IF(parametros_manuales!$H$43="Todos",datos_base!$F$10+datos_base!$F$24,0))*parametros_manuales!$I$100+parametros_manuales!$F$43*(datos_base!$F$4+datos_base!$F$20+IF(parametros_manuales!$H$43="Todos",datos_base!$F$11+datos_base!$F$25,0))*parametros_manuales!$I$105+parametros_manuales!$G$43*(datos_base!$F$5+datos_base!$F$21+IF(parametros_manuales!$H$43="Todos",datos_base!$F$12+datos_base!$F$26,0))*parametros_manuales!$I$110)*parametros_manuales!$I$43*parametros_manuales!$J$43</f>
        <v>7683.154769332</v>
      </c>
      <c r="J134" s="9" t="n">
        <f aca="false">(parametros_manuales!$D$43*(datos_base!$F$2+datos_base!$F$18+IF(parametros_manuales!$H$43="Todos",datos_base!$F$9+datos_base!$F$23,0))*parametros_manuales!$J$95+parametros_manuales!$E$43*(datos_base!$F$3+datos_base!$F$19+IF(parametros_manuales!$H$43="Todos",datos_base!$F$10+datos_base!$F$24,0))*parametros_manuales!$J$100+parametros_manuales!$F$43*(datos_base!$F$4+datos_base!$F$20+IF(parametros_manuales!$H$43="Todos",datos_base!$F$11+datos_base!$F$25,0))*parametros_manuales!$J$105+parametros_manuales!$G$43*(datos_base!$F$5+datos_base!$F$21+IF(parametros_manuales!$H$43="Todos",datos_base!$F$12+datos_base!$F$26,0))*parametros_manuales!$J$110)*parametros_manuales!$I$43*parametros_manuales!$J$43</f>
        <v>7683.154769332</v>
      </c>
      <c r="K134" s="9" t="n">
        <f aca="false">(parametros_manuales!$D$43*(datos_base!$F$2+datos_base!$F$18+IF(parametros_manuales!$H$43="Todos",datos_base!$F$9+datos_base!$F$23,0))*parametros_manuales!$K$95+parametros_manuales!$E$43*(datos_base!$F$3+datos_base!$F$19+IF(parametros_manuales!$H$43="Todos",datos_base!$F$10+datos_base!$F$24,0))*parametros_manuales!$K$100+parametros_manuales!$F$43*(datos_base!$F$4+datos_base!$F$20+IF(parametros_manuales!$H$43="Todos",datos_base!$F$11+datos_base!$F$25,0))*parametros_manuales!$K$105+parametros_manuales!$G$43*(datos_base!$F$5+datos_base!$F$21+IF(parametros_manuales!$H$43="Todos",datos_base!$F$12+datos_base!$F$26,0))*parametros_manuales!$K$110)*parametros_manuales!$I$43*parametros_manuales!$J$43</f>
        <v>7813.9526334215</v>
      </c>
      <c r="L134" s="9" t="n">
        <f aca="false">(parametros_manuales!$D$43*(datos_base!$F$2+datos_base!$F$18+IF(parametros_manuales!$H$43="Todos",datos_base!$F$9+datos_base!$F$23,0))*parametros_manuales!$L$95+parametros_manuales!$E$43*(datos_base!$F$3+datos_base!$F$19+IF(parametros_manuales!$H$43="Todos",datos_base!$F$10+datos_base!$F$24,0))*parametros_manuales!$L$100+parametros_manuales!$F$43*(datos_base!$F$4+datos_base!$F$20+IF(parametros_manuales!$H$43="Todos",datos_base!$F$11+datos_base!$F$25,0))*parametros_manuales!$L$105+parametros_manuales!$G$43*(datos_base!$F$5+datos_base!$F$21+IF(parametros_manuales!$H$43="Todos",datos_base!$F$12+datos_base!$F$26,0))*parametros_manuales!$L$110)*parametros_manuales!$I$43*parametros_manuales!$J$43</f>
        <v>7944.750497511</v>
      </c>
      <c r="M134" s="9" t="n">
        <f aca="false">(parametros_manuales!$D$43*(datos_base!$F$2+datos_base!$F$18+IF(parametros_manuales!$H$43="Todos",datos_base!$F$9+datos_base!$F$23,0))*parametros_manuales!$M$95+parametros_manuales!$E$43*(datos_base!$F$3+datos_base!$F$19+IF(parametros_manuales!$H$43="Todos",datos_base!$F$10+datos_base!$F$24,0))*parametros_manuales!$M$100+parametros_manuales!$F$43*(datos_base!$F$4+datos_base!$F$20+IF(parametros_manuales!$H$43="Todos",datos_base!$F$11+datos_base!$F$25,0))*parametros_manuales!$M$105+parametros_manuales!$G$43*(datos_base!$F$5+datos_base!$F$21+IF(parametros_manuales!$H$43="Todos",datos_base!$F$12+datos_base!$F$26,0))*parametros_manuales!$M$110)*parametros_manuales!$I$43*parametros_manuales!$J$43</f>
        <v>7944.750497511</v>
      </c>
      <c r="N134" s="9" t="n">
        <f aca="false">SUM(B134:M134)</f>
        <v>88275.0055279</v>
      </c>
      <c r="O134" s="9" t="n">
        <f aca="false">MAX(B134:M134)</f>
        <v>7944.750497511</v>
      </c>
      <c r="P134" s="43" t="n">
        <f aca="false">O134/(parametros_manuales!$B$7)</f>
        <v>52.96500331674</v>
      </c>
      <c r="Q134" s="8" t="str">
        <f aca="false">IF(O134=0,"-",INDEX($B$109:$M$109,MATCH(O134,B134:M134,0)))</f>
        <v>Ene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195</v>
      </c>
      <c r="B136" s="7" t="s">
        <v>61</v>
      </c>
      <c r="C136" s="7" t="s">
        <v>62</v>
      </c>
      <c r="D136" s="7" t="s">
        <v>63</v>
      </c>
      <c r="E136" s="7" t="s">
        <v>64</v>
      </c>
      <c r="F136" s="7" t="s">
        <v>65</v>
      </c>
      <c r="G136" s="7" t="s">
        <v>66</v>
      </c>
      <c r="H136" s="7" t="s">
        <v>67</v>
      </c>
      <c r="I136" s="7" t="s">
        <v>68</v>
      </c>
      <c r="J136" s="7" t="s">
        <v>69</v>
      </c>
      <c r="K136" s="7" t="s">
        <v>70</v>
      </c>
      <c r="L136" s="7" t="s">
        <v>71</v>
      </c>
      <c r="M136" s="7" t="s">
        <v>72</v>
      </c>
      <c r="N136" s="7" t="s">
        <v>183</v>
      </c>
      <c r="O136" s="7" t="s">
        <v>188</v>
      </c>
      <c r="P136" s="7" t="s">
        <v>189</v>
      </c>
      <c r="Q136" s="7" t="s">
        <v>190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datos_base!$G$2+datos_base!$G$18+IF(parametros_manuales!$H$19="Todos",datos_base!$G$9+datos_base!$G$23,0))*parametros_manuales!$B$95+parametros_manuales!$E$19*(datos_base!$G$3+datos_base!$G$19+IF(parametros_manuales!$H$19="Todos",datos_base!$G$10+datos_base!$G$24,0))*parametros_manuales!$B$100+parametros_manuales!$F$19*(datos_base!$G$4+datos_base!$G$20+IF(parametros_manuales!$H$19="Todos",datos_base!$G$11+datos_base!$G$25,0))*parametros_manuales!$B$105+parametros_manuales!$G$19*(datos_base!$G$5+datos_base!$G$21+IF(parametros_manuales!$H$19="Todos",datos_base!$G$12+datos_base!$G$26,0))*parametros_manuales!$B$110)*parametros_manuales!$I$19*parametros_manuales!$J$19</f>
        <v>11153.92428891</v>
      </c>
      <c r="C137" s="9" t="n">
        <f aca="false">(parametros_manuales!$D$19*(datos_base!$G$2+datos_base!$G$18+IF(parametros_manuales!$H$19="Todos",datos_base!$G$9+datos_base!$G$23,0))*parametros_manuales!$C$95+parametros_manuales!$E$19*(datos_base!$G$3+datos_base!$G$19+IF(parametros_manuales!$H$19="Todos",datos_base!$G$10+datos_base!$G$24,0))*parametros_manuales!$C$100+parametros_manuales!$F$19*(datos_base!$G$4+datos_base!$G$20+IF(parametros_manuales!$H$19="Todos",datos_base!$G$11+datos_base!$G$25,0))*parametros_manuales!$C$105+parametros_manuales!$G$19*(datos_base!$G$5+datos_base!$G$21+IF(parametros_manuales!$H$19="Todos",datos_base!$G$12+datos_base!$G$26,0))*parametros_manuales!$C$110)*parametros_manuales!$I$19*parametros_manuales!$J$19</f>
        <v>10787.60389862</v>
      </c>
      <c r="D137" s="9" t="n">
        <f aca="false">(parametros_manuales!$D$19*(datos_base!$G$2+datos_base!$G$18+IF(parametros_manuales!$H$19="Todos",datos_base!$G$9+datos_base!$G$23,0))*parametros_manuales!$D$95+parametros_manuales!$E$19*(datos_base!$G$3+datos_base!$G$19+IF(parametros_manuales!$H$19="Todos",datos_base!$G$10+datos_base!$G$24,0))*parametros_manuales!$D$100+parametros_manuales!$F$19*(datos_base!$G$4+datos_base!$G$20+IF(parametros_manuales!$H$19="Todos",datos_base!$G$11+datos_base!$G$25,0))*parametros_manuales!$D$105+parametros_manuales!$G$19*(datos_base!$G$5+datos_base!$G$21+IF(parametros_manuales!$H$19="Todos",datos_base!$G$12+datos_base!$G$26,0))*parametros_manuales!$D$110)*parametros_manuales!$I$19*parametros_manuales!$J$19</f>
        <v>10097.759563065</v>
      </c>
      <c r="E137" s="9" t="n">
        <f aca="false">(parametros_manuales!$D$19*(datos_base!$G$2+datos_base!$G$18+IF(parametros_manuales!$H$19="Todos",datos_base!$G$9+datos_base!$G$23,0))*parametros_manuales!$E$95+parametros_manuales!$E$19*(datos_base!$G$3+datos_base!$G$19+IF(parametros_manuales!$H$19="Todos",datos_base!$G$10+datos_base!$G$24,0))*parametros_manuales!$E$100+parametros_manuales!$F$19*(datos_base!$G$4+datos_base!$G$20+IF(parametros_manuales!$H$19="Todos",datos_base!$G$11+datos_base!$G$25,0))*parametros_manuales!$E$105+parametros_manuales!$G$19*(datos_base!$G$5+datos_base!$G$21+IF(parametros_manuales!$H$19="Todos",datos_base!$G$12+datos_base!$G$26,0))*parametros_manuales!$E$110)*parametros_manuales!$I$19*parametros_manuales!$J$19</f>
        <v>9661.257297715</v>
      </c>
      <c r="F137" s="9" t="n">
        <f aca="false">(parametros_manuales!$D$19*(datos_base!$G$2+datos_base!$G$18+IF(parametros_manuales!$H$19="Todos",datos_base!$G$9+datos_base!$G$23,0))*parametros_manuales!$F$95+parametros_manuales!$E$19*(datos_base!$G$3+datos_base!$G$19+IF(parametros_manuales!$H$19="Todos",datos_base!$G$10+datos_base!$G$24,0))*parametros_manuales!$F$100+parametros_manuales!$F$19*(datos_base!$G$4+datos_base!$G$20+IF(parametros_manuales!$H$19="Todos",datos_base!$G$11+datos_base!$G$25,0))*parametros_manuales!$F$105+parametros_manuales!$G$19*(datos_base!$G$5+datos_base!$G$21+IF(parametros_manuales!$H$19="Todos",datos_base!$G$12+datos_base!$G$26,0))*parametros_manuales!$F$110)*parametros_manuales!$I$19*parametros_manuales!$J$19</f>
        <v>9041.59483722</v>
      </c>
      <c r="G137" s="9" t="n">
        <f aca="false">(parametros_manuales!$D$19*(datos_base!$G$2+datos_base!$G$18+IF(parametros_manuales!$H$19="Todos",datos_base!$G$9+datos_base!$G$23,0))*parametros_manuales!$G$95+parametros_manuales!$E$19*(datos_base!$G$3+datos_base!$G$19+IF(parametros_manuales!$H$19="Todos",datos_base!$G$10+datos_base!$G$24,0))*parametros_manuales!$G$100+parametros_manuales!$F$19*(datos_base!$G$4+datos_base!$G$20+IF(parametros_manuales!$H$19="Todos",datos_base!$G$11+datos_base!$G$25,0))*parametros_manuales!$G$105+parametros_manuales!$G$19*(datos_base!$G$5+datos_base!$G$21+IF(parametros_manuales!$H$19="Todos",datos_base!$G$12+datos_base!$G$26,0))*parametros_manuales!$G$110)*parametros_manuales!$I$19*parametros_manuales!$J$19</f>
        <v>8858.434642075</v>
      </c>
      <c r="H137" s="9" t="n">
        <f aca="false">(parametros_manuales!$D$19*(datos_base!$G$2+datos_base!$G$18+IF(parametros_manuales!$H$19="Todos",datos_base!$G$9+datos_base!$G$23,0))*parametros_manuales!$H$95+parametros_manuales!$E$19*(datos_base!$G$3+datos_base!$G$19+IF(parametros_manuales!$H$19="Todos",datos_base!$G$10+datos_base!$G$24,0))*parametros_manuales!$H$100+parametros_manuales!$F$19*(datos_base!$G$4+datos_base!$G$20+IF(parametros_manuales!$H$19="Todos",datos_base!$G$11+datos_base!$G$25,0))*parametros_manuales!$H$105+parametros_manuales!$G$19*(datos_base!$G$5+datos_base!$G$21+IF(parametros_manuales!$H$19="Todos",datos_base!$G$12+datos_base!$G$26,0))*parametros_manuales!$H$110)*parametros_manuales!$I$19*parametros_manuales!$J$19</f>
        <v>9478.09710257</v>
      </c>
      <c r="I137" s="9" t="n">
        <f aca="false">(parametros_manuales!$D$19*(datos_base!$G$2+datos_base!$G$18+IF(parametros_manuales!$H$19="Todos",datos_base!$G$9+datos_base!$G$23,0))*parametros_manuales!$I$95+parametros_manuales!$E$19*(datos_base!$G$3+datos_base!$G$19+IF(parametros_manuales!$H$19="Todos",datos_base!$G$10+datos_base!$G$24,0))*parametros_manuales!$I$100+parametros_manuales!$F$19*(datos_base!$G$4+datos_base!$G$20+IF(parametros_manuales!$H$19="Todos",datos_base!$G$11+datos_base!$G$25,0))*parametros_manuales!$I$105+parametros_manuales!$G$19*(datos_base!$G$5+datos_base!$G$21+IF(parametros_manuales!$H$19="Todos",datos_base!$G$12+datos_base!$G$26,0))*parametros_manuales!$I$110)*parametros_manuales!$I$19*parametros_manuales!$J$19</f>
        <v>10787.60389862</v>
      </c>
      <c r="J137" s="9" t="n">
        <f aca="false">(parametros_manuales!$D$19*(datos_base!$G$2+datos_base!$G$18+IF(parametros_manuales!$H$19="Todos",datos_base!$G$9+datos_base!$G$23,0))*parametros_manuales!$J$95+parametros_manuales!$E$19*(datos_base!$G$3+datos_base!$G$19+IF(parametros_manuales!$H$19="Todos",datos_base!$G$10+datos_base!$G$24,0))*parametros_manuales!$J$100+parametros_manuales!$F$19*(datos_base!$G$4+datos_base!$G$20+IF(parametros_manuales!$H$19="Todos",datos_base!$G$11+datos_base!$G$25,0))*parametros_manuales!$J$105+parametros_manuales!$G$19*(datos_base!$G$5+datos_base!$G$21+IF(parametros_manuales!$H$19="Todos",datos_base!$G$12+datos_base!$G$26,0))*parametros_manuales!$J$110)*parametros_manuales!$I$19*parametros_manuales!$J$19</f>
        <v>10787.60389862</v>
      </c>
      <c r="K137" s="9" t="n">
        <f aca="false">(parametros_manuales!$D$19*(datos_base!$G$2+datos_base!$G$18+IF(parametros_manuales!$H$19="Todos",datos_base!$G$9+datos_base!$G$23,0))*parametros_manuales!$K$95+parametros_manuales!$E$19*(datos_base!$G$3+datos_base!$G$19+IF(parametros_manuales!$H$19="Todos",datos_base!$G$10+datos_base!$G$24,0))*parametros_manuales!$K$100+parametros_manuales!$F$19*(datos_base!$G$4+datos_base!$G$20+IF(parametros_manuales!$H$19="Todos",datos_base!$G$11+datos_base!$G$25,0))*parametros_manuales!$K$105+parametros_manuales!$G$19*(datos_base!$G$5+datos_base!$G$21+IF(parametros_manuales!$H$19="Todos",datos_base!$G$12+datos_base!$G$26,0))*parametros_manuales!$K$110)*parametros_manuales!$I$19*parametros_manuales!$J$19</f>
        <v>10970.764093765</v>
      </c>
      <c r="L137" s="9" t="n">
        <f aca="false">(parametros_manuales!$D$19*(datos_base!$G$2+datos_base!$G$18+IF(parametros_manuales!$H$19="Todos",datos_base!$G$9+datos_base!$G$23,0))*parametros_manuales!$L$95+parametros_manuales!$E$19*(datos_base!$G$3+datos_base!$G$19+IF(parametros_manuales!$H$19="Todos",datos_base!$G$10+datos_base!$G$24,0))*parametros_manuales!$L$100+parametros_manuales!$F$19*(datos_base!$G$4+datos_base!$G$20+IF(parametros_manuales!$H$19="Todos",datos_base!$G$11+datos_base!$G$25,0))*parametros_manuales!$L$105+parametros_manuales!$G$19*(datos_base!$G$5+datos_base!$G$21+IF(parametros_manuales!$H$19="Todos",datos_base!$G$12+datos_base!$G$26,0))*parametros_manuales!$L$110)*parametros_manuales!$I$19*parametros_manuales!$J$19</f>
        <v>11153.92428891</v>
      </c>
      <c r="M137" s="9" t="n">
        <f aca="false">(parametros_manuales!$D$19*(datos_base!$G$2+datos_base!$G$18+IF(parametros_manuales!$H$19="Todos",datos_base!$G$9+datos_base!$G$23,0))*parametros_manuales!$M$95+parametros_manuales!$E$19*(datos_base!$G$3+datos_base!$G$19+IF(parametros_manuales!$H$19="Todos",datos_base!$G$10+datos_base!$G$24,0))*parametros_manuales!$M$100+parametros_manuales!$F$19*(datos_base!$G$4+datos_base!$G$20+IF(parametros_manuales!$H$19="Todos",datos_base!$G$11+datos_base!$G$25,0))*parametros_manuales!$M$105+parametros_manuales!$G$19*(datos_base!$G$5+datos_base!$G$21+IF(parametros_manuales!$H$19="Todos",datos_base!$G$12+datos_base!$G$26,0))*parametros_manuales!$M$110)*parametros_manuales!$I$19*parametros_manuales!$J$19</f>
        <v>11153.92428891</v>
      </c>
      <c r="N137" s="9" t="n">
        <f aca="false">SUM(B137:M137)</f>
        <v>123932.492099</v>
      </c>
      <c r="O137" s="9" t="n">
        <f aca="false">MAX(B137:M137)</f>
        <v>11153.92428891</v>
      </c>
      <c r="P137" s="43" t="n">
        <f aca="false">O137/(parametros_manuales!$B$7)</f>
        <v>74.3594952594</v>
      </c>
      <c r="Q137" s="8" t="str">
        <f aca="false">IF(O137=0,"-",INDEX($B$136:$M$136,MATCH(O137,B137:M137,0)))</f>
        <v>Ene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datos_base!$G$2+datos_base!$G$18+IF(parametros_manuales!$H$20="Todos",datos_base!$G$9+datos_base!$G$23,0))*parametros_manuales!$B$95+parametros_manuales!$E$20*(datos_base!$G$3+datos_base!$G$19+IF(parametros_manuales!$H$20="Todos",datos_base!$G$10+datos_base!$G$24,0))*parametros_manuales!$B$100+parametros_manuales!$F$20*(datos_base!$G$4+datos_base!$G$20+IF(parametros_manuales!$H$20="Todos",datos_base!$G$11+datos_base!$G$25,0))*parametros_manuales!$B$105+parametros_manuales!$G$20*(datos_base!$G$5+datos_base!$G$21+IF(parametros_manuales!$H$20="Todos",datos_base!$G$12+datos_base!$G$26,0))*parametros_manuales!$B$110)*parametros_manuales!$I$20*parametros_manuales!$J$20</f>
        <v>3296.88351261</v>
      </c>
      <c r="C138" s="9" t="n">
        <f aca="false">(parametros_manuales!$D$20*(datos_base!$G$2+datos_base!$G$18+IF(parametros_manuales!$H$20="Todos",datos_base!$G$9+datos_base!$G$23,0))*parametros_manuales!$C$95+parametros_manuales!$E$20*(datos_base!$G$3+datos_base!$G$19+IF(parametros_manuales!$H$20="Todos",datos_base!$G$10+datos_base!$G$24,0))*parametros_manuales!$C$100+parametros_manuales!$F$20*(datos_base!$G$4+datos_base!$G$20+IF(parametros_manuales!$H$20="Todos",datos_base!$G$11+datos_base!$G$25,0))*parametros_manuales!$C$105+parametros_manuales!$G$20*(datos_base!$G$5+datos_base!$G$21+IF(parametros_manuales!$H$20="Todos",datos_base!$G$12+datos_base!$G$26,0))*parametros_manuales!$C$110)*parametros_manuales!$I$20*parametros_manuales!$J$20</f>
        <v>2930.56312232</v>
      </c>
      <c r="D138" s="9" t="n">
        <f aca="false">(parametros_manuales!$D$20*(datos_base!$G$2+datos_base!$G$18+IF(parametros_manuales!$H$20="Todos",datos_base!$G$9+datos_base!$G$23,0))*parametros_manuales!$D$95+parametros_manuales!$E$20*(datos_base!$G$3+datos_base!$G$19+IF(parametros_manuales!$H$20="Todos",datos_base!$G$10+datos_base!$G$24,0))*parametros_manuales!$D$100+parametros_manuales!$F$20*(datos_base!$G$4+datos_base!$G$20+IF(parametros_manuales!$H$20="Todos",datos_base!$G$11+datos_base!$G$25,0))*parametros_manuales!$D$105+parametros_manuales!$G$20*(datos_base!$G$5+datos_base!$G$21+IF(parametros_manuales!$H$20="Todos",datos_base!$G$12+datos_base!$G$26,0))*parametros_manuales!$D$110)*parametros_manuales!$I$20*parametros_manuales!$J$20</f>
        <v>3113.723317465</v>
      </c>
      <c r="E138" s="9" t="n">
        <f aca="false">(parametros_manuales!$D$20*(datos_base!$G$2+datos_base!$G$18+IF(parametros_manuales!$H$20="Todos",datos_base!$G$9+datos_base!$G$23,0))*parametros_manuales!$E$95+parametros_manuales!$E$20*(datos_base!$G$3+datos_base!$G$19+IF(parametros_manuales!$H$20="Todos",datos_base!$G$10+datos_base!$G$24,0))*parametros_manuales!$E$100+parametros_manuales!$F$20*(datos_base!$G$4+datos_base!$G$20+IF(parametros_manuales!$H$20="Todos",datos_base!$G$11+datos_base!$G$25,0))*parametros_manuales!$E$105+parametros_manuales!$G$20*(datos_base!$G$5+datos_base!$G$21+IF(parametros_manuales!$H$20="Todos",datos_base!$G$12+datos_base!$G$26,0))*parametros_manuales!$E$110)*parametros_manuales!$I$20*parametros_manuales!$J$20</f>
        <v>3113.723317465</v>
      </c>
      <c r="F138" s="9" t="n">
        <f aca="false">(parametros_manuales!$D$20*(datos_base!$G$2+datos_base!$G$18+IF(parametros_manuales!$H$20="Todos",datos_base!$G$9+datos_base!$G$23,0))*parametros_manuales!$F$95+parametros_manuales!$E$20*(datos_base!$G$3+datos_base!$G$19+IF(parametros_manuales!$H$20="Todos",datos_base!$G$10+datos_base!$G$24,0))*parametros_manuales!$F$100+parametros_manuales!$F$20*(datos_base!$G$4+datos_base!$G$20+IF(parametros_manuales!$H$20="Todos",datos_base!$G$11+datos_base!$G$25,0))*parametros_manuales!$F$105+parametros_manuales!$G$20*(datos_base!$G$5+datos_base!$G$21+IF(parametros_manuales!$H$20="Todos",datos_base!$G$12+datos_base!$G$26,0))*parametros_manuales!$F$110)*parametros_manuales!$I$20*parametros_manuales!$J$20</f>
        <v>2930.56312232</v>
      </c>
      <c r="G138" s="9" t="n">
        <f aca="false">(parametros_manuales!$D$20*(datos_base!$G$2+datos_base!$G$18+IF(parametros_manuales!$H$20="Todos",datos_base!$G$9+datos_base!$G$23,0))*parametros_manuales!$G$95+parametros_manuales!$E$20*(datos_base!$G$3+datos_base!$G$19+IF(parametros_manuales!$H$20="Todos",datos_base!$G$10+datos_base!$G$24,0))*parametros_manuales!$G$100+parametros_manuales!$F$20*(datos_base!$G$4+datos_base!$G$20+IF(parametros_manuales!$H$20="Todos",datos_base!$G$11+datos_base!$G$25,0))*parametros_manuales!$G$105+parametros_manuales!$G$20*(datos_base!$G$5+datos_base!$G$21+IF(parametros_manuales!$H$20="Todos",datos_base!$G$12+datos_base!$G$26,0))*parametros_manuales!$G$110)*parametros_manuales!$I$20*parametros_manuales!$J$20</f>
        <v>2747.402927175</v>
      </c>
      <c r="H138" s="9" t="n">
        <f aca="false">(parametros_manuales!$D$20*(datos_base!$G$2+datos_base!$G$18+IF(parametros_manuales!$H$20="Todos",datos_base!$G$9+datos_base!$G$23,0))*parametros_manuales!$H$95+parametros_manuales!$E$20*(datos_base!$G$3+datos_base!$G$19+IF(parametros_manuales!$H$20="Todos",datos_base!$G$10+datos_base!$G$24,0))*parametros_manuales!$H$100+parametros_manuales!$F$20*(datos_base!$G$4+datos_base!$G$20+IF(parametros_manuales!$H$20="Todos",datos_base!$G$11+datos_base!$G$25,0))*parametros_manuales!$H$105+parametros_manuales!$G$20*(datos_base!$G$5+datos_base!$G$21+IF(parametros_manuales!$H$20="Todos",datos_base!$G$12+datos_base!$G$26,0))*parametros_manuales!$H$110)*parametros_manuales!$I$20*parametros_manuales!$J$20</f>
        <v>2930.56312232</v>
      </c>
      <c r="I138" s="9" t="n">
        <f aca="false">(parametros_manuales!$D$20*(datos_base!$G$2+datos_base!$G$18+IF(parametros_manuales!$H$20="Todos",datos_base!$G$9+datos_base!$G$23,0))*parametros_manuales!$I$95+parametros_manuales!$E$20*(datos_base!$G$3+datos_base!$G$19+IF(parametros_manuales!$H$20="Todos",datos_base!$G$10+datos_base!$G$24,0))*parametros_manuales!$I$100+parametros_manuales!$F$20*(datos_base!$G$4+datos_base!$G$20+IF(parametros_manuales!$H$20="Todos",datos_base!$G$11+datos_base!$G$25,0))*parametros_manuales!$I$105+parametros_manuales!$G$20*(datos_base!$G$5+datos_base!$G$21+IF(parametros_manuales!$H$20="Todos",datos_base!$G$12+datos_base!$G$26,0))*parametros_manuales!$I$110)*parametros_manuales!$I$20*parametros_manuales!$J$20</f>
        <v>2930.56312232</v>
      </c>
      <c r="J138" s="9" t="n">
        <f aca="false">(parametros_manuales!$D$20*(datos_base!$G$2+datos_base!$G$18+IF(parametros_manuales!$H$20="Todos",datos_base!$G$9+datos_base!$G$23,0))*parametros_manuales!$J$95+parametros_manuales!$E$20*(datos_base!$G$3+datos_base!$G$19+IF(parametros_manuales!$H$20="Todos",datos_base!$G$10+datos_base!$G$24,0))*parametros_manuales!$J$100+parametros_manuales!$F$20*(datos_base!$G$4+datos_base!$G$20+IF(parametros_manuales!$H$20="Todos",datos_base!$G$11+datos_base!$G$25,0))*parametros_manuales!$J$105+parametros_manuales!$G$20*(datos_base!$G$5+datos_base!$G$21+IF(parametros_manuales!$H$20="Todos",datos_base!$G$12+datos_base!$G$26,0))*parametros_manuales!$J$110)*parametros_manuales!$I$20*parametros_manuales!$J$20</f>
        <v>2930.56312232</v>
      </c>
      <c r="K138" s="9" t="n">
        <f aca="false">(parametros_manuales!$D$20*(datos_base!$G$2+datos_base!$G$18+IF(parametros_manuales!$H$20="Todos",datos_base!$G$9+datos_base!$G$23,0))*parametros_manuales!$K$95+parametros_manuales!$E$20*(datos_base!$G$3+datos_base!$G$19+IF(parametros_manuales!$H$20="Todos",datos_base!$G$10+datos_base!$G$24,0))*parametros_manuales!$K$100+parametros_manuales!$F$20*(datos_base!$G$4+datos_base!$G$20+IF(parametros_manuales!$H$20="Todos",datos_base!$G$11+datos_base!$G$25,0))*parametros_manuales!$K$105+parametros_manuales!$G$20*(datos_base!$G$5+datos_base!$G$21+IF(parametros_manuales!$H$20="Todos",datos_base!$G$12+datos_base!$G$26,0))*parametros_manuales!$K$110)*parametros_manuales!$I$20*parametros_manuales!$J$20</f>
        <v>3113.723317465</v>
      </c>
      <c r="L138" s="9" t="n">
        <f aca="false">(parametros_manuales!$D$20*(datos_base!$G$2+datos_base!$G$18+IF(parametros_manuales!$H$20="Todos",datos_base!$G$9+datos_base!$G$23,0))*parametros_manuales!$L$95+parametros_manuales!$E$20*(datos_base!$G$3+datos_base!$G$19+IF(parametros_manuales!$H$20="Todos",datos_base!$G$10+datos_base!$G$24,0))*parametros_manuales!$L$100+parametros_manuales!$F$20*(datos_base!$G$4+datos_base!$G$20+IF(parametros_manuales!$H$20="Todos",datos_base!$G$11+datos_base!$G$25,0))*parametros_manuales!$L$105+parametros_manuales!$G$20*(datos_base!$G$5+datos_base!$G$21+IF(parametros_manuales!$H$20="Todos",datos_base!$G$12+datos_base!$G$26,0))*parametros_manuales!$L$110)*parametros_manuales!$I$20*parametros_manuales!$J$20</f>
        <v>3296.88351261</v>
      </c>
      <c r="M138" s="9" t="n">
        <f aca="false">(parametros_manuales!$D$20*(datos_base!$G$2+datos_base!$G$18+IF(parametros_manuales!$H$20="Todos",datos_base!$G$9+datos_base!$G$23,0))*parametros_manuales!$M$95+parametros_manuales!$E$20*(datos_base!$G$3+datos_base!$G$19+IF(parametros_manuales!$H$20="Todos",datos_base!$G$10+datos_base!$G$24,0))*parametros_manuales!$M$100+parametros_manuales!$F$20*(datos_base!$G$4+datos_base!$G$20+IF(parametros_manuales!$H$20="Todos",datos_base!$G$11+datos_base!$G$25,0))*parametros_manuales!$M$105+parametros_manuales!$G$20*(datos_base!$G$5+datos_base!$G$21+IF(parametros_manuales!$H$20="Todos",datos_base!$G$12+datos_base!$G$26,0))*parametros_manuales!$M$110)*parametros_manuales!$I$20*parametros_manuales!$J$20</f>
        <v>3296.88351261</v>
      </c>
      <c r="N138" s="9" t="n">
        <f aca="false">SUM(B138:M138)</f>
        <v>36632.039029</v>
      </c>
      <c r="O138" s="9" t="n">
        <f aca="false">MAX(B138:M138)</f>
        <v>3296.88351261</v>
      </c>
      <c r="P138" s="43" t="n">
        <f aca="false">O138/(parametros_manuales!$B$7)</f>
        <v>21.9792234174</v>
      </c>
      <c r="Q138" s="8" t="str">
        <f aca="false">IF(O138=0,"-",INDEX($B$136:$M$136,MATCH(O138,B138:M138,0)))</f>
        <v>Ene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datos_base!$G$2+datos_base!$G$18+IF(parametros_manuales!$H$21="Todos",datos_base!$G$9+datos_base!$G$23,0))*parametros_manuales!$B$95+parametros_manuales!$E$21*(datos_base!$G$3+datos_base!$G$19+IF(parametros_manuales!$H$21="Todos",datos_base!$G$10+datos_base!$G$24,0))*parametros_manuales!$B$100+parametros_manuales!$F$21*(datos_base!$G$4+datos_base!$G$20+IF(parametros_manuales!$H$21="Todos",datos_base!$G$11+datos_base!$G$25,0))*parametros_manuales!$B$105+parametros_manuales!$G$21*(datos_base!$G$5+datos_base!$G$21+IF(parametros_manuales!$H$21="Todos",datos_base!$G$12+datos_base!$G$26,0))*parametros_manuales!$B$110)*parametros_manuales!$I$21*parametros_manuales!$J$21</f>
        <v>7857.0407763</v>
      </c>
      <c r="C139" s="9" t="n">
        <f aca="false">(parametros_manuales!$D$21*(datos_base!$G$2+datos_base!$G$18+IF(parametros_manuales!$H$21="Todos",datos_base!$G$9+datos_base!$G$23,0))*parametros_manuales!$C$95+parametros_manuales!$E$21*(datos_base!$G$3+datos_base!$G$19+IF(parametros_manuales!$H$21="Todos",datos_base!$G$10+datos_base!$G$24,0))*parametros_manuales!$C$100+parametros_manuales!$F$21*(datos_base!$G$4+datos_base!$G$20+IF(parametros_manuales!$H$21="Todos",datos_base!$G$11+datos_base!$G$25,0))*parametros_manuales!$C$105+parametros_manuales!$G$21*(datos_base!$G$5+datos_base!$G$21+IF(parametros_manuales!$H$21="Todos",datos_base!$G$12+datos_base!$G$26,0))*parametros_manuales!$C$110)*parametros_manuales!$I$21*parametros_manuales!$J$21</f>
        <v>7857.0407763</v>
      </c>
      <c r="D139" s="9" t="n">
        <f aca="false">(parametros_manuales!$D$21*(datos_base!$G$2+datos_base!$G$18+IF(parametros_manuales!$H$21="Todos",datos_base!$G$9+datos_base!$G$23,0))*parametros_manuales!$D$95+parametros_manuales!$E$21*(datos_base!$G$3+datos_base!$G$19+IF(parametros_manuales!$H$21="Todos",datos_base!$G$10+datos_base!$G$24,0))*parametros_manuales!$D$100+parametros_manuales!$F$21*(datos_base!$G$4+datos_base!$G$20+IF(parametros_manuales!$H$21="Todos",datos_base!$G$11+datos_base!$G$25,0))*parametros_manuales!$D$105+parametros_manuales!$G$21*(datos_base!$G$5+datos_base!$G$21+IF(parametros_manuales!$H$21="Todos",datos_base!$G$12+datos_base!$G$26,0))*parametros_manuales!$D$110)*parametros_manuales!$I$21*parametros_manuales!$J$21</f>
        <v>6984.0362456</v>
      </c>
      <c r="E139" s="9" t="n">
        <f aca="false">(parametros_manuales!$D$21*(datos_base!$G$2+datos_base!$G$18+IF(parametros_manuales!$H$21="Todos",datos_base!$G$9+datos_base!$G$23,0))*parametros_manuales!$E$95+parametros_manuales!$E$21*(datos_base!$G$3+datos_base!$G$19+IF(parametros_manuales!$H$21="Todos",datos_base!$G$10+datos_base!$G$24,0))*parametros_manuales!$E$100+parametros_manuales!$F$21*(datos_base!$G$4+datos_base!$G$20+IF(parametros_manuales!$H$21="Todos",datos_base!$G$11+datos_base!$G$25,0))*parametros_manuales!$E$105+parametros_manuales!$G$21*(datos_base!$G$5+datos_base!$G$21+IF(parametros_manuales!$H$21="Todos",datos_base!$G$12+datos_base!$G$26,0))*parametros_manuales!$E$110)*parametros_manuales!$I$21*parametros_manuales!$J$21</f>
        <v>6547.53398025</v>
      </c>
      <c r="F139" s="9" t="n">
        <f aca="false">(parametros_manuales!$D$21*(datos_base!$G$2+datos_base!$G$18+IF(parametros_manuales!$H$21="Todos",datos_base!$G$9+datos_base!$G$23,0))*parametros_manuales!$F$95+parametros_manuales!$E$21*(datos_base!$G$3+datos_base!$G$19+IF(parametros_manuales!$H$21="Todos",datos_base!$G$10+datos_base!$G$24,0))*parametros_manuales!$F$100+parametros_manuales!$F$21*(datos_base!$G$4+datos_base!$G$20+IF(parametros_manuales!$H$21="Todos",datos_base!$G$11+datos_base!$G$25,0))*parametros_manuales!$F$105+parametros_manuales!$G$21*(datos_base!$G$5+datos_base!$G$21+IF(parametros_manuales!$H$21="Todos",datos_base!$G$12+datos_base!$G$26,0))*parametros_manuales!$F$110)*parametros_manuales!$I$21*parametros_manuales!$J$21</f>
        <v>6111.0317149</v>
      </c>
      <c r="G139" s="9" t="n">
        <f aca="false">(parametros_manuales!$D$21*(datos_base!$G$2+datos_base!$G$18+IF(parametros_manuales!$H$21="Todos",datos_base!$G$9+datos_base!$G$23,0))*parametros_manuales!$G$95+parametros_manuales!$E$21*(datos_base!$G$3+datos_base!$G$19+IF(parametros_manuales!$H$21="Todos",datos_base!$G$10+datos_base!$G$24,0))*parametros_manuales!$G$100+parametros_manuales!$F$21*(datos_base!$G$4+datos_base!$G$20+IF(parametros_manuales!$H$21="Todos",datos_base!$G$11+datos_base!$G$25,0))*parametros_manuales!$G$105+parametros_manuales!$G$21*(datos_base!$G$5+datos_base!$G$21+IF(parametros_manuales!$H$21="Todos",datos_base!$G$12+datos_base!$G$26,0))*parametros_manuales!$G$110)*parametros_manuales!$I$21*parametros_manuales!$J$21</f>
        <v>6111.0317149</v>
      </c>
      <c r="H139" s="9" t="n">
        <f aca="false">(parametros_manuales!$D$21*(datos_base!$G$2+datos_base!$G$18+IF(parametros_manuales!$H$21="Todos",datos_base!$G$9+datos_base!$G$23,0))*parametros_manuales!$H$95+parametros_manuales!$E$21*(datos_base!$G$3+datos_base!$G$19+IF(parametros_manuales!$H$21="Todos",datos_base!$G$10+datos_base!$G$24,0))*parametros_manuales!$H$100+parametros_manuales!$F$21*(datos_base!$G$4+datos_base!$G$20+IF(parametros_manuales!$H$21="Todos",datos_base!$G$11+datos_base!$G$25,0))*parametros_manuales!$H$105+parametros_manuales!$G$21*(datos_base!$G$5+datos_base!$G$21+IF(parametros_manuales!$H$21="Todos",datos_base!$G$12+datos_base!$G$26,0))*parametros_manuales!$H$110)*parametros_manuales!$I$21*parametros_manuales!$J$21</f>
        <v>6547.53398025</v>
      </c>
      <c r="I139" s="9" t="n">
        <f aca="false">(parametros_manuales!$D$21*(datos_base!$G$2+datos_base!$G$18+IF(parametros_manuales!$H$21="Todos",datos_base!$G$9+datos_base!$G$23,0))*parametros_manuales!$I$95+parametros_manuales!$E$21*(datos_base!$G$3+datos_base!$G$19+IF(parametros_manuales!$H$21="Todos",datos_base!$G$10+datos_base!$G$24,0))*parametros_manuales!$I$100+parametros_manuales!$F$21*(datos_base!$G$4+datos_base!$G$20+IF(parametros_manuales!$H$21="Todos",datos_base!$G$11+datos_base!$G$25,0))*parametros_manuales!$I$105+parametros_manuales!$G$21*(datos_base!$G$5+datos_base!$G$21+IF(parametros_manuales!$H$21="Todos",datos_base!$G$12+datos_base!$G$26,0))*parametros_manuales!$I$110)*parametros_manuales!$I$21*parametros_manuales!$J$21</f>
        <v>7857.04077629999</v>
      </c>
      <c r="J139" s="9" t="n">
        <f aca="false">(parametros_manuales!$D$21*(datos_base!$G$2+datos_base!$G$18+IF(parametros_manuales!$H$21="Todos",datos_base!$G$9+datos_base!$G$23,0))*parametros_manuales!$J$95+parametros_manuales!$E$21*(datos_base!$G$3+datos_base!$G$19+IF(parametros_manuales!$H$21="Todos",datos_base!$G$10+datos_base!$G$24,0))*parametros_manuales!$J$100+parametros_manuales!$F$21*(datos_base!$G$4+datos_base!$G$20+IF(parametros_manuales!$H$21="Todos",datos_base!$G$11+datos_base!$G$25,0))*parametros_manuales!$J$105+parametros_manuales!$G$21*(datos_base!$G$5+datos_base!$G$21+IF(parametros_manuales!$H$21="Todos",datos_base!$G$12+datos_base!$G$26,0))*parametros_manuales!$J$110)*parametros_manuales!$I$21*parametros_manuales!$J$21</f>
        <v>7857.0407763</v>
      </c>
      <c r="K139" s="9" t="n">
        <f aca="false">(parametros_manuales!$D$21*(datos_base!$G$2+datos_base!$G$18+IF(parametros_manuales!$H$21="Todos",datos_base!$G$9+datos_base!$G$23,0))*parametros_manuales!$K$95+parametros_manuales!$E$21*(datos_base!$G$3+datos_base!$G$19+IF(parametros_manuales!$H$21="Todos",datos_base!$G$10+datos_base!$G$24,0))*parametros_manuales!$K$100+parametros_manuales!$F$21*(datos_base!$G$4+datos_base!$G$20+IF(parametros_manuales!$H$21="Todos",datos_base!$G$11+datos_base!$G$25,0))*parametros_manuales!$K$105+parametros_manuales!$G$21*(datos_base!$G$5+datos_base!$G$21+IF(parametros_manuales!$H$21="Todos",datos_base!$G$12+datos_base!$G$26,0))*parametros_manuales!$K$110)*parametros_manuales!$I$21*parametros_manuales!$J$21</f>
        <v>7857.0407763</v>
      </c>
      <c r="L139" s="9" t="n">
        <f aca="false">(parametros_manuales!$D$21*(datos_base!$G$2+datos_base!$G$18+IF(parametros_manuales!$H$21="Todos",datos_base!$G$9+datos_base!$G$23,0))*parametros_manuales!$L$95+parametros_manuales!$E$21*(datos_base!$G$3+datos_base!$G$19+IF(parametros_manuales!$H$21="Todos",datos_base!$G$10+datos_base!$G$24,0))*parametros_manuales!$L$100+parametros_manuales!$F$21*(datos_base!$G$4+datos_base!$G$20+IF(parametros_manuales!$H$21="Todos",datos_base!$G$11+datos_base!$G$25,0))*parametros_manuales!$L$105+parametros_manuales!$G$21*(datos_base!$G$5+datos_base!$G$21+IF(parametros_manuales!$H$21="Todos",datos_base!$G$12+datos_base!$G$26,0))*parametros_manuales!$L$110)*parametros_manuales!$I$21*parametros_manuales!$J$21</f>
        <v>7857.0407763</v>
      </c>
      <c r="M139" s="9" t="n">
        <f aca="false">(parametros_manuales!$D$21*(datos_base!$G$2+datos_base!$G$18+IF(parametros_manuales!$H$21="Todos",datos_base!$G$9+datos_base!$G$23,0))*parametros_manuales!$M$95+parametros_manuales!$E$21*(datos_base!$G$3+datos_base!$G$19+IF(parametros_manuales!$H$21="Todos",datos_base!$G$10+datos_base!$G$24,0))*parametros_manuales!$M$100+parametros_manuales!$F$21*(datos_base!$G$4+datos_base!$G$20+IF(parametros_manuales!$H$21="Todos",datos_base!$G$11+datos_base!$G$25,0))*parametros_manuales!$M$105+parametros_manuales!$G$21*(datos_base!$G$5+datos_base!$G$21+IF(parametros_manuales!$H$21="Todos",datos_base!$G$12+datos_base!$G$26,0))*parametros_manuales!$M$110)*parametros_manuales!$I$21*parametros_manuales!$J$21</f>
        <v>7857.0407763</v>
      </c>
      <c r="N139" s="9" t="n">
        <f aca="false">SUM(B139:M139)</f>
        <v>87300.45307</v>
      </c>
      <c r="O139" s="9" t="n">
        <f aca="false">MAX(B139:M139)</f>
        <v>7857.0407763</v>
      </c>
      <c r="P139" s="43" t="n">
        <f aca="false">O139/(parametros_manuales!$B$7)</f>
        <v>52.380271842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datos_base!$G$2+datos_base!$G$18+IF(parametros_manuales!$H$22="Todos",datos_base!$G$9+datos_base!$G$23,0))*parametros_manuales!$B$95+parametros_manuales!$E$22*(datos_base!$G$3+datos_base!$G$19+IF(parametros_manuales!$H$22="Todos",datos_base!$G$10+datos_base!$G$24,0))*parametros_manuales!$B$100+parametros_manuales!$F$22*(datos_base!$G$4+datos_base!$G$20+IF(parametros_manuales!$H$22="Todos",datos_base!$G$11+datos_base!$G$25,0))*parametros_manuales!$B$105+parametros_manuales!$G$22*(datos_base!$G$5+datos_base!$G$21+IF(parametros_manuales!$H$22="Todos",datos_base!$G$12+datos_base!$G$26,0))*parametros_manuales!$B$110)*parametros_manuales!$I$22*parametros_manuales!$J$22</f>
        <v>22307.84857782</v>
      </c>
      <c r="C140" s="9" t="n">
        <f aca="false">(parametros_manuales!$D$22*(datos_base!$G$2+datos_base!$G$18+IF(parametros_manuales!$H$22="Todos",datos_base!$G$9+datos_base!$G$23,0))*parametros_manuales!$C$95+parametros_manuales!$E$22*(datos_base!$G$3+datos_base!$G$19+IF(parametros_manuales!$H$22="Todos",datos_base!$G$10+datos_base!$G$24,0))*parametros_manuales!$C$100+parametros_manuales!$F$22*(datos_base!$G$4+datos_base!$G$20+IF(parametros_manuales!$H$22="Todos",datos_base!$G$11+datos_base!$G$25,0))*parametros_manuales!$C$105+parametros_manuales!$G$22*(datos_base!$G$5+datos_base!$G$21+IF(parametros_manuales!$H$22="Todos",datos_base!$G$12+datos_base!$G$26,0))*parametros_manuales!$C$110)*parametros_manuales!$I$22*parametros_manuales!$J$22</f>
        <v>21575.20779724</v>
      </c>
      <c r="D140" s="9" t="n">
        <f aca="false">(parametros_manuales!$D$22*(datos_base!$G$2+datos_base!$G$18+IF(parametros_manuales!$H$22="Todos",datos_base!$G$9+datos_base!$G$23,0))*parametros_manuales!$D$95+parametros_manuales!$E$22*(datos_base!$G$3+datos_base!$G$19+IF(parametros_manuales!$H$22="Todos",datos_base!$G$10+datos_base!$G$24,0))*parametros_manuales!$D$100+parametros_manuales!$F$22*(datos_base!$G$4+datos_base!$G$20+IF(parametros_manuales!$H$22="Todos",datos_base!$G$11+datos_base!$G$25,0))*parametros_manuales!$D$105+parametros_manuales!$G$22*(datos_base!$G$5+datos_base!$G$21+IF(parametros_manuales!$H$22="Todos",datos_base!$G$12+datos_base!$G$26,0))*parametros_manuales!$D$110)*parametros_manuales!$I$22*parametros_manuales!$J$22</f>
        <v>20195.51912613</v>
      </c>
      <c r="E140" s="9" t="n">
        <f aca="false">(parametros_manuales!$D$22*(datos_base!$G$2+datos_base!$G$18+IF(parametros_manuales!$H$22="Todos",datos_base!$G$9+datos_base!$G$23,0))*parametros_manuales!$E$95+parametros_manuales!$E$22*(datos_base!$G$3+datos_base!$G$19+IF(parametros_manuales!$H$22="Todos",datos_base!$G$10+datos_base!$G$24,0))*parametros_manuales!$E$100+parametros_manuales!$F$22*(datos_base!$G$4+datos_base!$G$20+IF(parametros_manuales!$H$22="Todos",datos_base!$G$11+datos_base!$G$25,0))*parametros_manuales!$E$105+parametros_manuales!$G$22*(datos_base!$G$5+datos_base!$G$21+IF(parametros_manuales!$H$22="Todos",datos_base!$G$12+datos_base!$G$26,0))*parametros_manuales!$E$110)*parametros_manuales!$I$22*parametros_manuales!$J$22</f>
        <v>19322.51459543</v>
      </c>
      <c r="F140" s="9" t="n">
        <f aca="false">(parametros_manuales!$D$22*(datos_base!$G$2+datos_base!$G$18+IF(parametros_manuales!$H$22="Todos",datos_base!$G$9+datos_base!$G$23,0))*parametros_manuales!$F$95+parametros_manuales!$E$22*(datos_base!$G$3+datos_base!$G$19+IF(parametros_manuales!$H$22="Todos",datos_base!$G$10+datos_base!$G$24,0))*parametros_manuales!$F$100+parametros_manuales!$F$22*(datos_base!$G$4+datos_base!$G$20+IF(parametros_manuales!$H$22="Todos",datos_base!$G$11+datos_base!$G$25,0))*parametros_manuales!$F$105+parametros_manuales!$G$22*(datos_base!$G$5+datos_base!$G$21+IF(parametros_manuales!$H$22="Todos",datos_base!$G$12+datos_base!$G$26,0))*parametros_manuales!$F$110)*parametros_manuales!$I$22*parametros_manuales!$J$22</f>
        <v>18083.18967444</v>
      </c>
      <c r="G140" s="9" t="n">
        <f aca="false">(parametros_manuales!$D$22*(datos_base!$G$2+datos_base!$G$18+IF(parametros_manuales!$H$22="Todos",datos_base!$G$9+datos_base!$G$23,0))*parametros_manuales!$G$95+parametros_manuales!$E$22*(datos_base!$G$3+datos_base!$G$19+IF(parametros_manuales!$H$22="Todos",datos_base!$G$10+datos_base!$G$24,0))*parametros_manuales!$G$100+parametros_manuales!$F$22*(datos_base!$G$4+datos_base!$G$20+IF(parametros_manuales!$H$22="Todos",datos_base!$G$11+datos_base!$G$25,0))*parametros_manuales!$G$105+parametros_manuales!$G$22*(datos_base!$G$5+datos_base!$G$21+IF(parametros_manuales!$H$22="Todos",datos_base!$G$12+datos_base!$G$26,0))*parametros_manuales!$G$110)*parametros_manuales!$I$22*parametros_manuales!$J$22</f>
        <v>17716.86928415</v>
      </c>
      <c r="H140" s="9" t="n">
        <f aca="false">(parametros_manuales!$D$22*(datos_base!$G$2+datos_base!$G$18+IF(parametros_manuales!$H$22="Todos",datos_base!$G$9+datos_base!$G$23,0))*parametros_manuales!$H$95+parametros_manuales!$E$22*(datos_base!$G$3+datos_base!$G$19+IF(parametros_manuales!$H$22="Todos",datos_base!$G$10+datos_base!$G$24,0))*parametros_manuales!$H$100+parametros_manuales!$F$22*(datos_base!$G$4+datos_base!$G$20+IF(parametros_manuales!$H$22="Todos",datos_base!$G$11+datos_base!$G$25,0))*parametros_manuales!$H$105+parametros_manuales!$G$22*(datos_base!$G$5+datos_base!$G$21+IF(parametros_manuales!$H$22="Todos",datos_base!$G$12+datos_base!$G$26,0))*parametros_manuales!$H$110)*parametros_manuales!$I$22*parametros_manuales!$J$22</f>
        <v>18956.19420514</v>
      </c>
      <c r="I140" s="9" t="n">
        <f aca="false">(parametros_manuales!$D$22*(datos_base!$G$2+datos_base!$G$18+IF(parametros_manuales!$H$22="Todos",datos_base!$G$9+datos_base!$G$23,0))*parametros_manuales!$I$95+parametros_manuales!$E$22*(datos_base!$G$3+datos_base!$G$19+IF(parametros_manuales!$H$22="Todos",datos_base!$G$10+datos_base!$G$24,0))*parametros_manuales!$I$100+parametros_manuales!$F$22*(datos_base!$G$4+datos_base!$G$20+IF(parametros_manuales!$H$22="Todos",datos_base!$G$11+datos_base!$G$25,0))*parametros_manuales!$I$105+parametros_manuales!$G$22*(datos_base!$G$5+datos_base!$G$21+IF(parametros_manuales!$H$22="Todos",datos_base!$G$12+datos_base!$G$26,0))*parametros_manuales!$I$110)*parametros_manuales!$I$22*parametros_manuales!$J$22</f>
        <v>21575.20779724</v>
      </c>
      <c r="J140" s="9" t="n">
        <f aca="false">(parametros_manuales!$D$22*(datos_base!$G$2+datos_base!$G$18+IF(parametros_manuales!$H$22="Todos",datos_base!$G$9+datos_base!$G$23,0))*parametros_manuales!$J$95+parametros_manuales!$E$22*(datos_base!$G$3+datos_base!$G$19+IF(parametros_manuales!$H$22="Todos",datos_base!$G$10+datos_base!$G$24,0))*parametros_manuales!$J$100+parametros_manuales!$F$22*(datos_base!$G$4+datos_base!$G$20+IF(parametros_manuales!$H$22="Todos",datos_base!$G$11+datos_base!$G$25,0))*parametros_manuales!$J$105+parametros_manuales!$G$22*(datos_base!$G$5+datos_base!$G$21+IF(parametros_manuales!$H$22="Todos",datos_base!$G$12+datos_base!$G$26,0))*parametros_manuales!$J$110)*parametros_manuales!$I$22*parametros_manuales!$J$22</f>
        <v>21575.20779724</v>
      </c>
      <c r="K140" s="9" t="n">
        <f aca="false">(parametros_manuales!$D$22*(datos_base!$G$2+datos_base!$G$18+IF(parametros_manuales!$H$22="Todos",datos_base!$G$9+datos_base!$G$23,0))*parametros_manuales!$K$95+parametros_manuales!$E$22*(datos_base!$G$3+datos_base!$G$19+IF(parametros_manuales!$H$22="Todos",datos_base!$G$10+datos_base!$G$24,0))*parametros_manuales!$K$100+parametros_manuales!$F$22*(datos_base!$G$4+datos_base!$G$20+IF(parametros_manuales!$H$22="Todos",datos_base!$G$11+datos_base!$G$25,0))*parametros_manuales!$K$105+parametros_manuales!$G$22*(datos_base!$G$5+datos_base!$G$21+IF(parametros_manuales!$H$22="Todos",datos_base!$G$12+datos_base!$G$26,0))*parametros_manuales!$K$110)*parametros_manuales!$I$22*parametros_manuales!$J$22</f>
        <v>21941.52818753</v>
      </c>
      <c r="L140" s="9" t="n">
        <f aca="false">(parametros_manuales!$D$22*(datos_base!$G$2+datos_base!$G$18+IF(parametros_manuales!$H$22="Todos",datos_base!$G$9+datos_base!$G$23,0))*parametros_manuales!$L$95+parametros_manuales!$E$22*(datos_base!$G$3+datos_base!$G$19+IF(parametros_manuales!$H$22="Todos",datos_base!$G$10+datos_base!$G$24,0))*parametros_manuales!$L$100+parametros_manuales!$F$22*(datos_base!$G$4+datos_base!$G$20+IF(parametros_manuales!$H$22="Todos",datos_base!$G$11+datos_base!$G$25,0))*parametros_manuales!$L$105+parametros_manuales!$G$22*(datos_base!$G$5+datos_base!$G$21+IF(parametros_manuales!$H$22="Todos",datos_base!$G$12+datos_base!$G$26,0))*parametros_manuales!$L$110)*parametros_manuales!$I$22*parametros_manuales!$J$22</f>
        <v>22307.84857782</v>
      </c>
      <c r="M140" s="9" t="n">
        <f aca="false">(parametros_manuales!$D$22*(datos_base!$G$2+datos_base!$G$18+IF(parametros_manuales!$H$22="Todos",datos_base!$G$9+datos_base!$G$23,0))*parametros_manuales!$M$95+parametros_manuales!$E$22*(datos_base!$G$3+datos_base!$G$19+IF(parametros_manuales!$H$22="Todos",datos_base!$G$10+datos_base!$G$24,0))*parametros_manuales!$M$100+parametros_manuales!$F$22*(datos_base!$G$4+datos_base!$G$20+IF(parametros_manuales!$H$22="Todos",datos_base!$G$11+datos_base!$G$25,0))*parametros_manuales!$M$105+parametros_manuales!$G$22*(datos_base!$G$5+datos_base!$G$21+IF(parametros_manuales!$H$22="Todos",datos_base!$G$12+datos_base!$G$26,0))*parametros_manuales!$M$110)*parametros_manuales!$I$22*parametros_manuales!$J$22</f>
        <v>22307.84857782</v>
      </c>
      <c r="N140" s="9" t="n">
        <f aca="false">SUM(B140:M140)</f>
        <v>247864.984198</v>
      </c>
      <c r="O140" s="9" t="n">
        <f aca="false">MAX(B140:M140)</f>
        <v>22307.84857782</v>
      </c>
      <c r="P140" s="43" t="n">
        <f aca="false">O140/(parametros_manuales!$B$7)</f>
        <v>148.7189905188</v>
      </c>
      <c r="Q140" s="8" t="str">
        <f aca="false">IF(O140=0,"-",INDEX($B$136:$M$136,MATCH(O140,B140:M140,0)))</f>
        <v>Ene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datos_base!$G$2+datos_base!$G$18+IF(parametros_manuales!$H$23="Todos",datos_base!$G$9+datos_base!$G$23,0))*parametros_manuales!$B$95+parametros_manuales!$E$23*(datos_base!$G$3+datos_base!$G$19+IF(parametros_manuales!$H$23="Todos",datos_base!$G$10+datos_base!$G$24,0))*parametros_manuales!$B$100+parametros_manuales!$F$23*(datos_base!$G$4+datos_base!$G$20+IF(parametros_manuales!$H$23="Todos",datos_base!$G$11+datos_base!$G$25,0))*parametros_manuales!$B$105+parametros_manuales!$G$23*(datos_base!$G$5+datos_base!$G$21+IF(parametros_manuales!$H$23="Todos",datos_base!$G$12+datos_base!$G$26,0))*parametros_manuales!$B$110)*parametros_manuales!$I$23*parametros_manuales!$J$23</f>
        <v>11153.92428891</v>
      </c>
      <c r="C141" s="9" t="n">
        <f aca="false">(parametros_manuales!$D$23*(datos_base!$G$2+datos_base!$G$18+IF(parametros_manuales!$H$23="Todos",datos_base!$G$9+datos_base!$G$23,0))*parametros_manuales!$C$95+parametros_manuales!$E$23*(datos_base!$G$3+datos_base!$G$19+IF(parametros_manuales!$H$23="Todos",datos_base!$G$10+datos_base!$G$24,0))*parametros_manuales!$C$100+parametros_manuales!$F$23*(datos_base!$G$4+datos_base!$G$20+IF(parametros_manuales!$H$23="Todos",datos_base!$G$11+datos_base!$G$25,0))*parametros_manuales!$C$105+parametros_manuales!$G$23*(datos_base!$G$5+datos_base!$G$21+IF(parametros_manuales!$H$23="Todos",datos_base!$G$12+datos_base!$G$26,0))*parametros_manuales!$C$110)*parametros_manuales!$I$23*parametros_manuales!$J$23</f>
        <v>10787.60389862</v>
      </c>
      <c r="D141" s="9" t="n">
        <f aca="false">(parametros_manuales!$D$23*(datos_base!$G$2+datos_base!$G$18+IF(parametros_manuales!$H$23="Todos",datos_base!$G$9+datos_base!$G$23,0))*parametros_manuales!$D$95+parametros_manuales!$E$23*(datos_base!$G$3+datos_base!$G$19+IF(parametros_manuales!$H$23="Todos",datos_base!$G$10+datos_base!$G$24,0))*parametros_manuales!$D$100+parametros_manuales!$F$23*(datos_base!$G$4+datos_base!$G$20+IF(parametros_manuales!$H$23="Todos",datos_base!$G$11+datos_base!$G$25,0))*parametros_manuales!$D$105+parametros_manuales!$G$23*(datos_base!$G$5+datos_base!$G$21+IF(parametros_manuales!$H$23="Todos",datos_base!$G$12+datos_base!$G$26,0))*parametros_manuales!$D$110)*parametros_manuales!$I$23*parametros_manuales!$J$23</f>
        <v>10097.759563065</v>
      </c>
      <c r="E141" s="9" t="n">
        <f aca="false">(parametros_manuales!$D$23*(datos_base!$G$2+datos_base!$G$18+IF(parametros_manuales!$H$23="Todos",datos_base!$G$9+datos_base!$G$23,0))*parametros_manuales!$E$95+parametros_manuales!$E$23*(datos_base!$G$3+datos_base!$G$19+IF(parametros_manuales!$H$23="Todos",datos_base!$G$10+datos_base!$G$24,0))*parametros_manuales!$E$100+parametros_manuales!$F$23*(datos_base!$G$4+datos_base!$G$20+IF(parametros_manuales!$H$23="Todos",datos_base!$G$11+datos_base!$G$25,0))*parametros_manuales!$E$105+parametros_manuales!$G$23*(datos_base!$G$5+datos_base!$G$21+IF(parametros_manuales!$H$23="Todos",datos_base!$G$12+datos_base!$G$26,0))*parametros_manuales!$E$110)*parametros_manuales!$I$23*parametros_manuales!$J$23</f>
        <v>9661.257297715</v>
      </c>
      <c r="F141" s="9" t="n">
        <f aca="false">(parametros_manuales!$D$23*(datos_base!$G$2+datos_base!$G$18+IF(parametros_manuales!$H$23="Todos",datos_base!$G$9+datos_base!$G$23,0))*parametros_manuales!$F$95+parametros_manuales!$E$23*(datos_base!$G$3+datos_base!$G$19+IF(parametros_manuales!$H$23="Todos",datos_base!$G$10+datos_base!$G$24,0))*parametros_manuales!$F$100+parametros_manuales!$F$23*(datos_base!$G$4+datos_base!$G$20+IF(parametros_manuales!$H$23="Todos",datos_base!$G$11+datos_base!$G$25,0))*parametros_manuales!$F$105+parametros_manuales!$G$23*(datos_base!$G$5+datos_base!$G$21+IF(parametros_manuales!$H$23="Todos",datos_base!$G$12+datos_base!$G$26,0))*parametros_manuales!$F$110)*parametros_manuales!$I$23*parametros_manuales!$J$23</f>
        <v>9041.59483722</v>
      </c>
      <c r="G141" s="9" t="n">
        <f aca="false">(parametros_manuales!$D$23*(datos_base!$G$2+datos_base!$G$18+IF(parametros_manuales!$H$23="Todos",datos_base!$G$9+datos_base!$G$23,0))*parametros_manuales!$G$95+parametros_manuales!$E$23*(datos_base!$G$3+datos_base!$G$19+IF(parametros_manuales!$H$23="Todos",datos_base!$G$10+datos_base!$G$24,0))*parametros_manuales!$G$100+parametros_manuales!$F$23*(datos_base!$G$4+datos_base!$G$20+IF(parametros_manuales!$H$23="Todos",datos_base!$G$11+datos_base!$G$25,0))*parametros_manuales!$G$105+parametros_manuales!$G$23*(datos_base!$G$5+datos_base!$G$21+IF(parametros_manuales!$H$23="Todos",datos_base!$G$12+datos_base!$G$26,0))*parametros_manuales!$G$110)*parametros_manuales!$I$23*parametros_manuales!$J$23</f>
        <v>8858.434642075</v>
      </c>
      <c r="H141" s="9" t="n">
        <f aca="false">(parametros_manuales!$D$23*(datos_base!$G$2+datos_base!$G$18+IF(parametros_manuales!$H$23="Todos",datos_base!$G$9+datos_base!$G$23,0))*parametros_manuales!$H$95+parametros_manuales!$E$23*(datos_base!$G$3+datos_base!$G$19+IF(parametros_manuales!$H$23="Todos",datos_base!$G$10+datos_base!$G$24,0))*parametros_manuales!$H$100+parametros_manuales!$F$23*(datos_base!$G$4+datos_base!$G$20+IF(parametros_manuales!$H$23="Todos",datos_base!$G$11+datos_base!$G$25,0))*parametros_manuales!$H$105+parametros_manuales!$G$23*(datos_base!$G$5+datos_base!$G$21+IF(parametros_manuales!$H$23="Todos",datos_base!$G$12+datos_base!$G$26,0))*parametros_manuales!$H$110)*parametros_manuales!$I$23*parametros_manuales!$J$23</f>
        <v>9478.09710257</v>
      </c>
      <c r="I141" s="9" t="n">
        <f aca="false">(parametros_manuales!$D$23*(datos_base!$G$2+datos_base!$G$18+IF(parametros_manuales!$H$23="Todos",datos_base!$G$9+datos_base!$G$23,0))*parametros_manuales!$I$95+parametros_manuales!$E$23*(datos_base!$G$3+datos_base!$G$19+IF(parametros_manuales!$H$23="Todos",datos_base!$G$10+datos_base!$G$24,0))*parametros_manuales!$I$100+parametros_manuales!$F$23*(datos_base!$G$4+datos_base!$G$20+IF(parametros_manuales!$H$23="Todos",datos_base!$G$11+datos_base!$G$25,0))*parametros_manuales!$I$105+parametros_manuales!$G$23*(datos_base!$G$5+datos_base!$G$21+IF(parametros_manuales!$H$23="Todos",datos_base!$G$12+datos_base!$G$26,0))*parametros_manuales!$I$110)*parametros_manuales!$I$23*parametros_manuales!$J$23</f>
        <v>10787.60389862</v>
      </c>
      <c r="J141" s="9" t="n">
        <f aca="false">(parametros_manuales!$D$23*(datos_base!$G$2+datos_base!$G$18+IF(parametros_manuales!$H$23="Todos",datos_base!$G$9+datos_base!$G$23,0))*parametros_manuales!$J$95+parametros_manuales!$E$23*(datos_base!$G$3+datos_base!$G$19+IF(parametros_manuales!$H$23="Todos",datos_base!$G$10+datos_base!$G$24,0))*parametros_manuales!$J$100+parametros_manuales!$F$23*(datos_base!$G$4+datos_base!$G$20+IF(parametros_manuales!$H$23="Todos",datos_base!$G$11+datos_base!$G$25,0))*parametros_manuales!$J$105+parametros_manuales!$G$23*(datos_base!$G$5+datos_base!$G$21+IF(parametros_manuales!$H$23="Todos",datos_base!$G$12+datos_base!$G$26,0))*parametros_manuales!$J$110)*parametros_manuales!$I$23*parametros_manuales!$J$23</f>
        <v>10787.60389862</v>
      </c>
      <c r="K141" s="9" t="n">
        <f aca="false">(parametros_manuales!$D$23*(datos_base!$G$2+datos_base!$G$18+IF(parametros_manuales!$H$23="Todos",datos_base!$G$9+datos_base!$G$23,0))*parametros_manuales!$K$95+parametros_manuales!$E$23*(datos_base!$G$3+datos_base!$G$19+IF(parametros_manuales!$H$23="Todos",datos_base!$G$10+datos_base!$G$24,0))*parametros_manuales!$K$100+parametros_manuales!$F$23*(datos_base!$G$4+datos_base!$G$20+IF(parametros_manuales!$H$23="Todos",datos_base!$G$11+datos_base!$G$25,0))*parametros_manuales!$K$105+parametros_manuales!$G$23*(datos_base!$G$5+datos_base!$G$21+IF(parametros_manuales!$H$23="Todos",datos_base!$G$12+datos_base!$G$26,0))*parametros_manuales!$K$110)*parametros_manuales!$I$23*parametros_manuales!$J$23</f>
        <v>10970.764093765</v>
      </c>
      <c r="L141" s="9" t="n">
        <f aca="false">(parametros_manuales!$D$23*(datos_base!$G$2+datos_base!$G$18+IF(parametros_manuales!$H$23="Todos",datos_base!$G$9+datos_base!$G$23,0))*parametros_manuales!$L$95+parametros_manuales!$E$23*(datos_base!$G$3+datos_base!$G$19+IF(parametros_manuales!$H$23="Todos",datos_base!$G$10+datos_base!$G$24,0))*parametros_manuales!$L$100+parametros_manuales!$F$23*(datos_base!$G$4+datos_base!$G$20+IF(parametros_manuales!$H$23="Todos",datos_base!$G$11+datos_base!$G$25,0))*parametros_manuales!$L$105+parametros_manuales!$G$23*(datos_base!$G$5+datos_base!$G$21+IF(parametros_manuales!$H$23="Todos",datos_base!$G$12+datos_base!$G$26,0))*parametros_manuales!$L$110)*parametros_manuales!$I$23*parametros_manuales!$J$23</f>
        <v>11153.92428891</v>
      </c>
      <c r="M141" s="9" t="n">
        <f aca="false">(parametros_manuales!$D$23*(datos_base!$G$2+datos_base!$G$18+IF(parametros_manuales!$H$23="Todos",datos_base!$G$9+datos_base!$G$23,0))*parametros_manuales!$M$95+parametros_manuales!$E$23*(datos_base!$G$3+datos_base!$G$19+IF(parametros_manuales!$H$23="Todos",datos_base!$G$10+datos_base!$G$24,0))*parametros_manuales!$M$100+parametros_manuales!$F$23*(datos_base!$G$4+datos_base!$G$20+IF(parametros_manuales!$H$23="Todos",datos_base!$G$11+datos_base!$G$25,0))*parametros_manuales!$M$105+parametros_manuales!$G$23*(datos_base!$G$5+datos_base!$G$21+IF(parametros_manuales!$H$23="Todos",datos_base!$G$12+datos_base!$G$26,0))*parametros_manuales!$M$110)*parametros_manuales!$I$23*parametros_manuales!$J$23</f>
        <v>11153.92428891</v>
      </c>
      <c r="N141" s="9" t="n">
        <f aca="false">SUM(B141:M141)</f>
        <v>123932.492099</v>
      </c>
      <c r="O141" s="9" t="n">
        <f aca="false">MAX(B141:M141)</f>
        <v>11153.92428891</v>
      </c>
      <c r="P141" s="43" t="n">
        <f aca="false">O141/(parametros_manuales!$B$7)</f>
        <v>74.3594952594</v>
      </c>
      <c r="Q141" s="8" t="str">
        <f aca="false">IF(O141=0,"-",INDEX($B$136:$M$136,MATCH(O141,B141:M141,0)))</f>
        <v>Ene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datos_base!$G$2+datos_base!$G$18+IF(parametros_manuales!$H$24="Todos",datos_base!$G$9+datos_base!$G$23,0))*parametros_manuales!$B$95+parametros_manuales!$E$24*(datos_base!$G$3+datos_base!$G$19+IF(parametros_manuales!$H$24="Todos",datos_base!$G$10+datos_base!$G$24,0))*parametros_manuales!$B$100+parametros_manuales!$F$24*(datos_base!$G$4+datos_base!$G$20+IF(parametros_manuales!$H$24="Todos",datos_base!$G$11+datos_base!$G$25,0))*parametros_manuales!$B$105+parametros_manuales!$G$24*(datos_base!$G$5+datos_base!$G$21+IF(parametros_manuales!$H$24="Todos",datos_base!$G$12+datos_base!$G$26,0))*parametros_manuales!$B$110)*parametros_manuales!$I$24*parametros_manuales!$J$24</f>
        <v>11153.92428891</v>
      </c>
      <c r="C142" s="9" t="n">
        <f aca="false">(parametros_manuales!$D$24*(datos_base!$G$2+datos_base!$G$18+IF(parametros_manuales!$H$24="Todos",datos_base!$G$9+datos_base!$G$23,0))*parametros_manuales!$C$95+parametros_manuales!$E$24*(datos_base!$G$3+datos_base!$G$19+IF(parametros_manuales!$H$24="Todos",datos_base!$G$10+datos_base!$G$24,0))*parametros_manuales!$C$100+parametros_manuales!$F$24*(datos_base!$G$4+datos_base!$G$20+IF(parametros_manuales!$H$24="Todos",datos_base!$G$11+datos_base!$G$25,0))*parametros_manuales!$C$105+parametros_manuales!$G$24*(datos_base!$G$5+datos_base!$G$21+IF(parametros_manuales!$H$24="Todos",datos_base!$G$12+datos_base!$G$26,0))*parametros_manuales!$C$110)*parametros_manuales!$I$24*parametros_manuales!$J$24</f>
        <v>10787.60389862</v>
      </c>
      <c r="D142" s="9" t="n">
        <f aca="false">(parametros_manuales!$D$24*(datos_base!$G$2+datos_base!$G$18+IF(parametros_manuales!$H$24="Todos",datos_base!$G$9+datos_base!$G$23,0))*parametros_manuales!$D$95+parametros_manuales!$E$24*(datos_base!$G$3+datos_base!$G$19+IF(parametros_manuales!$H$24="Todos",datos_base!$G$10+datos_base!$G$24,0))*parametros_manuales!$D$100+parametros_manuales!$F$24*(datos_base!$G$4+datos_base!$G$20+IF(parametros_manuales!$H$24="Todos",datos_base!$G$11+datos_base!$G$25,0))*parametros_manuales!$D$105+parametros_manuales!$G$24*(datos_base!$G$5+datos_base!$G$21+IF(parametros_manuales!$H$24="Todos",datos_base!$G$12+datos_base!$G$26,0))*parametros_manuales!$D$110)*parametros_manuales!$I$24*parametros_manuales!$J$24</f>
        <v>10097.759563065</v>
      </c>
      <c r="E142" s="9" t="n">
        <f aca="false">(parametros_manuales!$D$24*(datos_base!$G$2+datos_base!$G$18+IF(parametros_manuales!$H$24="Todos",datos_base!$G$9+datos_base!$G$23,0))*parametros_manuales!$E$95+parametros_manuales!$E$24*(datos_base!$G$3+datos_base!$G$19+IF(parametros_manuales!$H$24="Todos",datos_base!$G$10+datos_base!$G$24,0))*parametros_manuales!$E$100+parametros_manuales!$F$24*(datos_base!$G$4+datos_base!$G$20+IF(parametros_manuales!$H$24="Todos",datos_base!$G$11+datos_base!$G$25,0))*parametros_manuales!$E$105+parametros_manuales!$G$24*(datos_base!$G$5+datos_base!$G$21+IF(parametros_manuales!$H$24="Todos",datos_base!$G$12+datos_base!$G$26,0))*parametros_manuales!$E$110)*parametros_manuales!$I$24*parametros_manuales!$J$24</f>
        <v>9661.257297715</v>
      </c>
      <c r="F142" s="9" t="n">
        <f aca="false">(parametros_manuales!$D$24*(datos_base!$G$2+datos_base!$G$18+IF(parametros_manuales!$H$24="Todos",datos_base!$G$9+datos_base!$G$23,0))*parametros_manuales!$F$95+parametros_manuales!$E$24*(datos_base!$G$3+datos_base!$G$19+IF(parametros_manuales!$H$24="Todos",datos_base!$G$10+datos_base!$G$24,0))*parametros_manuales!$F$100+parametros_manuales!$F$24*(datos_base!$G$4+datos_base!$G$20+IF(parametros_manuales!$H$24="Todos",datos_base!$G$11+datos_base!$G$25,0))*parametros_manuales!$F$105+parametros_manuales!$G$24*(datos_base!$G$5+datos_base!$G$21+IF(parametros_manuales!$H$24="Todos",datos_base!$G$12+datos_base!$G$26,0))*parametros_manuales!$F$110)*parametros_manuales!$I$24*parametros_manuales!$J$24</f>
        <v>9041.59483722</v>
      </c>
      <c r="G142" s="9" t="n">
        <f aca="false">(parametros_manuales!$D$24*(datos_base!$G$2+datos_base!$G$18+IF(parametros_manuales!$H$24="Todos",datos_base!$G$9+datos_base!$G$23,0))*parametros_manuales!$G$95+parametros_manuales!$E$24*(datos_base!$G$3+datos_base!$G$19+IF(parametros_manuales!$H$24="Todos",datos_base!$G$10+datos_base!$G$24,0))*parametros_manuales!$G$100+parametros_manuales!$F$24*(datos_base!$G$4+datos_base!$G$20+IF(parametros_manuales!$H$24="Todos",datos_base!$G$11+datos_base!$G$25,0))*parametros_manuales!$G$105+parametros_manuales!$G$24*(datos_base!$G$5+datos_base!$G$21+IF(parametros_manuales!$H$24="Todos",datos_base!$G$12+datos_base!$G$26,0))*parametros_manuales!$G$110)*parametros_manuales!$I$24*parametros_manuales!$J$24</f>
        <v>8858.434642075</v>
      </c>
      <c r="H142" s="9" t="n">
        <f aca="false">(parametros_manuales!$D$24*(datos_base!$G$2+datos_base!$G$18+IF(parametros_manuales!$H$24="Todos",datos_base!$G$9+datos_base!$G$23,0))*parametros_manuales!$H$95+parametros_manuales!$E$24*(datos_base!$G$3+datos_base!$G$19+IF(parametros_manuales!$H$24="Todos",datos_base!$G$10+datos_base!$G$24,0))*parametros_manuales!$H$100+parametros_manuales!$F$24*(datos_base!$G$4+datos_base!$G$20+IF(parametros_manuales!$H$24="Todos",datos_base!$G$11+datos_base!$G$25,0))*parametros_manuales!$H$105+parametros_manuales!$G$24*(datos_base!$G$5+datos_base!$G$21+IF(parametros_manuales!$H$24="Todos",datos_base!$G$12+datos_base!$G$26,0))*parametros_manuales!$H$110)*parametros_manuales!$I$24*parametros_manuales!$J$24</f>
        <v>9478.09710257</v>
      </c>
      <c r="I142" s="9" t="n">
        <f aca="false">(parametros_manuales!$D$24*(datos_base!$G$2+datos_base!$G$18+IF(parametros_manuales!$H$24="Todos",datos_base!$G$9+datos_base!$G$23,0))*parametros_manuales!$I$95+parametros_manuales!$E$24*(datos_base!$G$3+datos_base!$G$19+IF(parametros_manuales!$H$24="Todos",datos_base!$G$10+datos_base!$G$24,0))*parametros_manuales!$I$100+parametros_manuales!$F$24*(datos_base!$G$4+datos_base!$G$20+IF(parametros_manuales!$H$24="Todos",datos_base!$G$11+datos_base!$G$25,0))*parametros_manuales!$I$105+parametros_manuales!$G$24*(datos_base!$G$5+datos_base!$G$21+IF(parametros_manuales!$H$24="Todos",datos_base!$G$12+datos_base!$G$26,0))*parametros_manuales!$I$110)*parametros_manuales!$I$24*parametros_manuales!$J$24</f>
        <v>10787.60389862</v>
      </c>
      <c r="J142" s="9" t="n">
        <f aca="false">(parametros_manuales!$D$24*(datos_base!$G$2+datos_base!$G$18+IF(parametros_manuales!$H$24="Todos",datos_base!$G$9+datos_base!$G$23,0))*parametros_manuales!$J$95+parametros_manuales!$E$24*(datos_base!$G$3+datos_base!$G$19+IF(parametros_manuales!$H$24="Todos",datos_base!$G$10+datos_base!$G$24,0))*parametros_manuales!$J$100+parametros_manuales!$F$24*(datos_base!$G$4+datos_base!$G$20+IF(parametros_manuales!$H$24="Todos",datos_base!$G$11+datos_base!$G$25,0))*parametros_manuales!$J$105+parametros_manuales!$G$24*(datos_base!$G$5+datos_base!$G$21+IF(parametros_manuales!$H$24="Todos",datos_base!$G$12+datos_base!$G$26,0))*parametros_manuales!$J$110)*parametros_manuales!$I$24*parametros_manuales!$J$24</f>
        <v>10787.60389862</v>
      </c>
      <c r="K142" s="9" t="n">
        <f aca="false">(parametros_manuales!$D$24*(datos_base!$G$2+datos_base!$G$18+IF(parametros_manuales!$H$24="Todos",datos_base!$G$9+datos_base!$G$23,0))*parametros_manuales!$K$95+parametros_manuales!$E$24*(datos_base!$G$3+datos_base!$G$19+IF(parametros_manuales!$H$24="Todos",datos_base!$G$10+datos_base!$G$24,0))*parametros_manuales!$K$100+parametros_manuales!$F$24*(datos_base!$G$4+datos_base!$G$20+IF(parametros_manuales!$H$24="Todos",datos_base!$G$11+datos_base!$G$25,0))*parametros_manuales!$K$105+parametros_manuales!$G$24*(datos_base!$G$5+datos_base!$G$21+IF(parametros_manuales!$H$24="Todos",datos_base!$G$12+datos_base!$G$26,0))*parametros_manuales!$K$110)*parametros_manuales!$I$24*parametros_manuales!$J$24</f>
        <v>10970.764093765</v>
      </c>
      <c r="L142" s="9" t="n">
        <f aca="false">(parametros_manuales!$D$24*(datos_base!$G$2+datos_base!$G$18+IF(parametros_manuales!$H$24="Todos",datos_base!$G$9+datos_base!$G$23,0))*parametros_manuales!$L$95+parametros_manuales!$E$24*(datos_base!$G$3+datos_base!$G$19+IF(parametros_manuales!$H$24="Todos",datos_base!$G$10+datos_base!$G$24,0))*parametros_manuales!$L$100+parametros_manuales!$F$24*(datos_base!$G$4+datos_base!$G$20+IF(parametros_manuales!$H$24="Todos",datos_base!$G$11+datos_base!$G$25,0))*parametros_manuales!$L$105+parametros_manuales!$G$24*(datos_base!$G$5+datos_base!$G$21+IF(parametros_manuales!$H$24="Todos",datos_base!$G$12+datos_base!$G$26,0))*parametros_manuales!$L$110)*parametros_manuales!$I$24*parametros_manuales!$J$24</f>
        <v>11153.92428891</v>
      </c>
      <c r="M142" s="9" t="n">
        <f aca="false">(parametros_manuales!$D$24*(datos_base!$G$2+datos_base!$G$18+IF(parametros_manuales!$H$24="Todos",datos_base!$G$9+datos_base!$G$23,0))*parametros_manuales!$M$95+parametros_manuales!$E$24*(datos_base!$G$3+datos_base!$G$19+IF(parametros_manuales!$H$24="Todos",datos_base!$G$10+datos_base!$G$24,0))*parametros_manuales!$M$100+parametros_manuales!$F$24*(datos_base!$G$4+datos_base!$G$20+IF(parametros_manuales!$H$24="Todos",datos_base!$G$11+datos_base!$G$25,0))*parametros_manuales!$M$105+parametros_manuales!$G$24*(datos_base!$G$5+datos_base!$G$21+IF(parametros_manuales!$H$24="Todos",datos_base!$G$12+datos_base!$G$26,0))*parametros_manuales!$M$110)*parametros_manuales!$I$24*parametros_manuales!$J$24</f>
        <v>11153.92428891</v>
      </c>
      <c r="N142" s="9" t="n">
        <f aca="false">SUM(B142:M142)</f>
        <v>123932.492099</v>
      </c>
      <c r="O142" s="9" t="n">
        <f aca="false">MAX(B142:M142)</f>
        <v>11153.92428891</v>
      </c>
      <c r="P142" s="43" t="n">
        <f aca="false">O142/(parametros_manuales!$B$7)</f>
        <v>74.3594952594</v>
      </c>
      <c r="Q142" s="8" t="str">
        <f aca="false">IF(O142=0,"-",INDEX($B$136:$M$136,MATCH(O142,B142:M142,0)))</f>
        <v>Ene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datos_base!$G$2+datos_base!$G$18+IF(parametros_manuales!$H$25="Todos",datos_base!$G$9+datos_base!$G$23,0))*parametros_manuales!$B$95+parametros_manuales!$E$25*(datos_base!$G$3+datos_base!$G$19+IF(parametros_manuales!$H$25="Todos",datos_base!$G$10+datos_base!$G$24,0))*parametros_manuales!$B$100+parametros_manuales!$F$25*(datos_base!$G$4+datos_base!$G$20+IF(parametros_manuales!$H$25="Todos",datos_base!$G$11+datos_base!$G$25,0))*parametros_manuales!$B$105+parametros_manuales!$G$25*(datos_base!$G$5+datos_base!$G$21+IF(parametros_manuales!$H$25="Todos",datos_base!$G$12+datos_base!$G$26,0))*parametros_manuales!$B$110)*parametros_manuales!$I$25*parametros_manuales!$J$25</f>
        <v>11153.92428891</v>
      </c>
      <c r="C143" s="9" t="n">
        <f aca="false">(parametros_manuales!$D$25*(datos_base!$G$2+datos_base!$G$18+IF(parametros_manuales!$H$25="Todos",datos_base!$G$9+datos_base!$G$23,0))*parametros_manuales!$C$95+parametros_manuales!$E$25*(datos_base!$G$3+datos_base!$G$19+IF(parametros_manuales!$H$25="Todos",datos_base!$G$10+datos_base!$G$24,0))*parametros_manuales!$C$100+parametros_manuales!$F$25*(datos_base!$G$4+datos_base!$G$20+IF(parametros_manuales!$H$25="Todos",datos_base!$G$11+datos_base!$G$25,0))*parametros_manuales!$C$105+parametros_manuales!$G$25*(datos_base!$G$5+datos_base!$G$21+IF(parametros_manuales!$H$25="Todos",datos_base!$G$12+datos_base!$G$26,0))*parametros_manuales!$C$110)*parametros_manuales!$I$25*parametros_manuales!$J$25</f>
        <v>10787.60389862</v>
      </c>
      <c r="D143" s="9" t="n">
        <f aca="false">(parametros_manuales!$D$25*(datos_base!$G$2+datos_base!$G$18+IF(parametros_manuales!$H$25="Todos",datos_base!$G$9+datos_base!$G$23,0))*parametros_manuales!$D$95+parametros_manuales!$E$25*(datos_base!$G$3+datos_base!$G$19+IF(parametros_manuales!$H$25="Todos",datos_base!$G$10+datos_base!$G$24,0))*parametros_manuales!$D$100+parametros_manuales!$F$25*(datos_base!$G$4+datos_base!$G$20+IF(parametros_manuales!$H$25="Todos",datos_base!$G$11+datos_base!$G$25,0))*parametros_manuales!$D$105+parametros_manuales!$G$25*(datos_base!$G$5+datos_base!$G$21+IF(parametros_manuales!$H$25="Todos",datos_base!$G$12+datos_base!$G$26,0))*parametros_manuales!$D$110)*parametros_manuales!$I$25*parametros_manuales!$J$25</f>
        <v>10097.759563065</v>
      </c>
      <c r="E143" s="9" t="n">
        <f aca="false">(parametros_manuales!$D$25*(datos_base!$G$2+datos_base!$G$18+IF(parametros_manuales!$H$25="Todos",datos_base!$G$9+datos_base!$G$23,0))*parametros_manuales!$E$95+parametros_manuales!$E$25*(datos_base!$G$3+datos_base!$G$19+IF(parametros_manuales!$H$25="Todos",datos_base!$G$10+datos_base!$G$24,0))*parametros_manuales!$E$100+parametros_manuales!$F$25*(datos_base!$G$4+datos_base!$G$20+IF(parametros_manuales!$H$25="Todos",datos_base!$G$11+datos_base!$G$25,0))*parametros_manuales!$E$105+parametros_manuales!$G$25*(datos_base!$G$5+datos_base!$G$21+IF(parametros_manuales!$H$25="Todos",datos_base!$G$12+datos_base!$G$26,0))*parametros_manuales!$E$110)*parametros_manuales!$I$25*parametros_manuales!$J$25</f>
        <v>9661.257297715</v>
      </c>
      <c r="F143" s="9" t="n">
        <f aca="false">(parametros_manuales!$D$25*(datos_base!$G$2+datos_base!$G$18+IF(parametros_manuales!$H$25="Todos",datos_base!$G$9+datos_base!$G$23,0))*parametros_manuales!$F$95+parametros_manuales!$E$25*(datos_base!$G$3+datos_base!$G$19+IF(parametros_manuales!$H$25="Todos",datos_base!$G$10+datos_base!$G$24,0))*parametros_manuales!$F$100+parametros_manuales!$F$25*(datos_base!$G$4+datos_base!$G$20+IF(parametros_manuales!$H$25="Todos",datos_base!$G$11+datos_base!$G$25,0))*parametros_manuales!$F$105+parametros_manuales!$G$25*(datos_base!$G$5+datos_base!$G$21+IF(parametros_manuales!$H$25="Todos",datos_base!$G$12+datos_base!$G$26,0))*parametros_manuales!$F$110)*parametros_manuales!$I$25*parametros_manuales!$J$25</f>
        <v>9041.59483722</v>
      </c>
      <c r="G143" s="9" t="n">
        <f aca="false">(parametros_manuales!$D$25*(datos_base!$G$2+datos_base!$G$18+IF(parametros_manuales!$H$25="Todos",datos_base!$G$9+datos_base!$G$23,0))*parametros_manuales!$G$95+parametros_manuales!$E$25*(datos_base!$G$3+datos_base!$G$19+IF(parametros_manuales!$H$25="Todos",datos_base!$G$10+datos_base!$G$24,0))*parametros_manuales!$G$100+parametros_manuales!$F$25*(datos_base!$G$4+datos_base!$G$20+IF(parametros_manuales!$H$25="Todos",datos_base!$G$11+datos_base!$G$25,0))*parametros_manuales!$G$105+parametros_manuales!$G$25*(datos_base!$G$5+datos_base!$G$21+IF(parametros_manuales!$H$25="Todos",datos_base!$G$12+datos_base!$G$26,0))*parametros_manuales!$G$110)*parametros_manuales!$I$25*parametros_manuales!$J$25</f>
        <v>8858.434642075</v>
      </c>
      <c r="H143" s="9" t="n">
        <f aca="false">(parametros_manuales!$D$25*(datos_base!$G$2+datos_base!$G$18+IF(parametros_manuales!$H$25="Todos",datos_base!$G$9+datos_base!$G$23,0))*parametros_manuales!$H$95+parametros_manuales!$E$25*(datos_base!$G$3+datos_base!$G$19+IF(parametros_manuales!$H$25="Todos",datos_base!$G$10+datos_base!$G$24,0))*parametros_manuales!$H$100+parametros_manuales!$F$25*(datos_base!$G$4+datos_base!$G$20+IF(parametros_manuales!$H$25="Todos",datos_base!$G$11+datos_base!$G$25,0))*parametros_manuales!$H$105+parametros_manuales!$G$25*(datos_base!$G$5+datos_base!$G$21+IF(parametros_manuales!$H$25="Todos",datos_base!$G$12+datos_base!$G$26,0))*parametros_manuales!$H$110)*parametros_manuales!$I$25*parametros_manuales!$J$25</f>
        <v>9478.09710257</v>
      </c>
      <c r="I143" s="9" t="n">
        <f aca="false">(parametros_manuales!$D$25*(datos_base!$G$2+datos_base!$G$18+IF(parametros_manuales!$H$25="Todos",datos_base!$G$9+datos_base!$G$23,0))*parametros_manuales!$I$95+parametros_manuales!$E$25*(datos_base!$G$3+datos_base!$G$19+IF(parametros_manuales!$H$25="Todos",datos_base!$G$10+datos_base!$G$24,0))*parametros_manuales!$I$100+parametros_manuales!$F$25*(datos_base!$G$4+datos_base!$G$20+IF(parametros_manuales!$H$25="Todos",datos_base!$G$11+datos_base!$G$25,0))*parametros_manuales!$I$105+parametros_manuales!$G$25*(datos_base!$G$5+datos_base!$G$21+IF(parametros_manuales!$H$25="Todos",datos_base!$G$12+datos_base!$G$26,0))*parametros_manuales!$I$110)*parametros_manuales!$I$25*parametros_manuales!$J$25</f>
        <v>10787.60389862</v>
      </c>
      <c r="J143" s="9" t="n">
        <f aca="false">(parametros_manuales!$D$25*(datos_base!$G$2+datos_base!$G$18+IF(parametros_manuales!$H$25="Todos",datos_base!$G$9+datos_base!$G$23,0))*parametros_manuales!$J$95+parametros_manuales!$E$25*(datos_base!$G$3+datos_base!$G$19+IF(parametros_manuales!$H$25="Todos",datos_base!$G$10+datos_base!$G$24,0))*parametros_manuales!$J$100+parametros_manuales!$F$25*(datos_base!$G$4+datos_base!$G$20+IF(parametros_manuales!$H$25="Todos",datos_base!$G$11+datos_base!$G$25,0))*parametros_manuales!$J$105+parametros_manuales!$G$25*(datos_base!$G$5+datos_base!$G$21+IF(parametros_manuales!$H$25="Todos",datos_base!$G$12+datos_base!$G$26,0))*parametros_manuales!$J$110)*parametros_manuales!$I$25*parametros_manuales!$J$25</f>
        <v>10787.60389862</v>
      </c>
      <c r="K143" s="9" t="n">
        <f aca="false">(parametros_manuales!$D$25*(datos_base!$G$2+datos_base!$G$18+IF(parametros_manuales!$H$25="Todos",datos_base!$G$9+datos_base!$G$23,0))*parametros_manuales!$K$95+parametros_manuales!$E$25*(datos_base!$G$3+datos_base!$G$19+IF(parametros_manuales!$H$25="Todos",datos_base!$G$10+datos_base!$G$24,0))*parametros_manuales!$K$100+parametros_manuales!$F$25*(datos_base!$G$4+datos_base!$G$20+IF(parametros_manuales!$H$25="Todos",datos_base!$G$11+datos_base!$G$25,0))*parametros_manuales!$K$105+parametros_manuales!$G$25*(datos_base!$G$5+datos_base!$G$21+IF(parametros_manuales!$H$25="Todos",datos_base!$G$12+datos_base!$G$26,0))*parametros_manuales!$K$110)*parametros_manuales!$I$25*parametros_manuales!$J$25</f>
        <v>10970.764093765</v>
      </c>
      <c r="L143" s="9" t="n">
        <f aca="false">(parametros_manuales!$D$25*(datos_base!$G$2+datos_base!$G$18+IF(parametros_manuales!$H$25="Todos",datos_base!$G$9+datos_base!$G$23,0))*parametros_manuales!$L$95+parametros_manuales!$E$25*(datos_base!$G$3+datos_base!$G$19+IF(parametros_manuales!$H$25="Todos",datos_base!$G$10+datos_base!$G$24,0))*parametros_manuales!$L$100+parametros_manuales!$F$25*(datos_base!$G$4+datos_base!$G$20+IF(parametros_manuales!$H$25="Todos",datos_base!$G$11+datos_base!$G$25,0))*parametros_manuales!$L$105+parametros_manuales!$G$25*(datos_base!$G$5+datos_base!$G$21+IF(parametros_manuales!$H$25="Todos",datos_base!$G$12+datos_base!$G$26,0))*parametros_manuales!$L$110)*parametros_manuales!$I$25*parametros_manuales!$J$25</f>
        <v>11153.92428891</v>
      </c>
      <c r="M143" s="9" t="n">
        <f aca="false">(parametros_manuales!$D$25*(datos_base!$G$2+datos_base!$G$18+IF(parametros_manuales!$H$25="Todos",datos_base!$G$9+datos_base!$G$23,0))*parametros_manuales!$M$95+parametros_manuales!$E$25*(datos_base!$G$3+datos_base!$G$19+IF(parametros_manuales!$H$25="Todos",datos_base!$G$10+datos_base!$G$24,0))*parametros_manuales!$M$100+parametros_manuales!$F$25*(datos_base!$G$4+datos_base!$G$20+IF(parametros_manuales!$H$25="Todos",datos_base!$G$11+datos_base!$G$25,0))*parametros_manuales!$M$105+parametros_manuales!$G$25*(datos_base!$G$5+datos_base!$G$21+IF(parametros_manuales!$H$25="Todos",datos_base!$G$12+datos_base!$G$26,0))*parametros_manuales!$M$110)*parametros_manuales!$I$25*parametros_manuales!$J$25</f>
        <v>11153.92428891</v>
      </c>
      <c r="N143" s="9" t="n">
        <f aca="false">SUM(B143:M143)</f>
        <v>123932.492099</v>
      </c>
      <c r="O143" s="9" t="n">
        <f aca="false">MAX(B143:M143)</f>
        <v>11153.92428891</v>
      </c>
      <c r="P143" s="43" t="n">
        <f aca="false">O143/(parametros_manuales!$B$7)</f>
        <v>74.3594952594</v>
      </c>
      <c r="Q143" s="8" t="str">
        <f aca="false">IF(O143=0,"-",INDEX($B$136:$M$136,MATCH(O143,B143:M143,0)))</f>
        <v>Ene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datos_base!$G$2+datos_base!$G$18+IF(parametros_manuales!$H$26="Todos",datos_base!$G$9+datos_base!$G$23,0))*parametros_manuales!$B$95+parametros_manuales!$E$26*(datos_base!$G$3+datos_base!$G$19+IF(parametros_manuales!$H$26="Todos",datos_base!$G$10+datos_base!$G$24,0))*parametros_manuales!$B$100+parametros_manuales!$F$26*(datos_base!$G$4+datos_base!$G$20+IF(parametros_manuales!$H$26="Todos",datos_base!$G$11+datos_base!$G$25,0))*parametros_manuales!$B$105+parametros_manuales!$G$26*(datos_base!$G$5+datos_base!$G$21+IF(parametros_manuales!$H$26="Todos",datos_base!$G$12+datos_base!$G$26,0))*parametros_manuales!$B$110)*parametros_manuales!$I$26*parametros_manuales!$J$26</f>
        <v>3296.88351261</v>
      </c>
      <c r="C144" s="9" t="n">
        <f aca="false">(parametros_manuales!$D$26*(datos_base!$G$2+datos_base!$G$18+IF(parametros_manuales!$H$26="Todos",datos_base!$G$9+datos_base!$G$23,0))*parametros_manuales!$C$95+parametros_manuales!$E$26*(datos_base!$G$3+datos_base!$G$19+IF(parametros_manuales!$H$26="Todos",datos_base!$G$10+datos_base!$G$24,0))*parametros_manuales!$C$100+parametros_manuales!$F$26*(datos_base!$G$4+datos_base!$G$20+IF(parametros_manuales!$H$26="Todos",datos_base!$G$11+datos_base!$G$25,0))*parametros_manuales!$C$105+parametros_manuales!$G$26*(datos_base!$G$5+datos_base!$G$21+IF(parametros_manuales!$H$26="Todos",datos_base!$G$12+datos_base!$G$26,0))*parametros_manuales!$C$110)*parametros_manuales!$I$26*parametros_manuales!$J$26</f>
        <v>2930.56312232</v>
      </c>
      <c r="D144" s="9" t="n">
        <f aca="false">(parametros_manuales!$D$26*(datos_base!$G$2+datos_base!$G$18+IF(parametros_manuales!$H$26="Todos",datos_base!$G$9+datos_base!$G$23,0))*parametros_manuales!$D$95+parametros_manuales!$E$26*(datos_base!$G$3+datos_base!$G$19+IF(parametros_manuales!$H$26="Todos",datos_base!$G$10+datos_base!$G$24,0))*parametros_manuales!$D$100+parametros_manuales!$F$26*(datos_base!$G$4+datos_base!$G$20+IF(parametros_manuales!$H$26="Todos",datos_base!$G$11+datos_base!$G$25,0))*parametros_manuales!$D$105+parametros_manuales!$G$26*(datos_base!$G$5+datos_base!$G$21+IF(parametros_manuales!$H$26="Todos",datos_base!$G$12+datos_base!$G$26,0))*parametros_manuales!$D$110)*parametros_manuales!$I$26*parametros_manuales!$J$26</f>
        <v>3113.723317465</v>
      </c>
      <c r="E144" s="9" t="n">
        <f aca="false">(parametros_manuales!$D$26*(datos_base!$G$2+datos_base!$G$18+IF(parametros_manuales!$H$26="Todos",datos_base!$G$9+datos_base!$G$23,0))*parametros_manuales!$E$95+parametros_manuales!$E$26*(datos_base!$G$3+datos_base!$G$19+IF(parametros_manuales!$H$26="Todos",datos_base!$G$10+datos_base!$G$24,0))*parametros_manuales!$E$100+parametros_manuales!$F$26*(datos_base!$G$4+datos_base!$G$20+IF(parametros_manuales!$H$26="Todos",datos_base!$G$11+datos_base!$G$25,0))*parametros_manuales!$E$105+parametros_manuales!$G$26*(datos_base!$G$5+datos_base!$G$21+IF(parametros_manuales!$H$26="Todos",datos_base!$G$12+datos_base!$G$26,0))*parametros_manuales!$E$110)*parametros_manuales!$I$26*parametros_manuales!$J$26</f>
        <v>3113.723317465</v>
      </c>
      <c r="F144" s="9" t="n">
        <f aca="false">(parametros_manuales!$D$26*(datos_base!$G$2+datos_base!$G$18+IF(parametros_manuales!$H$26="Todos",datos_base!$G$9+datos_base!$G$23,0))*parametros_manuales!$F$95+parametros_manuales!$E$26*(datos_base!$G$3+datos_base!$G$19+IF(parametros_manuales!$H$26="Todos",datos_base!$G$10+datos_base!$G$24,0))*parametros_manuales!$F$100+parametros_manuales!$F$26*(datos_base!$G$4+datos_base!$G$20+IF(parametros_manuales!$H$26="Todos",datos_base!$G$11+datos_base!$G$25,0))*parametros_manuales!$F$105+parametros_manuales!$G$26*(datos_base!$G$5+datos_base!$G$21+IF(parametros_manuales!$H$26="Todos",datos_base!$G$12+datos_base!$G$26,0))*parametros_manuales!$F$110)*parametros_manuales!$I$26*parametros_manuales!$J$26</f>
        <v>2930.56312232</v>
      </c>
      <c r="G144" s="9" t="n">
        <f aca="false">(parametros_manuales!$D$26*(datos_base!$G$2+datos_base!$G$18+IF(parametros_manuales!$H$26="Todos",datos_base!$G$9+datos_base!$G$23,0))*parametros_manuales!$G$95+parametros_manuales!$E$26*(datos_base!$G$3+datos_base!$G$19+IF(parametros_manuales!$H$26="Todos",datos_base!$G$10+datos_base!$G$24,0))*parametros_manuales!$G$100+parametros_manuales!$F$26*(datos_base!$G$4+datos_base!$G$20+IF(parametros_manuales!$H$26="Todos",datos_base!$G$11+datos_base!$G$25,0))*parametros_manuales!$G$105+parametros_manuales!$G$26*(datos_base!$G$5+datos_base!$G$21+IF(parametros_manuales!$H$26="Todos",datos_base!$G$12+datos_base!$G$26,0))*parametros_manuales!$G$110)*parametros_manuales!$I$26*parametros_manuales!$J$26</f>
        <v>2747.402927175</v>
      </c>
      <c r="H144" s="9" t="n">
        <f aca="false">(parametros_manuales!$D$26*(datos_base!$G$2+datos_base!$G$18+IF(parametros_manuales!$H$26="Todos",datos_base!$G$9+datos_base!$G$23,0))*parametros_manuales!$H$95+parametros_manuales!$E$26*(datos_base!$G$3+datos_base!$G$19+IF(parametros_manuales!$H$26="Todos",datos_base!$G$10+datos_base!$G$24,0))*parametros_manuales!$H$100+parametros_manuales!$F$26*(datos_base!$G$4+datos_base!$G$20+IF(parametros_manuales!$H$26="Todos",datos_base!$G$11+datos_base!$G$25,0))*parametros_manuales!$H$105+parametros_manuales!$G$26*(datos_base!$G$5+datos_base!$G$21+IF(parametros_manuales!$H$26="Todos",datos_base!$G$12+datos_base!$G$26,0))*parametros_manuales!$H$110)*parametros_manuales!$I$26*parametros_manuales!$J$26</f>
        <v>2930.56312232</v>
      </c>
      <c r="I144" s="9" t="n">
        <f aca="false">(parametros_manuales!$D$26*(datos_base!$G$2+datos_base!$G$18+IF(parametros_manuales!$H$26="Todos",datos_base!$G$9+datos_base!$G$23,0))*parametros_manuales!$I$95+parametros_manuales!$E$26*(datos_base!$G$3+datos_base!$G$19+IF(parametros_manuales!$H$26="Todos",datos_base!$G$10+datos_base!$G$24,0))*parametros_manuales!$I$100+parametros_manuales!$F$26*(datos_base!$G$4+datos_base!$G$20+IF(parametros_manuales!$H$26="Todos",datos_base!$G$11+datos_base!$G$25,0))*parametros_manuales!$I$105+parametros_manuales!$G$26*(datos_base!$G$5+datos_base!$G$21+IF(parametros_manuales!$H$26="Todos",datos_base!$G$12+datos_base!$G$26,0))*parametros_manuales!$I$110)*parametros_manuales!$I$26*parametros_manuales!$J$26</f>
        <v>2930.56312232</v>
      </c>
      <c r="J144" s="9" t="n">
        <f aca="false">(parametros_manuales!$D$26*(datos_base!$G$2+datos_base!$G$18+IF(parametros_manuales!$H$26="Todos",datos_base!$G$9+datos_base!$G$23,0))*parametros_manuales!$J$95+parametros_manuales!$E$26*(datos_base!$G$3+datos_base!$G$19+IF(parametros_manuales!$H$26="Todos",datos_base!$G$10+datos_base!$G$24,0))*parametros_manuales!$J$100+parametros_manuales!$F$26*(datos_base!$G$4+datos_base!$G$20+IF(parametros_manuales!$H$26="Todos",datos_base!$G$11+datos_base!$G$25,0))*parametros_manuales!$J$105+parametros_manuales!$G$26*(datos_base!$G$5+datos_base!$G$21+IF(parametros_manuales!$H$26="Todos",datos_base!$G$12+datos_base!$G$26,0))*parametros_manuales!$J$110)*parametros_manuales!$I$26*parametros_manuales!$J$26</f>
        <v>2930.56312232</v>
      </c>
      <c r="K144" s="9" t="n">
        <f aca="false">(parametros_manuales!$D$26*(datos_base!$G$2+datos_base!$G$18+IF(parametros_manuales!$H$26="Todos",datos_base!$G$9+datos_base!$G$23,0))*parametros_manuales!$K$95+parametros_manuales!$E$26*(datos_base!$G$3+datos_base!$G$19+IF(parametros_manuales!$H$26="Todos",datos_base!$G$10+datos_base!$G$24,0))*parametros_manuales!$K$100+parametros_manuales!$F$26*(datos_base!$G$4+datos_base!$G$20+IF(parametros_manuales!$H$26="Todos",datos_base!$G$11+datos_base!$G$25,0))*parametros_manuales!$K$105+parametros_manuales!$G$26*(datos_base!$G$5+datos_base!$G$21+IF(parametros_manuales!$H$26="Todos",datos_base!$G$12+datos_base!$G$26,0))*parametros_manuales!$K$110)*parametros_manuales!$I$26*parametros_manuales!$J$26</f>
        <v>3113.723317465</v>
      </c>
      <c r="L144" s="9" t="n">
        <f aca="false">(parametros_manuales!$D$26*(datos_base!$G$2+datos_base!$G$18+IF(parametros_manuales!$H$26="Todos",datos_base!$G$9+datos_base!$G$23,0))*parametros_manuales!$L$95+parametros_manuales!$E$26*(datos_base!$G$3+datos_base!$G$19+IF(parametros_manuales!$H$26="Todos",datos_base!$G$10+datos_base!$G$24,0))*parametros_manuales!$L$100+parametros_manuales!$F$26*(datos_base!$G$4+datos_base!$G$20+IF(parametros_manuales!$H$26="Todos",datos_base!$G$11+datos_base!$G$25,0))*parametros_manuales!$L$105+parametros_manuales!$G$26*(datos_base!$G$5+datos_base!$G$21+IF(parametros_manuales!$H$26="Todos",datos_base!$G$12+datos_base!$G$26,0))*parametros_manuales!$L$110)*parametros_manuales!$I$26*parametros_manuales!$J$26</f>
        <v>3296.88351261</v>
      </c>
      <c r="M144" s="9" t="n">
        <f aca="false">(parametros_manuales!$D$26*(datos_base!$G$2+datos_base!$G$18+IF(parametros_manuales!$H$26="Todos",datos_base!$G$9+datos_base!$G$23,0))*parametros_manuales!$M$95+parametros_manuales!$E$26*(datos_base!$G$3+datos_base!$G$19+IF(parametros_manuales!$H$26="Todos",datos_base!$G$10+datos_base!$G$24,0))*parametros_manuales!$M$100+parametros_manuales!$F$26*(datos_base!$G$4+datos_base!$G$20+IF(parametros_manuales!$H$26="Todos",datos_base!$G$11+datos_base!$G$25,0))*parametros_manuales!$M$105+parametros_manuales!$G$26*(datos_base!$G$5+datos_base!$G$21+IF(parametros_manuales!$H$26="Todos",datos_base!$G$12+datos_base!$G$26,0))*parametros_manuales!$M$110)*parametros_manuales!$I$26*parametros_manuales!$J$26</f>
        <v>3296.88351261</v>
      </c>
      <c r="N144" s="9" t="n">
        <f aca="false">SUM(B144:M144)</f>
        <v>36632.039029</v>
      </c>
      <c r="O144" s="9" t="n">
        <f aca="false">MAX(B144:M144)</f>
        <v>3296.88351261</v>
      </c>
      <c r="P144" s="43" t="n">
        <f aca="false">O144/(parametros_manuales!$B$7)</f>
        <v>21.9792234174</v>
      </c>
      <c r="Q144" s="8" t="str">
        <f aca="false">IF(O144=0,"-",INDEX($B$136:$M$136,MATCH(O144,B144:M144,0)))</f>
        <v>Ene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datos_base!$G$2+datos_base!$G$18+IF(parametros_manuales!$H$27="Todos",datos_base!$G$9+datos_base!$G$23,0))*parametros_manuales!$B$95+parametros_manuales!$E$27*(datos_base!$G$3+datos_base!$G$19+IF(parametros_manuales!$H$27="Todos",datos_base!$G$10+datos_base!$G$24,0))*parametros_manuales!$B$100+parametros_manuales!$F$27*(datos_base!$G$4+datos_base!$G$20+IF(parametros_manuales!$H$27="Todos",datos_base!$G$11+datos_base!$G$25,0))*parametros_manuales!$B$105+parametros_manuales!$G$27*(datos_base!$G$5+datos_base!$G$21+IF(parametros_manuales!$H$27="Todos",datos_base!$G$12+datos_base!$G$26,0))*parametros_manuales!$B$110)*parametros_manuales!$I$27*parametros_manuales!$J$27</f>
        <v>3296.88351261</v>
      </c>
      <c r="C145" s="9" t="n">
        <f aca="false">(parametros_manuales!$D$27*(datos_base!$G$2+datos_base!$G$18+IF(parametros_manuales!$H$27="Todos",datos_base!$G$9+datos_base!$G$23,0))*parametros_manuales!$C$95+parametros_manuales!$E$27*(datos_base!$G$3+datos_base!$G$19+IF(parametros_manuales!$H$27="Todos",datos_base!$G$10+datos_base!$G$24,0))*parametros_manuales!$C$100+parametros_manuales!$F$27*(datos_base!$G$4+datos_base!$G$20+IF(parametros_manuales!$H$27="Todos",datos_base!$G$11+datos_base!$G$25,0))*parametros_manuales!$C$105+parametros_manuales!$G$27*(datos_base!$G$5+datos_base!$G$21+IF(parametros_manuales!$H$27="Todos",datos_base!$G$12+datos_base!$G$26,0))*parametros_manuales!$C$110)*parametros_manuales!$I$27*parametros_manuales!$J$27</f>
        <v>2930.56312232</v>
      </c>
      <c r="D145" s="9" t="n">
        <f aca="false">(parametros_manuales!$D$27*(datos_base!$G$2+datos_base!$G$18+IF(parametros_manuales!$H$27="Todos",datos_base!$G$9+datos_base!$G$23,0))*parametros_manuales!$D$95+parametros_manuales!$E$27*(datos_base!$G$3+datos_base!$G$19+IF(parametros_manuales!$H$27="Todos",datos_base!$G$10+datos_base!$G$24,0))*parametros_manuales!$D$100+parametros_manuales!$F$27*(datos_base!$G$4+datos_base!$G$20+IF(parametros_manuales!$H$27="Todos",datos_base!$G$11+datos_base!$G$25,0))*parametros_manuales!$D$105+parametros_manuales!$G$27*(datos_base!$G$5+datos_base!$G$21+IF(parametros_manuales!$H$27="Todos",datos_base!$G$12+datos_base!$G$26,0))*parametros_manuales!$D$110)*parametros_manuales!$I$27*parametros_manuales!$J$27</f>
        <v>3113.723317465</v>
      </c>
      <c r="E145" s="9" t="n">
        <f aca="false">(parametros_manuales!$D$27*(datos_base!$G$2+datos_base!$G$18+IF(parametros_manuales!$H$27="Todos",datos_base!$G$9+datos_base!$G$23,0))*parametros_manuales!$E$95+parametros_manuales!$E$27*(datos_base!$G$3+datos_base!$G$19+IF(parametros_manuales!$H$27="Todos",datos_base!$G$10+datos_base!$G$24,0))*parametros_manuales!$E$100+parametros_manuales!$F$27*(datos_base!$G$4+datos_base!$G$20+IF(parametros_manuales!$H$27="Todos",datos_base!$G$11+datos_base!$G$25,0))*parametros_manuales!$E$105+parametros_manuales!$G$27*(datos_base!$G$5+datos_base!$G$21+IF(parametros_manuales!$H$27="Todos",datos_base!$G$12+datos_base!$G$26,0))*parametros_manuales!$E$110)*parametros_manuales!$I$27*parametros_manuales!$J$27</f>
        <v>3113.723317465</v>
      </c>
      <c r="F145" s="9" t="n">
        <f aca="false">(parametros_manuales!$D$27*(datos_base!$G$2+datos_base!$G$18+IF(parametros_manuales!$H$27="Todos",datos_base!$G$9+datos_base!$G$23,0))*parametros_manuales!$F$95+parametros_manuales!$E$27*(datos_base!$G$3+datos_base!$G$19+IF(parametros_manuales!$H$27="Todos",datos_base!$G$10+datos_base!$G$24,0))*parametros_manuales!$F$100+parametros_manuales!$F$27*(datos_base!$G$4+datos_base!$G$20+IF(parametros_manuales!$H$27="Todos",datos_base!$G$11+datos_base!$G$25,0))*parametros_manuales!$F$105+parametros_manuales!$G$27*(datos_base!$G$5+datos_base!$G$21+IF(parametros_manuales!$H$27="Todos",datos_base!$G$12+datos_base!$G$26,0))*parametros_manuales!$F$110)*parametros_manuales!$I$27*parametros_manuales!$J$27</f>
        <v>2930.56312232</v>
      </c>
      <c r="G145" s="9" t="n">
        <f aca="false">(parametros_manuales!$D$27*(datos_base!$G$2+datos_base!$G$18+IF(parametros_manuales!$H$27="Todos",datos_base!$G$9+datos_base!$G$23,0))*parametros_manuales!$G$95+parametros_manuales!$E$27*(datos_base!$G$3+datos_base!$G$19+IF(parametros_manuales!$H$27="Todos",datos_base!$G$10+datos_base!$G$24,0))*parametros_manuales!$G$100+parametros_manuales!$F$27*(datos_base!$G$4+datos_base!$G$20+IF(parametros_manuales!$H$27="Todos",datos_base!$G$11+datos_base!$G$25,0))*parametros_manuales!$G$105+parametros_manuales!$G$27*(datos_base!$G$5+datos_base!$G$21+IF(parametros_manuales!$H$27="Todos",datos_base!$G$12+datos_base!$G$26,0))*parametros_manuales!$G$110)*parametros_manuales!$I$27*parametros_manuales!$J$27</f>
        <v>2747.402927175</v>
      </c>
      <c r="H145" s="9" t="n">
        <f aca="false">(parametros_manuales!$D$27*(datos_base!$G$2+datos_base!$G$18+IF(parametros_manuales!$H$27="Todos",datos_base!$G$9+datos_base!$G$23,0))*parametros_manuales!$H$95+parametros_manuales!$E$27*(datos_base!$G$3+datos_base!$G$19+IF(parametros_manuales!$H$27="Todos",datos_base!$G$10+datos_base!$G$24,0))*parametros_manuales!$H$100+parametros_manuales!$F$27*(datos_base!$G$4+datos_base!$G$20+IF(parametros_manuales!$H$27="Todos",datos_base!$G$11+datos_base!$G$25,0))*parametros_manuales!$H$105+parametros_manuales!$G$27*(datos_base!$G$5+datos_base!$G$21+IF(parametros_manuales!$H$27="Todos",datos_base!$G$12+datos_base!$G$26,0))*parametros_manuales!$H$110)*parametros_manuales!$I$27*parametros_manuales!$J$27</f>
        <v>2930.56312232</v>
      </c>
      <c r="I145" s="9" t="n">
        <f aca="false">(parametros_manuales!$D$27*(datos_base!$G$2+datos_base!$G$18+IF(parametros_manuales!$H$27="Todos",datos_base!$G$9+datos_base!$G$23,0))*parametros_manuales!$I$95+parametros_manuales!$E$27*(datos_base!$G$3+datos_base!$G$19+IF(parametros_manuales!$H$27="Todos",datos_base!$G$10+datos_base!$G$24,0))*parametros_manuales!$I$100+parametros_manuales!$F$27*(datos_base!$G$4+datos_base!$G$20+IF(parametros_manuales!$H$27="Todos",datos_base!$G$11+datos_base!$G$25,0))*parametros_manuales!$I$105+parametros_manuales!$G$27*(datos_base!$G$5+datos_base!$G$21+IF(parametros_manuales!$H$27="Todos",datos_base!$G$12+datos_base!$G$26,0))*parametros_manuales!$I$110)*parametros_manuales!$I$27*parametros_manuales!$J$27</f>
        <v>2930.56312232</v>
      </c>
      <c r="J145" s="9" t="n">
        <f aca="false">(parametros_manuales!$D$27*(datos_base!$G$2+datos_base!$G$18+IF(parametros_manuales!$H$27="Todos",datos_base!$G$9+datos_base!$G$23,0))*parametros_manuales!$J$95+parametros_manuales!$E$27*(datos_base!$G$3+datos_base!$G$19+IF(parametros_manuales!$H$27="Todos",datos_base!$G$10+datos_base!$G$24,0))*parametros_manuales!$J$100+parametros_manuales!$F$27*(datos_base!$G$4+datos_base!$G$20+IF(parametros_manuales!$H$27="Todos",datos_base!$G$11+datos_base!$G$25,0))*parametros_manuales!$J$105+parametros_manuales!$G$27*(datos_base!$G$5+datos_base!$G$21+IF(parametros_manuales!$H$27="Todos",datos_base!$G$12+datos_base!$G$26,0))*parametros_manuales!$J$110)*parametros_manuales!$I$27*parametros_manuales!$J$27</f>
        <v>2930.56312232</v>
      </c>
      <c r="K145" s="9" t="n">
        <f aca="false">(parametros_manuales!$D$27*(datos_base!$G$2+datos_base!$G$18+IF(parametros_manuales!$H$27="Todos",datos_base!$G$9+datos_base!$G$23,0))*parametros_manuales!$K$95+parametros_manuales!$E$27*(datos_base!$G$3+datos_base!$G$19+IF(parametros_manuales!$H$27="Todos",datos_base!$G$10+datos_base!$G$24,0))*parametros_manuales!$K$100+parametros_manuales!$F$27*(datos_base!$G$4+datos_base!$G$20+IF(parametros_manuales!$H$27="Todos",datos_base!$G$11+datos_base!$G$25,0))*parametros_manuales!$K$105+parametros_manuales!$G$27*(datos_base!$G$5+datos_base!$G$21+IF(parametros_manuales!$H$27="Todos",datos_base!$G$12+datos_base!$G$26,0))*parametros_manuales!$K$110)*parametros_manuales!$I$27*parametros_manuales!$J$27</f>
        <v>3113.723317465</v>
      </c>
      <c r="L145" s="9" t="n">
        <f aca="false">(parametros_manuales!$D$27*(datos_base!$G$2+datos_base!$G$18+IF(parametros_manuales!$H$27="Todos",datos_base!$G$9+datos_base!$G$23,0))*parametros_manuales!$L$95+parametros_manuales!$E$27*(datos_base!$G$3+datos_base!$G$19+IF(parametros_manuales!$H$27="Todos",datos_base!$G$10+datos_base!$G$24,0))*parametros_manuales!$L$100+parametros_manuales!$F$27*(datos_base!$G$4+datos_base!$G$20+IF(parametros_manuales!$H$27="Todos",datos_base!$G$11+datos_base!$G$25,0))*parametros_manuales!$L$105+parametros_manuales!$G$27*(datos_base!$G$5+datos_base!$G$21+IF(parametros_manuales!$H$27="Todos",datos_base!$G$12+datos_base!$G$26,0))*parametros_manuales!$L$110)*parametros_manuales!$I$27*parametros_manuales!$J$27</f>
        <v>3296.88351261</v>
      </c>
      <c r="M145" s="9" t="n">
        <f aca="false">(parametros_manuales!$D$27*(datos_base!$G$2+datos_base!$G$18+IF(parametros_manuales!$H$27="Todos",datos_base!$G$9+datos_base!$G$23,0))*parametros_manuales!$M$95+parametros_manuales!$E$27*(datos_base!$G$3+datos_base!$G$19+IF(parametros_manuales!$H$27="Todos",datos_base!$G$10+datos_base!$G$24,0))*parametros_manuales!$M$100+parametros_manuales!$F$27*(datos_base!$G$4+datos_base!$G$20+IF(parametros_manuales!$H$27="Todos",datos_base!$G$11+datos_base!$G$25,0))*parametros_manuales!$M$105+parametros_manuales!$G$27*(datos_base!$G$5+datos_base!$G$21+IF(parametros_manuales!$H$27="Todos",datos_base!$G$12+datos_base!$G$26,0))*parametros_manuales!$M$110)*parametros_manuales!$I$27*parametros_manuales!$J$27</f>
        <v>3296.88351261</v>
      </c>
      <c r="N145" s="9" t="n">
        <f aca="false">SUM(B145:M145)</f>
        <v>36632.039029</v>
      </c>
      <c r="O145" s="9" t="n">
        <f aca="false">MAX(B145:M145)</f>
        <v>3296.88351261</v>
      </c>
      <c r="P145" s="43" t="n">
        <f aca="false">O145/(parametros_manuales!$B$7)</f>
        <v>21.9792234174</v>
      </c>
      <c r="Q145" s="8" t="str">
        <f aca="false">IF(O145=0,"-",INDEX($B$136:$M$136,MATCH(O145,B145:M145,0)))</f>
        <v>Ene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datos_base!$G$2+datos_base!$G$18+IF(parametros_manuales!$H$28="Todos",datos_base!$G$9+datos_base!$G$23,0))*parametros_manuales!$B$95+parametros_manuales!$E$28*(datos_base!$G$3+datos_base!$G$19+IF(parametros_manuales!$H$28="Todos",datos_base!$G$10+datos_base!$G$24,0))*parametros_manuales!$B$100+parametros_manuales!$F$28*(datos_base!$G$4+datos_base!$G$20+IF(parametros_manuales!$H$28="Todos",datos_base!$G$11+datos_base!$G$25,0))*parametros_manuales!$B$105+parametros_manuales!$G$28*(datos_base!$G$5+datos_base!$G$21+IF(parametros_manuales!$H$28="Todos",datos_base!$G$12+datos_base!$G$26,0))*parametros_manuales!$B$110)*parametros_manuales!$I$28*parametros_manuales!$J$28</f>
        <v>11153.92428891</v>
      </c>
      <c r="C146" s="9" t="n">
        <f aca="false">(parametros_manuales!$D$28*(datos_base!$G$2+datos_base!$G$18+IF(parametros_manuales!$H$28="Todos",datos_base!$G$9+datos_base!$G$23,0))*parametros_manuales!$C$95+parametros_manuales!$E$28*(datos_base!$G$3+datos_base!$G$19+IF(parametros_manuales!$H$28="Todos",datos_base!$G$10+datos_base!$G$24,0))*parametros_manuales!$C$100+parametros_manuales!$F$28*(datos_base!$G$4+datos_base!$G$20+IF(parametros_manuales!$H$28="Todos",datos_base!$G$11+datos_base!$G$25,0))*parametros_manuales!$C$105+parametros_manuales!$G$28*(datos_base!$G$5+datos_base!$G$21+IF(parametros_manuales!$H$28="Todos",datos_base!$G$12+datos_base!$G$26,0))*parametros_manuales!$C$110)*parametros_manuales!$I$28*parametros_manuales!$J$28</f>
        <v>10787.60389862</v>
      </c>
      <c r="D146" s="9" t="n">
        <f aca="false">(parametros_manuales!$D$28*(datos_base!$G$2+datos_base!$G$18+IF(parametros_manuales!$H$28="Todos",datos_base!$G$9+datos_base!$G$23,0))*parametros_manuales!$D$95+parametros_manuales!$E$28*(datos_base!$G$3+datos_base!$G$19+IF(parametros_manuales!$H$28="Todos",datos_base!$G$10+datos_base!$G$24,0))*parametros_manuales!$D$100+parametros_manuales!$F$28*(datos_base!$G$4+datos_base!$G$20+IF(parametros_manuales!$H$28="Todos",datos_base!$G$11+datos_base!$G$25,0))*parametros_manuales!$D$105+parametros_manuales!$G$28*(datos_base!$G$5+datos_base!$G$21+IF(parametros_manuales!$H$28="Todos",datos_base!$G$12+datos_base!$G$26,0))*parametros_manuales!$D$110)*parametros_manuales!$I$28*parametros_manuales!$J$28</f>
        <v>10097.759563065</v>
      </c>
      <c r="E146" s="9" t="n">
        <f aca="false">(parametros_manuales!$D$28*(datos_base!$G$2+datos_base!$G$18+IF(parametros_manuales!$H$28="Todos",datos_base!$G$9+datos_base!$G$23,0))*parametros_manuales!$E$95+parametros_manuales!$E$28*(datos_base!$G$3+datos_base!$G$19+IF(parametros_manuales!$H$28="Todos",datos_base!$G$10+datos_base!$G$24,0))*parametros_manuales!$E$100+parametros_manuales!$F$28*(datos_base!$G$4+datos_base!$G$20+IF(parametros_manuales!$H$28="Todos",datos_base!$G$11+datos_base!$G$25,0))*parametros_manuales!$E$105+parametros_manuales!$G$28*(datos_base!$G$5+datos_base!$G$21+IF(parametros_manuales!$H$28="Todos",datos_base!$G$12+datos_base!$G$26,0))*parametros_manuales!$E$110)*parametros_manuales!$I$28*parametros_manuales!$J$28</f>
        <v>9661.257297715</v>
      </c>
      <c r="F146" s="9" t="n">
        <f aca="false">(parametros_manuales!$D$28*(datos_base!$G$2+datos_base!$G$18+IF(parametros_manuales!$H$28="Todos",datos_base!$G$9+datos_base!$G$23,0))*parametros_manuales!$F$95+parametros_manuales!$E$28*(datos_base!$G$3+datos_base!$G$19+IF(parametros_manuales!$H$28="Todos",datos_base!$G$10+datos_base!$G$24,0))*parametros_manuales!$F$100+parametros_manuales!$F$28*(datos_base!$G$4+datos_base!$G$20+IF(parametros_manuales!$H$28="Todos",datos_base!$G$11+datos_base!$G$25,0))*parametros_manuales!$F$105+parametros_manuales!$G$28*(datos_base!$G$5+datos_base!$G$21+IF(parametros_manuales!$H$28="Todos",datos_base!$G$12+datos_base!$G$26,0))*parametros_manuales!$F$110)*parametros_manuales!$I$28*parametros_manuales!$J$28</f>
        <v>9041.59483722</v>
      </c>
      <c r="G146" s="9" t="n">
        <f aca="false">(parametros_manuales!$D$28*(datos_base!$G$2+datos_base!$G$18+IF(parametros_manuales!$H$28="Todos",datos_base!$G$9+datos_base!$G$23,0))*parametros_manuales!$G$95+parametros_manuales!$E$28*(datos_base!$G$3+datos_base!$G$19+IF(parametros_manuales!$H$28="Todos",datos_base!$G$10+datos_base!$G$24,0))*parametros_manuales!$G$100+parametros_manuales!$F$28*(datos_base!$G$4+datos_base!$G$20+IF(parametros_manuales!$H$28="Todos",datos_base!$G$11+datos_base!$G$25,0))*parametros_manuales!$G$105+parametros_manuales!$G$28*(datos_base!$G$5+datos_base!$G$21+IF(parametros_manuales!$H$28="Todos",datos_base!$G$12+datos_base!$G$26,0))*parametros_manuales!$G$110)*parametros_manuales!$I$28*parametros_manuales!$J$28</f>
        <v>8858.434642075</v>
      </c>
      <c r="H146" s="9" t="n">
        <f aca="false">(parametros_manuales!$D$28*(datos_base!$G$2+datos_base!$G$18+IF(parametros_manuales!$H$28="Todos",datos_base!$G$9+datos_base!$G$23,0))*parametros_manuales!$H$95+parametros_manuales!$E$28*(datos_base!$G$3+datos_base!$G$19+IF(parametros_manuales!$H$28="Todos",datos_base!$G$10+datos_base!$G$24,0))*parametros_manuales!$H$100+parametros_manuales!$F$28*(datos_base!$G$4+datos_base!$G$20+IF(parametros_manuales!$H$28="Todos",datos_base!$G$11+datos_base!$G$25,0))*parametros_manuales!$H$105+parametros_manuales!$G$28*(datos_base!$G$5+datos_base!$G$21+IF(parametros_manuales!$H$28="Todos",datos_base!$G$12+datos_base!$G$26,0))*parametros_manuales!$H$110)*parametros_manuales!$I$28*parametros_manuales!$J$28</f>
        <v>9478.09710257</v>
      </c>
      <c r="I146" s="9" t="n">
        <f aca="false">(parametros_manuales!$D$28*(datos_base!$G$2+datos_base!$G$18+IF(parametros_manuales!$H$28="Todos",datos_base!$G$9+datos_base!$G$23,0))*parametros_manuales!$I$95+parametros_manuales!$E$28*(datos_base!$G$3+datos_base!$G$19+IF(parametros_manuales!$H$28="Todos",datos_base!$G$10+datos_base!$G$24,0))*parametros_manuales!$I$100+parametros_manuales!$F$28*(datos_base!$G$4+datos_base!$G$20+IF(parametros_manuales!$H$28="Todos",datos_base!$G$11+datos_base!$G$25,0))*parametros_manuales!$I$105+parametros_manuales!$G$28*(datos_base!$G$5+datos_base!$G$21+IF(parametros_manuales!$H$28="Todos",datos_base!$G$12+datos_base!$G$26,0))*parametros_manuales!$I$110)*parametros_manuales!$I$28*parametros_manuales!$J$28</f>
        <v>10787.60389862</v>
      </c>
      <c r="J146" s="9" t="n">
        <f aca="false">(parametros_manuales!$D$28*(datos_base!$G$2+datos_base!$G$18+IF(parametros_manuales!$H$28="Todos",datos_base!$G$9+datos_base!$G$23,0))*parametros_manuales!$J$95+parametros_manuales!$E$28*(datos_base!$G$3+datos_base!$G$19+IF(parametros_manuales!$H$28="Todos",datos_base!$G$10+datos_base!$G$24,0))*parametros_manuales!$J$100+parametros_manuales!$F$28*(datos_base!$G$4+datos_base!$G$20+IF(parametros_manuales!$H$28="Todos",datos_base!$G$11+datos_base!$G$25,0))*parametros_manuales!$J$105+parametros_manuales!$G$28*(datos_base!$G$5+datos_base!$G$21+IF(parametros_manuales!$H$28="Todos",datos_base!$G$12+datos_base!$G$26,0))*parametros_manuales!$J$110)*parametros_manuales!$I$28*parametros_manuales!$J$28</f>
        <v>10787.60389862</v>
      </c>
      <c r="K146" s="9" t="n">
        <f aca="false">(parametros_manuales!$D$28*(datos_base!$G$2+datos_base!$G$18+IF(parametros_manuales!$H$28="Todos",datos_base!$G$9+datos_base!$G$23,0))*parametros_manuales!$K$95+parametros_manuales!$E$28*(datos_base!$G$3+datos_base!$G$19+IF(parametros_manuales!$H$28="Todos",datos_base!$G$10+datos_base!$G$24,0))*parametros_manuales!$K$100+parametros_manuales!$F$28*(datos_base!$G$4+datos_base!$G$20+IF(parametros_manuales!$H$28="Todos",datos_base!$G$11+datos_base!$G$25,0))*parametros_manuales!$K$105+parametros_manuales!$G$28*(datos_base!$G$5+datos_base!$G$21+IF(parametros_manuales!$H$28="Todos",datos_base!$G$12+datos_base!$G$26,0))*parametros_manuales!$K$110)*parametros_manuales!$I$28*parametros_manuales!$J$28</f>
        <v>10970.764093765</v>
      </c>
      <c r="L146" s="9" t="n">
        <f aca="false">(parametros_manuales!$D$28*(datos_base!$G$2+datos_base!$G$18+IF(parametros_manuales!$H$28="Todos",datos_base!$G$9+datos_base!$G$23,0))*parametros_manuales!$L$95+parametros_manuales!$E$28*(datos_base!$G$3+datos_base!$G$19+IF(parametros_manuales!$H$28="Todos",datos_base!$G$10+datos_base!$G$24,0))*parametros_manuales!$L$100+parametros_manuales!$F$28*(datos_base!$G$4+datos_base!$G$20+IF(parametros_manuales!$H$28="Todos",datos_base!$G$11+datos_base!$G$25,0))*parametros_manuales!$L$105+parametros_manuales!$G$28*(datos_base!$G$5+datos_base!$G$21+IF(parametros_manuales!$H$28="Todos",datos_base!$G$12+datos_base!$G$26,0))*parametros_manuales!$L$110)*parametros_manuales!$I$28*parametros_manuales!$J$28</f>
        <v>11153.92428891</v>
      </c>
      <c r="M146" s="9" t="n">
        <f aca="false">(parametros_manuales!$D$28*(datos_base!$G$2+datos_base!$G$18+IF(parametros_manuales!$H$28="Todos",datos_base!$G$9+datos_base!$G$23,0))*parametros_manuales!$M$95+parametros_manuales!$E$28*(datos_base!$G$3+datos_base!$G$19+IF(parametros_manuales!$H$28="Todos",datos_base!$G$10+datos_base!$G$24,0))*parametros_manuales!$M$100+parametros_manuales!$F$28*(datos_base!$G$4+datos_base!$G$20+IF(parametros_manuales!$H$28="Todos",datos_base!$G$11+datos_base!$G$25,0))*parametros_manuales!$M$105+parametros_manuales!$G$28*(datos_base!$G$5+datos_base!$G$21+IF(parametros_manuales!$H$28="Todos",datos_base!$G$12+datos_base!$G$26,0))*parametros_manuales!$M$110)*parametros_manuales!$I$28*parametros_manuales!$J$28</f>
        <v>11153.92428891</v>
      </c>
      <c r="N146" s="9" t="n">
        <f aca="false">SUM(B146:M146)</f>
        <v>123932.492099</v>
      </c>
      <c r="O146" s="9" t="n">
        <f aca="false">MAX(B146:M146)</f>
        <v>11153.92428891</v>
      </c>
      <c r="P146" s="43" t="n">
        <f aca="false">O146/(parametros_manuales!$B$7)</f>
        <v>74.3594952594</v>
      </c>
      <c r="Q146" s="8" t="str">
        <f aca="false">IF(O146=0,"-",INDEX($B$136:$M$136,MATCH(O146,B146:M146,0)))</f>
        <v>Ene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datos_base!$G$2+datos_base!$G$18+IF(parametros_manuales!$H$29="Todos",datos_base!$G$9+datos_base!$G$23,0))*parametros_manuales!$B$95+parametros_manuales!$E$29*(datos_base!$G$3+datos_base!$G$19+IF(parametros_manuales!$H$29="Todos",datos_base!$G$10+datos_base!$G$24,0))*parametros_manuales!$B$100+parametros_manuales!$F$29*(datos_base!$G$4+datos_base!$G$20+IF(parametros_manuales!$H$29="Todos",datos_base!$G$11+datos_base!$G$25,0))*parametros_manuales!$B$105+parametros_manuales!$G$29*(datos_base!$G$5+datos_base!$G$21+IF(parametros_manuales!$H$29="Todos",datos_base!$G$12+datos_base!$G$26,0))*parametros_manuales!$B$110)*parametros_manuales!$I$29*parametros_manuales!$J$29</f>
        <v>11153.92428891</v>
      </c>
      <c r="C147" s="9" t="n">
        <f aca="false">(parametros_manuales!$D$29*(datos_base!$G$2+datos_base!$G$18+IF(parametros_manuales!$H$29="Todos",datos_base!$G$9+datos_base!$G$23,0))*parametros_manuales!$C$95+parametros_manuales!$E$29*(datos_base!$G$3+datos_base!$G$19+IF(parametros_manuales!$H$29="Todos",datos_base!$G$10+datos_base!$G$24,0))*parametros_manuales!$C$100+parametros_manuales!$F$29*(datos_base!$G$4+datos_base!$G$20+IF(parametros_manuales!$H$29="Todos",datos_base!$G$11+datos_base!$G$25,0))*parametros_manuales!$C$105+parametros_manuales!$G$29*(datos_base!$G$5+datos_base!$G$21+IF(parametros_manuales!$H$29="Todos",datos_base!$G$12+datos_base!$G$26,0))*parametros_manuales!$C$110)*parametros_manuales!$I$29*parametros_manuales!$J$29</f>
        <v>10787.60389862</v>
      </c>
      <c r="D147" s="9" t="n">
        <f aca="false">(parametros_manuales!$D$29*(datos_base!$G$2+datos_base!$G$18+IF(parametros_manuales!$H$29="Todos",datos_base!$G$9+datos_base!$G$23,0))*parametros_manuales!$D$95+parametros_manuales!$E$29*(datos_base!$G$3+datos_base!$G$19+IF(parametros_manuales!$H$29="Todos",datos_base!$G$10+datos_base!$G$24,0))*parametros_manuales!$D$100+parametros_manuales!$F$29*(datos_base!$G$4+datos_base!$G$20+IF(parametros_manuales!$H$29="Todos",datos_base!$G$11+datos_base!$G$25,0))*parametros_manuales!$D$105+parametros_manuales!$G$29*(datos_base!$G$5+datos_base!$G$21+IF(parametros_manuales!$H$29="Todos",datos_base!$G$12+datos_base!$G$26,0))*parametros_manuales!$D$110)*parametros_manuales!$I$29*parametros_manuales!$J$29</f>
        <v>10097.759563065</v>
      </c>
      <c r="E147" s="9" t="n">
        <f aca="false">(parametros_manuales!$D$29*(datos_base!$G$2+datos_base!$G$18+IF(parametros_manuales!$H$29="Todos",datos_base!$G$9+datos_base!$G$23,0))*parametros_manuales!$E$95+parametros_manuales!$E$29*(datos_base!$G$3+datos_base!$G$19+IF(parametros_manuales!$H$29="Todos",datos_base!$G$10+datos_base!$G$24,0))*parametros_manuales!$E$100+parametros_manuales!$F$29*(datos_base!$G$4+datos_base!$G$20+IF(parametros_manuales!$H$29="Todos",datos_base!$G$11+datos_base!$G$25,0))*parametros_manuales!$E$105+parametros_manuales!$G$29*(datos_base!$G$5+datos_base!$G$21+IF(parametros_manuales!$H$29="Todos",datos_base!$G$12+datos_base!$G$26,0))*parametros_manuales!$E$110)*parametros_manuales!$I$29*parametros_manuales!$J$29</f>
        <v>9661.257297715</v>
      </c>
      <c r="F147" s="9" t="n">
        <f aca="false">(parametros_manuales!$D$29*(datos_base!$G$2+datos_base!$G$18+IF(parametros_manuales!$H$29="Todos",datos_base!$G$9+datos_base!$G$23,0))*parametros_manuales!$F$95+parametros_manuales!$E$29*(datos_base!$G$3+datos_base!$G$19+IF(parametros_manuales!$H$29="Todos",datos_base!$G$10+datos_base!$G$24,0))*parametros_manuales!$F$100+parametros_manuales!$F$29*(datos_base!$G$4+datos_base!$G$20+IF(parametros_manuales!$H$29="Todos",datos_base!$G$11+datos_base!$G$25,0))*parametros_manuales!$F$105+parametros_manuales!$G$29*(datos_base!$G$5+datos_base!$G$21+IF(parametros_manuales!$H$29="Todos",datos_base!$G$12+datos_base!$G$26,0))*parametros_manuales!$F$110)*parametros_manuales!$I$29*parametros_manuales!$J$29</f>
        <v>9041.59483722</v>
      </c>
      <c r="G147" s="9" t="n">
        <f aca="false">(parametros_manuales!$D$29*(datos_base!$G$2+datos_base!$G$18+IF(parametros_manuales!$H$29="Todos",datos_base!$G$9+datos_base!$G$23,0))*parametros_manuales!$G$95+parametros_manuales!$E$29*(datos_base!$G$3+datos_base!$G$19+IF(parametros_manuales!$H$29="Todos",datos_base!$G$10+datos_base!$G$24,0))*parametros_manuales!$G$100+parametros_manuales!$F$29*(datos_base!$G$4+datos_base!$G$20+IF(parametros_manuales!$H$29="Todos",datos_base!$G$11+datos_base!$G$25,0))*parametros_manuales!$G$105+parametros_manuales!$G$29*(datos_base!$G$5+datos_base!$G$21+IF(parametros_manuales!$H$29="Todos",datos_base!$G$12+datos_base!$G$26,0))*parametros_manuales!$G$110)*parametros_manuales!$I$29*parametros_manuales!$J$29</f>
        <v>8858.434642075</v>
      </c>
      <c r="H147" s="9" t="n">
        <f aca="false">(parametros_manuales!$D$29*(datos_base!$G$2+datos_base!$G$18+IF(parametros_manuales!$H$29="Todos",datos_base!$G$9+datos_base!$G$23,0))*parametros_manuales!$H$95+parametros_manuales!$E$29*(datos_base!$G$3+datos_base!$G$19+IF(parametros_manuales!$H$29="Todos",datos_base!$G$10+datos_base!$G$24,0))*parametros_manuales!$H$100+parametros_manuales!$F$29*(datos_base!$G$4+datos_base!$G$20+IF(parametros_manuales!$H$29="Todos",datos_base!$G$11+datos_base!$G$25,0))*parametros_manuales!$H$105+parametros_manuales!$G$29*(datos_base!$G$5+datos_base!$G$21+IF(parametros_manuales!$H$29="Todos",datos_base!$G$12+datos_base!$G$26,0))*parametros_manuales!$H$110)*parametros_manuales!$I$29*parametros_manuales!$J$29</f>
        <v>9478.09710257</v>
      </c>
      <c r="I147" s="9" t="n">
        <f aca="false">(parametros_manuales!$D$29*(datos_base!$G$2+datos_base!$G$18+IF(parametros_manuales!$H$29="Todos",datos_base!$G$9+datos_base!$G$23,0))*parametros_manuales!$I$95+parametros_manuales!$E$29*(datos_base!$G$3+datos_base!$G$19+IF(parametros_manuales!$H$29="Todos",datos_base!$G$10+datos_base!$G$24,0))*parametros_manuales!$I$100+parametros_manuales!$F$29*(datos_base!$G$4+datos_base!$G$20+IF(parametros_manuales!$H$29="Todos",datos_base!$G$11+datos_base!$G$25,0))*parametros_manuales!$I$105+parametros_manuales!$G$29*(datos_base!$G$5+datos_base!$G$21+IF(parametros_manuales!$H$29="Todos",datos_base!$G$12+datos_base!$G$26,0))*parametros_manuales!$I$110)*parametros_manuales!$I$29*parametros_manuales!$J$29</f>
        <v>10787.60389862</v>
      </c>
      <c r="J147" s="9" t="n">
        <f aca="false">(parametros_manuales!$D$29*(datos_base!$G$2+datos_base!$G$18+IF(parametros_manuales!$H$29="Todos",datos_base!$G$9+datos_base!$G$23,0))*parametros_manuales!$J$95+parametros_manuales!$E$29*(datos_base!$G$3+datos_base!$G$19+IF(parametros_manuales!$H$29="Todos",datos_base!$G$10+datos_base!$G$24,0))*parametros_manuales!$J$100+parametros_manuales!$F$29*(datos_base!$G$4+datos_base!$G$20+IF(parametros_manuales!$H$29="Todos",datos_base!$G$11+datos_base!$G$25,0))*parametros_manuales!$J$105+parametros_manuales!$G$29*(datos_base!$G$5+datos_base!$G$21+IF(parametros_manuales!$H$29="Todos",datos_base!$G$12+datos_base!$G$26,0))*parametros_manuales!$J$110)*parametros_manuales!$I$29*parametros_manuales!$J$29</f>
        <v>10787.60389862</v>
      </c>
      <c r="K147" s="9" t="n">
        <f aca="false">(parametros_manuales!$D$29*(datos_base!$G$2+datos_base!$G$18+IF(parametros_manuales!$H$29="Todos",datos_base!$G$9+datos_base!$G$23,0))*parametros_manuales!$K$95+parametros_manuales!$E$29*(datos_base!$G$3+datos_base!$G$19+IF(parametros_manuales!$H$29="Todos",datos_base!$G$10+datos_base!$G$24,0))*parametros_manuales!$K$100+parametros_manuales!$F$29*(datos_base!$G$4+datos_base!$G$20+IF(parametros_manuales!$H$29="Todos",datos_base!$G$11+datos_base!$G$25,0))*parametros_manuales!$K$105+parametros_manuales!$G$29*(datos_base!$G$5+datos_base!$G$21+IF(parametros_manuales!$H$29="Todos",datos_base!$G$12+datos_base!$G$26,0))*parametros_manuales!$K$110)*parametros_manuales!$I$29*parametros_manuales!$J$29</f>
        <v>10970.764093765</v>
      </c>
      <c r="L147" s="9" t="n">
        <f aca="false">(parametros_manuales!$D$29*(datos_base!$G$2+datos_base!$G$18+IF(parametros_manuales!$H$29="Todos",datos_base!$G$9+datos_base!$G$23,0))*parametros_manuales!$L$95+parametros_manuales!$E$29*(datos_base!$G$3+datos_base!$G$19+IF(parametros_manuales!$H$29="Todos",datos_base!$G$10+datos_base!$G$24,0))*parametros_manuales!$L$100+parametros_manuales!$F$29*(datos_base!$G$4+datos_base!$G$20+IF(parametros_manuales!$H$29="Todos",datos_base!$G$11+datos_base!$G$25,0))*parametros_manuales!$L$105+parametros_manuales!$G$29*(datos_base!$G$5+datos_base!$G$21+IF(parametros_manuales!$H$29="Todos",datos_base!$G$12+datos_base!$G$26,0))*parametros_manuales!$L$110)*parametros_manuales!$I$29*parametros_manuales!$J$29</f>
        <v>11153.92428891</v>
      </c>
      <c r="M147" s="9" t="n">
        <f aca="false">(parametros_manuales!$D$29*(datos_base!$G$2+datos_base!$G$18+IF(parametros_manuales!$H$29="Todos",datos_base!$G$9+datos_base!$G$23,0))*parametros_manuales!$M$95+parametros_manuales!$E$29*(datos_base!$G$3+datos_base!$G$19+IF(parametros_manuales!$H$29="Todos",datos_base!$G$10+datos_base!$G$24,0))*parametros_manuales!$M$100+parametros_manuales!$F$29*(datos_base!$G$4+datos_base!$G$20+IF(parametros_manuales!$H$29="Todos",datos_base!$G$11+datos_base!$G$25,0))*parametros_manuales!$M$105+parametros_manuales!$G$29*(datos_base!$G$5+datos_base!$G$21+IF(parametros_manuales!$H$29="Todos",datos_base!$G$12+datos_base!$G$26,0))*parametros_manuales!$M$110)*parametros_manuales!$I$29*parametros_manuales!$J$29</f>
        <v>11153.92428891</v>
      </c>
      <c r="N147" s="9" t="n">
        <f aca="false">SUM(B147:M147)</f>
        <v>123932.492099</v>
      </c>
      <c r="O147" s="9" t="n">
        <f aca="false">MAX(B147:M147)</f>
        <v>11153.92428891</v>
      </c>
      <c r="P147" s="43" t="n">
        <f aca="false">O147/(parametros_manuales!$B$7)</f>
        <v>74.3594952594</v>
      </c>
      <c r="Q147" s="8" t="str">
        <f aca="false">IF(O147=0,"-",INDEX($B$136:$M$136,MATCH(O147,B147:M147,0)))</f>
        <v>Ene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datos_base!$G$2+datos_base!$G$18+IF(parametros_manuales!$H$30="Todos",datos_base!$G$9+datos_base!$G$23,0))*parametros_manuales!$B$95+parametros_manuales!$E$30*(datos_base!$G$3+datos_base!$G$19+IF(parametros_manuales!$H$30="Todos",datos_base!$G$10+datos_base!$G$24,0))*parametros_manuales!$B$100+parametros_manuales!$F$30*(datos_base!$G$4+datos_base!$G$20+IF(parametros_manuales!$H$30="Todos",datos_base!$G$11+datos_base!$G$25,0))*parametros_manuales!$B$105+parametros_manuales!$G$30*(datos_base!$G$5+datos_base!$G$21+IF(parametros_manuales!$H$30="Todos",datos_base!$G$12+datos_base!$G$26,0))*parametros_manuales!$B$110)*parametros_manuales!$I$30*parametros_manuales!$J$30</f>
        <v>11153.92428891</v>
      </c>
      <c r="C148" s="9" t="n">
        <f aca="false">(parametros_manuales!$D$30*(datos_base!$G$2+datos_base!$G$18+IF(parametros_manuales!$H$30="Todos",datos_base!$G$9+datos_base!$G$23,0))*parametros_manuales!$C$95+parametros_manuales!$E$30*(datos_base!$G$3+datos_base!$G$19+IF(parametros_manuales!$H$30="Todos",datos_base!$G$10+datos_base!$G$24,0))*parametros_manuales!$C$100+parametros_manuales!$F$30*(datos_base!$G$4+datos_base!$G$20+IF(parametros_manuales!$H$30="Todos",datos_base!$G$11+datos_base!$G$25,0))*parametros_manuales!$C$105+parametros_manuales!$G$30*(datos_base!$G$5+datos_base!$G$21+IF(parametros_manuales!$H$30="Todos",datos_base!$G$12+datos_base!$G$26,0))*parametros_manuales!$C$110)*parametros_manuales!$I$30*parametros_manuales!$J$30</f>
        <v>10787.60389862</v>
      </c>
      <c r="D148" s="9" t="n">
        <f aca="false">(parametros_manuales!$D$30*(datos_base!$G$2+datos_base!$G$18+IF(parametros_manuales!$H$30="Todos",datos_base!$G$9+datos_base!$G$23,0))*parametros_manuales!$D$95+parametros_manuales!$E$30*(datos_base!$G$3+datos_base!$G$19+IF(parametros_manuales!$H$30="Todos",datos_base!$G$10+datos_base!$G$24,0))*parametros_manuales!$D$100+parametros_manuales!$F$30*(datos_base!$G$4+datos_base!$G$20+IF(parametros_manuales!$H$30="Todos",datos_base!$G$11+datos_base!$G$25,0))*parametros_manuales!$D$105+parametros_manuales!$G$30*(datos_base!$G$5+datos_base!$G$21+IF(parametros_manuales!$H$30="Todos",datos_base!$G$12+datos_base!$G$26,0))*parametros_manuales!$D$110)*parametros_manuales!$I$30*parametros_manuales!$J$30</f>
        <v>10097.759563065</v>
      </c>
      <c r="E148" s="9" t="n">
        <f aca="false">(parametros_manuales!$D$30*(datos_base!$G$2+datos_base!$G$18+IF(parametros_manuales!$H$30="Todos",datos_base!$G$9+datos_base!$G$23,0))*parametros_manuales!$E$95+parametros_manuales!$E$30*(datos_base!$G$3+datos_base!$G$19+IF(parametros_manuales!$H$30="Todos",datos_base!$G$10+datos_base!$G$24,0))*parametros_manuales!$E$100+parametros_manuales!$F$30*(datos_base!$G$4+datos_base!$G$20+IF(parametros_manuales!$H$30="Todos",datos_base!$G$11+datos_base!$G$25,0))*parametros_manuales!$E$105+parametros_manuales!$G$30*(datos_base!$G$5+datos_base!$G$21+IF(parametros_manuales!$H$30="Todos",datos_base!$G$12+datos_base!$G$26,0))*parametros_manuales!$E$110)*parametros_manuales!$I$30*parametros_manuales!$J$30</f>
        <v>9661.257297715</v>
      </c>
      <c r="F148" s="9" t="n">
        <f aca="false">(parametros_manuales!$D$30*(datos_base!$G$2+datos_base!$G$18+IF(parametros_manuales!$H$30="Todos",datos_base!$G$9+datos_base!$G$23,0))*parametros_manuales!$F$95+parametros_manuales!$E$30*(datos_base!$G$3+datos_base!$G$19+IF(parametros_manuales!$H$30="Todos",datos_base!$G$10+datos_base!$G$24,0))*parametros_manuales!$F$100+parametros_manuales!$F$30*(datos_base!$G$4+datos_base!$G$20+IF(parametros_manuales!$H$30="Todos",datos_base!$G$11+datos_base!$G$25,0))*parametros_manuales!$F$105+parametros_manuales!$G$30*(datos_base!$G$5+datos_base!$G$21+IF(parametros_manuales!$H$30="Todos",datos_base!$G$12+datos_base!$G$26,0))*parametros_manuales!$F$110)*parametros_manuales!$I$30*parametros_manuales!$J$30</f>
        <v>9041.59483722</v>
      </c>
      <c r="G148" s="9" t="n">
        <f aca="false">(parametros_manuales!$D$30*(datos_base!$G$2+datos_base!$G$18+IF(parametros_manuales!$H$30="Todos",datos_base!$G$9+datos_base!$G$23,0))*parametros_manuales!$G$95+parametros_manuales!$E$30*(datos_base!$G$3+datos_base!$G$19+IF(parametros_manuales!$H$30="Todos",datos_base!$G$10+datos_base!$G$24,0))*parametros_manuales!$G$100+parametros_manuales!$F$30*(datos_base!$G$4+datos_base!$G$20+IF(parametros_manuales!$H$30="Todos",datos_base!$G$11+datos_base!$G$25,0))*parametros_manuales!$G$105+parametros_manuales!$G$30*(datos_base!$G$5+datos_base!$G$21+IF(parametros_manuales!$H$30="Todos",datos_base!$G$12+datos_base!$G$26,0))*parametros_manuales!$G$110)*parametros_manuales!$I$30*parametros_manuales!$J$30</f>
        <v>8858.434642075</v>
      </c>
      <c r="H148" s="9" t="n">
        <f aca="false">(parametros_manuales!$D$30*(datos_base!$G$2+datos_base!$G$18+IF(parametros_manuales!$H$30="Todos",datos_base!$G$9+datos_base!$G$23,0))*parametros_manuales!$H$95+parametros_manuales!$E$30*(datos_base!$G$3+datos_base!$G$19+IF(parametros_manuales!$H$30="Todos",datos_base!$G$10+datos_base!$G$24,0))*parametros_manuales!$H$100+parametros_manuales!$F$30*(datos_base!$G$4+datos_base!$G$20+IF(parametros_manuales!$H$30="Todos",datos_base!$G$11+datos_base!$G$25,0))*parametros_manuales!$H$105+parametros_manuales!$G$30*(datos_base!$G$5+datos_base!$G$21+IF(parametros_manuales!$H$30="Todos",datos_base!$G$12+datos_base!$G$26,0))*parametros_manuales!$H$110)*parametros_manuales!$I$30*parametros_manuales!$J$30</f>
        <v>9478.09710257</v>
      </c>
      <c r="I148" s="9" t="n">
        <f aca="false">(parametros_manuales!$D$30*(datos_base!$G$2+datos_base!$G$18+IF(parametros_manuales!$H$30="Todos",datos_base!$G$9+datos_base!$G$23,0))*parametros_manuales!$I$95+parametros_manuales!$E$30*(datos_base!$G$3+datos_base!$G$19+IF(parametros_manuales!$H$30="Todos",datos_base!$G$10+datos_base!$G$24,0))*parametros_manuales!$I$100+parametros_manuales!$F$30*(datos_base!$G$4+datos_base!$G$20+IF(parametros_manuales!$H$30="Todos",datos_base!$G$11+datos_base!$G$25,0))*parametros_manuales!$I$105+parametros_manuales!$G$30*(datos_base!$G$5+datos_base!$G$21+IF(parametros_manuales!$H$30="Todos",datos_base!$G$12+datos_base!$G$26,0))*parametros_manuales!$I$110)*parametros_manuales!$I$30*parametros_manuales!$J$30</f>
        <v>10787.60389862</v>
      </c>
      <c r="J148" s="9" t="n">
        <f aca="false">(parametros_manuales!$D$30*(datos_base!$G$2+datos_base!$G$18+IF(parametros_manuales!$H$30="Todos",datos_base!$G$9+datos_base!$G$23,0))*parametros_manuales!$J$95+parametros_manuales!$E$30*(datos_base!$G$3+datos_base!$G$19+IF(parametros_manuales!$H$30="Todos",datos_base!$G$10+datos_base!$G$24,0))*parametros_manuales!$J$100+parametros_manuales!$F$30*(datos_base!$G$4+datos_base!$G$20+IF(parametros_manuales!$H$30="Todos",datos_base!$G$11+datos_base!$G$25,0))*parametros_manuales!$J$105+parametros_manuales!$G$30*(datos_base!$G$5+datos_base!$G$21+IF(parametros_manuales!$H$30="Todos",datos_base!$G$12+datos_base!$G$26,0))*parametros_manuales!$J$110)*parametros_manuales!$I$30*parametros_manuales!$J$30</f>
        <v>10787.60389862</v>
      </c>
      <c r="K148" s="9" t="n">
        <f aca="false">(parametros_manuales!$D$30*(datos_base!$G$2+datos_base!$G$18+IF(parametros_manuales!$H$30="Todos",datos_base!$G$9+datos_base!$G$23,0))*parametros_manuales!$K$95+parametros_manuales!$E$30*(datos_base!$G$3+datos_base!$G$19+IF(parametros_manuales!$H$30="Todos",datos_base!$G$10+datos_base!$G$24,0))*parametros_manuales!$K$100+parametros_manuales!$F$30*(datos_base!$G$4+datos_base!$G$20+IF(parametros_manuales!$H$30="Todos",datos_base!$G$11+datos_base!$G$25,0))*parametros_manuales!$K$105+parametros_manuales!$G$30*(datos_base!$G$5+datos_base!$G$21+IF(parametros_manuales!$H$30="Todos",datos_base!$G$12+datos_base!$G$26,0))*parametros_manuales!$K$110)*parametros_manuales!$I$30*parametros_manuales!$J$30</f>
        <v>10970.764093765</v>
      </c>
      <c r="L148" s="9" t="n">
        <f aca="false">(parametros_manuales!$D$30*(datos_base!$G$2+datos_base!$G$18+IF(parametros_manuales!$H$30="Todos",datos_base!$G$9+datos_base!$G$23,0))*parametros_manuales!$L$95+parametros_manuales!$E$30*(datos_base!$G$3+datos_base!$G$19+IF(parametros_manuales!$H$30="Todos",datos_base!$G$10+datos_base!$G$24,0))*parametros_manuales!$L$100+parametros_manuales!$F$30*(datos_base!$G$4+datos_base!$G$20+IF(parametros_manuales!$H$30="Todos",datos_base!$G$11+datos_base!$G$25,0))*parametros_manuales!$L$105+parametros_manuales!$G$30*(datos_base!$G$5+datos_base!$G$21+IF(parametros_manuales!$H$30="Todos",datos_base!$G$12+datos_base!$G$26,0))*parametros_manuales!$L$110)*parametros_manuales!$I$30*parametros_manuales!$J$30</f>
        <v>11153.92428891</v>
      </c>
      <c r="M148" s="9" t="n">
        <f aca="false">(parametros_manuales!$D$30*(datos_base!$G$2+datos_base!$G$18+IF(parametros_manuales!$H$30="Todos",datos_base!$G$9+datos_base!$G$23,0))*parametros_manuales!$M$95+parametros_manuales!$E$30*(datos_base!$G$3+datos_base!$G$19+IF(parametros_manuales!$H$30="Todos",datos_base!$G$10+datos_base!$G$24,0))*parametros_manuales!$M$100+parametros_manuales!$F$30*(datos_base!$G$4+datos_base!$G$20+IF(parametros_manuales!$H$30="Todos",datos_base!$G$11+datos_base!$G$25,0))*parametros_manuales!$M$105+parametros_manuales!$G$30*(datos_base!$G$5+datos_base!$G$21+IF(parametros_manuales!$H$30="Todos",datos_base!$G$12+datos_base!$G$26,0))*parametros_manuales!$M$110)*parametros_manuales!$I$30*parametros_manuales!$J$30</f>
        <v>11153.92428891</v>
      </c>
      <c r="N148" s="9" t="n">
        <f aca="false">SUM(B148:M148)</f>
        <v>123932.492099</v>
      </c>
      <c r="O148" s="9" t="n">
        <f aca="false">MAX(B148:M148)</f>
        <v>11153.92428891</v>
      </c>
      <c r="P148" s="43" t="n">
        <f aca="false">O148/(parametros_manuales!$B$7)</f>
        <v>74.3594952594</v>
      </c>
      <c r="Q148" s="8" t="str">
        <f aca="false">IF(O148=0,"-",INDEX($B$136:$M$136,MATCH(O148,B148:M148,0)))</f>
        <v>Ene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datos_base!$G$2+datos_base!$G$18+IF(parametros_manuales!$H$31="Todos",datos_base!$G$9+datos_base!$G$23,0))*parametros_manuales!$B$95+parametros_manuales!$E$31*(datos_base!$G$3+datos_base!$G$19+IF(parametros_manuales!$H$31="Todos",datos_base!$G$10+datos_base!$G$24,0))*parametros_manuales!$B$100+parametros_manuales!$F$31*(datos_base!$G$4+datos_base!$G$20+IF(parametros_manuales!$H$31="Todos",datos_base!$G$11+datos_base!$G$25,0))*parametros_manuales!$B$105+parametros_manuales!$G$31*(datos_base!$G$5+datos_base!$G$21+IF(parametros_manuales!$H$31="Todos",datos_base!$G$12+datos_base!$G$26,0))*parametros_manuales!$B$110)*parametros_manuales!$I$31*parametros_manuales!$J$31</f>
        <v>223.0784857782</v>
      </c>
      <c r="C149" s="9" t="n">
        <f aca="false">(parametros_manuales!$D$31*(datos_base!$G$2+datos_base!$G$18+IF(parametros_manuales!$H$31="Todos",datos_base!$G$9+datos_base!$G$23,0))*parametros_manuales!$C$95+parametros_manuales!$E$31*(datos_base!$G$3+datos_base!$G$19+IF(parametros_manuales!$H$31="Todos",datos_base!$G$10+datos_base!$G$24,0))*parametros_manuales!$C$100+parametros_manuales!$F$31*(datos_base!$G$4+datos_base!$G$20+IF(parametros_manuales!$H$31="Todos",datos_base!$G$11+datos_base!$G$25,0))*parametros_manuales!$C$105+parametros_manuales!$G$31*(datos_base!$G$5+datos_base!$G$21+IF(parametros_manuales!$H$31="Todos",datos_base!$G$12+datos_base!$G$26,0))*parametros_manuales!$C$110)*parametros_manuales!$I$31*parametros_manuales!$J$31</f>
        <v>215.7520779724</v>
      </c>
      <c r="D149" s="9" t="n">
        <f aca="false">(parametros_manuales!$D$31*(datos_base!$G$2+datos_base!$G$18+IF(parametros_manuales!$H$31="Todos",datos_base!$G$9+datos_base!$G$23,0))*parametros_manuales!$D$95+parametros_manuales!$E$31*(datos_base!$G$3+datos_base!$G$19+IF(parametros_manuales!$H$31="Todos",datos_base!$G$10+datos_base!$G$24,0))*parametros_manuales!$D$100+parametros_manuales!$F$31*(datos_base!$G$4+datos_base!$G$20+IF(parametros_manuales!$H$31="Todos",datos_base!$G$11+datos_base!$G$25,0))*parametros_manuales!$D$105+parametros_manuales!$G$31*(datos_base!$G$5+datos_base!$G$21+IF(parametros_manuales!$H$31="Todos",datos_base!$G$12+datos_base!$G$26,0))*parametros_manuales!$D$110)*parametros_manuales!$I$31*parametros_manuales!$J$31</f>
        <v>201.9551912613</v>
      </c>
      <c r="E149" s="9" t="n">
        <f aca="false">(parametros_manuales!$D$31*(datos_base!$G$2+datos_base!$G$18+IF(parametros_manuales!$H$31="Todos",datos_base!$G$9+datos_base!$G$23,0))*parametros_manuales!$E$95+parametros_manuales!$E$31*(datos_base!$G$3+datos_base!$G$19+IF(parametros_manuales!$H$31="Todos",datos_base!$G$10+datos_base!$G$24,0))*parametros_manuales!$E$100+parametros_manuales!$F$31*(datos_base!$G$4+datos_base!$G$20+IF(parametros_manuales!$H$31="Todos",datos_base!$G$11+datos_base!$G$25,0))*parametros_manuales!$E$105+parametros_manuales!$G$31*(datos_base!$G$5+datos_base!$G$21+IF(parametros_manuales!$H$31="Todos",datos_base!$G$12+datos_base!$G$26,0))*parametros_manuales!$E$110)*parametros_manuales!$I$31*parametros_manuales!$J$31</f>
        <v>193.2251459543</v>
      </c>
      <c r="F149" s="9" t="n">
        <f aca="false">(parametros_manuales!$D$31*(datos_base!$G$2+datos_base!$G$18+IF(parametros_manuales!$H$31="Todos",datos_base!$G$9+datos_base!$G$23,0))*parametros_manuales!$F$95+parametros_manuales!$E$31*(datos_base!$G$3+datos_base!$G$19+IF(parametros_manuales!$H$31="Todos",datos_base!$G$10+datos_base!$G$24,0))*parametros_manuales!$F$100+parametros_manuales!$F$31*(datos_base!$G$4+datos_base!$G$20+IF(parametros_manuales!$H$31="Todos",datos_base!$G$11+datos_base!$G$25,0))*parametros_manuales!$F$105+parametros_manuales!$G$31*(datos_base!$G$5+datos_base!$G$21+IF(parametros_manuales!$H$31="Todos",datos_base!$G$12+datos_base!$G$26,0))*parametros_manuales!$F$110)*parametros_manuales!$I$31*parametros_manuales!$J$31</f>
        <v>180.8318967444</v>
      </c>
      <c r="G149" s="9" t="n">
        <f aca="false">(parametros_manuales!$D$31*(datos_base!$G$2+datos_base!$G$18+IF(parametros_manuales!$H$31="Todos",datos_base!$G$9+datos_base!$G$23,0))*parametros_manuales!$G$95+parametros_manuales!$E$31*(datos_base!$G$3+datos_base!$G$19+IF(parametros_manuales!$H$31="Todos",datos_base!$G$10+datos_base!$G$24,0))*parametros_manuales!$G$100+parametros_manuales!$F$31*(datos_base!$G$4+datos_base!$G$20+IF(parametros_manuales!$H$31="Todos",datos_base!$G$11+datos_base!$G$25,0))*parametros_manuales!$G$105+parametros_manuales!$G$31*(datos_base!$G$5+datos_base!$G$21+IF(parametros_manuales!$H$31="Todos",datos_base!$G$12+datos_base!$G$26,0))*parametros_manuales!$G$110)*parametros_manuales!$I$31*parametros_manuales!$J$31</f>
        <v>177.1686928415</v>
      </c>
      <c r="H149" s="9" t="n">
        <f aca="false">(parametros_manuales!$D$31*(datos_base!$G$2+datos_base!$G$18+IF(parametros_manuales!$H$31="Todos",datos_base!$G$9+datos_base!$G$23,0))*parametros_manuales!$H$95+parametros_manuales!$E$31*(datos_base!$G$3+datos_base!$G$19+IF(parametros_manuales!$H$31="Todos",datos_base!$G$10+datos_base!$G$24,0))*parametros_manuales!$H$100+parametros_manuales!$F$31*(datos_base!$G$4+datos_base!$G$20+IF(parametros_manuales!$H$31="Todos",datos_base!$G$11+datos_base!$G$25,0))*parametros_manuales!$H$105+parametros_manuales!$G$31*(datos_base!$G$5+datos_base!$G$21+IF(parametros_manuales!$H$31="Todos",datos_base!$G$12+datos_base!$G$26,0))*parametros_manuales!$H$110)*parametros_manuales!$I$31*parametros_manuales!$J$31</f>
        <v>189.5619420514</v>
      </c>
      <c r="I149" s="9" t="n">
        <f aca="false">(parametros_manuales!$D$31*(datos_base!$G$2+datos_base!$G$18+IF(parametros_manuales!$H$31="Todos",datos_base!$G$9+datos_base!$G$23,0))*parametros_manuales!$I$95+parametros_manuales!$E$31*(datos_base!$G$3+datos_base!$G$19+IF(parametros_manuales!$H$31="Todos",datos_base!$G$10+datos_base!$G$24,0))*parametros_manuales!$I$100+parametros_manuales!$F$31*(datos_base!$G$4+datos_base!$G$20+IF(parametros_manuales!$H$31="Todos",datos_base!$G$11+datos_base!$G$25,0))*parametros_manuales!$I$105+parametros_manuales!$G$31*(datos_base!$G$5+datos_base!$G$21+IF(parametros_manuales!$H$31="Todos",datos_base!$G$12+datos_base!$G$26,0))*parametros_manuales!$I$110)*parametros_manuales!$I$31*parametros_manuales!$J$31</f>
        <v>215.7520779724</v>
      </c>
      <c r="J149" s="9" t="n">
        <f aca="false">(parametros_manuales!$D$31*(datos_base!$G$2+datos_base!$G$18+IF(parametros_manuales!$H$31="Todos",datos_base!$G$9+datos_base!$G$23,0))*parametros_manuales!$J$95+parametros_manuales!$E$31*(datos_base!$G$3+datos_base!$G$19+IF(parametros_manuales!$H$31="Todos",datos_base!$G$10+datos_base!$G$24,0))*parametros_manuales!$J$100+parametros_manuales!$F$31*(datos_base!$G$4+datos_base!$G$20+IF(parametros_manuales!$H$31="Todos",datos_base!$G$11+datos_base!$G$25,0))*parametros_manuales!$J$105+parametros_manuales!$G$31*(datos_base!$G$5+datos_base!$G$21+IF(parametros_manuales!$H$31="Todos",datos_base!$G$12+datos_base!$G$26,0))*parametros_manuales!$J$110)*parametros_manuales!$I$31*parametros_manuales!$J$31</f>
        <v>215.7520779724</v>
      </c>
      <c r="K149" s="9" t="n">
        <f aca="false">(parametros_manuales!$D$31*(datos_base!$G$2+datos_base!$G$18+IF(parametros_manuales!$H$31="Todos",datos_base!$G$9+datos_base!$G$23,0))*parametros_manuales!$K$95+parametros_manuales!$E$31*(datos_base!$G$3+datos_base!$G$19+IF(parametros_manuales!$H$31="Todos",datos_base!$G$10+datos_base!$G$24,0))*parametros_manuales!$K$100+parametros_manuales!$F$31*(datos_base!$G$4+datos_base!$G$20+IF(parametros_manuales!$H$31="Todos",datos_base!$G$11+datos_base!$G$25,0))*parametros_manuales!$K$105+parametros_manuales!$G$31*(datos_base!$G$5+datos_base!$G$21+IF(parametros_manuales!$H$31="Todos",datos_base!$G$12+datos_base!$G$26,0))*parametros_manuales!$K$110)*parametros_manuales!$I$31*parametros_manuales!$J$31</f>
        <v>219.4152818753</v>
      </c>
      <c r="L149" s="9" t="n">
        <f aca="false">(parametros_manuales!$D$31*(datos_base!$G$2+datos_base!$G$18+IF(parametros_manuales!$H$31="Todos",datos_base!$G$9+datos_base!$G$23,0))*parametros_manuales!$L$95+parametros_manuales!$E$31*(datos_base!$G$3+datos_base!$G$19+IF(parametros_manuales!$H$31="Todos",datos_base!$G$10+datos_base!$G$24,0))*parametros_manuales!$L$100+parametros_manuales!$F$31*(datos_base!$G$4+datos_base!$G$20+IF(parametros_manuales!$H$31="Todos",datos_base!$G$11+datos_base!$G$25,0))*parametros_manuales!$L$105+parametros_manuales!$G$31*(datos_base!$G$5+datos_base!$G$21+IF(parametros_manuales!$H$31="Todos",datos_base!$G$12+datos_base!$G$26,0))*parametros_manuales!$L$110)*parametros_manuales!$I$31*parametros_manuales!$J$31</f>
        <v>223.0784857782</v>
      </c>
      <c r="M149" s="9" t="n">
        <f aca="false">(parametros_manuales!$D$31*(datos_base!$G$2+datos_base!$G$18+IF(parametros_manuales!$H$31="Todos",datos_base!$G$9+datos_base!$G$23,0))*parametros_manuales!$M$95+parametros_manuales!$E$31*(datos_base!$G$3+datos_base!$G$19+IF(parametros_manuales!$H$31="Todos",datos_base!$G$10+datos_base!$G$24,0))*parametros_manuales!$M$100+parametros_manuales!$F$31*(datos_base!$G$4+datos_base!$G$20+IF(parametros_manuales!$H$31="Todos",datos_base!$G$11+datos_base!$G$25,0))*parametros_manuales!$M$105+parametros_manuales!$G$31*(datos_base!$G$5+datos_base!$G$21+IF(parametros_manuales!$H$31="Todos",datos_base!$G$12+datos_base!$G$26,0))*parametros_manuales!$M$110)*parametros_manuales!$I$31*parametros_manuales!$J$31</f>
        <v>223.0784857782</v>
      </c>
      <c r="N149" s="9" t="n">
        <f aca="false">SUM(B149:M149)</f>
        <v>2478.64984198</v>
      </c>
      <c r="O149" s="9" t="n">
        <f aca="false">MAX(B149:M149)</f>
        <v>223.0784857782</v>
      </c>
      <c r="P149" s="43" t="n">
        <f aca="false">O149/(parametros_manuales!$B$7)</f>
        <v>1.487189905188</v>
      </c>
      <c r="Q149" s="8" t="str">
        <f aca="false">IF(O149=0,"-",INDEX($B$136:$M$136,MATCH(O149,B149:M149,0)))</f>
        <v>Ene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datos_base!$G$2+datos_base!$G$18+IF(parametros_manuales!$H$32="Todos",datos_base!$G$9+datos_base!$G$23,0))*parametros_manuales!$B$95+parametros_manuales!$E$32*(datos_base!$G$3+datos_base!$G$19+IF(parametros_manuales!$H$32="Todos",datos_base!$G$10+datos_base!$G$24,0))*parametros_manuales!$B$100+parametros_manuales!$F$32*(datos_base!$G$4+datos_base!$G$20+IF(parametros_manuales!$H$32="Todos",datos_base!$G$11+datos_base!$G$25,0))*parametros_manuales!$B$105+parametros_manuales!$G$32*(datos_base!$G$5+datos_base!$G$21+IF(parametros_manuales!$H$32="Todos",datos_base!$G$12+datos_base!$G$26,0))*parametros_manuales!$B$110)*parametros_manuales!$I$32*parametros_manuales!$J$32</f>
        <v>11153.92428891</v>
      </c>
      <c r="C150" s="9" t="n">
        <f aca="false">(parametros_manuales!$D$32*(datos_base!$G$2+datos_base!$G$18+IF(parametros_manuales!$H$32="Todos",datos_base!$G$9+datos_base!$G$23,0))*parametros_manuales!$C$95+parametros_manuales!$E$32*(datos_base!$G$3+datos_base!$G$19+IF(parametros_manuales!$H$32="Todos",datos_base!$G$10+datos_base!$G$24,0))*parametros_manuales!$C$100+parametros_manuales!$F$32*(datos_base!$G$4+datos_base!$G$20+IF(parametros_manuales!$H$32="Todos",datos_base!$G$11+datos_base!$G$25,0))*parametros_manuales!$C$105+parametros_manuales!$G$32*(datos_base!$G$5+datos_base!$G$21+IF(parametros_manuales!$H$32="Todos",datos_base!$G$12+datos_base!$G$26,0))*parametros_manuales!$C$110)*parametros_manuales!$I$32*parametros_manuales!$J$32</f>
        <v>10787.60389862</v>
      </c>
      <c r="D150" s="9" t="n">
        <f aca="false">(parametros_manuales!$D$32*(datos_base!$G$2+datos_base!$G$18+IF(parametros_manuales!$H$32="Todos",datos_base!$G$9+datos_base!$G$23,0))*parametros_manuales!$D$95+parametros_manuales!$E$32*(datos_base!$G$3+datos_base!$G$19+IF(parametros_manuales!$H$32="Todos",datos_base!$G$10+datos_base!$G$24,0))*parametros_manuales!$D$100+parametros_manuales!$F$32*(datos_base!$G$4+datos_base!$G$20+IF(parametros_manuales!$H$32="Todos",datos_base!$G$11+datos_base!$G$25,0))*parametros_manuales!$D$105+parametros_manuales!$G$32*(datos_base!$G$5+datos_base!$G$21+IF(parametros_manuales!$H$32="Todos",datos_base!$G$12+datos_base!$G$26,0))*parametros_manuales!$D$110)*parametros_manuales!$I$32*parametros_manuales!$J$32</f>
        <v>10097.759563065</v>
      </c>
      <c r="E150" s="9" t="n">
        <f aca="false">(parametros_manuales!$D$32*(datos_base!$G$2+datos_base!$G$18+IF(parametros_manuales!$H$32="Todos",datos_base!$G$9+datos_base!$G$23,0))*parametros_manuales!$E$95+parametros_manuales!$E$32*(datos_base!$G$3+datos_base!$G$19+IF(parametros_manuales!$H$32="Todos",datos_base!$G$10+datos_base!$G$24,0))*parametros_manuales!$E$100+parametros_manuales!$F$32*(datos_base!$G$4+datos_base!$G$20+IF(parametros_manuales!$H$32="Todos",datos_base!$G$11+datos_base!$G$25,0))*parametros_manuales!$E$105+parametros_manuales!$G$32*(datos_base!$G$5+datos_base!$G$21+IF(parametros_manuales!$H$32="Todos",datos_base!$G$12+datos_base!$G$26,0))*parametros_manuales!$E$110)*parametros_manuales!$I$32*parametros_manuales!$J$32</f>
        <v>9661.257297715</v>
      </c>
      <c r="F150" s="9" t="n">
        <f aca="false">(parametros_manuales!$D$32*(datos_base!$G$2+datos_base!$G$18+IF(parametros_manuales!$H$32="Todos",datos_base!$G$9+datos_base!$G$23,0))*parametros_manuales!$F$95+parametros_manuales!$E$32*(datos_base!$G$3+datos_base!$G$19+IF(parametros_manuales!$H$32="Todos",datos_base!$G$10+datos_base!$G$24,0))*parametros_manuales!$F$100+parametros_manuales!$F$32*(datos_base!$G$4+datos_base!$G$20+IF(parametros_manuales!$H$32="Todos",datos_base!$G$11+datos_base!$G$25,0))*parametros_manuales!$F$105+parametros_manuales!$G$32*(datos_base!$G$5+datos_base!$G$21+IF(parametros_manuales!$H$32="Todos",datos_base!$G$12+datos_base!$G$26,0))*parametros_manuales!$F$110)*parametros_manuales!$I$32*parametros_manuales!$J$32</f>
        <v>9041.59483722</v>
      </c>
      <c r="G150" s="9" t="n">
        <f aca="false">(parametros_manuales!$D$32*(datos_base!$G$2+datos_base!$G$18+IF(parametros_manuales!$H$32="Todos",datos_base!$G$9+datos_base!$G$23,0))*parametros_manuales!$G$95+parametros_manuales!$E$32*(datos_base!$G$3+datos_base!$G$19+IF(parametros_manuales!$H$32="Todos",datos_base!$G$10+datos_base!$G$24,0))*parametros_manuales!$G$100+parametros_manuales!$F$32*(datos_base!$G$4+datos_base!$G$20+IF(parametros_manuales!$H$32="Todos",datos_base!$G$11+datos_base!$G$25,0))*parametros_manuales!$G$105+parametros_manuales!$G$32*(datos_base!$G$5+datos_base!$G$21+IF(parametros_manuales!$H$32="Todos",datos_base!$G$12+datos_base!$G$26,0))*parametros_manuales!$G$110)*parametros_manuales!$I$32*parametros_manuales!$J$32</f>
        <v>8858.434642075</v>
      </c>
      <c r="H150" s="9" t="n">
        <f aca="false">(parametros_manuales!$D$32*(datos_base!$G$2+datos_base!$G$18+IF(parametros_manuales!$H$32="Todos",datos_base!$G$9+datos_base!$G$23,0))*parametros_manuales!$H$95+parametros_manuales!$E$32*(datos_base!$G$3+datos_base!$G$19+IF(parametros_manuales!$H$32="Todos",datos_base!$G$10+datos_base!$G$24,0))*parametros_manuales!$H$100+parametros_manuales!$F$32*(datos_base!$G$4+datos_base!$G$20+IF(parametros_manuales!$H$32="Todos",datos_base!$G$11+datos_base!$G$25,0))*parametros_manuales!$H$105+parametros_manuales!$G$32*(datos_base!$G$5+datos_base!$G$21+IF(parametros_manuales!$H$32="Todos",datos_base!$G$12+datos_base!$G$26,0))*parametros_manuales!$H$110)*parametros_manuales!$I$32*parametros_manuales!$J$32</f>
        <v>9478.09710257</v>
      </c>
      <c r="I150" s="9" t="n">
        <f aca="false">(parametros_manuales!$D$32*(datos_base!$G$2+datos_base!$G$18+IF(parametros_manuales!$H$32="Todos",datos_base!$G$9+datos_base!$G$23,0))*parametros_manuales!$I$95+parametros_manuales!$E$32*(datos_base!$G$3+datos_base!$G$19+IF(parametros_manuales!$H$32="Todos",datos_base!$G$10+datos_base!$G$24,0))*parametros_manuales!$I$100+parametros_manuales!$F$32*(datos_base!$G$4+datos_base!$G$20+IF(parametros_manuales!$H$32="Todos",datos_base!$G$11+datos_base!$G$25,0))*parametros_manuales!$I$105+parametros_manuales!$G$32*(datos_base!$G$5+datos_base!$G$21+IF(parametros_manuales!$H$32="Todos",datos_base!$G$12+datos_base!$G$26,0))*parametros_manuales!$I$110)*parametros_manuales!$I$32*parametros_manuales!$J$32</f>
        <v>10787.60389862</v>
      </c>
      <c r="J150" s="9" t="n">
        <f aca="false">(parametros_manuales!$D$32*(datos_base!$G$2+datos_base!$G$18+IF(parametros_manuales!$H$32="Todos",datos_base!$G$9+datos_base!$G$23,0))*parametros_manuales!$J$95+parametros_manuales!$E$32*(datos_base!$G$3+datos_base!$G$19+IF(parametros_manuales!$H$32="Todos",datos_base!$G$10+datos_base!$G$24,0))*parametros_manuales!$J$100+parametros_manuales!$F$32*(datos_base!$G$4+datos_base!$G$20+IF(parametros_manuales!$H$32="Todos",datos_base!$G$11+datos_base!$G$25,0))*parametros_manuales!$J$105+parametros_manuales!$G$32*(datos_base!$G$5+datos_base!$G$21+IF(parametros_manuales!$H$32="Todos",datos_base!$G$12+datos_base!$G$26,0))*parametros_manuales!$J$110)*parametros_manuales!$I$32*parametros_manuales!$J$32</f>
        <v>10787.60389862</v>
      </c>
      <c r="K150" s="9" t="n">
        <f aca="false">(parametros_manuales!$D$32*(datos_base!$G$2+datos_base!$G$18+IF(parametros_manuales!$H$32="Todos",datos_base!$G$9+datos_base!$G$23,0))*parametros_manuales!$K$95+parametros_manuales!$E$32*(datos_base!$G$3+datos_base!$G$19+IF(parametros_manuales!$H$32="Todos",datos_base!$G$10+datos_base!$G$24,0))*parametros_manuales!$K$100+parametros_manuales!$F$32*(datos_base!$G$4+datos_base!$G$20+IF(parametros_manuales!$H$32="Todos",datos_base!$G$11+datos_base!$G$25,0))*parametros_manuales!$K$105+parametros_manuales!$G$32*(datos_base!$G$5+datos_base!$G$21+IF(parametros_manuales!$H$32="Todos",datos_base!$G$12+datos_base!$G$26,0))*parametros_manuales!$K$110)*parametros_manuales!$I$32*parametros_manuales!$J$32</f>
        <v>10970.764093765</v>
      </c>
      <c r="L150" s="9" t="n">
        <f aca="false">(parametros_manuales!$D$32*(datos_base!$G$2+datos_base!$G$18+IF(parametros_manuales!$H$32="Todos",datos_base!$G$9+datos_base!$G$23,0))*parametros_manuales!$L$95+parametros_manuales!$E$32*(datos_base!$G$3+datos_base!$G$19+IF(parametros_manuales!$H$32="Todos",datos_base!$G$10+datos_base!$G$24,0))*parametros_manuales!$L$100+parametros_manuales!$F$32*(datos_base!$G$4+datos_base!$G$20+IF(parametros_manuales!$H$32="Todos",datos_base!$G$11+datos_base!$G$25,0))*parametros_manuales!$L$105+parametros_manuales!$G$32*(datos_base!$G$5+datos_base!$G$21+IF(parametros_manuales!$H$32="Todos",datos_base!$G$12+datos_base!$G$26,0))*parametros_manuales!$L$110)*parametros_manuales!$I$32*parametros_manuales!$J$32</f>
        <v>11153.92428891</v>
      </c>
      <c r="M150" s="9" t="n">
        <f aca="false">(parametros_manuales!$D$32*(datos_base!$G$2+datos_base!$G$18+IF(parametros_manuales!$H$32="Todos",datos_base!$G$9+datos_base!$G$23,0))*parametros_manuales!$M$95+parametros_manuales!$E$32*(datos_base!$G$3+datos_base!$G$19+IF(parametros_manuales!$H$32="Todos",datos_base!$G$10+datos_base!$G$24,0))*parametros_manuales!$M$100+parametros_manuales!$F$32*(datos_base!$G$4+datos_base!$G$20+IF(parametros_manuales!$H$32="Todos",datos_base!$G$11+datos_base!$G$25,0))*parametros_manuales!$M$105+parametros_manuales!$G$32*(datos_base!$G$5+datos_base!$G$21+IF(parametros_manuales!$H$32="Todos",datos_base!$G$12+datos_base!$G$26,0))*parametros_manuales!$M$110)*parametros_manuales!$I$32*parametros_manuales!$J$32</f>
        <v>11153.92428891</v>
      </c>
      <c r="N150" s="9" t="n">
        <f aca="false">SUM(B150:M150)</f>
        <v>123932.492099</v>
      </c>
      <c r="O150" s="9" t="n">
        <f aca="false">MAX(B150:M150)</f>
        <v>11153.92428891</v>
      </c>
      <c r="P150" s="43" t="n">
        <f aca="false">O150/(parametros_manuales!$B$7)</f>
        <v>74.3594952594</v>
      </c>
      <c r="Q150" s="8" t="str">
        <f aca="false">IF(O150=0,"-",INDEX($B$136:$M$136,MATCH(O150,B150:M150,0)))</f>
        <v>Ene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datos_base!$G$2+datos_base!$G$18+IF(parametros_manuales!$H$33="Todos",datos_base!$G$9+datos_base!$G$23,0))*parametros_manuales!$B$95+parametros_manuales!$E$33*(datos_base!$G$3+datos_base!$G$19+IF(parametros_manuales!$H$33="Todos",datos_base!$G$10+datos_base!$G$24,0))*parametros_manuales!$B$100+parametros_manuales!$F$33*(datos_base!$G$4+datos_base!$G$20+IF(parametros_manuales!$H$33="Todos",datos_base!$G$11+datos_base!$G$25,0))*parametros_manuales!$B$105+parametros_manuales!$G$33*(datos_base!$G$5+datos_base!$G$21+IF(parametros_manuales!$H$33="Todos",datos_base!$G$12+datos_base!$G$26,0))*parametros_manuales!$B$110)*parametros_manuales!$I$33*parametros_manuales!$J$33</f>
        <v>11153.92428891</v>
      </c>
      <c r="C151" s="9" t="n">
        <f aca="false">(parametros_manuales!$D$33*(datos_base!$G$2+datos_base!$G$18+IF(parametros_manuales!$H$33="Todos",datos_base!$G$9+datos_base!$G$23,0))*parametros_manuales!$C$95+parametros_manuales!$E$33*(datos_base!$G$3+datos_base!$G$19+IF(parametros_manuales!$H$33="Todos",datos_base!$G$10+datos_base!$G$24,0))*parametros_manuales!$C$100+parametros_manuales!$F$33*(datos_base!$G$4+datos_base!$G$20+IF(parametros_manuales!$H$33="Todos",datos_base!$G$11+datos_base!$G$25,0))*parametros_manuales!$C$105+parametros_manuales!$G$33*(datos_base!$G$5+datos_base!$G$21+IF(parametros_manuales!$H$33="Todos",datos_base!$G$12+datos_base!$G$26,0))*parametros_manuales!$C$110)*parametros_manuales!$I$33*parametros_manuales!$J$33</f>
        <v>10787.60389862</v>
      </c>
      <c r="D151" s="9" t="n">
        <f aca="false">(parametros_manuales!$D$33*(datos_base!$G$2+datos_base!$G$18+IF(parametros_manuales!$H$33="Todos",datos_base!$G$9+datos_base!$G$23,0))*parametros_manuales!$D$95+parametros_manuales!$E$33*(datos_base!$G$3+datos_base!$G$19+IF(parametros_manuales!$H$33="Todos",datos_base!$G$10+datos_base!$G$24,0))*parametros_manuales!$D$100+parametros_manuales!$F$33*(datos_base!$G$4+datos_base!$G$20+IF(parametros_manuales!$H$33="Todos",datos_base!$G$11+datos_base!$G$25,0))*parametros_manuales!$D$105+parametros_manuales!$G$33*(datos_base!$G$5+datos_base!$G$21+IF(parametros_manuales!$H$33="Todos",datos_base!$G$12+datos_base!$G$26,0))*parametros_manuales!$D$110)*parametros_manuales!$I$33*parametros_manuales!$J$33</f>
        <v>10097.759563065</v>
      </c>
      <c r="E151" s="9" t="n">
        <f aca="false">(parametros_manuales!$D$33*(datos_base!$G$2+datos_base!$G$18+IF(parametros_manuales!$H$33="Todos",datos_base!$G$9+datos_base!$G$23,0))*parametros_manuales!$E$95+parametros_manuales!$E$33*(datos_base!$G$3+datos_base!$G$19+IF(parametros_manuales!$H$33="Todos",datos_base!$G$10+datos_base!$G$24,0))*parametros_manuales!$E$100+parametros_manuales!$F$33*(datos_base!$G$4+datos_base!$G$20+IF(parametros_manuales!$H$33="Todos",datos_base!$G$11+datos_base!$G$25,0))*parametros_manuales!$E$105+parametros_manuales!$G$33*(datos_base!$G$5+datos_base!$G$21+IF(parametros_manuales!$H$33="Todos",datos_base!$G$12+datos_base!$G$26,0))*parametros_manuales!$E$110)*parametros_manuales!$I$33*parametros_manuales!$J$33</f>
        <v>9661.257297715</v>
      </c>
      <c r="F151" s="9" t="n">
        <f aca="false">(parametros_manuales!$D$33*(datos_base!$G$2+datos_base!$G$18+IF(parametros_manuales!$H$33="Todos",datos_base!$G$9+datos_base!$G$23,0))*parametros_manuales!$F$95+parametros_manuales!$E$33*(datos_base!$G$3+datos_base!$G$19+IF(parametros_manuales!$H$33="Todos",datos_base!$G$10+datos_base!$G$24,0))*parametros_manuales!$F$100+parametros_manuales!$F$33*(datos_base!$G$4+datos_base!$G$20+IF(parametros_manuales!$H$33="Todos",datos_base!$G$11+datos_base!$G$25,0))*parametros_manuales!$F$105+parametros_manuales!$G$33*(datos_base!$G$5+datos_base!$G$21+IF(parametros_manuales!$H$33="Todos",datos_base!$G$12+datos_base!$G$26,0))*parametros_manuales!$F$110)*parametros_manuales!$I$33*parametros_manuales!$J$33</f>
        <v>9041.59483722</v>
      </c>
      <c r="G151" s="9" t="n">
        <f aca="false">(parametros_manuales!$D$33*(datos_base!$G$2+datos_base!$G$18+IF(parametros_manuales!$H$33="Todos",datos_base!$G$9+datos_base!$G$23,0))*parametros_manuales!$G$95+parametros_manuales!$E$33*(datos_base!$G$3+datos_base!$G$19+IF(parametros_manuales!$H$33="Todos",datos_base!$G$10+datos_base!$G$24,0))*parametros_manuales!$G$100+parametros_manuales!$F$33*(datos_base!$G$4+datos_base!$G$20+IF(parametros_manuales!$H$33="Todos",datos_base!$G$11+datos_base!$G$25,0))*parametros_manuales!$G$105+parametros_manuales!$G$33*(datos_base!$G$5+datos_base!$G$21+IF(parametros_manuales!$H$33="Todos",datos_base!$G$12+datos_base!$G$26,0))*parametros_manuales!$G$110)*parametros_manuales!$I$33*parametros_manuales!$J$33</f>
        <v>8858.434642075</v>
      </c>
      <c r="H151" s="9" t="n">
        <f aca="false">(parametros_manuales!$D$33*(datos_base!$G$2+datos_base!$G$18+IF(parametros_manuales!$H$33="Todos",datos_base!$G$9+datos_base!$G$23,0))*parametros_manuales!$H$95+parametros_manuales!$E$33*(datos_base!$G$3+datos_base!$G$19+IF(parametros_manuales!$H$33="Todos",datos_base!$G$10+datos_base!$G$24,0))*parametros_manuales!$H$100+parametros_manuales!$F$33*(datos_base!$G$4+datos_base!$G$20+IF(parametros_manuales!$H$33="Todos",datos_base!$G$11+datos_base!$G$25,0))*parametros_manuales!$H$105+parametros_manuales!$G$33*(datos_base!$G$5+datos_base!$G$21+IF(parametros_manuales!$H$33="Todos",datos_base!$G$12+datos_base!$G$26,0))*parametros_manuales!$H$110)*parametros_manuales!$I$33*parametros_manuales!$J$33</f>
        <v>9478.09710257</v>
      </c>
      <c r="I151" s="9" t="n">
        <f aca="false">(parametros_manuales!$D$33*(datos_base!$G$2+datos_base!$G$18+IF(parametros_manuales!$H$33="Todos",datos_base!$G$9+datos_base!$G$23,0))*parametros_manuales!$I$95+parametros_manuales!$E$33*(datos_base!$G$3+datos_base!$G$19+IF(parametros_manuales!$H$33="Todos",datos_base!$G$10+datos_base!$G$24,0))*parametros_manuales!$I$100+parametros_manuales!$F$33*(datos_base!$G$4+datos_base!$G$20+IF(parametros_manuales!$H$33="Todos",datos_base!$G$11+datos_base!$G$25,0))*parametros_manuales!$I$105+parametros_manuales!$G$33*(datos_base!$G$5+datos_base!$G$21+IF(parametros_manuales!$H$33="Todos",datos_base!$G$12+datos_base!$G$26,0))*parametros_manuales!$I$110)*parametros_manuales!$I$33*parametros_manuales!$J$33</f>
        <v>10787.60389862</v>
      </c>
      <c r="J151" s="9" t="n">
        <f aca="false">(parametros_manuales!$D$33*(datos_base!$G$2+datos_base!$G$18+IF(parametros_manuales!$H$33="Todos",datos_base!$G$9+datos_base!$G$23,0))*parametros_manuales!$J$95+parametros_manuales!$E$33*(datos_base!$G$3+datos_base!$G$19+IF(parametros_manuales!$H$33="Todos",datos_base!$G$10+datos_base!$G$24,0))*parametros_manuales!$J$100+parametros_manuales!$F$33*(datos_base!$G$4+datos_base!$G$20+IF(parametros_manuales!$H$33="Todos",datos_base!$G$11+datos_base!$G$25,0))*parametros_manuales!$J$105+parametros_manuales!$G$33*(datos_base!$G$5+datos_base!$G$21+IF(parametros_manuales!$H$33="Todos",datos_base!$G$12+datos_base!$G$26,0))*parametros_manuales!$J$110)*parametros_manuales!$I$33*parametros_manuales!$J$33</f>
        <v>10787.60389862</v>
      </c>
      <c r="K151" s="9" t="n">
        <f aca="false">(parametros_manuales!$D$33*(datos_base!$G$2+datos_base!$G$18+IF(parametros_manuales!$H$33="Todos",datos_base!$G$9+datos_base!$G$23,0))*parametros_manuales!$K$95+parametros_manuales!$E$33*(datos_base!$G$3+datos_base!$G$19+IF(parametros_manuales!$H$33="Todos",datos_base!$G$10+datos_base!$G$24,0))*parametros_manuales!$K$100+parametros_manuales!$F$33*(datos_base!$G$4+datos_base!$G$20+IF(parametros_manuales!$H$33="Todos",datos_base!$G$11+datos_base!$G$25,0))*parametros_manuales!$K$105+parametros_manuales!$G$33*(datos_base!$G$5+datos_base!$G$21+IF(parametros_manuales!$H$33="Todos",datos_base!$G$12+datos_base!$G$26,0))*parametros_manuales!$K$110)*parametros_manuales!$I$33*parametros_manuales!$J$33</f>
        <v>10970.764093765</v>
      </c>
      <c r="L151" s="9" t="n">
        <f aca="false">(parametros_manuales!$D$33*(datos_base!$G$2+datos_base!$G$18+IF(parametros_manuales!$H$33="Todos",datos_base!$G$9+datos_base!$G$23,0))*parametros_manuales!$L$95+parametros_manuales!$E$33*(datos_base!$G$3+datos_base!$G$19+IF(parametros_manuales!$H$33="Todos",datos_base!$G$10+datos_base!$G$24,0))*parametros_manuales!$L$100+parametros_manuales!$F$33*(datos_base!$G$4+datos_base!$G$20+IF(parametros_manuales!$H$33="Todos",datos_base!$G$11+datos_base!$G$25,0))*parametros_manuales!$L$105+parametros_manuales!$G$33*(datos_base!$G$5+datos_base!$G$21+IF(parametros_manuales!$H$33="Todos",datos_base!$G$12+datos_base!$G$26,0))*parametros_manuales!$L$110)*parametros_manuales!$I$33*parametros_manuales!$J$33</f>
        <v>11153.92428891</v>
      </c>
      <c r="M151" s="9" t="n">
        <f aca="false">(parametros_manuales!$D$33*(datos_base!$G$2+datos_base!$G$18+IF(parametros_manuales!$H$33="Todos",datos_base!$G$9+datos_base!$G$23,0))*parametros_manuales!$M$95+parametros_manuales!$E$33*(datos_base!$G$3+datos_base!$G$19+IF(parametros_manuales!$H$33="Todos",datos_base!$G$10+datos_base!$G$24,0))*parametros_manuales!$M$100+parametros_manuales!$F$33*(datos_base!$G$4+datos_base!$G$20+IF(parametros_manuales!$H$33="Todos",datos_base!$G$11+datos_base!$G$25,0))*parametros_manuales!$M$105+parametros_manuales!$G$33*(datos_base!$G$5+datos_base!$G$21+IF(parametros_manuales!$H$33="Todos",datos_base!$G$12+datos_base!$G$26,0))*parametros_manuales!$M$110)*parametros_manuales!$I$33*parametros_manuales!$J$33</f>
        <v>11153.92428891</v>
      </c>
      <c r="N151" s="9" t="n">
        <f aca="false">SUM(B151:M151)</f>
        <v>123932.492099</v>
      </c>
      <c r="O151" s="9" t="n">
        <f aca="false">MAX(B151:M151)</f>
        <v>11153.92428891</v>
      </c>
      <c r="P151" s="43" t="n">
        <f aca="false">O151/(parametros_manuales!$B$7)</f>
        <v>74.3594952594</v>
      </c>
      <c r="Q151" s="8" t="str">
        <f aca="false">IF(O151=0,"-",INDEX($B$136:$M$136,MATCH(O151,B151:M151,0)))</f>
        <v>Ene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datos_base!$G$2+datos_base!$G$18+IF(parametros_manuales!$H$34="Todos",datos_base!$G$9+datos_base!$G$23,0))*parametros_manuales!$B$95+parametros_manuales!$E$34*(datos_base!$G$3+datos_base!$G$19+IF(parametros_manuales!$H$34="Todos",datos_base!$G$10+datos_base!$G$24,0))*parametros_manuales!$B$100+parametros_manuales!$F$34*(datos_base!$G$4+datos_base!$G$20+IF(parametros_manuales!$H$34="Todos",datos_base!$G$11+datos_base!$G$25,0))*parametros_manuales!$B$105+parametros_manuales!$G$34*(datos_base!$G$5+datos_base!$G$21+IF(parametros_manuales!$H$34="Todos",datos_base!$G$12+datos_base!$G$26,0))*parametros_manuales!$B$110)*parametros_manuales!$I$34*parametros_manuales!$J$34</f>
        <v>11153.92428891</v>
      </c>
      <c r="C152" s="9" t="n">
        <f aca="false">(parametros_manuales!$D$34*(datos_base!$G$2+datos_base!$G$18+IF(parametros_manuales!$H$34="Todos",datos_base!$G$9+datos_base!$G$23,0))*parametros_manuales!$C$95+parametros_manuales!$E$34*(datos_base!$G$3+datos_base!$G$19+IF(parametros_manuales!$H$34="Todos",datos_base!$G$10+datos_base!$G$24,0))*parametros_manuales!$C$100+parametros_manuales!$F$34*(datos_base!$G$4+datos_base!$G$20+IF(parametros_manuales!$H$34="Todos",datos_base!$G$11+datos_base!$G$25,0))*parametros_manuales!$C$105+parametros_manuales!$G$34*(datos_base!$G$5+datos_base!$G$21+IF(parametros_manuales!$H$34="Todos",datos_base!$G$12+datos_base!$G$26,0))*parametros_manuales!$C$110)*parametros_manuales!$I$34*parametros_manuales!$J$34</f>
        <v>10787.60389862</v>
      </c>
      <c r="D152" s="9" t="n">
        <f aca="false">(parametros_manuales!$D$34*(datos_base!$G$2+datos_base!$G$18+IF(parametros_manuales!$H$34="Todos",datos_base!$G$9+datos_base!$G$23,0))*parametros_manuales!$D$95+parametros_manuales!$E$34*(datos_base!$G$3+datos_base!$G$19+IF(parametros_manuales!$H$34="Todos",datos_base!$G$10+datos_base!$G$24,0))*parametros_manuales!$D$100+parametros_manuales!$F$34*(datos_base!$G$4+datos_base!$G$20+IF(parametros_manuales!$H$34="Todos",datos_base!$G$11+datos_base!$G$25,0))*parametros_manuales!$D$105+parametros_manuales!$G$34*(datos_base!$G$5+datos_base!$G$21+IF(parametros_manuales!$H$34="Todos",datos_base!$G$12+datos_base!$G$26,0))*parametros_manuales!$D$110)*parametros_manuales!$I$34*parametros_manuales!$J$34</f>
        <v>10097.759563065</v>
      </c>
      <c r="E152" s="9" t="n">
        <f aca="false">(parametros_manuales!$D$34*(datos_base!$G$2+datos_base!$G$18+IF(parametros_manuales!$H$34="Todos",datos_base!$G$9+datos_base!$G$23,0))*parametros_manuales!$E$95+parametros_manuales!$E$34*(datos_base!$G$3+datos_base!$G$19+IF(parametros_manuales!$H$34="Todos",datos_base!$G$10+datos_base!$G$24,0))*parametros_manuales!$E$100+parametros_manuales!$F$34*(datos_base!$G$4+datos_base!$G$20+IF(parametros_manuales!$H$34="Todos",datos_base!$G$11+datos_base!$G$25,0))*parametros_manuales!$E$105+parametros_manuales!$G$34*(datos_base!$G$5+datos_base!$G$21+IF(parametros_manuales!$H$34="Todos",datos_base!$G$12+datos_base!$G$26,0))*parametros_manuales!$E$110)*parametros_manuales!$I$34*parametros_manuales!$J$34</f>
        <v>9661.257297715</v>
      </c>
      <c r="F152" s="9" t="n">
        <f aca="false">(parametros_manuales!$D$34*(datos_base!$G$2+datos_base!$G$18+IF(parametros_manuales!$H$34="Todos",datos_base!$G$9+datos_base!$G$23,0))*parametros_manuales!$F$95+parametros_manuales!$E$34*(datos_base!$G$3+datos_base!$G$19+IF(parametros_manuales!$H$34="Todos",datos_base!$G$10+datos_base!$G$24,0))*parametros_manuales!$F$100+parametros_manuales!$F$34*(datos_base!$G$4+datos_base!$G$20+IF(parametros_manuales!$H$34="Todos",datos_base!$G$11+datos_base!$G$25,0))*parametros_manuales!$F$105+parametros_manuales!$G$34*(datos_base!$G$5+datos_base!$G$21+IF(parametros_manuales!$H$34="Todos",datos_base!$G$12+datos_base!$G$26,0))*parametros_manuales!$F$110)*parametros_manuales!$I$34*parametros_manuales!$J$34</f>
        <v>9041.59483722</v>
      </c>
      <c r="G152" s="9" t="n">
        <f aca="false">(parametros_manuales!$D$34*(datos_base!$G$2+datos_base!$G$18+IF(parametros_manuales!$H$34="Todos",datos_base!$G$9+datos_base!$G$23,0))*parametros_manuales!$G$95+parametros_manuales!$E$34*(datos_base!$G$3+datos_base!$G$19+IF(parametros_manuales!$H$34="Todos",datos_base!$G$10+datos_base!$G$24,0))*parametros_manuales!$G$100+parametros_manuales!$F$34*(datos_base!$G$4+datos_base!$G$20+IF(parametros_manuales!$H$34="Todos",datos_base!$G$11+datos_base!$G$25,0))*parametros_manuales!$G$105+parametros_manuales!$G$34*(datos_base!$G$5+datos_base!$G$21+IF(parametros_manuales!$H$34="Todos",datos_base!$G$12+datos_base!$G$26,0))*parametros_manuales!$G$110)*parametros_manuales!$I$34*parametros_manuales!$J$34</f>
        <v>8858.434642075</v>
      </c>
      <c r="H152" s="9" t="n">
        <f aca="false">(parametros_manuales!$D$34*(datos_base!$G$2+datos_base!$G$18+IF(parametros_manuales!$H$34="Todos",datos_base!$G$9+datos_base!$G$23,0))*parametros_manuales!$H$95+parametros_manuales!$E$34*(datos_base!$G$3+datos_base!$G$19+IF(parametros_manuales!$H$34="Todos",datos_base!$G$10+datos_base!$G$24,0))*parametros_manuales!$H$100+parametros_manuales!$F$34*(datos_base!$G$4+datos_base!$G$20+IF(parametros_manuales!$H$34="Todos",datos_base!$G$11+datos_base!$G$25,0))*parametros_manuales!$H$105+parametros_manuales!$G$34*(datos_base!$G$5+datos_base!$G$21+IF(parametros_manuales!$H$34="Todos",datos_base!$G$12+datos_base!$G$26,0))*parametros_manuales!$H$110)*parametros_manuales!$I$34*parametros_manuales!$J$34</f>
        <v>9478.09710257</v>
      </c>
      <c r="I152" s="9" t="n">
        <f aca="false">(parametros_manuales!$D$34*(datos_base!$G$2+datos_base!$G$18+IF(parametros_manuales!$H$34="Todos",datos_base!$G$9+datos_base!$G$23,0))*parametros_manuales!$I$95+parametros_manuales!$E$34*(datos_base!$G$3+datos_base!$G$19+IF(parametros_manuales!$H$34="Todos",datos_base!$G$10+datos_base!$G$24,0))*parametros_manuales!$I$100+parametros_manuales!$F$34*(datos_base!$G$4+datos_base!$G$20+IF(parametros_manuales!$H$34="Todos",datos_base!$G$11+datos_base!$G$25,0))*parametros_manuales!$I$105+parametros_manuales!$G$34*(datos_base!$G$5+datos_base!$G$21+IF(parametros_manuales!$H$34="Todos",datos_base!$G$12+datos_base!$G$26,0))*parametros_manuales!$I$110)*parametros_manuales!$I$34*parametros_manuales!$J$34</f>
        <v>10787.60389862</v>
      </c>
      <c r="J152" s="9" t="n">
        <f aca="false">(parametros_manuales!$D$34*(datos_base!$G$2+datos_base!$G$18+IF(parametros_manuales!$H$34="Todos",datos_base!$G$9+datos_base!$G$23,0))*parametros_manuales!$J$95+parametros_manuales!$E$34*(datos_base!$G$3+datos_base!$G$19+IF(parametros_manuales!$H$34="Todos",datos_base!$G$10+datos_base!$G$24,0))*parametros_manuales!$J$100+parametros_manuales!$F$34*(datos_base!$G$4+datos_base!$G$20+IF(parametros_manuales!$H$34="Todos",datos_base!$G$11+datos_base!$G$25,0))*parametros_manuales!$J$105+parametros_manuales!$G$34*(datos_base!$G$5+datos_base!$G$21+IF(parametros_manuales!$H$34="Todos",datos_base!$G$12+datos_base!$G$26,0))*parametros_manuales!$J$110)*parametros_manuales!$I$34*parametros_manuales!$J$34</f>
        <v>10787.60389862</v>
      </c>
      <c r="K152" s="9" t="n">
        <f aca="false">(parametros_manuales!$D$34*(datos_base!$G$2+datos_base!$G$18+IF(parametros_manuales!$H$34="Todos",datos_base!$G$9+datos_base!$G$23,0))*parametros_manuales!$K$95+parametros_manuales!$E$34*(datos_base!$G$3+datos_base!$G$19+IF(parametros_manuales!$H$34="Todos",datos_base!$G$10+datos_base!$G$24,0))*parametros_manuales!$K$100+parametros_manuales!$F$34*(datos_base!$G$4+datos_base!$G$20+IF(parametros_manuales!$H$34="Todos",datos_base!$G$11+datos_base!$G$25,0))*parametros_manuales!$K$105+parametros_manuales!$G$34*(datos_base!$G$5+datos_base!$G$21+IF(parametros_manuales!$H$34="Todos",datos_base!$G$12+datos_base!$G$26,0))*parametros_manuales!$K$110)*parametros_manuales!$I$34*parametros_manuales!$J$34</f>
        <v>10970.764093765</v>
      </c>
      <c r="L152" s="9" t="n">
        <f aca="false">(parametros_manuales!$D$34*(datos_base!$G$2+datos_base!$G$18+IF(parametros_manuales!$H$34="Todos",datos_base!$G$9+datos_base!$G$23,0))*parametros_manuales!$L$95+parametros_manuales!$E$34*(datos_base!$G$3+datos_base!$G$19+IF(parametros_manuales!$H$34="Todos",datos_base!$G$10+datos_base!$G$24,0))*parametros_manuales!$L$100+parametros_manuales!$F$34*(datos_base!$G$4+datos_base!$G$20+IF(parametros_manuales!$H$34="Todos",datos_base!$G$11+datos_base!$G$25,0))*parametros_manuales!$L$105+parametros_manuales!$G$34*(datos_base!$G$5+datos_base!$G$21+IF(parametros_manuales!$H$34="Todos",datos_base!$G$12+datos_base!$G$26,0))*parametros_manuales!$L$110)*parametros_manuales!$I$34*parametros_manuales!$J$34</f>
        <v>11153.92428891</v>
      </c>
      <c r="M152" s="9" t="n">
        <f aca="false">(parametros_manuales!$D$34*(datos_base!$G$2+datos_base!$G$18+IF(parametros_manuales!$H$34="Todos",datos_base!$G$9+datos_base!$G$23,0))*parametros_manuales!$M$95+parametros_manuales!$E$34*(datos_base!$G$3+datos_base!$G$19+IF(parametros_manuales!$H$34="Todos",datos_base!$G$10+datos_base!$G$24,0))*parametros_manuales!$M$100+parametros_manuales!$F$34*(datos_base!$G$4+datos_base!$G$20+IF(parametros_manuales!$H$34="Todos",datos_base!$G$11+datos_base!$G$25,0))*parametros_manuales!$M$105+parametros_manuales!$G$34*(datos_base!$G$5+datos_base!$G$21+IF(parametros_manuales!$H$34="Todos",datos_base!$G$12+datos_base!$G$26,0))*parametros_manuales!$M$110)*parametros_manuales!$I$34*parametros_manuales!$J$34</f>
        <v>11153.92428891</v>
      </c>
      <c r="N152" s="9" t="n">
        <f aca="false">SUM(B152:M152)</f>
        <v>123932.492099</v>
      </c>
      <c r="O152" s="9" t="n">
        <f aca="false">MAX(B152:M152)</f>
        <v>11153.92428891</v>
      </c>
      <c r="P152" s="43" t="n">
        <f aca="false">O152/(parametros_manuales!$B$7)</f>
        <v>74.3594952594</v>
      </c>
      <c r="Q152" s="8" t="str">
        <f aca="false">IF(O152=0,"-",INDEX($B$136:$M$136,MATCH(O152,B152:M152,0)))</f>
        <v>Ene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datos_base!$G$2+datos_base!$G$18+IF(parametros_manuales!$H$35="Todos",datos_base!$G$9+datos_base!$G$23,0))*parametros_manuales!$B$95+parametros_manuales!$E$35*(datos_base!$G$3+datos_base!$G$19+IF(parametros_manuales!$H$35="Todos",datos_base!$G$10+datos_base!$G$24,0))*parametros_manuales!$B$100+parametros_manuales!$F$35*(datos_base!$G$4+datos_base!$G$20+IF(parametros_manuales!$H$35="Todos",datos_base!$G$11+datos_base!$G$25,0))*parametros_manuales!$B$105+parametros_manuales!$G$35*(datos_base!$G$5+datos_base!$G$21+IF(parametros_manuales!$H$35="Todos",datos_base!$G$12+datos_base!$G$26,0))*parametros_manuales!$B$110)*parametros_manuales!$I$35*parametros_manuales!$J$35</f>
        <v>11153.92428891</v>
      </c>
      <c r="C153" s="9" t="n">
        <f aca="false">(parametros_manuales!$D$35*(datos_base!$G$2+datos_base!$G$18+IF(parametros_manuales!$H$35="Todos",datos_base!$G$9+datos_base!$G$23,0))*parametros_manuales!$C$95+parametros_manuales!$E$35*(datos_base!$G$3+datos_base!$G$19+IF(parametros_manuales!$H$35="Todos",datos_base!$G$10+datos_base!$G$24,0))*parametros_manuales!$C$100+parametros_manuales!$F$35*(datos_base!$G$4+datos_base!$G$20+IF(parametros_manuales!$H$35="Todos",datos_base!$G$11+datos_base!$G$25,0))*parametros_manuales!$C$105+parametros_manuales!$G$35*(datos_base!$G$5+datos_base!$G$21+IF(parametros_manuales!$H$35="Todos",datos_base!$G$12+datos_base!$G$26,0))*parametros_manuales!$C$110)*parametros_manuales!$I$35*parametros_manuales!$J$35</f>
        <v>10787.60389862</v>
      </c>
      <c r="D153" s="9" t="n">
        <f aca="false">(parametros_manuales!$D$35*(datos_base!$G$2+datos_base!$G$18+IF(parametros_manuales!$H$35="Todos",datos_base!$G$9+datos_base!$G$23,0))*parametros_manuales!$D$95+parametros_manuales!$E$35*(datos_base!$G$3+datos_base!$G$19+IF(parametros_manuales!$H$35="Todos",datos_base!$G$10+datos_base!$G$24,0))*parametros_manuales!$D$100+parametros_manuales!$F$35*(datos_base!$G$4+datos_base!$G$20+IF(parametros_manuales!$H$35="Todos",datos_base!$G$11+datos_base!$G$25,0))*parametros_manuales!$D$105+parametros_manuales!$G$35*(datos_base!$G$5+datos_base!$G$21+IF(parametros_manuales!$H$35="Todos",datos_base!$G$12+datos_base!$G$26,0))*parametros_manuales!$D$110)*parametros_manuales!$I$35*parametros_manuales!$J$35</f>
        <v>10097.759563065</v>
      </c>
      <c r="E153" s="9" t="n">
        <f aca="false">(parametros_manuales!$D$35*(datos_base!$G$2+datos_base!$G$18+IF(parametros_manuales!$H$35="Todos",datos_base!$G$9+datos_base!$G$23,0))*parametros_manuales!$E$95+parametros_manuales!$E$35*(datos_base!$G$3+datos_base!$G$19+IF(parametros_manuales!$H$35="Todos",datos_base!$G$10+datos_base!$G$24,0))*parametros_manuales!$E$100+parametros_manuales!$F$35*(datos_base!$G$4+datos_base!$G$20+IF(parametros_manuales!$H$35="Todos",datos_base!$G$11+datos_base!$G$25,0))*parametros_manuales!$E$105+parametros_manuales!$G$35*(datos_base!$G$5+datos_base!$G$21+IF(parametros_manuales!$H$35="Todos",datos_base!$G$12+datos_base!$G$26,0))*parametros_manuales!$E$110)*parametros_manuales!$I$35*parametros_manuales!$J$35</f>
        <v>9661.257297715</v>
      </c>
      <c r="F153" s="9" t="n">
        <f aca="false">(parametros_manuales!$D$35*(datos_base!$G$2+datos_base!$G$18+IF(parametros_manuales!$H$35="Todos",datos_base!$G$9+datos_base!$G$23,0))*parametros_manuales!$F$95+parametros_manuales!$E$35*(datos_base!$G$3+datos_base!$G$19+IF(parametros_manuales!$H$35="Todos",datos_base!$G$10+datos_base!$G$24,0))*parametros_manuales!$F$100+parametros_manuales!$F$35*(datos_base!$G$4+datos_base!$G$20+IF(parametros_manuales!$H$35="Todos",datos_base!$G$11+datos_base!$G$25,0))*parametros_manuales!$F$105+parametros_manuales!$G$35*(datos_base!$G$5+datos_base!$G$21+IF(parametros_manuales!$H$35="Todos",datos_base!$G$12+datos_base!$G$26,0))*parametros_manuales!$F$110)*parametros_manuales!$I$35*parametros_manuales!$J$35</f>
        <v>9041.59483722</v>
      </c>
      <c r="G153" s="9" t="n">
        <f aca="false">(parametros_manuales!$D$35*(datos_base!$G$2+datos_base!$G$18+IF(parametros_manuales!$H$35="Todos",datos_base!$G$9+datos_base!$G$23,0))*parametros_manuales!$G$95+parametros_manuales!$E$35*(datos_base!$G$3+datos_base!$G$19+IF(parametros_manuales!$H$35="Todos",datos_base!$G$10+datos_base!$G$24,0))*parametros_manuales!$G$100+parametros_manuales!$F$35*(datos_base!$G$4+datos_base!$G$20+IF(parametros_manuales!$H$35="Todos",datos_base!$G$11+datos_base!$G$25,0))*parametros_manuales!$G$105+parametros_manuales!$G$35*(datos_base!$G$5+datos_base!$G$21+IF(parametros_manuales!$H$35="Todos",datos_base!$G$12+datos_base!$G$26,0))*parametros_manuales!$G$110)*parametros_manuales!$I$35*parametros_manuales!$J$35</f>
        <v>8858.434642075</v>
      </c>
      <c r="H153" s="9" t="n">
        <f aca="false">(parametros_manuales!$D$35*(datos_base!$G$2+datos_base!$G$18+IF(parametros_manuales!$H$35="Todos",datos_base!$G$9+datos_base!$G$23,0))*parametros_manuales!$H$95+parametros_manuales!$E$35*(datos_base!$G$3+datos_base!$G$19+IF(parametros_manuales!$H$35="Todos",datos_base!$G$10+datos_base!$G$24,0))*parametros_manuales!$H$100+parametros_manuales!$F$35*(datos_base!$G$4+datos_base!$G$20+IF(parametros_manuales!$H$35="Todos",datos_base!$G$11+datos_base!$G$25,0))*parametros_manuales!$H$105+parametros_manuales!$G$35*(datos_base!$G$5+datos_base!$G$21+IF(parametros_manuales!$H$35="Todos",datos_base!$G$12+datos_base!$G$26,0))*parametros_manuales!$H$110)*parametros_manuales!$I$35*parametros_manuales!$J$35</f>
        <v>9478.09710257</v>
      </c>
      <c r="I153" s="9" t="n">
        <f aca="false">(parametros_manuales!$D$35*(datos_base!$G$2+datos_base!$G$18+IF(parametros_manuales!$H$35="Todos",datos_base!$G$9+datos_base!$G$23,0))*parametros_manuales!$I$95+parametros_manuales!$E$35*(datos_base!$G$3+datos_base!$G$19+IF(parametros_manuales!$H$35="Todos",datos_base!$G$10+datos_base!$G$24,0))*parametros_manuales!$I$100+parametros_manuales!$F$35*(datos_base!$G$4+datos_base!$G$20+IF(parametros_manuales!$H$35="Todos",datos_base!$G$11+datos_base!$G$25,0))*parametros_manuales!$I$105+parametros_manuales!$G$35*(datos_base!$G$5+datos_base!$G$21+IF(parametros_manuales!$H$35="Todos",datos_base!$G$12+datos_base!$G$26,0))*parametros_manuales!$I$110)*parametros_manuales!$I$35*parametros_manuales!$J$35</f>
        <v>10787.60389862</v>
      </c>
      <c r="J153" s="9" t="n">
        <f aca="false">(parametros_manuales!$D$35*(datos_base!$G$2+datos_base!$G$18+IF(parametros_manuales!$H$35="Todos",datos_base!$G$9+datos_base!$G$23,0))*parametros_manuales!$J$95+parametros_manuales!$E$35*(datos_base!$G$3+datos_base!$G$19+IF(parametros_manuales!$H$35="Todos",datos_base!$G$10+datos_base!$G$24,0))*parametros_manuales!$J$100+parametros_manuales!$F$35*(datos_base!$G$4+datos_base!$G$20+IF(parametros_manuales!$H$35="Todos",datos_base!$G$11+datos_base!$G$25,0))*parametros_manuales!$J$105+parametros_manuales!$G$35*(datos_base!$G$5+datos_base!$G$21+IF(parametros_manuales!$H$35="Todos",datos_base!$G$12+datos_base!$G$26,0))*parametros_manuales!$J$110)*parametros_manuales!$I$35*parametros_manuales!$J$35</f>
        <v>10787.60389862</v>
      </c>
      <c r="K153" s="9" t="n">
        <f aca="false">(parametros_manuales!$D$35*(datos_base!$G$2+datos_base!$G$18+IF(parametros_manuales!$H$35="Todos",datos_base!$G$9+datos_base!$G$23,0))*parametros_manuales!$K$95+parametros_manuales!$E$35*(datos_base!$G$3+datos_base!$G$19+IF(parametros_manuales!$H$35="Todos",datos_base!$G$10+datos_base!$G$24,0))*parametros_manuales!$K$100+parametros_manuales!$F$35*(datos_base!$G$4+datos_base!$G$20+IF(parametros_manuales!$H$35="Todos",datos_base!$G$11+datos_base!$G$25,0))*parametros_manuales!$K$105+parametros_manuales!$G$35*(datos_base!$G$5+datos_base!$G$21+IF(parametros_manuales!$H$35="Todos",datos_base!$G$12+datos_base!$G$26,0))*parametros_manuales!$K$110)*parametros_manuales!$I$35*parametros_manuales!$J$35</f>
        <v>10970.764093765</v>
      </c>
      <c r="L153" s="9" t="n">
        <f aca="false">(parametros_manuales!$D$35*(datos_base!$G$2+datos_base!$G$18+IF(parametros_manuales!$H$35="Todos",datos_base!$G$9+datos_base!$G$23,0))*parametros_manuales!$L$95+parametros_manuales!$E$35*(datos_base!$G$3+datos_base!$G$19+IF(parametros_manuales!$H$35="Todos",datos_base!$G$10+datos_base!$G$24,0))*parametros_manuales!$L$100+parametros_manuales!$F$35*(datos_base!$G$4+datos_base!$G$20+IF(parametros_manuales!$H$35="Todos",datos_base!$G$11+datos_base!$G$25,0))*parametros_manuales!$L$105+parametros_manuales!$G$35*(datos_base!$G$5+datos_base!$G$21+IF(parametros_manuales!$H$35="Todos",datos_base!$G$12+datos_base!$G$26,0))*parametros_manuales!$L$110)*parametros_manuales!$I$35*parametros_manuales!$J$35</f>
        <v>11153.92428891</v>
      </c>
      <c r="M153" s="9" t="n">
        <f aca="false">(parametros_manuales!$D$35*(datos_base!$G$2+datos_base!$G$18+IF(parametros_manuales!$H$35="Todos",datos_base!$G$9+datos_base!$G$23,0))*parametros_manuales!$M$95+parametros_manuales!$E$35*(datos_base!$G$3+datos_base!$G$19+IF(parametros_manuales!$H$35="Todos",datos_base!$G$10+datos_base!$G$24,0))*parametros_manuales!$M$100+parametros_manuales!$F$35*(datos_base!$G$4+datos_base!$G$20+IF(parametros_manuales!$H$35="Todos",datos_base!$G$11+datos_base!$G$25,0))*parametros_manuales!$M$105+parametros_manuales!$G$35*(datos_base!$G$5+datos_base!$G$21+IF(parametros_manuales!$H$35="Todos",datos_base!$G$12+datos_base!$G$26,0))*parametros_manuales!$M$110)*parametros_manuales!$I$35*parametros_manuales!$J$35</f>
        <v>11153.92428891</v>
      </c>
      <c r="N153" s="9" t="n">
        <f aca="false">SUM(B153:M153)</f>
        <v>123932.492099</v>
      </c>
      <c r="O153" s="9" t="n">
        <f aca="false">MAX(B153:M153)</f>
        <v>11153.92428891</v>
      </c>
      <c r="P153" s="43" t="n">
        <f aca="false">O153/(parametros_manuales!$B$7)</f>
        <v>74.3594952594</v>
      </c>
      <c r="Q153" s="8" t="str">
        <f aca="false">IF(O153=0,"-",INDEX($B$136:$M$136,MATCH(O153,B153:M153,0)))</f>
        <v>Ene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datos_base!$G$2+datos_base!$G$18+IF(parametros_manuales!$H$36="Todos",datos_base!$G$9+datos_base!$G$23,0))*parametros_manuales!$B$95+parametros_manuales!$E$36*(datos_base!$G$3+datos_base!$G$19+IF(parametros_manuales!$H$36="Todos",datos_base!$G$10+datos_base!$G$24,0))*parametros_manuales!$B$100+parametros_manuales!$F$36*(datos_base!$G$4+datos_base!$G$20+IF(parametros_manuales!$H$36="Todos",datos_base!$G$11+datos_base!$G$25,0))*parametros_manuales!$B$105+parametros_manuales!$G$36*(datos_base!$G$5+datos_base!$G$21+IF(parametros_manuales!$H$36="Todos",datos_base!$G$12+datos_base!$G$26,0))*parametros_manuales!$B$110)*parametros_manuales!$I$36*parametros_manuales!$J$36</f>
        <v>557.6962144455</v>
      </c>
      <c r="C154" s="9" t="n">
        <f aca="false">(parametros_manuales!$D$36*(datos_base!$G$2+datos_base!$G$18+IF(parametros_manuales!$H$36="Todos",datos_base!$G$9+datos_base!$G$23,0))*parametros_manuales!$C$95+parametros_manuales!$E$36*(datos_base!$G$3+datos_base!$G$19+IF(parametros_manuales!$H$36="Todos",datos_base!$G$10+datos_base!$G$24,0))*parametros_manuales!$C$100+parametros_manuales!$F$36*(datos_base!$G$4+datos_base!$G$20+IF(parametros_manuales!$H$36="Todos",datos_base!$G$11+datos_base!$G$25,0))*parametros_manuales!$C$105+parametros_manuales!$G$36*(datos_base!$G$5+datos_base!$G$21+IF(parametros_manuales!$H$36="Todos",datos_base!$G$12+datos_base!$G$26,0))*parametros_manuales!$C$110)*parametros_manuales!$I$36*parametros_manuales!$J$36</f>
        <v>539.380194931</v>
      </c>
      <c r="D154" s="9" t="n">
        <f aca="false">(parametros_manuales!$D$36*(datos_base!$G$2+datos_base!$G$18+IF(parametros_manuales!$H$36="Todos",datos_base!$G$9+datos_base!$G$23,0))*parametros_manuales!$D$95+parametros_manuales!$E$36*(datos_base!$G$3+datos_base!$G$19+IF(parametros_manuales!$H$36="Todos",datos_base!$G$10+datos_base!$G$24,0))*parametros_manuales!$D$100+parametros_manuales!$F$36*(datos_base!$G$4+datos_base!$G$20+IF(parametros_manuales!$H$36="Todos",datos_base!$G$11+datos_base!$G$25,0))*parametros_manuales!$D$105+parametros_manuales!$G$36*(datos_base!$G$5+datos_base!$G$21+IF(parametros_manuales!$H$36="Todos",datos_base!$G$12+datos_base!$G$26,0))*parametros_manuales!$D$110)*parametros_manuales!$I$36*parametros_manuales!$J$36</f>
        <v>504.88797815325</v>
      </c>
      <c r="E154" s="9" t="n">
        <f aca="false">(parametros_manuales!$D$36*(datos_base!$G$2+datos_base!$G$18+IF(parametros_manuales!$H$36="Todos",datos_base!$G$9+datos_base!$G$23,0))*parametros_manuales!$E$95+parametros_manuales!$E$36*(datos_base!$G$3+datos_base!$G$19+IF(parametros_manuales!$H$36="Todos",datos_base!$G$10+datos_base!$G$24,0))*parametros_manuales!$E$100+parametros_manuales!$F$36*(datos_base!$G$4+datos_base!$G$20+IF(parametros_manuales!$H$36="Todos",datos_base!$G$11+datos_base!$G$25,0))*parametros_manuales!$E$105+parametros_manuales!$G$36*(datos_base!$G$5+datos_base!$G$21+IF(parametros_manuales!$H$36="Todos",datos_base!$G$12+datos_base!$G$26,0))*parametros_manuales!$E$110)*parametros_manuales!$I$36*parametros_manuales!$J$36</f>
        <v>483.06286488575</v>
      </c>
      <c r="F154" s="9" t="n">
        <f aca="false">(parametros_manuales!$D$36*(datos_base!$G$2+datos_base!$G$18+IF(parametros_manuales!$H$36="Todos",datos_base!$G$9+datos_base!$G$23,0))*parametros_manuales!$F$95+parametros_manuales!$E$36*(datos_base!$G$3+datos_base!$G$19+IF(parametros_manuales!$H$36="Todos",datos_base!$G$10+datos_base!$G$24,0))*parametros_manuales!$F$100+parametros_manuales!$F$36*(datos_base!$G$4+datos_base!$G$20+IF(parametros_manuales!$H$36="Todos",datos_base!$G$11+datos_base!$G$25,0))*parametros_manuales!$F$105+parametros_manuales!$G$36*(datos_base!$G$5+datos_base!$G$21+IF(parametros_manuales!$H$36="Todos",datos_base!$G$12+datos_base!$G$26,0))*parametros_manuales!$F$110)*parametros_manuales!$I$36*parametros_manuales!$J$36</f>
        <v>452.079741861</v>
      </c>
      <c r="G154" s="9" t="n">
        <f aca="false">(parametros_manuales!$D$36*(datos_base!$G$2+datos_base!$G$18+IF(parametros_manuales!$H$36="Todos",datos_base!$G$9+datos_base!$G$23,0))*parametros_manuales!$G$95+parametros_manuales!$E$36*(datos_base!$G$3+datos_base!$G$19+IF(parametros_manuales!$H$36="Todos",datos_base!$G$10+datos_base!$G$24,0))*parametros_manuales!$G$100+parametros_manuales!$F$36*(datos_base!$G$4+datos_base!$G$20+IF(parametros_manuales!$H$36="Todos",datos_base!$G$11+datos_base!$G$25,0))*parametros_manuales!$G$105+parametros_manuales!$G$36*(datos_base!$G$5+datos_base!$G$21+IF(parametros_manuales!$H$36="Todos",datos_base!$G$12+datos_base!$G$26,0))*parametros_manuales!$G$110)*parametros_manuales!$I$36*parametros_manuales!$J$36</f>
        <v>442.92173210375</v>
      </c>
      <c r="H154" s="9" t="n">
        <f aca="false">(parametros_manuales!$D$36*(datos_base!$G$2+datos_base!$G$18+IF(parametros_manuales!$H$36="Todos",datos_base!$G$9+datos_base!$G$23,0))*parametros_manuales!$H$95+parametros_manuales!$E$36*(datos_base!$G$3+datos_base!$G$19+IF(parametros_manuales!$H$36="Todos",datos_base!$G$10+datos_base!$G$24,0))*parametros_manuales!$H$100+parametros_manuales!$F$36*(datos_base!$G$4+datos_base!$G$20+IF(parametros_manuales!$H$36="Todos",datos_base!$G$11+datos_base!$G$25,0))*parametros_manuales!$H$105+parametros_manuales!$G$36*(datos_base!$G$5+datos_base!$G$21+IF(parametros_manuales!$H$36="Todos",datos_base!$G$12+datos_base!$G$26,0))*parametros_manuales!$H$110)*parametros_manuales!$I$36*parametros_manuales!$J$36</f>
        <v>473.9048551285</v>
      </c>
      <c r="I154" s="9" t="n">
        <f aca="false">(parametros_manuales!$D$36*(datos_base!$G$2+datos_base!$G$18+IF(parametros_manuales!$H$36="Todos",datos_base!$G$9+datos_base!$G$23,0))*parametros_manuales!$I$95+parametros_manuales!$E$36*(datos_base!$G$3+datos_base!$G$19+IF(parametros_manuales!$H$36="Todos",datos_base!$G$10+datos_base!$G$24,0))*parametros_manuales!$I$100+parametros_manuales!$F$36*(datos_base!$G$4+datos_base!$G$20+IF(parametros_manuales!$H$36="Todos",datos_base!$G$11+datos_base!$G$25,0))*parametros_manuales!$I$105+parametros_manuales!$G$36*(datos_base!$G$5+datos_base!$G$21+IF(parametros_manuales!$H$36="Todos",datos_base!$G$12+datos_base!$G$26,0))*parametros_manuales!$I$110)*parametros_manuales!$I$36*parametros_manuales!$J$36</f>
        <v>539.380194931</v>
      </c>
      <c r="J154" s="9" t="n">
        <f aca="false">(parametros_manuales!$D$36*(datos_base!$G$2+datos_base!$G$18+IF(parametros_manuales!$H$36="Todos",datos_base!$G$9+datos_base!$G$23,0))*parametros_manuales!$J$95+parametros_manuales!$E$36*(datos_base!$G$3+datos_base!$G$19+IF(parametros_manuales!$H$36="Todos",datos_base!$G$10+datos_base!$G$24,0))*parametros_manuales!$J$100+parametros_manuales!$F$36*(datos_base!$G$4+datos_base!$G$20+IF(parametros_manuales!$H$36="Todos",datos_base!$G$11+datos_base!$G$25,0))*parametros_manuales!$J$105+parametros_manuales!$G$36*(datos_base!$G$5+datos_base!$G$21+IF(parametros_manuales!$H$36="Todos",datos_base!$G$12+datos_base!$G$26,0))*parametros_manuales!$J$110)*parametros_manuales!$I$36*parametros_manuales!$J$36</f>
        <v>539.380194931</v>
      </c>
      <c r="K154" s="9" t="n">
        <f aca="false">(parametros_manuales!$D$36*(datos_base!$G$2+datos_base!$G$18+IF(parametros_manuales!$H$36="Todos",datos_base!$G$9+datos_base!$G$23,0))*parametros_manuales!$K$95+parametros_manuales!$E$36*(datos_base!$G$3+datos_base!$G$19+IF(parametros_manuales!$H$36="Todos",datos_base!$G$10+datos_base!$G$24,0))*parametros_manuales!$K$100+parametros_manuales!$F$36*(datos_base!$G$4+datos_base!$G$20+IF(parametros_manuales!$H$36="Todos",datos_base!$G$11+datos_base!$G$25,0))*parametros_manuales!$K$105+parametros_manuales!$G$36*(datos_base!$G$5+datos_base!$G$21+IF(parametros_manuales!$H$36="Todos",datos_base!$G$12+datos_base!$G$26,0))*parametros_manuales!$K$110)*parametros_manuales!$I$36*parametros_manuales!$J$36</f>
        <v>548.53820468825</v>
      </c>
      <c r="L154" s="9" t="n">
        <f aca="false">(parametros_manuales!$D$36*(datos_base!$G$2+datos_base!$G$18+IF(parametros_manuales!$H$36="Todos",datos_base!$G$9+datos_base!$G$23,0))*parametros_manuales!$L$95+parametros_manuales!$E$36*(datos_base!$G$3+datos_base!$G$19+IF(parametros_manuales!$H$36="Todos",datos_base!$G$10+datos_base!$G$24,0))*parametros_manuales!$L$100+parametros_manuales!$F$36*(datos_base!$G$4+datos_base!$G$20+IF(parametros_manuales!$H$36="Todos",datos_base!$G$11+datos_base!$G$25,0))*parametros_manuales!$L$105+parametros_manuales!$G$36*(datos_base!$G$5+datos_base!$G$21+IF(parametros_manuales!$H$36="Todos",datos_base!$G$12+datos_base!$G$26,0))*parametros_manuales!$L$110)*parametros_manuales!$I$36*parametros_manuales!$J$36</f>
        <v>557.6962144455</v>
      </c>
      <c r="M154" s="9" t="n">
        <f aca="false">(parametros_manuales!$D$36*(datos_base!$G$2+datos_base!$G$18+IF(parametros_manuales!$H$36="Todos",datos_base!$G$9+datos_base!$G$23,0))*parametros_manuales!$M$95+parametros_manuales!$E$36*(datos_base!$G$3+datos_base!$G$19+IF(parametros_manuales!$H$36="Todos",datos_base!$G$10+datos_base!$G$24,0))*parametros_manuales!$M$100+parametros_manuales!$F$36*(datos_base!$G$4+datos_base!$G$20+IF(parametros_manuales!$H$36="Todos",datos_base!$G$11+datos_base!$G$25,0))*parametros_manuales!$M$105+parametros_manuales!$G$36*(datos_base!$G$5+datos_base!$G$21+IF(parametros_manuales!$H$36="Todos",datos_base!$G$12+datos_base!$G$26,0))*parametros_manuales!$M$110)*parametros_manuales!$I$36*parametros_manuales!$J$36</f>
        <v>557.6962144455</v>
      </c>
      <c r="N154" s="9" t="n">
        <f aca="false">SUM(B154:M154)</f>
        <v>6196.62460495</v>
      </c>
      <c r="O154" s="9" t="n">
        <f aca="false">MAX(B154:M154)</f>
        <v>557.6962144455</v>
      </c>
      <c r="P154" s="43" t="n">
        <f aca="false">O154/(parametros_manuales!$B$7)</f>
        <v>3.71797476297</v>
      </c>
      <c r="Q154" s="8" t="str">
        <f aca="false">IF(O154=0,"-",INDEX($B$136:$M$136,MATCH(O154,B154:M154,0)))</f>
        <v>Ene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datos_base!$G$2+datos_base!$G$18+IF(parametros_manuales!$H$37="Todos",datos_base!$G$9+datos_base!$G$23,0))*parametros_manuales!$B$95+parametros_manuales!$E$37*(datos_base!$G$3+datos_base!$G$19+IF(parametros_manuales!$H$37="Todos",datos_base!$G$10+datos_base!$G$24,0))*parametros_manuales!$B$100+parametros_manuales!$F$37*(datos_base!$G$4+datos_base!$G$20+IF(parametros_manuales!$H$37="Todos",datos_base!$G$11+datos_base!$G$25,0))*parametros_manuales!$B$105+parametros_manuales!$G$37*(datos_base!$G$5+datos_base!$G$21+IF(parametros_manuales!$H$37="Todos",datos_base!$G$12+datos_base!$G$26,0))*parametros_manuales!$B$110)*parametros_manuales!$I$37*parametros_manuales!$J$37</f>
        <v>11153.92428891</v>
      </c>
      <c r="C155" s="9" t="n">
        <f aca="false">(parametros_manuales!$D$37*(datos_base!$G$2+datos_base!$G$18+IF(parametros_manuales!$H$37="Todos",datos_base!$G$9+datos_base!$G$23,0))*parametros_manuales!$C$95+parametros_manuales!$E$37*(datos_base!$G$3+datos_base!$G$19+IF(parametros_manuales!$H$37="Todos",datos_base!$G$10+datos_base!$G$24,0))*parametros_manuales!$C$100+parametros_manuales!$F$37*(datos_base!$G$4+datos_base!$G$20+IF(parametros_manuales!$H$37="Todos",datos_base!$G$11+datos_base!$G$25,0))*parametros_manuales!$C$105+parametros_manuales!$G$37*(datos_base!$G$5+datos_base!$G$21+IF(parametros_manuales!$H$37="Todos",datos_base!$G$12+datos_base!$G$26,0))*parametros_manuales!$C$110)*parametros_manuales!$I$37*parametros_manuales!$J$37</f>
        <v>10787.60389862</v>
      </c>
      <c r="D155" s="9" t="n">
        <f aca="false">(parametros_manuales!$D$37*(datos_base!$G$2+datos_base!$G$18+IF(parametros_manuales!$H$37="Todos",datos_base!$G$9+datos_base!$G$23,0))*parametros_manuales!$D$95+parametros_manuales!$E$37*(datos_base!$G$3+datos_base!$G$19+IF(parametros_manuales!$H$37="Todos",datos_base!$G$10+datos_base!$G$24,0))*parametros_manuales!$D$100+parametros_manuales!$F$37*(datos_base!$G$4+datos_base!$G$20+IF(parametros_manuales!$H$37="Todos",datos_base!$G$11+datos_base!$G$25,0))*parametros_manuales!$D$105+parametros_manuales!$G$37*(datos_base!$G$5+datos_base!$G$21+IF(parametros_manuales!$H$37="Todos",datos_base!$G$12+datos_base!$G$26,0))*parametros_manuales!$D$110)*parametros_manuales!$I$37*parametros_manuales!$J$37</f>
        <v>10097.759563065</v>
      </c>
      <c r="E155" s="9" t="n">
        <f aca="false">(parametros_manuales!$D$37*(datos_base!$G$2+datos_base!$G$18+IF(parametros_manuales!$H$37="Todos",datos_base!$G$9+datos_base!$G$23,0))*parametros_manuales!$E$95+parametros_manuales!$E$37*(datos_base!$G$3+datos_base!$G$19+IF(parametros_manuales!$H$37="Todos",datos_base!$G$10+datos_base!$G$24,0))*parametros_manuales!$E$100+parametros_manuales!$F$37*(datos_base!$G$4+datos_base!$G$20+IF(parametros_manuales!$H$37="Todos",datos_base!$G$11+datos_base!$G$25,0))*parametros_manuales!$E$105+parametros_manuales!$G$37*(datos_base!$G$5+datos_base!$G$21+IF(parametros_manuales!$H$37="Todos",datos_base!$G$12+datos_base!$G$26,0))*parametros_manuales!$E$110)*parametros_manuales!$I$37*parametros_manuales!$J$37</f>
        <v>9661.257297715</v>
      </c>
      <c r="F155" s="9" t="n">
        <f aca="false">(parametros_manuales!$D$37*(datos_base!$G$2+datos_base!$G$18+IF(parametros_manuales!$H$37="Todos",datos_base!$G$9+datos_base!$G$23,0))*parametros_manuales!$F$95+parametros_manuales!$E$37*(datos_base!$G$3+datos_base!$G$19+IF(parametros_manuales!$H$37="Todos",datos_base!$G$10+datos_base!$G$24,0))*parametros_manuales!$F$100+parametros_manuales!$F$37*(datos_base!$G$4+datos_base!$G$20+IF(parametros_manuales!$H$37="Todos",datos_base!$G$11+datos_base!$G$25,0))*parametros_manuales!$F$105+parametros_manuales!$G$37*(datos_base!$G$5+datos_base!$G$21+IF(parametros_manuales!$H$37="Todos",datos_base!$G$12+datos_base!$G$26,0))*parametros_manuales!$F$110)*parametros_manuales!$I$37*parametros_manuales!$J$37</f>
        <v>9041.59483722</v>
      </c>
      <c r="G155" s="9" t="n">
        <f aca="false">(parametros_manuales!$D$37*(datos_base!$G$2+datos_base!$G$18+IF(parametros_manuales!$H$37="Todos",datos_base!$G$9+datos_base!$G$23,0))*parametros_manuales!$G$95+parametros_manuales!$E$37*(datos_base!$G$3+datos_base!$G$19+IF(parametros_manuales!$H$37="Todos",datos_base!$G$10+datos_base!$G$24,0))*parametros_manuales!$G$100+parametros_manuales!$F$37*(datos_base!$G$4+datos_base!$G$20+IF(parametros_manuales!$H$37="Todos",datos_base!$G$11+datos_base!$G$25,0))*parametros_manuales!$G$105+parametros_manuales!$G$37*(datos_base!$G$5+datos_base!$G$21+IF(parametros_manuales!$H$37="Todos",datos_base!$G$12+datos_base!$G$26,0))*parametros_manuales!$G$110)*parametros_manuales!$I$37*parametros_manuales!$J$37</f>
        <v>8858.434642075</v>
      </c>
      <c r="H155" s="9" t="n">
        <f aca="false">(parametros_manuales!$D$37*(datos_base!$G$2+datos_base!$G$18+IF(parametros_manuales!$H$37="Todos",datos_base!$G$9+datos_base!$G$23,0))*parametros_manuales!$H$95+parametros_manuales!$E$37*(datos_base!$G$3+datos_base!$G$19+IF(parametros_manuales!$H$37="Todos",datos_base!$G$10+datos_base!$G$24,0))*parametros_manuales!$H$100+parametros_manuales!$F$37*(datos_base!$G$4+datos_base!$G$20+IF(parametros_manuales!$H$37="Todos",datos_base!$G$11+datos_base!$G$25,0))*parametros_manuales!$H$105+parametros_manuales!$G$37*(datos_base!$G$5+datos_base!$G$21+IF(parametros_manuales!$H$37="Todos",datos_base!$G$12+datos_base!$G$26,0))*parametros_manuales!$H$110)*parametros_manuales!$I$37*parametros_manuales!$J$37</f>
        <v>9478.09710257</v>
      </c>
      <c r="I155" s="9" t="n">
        <f aca="false">(parametros_manuales!$D$37*(datos_base!$G$2+datos_base!$G$18+IF(parametros_manuales!$H$37="Todos",datos_base!$G$9+datos_base!$G$23,0))*parametros_manuales!$I$95+parametros_manuales!$E$37*(datos_base!$G$3+datos_base!$G$19+IF(parametros_manuales!$H$37="Todos",datos_base!$G$10+datos_base!$G$24,0))*parametros_manuales!$I$100+parametros_manuales!$F$37*(datos_base!$G$4+datos_base!$G$20+IF(parametros_manuales!$H$37="Todos",datos_base!$G$11+datos_base!$G$25,0))*parametros_manuales!$I$105+parametros_manuales!$G$37*(datos_base!$G$5+datos_base!$G$21+IF(parametros_manuales!$H$37="Todos",datos_base!$G$12+datos_base!$G$26,0))*parametros_manuales!$I$110)*parametros_manuales!$I$37*parametros_manuales!$J$37</f>
        <v>10787.60389862</v>
      </c>
      <c r="J155" s="9" t="n">
        <f aca="false">(parametros_manuales!$D$37*(datos_base!$G$2+datos_base!$G$18+IF(parametros_manuales!$H$37="Todos",datos_base!$G$9+datos_base!$G$23,0))*parametros_manuales!$J$95+parametros_manuales!$E$37*(datos_base!$G$3+datos_base!$G$19+IF(parametros_manuales!$H$37="Todos",datos_base!$G$10+datos_base!$G$24,0))*parametros_manuales!$J$100+parametros_manuales!$F$37*(datos_base!$G$4+datos_base!$G$20+IF(parametros_manuales!$H$37="Todos",datos_base!$G$11+datos_base!$G$25,0))*parametros_manuales!$J$105+parametros_manuales!$G$37*(datos_base!$G$5+datos_base!$G$21+IF(parametros_manuales!$H$37="Todos",datos_base!$G$12+datos_base!$G$26,0))*parametros_manuales!$J$110)*parametros_manuales!$I$37*parametros_manuales!$J$37</f>
        <v>10787.60389862</v>
      </c>
      <c r="K155" s="9" t="n">
        <f aca="false">(parametros_manuales!$D$37*(datos_base!$G$2+datos_base!$G$18+IF(parametros_manuales!$H$37="Todos",datos_base!$G$9+datos_base!$G$23,0))*parametros_manuales!$K$95+parametros_manuales!$E$37*(datos_base!$G$3+datos_base!$G$19+IF(parametros_manuales!$H$37="Todos",datos_base!$G$10+datos_base!$G$24,0))*parametros_manuales!$K$100+parametros_manuales!$F$37*(datos_base!$G$4+datos_base!$G$20+IF(parametros_manuales!$H$37="Todos",datos_base!$G$11+datos_base!$G$25,0))*parametros_manuales!$K$105+parametros_manuales!$G$37*(datos_base!$G$5+datos_base!$G$21+IF(parametros_manuales!$H$37="Todos",datos_base!$G$12+datos_base!$G$26,0))*parametros_manuales!$K$110)*parametros_manuales!$I$37*parametros_manuales!$J$37</f>
        <v>10970.764093765</v>
      </c>
      <c r="L155" s="9" t="n">
        <f aca="false">(parametros_manuales!$D$37*(datos_base!$G$2+datos_base!$G$18+IF(parametros_manuales!$H$37="Todos",datos_base!$G$9+datos_base!$G$23,0))*parametros_manuales!$L$95+parametros_manuales!$E$37*(datos_base!$G$3+datos_base!$G$19+IF(parametros_manuales!$H$37="Todos",datos_base!$G$10+datos_base!$G$24,0))*parametros_manuales!$L$100+parametros_manuales!$F$37*(datos_base!$G$4+datos_base!$G$20+IF(parametros_manuales!$H$37="Todos",datos_base!$G$11+datos_base!$G$25,0))*parametros_manuales!$L$105+parametros_manuales!$G$37*(datos_base!$G$5+datos_base!$G$21+IF(parametros_manuales!$H$37="Todos",datos_base!$G$12+datos_base!$G$26,0))*parametros_manuales!$L$110)*parametros_manuales!$I$37*parametros_manuales!$J$37</f>
        <v>11153.92428891</v>
      </c>
      <c r="M155" s="9" t="n">
        <f aca="false">(parametros_manuales!$D$37*(datos_base!$G$2+datos_base!$G$18+IF(parametros_manuales!$H$37="Todos",datos_base!$G$9+datos_base!$G$23,0))*parametros_manuales!$M$95+parametros_manuales!$E$37*(datos_base!$G$3+datos_base!$G$19+IF(parametros_manuales!$H$37="Todos",datos_base!$G$10+datos_base!$G$24,0))*parametros_manuales!$M$100+parametros_manuales!$F$37*(datos_base!$G$4+datos_base!$G$20+IF(parametros_manuales!$H$37="Todos",datos_base!$G$11+datos_base!$G$25,0))*parametros_manuales!$M$105+parametros_manuales!$G$37*(datos_base!$G$5+datos_base!$G$21+IF(parametros_manuales!$H$37="Todos",datos_base!$G$12+datos_base!$G$26,0))*parametros_manuales!$M$110)*parametros_manuales!$I$37*parametros_manuales!$J$37</f>
        <v>11153.92428891</v>
      </c>
      <c r="N155" s="9" t="n">
        <f aca="false">SUM(B155:M155)</f>
        <v>123932.492099</v>
      </c>
      <c r="O155" s="9" t="n">
        <f aca="false">MAX(B155:M155)</f>
        <v>11153.92428891</v>
      </c>
      <c r="P155" s="43" t="n">
        <f aca="false">O155/(parametros_manuales!$B$7)</f>
        <v>74.3594952594</v>
      </c>
      <c r="Q155" s="8" t="str">
        <f aca="false">IF(O155=0,"-",INDEX($B$136:$M$136,MATCH(O155,B155:M155,0)))</f>
        <v>Ene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datos_base!$G$2+datos_base!$G$18+IF(parametros_manuales!$H$38="Todos",datos_base!$G$9+datos_base!$G$23,0))*parametros_manuales!$B$95+parametros_manuales!$E$38*(datos_base!$G$3+datos_base!$G$19+IF(parametros_manuales!$H$38="Todos",datos_base!$G$10+datos_base!$G$24,0))*parametros_manuales!$B$100+parametros_manuales!$F$38*(datos_base!$G$4+datos_base!$G$20+IF(parametros_manuales!$H$38="Todos",datos_base!$G$11+datos_base!$G$25,0))*parametros_manuales!$B$105+parametros_manuales!$G$38*(datos_base!$G$5+datos_base!$G$21+IF(parametros_manuales!$H$38="Todos",datos_base!$G$12+datos_base!$G$26,0))*parametros_manuales!$B$110)*parametros_manuales!$I$38*parametros_manuales!$J$38</f>
        <v>3104.85708891</v>
      </c>
      <c r="C156" s="9" t="n">
        <f aca="false">(parametros_manuales!$D$38*(datos_base!$G$2+datos_base!$G$18+IF(parametros_manuales!$H$38="Todos",datos_base!$G$9+datos_base!$G$23,0))*parametros_manuales!$C$95+parametros_manuales!$E$38*(datos_base!$G$3+datos_base!$G$19+IF(parametros_manuales!$H$38="Todos",datos_base!$G$10+datos_base!$G$24,0))*parametros_manuales!$C$100+parametros_manuales!$F$38*(datos_base!$G$4+datos_base!$G$20+IF(parametros_manuales!$H$38="Todos",datos_base!$G$11+datos_base!$G$25,0))*parametros_manuales!$C$105+parametros_manuales!$G$38*(datos_base!$G$5+datos_base!$G$21+IF(parametros_manuales!$H$38="Todos",datos_base!$G$12+datos_base!$G$26,0))*parametros_manuales!$C$110)*parametros_manuales!$I$38*parametros_manuales!$J$38</f>
        <v>2916.07549862</v>
      </c>
      <c r="D156" s="9" t="n">
        <f aca="false">(parametros_manuales!$D$38*(datos_base!$G$2+datos_base!$G$18+IF(parametros_manuales!$H$38="Todos",datos_base!$G$9+datos_base!$G$23,0))*parametros_manuales!$D$95+parametros_manuales!$E$38*(datos_base!$G$3+datos_base!$G$19+IF(parametros_manuales!$H$38="Todos",datos_base!$G$10+datos_base!$G$24,0))*parametros_manuales!$D$100+parametros_manuales!$F$38*(datos_base!$G$4+datos_base!$G$20+IF(parametros_manuales!$H$38="Todos",datos_base!$G$11+datos_base!$G$25,0))*parametros_manuales!$D$105+parametros_manuales!$G$38*(datos_base!$G$5+datos_base!$G$21+IF(parametros_manuales!$H$38="Todos",datos_base!$G$12+datos_base!$G$26,0))*parametros_manuales!$D$110)*parametros_manuales!$I$38*parametros_manuales!$J$38</f>
        <v>2854.263763065</v>
      </c>
      <c r="E156" s="9" t="n">
        <f aca="false">(parametros_manuales!$D$38*(datos_base!$G$2+datos_base!$G$18+IF(parametros_manuales!$H$38="Todos",datos_base!$G$9+datos_base!$G$23,0))*parametros_manuales!$E$95+parametros_manuales!$E$38*(datos_base!$G$3+datos_base!$G$19+IF(parametros_manuales!$H$38="Todos",datos_base!$G$10+datos_base!$G$24,0))*parametros_manuales!$E$100+parametros_manuales!$F$38*(datos_base!$G$4+datos_base!$G$20+IF(parametros_manuales!$H$38="Todos",datos_base!$G$11+datos_base!$G$25,0))*parametros_manuales!$E$105+parametros_manuales!$G$38*(datos_base!$G$5+datos_base!$G$21+IF(parametros_manuales!$H$38="Todos",datos_base!$G$12+datos_base!$G$26,0))*parametros_manuales!$E$110)*parametros_manuales!$I$38*parametros_manuales!$J$38</f>
        <v>2776.162497715</v>
      </c>
      <c r="F156" s="9" t="n">
        <f aca="false">(parametros_manuales!$D$38*(datos_base!$G$2+datos_base!$G$18+IF(parametros_manuales!$H$38="Todos",datos_base!$G$9+datos_base!$G$23,0))*parametros_manuales!$F$95+parametros_manuales!$E$38*(datos_base!$G$3+datos_base!$G$19+IF(parametros_manuales!$H$38="Todos",datos_base!$G$10+datos_base!$G$24,0))*parametros_manuales!$F$100+parametros_manuales!$F$38*(datos_base!$G$4+datos_base!$G$20+IF(parametros_manuales!$H$38="Todos",datos_base!$G$11+datos_base!$G$25,0))*parametros_manuales!$F$105+parametros_manuales!$G$38*(datos_base!$G$5+datos_base!$G$21+IF(parametros_manuales!$H$38="Todos",datos_base!$G$12+datos_base!$G$26,0))*parametros_manuales!$F$110)*parametros_manuales!$I$38*parametros_manuales!$J$38</f>
        <v>2603.67043722</v>
      </c>
      <c r="G156" s="9" t="n">
        <f aca="false">(parametros_manuales!$D$38*(datos_base!$G$2+datos_base!$G$18+IF(parametros_manuales!$H$38="Todos",datos_base!$G$9+datos_base!$G$23,0))*parametros_manuales!$G$95+parametros_manuales!$E$38*(datos_base!$G$3+datos_base!$G$19+IF(parametros_manuales!$H$38="Todos",datos_base!$G$10+datos_base!$G$24,0))*parametros_manuales!$G$100+parametros_manuales!$F$38*(datos_base!$G$4+datos_base!$G$20+IF(parametros_manuales!$H$38="Todos",datos_base!$G$11+datos_base!$G$25,0))*parametros_manuales!$G$105+parametros_manuales!$G$38*(datos_base!$G$5+datos_base!$G$21+IF(parametros_manuales!$H$38="Todos",datos_base!$G$12+datos_base!$G$26,0))*parametros_manuales!$G$110)*parametros_manuales!$I$38*parametros_manuales!$J$38</f>
        <v>2509.279642075</v>
      </c>
      <c r="H156" s="9" t="n">
        <f aca="false">(parametros_manuales!$D$38*(datos_base!$G$2+datos_base!$G$18+IF(parametros_manuales!$H$38="Todos",datos_base!$G$9+datos_base!$G$23,0))*parametros_manuales!$H$95+parametros_manuales!$E$38*(datos_base!$G$3+datos_base!$G$19+IF(parametros_manuales!$H$38="Todos",datos_base!$G$10+datos_base!$G$24,0))*parametros_manuales!$H$100+parametros_manuales!$F$38*(datos_base!$G$4+datos_base!$G$20+IF(parametros_manuales!$H$38="Todos",datos_base!$G$11+datos_base!$G$25,0))*parametros_manuales!$H$105+parametros_manuales!$G$38*(datos_base!$G$5+datos_base!$G$21+IF(parametros_manuales!$H$38="Todos",datos_base!$G$12+datos_base!$G$26,0))*parametros_manuales!$H$110)*parametros_manuales!$I$38*parametros_manuales!$J$38</f>
        <v>2681.77170257</v>
      </c>
      <c r="I156" s="9" t="n">
        <f aca="false">(parametros_manuales!$D$38*(datos_base!$G$2+datos_base!$G$18+IF(parametros_manuales!$H$38="Todos",datos_base!$G$9+datos_base!$G$23,0))*parametros_manuales!$I$95+parametros_manuales!$E$38*(datos_base!$G$3+datos_base!$G$19+IF(parametros_manuales!$H$38="Todos",datos_base!$G$10+datos_base!$G$24,0))*parametros_manuales!$I$100+parametros_manuales!$F$38*(datos_base!$G$4+datos_base!$G$20+IF(parametros_manuales!$H$38="Todos",datos_base!$G$11+datos_base!$G$25,0))*parametros_manuales!$I$105+parametros_manuales!$G$38*(datos_base!$G$5+datos_base!$G$21+IF(parametros_manuales!$H$38="Todos",datos_base!$G$12+datos_base!$G$26,0))*parametros_manuales!$I$110)*parametros_manuales!$I$38*parametros_manuales!$J$38</f>
        <v>2916.07549862</v>
      </c>
      <c r="J156" s="9" t="n">
        <f aca="false">(parametros_manuales!$D$38*(datos_base!$G$2+datos_base!$G$18+IF(parametros_manuales!$H$38="Todos",datos_base!$G$9+datos_base!$G$23,0))*parametros_manuales!$J$95+parametros_manuales!$E$38*(datos_base!$G$3+datos_base!$G$19+IF(parametros_manuales!$H$38="Todos",datos_base!$G$10+datos_base!$G$24,0))*parametros_manuales!$J$100+parametros_manuales!$F$38*(datos_base!$G$4+datos_base!$G$20+IF(parametros_manuales!$H$38="Todos",datos_base!$G$11+datos_base!$G$25,0))*parametros_manuales!$J$105+parametros_manuales!$G$38*(datos_base!$G$5+datos_base!$G$21+IF(parametros_manuales!$H$38="Todos",datos_base!$G$12+datos_base!$G$26,0))*parametros_manuales!$J$110)*parametros_manuales!$I$38*parametros_manuales!$J$38</f>
        <v>2916.07549862</v>
      </c>
      <c r="K156" s="9" t="n">
        <f aca="false">(parametros_manuales!$D$38*(datos_base!$G$2+datos_base!$G$18+IF(parametros_manuales!$H$38="Todos",datos_base!$G$9+datos_base!$G$23,0))*parametros_manuales!$K$95+parametros_manuales!$E$38*(datos_base!$G$3+datos_base!$G$19+IF(parametros_manuales!$H$38="Todos",datos_base!$G$10+datos_base!$G$24,0))*parametros_manuales!$K$100+parametros_manuales!$F$38*(datos_base!$G$4+datos_base!$G$20+IF(parametros_manuales!$H$38="Todos",datos_base!$G$11+datos_base!$G$25,0))*parametros_manuales!$K$105+parametros_manuales!$G$38*(datos_base!$G$5+datos_base!$G$21+IF(parametros_manuales!$H$38="Todos",datos_base!$G$12+datos_base!$G$26,0))*parametros_manuales!$K$110)*parametros_manuales!$I$38*parametros_manuales!$J$38</f>
        <v>3010.466293765</v>
      </c>
      <c r="L156" s="9" t="n">
        <f aca="false">(parametros_manuales!$D$38*(datos_base!$G$2+datos_base!$G$18+IF(parametros_manuales!$H$38="Todos",datos_base!$G$9+datos_base!$G$23,0))*parametros_manuales!$L$95+parametros_manuales!$E$38*(datos_base!$G$3+datos_base!$G$19+IF(parametros_manuales!$H$38="Todos",datos_base!$G$10+datos_base!$G$24,0))*parametros_manuales!$L$100+parametros_manuales!$F$38*(datos_base!$G$4+datos_base!$G$20+IF(parametros_manuales!$H$38="Todos",datos_base!$G$11+datos_base!$G$25,0))*parametros_manuales!$L$105+parametros_manuales!$G$38*(datos_base!$G$5+datos_base!$G$21+IF(parametros_manuales!$H$38="Todos",datos_base!$G$12+datos_base!$G$26,0))*parametros_manuales!$L$110)*parametros_manuales!$I$38*parametros_manuales!$J$38</f>
        <v>3104.85708891</v>
      </c>
      <c r="M156" s="9" t="n">
        <f aca="false">(parametros_manuales!$D$38*(datos_base!$G$2+datos_base!$G$18+IF(parametros_manuales!$H$38="Todos",datos_base!$G$9+datos_base!$G$23,0))*parametros_manuales!$M$95+parametros_manuales!$E$38*(datos_base!$G$3+datos_base!$G$19+IF(parametros_manuales!$H$38="Todos",datos_base!$G$10+datos_base!$G$24,0))*parametros_manuales!$M$100+parametros_manuales!$F$38*(datos_base!$G$4+datos_base!$G$20+IF(parametros_manuales!$H$38="Todos",datos_base!$G$11+datos_base!$G$25,0))*parametros_manuales!$M$105+parametros_manuales!$G$38*(datos_base!$G$5+datos_base!$G$21+IF(parametros_manuales!$H$38="Todos",datos_base!$G$12+datos_base!$G$26,0))*parametros_manuales!$M$110)*parametros_manuales!$I$38*parametros_manuales!$J$38</f>
        <v>3104.85708891</v>
      </c>
      <c r="N156" s="9" t="n">
        <f aca="false">SUM(B156:M156)</f>
        <v>34498.412099</v>
      </c>
      <c r="O156" s="9" t="n">
        <f aca="false">MAX(B156:M156)</f>
        <v>3104.85708891</v>
      </c>
      <c r="P156" s="43" t="n">
        <f aca="false">O156/(parametros_manuales!$B$7)</f>
        <v>20.6990472594</v>
      </c>
      <c r="Q156" s="8" t="str">
        <f aca="false">IF(O156=0,"-",INDEX($B$136:$M$136,MATCH(O156,B156:M156,0)))</f>
        <v>Ene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datos_base!$G$2+datos_base!$G$18+IF(parametros_manuales!$H$39="Todos",datos_base!$G$9+datos_base!$G$23,0))*parametros_manuales!$B$95+parametros_manuales!$E$39*(datos_base!$G$3+datos_base!$G$19+IF(parametros_manuales!$H$39="Todos",datos_base!$G$10+datos_base!$G$24,0))*parametros_manuales!$B$100+parametros_manuales!$F$39*(datos_base!$G$4+datos_base!$G$20+IF(parametros_manuales!$H$39="Todos",datos_base!$G$11+datos_base!$G$25,0))*parametros_manuales!$B$105+parametros_manuales!$G$39*(datos_base!$G$5+datos_base!$G$21+IF(parametros_manuales!$H$39="Todos",datos_base!$G$12+datos_base!$G$26,0))*parametros_manuales!$B$110)*parametros_manuales!$I$39*parametros_manuales!$J$39</f>
        <v>3104.85708891</v>
      </c>
      <c r="C157" s="9" t="n">
        <f aca="false">(parametros_manuales!$D$39*(datos_base!$G$2+datos_base!$G$18+IF(parametros_manuales!$H$39="Todos",datos_base!$G$9+datos_base!$G$23,0))*parametros_manuales!$C$95+parametros_manuales!$E$39*(datos_base!$G$3+datos_base!$G$19+IF(parametros_manuales!$H$39="Todos",datos_base!$G$10+datos_base!$G$24,0))*parametros_manuales!$C$100+parametros_manuales!$F$39*(datos_base!$G$4+datos_base!$G$20+IF(parametros_manuales!$H$39="Todos",datos_base!$G$11+datos_base!$G$25,0))*parametros_manuales!$C$105+parametros_manuales!$G$39*(datos_base!$G$5+datos_base!$G$21+IF(parametros_manuales!$H$39="Todos",datos_base!$G$12+datos_base!$G$26,0))*parametros_manuales!$C$110)*parametros_manuales!$I$39*parametros_manuales!$J$39</f>
        <v>2916.07549862</v>
      </c>
      <c r="D157" s="9" t="n">
        <f aca="false">(parametros_manuales!$D$39*(datos_base!$G$2+datos_base!$G$18+IF(parametros_manuales!$H$39="Todos",datos_base!$G$9+datos_base!$G$23,0))*parametros_manuales!$D$95+parametros_manuales!$E$39*(datos_base!$G$3+datos_base!$G$19+IF(parametros_manuales!$H$39="Todos",datos_base!$G$10+datos_base!$G$24,0))*parametros_manuales!$D$100+parametros_manuales!$F$39*(datos_base!$G$4+datos_base!$G$20+IF(parametros_manuales!$H$39="Todos",datos_base!$G$11+datos_base!$G$25,0))*parametros_manuales!$D$105+parametros_manuales!$G$39*(datos_base!$G$5+datos_base!$G$21+IF(parametros_manuales!$H$39="Todos",datos_base!$G$12+datos_base!$G$26,0))*parametros_manuales!$D$110)*parametros_manuales!$I$39*parametros_manuales!$J$39</f>
        <v>2854.263763065</v>
      </c>
      <c r="E157" s="9" t="n">
        <f aca="false">(parametros_manuales!$D$39*(datos_base!$G$2+datos_base!$G$18+IF(parametros_manuales!$H$39="Todos",datos_base!$G$9+datos_base!$G$23,0))*parametros_manuales!$E$95+parametros_manuales!$E$39*(datos_base!$G$3+datos_base!$G$19+IF(parametros_manuales!$H$39="Todos",datos_base!$G$10+datos_base!$G$24,0))*parametros_manuales!$E$100+parametros_manuales!$F$39*(datos_base!$G$4+datos_base!$G$20+IF(parametros_manuales!$H$39="Todos",datos_base!$G$11+datos_base!$G$25,0))*parametros_manuales!$E$105+parametros_manuales!$G$39*(datos_base!$G$5+datos_base!$G$21+IF(parametros_manuales!$H$39="Todos",datos_base!$G$12+datos_base!$G$26,0))*parametros_manuales!$E$110)*parametros_manuales!$I$39*parametros_manuales!$J$39</f>
        <v>2776.162497715</v>
      </c>
      <c r="F157" s="9" t="n">
        <f aca="false">(parametros_manuales!$D$39*(datos_base!$G$2+datos_base!$G$18+IF(parametros_manuales!$H$39="Todos",datos_base!$G$9+datos_base!$G$23,0))*parametros_manuales!$F$95+parametros_manuales!$E$39*(datos_base!$G$3+datos_base!$G$19+IF(parametros_manuales!$H$39="Todos",datos_base!$G$10+datos_base!$G$24,0))*parametros_manuales!$F$100+parametros_manuales!$F$39*(datos_base!$G$4+datos_base!$G$20+IF(parametros_manuales!$H$39="Todos",datos_base!$G$11+datos_base!$G$25,0))*parametros_manuales!$F$105+parametros_manuales!$G$39*(datos_base!$G$5+datos_base!$G$21+IF(parametros_manuales!$H$39="Todos",datos_base!$G$12+datos_base!$G$26,0))*parametros_manuales!$F$110)*parametros_manuales!$I$39*parametros_manuales!$J$39</f>
        <v>2603.67043722</v>
      </c>
      <c r="G157" s="9" t="n">
        <f aca="false">(parametros_manuales!$D$39*(datos_base!$G$2+datos_base!$G$18+IF(parametros_manuales!$H$39="Todos",datos_base!$G$9+datos_base!$G$23,0))*parametros_manuales!$G$95+parametros_manuales!$E$39*(datos_base!$G$3+datos_base!$G$19+IF(parametros_manuales!$H$39="Todos",datos_base!$G$10+datos_base!$G$24,0))*parametros_manuales!$G$100+parametros_manuales!$F$39*(datos_base!$G$4+datos_base!$G$20+IF(parametros_manuales!$H$39="Todos",datos_base!$G$11+datos_base!$G$25,0))*parametros_manuales!$G$105+parametros_manuales!$G$39*(datos_base!$G$5+datos_base!$G$21+IF(parametros_manuales!$H$39="Todos",datos_base!$G$12+datos_base!$G$26,0))*parametros_manuales!$G$110)*parametros_manuales!$I$39*parametros_manuales!$J$39</f>
        <v>2509.279642075</v>
      </c>
      <c r="H157" s="9" t="n">
        <f aca="false">(parametros_manuales!$D$39*(datos_base!$G$2+datos_base!$G$18+IF(parametros_manuales!$H$39="Todos",datos_base!$G$9+datos_base!$G$23,0))*parametros_manuales!$H$95+parametros_manuales!$E$39*(datos_base!$G$3+datos_base!$G$19+IF(parametros_manuales!$H$39="Todos",datos_base!$G$10+datos_base!$G$24,0))*parametros_manuales!$H$100+parametros_manuales!$F$39*(datos_base!$G$4+datos_base!$G$20+IF(parametros_manuales!$H$39="Todos",datos_base!$G$11+datos_base!$G$25,0))*parametros_manuales!$H$105+parametros_manuales!$G$39*(datos_base!$G$5+datos_base!$G$21+IF(parametros_manuales!$H$39="Todos",datos_base!$G$12+datos_base!$G$26,0))*parametros_manuales!$H$110)*parametros_manuales!$I$39*parametros_manuales!$J$39</f>
        <v>2681.77170257</v>
      </c>
      <c r="I157" s="9" t="n">
        <f aca="false">(parametros_manuales!$D$39*(datos_base!$G$2+datos_base!$G$18+IF(parametros_manuales!$H$39="Todos",datos_base!$G$9+datos_base!$G$23,0))*parametros_manuales!$I$95+parametros_manuales!$E$39*(datos_base!$G$3+datos_base!$G$19+IF(parametros_manuales!$H$39="Todos",datos_base!$G$10+datos_base!$G$24,0))*parametros_manuales!$I$100+parametros_manuales!$F$39*(datos_base!$G$4+datos_base!$G$20+IF(parametros_manuales!$H$39="Todos",datos_base!$G$11+datos_base!$G$25,0))*parametros_manuales!$I$105+parametros_manuales!$G$39*(datos_base!$G$5+datos_base!$G$21+IF(parametros_manuales!$H$39="Todos",datos_base!$G$12+datos_base!$G$26,0))*parametros_manuales!$I$110)*parametros_manuales!$I$39*parametros_manuales!$J$39</f>
        <v>2916.07549862</v>
      </c>
      <c r="J157" s="9" t="n">
        <f aca="false">(parametros_manuales!$D$39*(datos_base!$G$2+datos_base!$G$18+IF(parametros_manuales!$H$39="Todos",datos_base!$G$9+datos_base!$G$23,0))*parametros_manuales!$J$95+parametros_manuales!$E$39*(datos_base!$G$3+datos_base!$G$19+IF(parametros_manuales!$H$39="Todos",datos_base!$G$10+datos_base!$G$24,0))*parametros_manuales!$J$100+parametros_manuales!$F$39*(datos_base!$G$4+datos_base!$G$20+IF(parametros_manuales!$H$39="Todos",datos_base!$G$11+datos_base!$G$25,0))*parametros_manuales!$J$105+parametros_manuales!$G$39*(datos_base!$G$5+datos_base!$G$21+IF(parametros_manuales!$H$39="Todos",datos_base!$G$12+datos_base!$G$26,0))*parametros_manuales!$J$110)*parametros_manuales!$I$39*parametros_manuales!$J$39</f>
        <v>2916.07549862</v>
      </c>
      <c r="K157" s="9" t="n">
        <f aca="false">(parametros_manuales!$D$39*(datos_base!$G$2+datos_base!$G$18+IF(parametros_manuales!$H$39="Todos",datos_base!$G$9+datos_base!$G$23,0))*parametros_manuales!$K$95+parametros_manuales!$E$39*(datos_base!$G$3+datos_base!$G$19+IF(parametros_manuales!$H$39="Todos",datos_base!$G$10+datos_base!$G$24,0))*parametros_manuales!$K$100+parametros_manuales!$F$39*(datos_base!$G$4+datos_base!$G$20+IF(parametros_manuales!$H$39="Todos",datos_base!$G$11+datos_base!$G$25,0))*parametros_manuales!$K$105+parametros_manuales!$G$39*(datos_base!$G$5+datos_base!$G$21+IF(parametros_manuales!$H$39="Todos",datos_base!$G$12+datos_base!$G$26,0))*parametros_manuales!$K$110)*parametros_manuales!$I$39*parametros_manuales!$J$39</f>
        <v>3010.466293765</v>
      </c>
      <c r="L157" s="9" t="n">
        <f aca="false">(parametros_manuales!$D$39*(datos_base!$G$2+datos_base!$G$18+IF(parametros_manuales!$H$39="Todos",datos_base!$G$9+datos_base!$G$23,0))*parametros_manuales!$L$95+parametros_manuales!$E$39*(datos_base!$G$3+datos_base!$G$19+IF(parametros_manuales!$H$39="Todos",datos_base!$G$10+datos_base!$G$24,0))*parametros_manuales!$L$100+parametros_manuales!$F$39*(datos_base!$G$4+datos_base!$G$20+IF(parametros_manuales!$H$39="Todos",datos_base!$G$11+datos_base!$G$25,0))*parametros_manuales!$L$105+parametros_manuales!$G$39*(datos_base!$G$5+datos_base!$G$21+IF(parametros_manuales!$H$39="Todos",datos_base!$G$12+datos_base!$G$26,0))*parametros_manuales!$L$110)*parametros_manuales!$I$39*parametros_manuales!$J$39</f>
        <v>3104.85708891</v>
      </c>
      <c r="M157" s="9" t="n">
        <f aca="false">(parametros_manuales!$D$39*(datos_base!$G$2+datos_base!$G$18+IF(parametros_manuales!$H$39="Todos",datos_base!$G$9+datos_base!$G$23,0))*parametros_manuales!$M$95+parametros_manuales!$E$39*(datos_base!$G$3+datos_base!$G$19+IF(parametros_manuales!$H$39="Todos",datos_base!$G$10+datos_base!$G$24,0))*parametros_manuales!$M$100+parametros_manuales!$F$39*(datos_base!$G$4+datos_base!$G$20+IF(parametros_manuales!$H$39="Todos",datos_base!$G$11+datos_base!$G$25,0))*parametros_manuales!$M$105+parametros_manuales!$G$39*(datos_base!$G$5+datos_base!$G$21+IF(parametros_manuales!$H$39="Todos",datos_base!$G$12+datos_base!$G$26,0))*parametros_manuales!$M$110)*parametros_manuales!$I$39*parametros_manuales!$J$39</f>
        <v>3104.85708891</v>
      </c>
      <c r="N157" s="9" t="n">
        <f aca="false">SUM(B157:M157)</f>
        <v>34498.412099</v>
      </c>
      <c r="O157" s="9" t="n">
        <f aca="false">MAX(B157:M157)</f>
        <v>3104.85708891</v>
      </c>
      <c r="P157" s="43" t="n">
        <f aca="false">O157/(parametros_manuales!$B$7)</f>
        <v>20.6990472594</v>
      </c>
      <c r="Q157" s="8" t="str">
        <f aca="false">IF(O157=0,"-",INDEX($B$136:$M$136,MATCH(O157,B157:M157,0)))</f>
        <v>Ene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datos_base!$G$2+datos_base!$G$18+IF(parametros_manuales!$H$40="Todos",datos_base!$G$9+datos_base!$G$23,0))*parametros_manuales!$B$95+parametros_manuales!$E$40*(datos_base!$G$3+datos_base!$G$19+IF(parametros_manuales!$H$40="Todos",datos_base!$G$10+datos_base!$G$24,0))*parametros_manuales!$B$100+parametros_manuales!$F$40*(datos_base!$G$4+datos_base!$G$20+IF(parametros_manuales!$H$40="Todos",datos_base!$G$11+datos_base!$G$25,0))*parametros_manuales!$B$105+parametros_manuales!$G$40*(datos_base!$G$5+datos_base!$G$21+IF(parametros_manuales!$H$40="Todos",datos_base!$G$12+datos_base!$G$26,0))*parametros_manuales!$B$110)*parametros_manuales!$I$40*parametros_manuales!$J$40</f>
        <v>3104.85708891</v>
      </c>
      <c r="C158" s="9" t="n">
        <f aca="false">(parametros_manuales!$D$40*(datos_base!$G$2+datos_base!$G$18+IF(parametros_manuales!$H$40="Todos",datos_base!$G$9+datos_base!$G$23,0))*parametros_manuales!$C$95+parametros_manuales!$E$40*(datos_base!$G$3+datos_base!$G$19+IF(parametros_manuales!$H$40="Todos",datos_base!$G$10+datos_base!$G$24,0))*parametros_manuales!$C$100+parametros_manuales!$F$40*(datos_base!$G$4+datos_base!$G$20+IF(parametros_manuales!$H$40="Todos",datos_base!$G$11+datos_base!$G$25,0))*parametros_manuales!$C$105+parametros_manuales!$G$40*(datos_base!$G$5+datos_base!$G$21+IF(parametros_manuales!$H$40="Todos",datos_base!$G$12+datos_base!$G$26,0))*parametros_manuales!$C$110)*parametros_manuales!$I$40*parametros_manuales!$J$40</f>
        <v>2916.07549862</v>
      </c>
      <c r="D158" s="9" t="n">
        <f aca="false">(parametros_manuales!$D$40*(datos_base!$G$2+datos_base!$G$18+IF(parametros_manuales!$H$40="Todos",datos_base!$G$9+datos_base!$G$23,0))*parametros_manuales!$D$95+parametros_manuales!$E$40*(datos_base!$G$3+datos_base!$G$19+IF(parametros_manuales!$H$40="Todos",datos_base!$G$10+datos_base!$G$24,0))*parametros_manuales!$D$100+parametros_manuales!$F$40*(datos_base!$G$4+datos_base!$G$20+IF(parametros_manuales!$H$40="Todos",datos_base!$G$11+datos_base!$G$25,0))*parametros_manuales!$D$105+parametros_manuales!$G$40*(datos_base!$G$5+datos_base!$G$21+IF(parametros_manuales!$H$40="Todos",datos_base!$G$12+datos_base!$G$26,0))*parametros_manuales!$D$110)*parametros_manuales!$I$40*parametros_manuales!$J$40</f>
        <v>2854.263763065</v>
      </c>
      <c r="E158" s="9" t="n">
        <f aca="false">(parametros_manuales!$D$40*(datos_base!$G$2+datos_base!$G$18+IF(parametros_manuales!$H$40="Todos",datos_base!$G$9+datos_base!$G$23,0))*parametros_manuales!$E$95+parametros_manuales!$E$40*(datos_base!$G$3+datos_base!$G$19+IF(parametros_manuales!$H$40="Todos",datos_base!$G$10+datos_base!$G$24,0))*parametros_manuales!$E$100+parametros_manuales!$F$40*(datos_base!$G$4+datos_base!$G$20+IF(parametros_manuales!$H$40="Todos",datos_base!$G$11+datos_base!$G$25,0))*parametros_manuales!$E$105+parametros_manuales!$G$40*(datos_base!$G$5+datos_base!$G$21+IF(parametros_manuales!$H$40="Todos",datos_base!$G$12+datos_base!$G$26,0))*parametros_manuales!$E$110)*parametros_manuales!$I$40*parametros_manuales!$J$40</f>
        <v>2776.162497715</v>
      </c>
      <c r="F158" s="9" t="n">
        <f aca="false">(parametros_manuales!$D$40*(datos_base!$G$2+datos_base!$G$18+IF(parametros_manuales!$H$40="Todos",datos_base!$G$9+datos_base!$G$23,0))*parametros_manuales!$F$95+parametros_manuales!$E$40*(datos_base!$G$3+datos_base!$G$19+IF(parametros_manuales!$H$40="Todos",datos_base!$G$10+datos_base!$G$24,0))*parametros_manuales!$F$100+parametros_manuales!$F$40*(datos_base!$G$4+datos_base!$G$20+IF(parametros_manuales!$H$40="Todos",datos_base!$G$11+datos_base!$G$25,0))*parametros_manuales!$F$105+parametros_manuales!$G$40*(datos_base!$G$5+datos_base!$G$21+IF(parametros_manuales!$H$40="Todos",datos_base!$G$12+datos_base!$G$26,0))*parametros_manuales!$F$110)*parametros_manuales!$I$40*parametros_manuales!$J$40</f>
        <v>2603.67043722</v>
      </c>
      <c r="G158" s="9" t="n">
        <f aca="false">(parametros_manuales!$D$40*(datos_base!$G$2+datos_base!$G$18+IF(parametros_manuales!$H$40="Todos",datos_base!$G$9+datos_base!$G$23,0))*parametros_manuales!$G$95+parametros_manuales!$E$40*(datos_base!$G$3+datos_base!$G$19+IF(parametros_manuales!$H$40="Todos",datos_base!$G$10+datos_base!$G$24,0))*parametros_manuales!$G$100+parametros_manuales!$F$40*(datos_base!$G$4+datos_base!$G$20+IF(parametros_manuales!$H$40="Todos",datos_base!$G$11+datos_base!$G$25,0))*parametros_manuales!$G$105+parametros_manuales!$G$40*(datos_base!$G$5+datos_base!$G$21+IF(parametros_manuales!$H$40="Todos",datos_base!$G$12+datos_base!$G$26,0))*parametros_manuales!$G$110)*parametros_manuales!$I$40*parametros_manuales!$J$40</f>
        <v>2509.279642075</v>
      </c>
      <c r="H158" s="9" t="n">
        <f aca="false">(parametros_manuales!$D$40*(datos_base!$G$2+datos_base!$G$18+IF(parametros_manuales!$H$40="Todos",datos_base!$G$9+datos_base!$G$23,0))*parametros_manuales!$H$95+parametros_manuales!$E$40*(datos_base!$G$3+datos_base!$G$19+IF(parametros_manuales!$H$40="Todos",datos_base!$G$10+datos_base!$G$24,0))*parametros_manuales!$H$100+parametros_manuales!$F$40*(datos_base!$G$4+datos_base!$G$20+IF(parametros_manuales!$H$40="Todos",datos_base!$G$11+datos_base!$G$25,0))*parametros_manuales!$H$105+parametros_manuales!$G$40*(datos_base!$G$5+datos_base!$G$21+IF(parametros_manuales!$H$40="Todos",datos_base!$G$12+datos_base!$G$26,0))*parametros_manuales!$H$110)*parametros_manuales!$I$40*parametros_manuales!$J$40</f>
        <v>2681.77170257</v>
      </c>
      <c r="I158" s="9" t="n">
        <f aca="false">(parametros_manuales!$D$40*(datos_base!$G$2+datos_base!$G$18+IF(parametros_manuales!$H$40="Todos",datos_base!$G$9+datos_base!$G$23,0))*parametros_manuales!$I$95+parametros_manuales!$E$40*(datos_base!$G$3+datos_base!$G$19+IF(parametros_manuales!$H$40="Todos",datos_base!$G$10+datos_base!$G$24,0))*parametros_manuales!$I$100+parametros_manuales!$F$40*(datos_base!$G$4+datos_base!$G$20+IF(parametros_manuales!$H$40="Todos",datos_base!$G$11+datos_base!$G$25,0))*parametros_manuales!$I$105+parametros_manuales!$G$40*(datos_base!$G$5+datos_base!$G$21+IF(parametros_manuales!$H$40="Todos",datos_base!$G$12+datos_base!$G$26,0))*parametros_manuales!$I$110)*parametros_manuales!$I$40*parametros_manuales!$J$40</f>
        <v>2916.07549862</v>
      </c>
      <c r="J158" s="9" t="n">
        <f aca="false">(parametros_manuales!$D$40*(datos_base!$G$2+datos_base!$G$18+IF(parametros_manuales!$H$40="Todos",datos_base!$G$9+datos_base!$G$23,0))*parametros_manuales!$J$95+parametros_manuales!$E$40*(datos_base!$G$3+datos_base!$G$19+IF(parametros_manuales!$H$40="Todos",datos_base!$G$10+datos_base!$G$24,0))*parametros_manuales!$J$100+parametros_manuales!$F$40*(datos_base!$G$4+datos_base!$G$20+IF(parametros_manuales!$H$40="Todos",datos_base!$G$11+datos_base!$G$25,0))*parametros_manuales!$J$105+parametros_manuales!$G$40*(datos_base!$G$5+datos_base!$G$21+IF(parametros_manuales!$H$40="Todos",datos_base!$G$12+datos_base!$G$26,0))*parametros_manuales!$J$110)*parametros_manuales!$I$40*parametros_manuales!$J$40</f>
        <v>2916.07549862</v>
      </c>
      <c r="K158" s="9" t="n">
        <f aca="false">(parametros_manuales!$D$40*(datos_base!$G$2+datos_base!$G$18+IF(parametros_manuales!$H$40="Todos",datos_base!$G$9+datos_base!$G$23,0))*parametros_manuales!$K$95+parametros_manuales!$E$40*(datos_base!$G$3+datos_base!$G$19+IF(parametros_manuales!$H$40="Todos",datos_base!$G$10+datos_base!$G$24,0))*parametros_manuales!$K$100+parametros_manuales!$F$40*(datos_base!$G$4+datos_base!$G$20+IF(parametros_manuales!$H$40="Todos",datos_base!$G$11+datos_base!$G$25,0))*parametros_manuales!$K$105+parametros_manuales!$G$40*(datos_base!$G$5+datos_base!$G$21+IF(parametros_manuales!$H$40="Todos",datos_base!$G$12+datos_base!$G$26,0))*parametros_manuales!$K$110)*parametros_manuales!$I$40*parametros_manuales!$J$40</f>
        <v>3010.466293765</v>
      </c>
      <c r="L158" s="9" t="n">
        <f aca="false">(parametros_manuales!$D$40*(datos_base!$G$2+datos_base!$G$18+IF(parametros_manuales!$H$40="Todos",datos_base!$G$9+datos_base!$G$23,0))*parametros_manuales!$L$95+parametros_manuales!$E$40*(datos_base!$G$3+datos_base!$G$19+IF(parametros_manuales!$H$40="Todos",datos_base!$G$10+datos_base!$G$24,0))*parametros_manuales!$L$100+parametros_manuales!$F$40*(datos_base!$G$4+datos_base!$G$20+IF(parametros_manuales!$H$40="Todos",datos_base!$G$11+datos_base!$G$25,0))*parametros_manuales!$L$105+parametros_manuales!$G$40*(datos_base!$G$5+datos_base!$G$21+IF(parametros_manuales!$H$40="Todos",datos_base!$G$12+datos_base!$G$26,0))*parametros_manuales!$L$110)*parametros_manuales!$I$40*parametros_manuales!$J$40</f>
        <v>3104.85708891</v>
      </c>
      <c r="M158" s="9" t="n">
        <f aca="false">(parametros_manuales!$D$40*(datos_base!$G$2+datos_base!$G$18+IF(parametros_manuales!$H$40="Todos",datos_base!$G$9+datos_base!$G$23,0))*parametros_manuales!$M$95+parametros_manuales!$E$40*(datos_base!$G$3+datos_base!$G$19+IF(parametros_manuales!$H$40="Todos",datos_base!$G$10+datos_base!$G$24,0))*parametros_manuales!$M$100+parametros_manuales!$F$40*(datos_base!$G$4+datos_base!$G$20+IF(parametros_manuales!$H$40="Todos",datos_base!$G$11+datos_base!$G$25,0))*parametros_manuales!$M$105+parametros_manuales!$G$40*(datos_base!$G$5+datos_base!$G$21+IF(parametros_manuales!$H$40="Todos",datos_base!$G$12+datos_base!$G$26,0))*parametros_manuales!$M$110)*parametros_manuales!$I$40*parametros_manuales!$J$40</f>
        <v>3104.85708891</v>
      </c>
      <c r="N158" s="9" t="n">
        <f aca="false">SUM(B158:M158)</f>
        <v>34498.412099</v>
      </c>
      <c r="O158" s="9" t="n">
        <f aca="false">MAX(B158:M158)</f>
        <v>3104.85708891</v>
      </c>
      <c r="P158" s="43" t="n">
        <f aca="false">O158/(parametros_manuales!$B$7)</f>
        <v>20.6990472594</v>
      </c>
      <c r="Q158" s="8" t="str">
        <f aca="false">IF(O158=0,"-",INDEX($B$136:$M$136,MATCH(O158,B158:M158,0)))</f>
        <v>Ene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datos_base!$G$2+datos_base!$G$18+IF(parametros_manuales!$H$41="Todos",datos_base!$G$9+datos_base!$G$23,0))*parametros_manuales!$B$95+parametros_manuales!$E$41*(datos_base!$G$3+datos_base!$G$19+IF(parametros_manuales!$H$41="Todos",datos_base!$G$10+datos_base!$G$24,0))*parametros_manuales!$B$100+parametros_manuales!$F$41*(datos_base!$G$4+datos_base!$G$20+IF(parametros_manuales!$H$41="Todos",datos_base!$G$11+datos_base!$G$25,0))*parametros_manuales!$B$105+parametros_manuales!$G$41*(datos_base!$G$5+datos_base!$G$21+IF(parametros_manuales!$H$41="Todos",datos_base!$G$12+datos_base!$G$26,0))*parametros_manuales!$B$110)*parametros_manuales!$I$41*parametros_manuales!$J$41</f>
        <v>3104.85708891</v>
      </c>
      <c r="C159" s="9" t="n">
        <f aca="false">(parametros_manuales!$D$41*(datos_base!$G$2+datos_base!$G$18+IF(parametros_manuales!$H$41="Todos",datos_base!$G$9+datos_base!$G$23,0))*parametros_manuales!$C$95+parametros_manuales!$E$41*(datos_base!$G$3+datos_base!$G$19+IF(parametros_manuales!$H$41="Todos",datos_base!$G$10+datos_base!$G$24,0))*parametros_manuales!$C$100+parametros_manuales!$F$41*(datos_base!$G$4+datos_base!$G$20+IF(parametros_manuales!$H$41="Todos",datos_base!$G$11+datos_base!$G$25,0))*parametros_manuales!$C$105+parametros_manuales!$G$41*(datos_base!$G$5+datos_base!$G$21+IF(parametros_manuales!$H$41="Todos",datos_base!$G$12+datos_base!$G$26,0))*parametros_manuales!$C$110)*parametros_manuales!$I$41*parametros_manuales!$J$41</f>
        <v>2916.07549862</v>
      </c>
      <c r="D159" s="9" t="n">
        <f aca="false">(parametros_manuales!$D$41*(datos_base!$G$2+datos_base!$G$18+IF(parametros_manuales!$H$41="Todos",datos_base!$G$9+datos_base!$G$23,0))*parametros_manuales!$D$95+parametros_manuales!$E$41*(datos_base!$G$3+datos_base!$G$19+IF(parametros_manuales!$H$41="Todos",datos_base!$G$10+datos_base!$G$24,0))*parametros_manuales!$D$100+parametros_manuales!$F$41*(datos_base!$G$4+datos_base!$G$20+IF(parametros_manuales!$H$41="Todos",datos_base!$G$11+datos_base!$G$25,0))*parametros_manuales!$D$105+parametros_manuales!$G$41*(datos_base!$G$5+datos_base!$G$21+IF(parametros_manuales!$H$41="Todos",datos_base!$G$12+datos_base!$G$26,0))*parametros_manuales!$D$110)*parametros_manuales!$I$41*parametros_manuales!$J$41</f>
        <v>2854.263763065</v>
      </c>
      <c r="E159" s="9" t="n">
        <f aca="false">(parametros_manuales!$D$41*(datos_base!$G$2+datos_base!$G$18+IF(parametros_manuales!$H$41="Todos",datos_base!$G$9+datos_base!$G$23,0))*parametros_manuales!$E$95+parametros_manuales!$E$41*(datos_base!$G$3+datos_base!$G$19+IF(parametros_manuales!$H$41="Todos",datos_base!$G$10+datos_base!$G$24,0))*parametros_manuales!$E$100+parametros_manuales!$F$41*(datos_base!$G$4+datos_base!$G$20+IF(parametros_manuales!$H$41="Todos",datos_base!$G$11+datos_base!$G$25,0))*parametros_manuales!$E$105+parametros_manuales!$G$41*(datos_base!$G$5+datos_base!$G$21+IF(parametros_manuales!$H$41="Todos",datos_base!$G$12+datos_base!$G$26,0))*parametros_manuales!$E$110)*parametros_manuales!$I$41*parametros_manuales!$J$41</f>
        <v>2776.162497715</v>
      </c>
      <c r="F159" s="9" t="n">
        <f aca="false">(parametros_manuales!$D$41*(datos_base!$G$2+datos_base!$G$18+IF(parametros_manuales!$H$41="Todos",datos_base!$G$9+datos_base!$G$23,0))*parametros_manuales!$F$95+parametros_manuales!$E$41*(datos_base!$G$3+datos_base!$G$19+IF(parametros_manuales!$H$41="Todos",datos_base!$G$10+datos_base!$G$24,0))*parametros_manuales!$F$100+parametros_manuales!$F$41*(datos_base!$G$4+datos_base!$G$20+IF(parametros_manuales!$H$41="Todos",datos_base!$G$11+datos_base!$G$25,0))*parametros_manuales!$F$105+parametros_manuales!$G$41*(datos_base!$G$5+datos_base!$G$21+IF(parametros_manuales!$H$41="Todos",datos_base!$G$12+datos_base!$G$26,0))*parametros_manuales!$F$110)*parametros_manuales!$I$41*parametros_manuales!$J$41</f>
        <v>2603.67043722</v>
      </c>
      <c r="G159" s="9" t="n">
        <f aca="false">(parametros_manuales!$D$41*(datos_base!$G$2+datos_base!$G$18+IF(parametros_manuales!$H$41="Todos",datos_base!$G$9+datos_base!$G$23,0))*parametros_manuales!$G$95+parametros_manuales!$E$41*(datos_base!$G$3+datos_base!$G$19+IF(parametros_manuales!$H$41="Todos",datos_base!$G$10+datos_base!$G$24,0))*parametros_manuales!$G$100+parametros_manuales!$F$41*(datos_base!$G$4+datos_base!$G$20+IF(parametros_manuales!$H$41="Todos",datos_base!$G$11+datos_base!$G$25,0))*parametros_manuales!$G$105+parametros_manuales!$G$41*(datos_base!$G$5+datos_base!$G$21+IF(parametros_manuales!$H$41="Todos",datos_base!$G$12+datos_base!$G$26,0))*parametros_manuales!$G$110)*parametros_manuales!$I$41*parametros_manuales!$J$41</f>
        <v>2509.279642075</v>
      </c>
      <c r="H159" s="9" t="n">
        <f aca="false">(parametros_manuales!$D$41*(datos_base!$G$2+datos_base!$G$18+IF(parametros_manuales!$H$41="Todos",datos_base!$G$9+datos_base!$G$23,0))*parametros_manuales!$H$95+parametros_manuales!$E$41*(datos_base!$G$3+datos_base!$G$19+IF(parametros_manuales!$H$41="Todos",datos_base!$G$10+datos_base!$G$24,0))*parametros_manuales!$H$100+parametros_manuales!$F$41*(datos_base!$G$4+datos_base!$G$20+IF(parametros_manuales!$H$41="Todos",datos_base!$G$11+datos_base!$G$25,0))*parametros_manuales!$H$105+parametros_manuales!$G$41*(datos_base!$G$5+datos_base!$G$21+IF(parametros_manuales!$H$41="Todos",datos_base!$G$12+datos_base!$G$26,0))*parametros_manuales!$H$110)*parametros_manuales!$I$41*parametros_manuales!$J$41</f>
        <v>2681.77170257</v>
      </c>
      <c r="I159" s="9" t="n">
        <f aca="false">(parametros_manuales!$D$41*(datos_base!$G$2+datos_base!$G$18+IF(parametros_manuales!$H$41="Todos",datos_base!$G$9+datos_base!$G$23,0))*parametros_manuales!$I$95+parametros_manuales!$E$41*(datos_base!$G$3+datos_base!$G$19+IF(parametros_manuales!$H$41="Todos",datos_base!$G$10+datos_base!$G$24,0))*parametros_manuales!$I$100+parametros_manuales!$F$41*(datos_base!$G$4+datos_base!$G$20+IF(parametros_manuales!$H$41="Todos",datos_base!$G$11+datos_base!$G$25,0))*parametros_manuales!$I$105+parametros_manuales!$G$41*(datos_base!$G$5+datos_base!$G$21+IF(parametros_manuales!$H$41="Todos",datos_base!$G$12+datos_base!$G$26,0))*parametros_manuales!$I$110)*parametros_manuales!$I$41*parametros_manuales!$J$41</f>
        <v>2916.07549862</v>
      </c>
      <c r="J159" s="9" t="n">
        <f aca="false">(parametros_manuales!$D$41*(datos_base!$G$2+datos_base!$G$18+IF(parametros_manuales!$H$41="Todos",datos_base!$G$9+datos_base!$G$23,0))*parametros_manuales!$J$95+parametros_manuales!$E$41*(datos_base!$G$3+datos_base!$G$19+IF(parametros_manuales!$H$41="Todos",datos_base!$G$10+datos_base!$G$24,0))*parametros_manuales!$J$100+parametros_manuales!$F$41*(datos_base!$G$4+datos_base!$G$20+IF(parametros_manuales!$H$41="Todos",datos_base!$G$11+datos_base!$G$25,0))*parametros_manuales!$J$105+parametros_manuales!$G$41*(datos_base!$G$5+datos_base!$G$21+IF(parametros_manuales!$H$41="Todos",datos_base!$G$12+datos_base!$G$26,0))*parametros_manuales!$J$110)*parametros_manuales!$I$41*parametros_manuales!$J$41</f>
        <v>2916.07549862</v>
      </c>
      <c r="K159" s="9" t="n">
        <f aca="false">(parametros_manuales!$D$41*(datos_base!$G$2+datos_base!$G$18+IF(parametros_manuales!$H$41="Todos",datos_base!$G$9+datos_base!$G$23,0))*parametros_manuales!$K$95+parametros_manuales!$E$41*(datos_base!$G$3+datos_base!$G$19+IF(parametros_manuales!$H$41="Todos",datos_base!$G$10+datos_base!$G$24,0))*parametros_manuales!$K$100+parametros_manuales!$F$41*(datos_base!$G$4+datos_base!$G$20+IF(parametros_manuales!$H$41="Todos",datos_base!$G$11+datos_base!$G$25,0))*parametros_manuales!$K$105+parametros_manuales!$G$41*(datos_base!$G$5+datos_base!$G$21+IF(parametros_manuales!$H$41="Todos",datos_base!$G$12+datos_base!$G$26,0))*parametros_manuales!$K$110)*parametros_manuales!$I$41*parametros_manuales!$J$41</f>
        <v>3010.466293765</v>
      </c>
      <c r="L159" s="9" t="n">
        <f aca="false">(parametros_manuales!$D$41*(datos_base!$G$2+datos_base!$G$18+IF(parametros_manuales!$H$41="Todos",datos_base!$G$9+datos_base!$G$23,0))*parametros_manuales!$L$95+parametros_manuales!$E$41*(datos_base!$G$3+datos_base!$G$19+IF(parametros_manuales!$H$41="Todos",datos_base!$G$10+datos_base!$G$24,0))*parametros_manuales!$L$100+parametros_manuales!$F$41*(datos_base!$G$4+datos_base!$G$20+IF(parametros_manuales!$H$41="Todos",datos_base!$G$11+datos_base!$G$25,0))*parametros_manuales!$L$105+parametros_manuales!$G$41*(datos_base!$G$5+datos_base!$G$21+IF(parametros_manuales!$H$41="Todos",datos_base!$G$12+datos_base!$G$26,0))*parametros_manuales!$L$110)*parametros_manuales!$I$41*parametros_manuales!$J$41</f>
        <v>3104.85708891</v>
      </c>
      <c r="M159" s="9" t="n">
        <f aca="false">(parametros_manuales!$D$41*(datos_base!$G$2+datos_base!$G$18+IF(parametros_manuales!$H$41="Todos",datos_base!$G$9+datos_base!$G$23,0))*parametros_manuales!$M$95+parametros_manuales!$E$41*(datos_base!$G$3+datos_base!$G$19+IF(parametros_manuales!$H$41="Todos",datos_base!$G$10+datos_base!$G$24,0))*parametros_manuales!$M$100+parametros_manuales!$F$41*(datos_base!$G$4+datos_base!$G$20+IF(parametros_manuales!$H$41="Todos",datos_base!$G$11+datos_base!$G$25,0))*parametros_manuales!$M$105+parametros_manuales!$G$41*(datos_base!$G$5+datos_base!$G$21+IF(parametros_manuales!$H$41="Todos",datos_base!$G$12+datos_base!$G$26,0))*parametros_manuales!$M$110)*parametros_manuales!$I$41*parametros_manuales!$J$41</f>
        <v>3104.85708891</v>
      </c>
      <c r="N159" s="9" t="n">
        <f aca="false">SUM(B159:M159)</f>
        <v>34498.412099</v>
      </c>
      <c r="O159" s="9" t="n">
        <f aca="false">MAX(B159:M159)</f>
        <v>3104.85708891</v>
      </c>
      <c r="P159" s="43" t="n">
        <f aca="false">O159/(parametros_manuales!$B$7)</f>
        <v>20.6990472594</v>
      </c>
      <c r="Q159" s="8" t="str">
        <f aca="false">IF(O159=0,"-",INDEX($B$136:$M$136,MATCH(O159,B159:M159,0)))</f>
        <v>Ene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datos_base!$G$2+datos_base!$G$18+IF(parametros_manuales!$H$42="Todos",datos_base!$G$9+datos_base!$G$23,0))*parametros_manuales!$B$95+parametros_manuales!$E$42*(datos_base!$G$3+datos_base!$G$19+IF(parametros_manuales!$H$42="Todos",datos_base!$G$10+datos_base!$G$24,0))*parametros_manuales!$B$100+parametros_manuales!$F$42*(datos_base!$G$4+datos_base!$G$20+IF(parametros_manuales!$H$42="Todos",datos_base!$G$11+datos_base!$G$25,0))*parametros_manuales!$B$105+parametros_manuales!$G$42*(datos_base!$G$5+datos_base!$G$21+IF(parametros_manuales!$H$42="Todos",datos_base!$G$12+datos_base!$G$26,0))*parametros_manuales!$B$110)*parametros_manuales!$I$42*parametros_manuales!$J$42</f>
        <v>3104.85708891</v>
      </c>
      <c r="C160" s="9" t="n">
        <f aca="false">(parametros_manuales!$D$42*(datos_base!$G$2+datos_base!$G$18+IF(parametros_manuales!$H$42="Todos",datos_base!$G$9+datos_base!$G$23,0))*parametros_manuales!$C$95+parametros_manuales!$E$42*(datos_base!$G$3+datos_base!$G$19+IF(parametros_manuales!$H$42="Todos",datos_base!$G$10+datos_base!$G$24,0))*parametros_manuales!$C$100+parametros_manuales!$F$42*(datos_base!$G$4+datos_base!$G$20+IF(parametros_manuales!$H$42="Todos",datos_base!$G$11+datos_base!$G$25,0))*parametros_manuales!$C$105+parametros_manuales!$G$42*(datos_base!$G$5+datos_base!$G$21+IF(parametros_manuales!$H$42="Todos",datos_base!$G$12+datos_base!$G$26,0))*parametros_manuales!$C$110)*parametros_manuales!$I$42*parametros_manuales!$J$42</f>
        <v>2916.07549862</v>
      </c>
      <c r="D160" s="9" t="n">
        <f aca="false">(parametros_manuales!$D$42*(datos_base!$G$2+datos_base!$G$18+IF(parametros_manuales!$H$42="Todos",datos_base!$G$9+datos_base!$G$23,0))*parametros_manuales!$D$95+parametros_manuales!$E$42*(datos_base!$G$3+datos_base!$G$19+IF(parametros_manuales!$H$42="Todos",datos_base!$G$10+datos_base!$G$24,0))*parametros_manuales!$D$100+parametros_manuales!$F$42*(datos_base!$G$4+datos_base!$G$20+IF(parametros_manuales!$H$42="Todos",datos_base!$G$11+datos_base!$G$25,0))*parametros_manuales!$D$105+parametros_manuales!$G$42*(datos_base!$G$5+datos_base!$G$21+IF(parametros_manuales!$H$42="Todos",datos_base!$G$12+datos_base!$G$26,0))*parametros_manuales!$D$110)*parametros_manuales!$I$42*parametros_manuales!$J$42</f>
        <v>2854.263763065</v>
      </c>
      <c r="E160" s="9" t="n">
        <f aca="false">(parametros_manuales!$D$42*(datos_base!$G$2+datos_base!$G$18+IF(parametros_manuales!$H$42="Todos",datos_base!$G$9+datos_base!$G$23,0))*parametros_manuales!$E$95+parametros_manuales!$E$42*(datos_base!$G$3+datos_base!$G$19+IF(parametros_manuales!$H$42="Todos",datos_base!$G$10+datos_base!$G$24,0))*parametros_manuales!$E$100+parametros_manuales!$F$42*(datos_base!$G$4+datos_base!$G$20+IF(parametros_manuales!$H$42="Todos",datos_base!$G$11+datos_base!$G$25,0))*parametros_manuales!$E$105+parametros_manuales!$G$42*(datos_base!$G$5+datos_base!$G$21+IF(parametros_manuales!$H$42="Todos",datos_base!$G$12+datos_base!$G$26,0))*parametros_manuales!$E$110)*parametros_manuales!$I$42*parametros_manuales!$J$42</f>
        <v>2776.162497715</v>
      </c>
      <c r="F160" s="9" t="n">
        <f aca="false">(parametros_manuales!$D$42*(datos_base!$G$2+datos_base!$G$18+IF(parametros_manuales!$H$42="Todos",datos_base!$G$9+datos_base!$G$23,0))*parametros_manuales!$F$95+parametros_manuales!$E$42*(datos_base!$G$3+datos_base!$G$19+IF(parametros_manuales!$H$42="Todos",datos_base!$G$10+datos_base!$G$24,0))*parametros_manuales!$F$100+parametros_manuales!$F$42*(datos_base!$G$4+datos_base!$G$20+IF(parametros_manuales!$H$42="Todos",datos_base!$G$11+datos_base!$G$25,0))*parametros_manuales!$F$105+parametros_manuales!$G$42*(datos_base!$G$5+datos_base!$G$21+IF(parametros_manuales!$H$42="Todos",datos_base!$G$12+datos_base!$G$26,0))*parametros_manuales!$F$110)*parametros_manuales!$I$42*parametros_manuales!$J$42</f>
        <v>2603.67043722</v>
      </c>
      <c r="G160" s="9" t="n">
        <f aca="false">(parametros_manuales!$D$42*(datos_base!$G$2+datos_base!$G$18+IF(parametros_manuales!$H$42="Todos",datos_base!$G$9+datos_base!$G$23,0))*parametros_manuales!$G$95+parametros_manuales!$E$42*(datos_base!$G$3+datos_base!$G$19+IF(parametros_manuales!$H$42="Todos",datos_base!$G$10+datos_base!$G$24,0))*parametros_manuales!$G$100+parametros_manuales!$F$42*(datos_base!$G$4+datos_base!$G$20+IF(parametros_manuales!$H$42="Todos",datos_base!$G$11+datos_base!$G$25,0))*parametros_manuales!$G$105+parametros_manuales!$G$42*(datos_base!$G$5+datos_base!$G$21+IF(parametros_manuales!$H$42="Todos",datos_base!$G$12+datos_base!$G$26,0))*parametros_manuales!$G$110)*parametros_manuales!$I$42*parametros_manuales!$J$42</f>
        <v>2509.279642075</v>
      </c>
      <c r="H160" s="9" t="n">
        <f aca="false">(parametros_manuales!$D$42*(datos_base!$G$2+datos_base!$G$18+IF(parametros_manuales!$H$42="Todos",datos_base!$G$9+datos_base!$G$23,0))*parametros_manuales!$H$95+parametros_manuales!$E$42*(datos_base!$G$3+datos_base!$G$19+IF(parametros_manuales!$H$42="Todos",datos_base!$G$10+datos_base!$G$24,0))*parametros_manuales!$H$100+parametros_manuales!$F$42*(datos_base!$G$4+datos_base!$G$20+IF(parametros_manuales!$H$42="Todos",datos_base!$G$11+datos_base!$G$25,0))*parametros_manuales!$H$105+parametros_manuales!$G$42*(datos_base!$G$5+datos_base!$G$21+IF(parametros_manuales!$H$42="Todos",datos_base!$G$12+datos_base!$G$26,0))*parametros_manuales!$H$110)*parametros_manuales!$I$42*parametros_manuales!$J$42</f>
        <v>2681.77170257</v>
      </c>
      <c r="I160" s="9" t="n">
        <f aca="false">(parametros_manuales!$D$42*(datos_base!$G$2+datos_base!$G$18+IF(parametros_manuales!$H$42="Todos",datos_base!$G$9+datos_base!$G$23,0))*parametros_manuales!$I$95+parametros_manuales!$E$42*(datos_base!$G$3+datos_base!$G$19+IF(parametros_manuales!$H$42="Todos",datos_base!$G$10+datos_base!$G$24,0))*parametros_manuales!$I$100+parametros_manuales!$F$42*(datos_base!$G$4+datos_base!$G$20+IF(parametros_manuales!$H$42="Todos",datos_base!$G$11+datos_base!$G$25,0))*parametros_manuales!$I$105+parametros_manuales!$G$42*(datos_base!$G$5+datos_base!$G$21+IF(parametros_manuales!$H$42="Todos",datos_base!$G$12+datos_base!$G$26,0))*parametros_manuales!$I$110)*parametros_manuales!$I$42*parametros_manuales!$J$42</f>
        <v>2916.07549862</v>
      </c>
      <c r="J160" s="9" t="n">
        <f aca="false">(parametros_manuales!$D$42*(datos_base!$G$2+datos_base!$G$18+IF(parametros_manuales!$H$42="Todos",datos_base!$G$9+datos_base!$G$23,0))*parametros_manuales!$J$95+parametros_manuales!$E$42*(datos_base!$G$3+datos_base!$G$19+IF(parametros_manuales!$H$42="Todos",datos_base!$G$10+datos_base!$G$24,0))*parametros_manuales!$J$100+parametros_manuales!$F$42*(datos_base!$G$4+datos_base!$G$20+IF(parametros_manuales!$H$42="Todos",datos_base!$G$11+datos_base!$G$25,0))*parametros_manuales!$J$105+parametros_manuales!$G$42*(datos_base!$G$5+datos_base!$G$21+IF(parametros_manuales!$H$42="Todos",datos_base!$G$12+datos_base!$G$26,0))*parametros_manuales!$J$110)*parametros_manuales!$I$42*parametros_manuales!$J$42</f>
        <v>2916.07549862</v>
      </c>
      <c r="K160" s="9" t="n">
        <f aca="false">(parametros_manuales!$D$42*(datos_base!$G$2+datos_base!$G$18+IF(parametros_manuales!$H$42="Todos",datos_base!$G$9+datos_base!$G$23,0))*parametros_manuales!$K$95+parametros_manuales!$E$42*(datos_base!$G$3+datos_base!$G$19+IF(parametros_manuales!$H$42="Todos",datos_base!$G$10+datos_base!$G$24,0))*parametros_manuales!$K$100+parametros_manuales!$F$42*(datos_base!$G$4+datos_base!$G$20+IF(parametros_manuales!$H$42="Todos",datos_base!$G$11+datos_base!$G$25,0))*parametros_manuales!$K$105+parametros_manuales!$G$42*(datos_base!$G$5+datos_base!$G$21+IF(parametros_manuales!$H$42="Todos",datos_base!$G$12+datos_base!$G$26,0))*parametros_manuales!$K$110)*parametros_manuales!$I$42*parametros_manuales!$J$42</f>
        <v>3010.466293765</v>
      </c>
      <c r="L160" s="9" t="n">
        <f aca="false">(parametros_manuales!$D$42*(datos_base!$G$2+datos_base!$G$18+IF(parametros_manuales!$H$42="Todos",datos_base!$G$9+datos_base!$G$23,0))*parametros_manuales!$L$95+parametros_manuales!$E$42*(datos_base!$G$3+datos_base!$G$19+IF(parametros_manuales!$H$42="Todos",datos_base!$G$10+datos_base!$G$24,0))*parametros_manuales!$L$100+parametros_manuales!$F$42*(datos_base!$G$4+datos_base!$G$20+IF(parametros_manuales!$H$42="Todos",datos_base!$G$11+datos_base!$G$25,0))*parametros_manuales!$L$105+parametros_manuales!$G$42*(datos_base!$G$5+datos_base!$G$21+IF(parametros_manuales!$H$42="Todos",datos_base!$G$12+datos_base!$G$26,0))*parametros_manuales!$L$110)*parametros_manuales!$I$42*parametros_manuales!$J$42</f>
        <v>3104.85708891</v>
      </c>
      <c r="M160" s="9" t="n">
        <f aca="false">(parametros_manuales!$D$42*(datos_base!$G$2+datos_base!$G$18+IF(parametros_manuales!$H$42="Todos",datos_base!$G$9+datos_base!$G$23,0))*parametros_manuales!$M$95+parametros_manuales!$E$42*(datos_base!$G$3+datos_base!$G$19+IF(parametros_manuales!$H$42="Todos",datos_base!$G$10+datos_base!$G$24,0))*parametros_manuales!$M$100+parametros_manuales!$F$42*(datos_base!$G$4+datos_base!$G$20+IF(parametros_manuales!$H$42="Todos",datos_base!$G$11+datos_base!$G$25,0))*parametros_manuales!$M$105+parametros_manuales!$G$42*(datos_base!$G$5+datos_base!$G$21+IF(parametros_manuales!$H$42="Todos",datos_base!$G$12+datos_base!$G$26,0))*parametros_manuales!$M$110)*parametros_manuales!$I$42*parametros_manuales!$J$42</f>
        <v>3104.85708891</v>
      </c>
      <c r="N160" s="9" t="n">
        <f aca="false">SUM(B160:M160)</f>
        <v>34498.412099</v>
      </c>
      <c r="O160" s="9" t="n">
        <f aca="false">MAX(B160:M160)</f>
        <v>3104.85708891</v>
      </c>
      <c r="P160" s="43" t="n">
        <f aca="false">O160/(parametros_manuales!$B$7)</f>
        <v>20.6990472594</v>
      </c>
      <c r="Q160" s="8" t="str">
        <f aca="false">IF(O160=0,"-",INDEX($B$136:$M$136,MATCH(O160,B160:M160,0)))</f>
        <v>Ene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datos_base!$G$2+datos_base!$G$18+IF(parametros_manuales!$H$43="Todos",datos_base!$G$9+datos_base!$G$23,0))*parametros_manuales!$B$95+parametros_manuales!$E$43*(datos_base!$G$3+datos_base!$G$19+IF(parametros_manuales!$H$43="Todos",datos_base!$G$10+datos_base!$G$24,0))*parametros_manuales!$B$100+parametros_manuales!$F$43*(datos_base!$G$4+datos_base!$G$20+IF(parametros_manuales!$H$43="Todos",datos_base!$G$11+datos_base!$G$25,0))*parametros_manuales!$B$105+parametros_manuales!$G$43*(datos_base!$G$5+datos_base!$G$21+IF(parametros_manuales!$H$43="Todos",datos_base!$G$12+datos_base!$G$26,0))*parametros_manuales!$B$110)*parametros_manuales!$I$43*parametros_manuales!$J$43</f>
        <v>11153.92428891</v>
      </c>
      <c r="C161" s="9" t="n">
        <f aca="false">(parametros_manuales!$D$43*(datos_base!$G$2+datos_base!$G$18+IF(parametros_manuales!$H$43="Todos",datos_base!$G$9+datos_base!$G$23,0))*parametros_manuales!$C$95+parametros_manuales!$E$43*(datos_base!$G$3+datos_base!$G$19+IF(parametros_manuales!$H$43="Todos",datos_base!$G$10+datos_base!$G$24,0))*parametros_manuales!$C$100+parametros_manuales!$F$43*(datos_base!$G$4+datos_base!$G$20+IF(parametros_manuales!$H$43="Todos",datos_base!$G$11+datos_base!$G$25,0))*parametros_manuales!$C$105+parametros_manuales!$G$43*(datos_base!$G$5+datos_base!$G$21+IF(parametros_manuales!$H$43="Todos",datos_base!$G$12+datos_base!$G$26,0))*parametros_manuales!$C$110)*parametros_manuales!$I$43*parametros_manuales!$J$43</f>
        <v>10787.60389862</v>
      </c>
      <c r="D161" s="9" t="n">
        <f aca="false">(parametros_manuales!$D$43*(datos_base!$G$2+datos_base!$G$18+IF(parametros_manuales!$H$43="Todos",datos_base!$G$9+datos_base!$G$23,0))*parametros_manuales!$D$95+parametros_manuales!$E$43*(datos_base!$G$3+datos_base!$G$19+IF(parametros_manuales!$H$43="Todos",datos_base!$G$10+datos_base!$G$24,0))*parametros_manuales!$D$100+parametros_manuales!$F$43*(datos_base!$G$4+datos_base!$G$20+IF(parametros_manuales!$H$43="Todos",datos_base!$G$11+datos_base!$G$25,0))*parametros_manuales!$D$105+parametros_manuales!$G$43*(datos_base!$G$5+datos_base!$G$21+IF(parametros_manuales!$H$43="Todos",datos_base!$G$12+datos_base!$G$26,0))*parametros_manuales!$D$110)*parametros_manuales!$I$43*parametros_manuales!$J$43</f>
        <v>10097.759563065</v>
      </c>
      <c r="E161" s="9" t="n">
        <f aca="false">(parametros_manuales!$D$43*(datos_base!$G$2+datos_base!$G$18+IF(parametros_manuales!$H$43="Todos",datos_base!$G$9+datos_base!$G$23,0))*parametros_manuales!$E$95+parametros_manuales!$E$43*(datos_base!$G$3+datos_base!$G$19+IF(parametros_manuales!$H$43="Todos",datos_base!$G$10+datos_base!$G$24,0))*parametros_manuales!$E$100+parametros_manuales!$F$43*(datos_base!$G$4+datos_base!$G$20+IF(parametros_manuales!$H$43="Todos",datos_base!$G$11+datos_base!$G$25,0))*parametros_manuales!$E$105+parametros_manuales!$G$43*(datos_base!$G$5+datos_base!$G$21+IF(parametros_manuales!$H$43="Todos",datos_base!$G$12+datos_base!$G$26,0))*parametros_manuales!$E$110)*parametros_manuales!$I$43*parametros_manuales!$J$43</f>
        <v>9661.257297715</v>
      </c>
      <c r="F161" s="9" t="n">
        <f aca="false">(parametros_manuales!$D$43*(datos_base!$G$2+datos_base!$G$18+IF(parametros_manuales!$H$43="Todos",datos_base!$G$9+datos_base!$G$23,0))*parametros_manuales!$F$95+parametros_manuales!$E$43*(datos_base!$G$3+datos_base!$G$19+IF(parametros_manuales!$H$43="Todos",datos_base!$G$10+datos_base!$G$24,0))*parametros_manuales!$F$100+parametros_manuales!$F$43*(datos_base!$G$4+datos_base!$G$20+IF(parametros_manuales!$H$43="Todos",datos_base!$G$11+datos_base!$G$25,0))*parametros_manuales!$F$105+parametros_manuales!$G$43*(datos_base!$G$5+datos_base!$G$21+IF(parametros_manuales!$H$43="Todos",datos_base!$G$12+datos_base!$G$26,0))*parametros_manuales!$F$110)*parametros_manuales!$I$43*parametros_manuales!$J$43</f>
        <v>9041.59483722</v>
      </c>
      <c r="G161" s="9" t="n">
        <f aca="false">(parametros_manuales!$D$43*(datos_base!$G$2+datos_base!$G$18+IF(parametros_manuales!$H$43="Todos",datos_base!$G$9+datos_base!$G$23,0))*parametros_manuales!$G$95+parametros_manuales!$E$43*(datos_base!$G$3+datos_base!$G$19+IF(parametros_manuales!$H$43="Todos",datos_base!$G$10+datos_base!$G$24,0))*parametros_manuales!$G$100+parametros_manuales!$F$43*(datos_base!$G$4+datos_base!$G$20+IF(parametros_manuales!$H$43="Todos",datos_base!$G$11+datos_base!$G$25,0))*parametros_manuales!$G$105+parametros_manuales!$G$43*(datos_base!$G$5+datos_base!$G$21+IF(parametros_manuales!$H$43="Todos",datos_base!$G$12+datos_base!$G$26,0))*parametros_manuales!$G$110)*parametros_manuales!$I$43*parametros_manuales!$J$43</f>
        <v>8858.434642075</v>
      </c>
      <c r="H161" s="9" t="n">
        <f aca="false">(parametros_manuales!$D$43*(datos_base!$G$2+datos_base!$G$18+IF(parametros_manuales!$H$43="Todos",datos_base!$G$9+datos_base!$G$23,0))*parametros_manuales!$H$95+parametros_manuales!$E$43*(datos_base!$G$3+datos_base!$G$19+IF(parametros_manuales!$H$43="Todos",datos_base!$G$10+datos_base!$G$24,0))*parametros_manuales!$H$100+parametros_manuales!$F$43*(datos_base!$G$4+datos_base!$G$20+IF(parametros_manuales!$H$43="Todos",datos_base!$G$11+datos_base!$G$25,0))*parametros_manuales!$H$105+parametros_manuales!$G$43*(datos_base!$G$5+datos_base!$G$21+IF(parametros_manuales!$H$43="Todos",datos_base!$G$12+datos_base!$G$26,0))*parametros_manuales!$H$110)*parametros_manuales!$I$43*parametros_manuales!$J$43</f>
        <v>9478.09710257</v>
      </c>
      <c r="I161" s="9" t="n">
        <f aca="false">(parametros_manuales!$D$43*(datos_base!$G$2+datos_base!$G$18+IF(parametros_manuales!$H$43="Todos",datos_base!$G$9+datos_base!$G$23,0))*parametros_manuales!$I$95+parametros_manuales!$E$43*(datos_base!$G$3+datos_base!$G$19+IF(parametros_manuales!$H$43="Todos",datos_base!$G$10+datos_base!$G$24,0))*parametros_manuales!$I$100+parametros_manuales!$F$43*(datos_base!$G$4+datos_base!$G$20+IF(parametros_manuales!$H$43="Todos",datos_base!$G$11+datos_base!$G$25,0))*parametros_manuales!$I$105+parametros_manuales!$G$43*(datos_base!$G$5+datos_base!$G$21+IF(parametros_manuales!$H$43="Todos",datos_base!$G$12+datos_base!$G$26,0))*parametros_manuales!$I$110)*parametros_manuales!$I$43*parametros_manuales!$J$43</f>
        <v>10787.60389862</v>
      </c>
      <c r="J161" s="9" t="n">
        <f aca="false">(parametros_manuales!$D$43*(datos_base!$G$2+datos_base!$G$18+IF(parametros_manuales!$H$43="Todos",datos_base!$G$9+datos_base!$G$23,0))*parametros_manuales!$J$95+parametros_manuales!$E$43*(datos_base!$G$3+datos_base!$G$19+IF(parametros_manuales!$H$43="Todos",datos_base!$G$10+datos_base!$G$24,0))*parametros_manuales!$J$100+parametros_manuales!$F$43*(datos_base!$G$4+datos_base!$G$20+IF(parametros_manuales!$H$43="Todos",datos_base!$G$11+datos_base!$G$25,0))*parametros_manuales!$J$105+parametros_manuales!$G$43*(datos_base!$G$5+datos_base!$G$21+IF(parametros_manuales!$H$43="Todos",datos_base!$G$12+datos_base!$G$26,0))*parametros_manuales!$J$110)*parametros_manuales!$I$43*parametros_manuales!$J$43</f>
        <v>10787.60389862</v>
      </c>
      <c r="K161" s="9" t="n">
        <f aca="false">(parametros_manuales!$D$43*(datos_base!$G$2+datos_base!$G$18+IF(parametros_manuales!$H$43="Todos",datos_base!$G$9+datos_base!$G$23,0))*parametros_manuales!$K$95+parametros_manuales!$E$43*(datos_base!$G$3+datos_base!$G$19+IF(parametros_manuales!$H$43="Todos",datos_base!$G$10+datos_base!$G$24,0))*parametros_manuales!$K$100+parametros_manuales!$F$43*(datos_base!$G$4+datos_base!$G$20+IF(parametros_manuales!$H$43="Todos",datos_base!$G$11+datos_base!$G$25,0))*parametros_manuales!$K$105+parametros_manuales!$G$43*(datos_base!$G$5+datos_base!$G$21+IF(parametros_manuales!$H$43="Todos",datos_base!$G$12+datos_base!$G$26,0))*parametros_manuales!$K$110)*parametros_manuales!$I$43*parametros_manuales!$J$43</f>
        <v>10970.764093765</v>
      </c>
      <c r="L161" s="9" t="n">
        <f aca="false">(parametros_manuales!$D$43*(datos_base!$G$2+datos_base!$G$18+IF(parametros_manuales!$H$43="Todos",datos_base!$G$9+datos_base!$G$23,0))*parametros_manuales!$L$95+parametros_manuales!$E$43*(datos_base!$G$3+datos_base!$G$19+IF(parametros_manuales!$H$43="Todos",datos_base!$G$10+datos_base!$G$24,0))*parametros_manuales!$L$100+parametros_manuales!$F$43*(datos_base!$G$4+datos_base!$G$20+IF(parametros_manuales!$H$43="Todos",datos_base!$G$11+datos_base!$G$25,0))*parametros_manuales!$L$105+parametros_manuales!$G$43*(datos_base!$G$5+datos_base!$G$21+IF(parametros_manuales!$H$43="Todos",datos_base!$G$12+datos_base!$G$26,0))*parametros_manuales!$L$110)*parametros_manuales!$I$43*parametros_manuales!$J$43</f>
        <v>11153.92428891</v>
      </c>
      <c r="M161" s="9" t="n">
        <f aca="false">(parametros_manuales!$D$43*(datos_base!$G$2+datos_base!$G$18+IF(parametros_manuales!$H$43="Todos",datos_base!$G$9+datos_base!$G$23,0))*parametros_manuales!$M$95+parametros_manuales!$E$43*(datos_base!$G$3+datos_base!$G$19+IF(parametros_manuales!$H$43="Todos",datos_base!$G$10+datos_base!$G$24,0))*parametros_manuales!$M$100+parametros_manuales!$F$43*(datos_base!$G$4+datos_base!$G$20+IF(parametros_manuales!$H$43="Todos",datos_base!$G$11+datos_base!$G$25,0))*parametros_manuales!$M$105+parametros_manuales!$G$43*(datos_base!$G$5+datos_base!$G$21+IF(parametros_manuales!$H$43="Todos",datos_base!$G$12+datos_base!$G$26,0))*parametros_manuales!$M$110)*parametros_manuales!$I$43*parametros_manuales!$J$43</f>
        <v>11153.92428891</v>
      </c>
      <c r="N161" s="9" t="n">
        <f aca="false">SUM(B161:M161)</f>
        <v>123932.492099</v>
      </c>
      <c r="O161" s="9" t="n">
        <f aca="false">MAX(B161:M161)</f>
        <v>11153.92428891</v>
      </c>
      <c r="P161" s="43" t="n">
        <f aca="false">O161/(parametros_manuales!$B$7)</f>
        <v>74.3594952594</v>
      </c>
      <c r="Q161" s="8" t="str">
        <f aca="false">IF(O161=0,"-",INDEX($B$136:$M$136,MATCH(O161,B161:M161,0)))</f>
        <v>Ene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196</v>
      </c>
      <c r="B163" s="7" t="s">
        <v>61</v>
      </c>
      <c r="C163" s="7" t="s">
        <v>62</v>
      </c>
      <c r="D163" s="7" t="s">
        <v>63</v>
      </c>
      <c r="E163" s="7" t="s">
        <v>64</v>
      </c>
      <c r="F163" s="7" t="s">
        <v>65</v>
      </c>
      <c r="G163" s="7" t="s">
        <v>66</v>
      </c>
      <c r="H163" s="7" t="s">
        <v>67</v>
      </c>
      <c r="I163" s="7" t="s">
        <v>68</v>
      </c>
      <c r="J163" s="7" t="s">
        <v>69</v>
      </c>
      <c r="K163" s="7" t="s">
        <v>70</v>
      </c>
      <c r="L163" s="7" t="s">
        <v>71</v>
      </c>
      <c r="M163" s="7" t="s">
        <v>72</v>
      </c>
      <c r="N163" s="7" t="s">
        <v>183</v>
      </c>
      <c r="O163" s="7" t="s">
        <v>188</v>
      </c>
      <c r="P163" s="7" t="s">
        <v>189</v>
      </c>
      <c r="Q163" s="7" t="s">
        <v>190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datos_base!$H$2+datos_base!$H$18+IF(parametros_manuales!$H$19="Todos",datos_base!$H$9+datos_base!$H$23,0))*parametros_manuales!$B$95+parametros_manuales!$E$19*(datos_base!$H$3+datos_base!$H$19+IF(parametros_manuales!$H$19="Todos",datos_base!$H$10+datos_base!$H$24,0))*parametros_manuales!$B$100+parametros_manuales!$F$19*(datos_base!$H$4+datos_base!$H$20+IF(parametros_manuales!$H$19="Todos",datos_base!$H$11+datos_base!$H$25,0))*parametros_manuales!$B$105+parametros_manuales!$G$19*(datos_base!$H$5+datos_base!$H$21+IF(parametros_manuales!$H$19="Todos",datos_base!$H$12+datos_base!$H$26,0))*parametros_manuales!$B$110)*parametros_manuales!$I$19*parametros_manuales!$J$19</f>
        <v>15369.91822521</v>
      </c>
      <c r="C164" s="9" t="n">
        <f aca="false">(parametros_manuales!$D$19*(datos_base!$H$2+datos_base!$H$18+IF(parametros_manuales!$H$19="Todos",datos_base!$H$9+datos_base!$H$23,0))*parametros_manuales!$C$95+parametros_manuales!$E$19*(datos_base!$H$3+datos_base!$H$19+IF(parametros_manuales!$H$19="Todos",datos_base!$H$10+datos_base!$H$24,0))*parametros_manuales!$C$100+parametros_manuales!$F$19*(datos_base!$H$4+datos_base!$H$20+IF(parametros_manuales!$H$19="Todos",datos_base!$H$11+datos_base!$H$25,0))*parametros_manuales!$C$105+parametros_manuales!$G$19*(datos_base!$H$5+datos_base!$H$21+IF(parametros_manuales!$H$19="Todos",datos_base!$H$12+datos_base!$H$26,0))*parametros_manuales!$C$110)*parametros_manuales!$I$19*parametros_manuales!$J$19</f>
        <v>14878.88106612</v>
      </c>
      <c r="D164" s="9" t="n">
        <f aca="false">(parametros_manuales!$D$19*(datos_base!$H$2+datos_base!$H$18+IF(parametros_manuales!$H$19="Todos",datos_base!$H$9+datos_base!$H$23,0))*parametros_manuales!$D$95+parametros_manuales!$E$19*(datos_base!$H$3+datos_base!$H$19+IF(parametros_manuales!$H$19="Todos",datos_base!$H$10+datos_base!$H$24,0))*parametros_manuales!$D$100+parametros_manuales!$F$19*(datos_base!$H$4+datos_base!$H$20+IF(parametros_manuales!$H$19="Todos",datos_base!$H$11+datos_base!$H$25,0))*parametros_manuales!$D$105+parametros_manuales!$G$19*(datos_base!$H$5+datos_base!$H$21+IF(parametros_manuales!$H$19="Todos",datos_base!$H$12+datos_base!$H$26,0))*parametros_manuales!$D$110)*parametros_manuales!$I$19*parametros_manuales!$J$19</f>
        <v>13907.668113065</v>
      </c>
      <c r="E164" s="9" t="n">
        <f aca="false">(parametros_manuales!$D$19*(datos_base!$H$2+datos_base!$H$18+IF(parametros_manuales!$H$19="Todos",datos_base!$H$9+datos_base!$H$23,0))*parametros_manuales!$E$95+parametros_manuales!$E$19*(datos_base!$H$3+datos_base!$H$19+IF(parametros_manuales!$H$19="Todos",datos_base!$H$10+datos_base!$H$24,0))*parametros_manuales!$E$100+parametros_manuales!$F$19*(datos_base!$H$4+datos_base!$H$20+IF(parametros_manuales!$H$19="Todos",datos_base!$H$11+datos_base!$H$25,0))*parametros_manuales!$E$105+parametros_manuales!$G$19*(datos_base!$H$5+datos_base!$H$21+IF(parametros_manuales!$H$19="Todos",datos_base!$H$12+datos_base!$H$26,0))*parametros_manuales!$E$110)*parametros_manuales!$I$19*parametros_manuales!$J$19</f>
        <v>13299.302346765</v>
      </c>
      <c r="F164" s="9" t="n">
        <f aca="false">(parametros_manuales!$D$19*(datos_base!$H$2+datos_base!$H$18+IF(parametros_manuales!$H$19="Todos",datos_base!$H$9+datos_base!$H$23,0))*parametros_manuales!$F$95+parametros_manuales!$E$19*(datos_base!$H$3+datos_base!$H$19+IF(parametros_manuales!$H$19="Todos",datos_base!$H$10+datos_base!$H$24,0))*parametros_manuales!$F$100+parametros_manuales!$F$19*(datos_base!$H$4+datos_base!$H$20+IF(parametros_manuales!$H$19="Todos",datos_base!$H$11+datos_base!$H$25,0))*parametros_manuales!$F$105+parametros_manuales!$G$19*(datos_base!$H$5+datos_base!$H$21+IF(parametros_manuales!$H$19="Todos",datos_base!$H$12+datos_base!$H$26,0))*parametros_manuales!$F$110)*parametros_manuales!$I$19*parametros_manuales!$J$19</f>
        <v>12445.41800092</v>
      </c>
      <c r="G164" s="9" t="n">
        <f aca="false">(parametros_manuales!$D$19*(datos_base!$H$2+datos_base!$H$18+IF(parametros_manuales!$H$19="Todos",datos_base!$H$9+datos_base!$H$23,0))*parametros_manuales!$G$95+parametros_manuales!$E$19*(datos_base!$H$3+datos_base!$H$19+IF(parametros_manuales!$H$19="Todos",datos_base!$H$10+datos_base!$H$24,0))*parametros_manuales!$G$100+parametros_manuales!$F$19*(datos_base!$H$4+datos_base!$H$20+IF(parametros_manuales!$H$19="Todos",datos_base!$H$11+datos_base!$H$25,0))*parametros_manuales!$G$105+parametros_manuales!$G$19*(datos_base!$H$5+datos_base!$H$21+IF(parametros_manuales!$H$19="Todos",datos_base!$H$12+datos_base!$H$26,0))*parametros_manuales!$G$110)*parametros_manuales!$I$19*parametros_manuales!$J$19</f>
        <v>12199.899421375</v>
      </c>
      <c r="H164" s="9" t="n">
        <f aca="false">(parametros_manuales!$D$19*(datos_base!$H$2+datos_base!$H$18+IF(parametros_manuales!$H$19="Todos",datos_base!$H$9+datos_base!$H$23,0))*parametros_manuales!$H$95+parametros_manuales!$E$19*(datos_base!$H$3+datos_base!$H$19+IF(parametros_manuales!$H$19="Todos",datos_base!$H$10+datos_base!$H$24,0))*parametros_manuales!$H$100+parametros_manuales!$F$19*(datos_base!$H$4+datos_base!$H$20+IF(parametros_manuales!$H$19="Todos",datos_base!$H$11+datos_base!$H$25,0))*parametros_manuales!$H$105+parametros_manuales!$G$19*(datos_base!$H$5+datos_base!$H$21+IF(parametros_manuales!$H$19="Todos",datos_base!$H$12+datos_base!$H$26,0))*parametros_manuales!$H$110)*parametros_manuales!$I$19*parametros_manuales!$J$19</f>
        <v>13053.78376722</v>
      </c>
      <c r="I164" s="9" t="n">
        <f aca="false">(parametros_manuales!$D$19*(datos_base!$H$2+datos_base!$H$18+IF(parametros_manuales!$H$19="Todos",datos_base!$H$9+datos_base!$H$23,0))*parametros_manuales!$I$95+parametros_manuales!$E$19*(datos_base!$H$3+datos_base!$H$19+IF(parametros_manuales!$H$19="Todos",datos_base!$H$10+datos_base!$H$24,0))*parametros_manuales!$I$100+parametros_manuales!$F$19*(datos_base!$H$4+datos_base!$H$20+IF(parametros_manuales!$H$19="Todos",datos_base!$H$11+datos_base!$H$25,0))*parametros_manuales!$I$105+parametros_manuales!$G$19*(datos_base!$H$5+datos_base!$H$21+IF(parametros_manuales!$H$19="Todos",datos_base!$H$12+datos_base!$H$26,0))*parametros_manuales!$I$110)*parametros_manuales!$I$19*parametros_manuales!$J$19</f>
        <v>14878.88106612</v>
      </c>
      <c r="J164" s="9" t="n">
        <f aca="false">(parametros_manuales!$D$19*(datos_base!$H$2+datos_base!$H$18+IF(parametros_manuales!$H$19="Todos",datos_base!$H$9+datos_base!$H$23,0))*parametros_manuales!$J$95+parametros_manuales!$E$19*(datos_base!$H$3+datos_base!$H$19+IF(parametros_manuales!$H$19="Todos",datos_base!$H$10+datos_base!$H$24,0))*parametros_manuales!$J$100+parametros_manuales!$F$19*(datos_base!$H$4+datos_base!$H$20+IF(parametros_manuales!$H$19="Todos",datos_base!$H$11+datos_base!$H$25,0))*parametros_manuales!$J$105+parametros_manuales!$G$19*(datos_base!$H$5+datos_base!$H$21+IF(parametros_manuales!$H$19="Todos",datos_base!$H$12+datos_base!$H$26,0))*parametros_manuales!$J$110)*parametros_manuales!$I$19*parametros_manuales!$J$19</f>
        <v>14878.88106612</v>
      </c>
      <c r="K164" s="9" t="n">
        <f aca="false">(parametros_manuales!$D$19*(datos_base!$H$2+datos_base!$H$18+IF(parametros_manuales!$H$19="Todos",datos_base!$H$9+datos_base!$H$23,0))*parametros_manuales!$K$95+parametros_manuales!$E$19*(datos_base!$H$3+datos_base!$H$19+IF(parametros_manuales!$H$19="Todos",datos_base!$H$10+datos_base!$H$24,0))*parametros_manuales!$K$100+parametros_manuales!$F$19*(datos_base!$H$4+datos_base!$H$20+IF(parametros_manuales!$H$19="Todos",datos_base!$H$11+datos_base!$H$25,0))*parametros_manuales!$K$105+parametros_manuales!$G$19*(datos_base!$H$5+datos_base!$H$21+IF(parametros_manuales!$H$19="Todos",datos_base!$H$12+datos_base!$H$26,0))*parametros_manuales!$K$110)*parametros_manuales!$I$19*parametros_manuales!$J$19</f>
        <v>15124.399645665</v>
      </c>
      <c r="L164" s="9" t="n">
        <f aca="false">(parametros_manuales!$D$19*(datos_base!$H$2+datos_base!$H$18+IF(parametros_manuales!$H$19="Todos",datos_base!$H$9+datos_base!$H$23,0))*parametros_manuales!$L$95+parametros_manuales!$E$19*(datos_base!$H$3+datos_base!$H$19+IF(parametros_manuales!$H$19="Todos",datos_base!$H$10+datos_base!$H$24,0))*parametros_manuales!$L$100+parametros_manuales!$F$19*(datos_base!$H$4+datos_base!$H$20+IF(parametros_manuales!$H$19="Todos",datos_base!$H$11+datos_base!$H$25,0))*parametros_manuales!$L$105+parametros_manuales!$G$19*(datos_base!$H$5+datos_base!$H$21+IF(parametros_manuales!$H$19="Todos",datos_base!$H$12+datos_base!$H$26,0))*parametros_manuales!$L$110)*parametros_manuales!$I$19*parametros_manuales!$J$19</f>
        <v>15369.91822521</v>
      </c>
      <c r="M164" s="9" t="n">
        <f aca="false">(parametros_manuales!$D$19*(datos_base!$H$2+datos_base!$H$18+IF(parametros_manuales!$H$19="Todos",datos_base!$H$9+datos_base!$H$23,0))*parametros_manuales!$M$95+parametros_manuales!$E$19*(datos_base!$H$3+datos_base!$H$19+IF(parametros_manuales!$H$19="Todos",datos_base!$H$10+datos_base!$H$24,0))*parametros_manuales!$M$100+parametros_manuales!$F$19*(datos_base!$H$4+datos_base!$H$20+IF(parametros_manuales!$H$19="Todos",datos_base!$H$11+datos_base!$H$25,0))*parametros_manuales!$M$105+parametros_manuales!$G$19*(datos_base!$H$5+datos_base!$H$21+IF(parametros_manuales!$H$19="Todos",datos_base!$H$12+datos_base!$H$26,0))*parametros_manuales!$M$110)*parametros_manuales!$I$19*parametros_manuales!$J$19</f>
        <v>15369.91822521</v>
      </c>
      <c r="N164" s="9" t="n">
        <f aca="false">SUM(B164:M164)</f>
        <v>170776.869169</v>
      </c>
      <c r="O164" s="9" t="n">
        <f aca="false">MAX(B164:M164)</f>
        <v>15369.91822521</v>
      </c>
      <c r="P164" s="43" t="n">
        <f aca="false">O164/(parametros_manuales!$B$7)</f>
        <v>102.4661215014</v>
      </c>
      <c r="Q164" s="8" t="str">
        <f aca="false">IF(O164=0,"-",INDEX($B$163:$M$163,MATCH(O164,B164:M164,0)))</f>
        <v>Ene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datos_base!$H$2+datos_base!$H$18+IF(parametros_manuales!$H$20="Todos",datos_base!$H$9+datos_base!$H$23,0))*parametros_manuales!$B$95+parametros_manuales!$E$20*(datos_base!$H$3+datos_base!$H$19+IF(parametros_manuales!$H$20="Todos",datos_base!$H$10+datos_base!$H$24,0))*parametros_manuales!$B$100+parametros_manuales!$F$20*(datos_base!$H$4+datos_base!$H$20+IF(parametros_manuales!$H$20="Todos",datos_base!$H$11+datos_base!$H$25,0))*parametros_manuales!$B$105+parametros_manuales!$G$20*(datos_base!$H$5+datos_base!$H$21+IF(parametros_manuales!$H$20="Todos",datos_base!$H$12+datos_base!$H$26,0))*parametros_manuales!$B$110)*parametros_manuales!$I$20*parametros_manuales!$J$20</f>
        <v>4419.33443181</v>
      </c>
      <c r="C165" s="9" t="n">
        <f aca="false">(parametros_manuales!$D$20*(datos_base!$H$2+datos_base!$H$18+IF(parametros_manuales!$H$20="Todos",datos_base!$H$9+datos_base!$H$23,0))*parametros_manuales!$C$95+parametros_manuales!$E$20*(datos_base!$H$3+datos_base!$H$19+IF(parametros_manuales!$H$20="Todos",datos_base!$H$10+datos_base!$H$24,0))*parametros_manuales!$C$100+parametros_manuales!$F$20*(datos_base!$H$4+datos_base!$H$20+IF(parametros_manuales!$H$20="Todos",datos_base!$H$11+datos_base!$H$25,0))*parametros_manuales!$C$105+parametros_manuales!$G$20*(datos_base!$H$5+datos_base!$H$21+IF(parametros_manuales!$H$20="Todos",datos_base!$H$12+datos_base!$H$26,0))*parametros_manuales!$C$110)*parametros_manuales!$I$20*parametros_manuales!$J$20</f>
        <v>3928.29727272</v>
      </c>
      <c r="D165" s="9" t="n">
        <f aca="false">(parametros_manuales!$D$20*(datos_base!$H$2+datos_base!$H$18+IF(parametros_manuales!$H$20="Todos",datos_base!$H$9+datos_base!$H$23,0))*parametros_manuales!$D$95+parametros_manuales!$E$20*(datos_base!$H$3+datos_base!$H$19+IF(parametros_manuales!$H$20="Todos",datos_base!$H$10+datos_base!$H$24,0))*parametros_manuales!$D$100+parametros_manuales!$F$20*(datos_base!$H$4+datos_base!$H$20+IF(parametros_manuales!$H$20="Todos",datos_base!$H$11+datos_base!$H$25,0))*parametros_manuales!$D$105+parametros_manuales!$G$20*(datos_base!$H$5+datos_base!$H$21+IF(parametros_manuales!$H$20="Todos",datos_base!$H$12+datos_base!$H$26,0))*parametros_manuales!$D$110)*parametros_manuales!$I$20*parametros_manuales!$J$20</f>
        <v>4173.815852265</v>
      </c>
      <c r="E165" s="9" t="n">
        <f aca="false">(parametros_manuales!$D$20*(datos_base!$H$2+datos_base!$H$18+IF(parametros_manuales!$H$20="Todos",datos_base!$H$9+datos_base!$H$23,0))*parametros_manuales!$E$95+parametros_manuales!$E$20*(datos_base!$H$3+datos_base!$H$19+IF(parametros_manuales!$H$20="Todos",datos_base!$H$10+datos_base!$H$24,0))*parametros_manuales!$E$100+parametros_manuales!$F$20*(datos_base!$H$4+datos_base!$H$20+IF(parametros_manuales!$H$20="Todos",datos_base!$H$11+datos_base!$H$25,0))*parametros_manuales!$E$105+parametros_manuales!$G$20*(datos_base!$H$5+datos_base!$H$21+IF(parametros_manuales!$H$20="Todos",datos_base!$H$12+datos_base!$H$26,0))*parametros_manuales!$E$110)*parametros_manuales!$I$20*parametros_manuales!$J$20</f>
        <v>4173.815852265</v>
      </c>
      <c r="F165" s="9" t="n">
        <f aca="false">(parametros_manuales!$D$20*(datos_base!$H$2+datos_base!$H$18+IF(parametros_manuales!$H$20="Todos",datos_base!$H$9+datos_base!$H$23,0))*parametros_manuales!$F$95+parametros_manuales!$E$20*(datos_base!$H$3+datos_base!$H$19+IF(parametros_manuales!$H$20="Todos",datos_base!$H$10+datos_base!$H$24,0))*parametros_manuales!$F$100+parametros_manuales!$F$20*(datos_base!$H$4+datos_base!$H$20+IF(parametros_manuales!$H$20="Todos",datos_base!$H$11+datos_base!$H$25,0))*parametros_manuales!$F$105+parametros_manuales!$G$20*(datos_base!$H$5+datos_base!$H$21+IF(parametros_manuales!$H$20="Todos",datos_base!$H$12+datos_base!$H$26,0))*parametros_manuales!$F$110)*parametros_manuales!$I$20*parametros_manuales!$J$20</f>
        <v>3928.29727272</v>
      </c>
      <c r="G165" s="9" t="n">
        <f aca="false">(parametros_manuales!$D$20*(datos_base!$H$2+datos_base!$H$18+IF(parametros_manuales!$H$20="Todos",datos_base!$H$9+datos_base!$H$23,0))*parametros_manuales!$G$95+parametros_manuales!$E$20*(datos_base!$H$3+datos_base!$H$19+IF(parametros_manuales!$H$20="Todos",datos_base!$H$10+datos_base!$H$24,0))*parametros_manuales!$G$100+parametros_manuales!$F$20*(datos_base!$H$4+datos_base!$H$20+IF(parametros_manuales!$H$20="Todos",datos_base!$H$11+datos_base!$H$25,0))*parametros_manuales!$G$105+parametros_manuales!$G$20*(datos_base!$H$5+datos_base!$H$21+IF(parametros_manuales!$H$20="Todos",datos_base!$H$12+datos_base!$H$26,0))*parametros_manuales!$G$110)*parametros_manuales!$I$20*parametros_manuales!$J$20</f>
        <v>3682.778693175</v>
      </c>
      <c r="H165" s="9" t="n">
        <f aca="false">(parametros_manuales!$D$20*(datos_base!$H$2+datos_base!$H$18+IF(parametros_manuales!$H$20="Todos",datos_base!$H$9+datos_base!$H$23,0))*parametros_manuales!$H$95+parametros_manuales!$E$20*(datos_base!$H$3+datos_base!$H$19+IF(parametros_manuales!$H$20="Todos",datos_base!$H$10+datos_base!$H$24,0))*parametros_manuales!$H$100+parametros_manuales!$F$20*(datos_base!$H$4+datos_base!$H$20+IF(parametros_manuales!$H$20="Todos",datos_base!$H$11+datos_base!$H$25,0))*parametros_manuales!$H$105+parametros_manuales!$G$20*(datos_base!$H$5+datos_base!$H$21+IF(parametros_manuales!$H$20="Todos",datos_base!$H$12+datos_base!$H$26,0))*parametros_manuales!$H$110)*parametros_manuales!$I$20*parametros_manuales!$J$20</f>
        <v>3928.29727272</v>
      </c>
      <c r="I165" s="9" t="n">
        <f aca="false">(parametros_manuales!$D$20*(datos_base!$H$2+datos_base!$H$18+IF(parametros_manuales!$H$20="Todos",datos_base!$H$9+datos_base!$H$23,0))*parametros_manuales!$I$95+parametros_manuales!$E$20*(datos_base!$H$3+datos_base!$H$19+IF(parametros_manuales!$H$20="Todos",datos_base!$H$10+datos_base!$H$24,0))*parametros_manuales!$I$100+parametros_manuales!$F$20*(datos_base!$H$4+datos_base!$H$20+IF(parametros_manuales!$H$20="Todos",datos_base!$H$11+datos_base!$H$25,0))*parametros_manuales!$I$105+parametros_manuales!$G$20*(datos_base!$H$5+datos_base!$H$21+IF(parametros_manuales!$H$20="Todos",datos_base!$H$12+datos_base!$H$26,0))*parametros_manuales!$I$110)*parametros_manuales!$I$20*parametros_manuales!$J$20</f>
        <v>3928.29727272</v>
      </c>
      <c r="J165" s="9" t="n">
        <f aca="false">(parametros_manuales!$D$20*(datos_base!$H$2+datos_base!$H$18+IF(parametros_manuales!$H$20="Todos",datos_base!$H$9+datos_base!$H$23,0))*parametros_manuales!$J$95+parametros_manuales!$E$20*(datos_base!$H$3+datos_base!$H$19+IF(parametros_manuales!$H$20="Todos",datos_base!$H$10+datos_base!$H$24,0))*parametros_manuales!$J$100+parametros_manuales!$F$20*(datos_base!$H$4+datos_base!$H$20+IF(parametros_manuales!$H$20="Todos",datos_base!$H$11+datos_base!$H$25,0))*parametros_manuales!$J$105+parametros_manuales!$G$20*(datos_base!$H$5+datos_base!$H$21+IF(parametros_manuales!$H$20="Todos",datos_base!$H$12+datos_base!$H$26,0))*parametros_manuales!$J$110)*parametros_manuales!$I$20*parametros_manuales!$J$20</f>
        <v>3928.29727272</v>
      </c>
      <c r="K165" s="9" t="n">
        <f aca="false">(parametros_manuales!$D$20*(datos_base!$H$2+datos_base!$H$18+IF(parametros_manuales!$H$20="Todos",datos_base!$H$9+datos_base!$H$23,0))*parametros_manuales!$K$95+parametros_manuales!$E$20*(datos_base!$H$3+datos_base!$H$19+IF(parametros_manuales!$H$20="Todos",datos_base!$H$10+datos_base!$H$24,0))*parametros_manuales!$K$100+parametros_manuales!$F$20*(datos_base!$H$4+datos_base!$H$20+IF(parametros_manuales!$H$20="Todos",datos_base!$H$11+datos_base!$H$25,0))*parametros_manuales!$K$105+parametros_manuales!$G$20*(datos_base!$H$5+datos_base!$H$21+IF(parametros_manuales!$H$20="Todos",datos_base!$H$12+datos_base!$H$26,0))*parametros_manuales!$K$110)*parametros_manuales!$I$20*parametros_manuales!$J$20</f>
        <v>4173.815852265</v>
      </c>
      <c r="L165" s="9" t="n">
        <f aca="false">(parametros_manuales!$D$20*(datos_base!$H$2+datos_base!$H$18+IF(parametros_manuales!$H$20="Todos",datos_base!$H$9+datos_base!$H$23,0))*parametros_manuales!$L$95+parametros_manuales!$E$20*(datos_base!$H$3+datos_base!$H$19+IF(parametros_manuales!$H$20="Todos",datos_base!$H$10+datos_base!$H$24,0))*parametros_manuales!$L$100+parametros_manuales!$F$20*(datos_base!$H$4+datos_base!$H$20+IF(parametros_manuales!$H$20="Todos",datos_base!$H$11+datos_base!$H$25,0))*parametros_manuales!$L$105+parametros_manuales!$G$20*(datos_base!$H$5+datos_base!$H$21+IF(parametros_manuales!$H$20="Todos",datos_base!$H$12+datos_base!$H$26,0))*parametros_manuales!$L$110)*parametros_manuales!$I$20*parametros_manuales!$J$20</f>
        <v>4419.33443181</v>
      </c>
      <c r="M165" s="9" t="n">
        <f aca="false">(parametros_manuales!$D$20*(datos_base!$H$2+datos_base!$H$18+IF(parametros_manuales!$H$20="Todos",datos_base!$H$9+datos_base!$H$23,0))*parametros_manuales!$M$95+parametros_manuales!$E$20*(datos_base!$H$3+datos_base!$H$19+IF(parametros_manuales!$H$20="Todos",datos_base!$H$10+datos_base!$H$24,0))*parametros_manuales!$M$100+parametros_manuales!$F$20*(datos_base!$H$4+datos_base!$H$20+IF(parametros_manuales!$H$20="Todos",datos_base!$H$11+datos_base!$H$25,0))*parametros_manuales!$M$105+parametros_manuales!$G$20*(datos_base!$H$5+datos_base!$H$21+IF(parametros_manuales!$H$20="Todos",datos_base!$H$12+datos_base!$H$26,0))*parametros_manuales!$M$110)*parametros_manuales!$I$20*parametros_manuales!$J$20</f>
        <v>4419.33443181</v>
      </c>
      <c r="N165" s="9" t="n">
        <f aca="false">SUM(B165:M165)</f>
        <v>49103.715909</v>
      </c>
      <c r="O165" s="9" t="n">
        <f aca="false">MAX(B165:M165)</f>
        <v>4419.33443181</v>
      </c>
      <c r="P165" s="43" t="n">
        <f aca="false">O165/(parametros_manuales!$B$7)</f>
        <v>29.4622295454</v>
      </c>
      <c r="Q165" s="8" t="str">
        <f aca="false">IF(O165=0,"-",INDEX($B$163:$M$163,MATCH(O165,B165:M165,0)))</f>
        <v>Ene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datos_base!$H$2+datos_base!$H$18+IF(parametros_manuales!$H$21="Todos",datos_base!$H$9+datos_base!$H$23,0))*parametros_manuales!$B$95+parametros_manuales!$E$21*(datos_base!$H$3+datos_base!$H$19+IF(parametros_manuales!$H$21="Todos",datos_base!$H$10+datos_base!$H$24,0))*parametros_manuales!$B$100+parametros_manuales!$F$21*(datos_base!$H$4+datos_base!$H$20+IF(parametros_manuales!$H$21="Todos",datos_base!$H$11+datos_base!$H$25,0))*parametros_manuales!$B$105+parametros_manuales!$G$21*(datos_base!$H$5+datos_base!$H$21+IF(parametros_manuales!$H$21="Todos",datos_base!$H$12+datos_base!$H$26,0))*parametros_manuales!$B$110)*parametros_manuales!$I$21*parametros_manuales!$J$21</f>
        <v>10950.5837934</v>
      </c>
      <c r="C166" s="9" t="n">
        <f aca="false">(parametros_manuales!$D$21*(datos_base!$H$2+datos_base!$H$18+IF(parametros_manuales!$H$21="Todos",datos_base!$H$9+datos_base!$H$23,0))*parametros_manuales!$C$95+parametros_manuales!$E$21*(datos_base!$H$3+datos_base!$H$19+IF(parametros_manuales!$H$21="Todos",datos_base!$H$10+datos_base!$H$24,0))*parametros_manuales!$C$100+parametros_manuales!$F$21*(datos_base!$H$4+datos_base!$H$20+IF(parametros_manuales!$H$21="Todos",datos_base!$H$11+datos_base!$H$25,0))*parametros_manuales!$C$105+parametros_manuales!$G$21*(datos_base!$H$5+datos_base!$H$21+IF(parametros_manuales!$H$21="Todos",datos_base!$H$12+datos_base!$H$26,0))*parametros_manuales!$C$110)*parametros_manuales!$I$21*parametros_manuales!$J$21</f>
        <v>10950.5837934</v>
      </c>
      <c r="D166" s="9" t="n">
        <f aca="false">(parametros_manuales!$D$21*(datos_base!$H$2+datos_base!$H$18+IF(parametros_manuales!$H$21="Todos",datos_base!$H$9+datos_base!$H$23,0))*parametros_manuales!$D$95+parametros_manuales!$E$21*(datos_base!$H$3+datos_base!$H$19+IF(parametros_manuales!$H$21="Todos",datos_base!$H$10+datos_base!$H$24,0))*parametros_manuales!$D$100+parametros_manuales!$F$21*(datos_base!$H$4+datos_base!$H$20+IF(parametros_manuales!$H$21="Todos",datos_base!$H$11+datos_base!$H$25,0))*parametros_manuales!$D$105+parametros_manuales!$G$21*(datos_base!$H$5+datos_base!$H$21+IF(parametros_manuales!$H$21="Todos",datos_base!$H$12+datos_base!$H$26,0))*parametros_manuales!$D$110)*parametros_manuales!$I$21*parametros_manuales!$J$21</f>
        <v>9733.8522608</v>
      </c>
      <c r="E166" s="9" t="n">
        <f aca="false">(parametros_manuales!$D$21*(datos_base!$H$2+datos_base!$H$18+IF(parametros_manuales!$H$21="Todos",datos_base!$H$9+datos_base!$H$23,0))*parametros_manuales!$E$95+parametros_manuales!$E$21*(datos_base!$H$3+datos_base!$H$19+IF(parametros_manuales!$H$21="Todos",datos_base!$H$10+datos_base!$H$24,0))*parametros_manuales!$E$100+parametros_manuales!$F$21*(datos_base!$H$4+datos_base!$H$20+IF(parametros_manuales!$H$21="Todos",datos_base!$H$11+datos_base!$H$25,0))*parametros_manuales!$E$105+parametros_manuales!$G$21*(datos_base!$H$5+datos_base!$H$21+IF(parametros_manuales!$H$21="Todos",datos_base!$H$12+datos_base!$H$26,0))*parametros_manuales!$E$110)*parametros_manuales!$I$21*parametros_manuales!$J$21</f>
        <v>9125.4864945</v>
      </c>
      <c r="F166" s="9" t="n">
        <f aca="false">(parametros_manuales!$D$21*(datos_base!$H$2+datos_base!$H$18+IF(parametros_manuales!$H$21="Todos",datos_base!$H$9+datos_base!$H$23,0))*parametros_manuales!$F$95+parametros_manuales!$E$21*(datos_base!$H$3+datos_base!$H$19+IF(parametros_manuales!$H$21="Todos",datos_base!$H$10+datos_base!$H$24,0))*parametros_manuales!$F$100+parametros_manuales!$F$21*(datos_base!$H$4+datos_base!$H$20+IF(parametros_manuales!$H$21="Todos",datos_base!$H$11+datos_base!$H$25,0))*parametros_manuales!$F$105+parametros_manuales!$G$21*(datos_base!$H$5+datos_base!$H$21+IF(parametros_manuales!$H$21="Todos",datos_base!$H$12+datos_base!$H$26,0))*parametros_manuales!$F$110)*parametros_manuales!$I$21*parametros_manuales!$J$21</f>
        <v>8517.1207282</v>
      </c>
      <c r="G166" s="9" t="n">
        <f aca="false">(parametros_manuales!$D$21*(datos_base!$H$2+datos_base!$H$18+IF(parametros_manuales!$H$21="Todos",datos_base!$H$9+datos_base!$H$23,0))*parametros_manuales!$G$95+parametros_manuales!$E$21*(datos_base!$H$3+datos_base!$H$19+IF(parametros_manuales!$H$21="Todos",datos_base!$H$10+datos_base!$H$24,0))*parametros_manuales!$G$100+parametros_manuales!$F$21*(datos_base!$H$4+datos_base!$H$20+IF(parametros_manuales!$H$21="Todos",datos_base!$H$11+datos_base!$H$25,0))*parametros_manuales!$G$105+parametros_manuales!$G$21*(datos_base!$H$5+datos_base!$H$21+IF(parametros_manuales!$H$21="Todos",datos_base!$H$12+datos_base!$H$26,0))*parametros_manuales!$G$110)*parametros_manuales!$I$21*parametros_manuales!$J$21</f>
        <v>8517.1207282</v>
      </c>
      <c r="H166" s="9" t="n">
        <f aca="false">(parametros_manuales!$D$21*(datos_base!$H$2+datos_base!$H$18+IF(parametros_manuales!$H$21="Todos",datos_base!$H$9+datos_base!$H$23,0))*parametros_manuales!$H$95+parametros_manuales!$E$21*(datos_base!$H$3+datos_base!$H$19+IF(parametros_manuales!$H$21="Todos",datos_base!$H$10+datos_base!$H$24,0))*parametros_manuales!$H$100+parametros_manuales!$F$21*(datos_base!$H$4+datos_base!$H$20+IF(parametros_manuales!$H$21="Todos",datos_base!$H$11+datos_base!$H$25,0))*parametros_manuales!$H$105+parametros_manuales!$G$21*(datos_base!$H$5+datos_base!$H$21+IF(parametros_manuales!$H$21="Todos",datos_base!$H$12+datos_base!$H$26,0))*parametros_manuales!$H$110)*parametros_manuales!$I$21*parametros_manuales!$J$21</f>
        <v>9125.4864945</v>
      </c>
      <c r="I166" s="9" t="n">
        <f aca="false">(parametros_manuales!$D$21*(datos_base!$H$2+datos_base!$H$18+IF(parametros_manuales!$H$21="Todos",datos_base!$H$9+datos_base!$H$23,0))*parametros_manuales!$I$95+parametros_manuales!$E$21*(datos_base!$H$3+datos_base!$H$19+IF(parametros_manuales!$H$21="Todos",datos_base!$H$10+datos_base!$H$24,0))*parametros_manuales!$I$100+parametros_manuales!$F$21*(datos_base!$H$4+datos_base!$H$20+IF(parametros_manuales!$H$21="Todos",datos_base!$H$11+datos_base!$H$25,0))*parametros_manuales!$I$105+parametros_manuales!$G$21*(datos_base!$H$5+datos_base!$H$21+IF(parametros_manuales!$H$21="Todos",datos_base!$H$12+datos_base!$H$26,0))*parametros_manuales!$I$110)*parametros_manuales!$I$21*parametros_manuales!$J$21</f>
        <v>10950.5837934</v>
      </c>
      <c r="J166" s="9" t="n">
        <f aca="false">(parametros_manuales!$D$21*(datos_base!$H$2+datos_base!$H$18+IF(parametros_manuales!$H$21="Todos",datos_base!$H$9+datos_base!$H$23,0))*parametros_manuales!$J$95+parametros_manuales!$E$21*(datos_base!$H$3+datos_base!$H$19+IF(parametros_manuales!$H$21="Todos",datos_base!$H$10+datos_base!$H$24,0))*parametros_manuales!$J$100+parametros_manuales!$F$21*(datos_base!$H$4+datos_base!$H$20+IF(parametros_manuales!$H$21="Todos",datos_base!$H$11+datos_base!$H$25,0))*parametros_manuales!$J$105+parametros_manuales!$G$21*(datos_base!$H$5+datos_base!$H$21+IF(parametros_manuales!$H$21="Todos",datos_base!$H$12+datos_base!$H$26,0))*parametros_manuales!$J$110)*parametros_manuales!$I$21*parametros_manuales!$J$21</f>
        <v>10950.5837934</v>
      </c>
      <c r="K166" s="9" t="n">
        <f aca="false">(parametros_manuales!$D$21*(datos_base!$H$2+datos_base!$H$18+IF(parametros_manuales!$H$21="Todos",datos_base!$H$9+datos_base!$H$23,0))*parametros_manuales!$K$95+parametros_manuales!$E$21*(datos_base!$H$3+datos_base!$H$19+IF(parametros_manuales!$H$21="Todos",datos_base!$H$10+datos_base!$H$24,0))*parametros_manuales!$K$100+parametros_manuales!$F$21*(datos_base!$H$4+datos_base!$H$20+IF(parametros_manuales!$H$21="Todos",datos_base!$H$11+datos_base!$H$25,0))*parametros_manuales!$K$105+parametros_manuales!$G$21*(datos_base!$H$5+datos_base!$H$21+IF(parametros_manuales!$H$21="Todos",datos_base!$H$12+datos_base!$H$26,0))*parametros_manuales!$K$110)*parametros_manuales!$I$21*parametros_manuales!$J$21</f>
        <v>10950.5837934</v>
      </c>
      <c r="L166" s="9" t="n">
        <f aca="false">(parametros_manuales!$D$21*(datos_base!$H$2+datos_base!$H$18+IF(parametros_manuales!$H$21="Todos",datos_base!$H$9+datos_base!$H$23,0))*parametros_manuales!$L$95+parametros_manuales!$E$21*(datos_base!$H$3+datos_base!$H$19+IF(parametros_manuales!$H$21="Todos",datos_base!$H$10+datos_base!$H$24,0))*parametros_manuales!$L$100+parametros_manuales!$F$21*(datos_base!$H$4+datos_base!$H$20+IF(parametros_manuales!$H$21="Todos",datos_base!$H$11+datos_base!$H$25,0))*parametros_manuales!$L$105+parametros_manuales!$G$21*(datos_base!$H$5+datos_base!$H$21+IF(parametros_manuales!$H$21="Todos",datos_base!$H$12+datos_base!$H$26,0))*parametros_manuales!$L$110)*parametros_manuales!$I$21*parametros_manuales!$J$21</f>
        <v>10950.5837934</v>
      </c>
      <c r="M166" s="9" t="n">
        <f aca="false">(parametros_manuales!$D$21*(datos_base!$H$2+datos_base!$H$18+IF(parametros_manuales!$H$21="Todos",datos_base!$H$9+datos_base!$H$23,0))*parametros_manuales!$M$95+parametros_manuales!$E$21*(datos_base!$H$3+datos_base!$H$19+IF(parametros_manuales!$H$21="Todos",datos_base!$H$10+datos_base!$H$24,0))*parametros_manuales!$M$100+parametros_manuales!$F$21*(datos_base!$H$4+datos_base!$H$20+IF(parametros_manuales!$H$21="Todos",datos_base!$H$11+datos_base!$H$25,0))*parametros_manuales!$M$105+parametros_manuales!$G$21*(datos_base!$H$5+datos_base!$H$21+IF(parametros_manuales!$H$21="Todos",datos_base!$H$12+datos_base!$H$26,0))*parametros_manuales!$M$110)*parametros_manuales!$I$21*parametros_manuales!$J$21</f>
        <v>10950.5837934</v>
      </c>
      <c r="N166" s="9" t="n">
        <f aca="false">SUM(B166:M166)</f>
        <v>121673.15326</v>
      </c>
      <c r="O166" s="9" t="n">
        <f aca="false">MAX(B166:M166)</f>
        <v>10950.5837934</v>
      </c>
      <c r="P166" s="43" t="n">
        <f aca="false">O166/(parametros_manuales!$B$7)</f>
        <v>73.003891956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datos_base!$H$2+datos_base!$H$18+IF(parametros_manuales!$H$22="Todos",datos_base!$H$9+datos_base!$H$23,0))*parametros_manuales!$B$95+parametros_manuales!$E$22*(datos_base!$H$3+datos_base!$H$19+IF(parametros_manuales!$H$22="Todos",datos_base!$H$10+datos_base!$H$24,0))*parametros_manuales!$B$100+parametros_manuales!$F$22*(datos_base!$H$4+datos_base!$H$20+IF(parametros_manuales!$H$22="Todos",datos_base!$H$11+datos_base!$H$25,0))*parametros_manuales!$B$105+parametros_manuales!$G$22*(datos_base!$H$5+datos_base!$H$21+IF(parametros_manuales!$H$22="Todos",datos_base!$H$12+datos_base!$H$26,0))*parametros_manuales!$B$110)*parametros_manuales!$I$22*parametros_manuales!$J$22</f>
        <v>30739.83645042</v>
      </c>
      <c r="C167" s="9" t="n">
        <f aca="false">(parametros_manuales!$D$22*(datos_base!$H$2+datos_base!$H$18+IF(parametros_manuales!$H$22="Todos",datos_base!$H$9+datos_base!$H$23,0))*parametros_manuales!$C$95+parametros_manuales!$E$22*(datos_base!$H$3+datos_base!$H$19+IF(parametros_manuales!$H$22="Todos",datos_base!$H$10+datos_base!$H$24,0))*parametros_manuales!$C$100+parametros_manuales!$F$22*(datos_base!$H$4+datos_base!$H$20+IF(parametros_manuales!$H$22="Todos",datos_base!$H$11+datos_base!$H$25,0))*parametros_manuales!$C$105+parametros_manuales!$G$22*(datos_base!$H$5+datos_base!$H$21+IF(parametros_manuales!$H$22="Todos",datos_base!$H$12+datos_base!$H$26,0))*parametros_manuales!$C$110)*parametros_manuales!$I$22*parametros_manuales!$J$22</f>
        <v>29757.76213224</v>
      </c>
      <c r="D167" s="9" t="n">
        <f aca="false">(parametros_manuales!$D$22*(datos_base!$H$2+datos_base!$H$18+IF(parametros_manuales!$H$22="Todos",datos_base!$H$9+datos_base!$H$23,0))*parametros_manuales!$D$95+parametros_manuales!$E$22*(datos_base!$H$3+datos_base!$H$19+IF(parametros_manuales!$H$22="Todos",datos_base!$H$10+datos_base!$H$24,0))*parametros_manuales!$D$100+parametros_manuales!$F$22*(datos_base!$H$4+datos_base!$H$20+IF(parametros_manuales!$H$22="Todos",datos_base!$H$11+datos_base!$H$25,0))*parametros_manuales!$D$105+parametros_manuales!$G$22*(datos_base!$H$5+datos_base!$H$21+IF(parametros_manuales!$H$22="Todos",datos_base!$H$12+datos_base!$H$26,0))*parametros_manuales!$D$110)*parametros_manuales!$I$22*parametros_manuales!$J$22</f>
        <v>27815.33622613</v>
      </c>
      <c r="E167" s="9" t="n">
        <f aca="false">(parametros_manuales!$D$22*(datos_base!$H$2+datos_base!$H$18+IF(parametros_manuales!$H$22="Todos",datos_base!$H$9+datos_base!$H$23,0))*parametros_manuales!$E$95+parametros_manuales!$E$22*(datos_base!$H$3+datos_base!$H$19+IF(parametros_manuales!$H$22="Todos",datos_base!$H$10+datos_base!$H$24,0))*parametros_manuales!$E$100+parametros_manuales!$F$22*(datos_base!$H$4+datos_base!$H$20+IF(parametros_manuales!$H$22="Todos",datos_base!$H$11+datos_base!$H$25,0))*parametros_manuales!$E$105+parametros_manuales!$G$22*(datos_base!$H$5+datos_base!$H$21+IF(parametros_manuales!$H$22="Todos",datos_base!$H$12+datos_base!$H$26,0))*parametros_manuales!$E$110)*parametros_manuales!$I$22*parametros_manuales!$J$22</f>
        <v>26598.60469353</v>
      </c>
      <c r="F167" s="9" t="n">
        <f aca="false">(parametros_manuales!$D$22*(datos_base!$H$2+datos_base!$H$18+IF(parametros_manuales!$H$22="Todos",datos_base!$H$9+datos_base!$H$23,0))*parametros_manuales!$F$95+parametros_manuales!$E$22*(datos_base!$H$3+datos_base!$H$19+IF(parametros_manuales!$H$22="Todos",datos_base!$H$10+datos_base!$H$24,0))*parametros_manuales!$F$100+parametros_manuales!$F$22*(datos_base!$H$4+datos_base!$H$20+IF(parametros_manuales!$H$22="Todos",datos_base!$H$11+datos_base!$H$25,0))*parametros_manuales!$F$105+parametros_manuales!$G$22*(datos_base!$H$5+datos_base!$H$21+IF(parametros_manuales!$H$22="Todos",datos_base!$H$12+datos_base!$H$26,0))*parametros_manuales!$F$110)*parametros_manuales!$I$22*parametros_manuales!$J$22</f>
        <v>24890.83600184</v>
      </c>
      <c r="G167" s="9" t="n">
        <f aca="false">(parametros_manuales!$D$22*(datos_base!$H$2+datos_base!$H$18+IF(parametros_manuales!$H$22="Todos",datos_base!$H$9+datos_base!$H$23,0))*parametros_manuales!$G$95+parametros_manuales!$E$22*(datos_base!$H$3+datos_base!$H$19+IF(parametros_manuales!$H$22="Todos",datos_base!$H$10+datos_base!$H$24,0))*parametros_manuales!$G$100+parametros_manuales!$F$22*(datos_base!$H$4+datos_base!$H$20+IF(parametros_manuales!$H$22="Todos",datos_base!$H$11+datos_base!$H$25,0))*parametros_manuales!$G$105+parametros_manuales!$G$22*(datos_base!$H$5+datos_base!$H$21+IF(parametros_manuales!$H$22="Todos",datos_base!$H$12+datos_base!$H$26,0))*parametros_manuales!$G$110)*parametros_manuales!$I$22*parametros_manuales!$J$22</f>
        <v>24399.79884275</v>
      </c>
      <c r="H167" s="9" t="n">
        <f aca="false">(parametros_manuales!$D$22*(datos_base!$H$2+datos_base!$H$18+IF(parametros_manuales!$H$22="Todos",datos_base!$H$9+datos_base!$H$23,0))*parametros_manuales!$H$95+parametros_manuales!$E$22*(datos_base!$H$3+datos_base!$H$19+IF(parametros_manuales!$H$22="Todos",datos_base!$H$10+datos_base!$H$24,0))*parametros_manuales!$H$100+parametros_manuales!$F$22*(datos_base!$H$4+datos_base!$H$20+IF(parametros_manuales!$H$22="Todos",datos_base!$H$11+datos_base!$H$25,0))*parametros_manuales!$H$105+parametros_manuales!$G$22*(datos_base!$H$5+datos_base!$H$21+IF(parametros_manuales!$H$22="Todos",datos_base!$H$12+datos_base!$H$26,0))*parametros_manuales!$H$110)*parametros_manuales!$I$22*parametros_manuales!$J$22</f>
        <v>26107.56753444</v>
      </c>
      <c r="I167" s="9" t="n">
        <f aca="false">(parametros_manuales!$D$22*(datos_base!$H$2+datos_base!$H$18+IF(parametros_manuales!$H$22="Todos",datos_base!$H$9+datos_base!$H$23,0))*parametros_manuales!$I$95+parametros_manuales!$E$22*(datos_base!$H$3+datos_base!$H$19+IF(parametros_manuales!$H$22="Todos",datos_base!$H$10+datos_base!$H$24,0))*parametros_manuales!$I$100+parametros_manuales!$F$22*(datos_base!$H$4+datos_base!$H$20+IF(parametros_manuales!$H$22="Todos",datos_base!$H$11+datos_base!$H$25,0))*parametros_manuales!$I$105+parametros_manuales!$G$22*(datos_base!$H$5+datos_base!$H$21+IF(parametros_manuales!$H$22="Todos",datos_base!$H$12+datos_base!$H$26,0))*parametros_manuales!$I$110)*parametros_manuales!$I$22*parametros_manuales!$J$22</f>
        <v>29757.76213224</v>
      </c>
      <c r="J167" s="9" t="n">
        <f aca="false">(parametros_manuales!$D$22*(datos_base!$H$2+datos_base!$H$18+IF(parametros_manuales!$H$22="Todos",datos_base!$H$9+datos_base!$H$23,0))*parametros_manuales!$J$95+parametros_manuales!$E$22*(datos_base!$H$3+datos_base!$H$19+IF(parametros_manuales!$H$22="Todos",datos_base!$H$10+datos_base!$H$24,0))*parametros_manuales!$J$100+parametros_manuales!$F$22*(datos_base!$H$4+datos_base!$H$20+IF(parametros_manuales!$H$22="Todos",datos_base!$H$11+datos_base!$H$25,0))*parametros_manuales!$J$105+parametros_manuales!$G$22*(datos_base!$H$5+datos_base!$H$21+IF(parametros_manuales!$H$22="Todos",datos_base!$H$12+datos_base!$H$26,0))*parametros_manuales!$J$110)*parametros_manuales!$I$22*parametros_manuales!$J$22</f>
        <v>29757.76213224</v>
      </c>
      <c r="K167" s="9" t="n">
        <f aca="false">(parametros_manuales!$D$22*(datos_base!$H$2+datos_base!$H$18+IF(parametros_manuales!$H$22="Todos",datos_base!$H$9+datos_base!$H$23,0))*parametros_manuales!$K$95+parametros_manuales!$E$22*(datos_base!$H$3+datos_base!$H$19+IF(parametros_manuales!$H$22="Todos",datos_base!$H$10+datos_base!$H$24,0))*parametros_manuales!$K$100+parametros_manuales!$F$22*(datos_base!$H$4+datos_base!$H$20+IF(parametros_manuales!$H$22="Todos",datos_base!$H$11+datos_base!$H$25,0))*parametros_manuales!$K$105+parametros_manuales!$G$22*(datos_base!$H$5+datos_base!$H$21+IF(parametros_manuales!$H$22="Todos",datos_base!$H$12+datos_base!$H$26,0))*parametros_manuales!$K$110)*parametros_manuales!$I$22*parametros_manuales!$J$22</f>
        <v>30248.79929133</v>
      </c>
      <c r="L167" s="9" t="n">
        <f aca="false">(parametros_manuales!$D$22*(datos_base!$H$2+datos_base!$H$18+IF(parametros_manuales!$H$22="Todos",datos_base!$H$9+datos_base!$H$23,0))*parametros_manuales!$L$95+parametros_manuales!$E$22*(datos_base!$H$3+datos_base!$H$19+IF(parametros_manuales!$H$22="Todos",datos_base!$H$10+datos_base!$H$24,0))*parametros_manuales!$L$100+parametros_manuales!$F$22*(datos_base!$H$4+datos_base!$H$20+IF(parametros_manuales!$H$22="Todos",datos_base!$H$11+datos_base!$H$25,0))*parametros_manuales!$L$105+parametros_manuales!$G$22*(datos_base!$H$5+datos_base!$H$21+IF(parametros_manuales!$H$22="Todos",datos_base!$H$12+datos_base!$H$26,0))*parametros_manuales!$L$110)*parametros_manuales!$I$22*parametros_manuales!$J$22</f>
        <v>30739.83645042</v>
      </c>
      <c r="M167" s="9" t="n">
        <f aca="false">(parametros_manuales!$D$22*(datos_base!$H$2+datos_base!$H$18+IF(parametros_manuales!$H$22="Todos",datos_base!$H$9+datos_base!$H$23,0))*parametros_manuales!$M$95+parametros_manuales!$E$22*(datos_base!$H$3+datos_base!$H$19+IF(parametros_manuales!$H$22="Todos",datos_base!$H$10+datos_base!$H$24,0))*parametros_manuales!$M$100+parametros_manuales!$F$22*(datos_base!$H$4+datos_base!$H$20+IF(parametros_manuales!$H$22="Todos",datos_base!$H$11+datos_base!$H$25,0))*parametros_manuales!$M$105+parametros_manuales!$G$22*(datos_base!$H$5+datos_base!$H$21+IF(parametros_manuales!$H$22="Todos",datos_base!$H$12+datos_base!$H$26,0))*parametros_manuales!$M$110)*parametros_manuales!$I$22*parametros_manuales!$J$22</f>
        <v>30739.83645042</v>
      </c>
      <c r="N167" s="9" t="n">
        <f aca="false">SUM(B167:M167)</f>
        <v>341553.738338</v>
      </c>
      <c r="O167" s="9" t="n">
        <f aca="false">MAX(B167:M167)</f>
        <v>30739.83645042</v>
      </c>
      <c r="P167" s="43" t="n">
        <f aca="false">O167/(parametros_manuales!$B$7)</f>
        <v>204.9322430028</v>
      </c>
      <c r="Q167" s="8" t="str">
        <f aca="false">IF(O167=0,"-",INDEX($B$163:$M$163,MATCH(O167,B167:M167,0)))</f>
        <v>Ene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datos_base!$H$2+datos_base!$H$18+IF(parametros_manuales!$H$23="Todos",datos_base!$H$9+datos_base!$H$23,0))*parametros_manuales!$B$95+parametros_manuales!$E$23*(datos_base!$H$3+datos_base!$H$19+IF(parametros_manuales!$H$23="Todos",datos_base!$H$10+datos_base!$H$24,0))*parametros_manuales!$B$100+parametros_manuales!$F$23*(datos_base!$H$4+datos_base!$H$20+IF(parametros_manuales!$H$23="Todos",datos_base!$H$11+datos_base!$H$25,0))*parametros_manuales!$B$105+parametros_manuales!$G$23*(datos_base!$H$5+datos_base!$H$21+IF(parametros_manuales!$H$23="Todos",datos_base!$H$12+datos_base!$H$26,0))*parametros_manuales!$B$110)*parametros_manuales!$I$23*parametros_manuales!$J$23</f>
        <v>15369.91822521</v>
      </c>
      <c r="C168" s="9" t="n">
        <f aca="false">(parametros_manuales!$D$23*(datos_base!$H$2+datos_base!$H$18+IF(parametros_manuales!$H$23="Todos",datos_base!$H$9+datos_base!$H$23,0))*parametros_manuales!$C$95+parametros_manuales!$E$23*(datos_base!$H$3+datos_base!$H$19+IF(parametros_manuales!$H$23="Todos",datos_base!$H$10+datos_base!$H$24,0))*parametros_manuales!$C$100+parametros_manuales!$F$23*(datos_base!$H$4+datos_base!$H$20+IF(parametros_manuales!$H$23="Todos",datos_base!$H$11+datos_base!$H$25,0))*parametros_manuales!$C$105+parametros_manuales!$G$23*(datos_base!$H$5+datos_base!$H$21+IF(parametros_manuales!$H$23="Todos",datos_base!$H$12+datos_base!$H$26,0))*parametros_manuales!$C$110)*parametros_manuales!$I$23*parametros_manuales!$J$23</f>
        <v>14878.88106612</v>
      </c>
      <c r="D168" s="9" t="n">
        <f aca="false">(parametros_manuales!$D$23*(datos_base!$H$2+datos_base!$H$18+IF(parametros_manuales!$H$23="Todos",datos_base!$H$9+datos_base!$H$23,0))*parametros_manuales!$D$95+parametros_manuales!$E$23*(datos_base!$H$3+datos_base!$H$19+IF(parametros_manuales!$H$23="Todos",datos_base!$H$10+datos_base!$H$24,0))*parametros_manuales!$D$100+parametros_manuales!$F$23*(datos_base!$H$4+datos_base!$H$20+IF(parametros_manuales!$H$23="Todos",datos_base!$H$11+datos_base!$H$25,0))*parametros_manuales!$D$105+parametros_manuales!$G$23*(datos_base!$H$5+datos_base!$H$21+IF(parametros_manuales!$H$23="Todos",datos_base!$H$12+datos_base!$H$26,0))*parametros_manuales!$D$110)*parametros_manuales!$I$23*parametros_manuales!$J$23</f>
        <v>13907.668113065</v>
      </c>
      <c r="E168" s="9" t="n">
        <f aca="false">(parametros_manuales!$D$23*(datos_base!$H$2+datos_base!$H$18+IF(parametros_manuales!$H$23="Todos",datos_base!$H$9+datos_base!$H$23,0))*parametros_manuales!$E$95+parametros_manuales!$E$23*(datos_base!$H$3+datos_base!$H$19+IF(parametros_manuales!$H$23="Todos",datos_base!$H$10+datos_base!$H$24,0))*parametros_manuales!$E$100+parametros_manuales!$F$23*(datos_base!$H$4+datos_base!$H$20+IF(parametros_manuales!$H$23="Todos",datos_base!$H$11+datos_base!$H$25,0))*parametros_manuales!$E$105+parametros_manuales!$G$23*(datos_base!$H$5+datos_base!$H$21+IF(parametros_manuales!$H$23="Todos",datos_base!$H$12+datos_base!$H$26,0))*parametros_manuales!$E$110)*parametros_manuales!$I$23*parametros_manuales!$J$23</f>
        <v>13299.302346765</v>
      </c>
      <c r="F168" s="9" t="n">
        <f aca="false">(parametros_manuales!$D$23*(datos_base!$H$2+datos_base!$H$18+IF(parametros_manuales!$H$23="Todos",datos_base!$H$9+datos_base!$H$23,0))*parametros_manuales!$F$95+parametros_manuales!$E$23*(datos_base!$H$3+datos_base!$H$19+IF(parametros_manuales!$H$23="Todos",datos_base!$H$10+datos_base!$H$24,0))*parametros_manuales!$F$100+parametros_manuales!$F$23*(datos_base!$H$4+datos_base!$H$20+IF(parametros_manuales!$H$23="Todos",datos_base!$H$11+datos_base!$H$25,0))*parametros_manuales!$F$105+parametros_manuales!$G$23*(datos_base!$H$5+datos_base!$H$21+IF(parametros_manuales!$H$23="Todos",datos_base!$H$12+datos_base!$H$26,0))*parametros_manuales!$F$110)*parametros_manuales!$I$23*parametros_manuales!$J$23</f>
        <v>12445.41800092</v>
      </c>
      <c r="G168" s="9" t="n">
        <f aca="false">(parametros_manuales!$D$23*(datos_base!$H$2+datos_base!$H$18+IF(parametros_manuales!$H$23="Todos",datos_base!$H$9+datos_base!$H$23,0))*parametros_manuales!$G$95+parametros_manuales!$E$23*(datos_base!$H$3+datos_base!$H$19+IF(parametros_manuales!$H$23="Todos",datos_base!$H$10+datos_base!$H$24,0))*parametros_manuales!$G$100+parametros_manuales!$F$23*(datos_base!$H$4+datos_base!$H$20+IF(parametros_manuales!$H$23="Todos",datos_base!$H$11+datos_base!$H$25,0))*parametros_manuales!$G$105+parametros_manuales!$G$23*(datos_base!$H$5+datos_base!$H$21+IF(parametros_manuales!$H$23="Todos",datos_base!$H$12+datos_base!$H$26,0))*parametros_manuales!$G$110)*parametros_manuales!$I$23*parametros_manuales!$J$23</f>
        <v>12199.899421375</v>
      </c>
      <c r="H168" s="9" t="n">
        <f aca="false">(parametros_manuales!$D$23*(datos_base!$H$2+datos_base!$H$18+IF(parametros_manuales!$H$23="Todos",datos_base!$H$9+datos_base!$H$23,0))*parametros_manuales!$H$95+parametros_manuales!$E$23*(datos_base!$H$3+datos_base!$H$19+IF(parametros_manuales!$H$23="Todos",datos_base!$H$10+datos_base!$H$24,0))*parametros_manuales!$H$100+parametros_manuales!$F$23*(datos_base!$H$4+datos_base!$H$20+IF(parametros_manuales!$H$23="Todos",datos_base!$H$11+datos_base!$H$25,0))*parametros_manuales!$H$105+parametros_manuales!$G$23*(datos_base!$H$5+datos_base!$H$21+IF(parametros_manuales!$H$23="Todos",datos_base!$H$12+datos_base!$H$26,0))*parametros_manuales!$H$110)*parametros_manuales!$I$23*parametros_manuales!$J$23</f>
        <v>13053.78376722</v>
      </c>
      <c r="I168" s="9" t="n">
        <f aca="false">(parametros_manuales!$D$23*(datos_base!$H$2+datos_base!$H$18+IF(parametros_manuales!$H$23="Todos",datos_base!$H$9+datos_base!$H$23,0))*parametros_manuales!$I$95+parametros_manuales!$E$23*(datos_base!$H$3+datos_base!$H$19+IF(parametros_manuales!$H$23="Todos",datos_base!$H$10+datos_base!$H$24,0))*parametros_manuales!$I$100+parametros_manuales!$F$23*(datos_base!$H$4+datos_base!$H$20+IF(parametros_manuales!$H$23="Todos",datos_base!$H$11+datos_base!$H$25,0))*parametros_manuales!$I$105+parametros_manuales!$G$23*(datos_base!$H$5+datos_base!$H$21+IF(parametros_manuales!$H$23="Todos",datos_base!$H$12+datos_base!$H$26,0))*parametros_manuales!$I$110)*parametros_manuales!$I$23*parametros_manuales!$J$23</f>
        <v>14878.88106612</v>
      </c>
      <c r="J168" s="9" t="n">
        <f aca="false">(parametros_manuales!$D$23*(datos_base!$H$2+datos_base!$H$18+IF(parametros_manuales!$H$23="Todos",datos_base!$H$9+datos_base!$H$23,0))*parametros_manuales!$J$95+parametros_manuales!$E$23*(datos_base!$H$3+datos_base!$H$19+IF(parametros_manuales!$H$23="Todos",datos_base!$H$10+datos_base!$H$24,0))*parametros_manuales!$J$100+parametros_manuales!$F$23*(datos_base!$H$4+datos_base!$H$20+IF(parametros_manuales!$H$23="Todos",datos_base!$H$11+datos_base!$H$25,0))*parametros_manuales!$J$105+parametros_manuales!$G$23*(datos_base!$H$5+datos_base!$H$21+IF(parametros_manuales!$H$23="Todos",datos_base!$H$12+datos_base!$H$26,0))*parametros_manuales!$J$110)*parametros_manuales!$I$23*parametros_manuales!$J$23</f>
        <v>14878.88106612</v>
      </c>
      <c r="K168" s="9" t="n">
        <f aca="false">(parametros_manuales!$D$23*(datos_base!$H$2+datos_base!$H$18+IF(parametros_manuales!$H$23="Todos",datos_base!$H$9+datos_base!$H$23,0))*parametros_manuales!$K$95+parametros_manuales!$E$23*(datos_base!$H$3+datos_base!$H$19+IF(parametros_manuales!$H$23="Todos",datos_base!$H$10+datos_base!$H$24,0))*parametros_manuales!$K$100+parametros_manuales!$F$23*(datos_base!$H$4+datos_base!$H$20+IF(parametros_manuales!$H$23="Todos",datos_base!$H$11+datos_base!$H$25,0))*parametros_manuales!$K$105+parametros_manuales!$G$23*(datos_base!$H$5+datos_base!$H$21+IF(parametros_manuales!$H$23="Todos",datos_base!$H$12+datos_base!$H$26,0))*parametros_manuales!$K$110)*parametros_manuales!$I$23*parametros_manuales!$J$23</f>
        <v>15124.399645665</v>
      </c>
      <c r="L168" s="9" t="n">
        <f aca="false">(parametros_manuales!$D$23*(datos_base!$H$2+datos_base!$H$18+IF(parametros_manuales!$H$23="Todos",datos_base!$H$9+datos_base!$H$23,0))*parametros_manuales!$L$95+parametros_manuales!$E$23*(datos_base!$H$3+datos_base!$H$19+IF(parametros_manuales!$H$23="Todos",datos_base!$H$10+datos_base!$H$24,0))*parametros_manuales!$L$100+parametros_manuales!$F$23*(datos_base!$H$4+datos_base!$H$20+IF(parametros_manuales!$H$23="Todos",datos_base!$H$11+datos_base!$H$25,0))*parametros_manuales!$L$105+parametros_manuales!$G$23*(datos_base!$H$5+datos_base!$H$21+IF(parametros_manuales!$H$23="Todos",datos_base!$H$12+datos_base!$H$26,0))*parametros_manuales!$L$110)*parametros_manuales!$I$23*parametros_manuales!$J$23</f>
        <v>15369.91822521</v>
      </c>
      <c r="M168" s="9" t="n">
        <f aca="false">(parametros_manuales!$D$23*(datos_base!$H$2+datos_base!$H$18+IF(parametros_manuales!$H$23="Todos",datos_base!$H$9+datos_base!$H$23,0))*parametros_manuales!$M$95+parametros_manuales!$E$23*(datos_base!$H$3+datos_base!$H$19+IF(parametros_manuales!$H$23="Todos",datos_base!$H$10+datos_base!$H$24,0))*parametros_manuales!$M$100+parametros_manuales!$F$23*(datos_base!$H$4+datos_base!$H$20+IF(parametros_manuales!$H$23="Todos",datos_base!$H$11+datos_base!$H$25,0))*parametros_manuales!$M$105+parametros_manuales!$G$23*(datos_base!$H$5+datos_base!$H$21+IF(parametros_manuales!$H$23="Todos",datos_base!$H$12+datos_base!$H$26,0))*parametros_manuales!$M$110)*parametros_manuales!$I$23*parametros_manuales!$J$23</f>
        <v>15369.91822521</v>
      </c>
      <c r="N168" s="9" t="n">
        <f aca="false">SUM(B168:M168)</f>
        <v>170776.869169</v>
      </c>
      <c r="O168" s="9" t="n">
        <f aca="false">MAX(B168:M168)</f>
        <v>15369.91822521</v>
      </c>
      <c r="P168" s="43" t="n">
        <f aca="false">O168/(parametros_manuales!$B$7)</f>
        <v>102.4661215014</v>
      </c>
      <c r="Q168" s="8" t="str">
        <f aca="false">IF(O168=0,"-",INDEX($B$163:$M$163,MATCH(O168,B168:M168,0)))</f>
        <v>Ene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datos_base!$H$2+datos_base!$H$18+IF(parametros_manuales!$H$24="Todos",datos_base!$H$9+datos_base!$H$23,0))*parametros_manuales!$B$95+parametros_manuales!$E$24*(datos_base!$H$3+datos_base!$H$19+IF(parametros_manuales!$H$24="Todos",datos_base!$H$10+datos_base!$H$24,0))*parametros_manuales!$B$100+parametros_manuales!$F$24*(datos_base!$H$4+datos_base!$H$20+IF(parametros_manuales!$H$24="Todos",datos_base!$H$11+datos_base!$H$25,0))*parametros_manuales!$B$105+parametros_manuales!$G$24*(datos_base!$H$5+datos_base!$H$21+IF(parametros_manuales!$H$24="Todos",datos_base!$H$12+datos_base!$H$26,0))*parametros_manuales!$B$110)*parametros_manuales!$I$24*parametros_manuales!$J$24</f>
        <v>15369.91822521</v>
      </c>
      <c r="C169" s="9" t="n">
        <f aca="false">(parametros_manuales!$D$24*(datos_base!$H$2+datos_base!$H$18+IF(parametros_manuales!$H$24="Todos",datos_base!$H$9+datos_base!$H$23,0))*parametros_manuales!$C$95+parametros_manuales!$E$24*(datos_base!$H$3+datos_base!$H$19+IF(parametros_manuales!$H$24="Todos",datos_base!$H$10+datos_base!$H$24,0))*parametros_manuales!$C$100+parametros_manuales!$F$24*(datos_base!$H$4+datos_base!$H$20+IF(parametros_manuales!$H$24="Todos",datos_base!$H$11+datos_base!$H$25,0))*parametros_manuales!$C$105+parametros_manuales!$G$24*(datos_base!$H$5+datos_base!$H$21+IF(parametros_manuales!$H$24="Todos",datos_base!$H$12+datos_base!$H$26,0))*parametros_manuales!$C$110)*parametros_manuales!$I$24*parametros_manuales!$J$24</f>
        <v>14878.88106612</v>
      </c>
      <c r="D169" s="9" t="n">
        <f aca="false">(parametros_manuales!$D$24*(datos_base!$H$2+datos_base!$H$18+IF(parametros_manuales!$H$24="Todos",datos_base!$H$9+datos_base!$H$23,0))*parametros_manuales!$D$95+parametros_manuales!$E$24*(datos_base!$H$3+datos_base!$H$19+IF(parametros_manuales!$H$24="Todos",datos_base!$H$10+datos_base!$H$24,0))*parametros_manuales!$D$100+parametros_manuales!$F$24*(datos_base!$H$4+datos_base!$H$20+IF(parametros_manuales!$H$24="Todos",datos_base!$H$11+datos_base!$H$25,0))*parametros_manuales!$D$105+parametros_manuales!$G$24*(datos_base!$H$5+datos_base!$H$21+IF(parametros_manuales!$H$24="Todos",datos_base!$H$12+datos_base!$H$26,0))*parametros_manuales!$D$110)*parametros_manuales!$I$24*parametros_manuales!$J$24</f>
        <v>13907.668113065</v>
      </c>
      <c r="E169" s="9" t="n">
        <f aca="false">(parametros_manuales!$D$24*(datos_base!$H$2+datos_base!$H$18+IF(parametros_manuales!$H$24="Todos",datos_base!$H$9+datos_base!$H$23,0))*parametros_manuales!$E$95+parametros_manuales!$E$24*(datos_base!$H$3+datos_base!$H$19+IF(parametros_manuales!$H$24="Todos",datos_base!$H$10+datos_base!$H$24,0))*parametros_manuales!$E$100+parametros_manuales!$F$24*(datos_base!$H$4+datos_base!$H$20+IF(parametros_manuales!$H$24="Todos",datos_base!$H$11+datos_base!$H$25,0))*parametros_manuales!$E$105+parametros_manuales!$G$24*(datos_base!$H$5+datos_base!$H$21+IF(parametros_manuales!$H$24="Todos",datos_base!$H$12+datos_base!$H$26,0))*parametros_manuales!$E$110)*parametros_manuales!$I$24*parametros_manuales!$J$24</f>
        <v>13299.302346765</v>
      </c>
      <c r="F169" s="9" t="n">
        <f aca="false">(parametros_manuales!$D$24*(datos_base!$H$2+datos_base!$H$18+IF(parametros_manuales!$H$24="Todos",datos_base!$H$9+datos_base!$H$23,0))*parametros_manuales!$F$95+parametros_manuales!$E$24*(datos_base!$H$3+datos_base!$H$19+IF(parametros_manuales!$H$24="Todos",datos_base!$H$10+datos_base!$H$24,0))*parametros_manuales!$F$100+parametros_manuales!$F$24*(datos_base!$H$4+datos_base!$H$20+IF(parametros_manuales!$H$24="Todos",datos_base!$H$11+datos_base!$H$25,0))*parametros_manuales!$F$105+parametros_manuales!$G$24*(datos_base!$H$5+datos_base!$H$21+IF(parametros_manuales!$H$24="Todos",datos_base!$H$12+datos_base!$H$26,0))*parametros_manuales!$F$110)*parametros_manuales!$I$24*parametros_manuales!$J$24</f>
        <v>12445.41800092</v>
      </c>
      <c r="G169" s="9" t="n">
        <f aca="false">(parametros_manuales!$D$24*(datos_base!$H$2+datos_base!$H$18+IF(parametros_manuales!$H$24="Todos",datos_base!$H$9+datos_base!$H$23,0))*parametros_manuales!$G$95+parametros_manuales!$E$24*(datos_base!$H$3+datos_base!$H$19+IF(parametros_manuales!$H$24="Todos",datos_base!$H$10+datos_base!$H$24,0))*parametros_manuales!$G$100+parametros_manuales!$F$24*(datos_base!$H$4+datos_base!$H$20+IF(parametros_manuales!$H$24="Todos",datos_base!$H$11+datos_base!$H$25,0))*parametros_manuales!$G$105+parametros_manuales!$G$24*(datos_base!$H$5+datos_base!$H$21+IF(parametros_manuales!$H$24="Todos",datos_base!$H$12+datos_base!$H$26,0))*parametros_manuales!$G$110)*parametros_manuales!$I$24*parametros_manuales!$J$24</f>
        <v>12199.899421375</v>
      </c>
      <c r="H169" s="9" t="n">
        <f aca="false">(parametros_manuales!$D$24*(datos_base!$H$2+datos_base!$H$18+IF(parametros_manuales!$H$24="Todos",datos_base!$H$9+datos_base!$H$23,0))*parametros_manuales!$H$95+parametros_manuales!$E$24*(datos_base!$H$3+datos_base!$H$19+IF(parametros_manuales!$H$24="Todos",datos_base!$H$10+datos_base!$H$24,0))*parametros_manuales!$H$100+parametros_manuales!$F$24*(datos_base!$H$4+datos_base!$H$20+IF(parametros_manuales!$H$24="Todos",datos_base!$H$11+datos_base!$H$25,0))*parametros_manuales!$H$105+parametros_manuales!$G$24*(datos_base!$H$5+datos_base!$H$21+IF(parametros_manuales!$H$24="Todos",datos_base!$H$12+datos_base!$H$26,0))*parametros_manuales!$H$110)*parametros_manuales!$I$24*parametros_manuales!$J$24</f>
        <v>13053.78376722</v>
      </c>
      <c r="I169" s="9" t="n">
        <f aca="false">(parametros_manuales!$D$24*(datos_base!$H$2+datos_base!$H$18+IF(parametros_manuales!$H$24="Todos",datos_base!$H$9+datos_base!$H$23,0))*parametros_manuales!$I$95+parametros_manuales!$E$24*(datos_base!$H$3+datos_base!$H$19+IF(parametros_manuales!$H$24="Todos",datos_base!$H$10+datos_base!$H$24,0))*parametros_manuales!$I$100+parametros_manuales!$F$24*(datos_base!$H$4+datos_base!$H$20+IF(parametros_manuales!$H$24="Todos",datos_base!$H$11+datos_base!$H$25,0))*parametros_manuales!$I$105+parametros_manuales!$G$24*(datos_base!$H$5+datos_base!$H$21+IF(parametros_manuales!$H$24="Todos",datos_base!$H$12+datos_base!$H$26,0))*parametros_manuales!$I$110)*parametros_manuales!$I$24*parametros_manuales!$J$24</f>
        <v>14878.88106612</v>
      </c>
      <c r="J169" s="9" t="n">
        <f aca="false">(parametros_manuales!$D$24*(datos_base!$H$2+datos_base!$H$18+IF(parametros_manuales!$H$24="Todos",datos_base!$H$9+datos_base!$H$23,0))*parametros_manuales!$J$95+parametros_manuales!$E$24*(datos_base!$H$3+datos_base!$H$19+IF(parametros_manuales!$H$24="Todos",datos_base!$H$10+datos_base!$H$24,0))*parametros_manuales!$J$100+parametros_manuales!$F$24*(datos_base!$H$4+datos_base!$H$20+IF(parametros_manuales!$H$24="Todos",datos_base!$H$11+datos_base!$H$25,0))*parametros_manuales!$J$105+parametros_manuales!$G$24*(datos_base!$H$5+datos_base!$H$21+IF(parametros_manuales!$H$24="Todos",datos_base!$H$12+datos_base!$H$26,0))*parametros_manuales!$J$110)*parametros_manuales!$I$24*parametros_manuales!$J$24</f>
        <v>14878.88106612</v>
      </c>
      <c r="K169" s="9" t="n">
        <f aca="false">(parametros_manuales!$D$24*(datos_base!$H$2+datos_base!$H$18+IF(parametros_manuales!$H$24="Todos",datos_base!$H$9+datos_base!$H$23,0))*parametros_manuales!$K$95+parametros_manuales!$E$24*(datos_base!$H$3+datos_base!$H$19+IF(parametros_manuales!$H$24="Todos",datos_base!$H$10+datos_base!$H$24,0))*parametros_manuales!$K$100+parametros_manuales!$F$24*(datos_base!$H$4+datos_base!$H$20+IF(parametros_manuales!$H$24="Todos",datos_base!$H$11+datos_base!$H$25,0))*parametros_manuales!$K$105+parametros_manuales!$G$24*(datos_base!$H$5+datos_base!$H$21+IF(parametros_manuales!$H$24="Todos",datos_base!$H$12+datos_base!$H$26,0))*parametros_manuales!$K$110)*parametros_manuales!$I$24*parametros_manuales!$J$24</f>
        <v>15124.399645665</v>
      </c>
      <c r="L169" s="9" t="n">
        <f aca="false">(parametros_manuales!$D$24*(datos_base!$H$2+datos_base!$H$18+IF(parametros_manuales!$H$24="Todos",datos_base!$H$9+datos_base!$H$23,0))*parametros_manuales!$L$95+parametros_manuales!$E$24*(datos_base!$H$3+datos_base!$H$19+IF(parametros_manuales!$H$24="Todos",datos_base!$H$10+datos_base!$H$24,0))*parametros_manuales!$L$100+parametros_manuales!$F$24*(datos_base!$H$4+datos_base!$H$20+IF(parametros_manuales!$H$24="Todos",datos_base!$H$11+datos_base!$H$25,0))*parametros_manuales!$L$105+parametros_manuales!$G$24*(datos_base!$H$5+datos_base!$H$21+IF(parametros_manuales!$H$24="Todos",datos_base!$H$12+datos_base!$H$26,0))*parametros_manuales!$L$110)*parametros_manuales!$I$24*parametros_manuales!$J$24</f>
        <v>15369.91822521</v>
      </c>
      <c r="M169" s="9" t="n">
        <f aca="false">(parametros_manuales!$D$24*(datos_base!$H$2+datos_base!$H$18+IF(parametros_manuales!$H$24="Todos",datos_base!$H$9+datos_base!$H$23,0))*parametros_manuales!$M$95+parametros_manuales!$E$24*(datos_base!$H$3+datos_base!$H$19+IF(parametros_manuales!$H$24="Todos",datos_base!$H$10+datos_base!$H$24,0))*parametros_manuales!$M$100+parametros_manuales!$F$24*(datos_base!$H$4+datos_base!$H$20+IF(parametros_manuales!$H$24="Todos",datos_base!$H$11+datos_base!$H$25,0))*parametros_manuales!$M$105+parametros_manuales!$G$24*(datos_base!$H$5+datos_base!$H$21+IF(parametros_manuales!$H$24="Todos",datos_base!$H$12+datos_base!$H$26,0))*parametros_manuales!$M$110)*parametros_manuales!$I$24*parametros_manuales!$J$24</f>
        <v>15369.91822521</v>
      </c>
      <c r="N169" s="9" t="n">
        <f aca="false">SUM(B169:M169)</f>
        <v>170776.869169</v>
      </c>
      <c r="O169" s="9" t="n">
        <f aca="false">MAX(B169:M169)</f>
        <v>15369.91822521</v>
      </c>
      <c r="P169" s="43" t="n">
        <f aca="false">O169/(parametros_manuales!$B$7)</f>
        <v>102.4661215014</v>
      </c>
      <c r="Q169" s="8" t="str">
        <f aca="false">IF(O169=0,"-",INDEX($B$163:$M$163,MATCH(O169,B169:M169,0)))</f>
        <v>Ene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datos_base!$H$2+datos_base!$H$18+IF(parametros_manuales!$H$25="Todos",datos_base!$H$9+datos_base!$H$23,0))*parametros_manuales!$B$95+parametros_manuales!$E$25*(datos_base!$H$3+datos_base!$H$19+IF(parametros_manuales!$H$25="Todos",datos_base!$H$10+datos_base!$H$24,0))*parametros_manuales!$B$100+parametros_manuales!$F$25*(datos_base!$H$4+datos_base!$H$20+IF(parametros_manuales!$H$25="Todos",datos_base!$H$11+datos_base!$H$25,0))*parametros_manuales!$B$105+parametros_manuales!$G$25*(datos_base!$H$5+datos_base!$H$21+IF(parametros_manuales!$H$25="Todos",datos_base!$H$12+datos_base!$H$26,0))*parametros_manuales!$B$110)*parametros_manuales!$I$25*parametros_manuales!$J$25</f>
        <v>15369.91822521</v>
      </c>
      <c r="C170" s="9" t="n">
        <f aca="false">(parametros_manuales!$D$25*(datos_base!$H$2+datos_base!$H$18+IF(parametros_manuales!$H$25="Todos",datos_base!$H$9+datos_base!$H$23,0))*parametros_manuales!$C$95+parametros_manuales!$E$25*(datos_base!$H$3+datos_base!$H$19+IF(parametros_manuales!$H$25="Todos",datos_base!$H$10+datos_base!$H$24,0))*parametros_manuales!$C$100+parametros_manuales!$F$25*(datos_base!$H$4+datos_base!$H$20+IF(parametros_manuales!$H$25="Todos",datos_base!$H$11+datos_base!$H$25,0))*parametros_manuales!$C$105+parametros_manuales!$G$25*(datos_base!$H$5+datos_base!$H$21+IF(parametros_manuales!$H$25="Todos",datos_base!$H$12+datos_base!$H$26,0))*parametros_manuales!$C$110)*parametros_manuales!$I$25*parametros_manuales!$J$25</f>
        <v>14878.88106612</v>
      </c>
      <c r="D170" s="9" t="n">
        <f aca="false">(parametros_manuales!$D$25*(datos_base!$H$2+datos_base!$H$18+IF(parametros_manuales!$H$25="Todos",datos_base!$H$9+datos_base!$H$23,0))*parametros_manuales!$D$95+parametros_manuales!$E$25*(datos_base!$H$3+datos_base!$H$19+IF(parametros_manuales!$H$25="Todos",datos_base!$H$10+datos_base!$H$24,0))*parametros_manuales!$D$100+parametros_manuales!$F$25*(datos_base!$H$4+datos_base!$H$20+IF(parametros_manuales!$H$25="Todos",datos_base!$H$11+datos_base!$H$25,0))*parametros_manuales!$D$105+parametros_manuales!$G$25*(datos_base!$H$5+datos_base!$H$21+IF(parametros_manuales!$H$25="Todos",datos_base!$H$12+datos_base!$H$26,0))*parametros_manuales!$D$110)*parametros_manuales!$I$25*parametros_manuales!$J$25</f>
        <v>13907.668113065</v>
      </c>
      <c r="E170" s="9" t="n">
        <f aca="false">(parametros_manuales!$D$25*(datos_base!$H$2+datos_base!$H$18+IF(parametros_manuales!$H$25="Todos",datos_base!$H$9+datos_base!$H$23,0))*parametros_manuales!$E$95+parametros_manuales!$E$25*(datos_base!$H$3+datos_base!$H$19+IF(parametros_manuales!$H$25="Todos",datos_base!$H$10+datos_base!$H$24,0))*parametros_manuales!$E$100+parametros_manuales!$F$25*(datos_base!$H$4+datos_base!$H$20+IF(parametros_manuales!$H$25="Todos",datos_base!$H$11+datos_base!$H$25,0))*parametros_manuales!$E$105+parametros_manuales!$G$25*(datos_base!$H$5+datos_base!$H$21+IF(parametros_manuales!$H$25="Todos",datos_base!$H$12+datos_base!$H$26,0))*parametros_manuales!$E$110)*parametros_manuales!$I$25*parametros_manuales!$J$25</f>
        <v>13299.302346765</v>
      </c>
      <c r="F170" s="9" t="n">
        <f aca="false">(parametros_manuales!$D$25*(datos_base!$H$2+datos_base!$H$18+IF(parametros_manuales!$H$25="Todos",datos_base!$H$9+datos_base!$H$23,0))*parametros_manuales!$F$95+parametros_manuales!$E$25*(datos_base!$H$3+datos_base!$H$19+IF(parametros_manuales!$H$25="Todos",datos_base!$H$10+datos_base!$H$24,0))*parametros_manuales!$F$100+parametros_manuales!$F$25*(datos_base!$H$4+datos_base!$H$20+IF(parametros_manuales!$H$25="Todos",datos_base!$H$11+datos_base!$H$25,0))*parametros_manuales!$F$105+parametros_manuales!$G$25*(datos_base!$H$5+datos_base!$H$21+IF(parametros_manuales!$H$25="Todos",datos_base!$H$12+datos_base!$H$26,0))*parametros_manuales!$F$110)*parametros_manuales!$I$25*parametros_manuales!$J$25</f>
        <v>12445.41800092</v>
      </c>
      <c r="G170" s="9" t="n">
        <f aca="false">(parametros_manuales!$D$25*(datos_base!$H$2+datos_base!$H$18+IF(parametros_manuales!$H$25="Todos",datos_base!$H$9+datos_base!$H$23,0))*parametros_manuales!$G$95+parametros_manuales!$E$25*(datos_base!$H$3+datos_base!$H$19+IF(parametros_manuales!$H$25="Todos",datos_base!$H$10+datos_base!$H$24,0))*parametros_manuales!$G$100+parametros_manuales!$F$25*(datos_base!$H$4+datos_base!$H$20+IF(parametros_manuales!$H$25="Todos",datos_base!$H$11+datos_base!$H$25,0))*parametros_manuales!$G$105+parametros_manuales!$G$25*(datos_base!$H$5+datos_base!$H$21+IF(parametros_manuales!$H$25="Todos",datos_base!$H$12+datos_base!$H$26,0))*parametros_manuales!$G$110)*parametros_manuales!$I$25*parametros_manuales!$J$25</f>
        <v>12199.899421375</v>
      </c>
      <c r="H170" s="9" t="n">
        <f aca="false">(parametros_manuales!$D$25*(datos_base!$H$2+datos_base!$H$18+IF(parametros_manuales!$H$25="Todos",datos_base!$H$9+datos_base!$H$23,0))*parametros_manuales!$H$95+parametros_manuales!$E$25*(datos_base!$H$3+datos_base!$H$19+IF(parametros_manuales!$H$25="Todos",datos_base!$H$10+datos_base!$H$24,0))*parametros_manuales!$H$100+parametros_manuales!$F$25*(datos_base!$H$4+datos_base!$H$20+IF(parametros_manuales!$H$25="Todos",datos_base!$H$11+datos_base!$H$25,0))*parametros_manuales!$H$105+parametros_manuales!$G$25*(datos_base!$H$5+datos_base!$H$21+IF(parametros_manuales!$H$25="Todos",datos_base!$H$12+datos_base!$H$26,0))*parametros_manuales!$H$110)*parametros_manuales!$I$25*parametros_manuales!$J$25</f>
        <v>13053.78376722</v>
      </c>
      <c r="I170" s="9" t="n">
        <f aca="false">(parametros_manuales!$D$25*(datos_base!$H$2+datos_base!$H$18+IF(parametros_manuales!$H$25="Todos",datos_base!$H$9+datos_base!$H$23,0))*parametros_manuales!$I$95+parametros_manuales!$E$25*(datos_base!$H$3+datos_base!$H$19+IF(parametros_manuales!$H$25="Todos",datos_base!$H$10+datos_base!$H$24,0))*parametros_manuales!$I$100+parametros_manuales!$F$25*(datos_base!$H$4+datos_base!$H$20+IF(parametros_manuales!$H$25="Todos",datos_base!$H$11+datos_base!$H$25,0))*parametros_manuales!$I$105+parametros_manuales!$G$25*(datos_base!$H$5+datos_base!$H$21+IF(parametros_manuales!$H$25="Todos",datos_base!$H$12+datos_base!$H$26,0))*parametros_manuales!$I$110)*parametros_manuales!$I$25*parametros_manuales!$J$25</f>
        <v>14878.88106612</v>
      </c>
      <c r="J170" s="9" t="n">
        <f aca="false">(parametros_manuales!$D$25*(datos_base!$H$2+datos_base!$H$18+IF(parametros_manuales!$H$25="Todos",datos_base!$H$9+datos_base!$H$23,0))*parametros_manuales!$J$95+parametros_manuales!$E$25*(datos_base!$H$3+datos_base!$H$19+IF(parametros_manuales!$H$25="Todos",datos_base!$H$10+datos_base!$H$24,0))*parametros_manuales!$J$100+parametros_manuales!$F$25*(datos_base!$H$4+datos_base!$H$20+IF(parametros_manuales!$H$25="Todos",datos_base!$H$11+datos_base!$H$25,0))*parametros_manuales!$J$105+parametros_manuales!$G$25*(datos_base!$H$5+datos_base!$H$21+IF(parametros_manuales!$H$25="Todos",datos_base!$H$12+datos_base!$H$26,0))*parametros_manuales!$J$110)*parametros_manuales!$I$25*parametros_manuales!$J$25</f>
        <v>14878.88106612</v>
      </c>
      <c r="K170" s="9" t="n">
        <f aca="false">(parametros_manuales!$D$25*(datos_base!$H$2+datos_base!$H$18+IF(parametros_manuales!$H$25="Todos",datos_base!$H$9+datos_base!$H$23,0))*parametros_manuales!$K$95+parametros_manuales!$E$25*(datos_base!$H$3+datos_base!$H$19+IF(parametros_manuales!$H$25="Todos",datos_base!$H$10+datos_base!$H$24,0))*parametros_manuales!$K$100+parametros_manuales!$F$25*(datos_base!$H$4+datos_base!$H$20+IF(parametros_manuales!$H$25="Todos",datos_base!$H$11+datos_base!$H$25,0))*parametros_manuales!$K$105+parametros_manuales!$G$25*(datos_base!$H$5+datos_base!$H$21+IF(parametros_manuales!$H$25="Todos",datos_base!$H$12+datos_base!$H$26,0))*parametros_manuales!$K$110)*parametros_manuales!$I$25*parametros_manuales!$J$25</f>
        <v>15124.399645665</v>
      </c>
      <c r="L170" s="9" t="n">
        <f aca="false">(parametros_manuales!$D$25*(datos_base!$H$2+datos_base!$H$18+IF(parametros_manuales!$H$25="Todos",datos_base!$H$9+datos_base!$H$23,0))*parametros_manuales!$L$95+parametros_manuales!$E$25*(datos_base!$H$3+datos_base!$H$19+IF(parametros_manuales!$H$25="Todos",datos_base!$H$10+datos_base!$H$24,0))*parametros_manuales!$L$100+parametros_manuales!$F$25*(datos_base!$H$4+datos_base!$H$20+IF(parametros_manuales!$H$25="Todos",datos_base!$H$11+datos_base!$H$25,0))*parametros_manuales!$L$105+parametros_manuales!$G$25*(datos_base!$H$5+datos_base!$H$21+IF(parametros_manuales!$H$25="Todos",datos_base!$H$12+datos_base!$H$26,0))*parametros_manuales!$L$110)*parametros_manuales!$I$25*parametros_manuales!$J$25</f>
        <v>15369.91822521</v>
      </c>
      <c r="M170" s="9" t="n">
        <f aca="false">(parametros_manuales!$D$25*(datos_base!$H$2+datos_base!$H$18+IF(parametros_manuales!$H$25="Todos",datos_base!$H$9+datos_base!$H$23,0))*parametros_manuales!$M$95+parametros_manuales!$E$25*(datos_base!$H$3+datos_base!$H$19+IF(parametros_manuales!$H$25="Todos",datos_base!$H$10+datos_base!$H$24,0))*parametros_manuales!$M$100+parametros_manuales!$F$25*(datos_base!$H$4+datos_base!$H$20+IF(parametros_manuales!$H$25="Todos",datos_base!$H$11+datos_base!$H$25,0))*parametros_manuales!$M$105+parametros_manuales!$G$25*(datos_base!$H$5+datos_base!$H$21+IF(parametros_manuales!$H$25="Todos",datos_base!$H$12+datos_base!$H$26,0))*parametros_manuales!$M$110)*parametros_manuales!$I$25*parametros_manuales!$J$25</f>
        <v>15369.91822521</v>
      </c>
      <c r="N170" s="9" t="n">
        <f aca="false">SUM(B170:M170)</f>
        <v>170776.869169</v>
      </c>
      <c r="O170" s="9" t="n">
        <f aca="false">MAX(B170:M170)</f>
        <v>15369.91822521</v>
      </c>
      <c r="P170" s="43" t="n">
        <f aca="false">O170/(parametros_manuales!$B$7)</f>
        <v>102.4661215014</v>
      </c>
      <c r="Q170" s="8" t="str">
        <f aca="false">IF(O170=0,"-",INDEX($B$163:$M$163,MATCH(O170,B170:M170,0)))</f>
        <v>Ene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datos_base!$H$2+datos_base!$H$18+IF(parametros_manuales!$H$26="Todos",datos_base!$H$9+datos_base!$H$23,0))*parametros_manuales!$B$95+parametros_manuales!$E$26*(datos_base!$H$3+datos_base!$H$19+IF(parametros_manuales!$H$26="Todos",datos_base!$H$10+datos_base!$H$24,0))*parametros_manuales!$B$100+parametros_manuales!$F$26*(datos_base!$H$4+datos_base!$H$20+IF(parametros_manuales!$H$26="Todos",datos_base!$H$11+datos_base!$H$25,0))*parametros_manuales!$B$105+parametros_manuales!$G$26*(datos_base!$H$5+datos_base!$H$21+IF(parametros_manuales!$H$26="Todos",datos_base!$H$12+datos_base!$H$26,0))*parametros_manuales!$B$110)*parametros_manuales!$I$26*parametros_manuales!$J$26</f>
        <v>4419.33443181</v>
      </c>
      <c r="C171" s="9" t="n">
        <f aca="false">(parametros_manuales!$D$26*(datos_base!$H$2+datos_base!$H$18+IF(parametros_manuales!$H$26="Todos",datos_base!$H$9+datos_base!$H$23,0))*parametros_manuales!$C$95+parametros_manuales!$E$26*(datos_base!$H$3+datos_base!$H$19+IF(parametros_manuales!$H$26="Todos",datos_base!$H$10+datos_base!$H$24,0))*parametros_manuales!$C$100+parametros_manuales!$F$26*(datos_base!$H$4+datos_base!$H$20+IF(parametros_manuales!$H$26="Todos",datos_base!$H$11+datos_base!$H$25,0))*parametros_manuales!$C$105+parametros_manuales!$G$26*(datos_base!$H$5+datos_base!$H$21+IF(parametros_manuales!$H$26="Todos",datos_base!$H$12+datos_base!$H$26,0))*parametros_manuales!$C$110)*parametros_manuales!$I$26*parametros_manuales!$J$26</f>
        <v>3928.29727272</v>
      </c>
      <c r="D171" s="9" t="n">
        <f aca="false">(parametros_manuales!$D$26*(datos_base!$H$2+datos_base!$H$18+IF(parametros_manuales!$H$26="Todos",datos_base!$H$9+datos_base!$H$23,0))*parametros_manuales!$D$95+parametros_manuales!$E$26*(datos_base!$H$3+datos_base!$H$19+IF(parametros_manuales!$H$26="Todos",datos_base!$H$10+datos_base!$H$24,0))*parametros_manuales!$D$100+parametros_manuales!$F$26*(datos_base!$H$4+datos_base!$H$20+IF(parametros_manuales!$H$26="Todos",datos_base!$H$11+datos_base!$H$25,0))*parametros_manuales!$D$105+parametros_manuales!$G$26*(datos_base!$H$5+datos_base!$H$21+IF(parametros_manuales!$H$26="Todos",datos_base!$H$12+datos_base!$H$26,0))*parametros_manuales!$D$110)*parametros_manuales!$I$26*parametros_manuales!$J$26</f>
        <v>4173.815852265</v>
      </c>
      <c r="E171" s="9" t="n">
        <f aca="false">(parametros_manuales!$D$26*(datos_base!$H$2+datos_base!$H$18+IF(parametros_manuales!$H$26="Todos",datos_base!$H$9+datos_base!$H$23,0))*parametros_manuales!$E$95+parametros_manuales!$E$26*(datos_base!$H$3+datos_base!$H$19+IF(parametros_manuales!$H$26="Todos",datos_base!$H$10+datos_base!$H$24,0))*parametros_manuales!$E$100+parametros_manuales!$F$26*(datos_base!$H$4+datos_base!$H$20+IF(parametros_manuales!$H$26="Todos",datos_base!$H$11+datos_base!$H$25,0))*parametros_manuales!$E$105+parametros_manuales!$G$26*(datos_base!$H$5+datos_base!$H$21+IF(parametros_manuales!$H$26="Todos",datos_base!$H$12+datos_base!$H$26,0))*parametros_manuales!$E$110)*parametros_manuales!$I$26*parametros_manuales!$J$26</f>
        <v>4173.815852265</v>
      </c>
      <c r="F171" s="9" t="n">
        <f aca="false">(parametros_manuales!$D$26*(datos_base!$H$2+datos_base!$H$18+IF(parametros_manuales!$H$26="Todos",datos_base!$H$9+datos_base!$H$23,0))*parametros_manuales!$F$95+parametros_manuales!$E$26*(datos_base!$H$3+datos_base!$H$19+IF(parametros_manuales!$H$26="Todos",datos_base!$H$10+datos_base!$H$24,0))*parametros_manuales!$F$100+parametros_manuales!$F$26*(datos_base!$H$4+datos_base!$H$20+IF(parametros_manuales!$H$26="Todos",datos_base!$H$11+datos_base!$H$25,0))*parametros_manuales!$F$105+parametros_manuales!$G$26*(datos_base!$H$5+datos_base!$H$21+IF(parametros_manuales!$H$26="Todos",datos_base!$H$12+datos_base!$H$26,0))*parametros_manuales!$F$110)*parametros_manuales!$I$26*parametros_manuales!$J$26</f>
        <v>3928.29727272</v>
      </c>
      <c r="G171" s="9" t="n">
        <f aca="false">(parametros_manuales!$D$26*(datos_base!$H$2+datos_base!$H$18+IF(parametros_manuales!$H$26="Todos",datos_base!$H$9+datos_base!$H$23,0))*parametros_manuales!$G$95+parametros_manuales!$E$26*(datos_base!$H$3+datos_base!$H$19+IF(parametros_manuales!$H$26="Todos",datos_base!$H$10+datos_base!$H$24,0))*parametros_manuales!$G$100+parametros_manuales!$F$26*(datos_base!$H$4+datos_base!$H$20+IF(parametros_manuales!$H$26="Todos",datos_base!$H$11+datos_base!$H$25,0))*parametros_manuales!$G$105+parametros_manuales!$G$26*(datos_base!$H$5+datos_base!$H$21+IF(parametros_manuales!$H$26="Todos",datos_base!$H$12+datos_base!$H$26,0))*parametros_manuales!$G$110)*parametros_manuales!$I$26*parametros_manuales!$J$26</f>
        <v>3682.778693175</v>
      </c>
      <c r="H171" s="9" t="n">
        <f aca="false">(parametros_manuales!$D$26*(datos_base!$H$2+datos_base!$H$18+IF(parametros_manuales!$H$26="Todos",datos_base!$H$9+datos_base!$H$23,0))*parametros_manuales!$H$95+parametros_manuales!$E$26*(datos_base!$H$3+datos_base!$H$19+IF(parametros_manuales!$H$26="Todos",datos_base!$H$10+datos_base!$H$24,0))*parametros_manuales!$H$100+parametros_manuales!$F$26*(datos_base!$H$4+datos_base!$H$20+IF(parametros_manuales!$H$26="Todos",datos_base!$H$11+datos_base!$H$25,0))*parametros_manuales!$H$105+parametros_manuales!$G$26*(datos_base!$H$5+datos_base!$H$21+IF(parametros_manuales!$H$26="Todos",datos_base!$H$12+datos_base!$H$26,0))*parametros_manuales!$H$110)*parametros_manuales!$I$26*parametros_manuales!$J$26</f>
        <v>3928.29727272</v>
      </c>
      <c r="I171" s="9" t="n">
        <f aca="false">(parametros_manuales!$D$26*(datos_base!$H$2+datos_base!$H$18+IF(parametros_manuales!$H$26="Todos",datos_base!$H$9+datos_base!$H$23,0))*parametros_manuales!$I$95+parametros_manuales!$E$26*(datos_base!$H$3+datos_base!$H$19+IF(parametros_manuales!$H$26="Todos",datos_base!$H$10+datos_base!$H$24,0))*parametros_manuales!$I$100+parametros_manuales!$F$26*(datos_base!$H$4+datos_base!$H$20+IF(parametros_manuales!$H$26="Todos",datos_base!$H$11+datos_base!$H$25,0))*parametros_manuales!$I$105+parametros_manuales!$G$26*(datos_base!$H$5+datos_base!$H$21+IF(parametros_manuales!$H$26="Todos",datos_base!$H$12+datos_base!$H$26,0))*parametros_manuales!$I$110)*parametros_manuales!$I$26*parametros_manuales!$J$26</f>
        <v>3928.29727272</v>
      </c>
      <c r="J171" s="9" t="n">
        <f aca="false">(parametros_manuales!$D$26*(datos_base!$H$2+datos_base!$H$18+IF(parametros_manuales!$H$26="Todos",datos_base!$H$9+datos_base!$H$23,0))*parametros_manuales!$J$95+parametros_manuales!$E$26*(datos_base!$H$3+datos_base!$H$19+IF(parametros_manuales!$H$26="Todos",datos_base!$H$10+datos_base!$H$24,0))*parametros_manuales!$J$100+parametros_manuales!$F$26*(datos_base!$H$4+datos_base!$H$20+IF(parametros_manuales!$H$26="Todos",datos_base!$H$11+datos_base!$H$25,0))*parametros_manuales!$J$105+parametros_manuales!$G$26*(datos_base!$H$5+datos_base!$H$21+IF(parametros_manuales!$H$26="Todos",datos_base!$H$12+datos_base!$H$26,0))*parametros_manuales!$J$110)*parametros_manuales!$I$26*parametros_manuales!$J$26</f>
        <v>3928.29727272</v>
      </c>
      <c r="K171" s="9" t="n">
        <f aca="false">(parametros_manuales!$D$26*(datos_base!$H$2+datos_base!$H$18+IF(parametros_manuales!$H$26="Todos",datos_base!$H$9+datos_base!$H$23,0))*parametros_manuales!$K$95+parametros_manuales!$E$26*(datos_base!$H$3+datos_base!$H$19+IF(parametros_manuales!$H$26="Todos",datos_base!$H$10+datos_base!$H$24,0))*parametros_manuales!$K$100+parametros_manuales!$F$26*(datos_base!$H$4+datos_base!$H$20+IF(parametros_manuales!$H$26="Todos",datos_base!$H$11+datos_base!$H$25,0))*parametros_manuales!$K$105+parametros_manuales!$G$26*(datos_base!$H$5+datos_base!$H$21+IF(parametros_manuales!$H$26="Todos",datos_base!$H$12+datos_base!$H$26,0))*parametros_manuales!$K$110)*parametros_manuales!$I$26*parametros_manuales!$J$26</f>
        <v>4173.815852265</v>
      </c>
      <c r="L171" s="9" t="n">
        <f aca="false">(parametros_manuales!$D$26*(datos_base!$H$2+datos_base!$H$18+IF(parametros_manuales!$H$26="Todos",datos_base!$H$9+datos_base!$H$23,0))*parametros_manuales!$L$95+parametros_manuales!$E$26*(datos_base!$H$3+datos_base!$H$19+IF(parametros_manuales!$H$26="Todos",datos_base!$H$10+datos_base!$H$24,0))*parametros_manuales!$L$100+parametros_manuales!$F$26*(datos_base!$H$4+datos_base!$H$20+IF(parametros_manuales!$H$26="Todos",datos_base!$H$11+datos_base!$H$25,0))*parametros_manuales!$L$105+parametros_manuales!$G$26*(datos_base!$H$5+datos_base!$H$21+IF(parametros_manuales!$H$26="Todos",datos_base!$H$12+datos_base!$H$26,0))*parametros_manuales!$L$110)*parametros_manuales!$I$26*parametros_manuales!$J$26</f>
        <v>4419.33443181</v>
      </c>
      <c r="M171" s="9" t="n">
        <f aca="false">(parametros_manuales!$D$26*(datos_base!$H$2+datos_base!$H$18+IF(parametros_manuales!$H$26="Todos",datos_base!$H$9+datos_base!$H$23,0))*parametros_manuales!$M$95+parametros_manuales!$E$26*(datos_base!$H$3+datos_base!$H$19+IF(parametros_manuales!$H$26="Todos",datos_base!$H$10+datos_base!$H$24,0))*parametros_manuales!$M$100+parametros_manuales!$F$26*(datos_base!$H$4+datos_base!$H$20+IF(parametros_manuales!$H$26="Todos",datos_base!$H$11+datos_base!$H$25,0))*parametros_manuales!$M$105+parametros_manuales!$G$26*(datos_base!$H$5+datos_base!$H$21+IF(parametros_manuales!$H$26="Todos",datos_base!$H$12+datos_base!$H$26,0))*parametros_manuales!$M$110)*parametros_manuales!$I$26*parametros_manuales!$J$26</f>
        <v>4419.33443181</v>
      </c>
      <c r="N171" s="9" t="n">
        <f aca="false">SUM(B171:M171)</f>
        <v>49103.715909</v>
      </c>
      <c r="O171" s="9" t="n">
        <f aca="false">MAX(B171:M171)</f>
        <v>4419.33443181</v>
      </c>
      <c r="P171" s="43" t="n">
        <f aca="false">O171/(parametros_manuales!$B$7)</f>
        <v>29.4622295454</v>
      </c>
      <c r="Q171" s="8" t="str">
        <f aca="false">IF(O171=0,"-",INDEX($B$163:$M$163,MATCH(O171,B171:M171,0)))</f>
        <v>Ene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datos_base!$H$2+datos_base!$H$18+IF(parametros_manuales!$H$27="Todos",datos_base!$H$9+datos_base!$H$23,0))*parametros_manuales!$B$95+parametros_manuales!$E$27*(datos_base!$H$3+datos_base!$H$19+IF(parametros_manuales!$H$27="Todos",datos_base!$H$10+datos_base!$H$24,0))*parametros_manuales!$B$100+parametros_manuales!$F$27*(datos_base!$H$4+datos_base!$H$20+IF(parametros_manuales!$H$27="Todos",datos_base!$H$11+datos_base!$H$25,0))*parametros_manuales!$B$105+parametros_manuales!$G$27*(datos_base!$H$5+datos_base!$H$21+IF(parametros_manuales!$H$27="Todos",datos_base!$H$12+datos_base!$H$26,0))*parametros_manuales!$B$110)*parametros_manuales!$I$27*parametros_manuales!$J$27</f>
        <v>4419.33443181</v>
      </c>
      <c r="C172" s="9" t="n">
        <f aca="false">(parametros_manuales!$D$27*(datos_base!$H$2+datos_base!$H$18+IF(parametros_manuales!$H$27="Todos",datos_base!$H$9+datos_base!$H$23,0))*parametros_manuales!$C$95+parametros_manuales!$E$27*(datos_base!$H$3+datos_base!$H$19+IF(parametros_manuales!$H$27="Todos",datos_base!$H$10+datos_base!$H$24,0))*parametros_manuales!$C$100+parametros_manuales!$F$27*(datos_base!$H$4+datos_base!$H$20+IF(parametros_manuales!$H$27="Todos",datos_base!$H$11+datos_base!$H$25,0))*parametros_manuales!$C$105+parametros_manuales!$G$27*(datos_base!$H$5+datos_base!$H$21+IF(parametros_manuales!$H$27="Todos",datos_base!$H$12+datos_base!$H$26,0))*parametros_manuales!$C$110)*parametros_manuales!$I$27*parametros_manuales!$J$27</f>
        <v>3928.29727272</v>
      </c>
      <c r="D172" s="9" t="n">
        <f aca="false">(parametros_manuales!$D$27*(datos_base!$H$2+datos_base!$H$18+IF(parametros_manuales!$H$27="Todos",datos_base!$H$9+datos_base!$H$23,0))*parametros_manuales!$D$95+parametros_manuales!$E$27*(datos_base!$H$3+datos_base!$H$19+IF(parametros_manuales!$H$27="Todos",datos_base!$H$10+datos_base!$H$24,0))*parametros_manuales!$D$100+parametros_manuales!$F$27*(datos_base!$H$4+datos_base!$H$20+IF(parametros_manuales!$H$27="Todos",datos_base!$H$11+datos_base!$H$25,0))*parametros_manuales!$D$105+parametros_manuales!$G$27*(datos_base!$H$5+datos_base!$H$21+IF(parametros_manuales!$H$27="Todos",datos_base!$H$12+datos_base!$H$26,0))*parametros_manuales!$D$110)*parametros_manuales!$I$27*parametros_manuales!$J$27</f>
        <v>4173.815852265</v>
      </c>
      <c r="E172" s="9" t="n">
        <f aca="false">(parametros_manuales!$D$27*(datos_base!$H$2+datos_base!$H$18+IF(parametros_manuales!$H$27="Todos",datos_base!$H$9+datos_base!$H$23,0))*parametros_manuales!$E$95+parametros_manuales!$E$27*(datos_base!$H$3+datos_base!$H$19+IF(parametros_manuales!$H$27="Todos",datos_base!$H$10+datos_base!$H$24,0))*parametros_manuales!$E$100+parametros_manuales!$F$27*(datos_base!$H$4+datos_base!$H$20+IF(parametros_manuales!$H$27="Todos",datos_base!$H$11+datos_base!$H$25,0))*parametros_manuales!$E$105+parametros_manuales!$G$27*(datos_base!$H$5+datos_base!$H$21+IF(parametros_manuales!$H$27="Todos",datos_base!$H$12+datos_base!$H$26,0))*parametros_manuales!$E$110)*parametros_manuales!$I$27*parametros_manuales!$J$27</f>
        <v>4173.815852265</v>
      </c>
      <c r="F172" s="9" t="n">
        <f aca="false">(parametros_manuales!$D$27*(datos_base!$H$2+datos_base!$H$18+IF(parametros_manuales!$H$27="Todos",datos_base!$H$9+datos_base!$H$23,0))*parametros_manuales!$F$95+parametros_manuales!$E$27*(datos_base!$H$3+datos_base!$H$19+IF(parametros_manuales!$H$27="Todos",datos_base!$H$10+datos_base!$H$24,0))*parametros_manuales!$F$100+parametros_manuales!$F$27*(datos_base!$H$4+datos_base!$H$20+IF(parametros_manuales!$H$27="Todos",datos_base!$H$11+datos_base!$H$25,0))*parametros_manuales!$F$105+parametros_manuales!$G$27*(datos_base!$H$5+datos_base!$H$21+IF(parametros_manuales!$H$27="Todos",datos_base!$H$12+datos_base!$H$26,0))*parametros_manuales!$F$110)*parametros_manuales!$I$27*parametros_manuales!$J$27</f>
        <v>3928.29727272</v>
      </c>
      <c r="G172" s="9" t="n">
        <f aca="false">(parametros_manuales!$D$27*(datos_base!$H$2+datos_base!$H$18+IF(parametros_manuales!$H$27="Todos",datos_base!$H$9+datos_base!$H$23,0))*parametros_manuales!$G$95+parametros_manuales!$E$27*(datos_base!$H$3+datos_base!$H$19+IF(parametros_manuales!$H$27="Todos",datos_base!$H$10+datos_base!$H$24,0))*parametros_manuales!$G$100+parametros_manuales!$F$27*(datos_base!$H$4+datos_base!$H$20+IF(parametros_manuales!$H$27="Todos",datos_base!$H$11+datos_base!$H$25,0))*parametros_manuales!$G$105+parametros_manuales!$G$27*(datos_base!$H$5+datos_base!$H$21+IF(parametros_manuales!$H$27="Todos",datos_base!$H$12+datos_base!$H$26,0))*parametros_manuales!$G$110)*parametros_manuales!$I$27*parametros_manuales!$J$27</f>
        <v>3682.778693175</v>
      </c>
      <c r="H172" s="9" t="n">
        <f aca="false">(parametros_manuales!$D$27*(datos_base!$H$2+datos_base!$H$18+IF(parametros_manuales!$H$27="Todos",datos_base!$H$9+datos_base!$H$23,0))*parametros_manuales!$H$95+parametros_manuales!$E$27*(datos_base!$H$3+datos_base!$H$19+IF(parametros_manuales!$H$27="Todos",datos_base!$H$10+datos_base!$H$24,0))*parametros_manuales!$H$100+parametros_manuales!$F$27*(datos_base!$H$4+datos_base!$H$20+IF(parametros_manuales!$H$27="Todos",datos_base!$H$11+datos_base!$H$25,0))*parametros_manuales!$H$105+parametros_manuales!$G$27*(datos_base!$H$5+datos_base!$H$21+IF(parametros_manuales!$H$27="Todos",datos_base!$H$12+datos_base!$H$26,0))*parametros_manuales!$H$110)*parametros_manuales!$I$27*parametros_manuales!$J$27</f>
        <v>3928.29727272</v>
      </c>
      <c r="I172" s="9" t="n">
        <f aca="false">(parametros_manuales!$D$27*(datos_base!$H$2+datos_base!$H$18+IF(parametros_manuales!$H$27="Todos",datos_base!$H$9+datos_base!$H$23,0))*parametros_manuales!$I$95+parametros_manuales!$E$27*(datos_base!$H$3+datos_base!$H$19+IF(parametros_manuales!$H$27="Todos",datos_base!$H$10+datos_base!$H$24,0))*parametros_manuales!$I$100+parametros_manuales!$F$27*(datos_base!$H$4+datos_base!$H$20+IF(parametros_manuales!$H$27="Todos",datos_base!$H$11+datos_base!$H$25,0))*parametros_manuales!$I$105+parametros_manuales!$G$27*(datos_base!$H$5+datos_base!$H$21+IF(parametros_manuales!$H$27="Todos",datos_base!$H$12+datos_base!$H$26,0))*parametros_manuales!$I$110)*parametros_manuales!$I$27*parametros_manuales!$J$27</f>
        <v>3928.29727272</v>
      </c>
      <c r="J172" s="9" t="n">
        <f aca="false">(parametros_manuales!$D$27*(datos_base!$H$2+datos_base!$H$18+IF(parametros_manuales!$H$27="Todos",datos_base!$H$9+datos_base!$H$23,0))*parametros_manuales!$J$95+parametros_manuales!$E$27*(datos_base!$H$3+datos_base!$H$19+IF(parametros_manuales!$H$27="Todos",datos_base!$H$10+datos_base!$H$24,0))*parametros_manuales!$J$100+parametros_manuales!$F$27*(datos_base!$H$4+datos_base!$H$20+IF(parametros_manuales!$H$27="Todos",datos_base!$H$11+datos_base!$H$25,0))*parametros_manuales!$J$105+parametros_manuales!$G$27*(datos_base!$H$5+datos_base!$H$21+IF(parametros_manuales!$H$27="Todos",datos_base!$H$12+datos_base!$H$26,0))*parametros_manuales!$J$110)*parametros_manuales!$I$27*parametros_manuales!$J$27</f>
        <v>3928.29727272</v>
      </c>
      <c r="K172" s="9" t="n">
        <f aca="false">(parametros_manuales!$D$27*(datos_base!$H$2+datos_base!$H$18+IF(parametros_manuales!$H$27="Todos",datos_base!$H$9+datos_base!$H$23,0))*parametros_manuales!$K$95+parametros_manuales!$E$27*(datos_base!$H$3+datos_base!$H$19+IF(parametros_manuales!$H$27="Todos",datos_base!$H$10+datos_base!$H$24,0))*parametros_manuales!$K$100+parametros_manuales!$F$27*(datos_base!$H$4+datos_base!$H$20+IF(parametros_manuales!$H$27="Todos",datos_base!$H$11+datos_base!$H$25,0))*parametros_manuales!$K$105+parametros_manuales!$G$27*(datos_base!$H$5+datos_base!$H$21+IF(parametros_manuales!$H$27="Todos",datos_base!$H$12+datos_base!$H$26,0))*parametros_manuales!$K$110)*parametros_manuales!$I$27*parametros_manuales!$J$27</f>
        <v>4173.815852265</v>
      </c>
      <c r="L172" s="9" t="n">
        <f aca="false">(parametros_manuales!$D$27*(datos_base!$H$2+datos_base!$H$18+IF(parametros_manuales!$H$27="Todos",datos_base!$H$9+datos_base!$H$23,0))*parametros_manuales!$L$95+parametros_manuales!$E$27*(datos_base!$H$3+datos_base!$H$19+IF(parametros_manuales!$H$27="Todos",datos_base!$H$10+datos_base!$H$24,0))*parametros_manuales!$L$100+parametros_manuales!$F$27*(datos_base!$H$4+datos_base!$H$20+IF(parametros_manuales!$H$27="Todos",datos_base!$H$11+datos_base!$H$25,0))*parametros_manuales!$L$105+parametros_manuales!$G$27*(datos_base!$H$5+datos_base!$H$21+IF(parametros_manuales!$H$27="Todos",datos_base!$H$12+datos_base!$H$26,0))*parametros_manuales!$L$110)*parametros_manuales!$I$27*parametros_manuales!$J$27</f>
        <v>4419.33443181</v>
      </c>
      <c r="M172" s="9" t="n">
        <f aca="false">(parametros_manuales!$D$27*(datos_base!$H$2+datos_base!$H$18+IF(parametros_manuales!$H$27="Todos",datos_base!$H$9+datos_base!$H$23,0))*parametros_manuales!$M$95+parametros_manuales!$E$27*(datos_base!$H$3+datos_base!$H$19+IF(parametros_manuales!$H$27="Todos",datos_base!$H$10+datos_base!$H$24,0))*parametros_manuales!$M$100+parametros_manuales!$F$27*(datos_base!$H$4+datos_base!$H$20+IF(parametros_manuales!$H$27="Todos",datos_base!$H$11+datos_base!$H$25,0))*parametros_manuales!$M$105+parametros_manuales!$G$27*(datos_base!$H$5+datos_base!$H$21+IF(parametros_manuales!$H$27="Todos",datos_base!$H$12+datos_base!$H$26,0))*parametros_manuales!$M$110)*parametros_manuales!$I$27*parametros_manuales!$J$27</f>
        <v>4419.33443181</v>
      </c>
      <c r="N172" s="9" t="n">
        <f aca="false">SUM(B172:M172)</f>
        <v>49103.715909</v>
      </c>
      <c r="O172" s="9" t="n">
        <f aca="false">MAX(B172:M172)</f>
        <v>4419.33443181</v>
      </c>
      <c r="P172" s="43" t="n">
        <f aca="false">O172/(parametros_manuales!$B$7)</f>
        <v>29.4622295454</v>
      </c>
      <c r="Q172" s="8" t="str">
        <f aca="false">IF(O172=0,"-",INDEX($B$163:$M$163,MATCH(O172,B172:M172,0)))</f>
        <v>Ene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datos_base!$H$2+datos_base!$H$18+IF(parametros_manuales!$H$28="Todos",datos_base!$H$9+datos_base!$H$23,0))*parametros_manuales!$B$95+parametros_manuales!$E$28*(datos_base!$H$3+datos_base!$H$19+IF(parametros_manuales!$H$28="Todos",datos_base!$H$10+datos_base!$H$24,0))*parametros_manuales!$B$100+parametros_manuales!$F$28*(datos_base!$H$4+datos_base!$H$20+IF(parametros_manuales!$H$28="Todos",datos_base!$H$11+datos_base!$H$25,0))*parametros_manuales!$B$105+parametros_manuales!$G$28*(datos_base!$H$5+datos_base!$H$21+IF(parametros_manuales!$H$28="Todos",datos_base!$H$12+datos_base!$H$26,0))*parametros_manuales!$B$110)*parametros_manuales!$I$28*parametros_manuales!$J$28</f>
        <v>15369.91822521</v>
      </c>
      <c r="C173" s="9" t="n">
        <f aca="false">(parametros_manuales!$D$28*(datos_base!$H$2+datos_base!$H$18+IF(parametros_manuales!$H$28="Todos",datos_base!$H$9+datos_base!$H$23,0))*parametros_manuales!$C$95+parametros_manuales!$E$28*(datos_base!$H$3+datos_base!$H$19+IF(parametros_manuales!$H$28="Todos",datos_base!$H$10+datos_base!$H$24,0))*parametros_manuales!$C$100+parametros_manuales!$F$28*(datos_base!$H$4+datos_base!$H$20+IF(parametros_manuales!$H$28="Todos",datos_base!$H$11+datos_base!$H$25,0))*parametros_manuales!$C$105+parametros_manuales!$G$28*(datos_base!$H$5+datos_base!$H$21+IF(parametros_manuales!$H$28="Todos",datos_base!$H$12+datos_base!$H$26,0))*parametros_manuales!$C$110)*parametros_manuales!$I$28*parametros_manuales!$J$28</f>
        <v>14878.88106612</v>
      </c>
      <c r="D173" s="9" t="n">
        <f aca="false">(parametros_manuales!$D$28*(datos_base!$H$2+datos_base!$H$18+IF(parametros_manuales!$H$28="Todos",datos_base!$H$9+datos_base!$H$23,0))*parametros_manuales!$D$95+parametros_manuales!$E$28*(datos_base!$H$3+datos_base!$H$19+IF(parametros_manuales!$H$28="Todos",datos_base!$H$10+datos_base!$H$24,0))*parametros_manuales!$D$100+parametros_manuales!$F$28*(datos_base!$H$4+datos_base!$H$20+IF(parametros_manuales!$H$28="Todos",datos_base!$H$11+datos_base!$H$25,0))*parametros_manuales!$D$105+parametros_manuales!$G$28*(datos_base!$H$5+datos_base!$H$21+IF(parametros_manuales!$H$28="Todos",datos_base!$H$12+datos_base!$H$26,0))*parametros_manuales!$D$110)*parametros_manuales!$I$28*parametros_manuales!$J$28</f>
        <v>13907.668113065</v>
      </c>
      <c r="E173" s="9" t="n">
        <f aca="false">(parametros_manuales!$D$28*(datos_base!$H$2+datos_base!$H$18+IF(parametros_manuales!$H$28="Todos",datos_base!$H$9+datos_base!$H$23,0))*parametros_manuales!$E$95+parametros_manuales!$E$28*(datos_base!$H$3+datos_base!$H$19+IF(parametros_manuales!$H$28="Todos",datos_base!$H$10+datos_base!$H$24,0))*parametros_manuales!$E$100+parametros_manuales!$F$28*(datos_base!$H$4+datos_base!$H$20+IF(parametros_manuales!$H$28="Todos",datos_base!$H$11+datos_base!$H$25,0))*parametros_manuales!$E$105+parametros_manuales!$G$28*(datos_base!$H$5+datos_base!$H$21+IF(parametros_manuales!$H$28="Todos",datos_base!$H$12+datos_base!$H$26,0))*parametros_manuales!$E$110)*parametros_manuales!$I$28*parametros_manuales!$J$28</f>
        <v>13299.302346765</v>
      </c>
      <c r="F173" s="9" t="n">
        <f aca="false">(parametros_manuales!$D$28*(datos_base!$H$2+datos_base!$H$18+IF(parametros_manuales!$H$28="Todos",datos_base!$H$9+datos_base!$H$23,0))*parametros_manuales!$F$95+parametros_manuales!$E$28*(datos_base!$H$3+datos_base!$H$19+IF(parametros_manuales!$H$28="Todos",datos_base!$H$10+datos_base!$H$24,0))*parametros_manuales!$F$100+parametros_manuales!$F$28*(datos_base!$H$4+datos_base!$H$20+IF(parametros_manuales!$H$28="Todos",datos_base!$H$11+datos_base!$H$25,0))*parametros_manuales!$F$105+parametros_manuales!$G$28*(datos_base!$H$5+datos_base!$H$21+IF(parametros_manuales!$H$28="Todos",datos_base!$H$12+datos_base!$H$26,0))*parametros_manuales!$F$110)*parametros_manuales!$I$28*parametros_manuales!$J$28</f>
        <v>12445.41800092</v>
      </c>
      <c r="G173" s="9" t="n">
        <f aca="false">(parametros_manuales!$D$28*(datos_base!$H$2+datos_base!$H$18+IF(parametros_manuales!$H$28="Todos",datos_base!$H$9+datos_base!$H$23,0))*parametros_manuales!$G$95+parametros_manuales!$E$28*(datos_base!$H$3+datos_base!$H$19+IF(parametros_manuales!$H$28="Todos",datos_base!$H$10+datos_base!$H$24,0))*parametros_manuales!$G$100+parametros_manuales!$F$28*(datos_base!$H$4+datos_base!$H$20+IF(parametros_manuales!$H$28="Todos",datos_base!$H$11+datos_base!$H$25,0))*parametros_manuales!$G$105+parametros_manuales!$G$28*(datos_base!$H$5+datos_base!$H$21+IF(parametros_manuales!$H$28="Todos",datos_base!$H$12+datos_base!$H$26,0))*parametros_manuales!$G$110)*parametros_manuales!$I$28*parametros_manuales!$J$28</f>
        <v>12199.899421375</v>
      </c>
      <c r="H173" s="9" t="n">
        <f aca="false">(parametros_manuales!$D$28*(datos_base!$H$2+datos_base!$H$18+IF(parametros_manuales!$H$28="Todos",datos_base!$H$9+datos_base!$H$23,0))*parametros_manuales!$H$95+parametros_manuales!$E$28*(datos_base!$H$3+datos_base!$H$19+IF(parametros_manuales!$H$28="Todos",datos_base!$H$10+datos_base!$H$24,0))*parametros_manuales!$H$100+parametros_manuales!$F$28*(datos_base!$H$4+datos_base!$H$20+IF(parametros_manuales!$H$28="Todos",datos_base!$H$11+datos_base!$H$25,0))*parametros_manuales!$H$105+parametros_manuales!$G$28*(datos_base!$H$5+datos_base!$H$21+IF(parametros_manuales!$H$28="Todos",datos_base!$H$12+datos_base!$H$26,0))*parametros_manuales!$H$110)*parametros_manuales!$I$28*parametros_manuales!$J$28</f>
        <v>13053.78376722</v>
      </c>
      <c r="I173" s="9" t="n">
        <f aca="false">(parametros_manuales!$D$28*(datos_base!$H$2+datos_base!$H$18+IF(parametros_manuales!$H$28="Todos",datos_base!$H$9+datos_base!$H$23,0))*parametros_manuales!$I$95+parametros_manuales!$E$28*(datos_base!$H$3+datos_base!$H$19+IF(parametros_manuales!$H$28="Todos",datos_base!$H$10+datos_base!$H$24,0))*parametros_manuales!$I$100+parametros_manuales!$F$28*(datos_base!$H$4+datos_base!$H$20+IF(parametros_manuales!$H$28="Todos",datos_base!$H$11+datos_base!$H$25,0))*parametros_manuales!$I$105+parametros_manuales!$G$28*(datos_base!$H$5+datos_base!$H$21+IF(parametros_manuales!$H$28="Todos",datos_base!$H$12+datos_base!$H$26,0))*parametros_manuales!$I$110)*parametros_manuales!$I$28*parametros_manuales!$J$28</f>
        <v>14878.88106612</v>
      </c>
      <c r="J173" s="9" t="n">
        <f aca="false">(parametros_manuales!$D$28*(datos_base!$H$2+datos_base!$H$18+IF(parametros_manuales!$H$28="Todos",datos_base!$H$9+datos_base!$H$23,0))*parametros_manuales!$J$95+parametros_manuales!$E$28*(datos_base!$H$3+datos_base!$H$19+IF(parametros_manuales!$H$28="Todos",datos_base!$H$10+datos_base!$H$24,0))*parametros_manuales!$J$100+parametros_manuales!$F$28*(datos_base!$H$4+datos_base!$H$20+IF(parametros_manuales!$H$28="Todos",datos_base!$H$11+datos_base!$H$25,0))*parametros_manuales!$J$105+parametros_manuales!$G$28*(datos_base!$H$5+datos_base!$H$21+IF(parametros_manuales!$H$28="Todos",datos_base!$H$12+datos_base!$H$26,0))*parametros_manuales!$J$110)*parametros_manuales!$I$28*parametros_manuales!$J$28</f>
        <v>14878.88106612</v>
      </c>
      <c r="K173" s="9" t="n">
        <f aca="false">(parametros_manuales!$D$28*(datos_base!$H$2+datos_base!$H$18+IF(parametros_manuales!$H$28="Todos",datos_base!$H$9+datos_base!$H$23,0))*parametros_manuales!$K$95+parametros_manuales!$E$28*(datos_base!$H$3+datos_base!$H$19+IF(parametros_manuales!$H$28="Todos",datos_base!$H$10+datos_base!$H$24,0))*parametros_manuales!$K$100+parametros_manuales!$F$28*(datos_base!$H$4+datos_base!$H$20+IF(parametros_manuales!$H$28="Todos",datos_base!$H$11+datos_base!$H$25,0))*parametros_manuales!$K$105+parametros_manuales!$G$28*(datos_base!$H$5+datos_base!$H$21+IF(parametros_manuales!$H$28="Todos",datos_base!$H$12+datos_base!$H$26,0))*parametros_manuales!$K$110)*parametros_manuales!$I$28*parametros_manuales!$J$28</f>
        <v>15124.399645665</v>
      </c>
      <c r="L173" s="9" t="n">
        <f aca="false">(parametros_manuales!$D$28*(datos_base!$H$2+datos_base!$H$18+IF(parametros_manuales!$H$28="Todos",datos_base!$H$9+datos_base!$H$23,0))*parametros_manuales!$L$95+parametros_manuales!$E$28*(datos_base!$H$3+datos_base!$H$19+IF(parametros_manuales!$H$28="Todos",datos_base!$H$10+datos_base!$H$24,0))*parametros_manuales!$L$100+parametros_manuales!$F$28*(datos_base!$H$4+datos_base!$H$20+IF(parametros_manuales!$H$28="Todos",datos_base!$H$11+datos_base!$H$25,0))*parametros_manuales!$L$105+parametros_manuales!$G$28*(datos_base!$H$5+datos_base!$H$21+IF(parametros_manuales!$H$28="Todos",datos_base!$H$12+datos_base!$H$26,0))*parametros_manuales!$L$110)*parametros_manuales!$I$28*parametros_manuales!$J$28</f>
        <v>15369.91822521</v>
      </c>
      <c r="M173" s="9" t="n">
        <f aca="false">(parametros_manuales!$D$28*(datos_base!$H$2+datos_base!$H$18+IF(parametros_manuales!$H$28="Todos",datos_base!$H$9+datos_base!$H$23,0))*parametros_manuales!$M$95+parametros_manuales!$E$28*(datos_base!$H$3+datos_base!$H$19+IF(parametros_manuales!$H$28="Todos",datos_base!$H$10+datos_base!$H$24,0))*parametros_manuales!$M$100+parametros_manuales!$F$28*(datos_base!$H$4+datos_base!$H$20+IF(parametros_manuales!$H$28="Todos",datos_base!$H$11+datos_base!$H$25,0))*parametros_manuales!$M$105+parametros_manuales!$G$28*(datos_base!$H$5+datos_base!$H$21+IF(parametros_manuales!$H$28="Todos",datos_base!$H$12+datos_base!$H$26,0))*parametros_manuales!$M$110)*parametros_manuales!$I$28*parametros_manuales!$J$28</f>
        <v>15369.91822521</v>
      </c>
      <c r="N173" s="9" t="n">
        <f aca="false">SUM(B173:M173)</f>
        <v>170776.869169</v>
      </c>
      <c r="O173" s="9" t="n">
        <f aca="false">MAX(B173:M173)</f>
        <v>15369.91822521</v>
      </c>
      <c r="P173" s="43" t="n">
        <f aca="false">O173/(parametros_manuales!$B$7)</f>
        <v>102.4661215014</v>
      </c>
      <c r="Q173" s="8" t="str">
        <f aca="false">IF(O173=0,"-",INDEX($B$163:$M$163,MATCH(O173,B173:M173,0)))</f>
        <v>Ene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datos_base!$H$2+datos_base!$H$18+IF(parametros_manuales!$H$29="Todos",datos_base!$H$9+datos_base!$H$23,0))*parametros_manuales!$B$95+parametros_manuales!$E$29*(datos_base!$H$3+datos_base!$H$19+IF(parametros_manuales!$H$29="Todos",datos_base!$H$10+datos_base!$H$24,0))*parametros_manuales!$B$100+parametros_manuales!$F$29*(datos_base!$H$4+datos_base!$H$20+IF(parametros_manuales!$H$29="Todos",datos_base!$H$11+datos_base!$H$25,0))*parametros_manuales!$B$105+parametros_manuales!$G$29*(datos_base!$H$5+datos_base!$H$21+IF(parametros_manuales!$H$29="Todos",datos_base!$H$12+datos_base!$H$26,0))*parametros_manuales!$B$110)*parametros_manuales!$I$29*parametros_manuales!$J$29</f>
        <v>15369.91822521</v>
      </c>
      <c r="C174" s="9" t="n">
        <f aca="false">(parametros_manuales!$D$29*(datos_base!$H$2+datos_base!$H$18+IF(parametros_manuales!$H$29="Todos",datos_base!$H$9+datos_base!$H$23,0))*parametros_manuales!$C$95+parametros_manuales!$E$29*(datos_base!$H$3+datos_base!$H$19+IF(parametros_manuales!$H$29="Todos",datos_base!$H$10+datos_base!$H$24,0))*parametros_manuales!$C$100+parametros_manuales!$F$29*(datos_base!$H$4+datos_base!$H$20+IF(parametros_manuales!$H$29="Todos",datos_base!$H$11+datos_base!$H$25,0))*parametros_manuales!$C$105+parametros_manuales!$G$29*(datos_base!$H$5+datos_base!$H$21+IF(parametros_manuales!$H$29="Todos",datos_base!$H$12+datos_base!$H$26,0))*parametros_manuales!$C$110)*parametros_manuales!$I$29*parametros_manuales!$J$29</f>
        <v>14878.88106612</v>
      </c>
      <c r="D174" s="9" t="n">
        <f aca="false">(parametros_manuales!$D$29*(datos_base!$H$2+datos_base!$H$18+IF(parametros_manuales!$H$29="Todos",datos_base!$H$9+datos_base!$H$23,0))*parametros_manuales!$D$95+parametros_manuales!$E$29*(datos_base!$H$3+datos_base!$H$19+IF(parametros_manuales!$H$29="Todos",datos_base!$H$10+datos_base!$H$24,0))*parametros_manuales!$D$100+parametros_manuales!$F$29*(datos_base!$H$4+datos_base!$H$20+IF(parametros_manuales!$H$29="Todos",datos_base!$H$11+datos_base!$H$25,0))*parametros_manuales!$D$105+parametros_manuales!$G$29*(datos_base!$H$5+datos_base!$H$21+IF(parametros_manuales!$H$29="Todos",datos_base!$H$12+datos_base!$H$26,0))*parametros_manuales!$D$110)*parametros_manuales!$I$29*parametros_manuales!$J$29</f>
        <v>13907.668113065</v>
      </c>
      <c r="E174" s="9" t="n">
        <f aca="false">(parametros_manuales!$D$29*(datos_base!$H$2+datos_base!$H$18+IF(parametros_manuales!$H$29="Todos",datos_base!$H$9+datos_base!$H$23,0))*parametros_manuales!$E$95+parametros_manuales!$E$29*(datos_base!$H$3+datos_base!$H$19+IF(parametros_manuales!$H$29="Todos",datos_base!$H$10+datos_base!$H$24,0))*parametros_manuales!$E$100+parametros_manuales!$F$29*(datos_base!$H$4+datos_base!$H$20+IF(parametros_manuales!$H$29="Todos",datos_base!$H$11+datos_base!$H$25,0))*parametros_manuales!$E$105+parametros_manuales!$G$29*(datos_base!$H$5+datos_base!$H$21+IF(parametros_manuales!$H$29="Todos",datos_base!$H$12+datos_base!$H$26,0))*parametros_manuales!$E$110)*parametros_manuales!$I$29*parametros_manuales!$J$29</f>
        <v>13299.302346765</v>
      </c>
      <c r="F174" s="9" t="n">
        <f aca="false">(parametros_manuales!$D$29*(datos_base!$H$2+datos_base!$H$18+IF(parametros_manuales!$H$29="Todos",datos_base!$H$9+datos_base!$H$23,0))*parametros_manuales!$F$95+parametros_manuales!$E$29*(datos_base!$H$3+datos_base!$H$19+IF(parametros_manuales!$H$29="Todos",datos_base!$H$10+datos_base!$H$24,0))*parametros_manuales!$F$100+parametros_manuales!$F$29*(datos_base!$H$4+datos_base!$H$20+IF(parametros_manuales!$H$29="Todos",datos_base!$H$11+datos_base!$H$25,0))*parametros_manuales!$F$105+parametros_manuales!$G$29*(datos_base!$H$5+datos_base!$H$21+IF(parametros_manuales!$H$29="Todos",datos_base!$H$12+datos_base!$H$26,0))*parametros_manuales!$F$110)*parametros_manuales!$I$29*parametros_manuales!$J$29</f>
        <v>12445.41800092</v>
      </c>
      <c r="G174" s="9" t="n">
        <f aca="false">(parametros_manuales!$D$29*(datos_base!$H$2+datos_base!$H$18+IF(parametros_manuales!$H$29="Todos",datos_base!$H$9+datos_base!$H$23,0))*parametros_manuales!$G$95+parametros_manuales!$E$29*(datos_base!$H$3+datos_base!$H$19+IF(parametros_manuales!$H$29="Todos",datos_base!$H$10+datos_base!$H$24,0))*parametros_manuales!$G$100+parametros_manuales!$F$29*(datos_base!$H$4+datos_base!$H$20+IF(parametros_manuales!$H$29="Todos",datos_base!$H$11+datos_base!$H$25,0))*parametros_manuales!$G$105+parametros_manuales!$G$29*(datos_base!$H$5+datos_base!$H$21+IF(parametros_manuales!$H$29="Todos",datos_base!$H$12+datos_base!$H$26,0))*parametros_manuales!$G$110)*parametros_manuales!$I$29*parametros_manuales!$J$29</f>
        <v>12199.899421375</v>
      </c>
      <c r="H174" s="9" t="n">
        <f aca="false">(parametros_manuales!$D$29*(datos_base!$H$2+datos_base!$H$18+IF(parametros_manuales!$H$29="Todos",datos_base!$H$9+datos_base!$H$23,0))*parametros_manuales!$H$95+parametros_manuales!$E$29*(datos_base!$H$3+datos_base!$H$19+IF(parametros_manuales!$H$29="Todos",datos_base!$H$10+datos_base!$H$24,0))*parametros_manuales!$H$100+parametros_manuales!$F$29*(datos_base!$H$4+datos_base!$H$20+IF(parametros_manuales!$H$29="Todos",datos_base!$H$11+datos_base!$H$25,0))*parametros_manuales!$H$105+parametros_manuales!$G$29*(datos_base!$H$5+datos_base!$H$21+IF(parametros_manuales!$H$29="Todos",datos_base!$H$12+datos_base!$H$26,0))*parametros_manuales!$H$110)*parametros_manuales!$I$29*parametros_manuales!$J$29</f>
        <v>13053.78376722</v>
      </c>
      <c r="I174" s="9" t="n">
        <f aca="false">(parametros_manuales!$D$29*(datos_base!$H$2+datos_base!$H$18+IF(parametros_manuales!$H$29="Todos",datos_base!$H$9+datos_base!$H$23,0))*parametros_manuales!$I$95+parametros_manuales!$E$29*(datos_base!$H$3+datos_base!$H$19+IF(parametros_manuales!$H$29="Todos",datos_base!$H$10+datos_base!$H$24,0))*parametros_manuales!$I$100+parametros_manuales!$F$29*(datos_base!$H$4+datos_base!$H$20+IF(parametros_manuales!$H$29="Todos",datos_base!$H$11+datos_base!$H$25,0))*parametros_manuales!$I$105+parametros_manuales!$G$29*(datos_base!$H$5+datos_base!$H$21+IF(parametros_manuales!$H$29="Todos",datos_base!$H$12+datos_base!$H$26,0))*parametros_manuales!$I$110)*parametros_manuales!$I$29*parametros_manuales!$J$29</f>
        <v>14878.88106612</v>
      </c>
      <c r="J174" s="9" t="n">
        <f aca="false">(parametros_manuales!$D$29*(datos_base!$H$2+datos_base!$H$18+IF(parametros_manuales!$H$29="Todos",datos_base!$H$9+datos_base!$H$23,0))*parametros_manuales!$J$95+parametros_manuales!$E$29*(datos_base!$H$3+datos_base!$H$19+IF(parametros_manuales!$H$29="Todos",datos_base!$H$10+datos_base!$H$24,0))*parametros_manuales!$J$100+parametros_manuales!$F$29*(datos_base!$H$4+datos_base!$H$20+IF(parametros_manuales!$H$29="Todos",datos_base!$H$11+datos_base!$H$25,0))*parametros_manuales!$J$105+parametros_manuales!$G$29*(datos_base!$H$5+datos_base!$H$21+IF(parametros_manuales!$H$29="Todos",datos_base!$H$12+datos_base!$H$26,0))*parametros_manuales!$J$110)*parametros_manuales!$I$29*parametros_manuales!$J$29</f>
        <v>14878.88106612</v>
      </c>
      <c r="K174" s="9" t="n">
        <f aca="false">(parametros_manuales!$D$29*(datos_base!$H$2+datos_base!$H$18+IF(parametros_manuales!$H$29="Todos",datos_base!$H$9+datos_base!$H$23,0))*parametros_manuales!$K$95+parametros_manuales!$E$29*(datos_base!$H$3+datos_base!$H$19+IF(parametros_manuales!$H$29="Todos",datos_base!$H$10+datos_base!$H$24,0))*parametros_manuales!$K$100+parametros_manuales!$F$29*(datos_base!$H$4+datos_base!$H$20+IF(parametros_manuales!$H$29="Todos",datos_base!$H$11+datos_base!$H$25,0))*parametros_manuales!$K$105+parametros_manuales!$G$29*(datos_base!$H$5+datos_base!$H$21+IF(parametros_manuales!$H$29="Todos",datos_base!$H$12+datos_base!$H$26,0))*parametros_manuales!$K$110)*parametros_manuales!$I$29*parametros_manuales!$J$29</f>
        <v>15124.399645665</v>
      </c>
      <c r="L174" s="9" t="n">
        <f aca="false">(parametros_manuales!$D$29*(datos_base!$H$2+datos_base!$H$18+IF(parametros_manuales!$H$29="Todos",datos_base!$H$9+datos_base!$H$23,0))*parametros_manuales!$L$95+parametros_manuales!$E$29*(datos_base!$H$3+datos_base!$H$19+IF(parametros_manuales!$H$29="Todos",datos_base!$H$10+datos_base!$H$24,0))*parametros_manuales!$L$100+parametros_manuales!$F$29*(datos_base!$H$4+datos_base!$H$20+IF(parametros_manuales!$H$29="Todos",datos_base!$H$11+datos_base!$H$25,0))*parametros_manuales!$L$105+parametros_manuales!$G$29*(datos_base!$H$5+datos_base!$H$21+IF(parametros_manuales!$H$29="Todos",datos_base!$H$12+datos_base!$H$26,0))*parametros_manuales!$L$110)*parametros_manuales!$I$29*parametros_manuales!$J$29</f>
        <v>15369.91822521</v>
      </c>
      <c r="M174" s="9" t="n">
        <f aca="false">(parametros_manuales!$D$29*(datos_base!$H$2+datos_base!$H$18+IF(parametros_manuales!$H$29="Todos",datos_base!$H$9+datos_base!$H$23,0))*parametros_manuales!$M$95+parametros_manuales!$E$29*(datos_base!$H$3+datos_base!$H$19+IF(parametros_manuales!$H$29="Todos",datos_base!$H$10+datos_base!$H$24,0))*parametros_manuales!$M$100+parametros_manuales!$F$29*(datos_base!$H$4+datos_base!$H$20+IF(parametros_manuales!$H$29="Todos",datos_base!$H$11+datos_base!$H$25,0))*parametros_manuales!$M$105+parametros_manuales!$G$29*(datos_base!$H$5+datos_base!$H$21+IF(parametros_manuales!$H$29="Todos",datos_base!$H$12+datos_base!$H$26,0))*parametros_manuales!$M$110)*parametros_manuales!$I$29*parametros_manuales!$J$29</f>
        <v>15369.91822521</v>
      </c>
      <c r="N174" s="9" t="n">
        <f aca="false">SUM(B174:M174)</f>
        <v>170776.869169</v>
      </c>
      <c r="O174" s="9" t="n">
        <f aca="false">MAX(B174:M174)</f>
        <v>15369.91822521</v>
      </c>
      <c r="P174" s="43" t="n">
        <f aca="false">O174/(parametros_manuales!$B$7)</f>
        <v>102.4661215014</v>
      </c>
      <c r="Q174" s="8" t="str">
        <f aca="false">IF(O174=0,"-",INDEX($B$163:$M$163,MATCH(O174,B174:M174,0)))</f>
        <v>Ene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datos_base!$H$2+datos_base!$H$18+IF(parametros_manuales!$H$30="Todos",datos_base!$H$9+datos_base!$H$23,0))*parametros_manuales!$B$95+parametros_manuales!$E$30*(datos_base!$H$3+datos_base!$H$19+IF(parametros_manuales!$H$30="Todos",datos_base!$H$10+datos_base!$H$24,0))*parametros_manuales!$B$100+parametros_manuales!$F$30*(datos_base!$H$4+datos_base!$H$20+IF(parametros_manuales!$H$30="Todos",datos_base!$H$11+datos_base!$H$25,0))*parametros_manuales!$B$105+parametros_manuales!$G$30*(datos_base!$H$5+datos_base!$H$21+IF(parametros_manuales!$H$30="Todos",datos_base!$H$12+datos_base!$H$26,0))*parametros_manuales!$B$110)*parametros_manuales!$I$30*parametros_manuales!$J$30</f>
        <v>15369.91822521</v>
      </c>
      <c r="C175" s="9" t="n">
        <f aca="false">(parametros_manuales!$D$30*(datos_base!$H$2+datos_base!$H$18+IF(parametros_manuales!$H$30="Todos",datos_base!$H$9+datos_base!$H$23,0))*parametros_manuales!$C$95+parametros_manuales!$E$30*(datos_base!$H$3+datos_base!$H$19+IF(parametros_manuales!$H$30="Todos",datos_base!$H$10+datos_base!$H$24,0))*parametros_manuales!$C$100+parametros_manuales!$F$30*(datos_base!$H$4+datos_base!$H$20+IF(parametros_manuales!$H$30="Todos",datos_base!$H$11+datos_base!$H$25,0))*parametros_manuales!$C$105+parametros_manuales!$G$30*(datos_base!$H$5+datos_base!$H$21+IF(parametros_manuales!$H$30="Todos",datos_base!$H$12+datos_base!$H$26,0))*parametros_manuales!$C$110)*parametros_manuales!$I$30*parametros_manuales!$J$30</f>
        <v>14878.88106612</v>
      </c>
      <c r="D175" s="9" t="n">
        <f aca="false">(parametros_manuales!$D$30*(datos_base!$H$2+datos_base!$H$18+IF(parametros_manuales!$H$30="Todos",datos_base!$H$9+datos_base!$H$23,0))*parametros_manuales!$D$95+parametros_manuales!$E$30*(datos_base!$H$3+datos_base!$H$19+IF(parametros_manuales!$H$30="Todos",datos_base!$H$10+datos_base!$H$24,0))*parametros_manuales!$D$100+parametros_manuales!$F$30*(datos_base!$H$4+datos_base!$H$20+IF(parametros_manuales!$H$30="Todos",datos_base!$H$11+datos_base!$H$25,0))*parametros_manuales!$D$105+parametros_manuales!$G$30*(datos_base!$H$5+datos_base!$H$21+IF(parametros_manuales!$H$30="Todos",datos_base!$H$12+datos_base!$H$26,0))*parametros_manuales!$D$110)*parametros_manuales!$I$30*parametros_manuales!$J$30</f>
        <v>13907.668113065</v>
      </c>
      <c r="E175" s="9" t="n">
        <f aca="false">(parametros_manuales!$D$30*(datos_base!$H$2+datos_base!$H$18+IF(parametros_manuales!$H$30="Todos",datos_base!$H$9+datos_base!$H$23,0))*parametros_manuales!$E$95+parametros_manuales!$E$30*(datos_base!$H$3+datos_base!$H$19+IF(parametros_manuales!$H$30="Todos",datos_base!$H$10+datos_base!$H$24,0))*parametros_manuales!$E$100+parametros_manuales!$F$30*(datos_base!$H$4+datos_base!$H$20+IF(parametros_manuales!$H$30="Todos",datos_base!$H$11+datos_base!$H$25,0))*parametros_manuales!$E$105+parametros_manuales!$G$30*(datos_base!$H$5+datos_base!$H$21+IF(parametros_manuales!$H$30="Todos",datos_base!$H$12+datos_base!$H$26,0))*parametros_manuales!$E$110)*parametros_manuales!$I$30*parametros_manuales!$J$30</f>
        <v>13299.302346765</v>
      </c>
      <c r="F175" s="9" t="n">
        <f aca="false">(parametros_manuales!$D$30*(datos_base!$H$2+datos_base!$H$18+IF(parametros_manuales!$H$30="Todos",datos_base!$H$9+datos_base!$H$23,0))*parametros_manuales!$F$95+parametros_manuales!$E$30*(datos_base!$H$3+datos_base!$H$19+IF(parametros_manuales!$H$30="Todos",datos_base!$H$10+datos_base!$H$24,0))*parametros_manuales!$F$100+parametros_manuales!$F$30*(datos_base!$H$4+datos_base!$H$20+IF(parametros_manuales!$H$30="Todos",datos_base!$H$11+datos_base!$H$25,0))*parametros_manuales!$F$105+parametros_manuales!$G$30*(datos_base!$H$5+datos_base!$H$21+IF(parametros_manuales!$H$30="Todos",datos_base!$H$12+datos_base!$H$26,0))*parametros_manuales!$F$110)*parametros_manuales!$I$30*parametros_manuales!$J$30</f>
        <v>12445.41800092</v>
      </c>
      <c r="G175" s="9" t="n">
        <f aca="false">(parametros_manuales!$D$30*(datos_base!$H$2+datos_base!$H$18+IF(parametros_manuales!$H$30="Todos",datos_base!$H$9+datos_base!$H$23,0))*parametros_manuales!$G$95+parametros_manuales!$E$30*(datos_base!$H$3+datos_base!$H$19+IF(parametros_manuales!$H$30="Todos",datos_base!$H$10+datos_base!$H$24,0))*parametros_manuales!$G$100+parametros_manuales!$F$30*(datos_base!$H$4+datos_base!$H$20+IF(parametros_manuales!$H$30="Todos",datos_base!$H$11+datos_base!$H$25,0))*parametros_manuales!$G$105+parametros_manuales!$G$30*(datos_base!$H$5+datos_base!$H$21+IF(parametros_manuales!$H$30="Todos",datos_base!$H$12+datos_base!$H$26,0))*parametros_manuales!$G$110)*parametros_manuales!$I$30*parametros_manuales!$J$30</f>
        <v>12199.899421375</v>
      </c>
      <c r="H175" s="9" t="n">
        <f aca="false">(parametros_manuales!$D$30*(datos_base!$H$2+datos_base!$H$18+IF(parametros_manuales!$H$30="Todos",datos_base!$H$9+datos_base!$H$23,0))*parametros_manuales!$H$95+parametros_manuales!$E$30*(datos_base!$H$3+datos_base!$H$19+IF(parametros_manuales!$H$30="Todos",datos_base!$H$10+datos_base!$H$24,0))*parametros_manuales!$H$100+parametros_manuales!$F$30*(datos_base!$H$4+datos_base!$H$20+IF(parametros_manuales!$H$30="Todos",datos_base!$H$11+datos_base!$H$25,0))*parametros_manuales!$H$105+parametros_manuales!$G$30*(datos_base!$H$5+datos_base!$H$21+IF(parametros_manuales!$H$30="Todos",datos_base!$H$12+datos_base!$H$26,0))*parametros_manuales!$H$110)*parametros_manuales!$I$30*parametros_manuales!$J$30</f>
        <v>13053.78376722</v>
      </c>
      <c r="I175" s="9" t="n">
        <f aca="false">(parametros_manuales!$D$30*(datos_base!$H$2+datos_base!$H$18+IF(parametros_manuales!$H$30="Todos",datos_base!$H$9+datos_base!$H$23,0))*parametros_manuales!$I$95+parametros_manuales!$E$30*(datos_base!$H$3+datos_base!$H$19+IF(parametros_manuales!$H$30="Todos",datos_base!$H$10+datos_base!$H$24,0))*parametros_manuales!$I$100+parametros_manuales!$F$30*(datos_base!$H$4+datos_base!$H$20+IF(parametros_manuales!$H$30="Todos",datos_base!$H$11+datos_base!$H$25,0))*parametros_manuales!$I$105+parametros_manuales!$G$30*(datos_base!$H$5+datos_base!$H$21+IF(parametros_manuales!$H$30="Todos",datos_base!$H$12+datos_base!$H$26,0))*parametros_manuales!$I$110)*parametros_manuales!$I$30*parametros_manuales!$J$30</f>
        <v>14878.88106612</v>
      </c>
      <c r="J175" s="9" t="n">
        <f aca="false">(parametros_manuales!$D$30*(datos_base!$H$2+datos_base!$H$18+IF(parametros_manuales!$H$30="Todos",datos_base!$H$9+datos_base!$H$23,0))*parametros_manuales!$J$95+parametros_manuales!$E$30*(datos_base!$H$3+datos_base!$H$19+IF(parametros_manuales!$H$30="Todos",datos_base!$H$10+datos_base!$H$24,0))*parametros_manuales!$J$100+parametros_manuales!$F$30*(datos_base!$H$4+datos_base!$H$20+IF(parametros_manuales!$H$30="Todos",datos_base!$H$11+datos_base!$H$25,0))*parametros_manuales!$J$105+parametros_manuales!$G$30*(datos_base!$H$5+datos_base!$H$21+IF(parametros_manuales!$H$30="Todos",datos_base!$H$12+datos_base!$H$26,0))*parametros_manuales!$J$110)*parametros_manuales!$I$30*parametros_manuales!$J$30</f>
        <v>14878.88106612</v>
      </c>
      <c r="K175" s="9" t="n">
        <f aca="false">(parametros_manuales!$D$30*(datos_base!$H$2+datos_base!$H$18+IF(parametros_manuales!$H$30="Todos",datos_base!$H$9+datos_base!$H$23,0))*parametros_manuales!$K$95+parametros_manuales!$E$30*(datos_base!$H$3+datos_base!$H$19+IF(parametros_manuales!$H$30="Todos",datos_base!$H$10+datos_base!$H$24,0))*parametros_manuales!$K$100+parametros_manuales!$F$30*(datos_base!$H$4+datos_base!$H$20+IF(parametros_manuales!$H$30="Todos",datos_base!$H$11+datos_base!$H$25,0))*parametros_manuales!$K$105+parametros_manuales!$G$30*(datos_base!$H$5+datos_base!$H$21+IF(parametros_manuales!$H$30="Todos",datos_base!$H$12+datos_base!$H$26,0))*parametros_manuales!$K$110)*parametros_manuales!$I$30*parametros_manuales!$J$30</f>
        <v>15124.399645665</v>
      </c>
      <c r="L175" s="9" t="n">
        <f aca="false">(parametros_manuales!$D$30*(datos_base!$H$2+datos_base!$H$18+IF(parametros_manuales!$H$30="Todos",datos_base!$H$9+datos_base!$H$23,0))*parametros_manuales!$L$95+parametros_manuales!$E$30*(datos_base!$H$3+datos_base!$H$19+IF(parametros_manuales!$H$30="Todos",datos_base!$H$10+datos_base!$H$24,0))*parametros_manuales!$L$100+parametros_manuales!$F$30*(datos_base!$H$4+datos_base!$H$20+IF(parametros_manuales!$H$30="Todos",datos_base!$H$11+datos_base!$H$25,0))*parametros_manuales!$L$105+parametros_manuales!$G$30*(datos_base!$H$5+datos_base!$H$21+IF(parametros_manuales!$H$30="Todos",datos_base!$H$12+datos_base!$H$26,0))*parametros_manuales!$L$110)*parametros_manuales!$I$30*parametros_manuales!$J$30</f>
        <v>15369.91822521</v>
      </c>
      <c r="M175" s="9" t="n">
        <f aca="false">(parametros_manuales!$D$30*(datos_base!$H$2+datos_base!$H$18+IF(parametros_manuales!$H$30="Todos",datos_base!$H$9+datos_base!$H$23,0))*parametros_manuales!$M$95+parametros_manuales!$E$30*(datos_base!$H$3+datos_base!$H$19+IF(parametros_manuales!$H$30="Todos",datos_base!$H$10+datos_base!$H$24,0))*parametros_manuales!$M$100+parametros_manuales!$F$30*(datos_base!$H$4+datos_base!$H$20+IF(parametros_manuales!$H$30="Todos",datos_base!$H$11+datos_base!$H$25,0))*parametros_manuales!$M$105+parametros_manuales!$G$30*(datos_base!$H$5+datos_base!$H$21+IF(parametros_manuales!$H$30="Todos",datos_base!$H$12+datos_base!$H$26,0))*parametros_manuales!$M$110)*parametros_manuales!$I$30*parametros_manuales!$J$30</f>
        <v>15369.91822521</v>
      </c>
      <c r="N175" s="9" t="n">
        <f aca="false">SUM(B175:M175)</f>
        <v>170776.869169</v>
      </c>
      <c r="O175" s="9" t="n">
        <f aca="false">MAX(B175:M175)</f>
        <v>15369.91822521</v>
      </c>
      <c r="P175" s="43" t="n">
        <f aca="false">O175/(parametros_manuales!$B$7)</f>
        <v>102.4661215014</v>
      </c>
      <c r="Q175" s="8" t="str">
        <f aca="false">IF(O175=0,"-",INDEX($B$163:$M$163,MATCH(O175,B175:M175,0)))</f>
        <v>Ene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datos_base!$H$2+datos_base!$H$18+IF(parametros_manuales!$H$31="Todos",datos_base!$H$9+datos_base!$H$23,0))*parametros_manuales!$B$95+parametros_manuales!$E$31*(datos_base!$H$3+datos_base!$H$19+IF(parametros_manuales!$H$31="Todos",datos_base!$H$10+datos_base!$H$24,0))*parametros_manuales!$B$100+parametros_manuales!$F$31*(datos_base!$H$4+datos_base!$H$20+IF(parametros_manuales!$H$31="Todos",datos_base!$H$11+datos_base!$H$25,0))*parametros_manuales!$B$105+parametros_manuales!$G$31*(datos_base!$H$5+datos_base!$H$21+IF(parametros_manuales!$H$31="Todos",datos_base!$H$12+datos_base!$H$26,0))*parametros_manuales!$B$110)*parametros_manuales!$I$31*parametros_manuales!$J$31</f>
        <v>307.3983645042</v>
      </c>
      <c r="C176" s="9" t="n">
        <f aca="false">(parametros_manuales!$D$31*(datos_base!$H$2+datos_base!$H$18+IF(parametros_manuales!$H$31="Todos",datos_base!$H$9+datos_base!$H$23,0))*parametros_manuales!$C$95+parametros_manuales!$E$31*(datos_base!$H$3+datos_base!$H$19+IF(parametros_manuales!$H$31="Todos",datos_base!$H$10+datos_base!$H$24,0))*parametros_manuales!$C$100+parametros_manuales!$F$31*(datos_base!$H$4+datos_base!$H$20+IF(parametros_manuales!$H$31="Todos",datos_base!$H$11+datos_base!$H$25,0))*parametros_manuales!$C$105+parametros_manuales!$G$31*(datos_base!$H$5+datos_base!$H$21+IF(parametros_manuales!$H$31="Todos",datos_base!$H$12+datos_base!$H$26,0))*parametros_manuales!$C$110)*parametros_manuales!$I$31*parametros_manuales!$J$31</f>
        <v>297.5776213224</v>
      </c>
      <c r="D176" s="9" t="n">
        <f aca="false">(parametros_manuales!$D$31*(datos_base!$H$2+datos_base!$H$18+IF(parametros_manuales!$H$31="Todos",datos_base!$H$9+datos_base!$H$23,0))*parametros_manuales!$D$95+parametros_manuales!$E$31*(datos_base!$H$3+datos_base!$H$19+IF(parametros_manuales!$H$31="Todos",datos_base!$H$10+datos_base!$H$24,0))*parametros_manuales!$D$100+parametros_manuales!$F$31*(datos_base!$H$4+datos_base!$H$20+IF(parametros_manuales!$H$31="Todos",datos_base!$H$11+datos_base!$H$25,0))*parametros_manuales!$D$105+parametros_manuales!$G$31*(datos_base!$H$5+datos_base!$H$21+IF(parametros_manuales!$H$31="Todos",datos_base!$H$12+datos_base!$H$26,0))*parametros_manuales!$D$110)*parametros_manuales!$I$31*parametros_manuales!$J$31</f>
        <v>278.1533622613</v>
      </c>
      <c r="E176" s="9" t="n">
        <f aca="false">(parametros_manuales!$D$31*(datos_base!$H$2+datos_base!$H$18+IF(parametros_manuales!$H$31="Todos",datos_base!$H$9+datos_base!$H$23,0))*parametros_manuales!$E$95+parametros_manuales!$E$31*(datos_base!$H$3+datos_base!$H$19+IF(parametros_manuales!$H$31="Todos",datos_base!$H$10+datos_base!$H$24,0))*parametros_manuales!$E$100+parametros_manuales!$F$31*(datos_base!$H$4+datos_base!$H$20+IF(parametros_manuales!$H$31="Todos",datos_base!$H$11+datos_base!$H$25,0))*parametros_manuales!$E$105+parametros_manuales!$G$31*(datos_base!$H$5+datos_base!$H$21+IF(parametros_manuales!$H$31="Todos",datos_base!$H$12+datos_base!$H$26,0))*parametros_manuales!$E$110)*parametros_manuales!$I$31*parametros_manuales!$J$31</f>
        <v>265.9860469353</v>
      </c>
      <c r="F176" s="9" t="n">
        <f aca="false">(parametros_manuales!$D$31*(datos_base!$H$2+datos_base!$H$18+IF(parametros_manuales!$H$31="Todos",datos_base!$H$9+datos_base!$H$23,0))*parametros_manuales!$F$95+parametros_manuales!$E$31*(datos_base!$H$3+datos_base!$H$19+IF(parametros_manuales!$H$31="Todos",datos_base!$H$10+datos_base!$H$24,0))*parametros_manuales!$F$100+parametros_manuales!$F$31*(datos_base!$H$4+datos_base!$H$20+IF(parametros_manuales!$H$31="Todos",datos_base!$H$11+datos_base!$H$25,0))*parametros_manuales!$F$105+parametros_manuales!$G$31*(datos_base!$H$5+datos_base!$H$21+IF(parametros_manuales!$H$31="Todos",datos_base!$H$12+datos_base!$H$26,0))*parametros_manuales!$F$110)*parametros_manuales!$I$31*parametros_manuales!$J$31</f>
        <v>248.9083600184</v>
      </c>
      <c r="G176" s="9" t="n">
        <f aca="false">(parametros_manuales!$D$31*(datos_base!$H$2+datos_base!$H$18+IF(parametros_manuales!$H$31="Todos",datos_base!$H$9+datos_base!$H$23,0))*parametros_manuales!$G$95+parametros_manuales!$E$31*(datos_base!$H$3+datos_base!$H$19+IF(parametros_manuales!$H$31="Todos",datos_base!$H$10+datos_base!$H$24,0))*parametros_manuales!$G$100+parametros_manuales!$F$31*(datos_base!$H$4+datos_base!$H$20+IF(parametros_manuales!$H$31="Todos",datos_base!$H$11+datos_base!$H$25,0))*parametros_manuales!$G$105+parametros_manuales!$G$31*(datos_base!$H$5+datos_base!$H$21+IF(parametros_manuales!$H$31="Todos",datos_base!$H$12+datos_base!$H$26,0))*parametros_manuales!$G$110)*parametros_manuales!$I$31*parametros_manuales!$J$31</f>
        <v>243.9979884275</v>
      </c>
      <c r="H176" s="9" t="n">
        <f aca="false">(parametros_manuales!$D$31*(datos_base!$H$2+datos_base!$H$18+IF(parametros_manuales!$H$31="Todos",datos_base!$H$9+datos_base!$H$23,0))*parametros_manuales!$H$95+parametros_manuales!$E$31*(datos_base!$H$3+datos_base!$H$19+IF(parametros_manuales!$H$31="Todos",datos_base!$H$10+datos_base!$H$24,0))*parametros_manuales!$H$100+parametros_manuales!$F$31*(datos_base!$H$4+datos_base!$H$20+IF(parametros_manuales!$H$31="Todos",datos_base!$H$11+datos_base!$H$25,0))*parametros_manuales!$H$105+parametros_manuales!$G$31*(datos_base!$H$5+datos_base!$H$21+IF(parametros_manuales!$H$31="Todos",datos_base!$H$12+datos_base!$H$26,0))*parametros_manuales!$H$110)*parametros_manuales!$I$31*parametros_manuales!$J$31</f>
        <v>261.0756753444</v>
      </c>
      <c r="I176" s="9" t="n">
        <f aca="false">(parametros_manuales!$D$31*(datos_base!$H$2+datos_base!$H$18+IF(parametros_manuales!$H$31="Todos",datos_base!$H$9+datos_base!$H$23,0))*parametros_manuales!$I$95+parametros_manuales!$E$31*(datos_base!$H$3+datos_base!$H$19+IF(parametros_manuales!$H$31="Todos",datos_base!$H$10+datos_base!$H$24,0))*parametros_manuales!$I$100+parametros_manuales!$F$31*(datos_base!$H$4+datos_base!$H$20+IF(parametros_manuales!$H$31="Todos",datos_base!$H$11+datos_base!$H$25,0))*parametros_manuales!$I$105+parametros_manuales!$G$31*(datos_base!$H$5+datos_base!$H$21+IF(parametros_manuales!$H$31="Todos",datos_base!$H$12+datos_base!$H$26,0))*parametros_manuales!$I$110)*parametros_manuales!$I$31*parametros_manuales!$J$31</f>
        <v>297.5776213224</v>
      </c>
      <c r="J176" s="9" t="n">
        <f aca="false">(parametros_manuales!$D$31*(datos_base!$H$2+datos_base!$H$18+IF(parametros_manuales!$H$31="Todos",datos_base!$H$9+datos_base!$H$23,0))*parametros_manuales!$J$95+parametros_manuales!$E$31*(datos_base!$H$3+datos_base!$H$19+IF(parametros_manuales!$H$31="Todos",datos_base!$H$10+datos_base!$H$24,0))*parametros_manuales!$J$100+parametros_manuales!$F$31*(datos_base!$H$4+datos_base!$H$20+IF(parametros_manuales!$H$31="Todos",datos_base!$H$11+datos_base!$H$25,0))*parametros_manuales!$J$105+parametros_manuales!$G$31*(datos_base!$H$5+datos_base!$H$21+IF(parametros_manuales!$H$31="Todos",datos_base!$H$12+datos_base!$H$26,0))*parametros_manuales!$J$110)*parametros_manuales!$I$31*parametros_manuales!$J$31</f>
        <v>297.5776213224</v>
      </c>
      <c r="K176" s="9" t="n">
        <f aca="false">(parametros_manuales!$D$31*(datos_base!$H$2+datos_base!$H$18+IF(parametros_manuales!$H$31="Todos",datos_base!$H$9+datos_base!$H$23,0))*parametros_manuales!$K$95+parametros_manuales!$E$31*(datos_base!$H$3+datos_base!$H$19+IF(parametros_manuales!$H$31="Todos",datos_base!$H$10+datos_base!$H$24,0))*parametros_manuales!$K$100+parametros_manuales!$F$31*(datos_base!$H$4+datos_base!$H$20+IF(parametros_manuales!$H$31="Todos",datos_base!$H$11+datos_base!$H$25,0))*parametros_manuales!$K$105+parametros_manuales!$G$31*(datos_base!$H$5+datos_base!$H$21+IF(parametros_manuales!$H$31="Todos",datos_base!$H$12+datos_base!$H$26,0))*parametros_manuales!$K$110)*parametros_manuales!$I$31*parametros_manuales!$J$31</f>
        <v>302.4879929133</v>
      </c>
      <c r="L176" s="9" t="n">
        <f aca="false">(parametros_manuales!$D$31*(datos_base!$H$2+datos_base!$H$18+IF(parametros_manuales!$H$31="Todos",datos_base!$H$9+datos_base!$H$23,0))*parametros_manuales!$L$95+parametros_manuales!$E$31*(datos_base!$H$3+datos_base!$H$19+IF(parametros_manuales!$H$31="Todos",datos_base!$H$10+datos_base!$H$24,0))*parametros_manuales!$L$100+parametros_manuales!$F$31*(datos_base!$H$4+datos_base!$H$20+IF(parametros_manuales!$H$31="Todos",datos_base!$H$11+datos_base!$H$25,0))*parametros_manuales!$L$105+parametros_manuales!$G$31*(datos_base!$H$5+datos_base!$H$21+IF(parametros_manuales!$H$31="Todos",datos_base!$H$12+datos_base!$H$26,0))*parametros_manuales!$L$110)*parametros_manuales!$I$31*parametros_manuales!$J$31</f>
        <v>307.3983645042</v>
      </c>
      <c r="M176" s="9" t="n">
        <f aca="false">(parametros_manuales!$D$31*(datos_base!$H$2+datos_base!$H$18+IF(parametros_manuales!$H$31="Todos",datos_base!$H$9+datos_base!$H$23,0))*parametros_manuales!$M$95+parametros_manuales!$E$31*(datos_base!$H$3+datos_base!$H$19+IF(parametros_manuales!$H$31="Todos",datos_base!$H$10+datos_base!$H$24,0))*parametros_manuales!$M$100+parametros_manuales!$F$31*(datos_base!$H$4+datos_base!$H$20+IF(parametros_manuales!$H$31="Todos",datos_base!$H$11+datos_base!$H$25,0))*parametros_manuales!$M$105+parametros_manuales!$G$31*(datos_base!$H$5+datos_base!$H$21+IF(parametros_manuales!$H$31="Todos",datos_base!$H$12+datos_base!$H$26,0))*parametros_manuales!$M$110)*parametros_manuales!$I$31*parametros_manuales!$J$31</f>
        <v>307.3983645042</v>
      </c>
      <c r="N176" s="9" t="n">
        <f aca="false">SUM(B176:M176)</f>
        <v>3415.53738338</v>
      </c>
      <c r="O176" s="9" t="n">
        <f aca="false">MAX(B176:M176)</f>
        <v>307.3983645042</v>
      </c>
      <c r="P176" s="43" t="n">
        <f aca="false">O176/(parametros_manuales!$B$7)</f>
        <v>2.049322430028</v>
      </c>
      <c r="Q176" s="8" t="str">
        <f aca="false">IF(O176=0,"-",INDEX($B$163:$M$163,MATCH(O176,B176:M176,0)))</f>
        <v>Ene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datos_base!$H$2+datos_base!$H$18+IF(parametros_manuales!$H$32="Todos",datos_base!$H$9+datos_base!$H$23,0))*parametros_manuales!$B$95+parametros_manuales!$E$32*(datos_base!$H$3+datos_base!$H$19+IF(parametros_manuales!$H$32="Todos",datos_base!$H$10+datos_base!$H$24,0))*parametros_manuales!$B$100+parametros_manuales!$F$32*(datos_base!$H$4+datos_base!$H$20+IF(parametros_manuales!$H$32="Todos",datos_base!$H$11+datos_base!$H$25,0))*parametros_manuales!$B$105+parametros_manuales!$G$32*(datos_base!$H$5+datos_base!$H$21+IF(parametros_manuales!$H$32="Todos",datos_base!$H$12+datos_base!$H$26,0))*parametros_manuales!$B$110)*parametros_manuales!$I$32*parametros_manuales!$J$32</f>
        <v>15369.91822521</v>
      </c>
      <c r="C177" s="9" t="n">
        <f aca="false">(parametros_manuales!$D$32*(datos_base!$H$2+datos_base!$H$18+IF(parametros_manuales!$H$32="Todos",datos_base!$H$9+datos_base!$H$23,0))*parametros_manuales!$C$95+parametros_manuales!$E$32*(datos_base!$H$3+datos_base!$H$19+IF(parametros_manuales!$H$32="Todos",datos_base!$H$10+datos_base!$H$24,0))*parametros_manuales!$C$100+parametros_manuales!$F$32*(datos_base!$H$4+datos_base!$H$20+IF(parametros_manuales!$H$32="Todos",datos_base!$H$11+datos_base!$H$25,0))*parametros_manuales!$C$105+parametros_manuales!$G$32*(datos_base!$H$5+datos_base!$H$21+IF(parametros_manuales!$H$32="Todos",datos_base!$H$12+datos_base!$H$26,0))*parametros_manuales!$C$110)*parametros_manuales!$I$32*parametros_manuales!$J$32</f>
        <v>14878.88106612</v>
      </c>
      <c r="D177" s="9" t="n">
        <f aca="false">(parametros_manuales!$D$32*(datos_base!$H$2+datos_base!$H$18+IF(parametros_manuales!$H$32="Todos",datos_base!$H$9+datos_base!$H$23,0))*parametros_manuales!$D$95+parametros_manuales!$E$32*(datos_base!$H$3+datos_base!$H$19+IF(parametros_manuales!$H$32="Todos",datos_base!$H$10+datos_base!$H$24,0))*parametros_manuales!$D$100+parametros_manuales!$F$32*(datos_base!$H$4+datos_base!$H$20+IF(parametros_manuales!$H$32="Todos",datos_base!$H$11+datos_base!$H$25,0))*parametros_manuales!$D$105+parametros_manuales!$G$32*(datos_base!$H$5+datos_base!$H$21+IF(parametros_manuales!$H$32="Todos",datos_base!$H$12+datos_base!$H$26,0))*parametros_manuales!$D$110)*parametros_manuales!$I$32*parametros_manuales!$J$32</f>
        <v>13907.668113065</v>
      </c>
      <c r="E177" s="9" t="n">
        <f aca="false">(parametros_manuales!$D$32*(datos_base!$H$2+datos_base!$H$18+IF(parametros_manuales!$H$32="Todos",datos_base!$H$9+datos_base!$H$23,0))*parametros_manuales!$E$95+parametros_manuales!$E$32*(datos_base!$H$3+datos_base!$H$19+IF(parametros_manuales!$H$32="Todos",datos_base!$H$10+datos_base!$H$24,0))*parametros_manuales!$E$100+parametros_manuales!$F$32*(datos_base!$H$4+datos_base!$H$20+IF(parametros_manuales!$H$32="Todos",datos_base!$H$11+datos_base!$H$25,0))*parametros_manuales!$E$105+parametros_manuales!$G$32*(datos_base!$H$5+datos_base!$H$21+IF(parametros_manuales!$H$32="Todos",datos_base!$H$12+datos_base!$H$26,0))*parametros_manuales!$E$110)*parametros_manuales!$I$32*parametros_manuales!$J$32</f>
        <v>13299.302346765</v>
      </c>
      <c r="F177" s="9" t="n">
        <f aca="false">(parametros_manuales!$D$32*(datos_base!$H$2+datos_base!$H$18+IF(parametros_manuales!$H$32="Todos",datos_base!$H$9+datos_base!$H$23,0))*parametros_manuales!$F$95+parametros_manuales!$E$32*(datos_base!$H$3+datos_base!$H$19+IF(parametros_manuales!$H$32="Todos",datos_base!$H$10+datos_base!$H$24,0))*parametros_manuales!$F$100+parametros_manuales!$F$32*(datos_base!$H$4+datos_base!$H$20+IF(parametros_manuales!$H$32="Todos",datos_base!$H$11+datos_base!$H$25,0))*parametros_manuales!$F$105+parametros_manuales!$G$32*(datos_base!$H$5+datos_base!$H$21+IF(parametros_manuales!$H$32="Todos",datos_base!$H$12+datos_base!$H$26,0))*parametros_manuales!$F$110)*parametros_manuales!$I$32*parametros_manuales!$J$32</f>
        <v>12445.41800092</v>
      </c>
      <c r="G177" s="9" t="n">
        <f aca="false">(parametros_manuales!$D$32*(datos_base!$H$2+datos_base!$H$18+IF(parametros_manuales!$H$32="Todos",datos_base!$H$9+datos_base!$H$23,0))*parametros_manuales!$G$95+parametros_manuales!$E$32*(datos_base!$H$3+datos_base!$H$19+IF(parametros_manuales!$H$32="Todos",datos_base!$H$10+datos_base!$H$24,0))*parametros_manuales!$G$100+parametros_manuales!$F$32*(datos_base!$H$4+datos_base!$H$20+IF(parametros_manuales!$H$32="Todos",datos_base!$H$11+datos_base!$H$25,0))*parametros_manuales!$G$105+parametros_manuales!$G$32*(datos_base!$H$5+datos_base!$H$21+IF(parametros_manuales!$H$32="Todos",datos_base!$H$12+datos_base!$H$26,0))*parametros_manuales!$G$110)*parametros_manuales!$I$32*parametros_manuales!$J$32</f>
        <v>12199.899421375</v>
      </c>
      <c r="H177" s="9" t="n">
        <f aca="false">(parametros_manuales!$D$32*(datos_base!$H$2+datos_base!$H$18+IF(parametros_manuales!$H$32="Todos",datos_base!$H$9+datos_base!$H$23,0))*parametros_manuales!$H$95+parametros_manuales!$E$32*(datos_base!$H$3+datos_base!$H$19+IF(parametros_manuales!$H$32="Todos",datos_base!$H$10+datos_base!$H$24,0))*parametros_manuales!$H$100+parametros_manuales!$F$32*(datos_base!$H$4+datos_base!$H$20+IF(parametros_manuales!$H$32="Todos",datos_base!$H$11+datos_base!$H$25,0))*parametros_manuales!$H$105+parametros_manuales!$G$32*(datos_base!$H$5+datos_base!$H$21+IF(parametros_manuales!$H$32="Todos",datos_base!$H$12+datos_base!$H$26,0))*parametros_manuales!$H$110)*parametros_manuales!$I$32*parametros_manuales!$J$32</f>
        <v>13053.78376722</v>
      </c>
      <c r="I177" s="9" t="n">
        <f aca="false">(parametros_manuales!$D$32*(datos_base!$H$2+datos_base!$H$18+IF(parametros_manuales!$H$32="Todos",datos_base!$H$9+datos_base!$H$23,0))*parametros_manuales!$I$95+parametros_manuales!$E$32*(datos_base!$H$3+datos_base!$H$19+IF(parametros_manuales!$H$32="Todos",datos_base!$H$10+datos_base!$H$24,0))*parametros_manuales!$I$100+parametros_manuales!$F$32*(datos_base!$H$4+datos_base!$H$20+IF(parametros_manuales!$H$32="Todos",datos_base!$H$11+datos_base!$H$25,0))*parametros_manuales!$I$105+parametros_manuales!$G$32*(datos_base!$H$5+datos_base!$H$21+IF(parametros_manuales!$H$32="Todos",datos_base!$H$12+datos_base!$H$26,0))*parametros_manuales!$I$110)*parametros_manuales!$I$32*parametros_manuales!$J$32</f>
        <v>14878.88106612</v>
      </c>
      <c r="J177" s="9" t="n">
        <f aca="false">(parametros_manuales!$D$32*(datos_base!$H$2+datos_base!$H$18+IF(parametros_manuales!$H$32="Todos",datos_base!$H$9+datos_base!$H$23,0))*parametros_manuales!$J$95+parametros_manuales!$E$32*(datos_base!$H$3+datos_base!$H$19+IF(parametros_manuales!$H$32="Todos",datos_base!$H$10+datos_base!$H$24,0))*parametros_manuales!$J$100+parametros_manuales!$F$32*(datos_base!$H$4+datos_base!$H$20+IF(parametros_manuales!$H$32="Todos",datos_base!$H$11+datos_base!$H$25,0))*parametros_manuales!$J$105+parametros_manuales!$G$32*(datos_base!$H$5+datos_base!$H$21+IF(parametros_manuales!$H$32="Todos",datos_base!$H$12+datos_base!$H$26,0))*parametros_manuales!$J$110)*parametros_manuales!$I$32*parametros_manuales!$J$32</f>
        <v>14878.88106612</v>
      </c>
      <c r="K177" s="9" t="n">
        <f aca="false">(parametros_manuales!$D$32*(datos_base!$H$2+datos_base!$H$18+IF(parametros_manuales!$H$32="Todos",datos_base!$H$9+datos_base!$H$23,0))*parametros_manuales!$K$95+parametros_manuales!$E$32*(datos_base!$H$3+datos_base!$H$19+IF(parametros_manuales!$H$32="Todos",datos_base!$H$10+datos_base!$H$24,0))*parametros_manuales!$K$100+parametros_manuales!$F$32*(datos_base!$H$4+datos_base!$H$20+IF(parametros_manuales!$H$32="Todos",datos_base!$H$11+datos_base!$H$25,0))*parametros_manuales!$K$105+parametros_manuales!$G$32*(datos_base!$H$5+datos_base!$H$21+IF(parametros_manuales!$H$32="Todos",datos_base!$H$12+datos_base!$H$26,0))*parametros_manuales!$K$110)*parametros_manuales!$I$32*parametros_manuales!$J$32</f>
        <v>15124.399645665</v>
      </c>
      <c r="L177" s="9" t="n">
        <f aca="false">(parametros_manuales!$D$32*(datos_base!$H$2+datos_base!$H$18+IF(parametros_manuales!$H$32="Todos",datos_base!$H$9+datos_base!$H$23,0))*parametros_manuales!$L$95+parametros_manuales!$E$32*(datos_base!$H$3+datos_base!$H$19+IF(parametros_manuales!$H$32="Todos",datos_base!$H$10+datos_base!$H$24,0))*parametros_manuales!$L$100+parametros_manuales!$F$32*(datos_base!$H$4+datos_base!$H$20+IF(parametros_manuales!$H$32="Todos",datos_base!$H$11+datos_base!$H$25,0))*parametros_manuales!$L$105+parametros_manuales!$G$32*(datos_base!$H$5+datos_base!$H$21+IF(parametros_manuales!$H$32="Todos",datos_base!$H$12+datos_base!$H$26,0))*parametros_manuales!$L$110)*parametros_manuales!$I$32*parametros_manuales!$J$32</f>
        <v>15369.91822521</v>
      </c>
      <c r="M177" s="9" t="n">
        <f aca="false">(parametros_manuales!$D$32*(datos_base!$H$2+datos_base!$H$18+IF(parametros_manuales!$H$32="Todos",datos_base!$H$9+datos_base!$H$23,0))*parametros_manuales!$M$95+parametros_manuales!$E$32*(datos_base!$H$3+datos_base!$H$19+IF(parametros_manuales!$H$32="Todos",datos_base!$H$10+datos_base!$H$24,0))*parametros_manuales!$M$100+parametros_manuales!$F$32*(datos_base!$H$4+datos_base!$H$20+IF(parametros_manuales!$H$32="Todos",datos_base!$H$11+datos_base!$H$25,0))*parametros_manuales!$M$105+parametros_manuales!$G$32*(datos_base!$H$5+datos_base!$H$21+IF(parametros_manuales!$H$32="Todos",datos_base!$H$12+datos_base!$H$26,0))*parametros_manuales!$M$110)*parametros_manuales!$I$32*parametros_manuales!$J$32</f>
        <v>15369.91822521</v>
      </c>
      <c r="N177" s="9" t="n">
        <f aca="false">SUM(B177:M177)</f>
        <v>170776.869169</v>
      </c>
      <c r="O177" s="9" t="n">
        <f aca="false">MAX(B177:M177)</f>
        <v>15369.91822521</v>
      </c>
      <c r="P177" s="43" t="n">
        <f aca="false">O177/(parametros_manuales!$B$7)</f>
        <v>102.4661215014</v>
      </c>
      <c r="Q177" s="8" t="str">
        <f aca="false">IF(O177=0,"-",INDEX($B$163:$M$163,MATCH(O177,B177:M177,0)))</f>
        <v>Ene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datos_base!$H$2+datos_base!$H$18+IF(parametros_manuales!$H$33="Todos",datos_base!$H$9+datos_base!$H$23,0))*parametros_manuales!$B$95+parametros_manuales!$E$33*(datos_base!$H$3+datos_base!$H$19+IF(parametros_manuales!$H$33="Todos",datos_base!$H$10+datos_base!$H$24,0))*parametros_manuales!$B$100+parametros_manuales!$F$33*(datos_base!$H$4+datos_base!$H$20+IF(parametros_manuales!$H$33="Todos",datos_base!$H$11+datos_base!$H$25,0))*parametros_manuales!$B$105+parametros_manuales!$G$33*(datos_base!$H$5+datos_base!$H$21+IF(parametros_manuales!$H$33="Todos",datos_base!$H$12+datos_base!$H$26,0))*parametros_manuales!$B$110)*parametros_manuales!$I$33*parametros_manuales!$J$33</f>
        <v>15369.91822521</v>
      </c>
      <c r="C178" s="9" t="n">
        <f aca="false">(parametros_manuales!$D$33*(datos_base!$H$2+datos_base!$H$18+IF(parametros_manuales!$H$33="Todos",datos_base!$H$9+datos_base!$H$23,0))*parametros_manuales!$C$95+parametros_manuales!$E$33*(datos_base!$H$3+datos_base!$H$19+IF(parametros_manuales!$H$33="Todos",datos_base!$H$10+datos_base!$H$24,0))*parametros_manuales!$C$100+parametros_manuales!$F$33*(datos_base!$H$4+datos_base!$H$20+IF(parametros_manuales!$H$33="Todos",datos_base!$H$11+datos_base!$H$25,0))*parametros_manuales!$C$105+parametros_manuales!$G$33*(datos_base!$H$5+datos_base!$H$21+IF(parametros_manuales!$H$33="Todos",datos_base!$H$12+datos_base!$H$26,0))*parametros_manuales!$C$110)*parametros_manuales!$I$33*parametros_manuales!$J$33</f>
        <v>14878.88106612</v>
      </c>
      <c r="D178" s="9" t="n">
        <f aca="false">(parametros_manuales!$D$33*(datos_base!$H$2+datos_base!$H$18+IF(parametros_manuales!$H$33="Todos",datos_base!$H$9+datos_base!$H$23,0))*parametros_manuales!$D$95+parametros_manuales!$E$33*(datos_base!$H$3+datos_base!$H$19+IF(parametros_manuales!$H$33="Todos",datos_base!$H$10+datos_base!$H$24,0))*parametros_manuales!$D$100+parametros_manuales!$F$33*(datos_base!$H$4+datos_base!$H$20+IF(parametros_manuales!$H$33="Todos",datos_base!$H$11+datos_base!$H$25,0))*parametros_manuales!$D$105+parametros_manuales!$G$33*(datos_base!$H$5+datos_base!$H$21+IF(parametros_manuales!$H$33="Todos",datos_base!$H$12+datos_base!$H$26,0))*parametros_manuales!$D$110)*parametros_manuales!$I$33*parametros_manuales!$J$33</f>
        <v>13907.668113065</v>
      </c>
      <c r="E178" s="9" t="n">
        <f aca="false">(parametros_manuales!$D$33*(datos_base!$H$2+datos_base!$H$18+IF(parametros_manuales!$H$33="Todos",datos_base!$H$9+datos_base!$H$23,0))*parametros_manuales!$E$95+parametros_manuales!$E$33*(datos_base!$H$3+datos_base!$H$19+IF(parametros_manuales!$H$33="Todos",datos_base!$H$10+datos_base!$H$24,0))*parametros_manuales!$E$100+parametros_manuales!$F$33*(datos_base!$H$4+datos_base!$H$20+IF(parametros_manuales!$H$33="Todos",datos_base!$H$11+datos_base!$H$25,0))*parametros_manuales!$E$105+parametros_manuales!$G$33*(datos_base!$H$5+datos_base!$H$21+IF(parametros_manuales!$H$33="Todos",datos_base!$H$12+datos_base!$H$26,0))*parametros_manuales!$E$110)*parametros_manuales!$I$33*parametros_manuales!$J$33</f>
        <v>13299.302346765</v>
      </c>
      <c r="F178" s="9" t="n">
        <f aca="false">(parametros_manuales!$D$33*(datos_base!$H$2+datos_base!$H$18+IF(parametros_manuales!$H$33="Todos",datos_base!$H$9+datos_base!$H$23,0))*parametros_manuales!$F$95+parametros_manuales!$E$33*(datos_base!$H$3+datos_base!$H$19+IF(parametros_manuales!$H$33="Todos",datos_base!$H$10+datos_base!$H$24,0))*parametros_manuales!$F$100+parametros_manuales!$F$33*(datos_base!$H$4+datos_base!$H$20+IF(parametros_manuales!$H$33="Todos",datos_base!$H$11+datos_base!$H$25,0))*parametros_manuales!$F$105+parametros_manuales!$G$33*(datos_base!$H$5+datos_base!$H$21+IF(parametros_manuales!$H$33="Todos",datos_base!$H$12+datos_base!$H$26,0))*parametros_manuales!$F$110)*parametros_manuales!$I$33*parametros_manuales!$J$33</f>
        <v>12445.41800092</v>
      </c>
      <c r="G178" s="9" t="n">
        <f aca="false">(parametros_manuales!$D$33*(datos_base!$H$2+datos_base!$H$18+IF(parametros_manuales!$H$33="Todos",datos_base!$H$9+datos_base!$H$23,0))*parametros_manuales!$G$95+parametros_manuales!$E$33*(datos_base!$H$3+datos_base!$H$19+IF(parametros_manuales!$H$33="Todos",datos_base!$H$10+datos_base!$H$24,0))*parametros_manuales!$G$100+parametros_manuales!$F$33*(datos_base!$H$4+datos_base!$H$20+IF(parametros_manuales!$H$33="Todos",datos_base!$H$11+datos_base!$H$25,0))*parametros_manuales!$G$105+parametros_manuales!$G$33*(datos_base!$H$5+datos_base!$H$21+IF(parametros_manuales!$H$33="Todos",datos_base!$H$12+datos_base!$H$26,0))*parametros_manuales!$G$110)*parametros_manuales!$I$33*parametros_manuales!$J$33</f>
        <v>12199.899421375</v>
      </c>
      <c r="H178" s="9" t="n">
        <f aca="false">(parametros_manuales!$D$33*(datos_base!$H$2+datos_base!$H$18+IF(parametros_manuales!$H$33="Todos",datos_base!$H$9+datos_base!$H$23,0))*parametros_manuales!$H$95+parametros_manuales!$E$33*(datos_base!$H$3+datos_base!$H$19+IF(parametros_manuales!$H$33="Todos",datos_base!$H$10+datos_base!$H$24,0))*parametros_manuales!$H$100+parametros_manuales!$F$33*(datos_base!$H$4+datos_base!$H$20+IF(parametros_manuales!$H$33="Todos",datos_base!$H$11+datos_base!$H$25,0))*parametros_manuales!$H$105+parametros_manuales!$G$33*(datos_base!$H$5+datos_base!$H$21+IF(parametros_manuales!$H$33="Todos",datos_base!$H$12+datos_base!$H$26,0))*parametros_manuales!$H$110)*parametros_manuales!$I$33*parametros_manuales!$J$33</f>
        <v>13053.78376722</v>
      </c>
      <c r="I178" s="9" t="n">
        <f aca="false">(parametros_manuales!$D$33*(datos_base!$H$2+datos_base!$H$18+IF(parametros_manuales!$H$33="Todos",datos_base!$H$9+datos_base!$H$23,0))*parametros_manuales!$I$95+parametros_manuales!$E$33*(datos_base!$H$3+datos_base!$H$19+IF(parametros_manuales!$H$33="Todos",datos_base!$H$10+datos_base!$H$24,0))*parametros_manuales!$I$100+parametros_manuales!$F$33*(datos_base!$H$4+datos_base!$H$20+IF(parametros_manuales!$H$33="Todos",datos_base!$H$11+datos_base!$H$25,0))*parametros_manuales!$I$105+parametros_manuales!$G$33*(datos_base!$H$5+datos_base!$H$21+IF(parametros_manuales!$H$33="Todos",datos_base!$H$12+datos_base!$H$26,0))*parametros_manuales!$I$110)*parametros_manuales!$I$33*parametros_manuales!$J$33</f>
        <v>14878.88106612</v>
      </c>
      <c r="J178" s="9" t="n">
        <f aca="false">(parametros_manuales!$D$33*(datos_base!$H$2+datos_base!$H$18+IF(parametros_manuales!$H$33="Todos",datos_base!$H$9+datos_base!$H$23,0))*parametros_manuales!$J$95+parametros_manuales!$E$33*(datos_base!$H$3+datos_base!$H$19+IF(parametros_manuales!$H$33="Todos",datos_base!$H$10+datos_base!$H$24,0))*parametros_manuales!$J$100+parametros_manuales!$F$33*(datos_base!$H$4+datos_base!$H$20+IF(parametros_manuales!$H$33="Todos",datos_base!$H$11+datos_base!$H$25,0))*parametros_manuales!$J$105+parametros_manuales!$G$33*(datos_base!$H$5+datos_base!$H$21+IF(parametros_manuales!$H$33="Todos",datos_base!$H$12+datos_base!$H$26,0))*parametros_manuales!$J$110)*parametros_manuales!$I$33*parametros_manuales!$J$33</f>
        <v>14878.88106612</v>
      </c>
      <c r="K178" s="9" t="n">
        <f aca="false">(parametros_manuales!$D$33*(datos_base!$H$2+datos_base!$H$18+IF(parametros_manuales!$H$33="Todos",datos_base!$H$9+datos_base!$H$23,0))*parametros_manuales!$K$95+parametros_manuales!$E$33*(datos_base!$H$3+datos_base!$H$19+IF(parametros_manuales!$H$33="Todos",datos_base!$H$10+datos_base!$H$24,0))*parametros_manuales!$K$100+parametros_manuales!$F$33*(datos_base!$H$4+datos_base!$H$20+IF(parametros_manuales!$H$33="Todos",datos_base!$H$11+datos_base!$H$25,0))*parametros_manuales!$K$105+parametros_manuales!$G$33*(datos_base!$H$5+datos_base!$H$21+IF(parametros_manuales!$H$33="Todos",datos_base!$H$12+datos_base!$H$26,0))*parametros_manuales!$K$110)*parametros_manuales!$I$33*parametros_manuales!$J$33</f>
        <v>15124.399645665</v>
      </c>
      <c r="L178" s="9" t="n">
        <f aca="false">(parametros_manuales!$D$33*(datos_base!$H$2+datos_base!$H$18+IF(parametros_manuales!$H$33="Todos",datos_base!$H$9+datos_base!$H$23,0))*parametros_manuales!$L$95+parametros_manuales!$E$33*(datos_base!$H$3+datos_base!$H$19+IF(parametros_manuales!$H$33="Todos",datos_base!$H$10+datos_base!$H$24,0))*parametros_manuales!$L$100+parametros_manuales!$F$33*(datos_base!$H$4+datos_base!$H$20+IF(parametros_manuales!$H$33="Todos",datos_base!$H$11+datos_base!$H$25,0))*parametros_manuales!$L$105+parametros_manuales!$G$33*(datos_base!$H$5+datos_base!$H$21+IF(parametros_manuales!$H$33="Todos",datos_base!$H$12+datos_base!$H$26,0))*parametros_manuales!$L$110)*parametros_manuales!$I$33*parametros_manuales!$J$33</f>
        <v>15369.91822521</v>
      </c>
      <c r="M178" s="9" t="n">
        <f aca="false">(parametros_manuales!$D$33*(datos_base!$H$2+datos_base!$H$18+IF(parametros_manuales!$H$33="Todos",datos_base!$H$9+datos_base!$H$23,0))*parametros_manuales!$M$95+parametros_manuales!$E$33*(datos_base!$H$3+datos_base!$H$19+IF(parametros_manuales!$H$33="Todos",datos_base!$H$10+datos_base!$H$24,0))*parametros_manuales!$M$100+parametros_manuales!$F$33*(datos_base!$H$4+datos_base!$H$20+IF(parametros_manuales!$H$33="Todos",datos_base!$H$11+datos_base!$H$25,0))*parametros_manuales!$M$105+parametros_manuales!$G$33*(datos_base!$H$5+datos_base!$H$21+IF(parametros_manuales!$H$33="Todos",datos_base!$H$12+datos_base!$H$26,0))*parametros_manuales!$M$110)*parametros_manuales!$I$33*parametros_manuales!$J$33</f>
        <v>15369.91822521</v>
      </c>
      <c r="N178" s="9" t="n">
        <f aca="false">SUM(B178:M178)</f>
        <v>170776.869169</v>
      </c>
      <c r="O178" s="9" t="n">
        <f aca="false">MAX(B178:M178)</f>
        <v>15369.91822521</v>
      </c>
      <c r="P178" s="43" t="n">
        <f aca="false">O178/(parametros_manuales!$B$7)</f>
        <v>102.4661215014</v>
      </c>
      <c r="Q178" s="8" t="str">
        <f aca="false">IF(O178=0,"-",INDEX($B$163:$M$163,MATCH(O178,B178:M178,0)))</f>
        <v>Ene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datos_base!$H$2+datos_base!$H$18+IF(parametros_manuales!$H$34="Todos",datos_base!$H$9+datos_base!$H$23,0))*parametros_manuales!$B$95+parametros_manuales!$E$34*(datos_base!$H$3+datos_base!$H$19+IF(parametros_manuales!$H$34="Todos",datos_base!$H$10+datos_base!$H$24,0))*parametros_manuales!$B$100+parametros_manuales!$F$34*(datos_base!$H$4+datos_base!$H$20+IF(parametros_manuales!$H$34="Todos",datos_base!$H$11+datos_base!$H$25,0))*parametros_manuales!$B$105+parametros_manuales!$G$34*(datos_base!$H$5+datos_base!$H$21+IF(parametros_manuales!$H$34="Todos",datos_base!$H$12+datos_base!$H$26,0))*parametros_manuales!$B$110)*parametros_manuales!$I$34*parametros_manuales!$J$34</f>
        <v>15369.91822521</v>
      </c>
      <c r="C179" s="9" t="n">
        <f aca="false">(parametros_manuales!$D$34*(datos_base!$H$2+datos_base!$H$18+IF(parametros_manuales!$H$34="Todos",datos_base!$H$9+datos_base!$H$23,0))*parametros_manuales!$C$95+parametros_manuales!$E$34*(datos_base!$H$3+datos_base!$H$19+IF(parametros_manuales!$H$34="Todos",datos_base!$H$10+datos_base!$H$24,0))*parametros_manuales!$C$100+parametros_manuales!$F$34*(datos_base!$H$4+datos_base!$H$20+IF(parametros_manuales!$H$34="Todos",datos_base!$H$11+datos_base!$H$25,0))*parametros_manuales!$C$105+parametros_manuales!$G$34*(datos_base!$H$5+datos_base!$H$21+IF(parametros_manuales!$H$34="Todos",datos_base!$H$12+datos_base!$H$26,0))*parametros_manuales!$C$110)*parametros_manuales!$I$34*parametros_manuales!$J$34</f>
        <v>14878.88106612</v>
      </c>
      <c r="D179" s="9" t="n">
        <f aca="false">(parametros_manuales!$D$34*(datos_base!$H$2+datos_base!$H$18+IF(parametros_manuales!$H$34="Todos",datos_base!$H$9+datos_base!$H$23,0))*parametros_manuales!$D$95+parametros_manuales!$E$34*(datos_base!$H$3+datos_base!$H$19+IF(parametros_manuales!$H$34="Todos",datos_base!$H$10+datos_base!$H$24,0))*parametros_manuales!$D$100+parametros_manuales!$F$34*(datos_base!$H$4+datos_base!$H$20+IF(parametros_manuales!$H$34="Todos",datos_base!$H$11+datos_base!$H$25,0))*parametros_manuales!$D$105+parametros_manuales!$G$34*(datos_base!$H$5+datos_base!$H$21+IF(parametros_manuales!$H$34="Todos",datos_base!$H$12+datos_base!$H$26,0))*parametros_manuales!$D$110)*parametros_manuales!$I$34*parametros_manuales!$J$34</f>
        <v>13907.668113065</v>
      </c>
      <c r="E179" s="9" t="n">
        <f aca="false">(parametros_manuales!$D$34*(datos_base!$H$2+datos_base!$H$18+IF(parametros_manuales!$H$34="Todos",datos_base!$H$9+datos_base!$H$23,0))*parametros_manuales!$E$95+parametros_manuales!$E$34*(datos_base!$H$3+datos_base!$H$19+IF(parametros_manuales!$H$34="Todos",datos_base!$H$10+datos_base!$H$24,0))*parametros_manuales!$E$100+parametros_manuales!$F$34*(datos_base!$H$4+datos_base!$H$20+IF(parametros_manuales!$H$34="Todos",datos_base!$H$11+datos_base!$H$25,0))*parametros_manuales!$E$105+parametros_manuales!$G$34*(datos_base!$H$5+datos_base!$H$21+IF(parametros_manuales!$H$34="Todos",datos_base!$H$12+datos_base!$H$26,0))*parametros_manuales!$E$110)*parametros_manuales!$I$34*parametros_manuales!$J$34</f>
        <v>13299.302346765</v>
      </c>
      <c r="F179" s="9" t="n">
        <f aca="false">(parametros_manuales!$D$34*(datos_base!$H$2+datos_base!$H$18+IF(parametros_manuales!$H$34="Todos",datos_base!$H$9+datos_base!$H$23,0))*parametros_manuales!$F$95+parametros_manuales!$E$34*(datos_base!$H$3+datos_base!$H$19+IF(parametros_manuales!$H$34="Todos",datos_base!$H$10+datos_base!$H$24,0))*parametros_manuales!$F$100+parametros_manuales!$F$34*(datos_base!$H$4+datos_base!$H$20+IF(parametros_manuales!$H$34="Todos",datos_base!$H$11+datos_base!$H$25,0))*parametros_manuales!$F$105+parametros_manuales!$G$34*(datos_base!$H$5+datos_base!$H$21+IF(parametros_manuales!$H$34="Todos",datos_base!$H$12+datos_base!$H$26,0))*parametros_manuales!$F$110)*parametros_manuales!$I$34*parametros_manuales!$J$34</f>
        <v>12445.41800092</v>
      </c>
      <c r="G179" s="9" t="n">
        <f aca="false">(parametros_manuales!$D$34*(datos_base!$H$2+datos_base!$H$18+IF(parametros_manuales!$H$34="Todos",datos_base!$H$9+datos_base!$H$23,0))*parametros_manuales!$G$95+parametros_manuales!$E$34*(datos_base!$H$3+datos_base!$H$19+IF(parametros_manuales!$H$34="Todos",datos_base!$H$10+datos_base!$H$24,0))*parametros_manuales!$G$100+parametros_manuales!$F$34*(datos_base!$H$4+datos_base!$H$20+IF(parametros_manuales!$H$34="Todos",datos_base!$H$11+datos_base!$H$25,0))*parametros_manuales!$G$105+parametros_manuales!$G$34*(datos_base!$H$5+datos_base!$H$21+IF(parametros_manuales!$H$34="Todos",datos_base!$H$12+datos_base!$H$26,0))*parametros_manuales!$G$110)*parametros_manuales!$I$34*parametros_manuales!$J$34</f>
        <v>12199.899421375</v>
      </c>
      <c r="H179" s="9" t="n">
        <f aca="false">(parametros_manuales!$D$34*(datos_base!$H$2+datos_base!$H$18+IF(parametros_manuales!$H$34="Todos",datos_base!$H$9+datos_base!$H$23,0))*parametros_manuales!$H$95+parametros_manuales!$E$34*(datos_base!$H$3+datos_base!$H$19+IF(parametros_manuales!$H$34="Todos",datos_base!$H$10+datos_base!$H$24,0))*parametros_manuales!$H$100+parametros_manuales!$F$34*(datos_base!$H$4+datos_base!$H$20+IF(parametros_manuales!$H$34="Todos",datos_base!$H$11+datos_base!$H$25,0))*parametros_manuales!$H$105+parametros_manuales!$G$34*(datos_base!$H$5+datos_base!$H$21+IF(parametros_manuales!$H$34="Todos",datos_base!$H$12+datos_base!$H$26,0))*parametros_manuales!$H$110)*parametros_manuales!$I$34*parametros_manuales!$J$34</f>
        <v>13053.78376722</v>
      </c>
      <c r="I179" s="9" t="n">
        <f aca="false">(parametros_manuales!$D$34*(datos_base!$H$2+datos_base!$H$18+IF(parametros_manuales!$H$34="Todos",datos_base!$H$9+datos_base!$H$23,0))*parametros_manuales!$I$95+parametros_manuales!$E$34*(datos_base!$H$3+datos_base!$H$19+IF(parametros_manuales!$H$34="Todos",datos_base!$H$10+datos_base!$H$24,0))*parametros_manuales!$I$100+parametros_manuales!$F$34*(datos_base!$H$4+datos_base!$H$20+IF(parametros_manuales!$H$34="Todos",datos_base!$H$11+datos_base!$H$25,0))*parametros_manuales!$I$105+parametros_manuales!$G$34*(datos_base!$H$5+datos_base!$H$21+IF(parametros_manuales!$H$34="Todos",datos_base!$H$12+datos_base!$H$26,0))*parametros_manuales!$I$110)*parametros_manuales!$I$34*parametros_manuales!$J$34</f>
        <v>14878.88106612</v>
      </c>
      <c r="J179" s="9" t="n">
        <f aca="false">(parametros_manuales!$D$34*(datos_base!$H$2+datos_base!$H$18+IF(parametros_manuales!$H$34="Todos",datos_base!$H$9+datos_base!$H$23,0))*parametros_manuales!$J$95+parametros_manuales!$E$34*(datos_base!$H$3+datos_base!$H$19+IF(parametros_manuales!$H$34="Todos",datos_base!$H$10+datos_base!$H$24,0))*parametros_manuales!$J$100+parametros_manuales!$F$34*(datos_base!$H$4+datos_base!$H$20+IF(parametros_manuales!$H$34="Todos",datos_base!$H$11+datos_base!$H$25,0))*parametros_manuales!$J$105+parametros_manuales!$G$34*(datos_base!$H$5+datos_base!$H$21+IF(parametros_manuales!$H$34="Todos",datos_base!$H$12+datos_base!$H$26,0))*parametros_manuales!$J$110)*parametros_manuales!$I$34*parametros_manuales!$J$34</f>
        <v>14878.88106612</v>
      </c>
      <c r="K179" s="9" t="n">
        <f aca="false">(parametros_manuales!$D$34*(datos_base!$H$2+datos_base!$H$18+IF(parametros_manuales!$H$34="Todos",datos_base!$H$9+datos_base!$H$23,0))*parametros_manuales!$K$95+parametros_manuales!$E$34*(datos_base!$H$3+datos_base!$H$19+IF(parametros_manuales!$H$34="Todos",datos_base!$H$10+datos_base!$H$24,0))*parametros_manuales!$K$100+parametros_manuales!$F$34*(datos_base!$H$4+datos_base!$H$20+IF(parametros_manuales!$H$34="Todos",datos_base!$H$11+datos_base!$H$25,0))*parametros_manuales!$K$105+parametros_manuales!$G$34*(datos_base!$H$5+datos_base!$H$21+IF(parametros_manuales!$H$34="Todos",datos_base!$H$12+datos_base!$H$26,0))*parametros_manuales!$K$110)*parametros_manuales!$I$34*parametros_manuales!$J$34</f>
        <v>15124.399645665</v>
      </c>
      <c r="L179" s="9" t="n">
        <f aca="false">(parametros_manuales!$D$34*(datos_base!$H$2+datos_base!$H$18+IF(parametros_manuales!$H$34="Todos",datos_base!$H$9+datos_base!$H$23,0))*parametros_manuales!$L$95+parametros_manuales!$E$34*(datos_base!$H$3+datos_base!$H$19+IF(parametros_manuales!$H$34="Todos",datos_base!$H$10+datos_base!$H$24,0))*parametros_manuales!$L$100+parametros_manuales!$F$34*(datos_base!$H$4+datos_base!$H$20+IF(parametros_manuales!$H$34="Todos",datos_base!$H$11+datos_base!$H$25,0))*parametros_manuales!$L$105+parametros_manuales!$G$34*(datos_base!$H$5+datos_base!$H$21+IF(parametros_manuales!$H$34="Todos",datos_base!$H$12+datos_base!$H$26,0))*parametros_manuales!$L$110)*parametros_manuales!$I$34*parametros_manuales!$J$34</f>
        <v>15369.91822521</v>
      </c>
      <c r="M179" s="9" t="n">
        <f aca="false">(parametros_manuales!$D$34*(datos_base!$H$2+datos_base!$H$18+IF(parametros_manuales!$H$34="Todos",datos_base!$H$9+datos_base!$H$23,0))*parametros_manuales!$M$95+parametros_manuales!$E$34*(datos_base!$H$3+datos_base!$H$19+IF(parametros_manuales!$H$34="Todos",datos_base!$H$10+datos_base!$H$24,0))*parametros_manuales!$M$100+parametros_manuales!$F$34*(datos_base!$H$4+datos_base!$H$20+IF(parametros_manuales!$H$34="Todos",datos_base!$H$11+datos_base!$H$25,0))*parametros_manuales!$M$105+parametros_manuales!$G$34*(datos_base!$H$5+datos_base!$H$21+IF(parametros_manuales!$H$34="Todos",datos_base!$H$12+datos_base!$H$26,0))*parametros_manuales!$M$110)*parametros_manuales!$I$34*parametros_manuales!$J$34</f>
        <v>15369.91822521</v>
      </c>
      <c r="N179" s="9" t="n">
        <f aca="false">SUM(B179:M179)</f>
        <v>170776.869169</v>
      </c>
      <c r="O179" s="9" t="n">
        <f aca="false">MAX(B179:M179)</f>
        <v>15369.91822521</v>
      </c>
      <c r="P179" s="43" t="n">
        <f aca="false">O179/(parametros_manuales!$B$7)</f>
        <v>102.4661215014</v>
      </c>
      <c r="Q179" s="8" t="str">
        <f aca="false">IF(O179=0,"-",INDEX($B$163:$M$163,MATCH(O179,B179:M179,0)))</f>
        <v>Ene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datos_base!$H$2+datos_base!$H$18+IF(parametros_manuales!$H$35="Todos",datos_base!$H$9+datos_base!$H$23,0))*parametros_manuales!$B$95+parametros_manuales!$E$35*(datos_base!$H$3+datos_base!$H$19+IF(parametros_manuales!$H$35="Todos",datos_base!$H$10+datos_base!$H$24,0))*parametros_manuales!$B$100+parametros_manuales!$F$35*(datos_base!$H$4+datos_base!$H$20+IF(parametros_manuales!$H$35="Todos",datos_base!$H$11+datos_base!$H$25,0))*parametros_manuales!$B$105+parametros_manuales!$G$35*(datos_base!$H$5+datos_base!$H$21+IF(parametros_manuales!$H$35="Todos",datos_base!$H$12+datos_base!$H$26,0))*parametros_manuales!$B$110)*parametros_manuales!$I$35*parametros_manuales!$J$35</f>
        <v>15369.91822521</v>
      </c>
      <c r="C180" s="9" t="n">
        <f aca="false">(parametros_manuales!$D$35*(datos_base!$H$2+datos_base!$H$18+IF(parametros_manuales!$H$35="Todos",datos_base!$H$9+datos_base!$H$23,0))*parametros_manuales!$C$95+parametros_manuales!$E$35*(datos_base!$H$3+datos_base!$H$19+IF(parametros_manuales!$H$35="Todos",datos_base!$H$10+datos_base!$H$24,0))*parametros_manuales!$C$100+parametros_manuales!$F$35*(datos_base!$H$4+datos_base!$H$20+IF(parametros_manuales!$H$35="Todos",datos_base!$H$11+datos_base!$H$25,0))*parametros_manuales!$C$105+parametros_manuales!$G$35*(datos_base!$H$5+datos_base!$H$21+IF(parametros_manuales!$H$35="Todos",datos_base!$H$12+datos_base!$H$26,0))*parametros_manuales!$C$110)*parametros_manuales!$I$35*parametros_manuales!$J$35</f>
        <v>14878.88106612</v>
      </c>
      <c r="D180" s="9" t="n">
        <f aca="false">(parametros_manuales!$D$35*(datos_base!$H$2+datos_base!$H$18+IF(parametros_manuales!$H$35="Todos",datos_base!$H$9+datos_base!$H$23,0))*parametros_manuales!$D$95+parametros_manuales!$E$35*(datos_base!$H$3+datos_base!$H$19+IF(parametros_manuales!$H$35="Todos",datos_base!$H$10+datos_base!$H$24,0))*parametros_manuales!$D$100+parametros_manuales!$F$35*(datos_base!$H$4+datos_base!$H$20+IF(parametros_manuales!$H$35="Todos",datos_base!$H$11+datos_base!$H$25,0))*parametros_manuales!$D$105+parametros_manuales!$G$35*(datos_base!$H$5+datos_base!$H$21+IF(parametros_manuales!$H$35="Todos",datos_base!$H$12+datos_base!$H$26,0))*parametros_manuales!$D$110)*parametros_manuales!$I$35*parametros_manuales!$J$35</f>
        <v>13907.668113065</v>
      </c>
      <c r="E180" s="9" t="n">
        <f aca="false">(parametros_manuales!$D$35*(datos_base!$H$2+datos_base!$H$18+IF(parametros_manuales!$H$35="Todos",datos_base!$H$9+datos_base!$H$23,0))*parametros_manuales!$E$95+parametros_manuales!$E$35*(datos_base!$H$3+datos_base!$H$19+IF(parametros_manuales!$H$35="Todos",datos_base!$H$10+datos_base!$H$24,0))*parametros_manuales!$E$100+parametros_manuales!$F$35*(datos_base!$H$4+datos_base!$H$20+IF(parametros_manuales!$H$35="Todos",datos_base!$H$11+datos_base!$H$25,0))*parametros_manuales!$E$105+parametros_manuales!$G$35*(datos_base!$H$5+datos_base!$H$21+IF(parametros_manuales!$H$35="Todos",datos_base!$H$12+datos_base!$H$26,0))*parametros_manuales!$E$110)*parametros_manuales!$I$35*parametros_manuales!$J$35</f>
        <v>13299.302346765</v>
      </c>
      <c r="F180" s="9" t="n">
        <f aca="false">(parametros_manuales!$D$35*(datos_base!$H$2+datos_base!$H$18+IF(parametros_manuales!$H$35="Todos",datos_base!$H$9+datos_base!$H$23,0))*parametros_manuales!$F$95+parametros_manuales!$E$35*(datos_base!$H$3+datos_base!$H$19+IF(parametros_manuales!$H$35="Todos",datos_base!$H$10+datos_base!$H$24,0))*parametros_manuales!$F$100+parametros_manuales!$F$35*(datos_base!$H$4+datos_base!$H$20+IF(parametros_manuales!$H$35="Todos",datos_base!$H$11+datos_base!$H$25,0))*parametros_manuales!$F$105+parametros_manuales!$G$35*(datos_base!$H$5+datos_base!$H$21+IF(parametros_manuales!$H$35="Todos",datos_base!$H$12+datos_base!$H$26,0))*parametros_manuales!$F$110)*parametros_manuales!$I$35*parametros_manuales!$J$35</f>
        <v>12445.41800092</v>
      </c>
      <c r="G180" s="9" t="n">
        <f aca="false">(parametros_manuales!$D$35*(datos_base!$H$2+datos_base!$H$18+IF(parametros_manuales!$H$35="Todos",datos_base!$H$9+datos_base!$H$23,0))*parametros_manuales!$G$95+parametros_manuales!$E$35*(datos_base!$H$3+datos_base!$H$19+IF(parametros_manuales!$H$35="Todos",datos_base!$H$10+datos_base!$H$24,0))*parametros_manuales!$G$100+parametros_manuales!$F$35*(datos_base!$H$4+datos_base!$H$20+IF(parametros_manuales!$H$35="Todos",datos_base!$H$11+datos_base!$H$25,0))*parametros_manuales!$G$105+parametros_manuales!$G$35*(datos_base!$H$5+datos_base!$H$21+IF(parametros_manuales!$H$35="Todos",datos_base!$H$12+datos_base!$H$26,0))*parametros_manuales!$G$110)*parametros_manuales!$I$35*parametros_manuales!$J$35</f>
        <v>12199.899421375</v>
      </c>
      <c r="H180" s="9" t="n">
        <f aca="false">(parametros_manuales!$D$35*(datos_base!$H$2+datos_base!$H$18+IF(parametros_manuales!$H$35="Todos",datos_base!$H$9+datos_base!$H$23,0))*parametros_manuales!$H$95+parametros_manuales!$E$35*(datos_base!$H$3+datos_base!$H$19+IF(parametros_manuales!$H$35="Todos",datos_base!$H$10+datos_base!$H$24,0))*parametros_manuales!$H$100+parametros_manuales!$F$35*(datos_base!$H$4+datos_base!$H$20+IF(parametros_manuales!$H$35="Todos",datos_base!$H$11+datos_base!$H$25,0))*parametros_manuales!$H$105+parametros_manuales!$G$35*(datos_base!$H$5+datos_base!$H$21+IF(parametros_manuales!$H$35="Todos",datos_base!$H$12+datos_base!$H$26,0))*parametros_manuales!$H$110)*parametros_manuales!$I$35*parametros_manuales!$J$35</f>
        <v>13053.78376722</v>
      </c>
      <c r="I180" s="9" t="n">
        <f aca="false">(parametros_manuales!$D$35*(datos_base!$H$2+datos_base!$H$18+IF(parametros_manuales!$H$35="Todos",datos_base!$H$9+datos_base!$H$23,0))*parametros_manuales!$I$95+parametros_manuales!$E$35*(datos_base!$H$3+datos_base!$H$19+IF(parametros_manuales!$H$35="Todos",datos_base!$H$10+datos_base!$H$24,0))*parametros_manuales!$I$100+parametros_manuales!$F$35*(datos_base!$H$4+datos_base!$H$20+IF(parametros_manuales!$H$35="Todos",datos_base!$H$11+datos_base!$H$25,0))*parametros_manuales!$I$105+parametros_manuales!$G$35*(datos_base!$H$5+datos_base!$H$21+IF(parametros_manuales!$H$35="Todos",datos_base!$H$12+datos_base!$H$26,0))*parametros_manuales!$I$110)*parametros_manuales!$I$35*parametros_manuales!$J$35</f>
        <v>14878.88106612</v>
      </c>
      <c r="J180" s="9" t="n">
        <f aca="false">(parametros_manuales!$D$35*(datos_base!$H$2+datos_base!$H$18+IF(parametros_manuales!$H$35="Todos",datos_base!$H$9+datos_base!$H$23,0))*parametros_manuales!$J$95+parametros_manuales!$E$35*(datos_base!$H$3+datos_base!$H$19+IF(parametros_manuales!$H$35="Todos",datos_base!$H$10+datos_base!$H$24,0))*parametros_manuales!$J$100+parametros_manuales!$F$35*(datos_base!$H$4+datos_base!$H$20+IF(parametros_manuales!$H$35="Todos",datos_base!$H$11+datos_base!$H$25,0))*parametros_manuales!$J$105+parametros_manuales!$G$35*(datos_base!$H$5+datos_base!$H$21+IF(parametros_manuales!$H$35="Todos",datos_base!$H$12+datos_base!$H$26,0))*parametros_manuales!$J$110)*parametros_manuales!$I$35*parametros_manuales!$J$35</f>
        <v>14878.88106612</v>
      </c>
      <c r="K180" s="9" t="n">
        <f aca="false">(parametros_manuales!$D$35*(datos_base!$H$2+datos_base!$H$18+IF(parametros_manuales!$H$35="Todos",datos_base!$H$9+datos_base!$H$23,0))*parametros_manuales!$K$95+parametros_manuales!$E$35*(datos_base!$H$3+datos_base!$H$19+IF(parametros_manuales!$H$35="Todos",datos_base!$H$10+datos_base!$H$24,0))*parametros_manuales!$K$100+parametros_manuales!$F$35*(datos_base!$H$4+datos_base!$H$20+IF(parametros_manuales!$H$35="Todos",datos_base!$H$11+datos_base!$H$25,0))*parametros_manuales!$K$105+parametros_manuales!$G$35*(datos_base!$H$5+datos_base!$H$21+IF(parametros_manuales!$H$35="Todos",datos_base!$H$12+datos_base!$H$26,0))*parametros_manuales!$K$110)*parametros_manuales!$I$35*parametros_manuales!$J$35</f>
        <v>15124.399645665</v>
      </c>
      <c r="L180" s="9" t="n">
        <f aca="false">(parametros_manuales!$D$35*(datos_base!$H$2+datos_base!$H$18+IF(parametros_manuales!$H$35="Todos",datos_base!$H$9+datos_base!$H$23,0))*parametros_manuales!$L$95+parametros_manuales!$E$35*(datos_base!$H$3+datos_base!$H$19+IF(parametros_manuales!$H$35="Todos",datos_base!$H$10+datos_base!$H$24,0))*parametros_manuales!$L$100+parametros_manuales!$F$35*(datos_base!$H$4+datos_base!$H$20+IF(parametros_manuales!$H$35="Todos",datos_base!$H$11+datos_base!$H$25,0))*parametros_manuales!$L$105+parametros_manuales!$G$35*(datos_base!$H$5+datos_base!$H$21+IF(parametros_manuales!$H$35="Todos",datos_base!$H$12+datos_base!$H$26,0))*parametros_manuales!$L$110)*parametros_manuales!$I$35*parametros_manuales!$J$35</f>
        <v>15369.91822521</v>
      </c>
      <c r="M180" s="9" t="n">
        <f aca="false">(parametros_manuales!$D$35*(datos_base!$H$2+datos_base!$H$18+IF(parametros_manuales!$H$35="Todos",datos_base!$H$9+datos_base!$H$23,0))*parametros_manuales!$M$95+parametros_manuales!$E$35*(datos_base!$H$3+datos_base!$H$19+IF(parametros_manuales!$H$35="Todos",datos_base!$H$10+datos_base!$H$24,0))*parametros_manuales!$M$100+parametros_manuales!$F$35*(datos_base!$H$4+datos_base!$H$20+IF(parametros_manuales!$H$35="Todos",datos_base!$H$11+datos_base!$H$25,0))*parametros_manuales!$M$105+parametros_manuales!$G$35*(datos_base!$H$5+datos_base!$H$21+IF(parametros_manuales!$H$35="Todos",datos_base!$H$12+datos_base!$H$26,0))*parametros_manuales!$M$110)*parametros_manuales!$I$35*parametros_manuales!$J$35</f>
        <v>15369.91822521</v>
      </c>
      <c r="N180" s="9" t="n">
        <f aca="false">SUM(B180:M180)</f>
        <v>170776.869169</v>
      </c>
      <c r="O180" s="9" t="n">
        <f aca="false">MAX(B180:M180)</f>
        <v>15369.91822521</v>
      </c>
      <c r="P180" s="43" t="n">
        <f aca="false">O180/(parametros_manuales!$B$7)</f>
        <v>102.4661215014</v>
      </c>
      <c r="Q180" s="8" t="str">
        <f aca="false">IF(O180=0,"-",INDEX($B$163:$M$163,MATCH(O180,B180:M180,0)))</f>
        <v>Ene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datos_base!$H$2+datos_base!$H$18+IF(parametros_manuales!$H$36="Todos",datos_base!$H$9+datos_base!$H$23,0))*parametros_manuales!$B$95+parametros_manuales!$E$36*(datos_base!$H$3+datos_base!$H$19+IF(parametros_manuales!$H$36="Todos",datos_base!$H$10+datos_base!$H$24,0))*parametros_manuales!$B$100+parametros_manuales!$F$36*(datos_base!$H$4+datos_base!$H$20+IF(parametros_manuales!$H$36="Todos",datos_base!$H$11+datos_base!$H$25,0))*parametros_manuales!$B$105+parametros_manuales!$G$36*(datos_base!$H$5+datos_base!$H$21+IF(parametros_manuales!$H$36="Todos",datos_base!$H$12+datos_base!$H$26,0))*parametros_manuales!$B$110)*parametros_manuales!$I$36*parametros_manuales!$J$36</f>
        <v>768.4959112605</v>
      </c>
      <c r="C181" s="9" t="n">
        <f aca="false">(parametros_manuales!$D$36*(datos_base!$H$2+datos_base!$H$18+IF(parametros_manuales!$H$36="Todos",datos_base!$H$9+datos_base!$H$23,0))*parametros_manuales!$C$95+parametros_manuales!$E$36*(datos_base!$H$3+datos_base!$H$19+IF(parametros_manuales!$H$36="Todos",datos_base!$H$10+datos_base!$H$24,0))*parametros_manuales!$C$100+parametros_manuales!$F$36*(datos_base!$H$4+datos_base!$H$20+IF(parametros_manuales!$H$36="Todos",datos_base!$H$11+datos_base!$H$25,0))*parametros_manuales!$C$105+parametros_manuales!$G$36*(datos_base!$H$5+datos_base!$H$21+IF(parametros_manuales!$H$36="Todos",datos_base!$H$12+datos_base!$H$26,0))*parametros_manuales!$C$110)*parametros_manuales!$I$36*parametros_manuales!$J$36</f>
        <v>743.944053306</v>
      </c>
      <c r="D181" s="9" t="n">
        <f aca="false">(parametros_manuales!$D$36*(datos_base!$H$2+datos_base!$H$18+IF(parametros_manuales!$H$36="Todos",datos_base!$H$9+datos_base!$H$23,0))*parametros_manuales!$D$95+parametros_manuales!$E$36*(datos_base!$H$3+datos_base!$H$19+IF(parametros_manuales!$H$36="Todos",datos_base!$H$10+datos_base!$H$24,0))*parametros_manuales!$D$100+parametros_manuales!$F$36*(datos_base!$H$4+datos_base!$H$20+IF(parametros_manuales!$H$36="Todos",datos_base!$H$11+datos_base!$H$25,0))*parametros_manuales!$D$105+parametros_manuales!$G$36*(datos_base!$H$5+datos_base!$H$21+IF(parametros_manuales!$H$36="Todos",datos_base!$H$12+datos_base!$H$26,0))*parametros_manuales!$D$110)*parametros_manuales!$I$36*parametros_manuales!$J$36</f>
        <v>695.38340565325</v>
      </c>
      <c r="E181" s="9" t="n">
        <f aca="false">(parametros_manuales!$D$36*(datos_base!$H$2+datos_base!$H$18+IF(parametros_manuales!$H$36="Todos",datos_base!$H$9+datos_base!$H$23,0))*parametros_manuales!$E$95+parametros_manuales!$E$36*(datos_base!$H$3+datos_base!$H$19+IF(parametros_manuales!$H$36="Todos",datos_base!$H$10+datos_base!$H$24,0))*parametros_manuales!$E$100+parametros_manuales!$F$36*(datos_base!$H$4+datos_base!$H$20+IF(parametros_manuales!$H$36="Todos",datos_base!$H$11+datos_base!$H$25,0))*parametros_manuales!$E$105+parametros_manuales!$G$36*(datos_base!$H$5+datos_base!$H$21+IF(parametros_manuales!$H$36="Todos",datos_base!$H$12+datos_base!$H$26,0))*parametros_manuales!$E$110)*parametros_manuales!$I$36*parametros_manuales!$J$36</f>
        <v>664.96511733825</v>
      </c>
      <c r="F181" s="9" t="n">
        <f aca="false">(parametros_manuales!$D$36*(datos_base!$H$2+datos_base!$H$18+IF(parametros_manuales!$H$36="Todos",datos_base!$H$9+datos_base!$H$23,0))*parametros_manuales!$F$95+parametros_manuales!$E$36*(datos_base!$H$3+datos_base!$H$19+IF(parametros_manuales!$H$36="Todos",datos_base!$H$10+datos_base!$H$24,0))*parametros_manuales!$F$100+parametros_manuales!$F$36*(datos_base!$H$4+datos_base!$H$20+IF(parametros_manuales!$H$36="Todos",datos_base!$H$11+datos_base!$H$25,0))*parametros_manuales!$F$105+parametros_manuales!$G$36*(datos_base!$H$5+datos_base!$H$21+IF(parametros_manuales!$H$36="Todos",datos_base!$H$12+datos_base!$H$26,0))*parametros_manuales!$F$110)*parametros_manuales!$I$36*parametros_manuales!$J$36</f>
        <v>622.270900046</v>
      </c>
      <c r="G181" s="9" t="n">
        <f aca="false">(parametros_manuales!$D$36*(datos_base!$H$2+datos_base!$H$18+IF(parametros_manuales!$H$36="Todos",datos_base!$H$9+datos_base!$H$23,0))*parametros_manuales!$G$95+parametros_manuales!$E$36*(datos_base!$H$3+datos_base!$H$19+IF(parametros_manuales!$H$36="Todos",datos_base!$H$10+datos_base!$H$24,0))*parametros_manuales!$G$100+parametros_manuales!$F$36*(datos_base!$H$4+datos_base!$H$20+IF(parametros_manuales!$H$36="Todos",datos_base!$H$11+datos_base!$H$25,0))*parametros_manuales!$G$105+parametros_manuales!$G$36*(datos_base!$H$5+datos_base!$H$21+IF(parametros_manuales!$H$36="Todos",datos_base!$H$12+datos_base!$H$26,0))*parametros_manuales!$G$110)*parametros_manuales!$I$36*parametros_manuales!$J$36</f>
        <v>609.99497106875</v>
      </c>
      <c r="H181" s="9" t="n">
        <f aca="false">(parametros_manuales!$D$36*(datos_base!$H$2+datos_base!$H$18+IF(parametros_manuales!$H$36="Todos",datos_base!$H$9+datos_base!$H$23,0))*parametros_manuales!$H$95+parametros_manuales!$E$36*(datos_base!$H$3+datos_base!$H$19+IF(parametros_manuales!$H$36="Todos",datos_base!$H$10+datos_base!$H$24,0))*parametros_manuales!$H$100+parametros_manuales!$F$36*(datos_base!$H$4+datos_base!$H$20+IF(parametros_manuales!$H$36="Todos",datos_base!$H$11+datos_base!$H$25,0))*parametros_manuales!$H$105+parametros_manuales!$G$36*(datos_base!$H$5+datos_base!$H$21+IF(parametros_manuales!$H$36="Todos",datos_base!$H$12+datos_base!$H$26,0))*parametros_manuales!$H$110)*parametros_manuales!$I$36*parametros_manuales!$J$36</f>
        <v>652.689188361</v>
      </c>
      <c r="I181" s="9" t="n">
        <f aca="false">(parametros_manuales!$D$36*(datos_base!$H$2+datos_base!$H$18+IF(parametros_manuales!$H$36="Todos",datos_base!$H$9+datos_base!$H$23,0))*parametros_manuales!$I$95+parametros_manuales!$E$36*(datos_base!$H$3+datos_base!$H$19+IF(parametros_manuales!$H$36="Todos",datos_base!$H$10+datos_base!$H$24,0))*parametros_manuales!$I$100+parametros_manuales!$F$36*(datos_base!$H$4+datos_base!$H$20+IF(parametros_manuales!$H$36="Todos",datos_base!$H$11+datos_base!$H$25,0))*parametros_manuales!$I$105+parametros_manuales!$G$36*(datos_base!$H$5+datos_base!$H$21+IF(parametros_manuales!$H$36="Todos",datos_base!$H$12+datos_base!$H$26,0))*parametros_manuales!$I$110)*parametros_manuales!$I$36*parametros_manuales!$J$36</f>
        <v>743.944053306</v>
      </c>
      <c r="J181" s="9" t="n">
        <f aca="false">(parametros_manuales!$D$36*(datos_base!$H$2+datos_base!$H$18+IF(parametros_manuales!$H$36="Todos",datos_base!$H$9+datos_base!$H$23,0))*parametros_manuales!$J$95+parametros_manuales!$E$36*(datos_base!$H$3+datos_base!$H$19+IF(parametros_manuales!$H$36="Todos",datos_base!$H$10+datos_base!$H$24,0))*parametros_manuales!$J$100+parametros_manuales!$F$36*(datos_base!$H$4+datos_base!$H$20+IF(parametros_manuales!$H$36="Todos",datos_base!$H$11+datos_base!$H$25,0))*parametros_manuales!$J$105+parametros_manuales!$G$36*(datos_base!$H$5+datos_base!$H$21+IF(parametros_manuales!$H$36="Todos",datos_base!$H$12+datos_base!$H$26,0))*parametros_manuales!$J$110)*parametros_manuales!$I$36*parametros_manuales!$J$36</f>
        <v>743.944053306</v>
      </c>
      <c r="K181" s="9" t="n">
        <f aca="false">(parametros_manuales!$D$36*(datos_base!$H$2+datos_base!$H$18+IF(parametros_manuales!$H$36="Todos",datos_base!$H$9+datos_base!$H$23,0))*parametros_manuales!$K$95+parametros_manuales!$E$36*(datos_base!$H$3+datos_base!$H$19+IF(parametros_manuales!$H$36="Todos",datos_base!$H$10+datos_base!$H$24,0))*parametros_manuales!$K$100+parametros_manuales!$F$36*(datos_base!$H$4+datos_base!$H$20+IF(parametros_manuales!$H$36="Todos",datos_base!$H$11+datos_base!$H$25,0))*parametros_manuales!$K$105+parametros_manuales!$G$36*(datos_base!$H$5+datos_base!$H$21+IF(parametros_manuales!$H$36="Todos",datos_base!$H$12+datos_base!$H$26,0))*parametros_manuales!$K$110)*parametros_manuales!$I$36*parametros_manuales!$J$36</f>
        <v>756.21998228325</v>
      </c>
      <c r="L181" s="9" t="n">
        <f aca="false">(parametros_manuales!$D$36*(datos_base!$H$2+datos_base!$H$18+IF(parametros_manuales!$H$36="Todos",datos_base!$H$9+datos_base!$H$23,0))*parametros_manuales!$L$95+parametros_manuales!$E$36*(datos_base!$H$3+datos_base!$H$19+IF(parametros_manuales!$H$36="Todos",datos_base!$H$10+datos_base!$H$24,0))*parametros_manuales!$L$100+parametros_manuales!$F$36*(datos_base!$H$4+datos_base!$H$20+IF(parametros_manuales!$H$36="Todos",datos_base!$H$11+datos_base!$H$25,0))*parametros_manuales!$L$105+parametros_manuales!$G$36*(datos_base!$H$5+datos_base!$H$21+IF(parametros_manuales!$H$36="Todos",datos_base!$H$12+datos_base!$H$26,0))*parametros_manuales!$L$110)*parametros_manuales!$I$36*parametros_manuales!$J$36</f>
        <v>768.4959112605</v>
      </c>
      <c r="M181" s="9" t="n">
        <f aca="false">(parametros_manuales!$D$36*(datos_base!$H$2+datos_base!$H$18+IF(parametros_manuales!$H$36="Todos",datos_base!$H$9+datos_base!$H$23,0))*parametros_manuales!$M$95+parametros_manuales!$E$36*(datos_base!$H$3+datos_base!$H$19+IF(parametros_manuales!$H$36="Todos",datos_base!$H$10+datos_base!$H$24,0))*parametros_manuales!$M$100+parametros_manuales!$F$36*(datos_base!$H$4+datos_base!$H$20+IF(parametros_manuales!$H$36="Todos",datos_base!$H$11+datos_base!$H$25,0))*parametros_manuales!$M$105+parametros_manuales!$G$36*(datos_base!$H$5+datos_base!$H$21+IF(parametros_manuales!$H$36="Todos",datos_base!$H$12+datos_base!$H$26,0))*parametros_manuales!$M$110)*parametros_manuales!$I$36*parametros_manuales!$J$36</f>
        <v>768.4959112605</v>
      </c>
      <c r="N181" s="9" t="n">
        <f aca="false">SUM(B181:M181)</f>
        <v>8538.84345845</v>
      </c>
      <c r="O181" s="9" t="n">
        <f aca="false">MAX(B181:M181)</f>
        <v>768.4959112605</v>
      </c>
      <c r="P181" s="43" t="n">
        <f aca="false">O181/(parametros_manuales!$B$7)</f>
        <v>5.12330607507</v>
      </c>
      <c r="Q181" s="8" t="str">
        <f aca="false">IF(O181=0,"-",INDEX($B$163:$M$163,MATCH(O181,B181:M181,0)))</f>
        <v>Ene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datos_base!$H$2+datos_base!$H$18+IF(parametros_manuales!$H$37="Todos",datos_base!$H$9+datos_base!$H$23,0))*parametros_manuales!$B$95+parametros_manuales!$E$37*(datos_base!$H$3+datos_base!$H$19+IF(parametros_manuales!$H$37="Todos",datos_base!$H$10+datos_base!$H$24,0))*parametros_manuales!$B$100+parametros_manuales!$F$37*(datos_base!$H$4+datos_base!$H$20+IF(parametros_manuales!$H$37="Todos",datos_base!$H$11+datos_base!$H$25,0))*parametros_manuales!$B$105+parametros_manuales!$G$37*(datos_base!$H$5+datos_base!$H$21+IF(parametros_manuales!$H$37="Todos",datos_base!$H$12+datos_base!$H$26,0))*parametros_manuales!$B$110)*parametros_manuales!$I$37*parametros_manuales!$J$37</f>
        <v>15369.91822521</v>
      </c>
      <c r="C182" s="9" t="n">
        <f aca="false">(parametros_manuales!$D$37*(datos_base!$H$2+datos_base!$H$18+IF(parametros_manuales!$H$37="Todos",datos_base!$H$9+datos_base!$H$23,0))*parametros_manuales!$C$95+parametros_manuales!$E$37*(datos_base!$H$3+datos_base!$H$19+IF(parametros_manuales!$H$37="Todos",datos_base!$H$10+datos_base!$H$24,0))*parametros_manuales!$C$100+parametros_manuales!$F$37*(datos_base!$H$4+datos_base!$H$20+IF(parametros_manuales!$H$37="Todos",datos_base!$H$11+datos_base!$H$25,0))*parametros_manuales!$C$105+parametros_manuales!$G$37*(datos_base!$H$5+datos_base!$H$21+IF(parametros_manuales!$H$37="Todos",datos_base!$H$12+datos_base!$H$26,0))*parametros_manuales!$C$110)*parametros_manuales!$I$37*parametros_manuales!$J$37</f>
        <v>14878.88106612</v>
      </c>
      <c r="D182" s="9" t="n">
        <f aca="false">(parametros_manuales!$D$37*(datos_base!$H$2+datos_base!$H$18+IF(parametros_manuales!$H$37="Todos",datos_base!$H$9+datos_base!$H$23,0))*parametros_manuales!$D$95+parametros_manuales!$E$37*(datos_base!$H$3+datos_base!$H$19+IF(parametros_manuales!$H$37="Todos",datos_base!$H$10+datos_base!$H$24,0))*parametros_manuales!$D$100+parametros_manuales!$F$37*(datos_base!$H$4+datos_base!$H$20+IF(parametros_manuales!$H$37="Todos",datos_base!$H$11+datos_base!$H$25,0))*parametros_manuales!$D$105+parametros_manuales!$G$37*(datos_base!$H$5+datos_base!$H$21+IF(parametros_manuales!$H$37="Todos",datos_base!$H$12+datos_base!$H$26,0))*parametros_manuales!$D$110)*parametros_manuales!$I$37*parametros_manuales!$J$37</f>
        <v>13907.668113065</v>
      </c>
      <c r="E182" s="9" t="n">
        <f aca="false">(parametros_manuales!$D$37*(datos_base!$H$2+datos_base!$H$18+IF(parametros_manuales!$H$37="Todos",datos_base!$H$9+datos_base!$H$23,0))*parametros_manuales!$E$95+parametros_manuales!$E$37*(datos_base!$H$3+datos_base!$H$19+IF(parametros_manuales!$H$37="Todos",datos_base!$H$10+datos_base!$H$24,0))*parametros_manuales!$E$100+parametros_manuales!$F$37*(datos_base!$H$4+datos_base!$H$20+IF(parametros_manuales!$H$37="Todos",datos_base!$H$11+datos_base!$H$25,0))*parametros_manuales!$E$105+parametros_manuales!$G$37*(datos_base!$H$5+datos_base!$H$21+IF(parametros_manuales!$H$37="Todos",datos_base!$H$12+datos_base!$H$26,0))*parametros_manuales!$E$110)*parametros_manuales!$I$37*parametros_manuales!$J$37</f>
        <v>13299.302346765</v>
      </c>
      <c r="F182" s="9" t="n">
        <f aca="false">(parametros_manuales!$D$37*(datos_base!$H$2+datos_base!$H$18+IF(parametros_manuales!$H$37="Todos",datos_base!$H$9+datos_base!$H$23,0))*parametros_manuales!$F$95+parametros_manuales!$E$37*(datos_base!$H$3+datos_base!$H$19+IF(parametros_manuales!$H$37="Todos",datos_base!$H$10+datos_base!$H$24,0))*parametros_manuales!$F$100+parametros_manuales!$F$37*(datos_base!$H$4+datos_base!$H$20+IF(parametros_manuales!$H$37="Todos",datos_base!$H$11+datos_base!$H$25,0))*parametros_manuales!$F$105+parametros_manuales!$G$37*(datos_base!$H$5+datos_base!$H$21+IF(parametros_manuales!$H$37="Todos",datos_base!$H$12+datos_base!$H$26,0))*parametros_manuales!$F$110)*parametros_manuales!$I$37*parametros_manuales!$J$37</f>
        <v>12445.41800092</v>
      </c>
      <c r="G182" s="9" t="n">
        <f aca="false">(parametros_manuales!$D$37*(datos_base!$H$2+datos_base!$H$18+IF(parametros_manuales!$H$37="Todos",datos_base!$H$9+datos_base!$H$23,0))*parametros_manuales!$G$95+parametros_manuales!$E$37*(datos_base!$H$3+datos_base!$H$19+IF(parametros_manuales!$H$37="Todos",datos_base!$H$10+datos_base!$H$24,0))*parametros_manuales!$G$100+parametros_manuales!$F$37*(datos_base!$H$4+datos_base!$H$20+IF(parametros_manuales!$H$37="Todos",datos_base!$H$11+datos_base!$H$25,0))*parametros_manuales!$G$105+parametros_manuales!$G$37*(datos_base!$H$5+datos_base!$H$21+IF(parametros_manuales!$H$37="Todos",datos_base!$H$12+datos_base!$H$26,0))*parametros_manuales!$G$110)*parametros_manuales!$I$37*parametros_manuales!$J$37</f>
        <v>12199.899421375</v>
      </c>
      <c r="H182" s="9" t="n">
        <f aca="false">(parametros_manuales!$D$37*(datos_base!$H$2+datos_base!$H$18+IF(parametros_manuales!$H$37="Todos",datos_base!$H$9+datos_base!$H$23,0))*parametros_manuales!$H$95+parametros_manuales!$E$37*(datos_base!$H$3+datos_base!$H$19+IF(parametros_manuales!$H$37="Todos",datos_base!$H$10+datos_base!$H$24,0))*parametros_manuales!$H$100+parametros_manuales!$F$37*(datos_base!$H$4+datos_base!$H$20+IF(parametros_manuales!$H$37="Todos",datos_base!$H$11+datos_base!$H$25,0))*parametros_manuales!$H$105+parametros_manuales!$G$37*(datos_base!$H$5+datos_base!$H$21+IF(parametros_manuales!$H$37="Todos",datos_base!$H$12+datos_base!$H$26,0))*parametros_manuales!$H$110)*parametros_manuales!$I$37*parametros_manuales!$J$37</f>
        <v>13053.78376722</v>
      </c>
      <c r="I182" s="9" t="n">
        <f aca="false">(parametros_manuales!$D$37*(datos_base!$H$2+datos_base!$H$18+IF(parametros_manuales!$H$37="Todos",datos_base!$H$9+datos_base!$H$23,0))*parametros_manuales!$I$95+parametros_manuales!$E$37*(datos_base!$H$3+datos_base!$H$19+IF(parametros_manuales!$H$37="Todos",datos_base!$H$10+datos_base!$H$24,0))*parametros_manuales!$I$100+parametros_manuales!$F$37*(datos_base!$H$4+datos_base!$H$20+IF(parametros_manuales!$H$37="Todos",datos_base!$H$11+datos_base!$H$25,0))*parametros_manuales!$I$105+parametros_manuales!$G$37*(datos_base!$H$5+datos_base!$H$21+IF(parametros_manuales!$H$37="Todos",datos_base!$H$12+datos_base!$H$26,0))*parametros_manuales!$I$110)*parametros_manuales!$I$37*parametros_manuales!$J$37</f>
        <v>14878.88106612</v>
      </c>
      <c r="J182" s="9" t="n">
        <f aca="false">(parametros_manuales!$D$37*(datos_base!$H$2+datos_base!$H$18+IF(parametros_manuales!$H$37="Todos",datos_base!$H$9+datos_base!$H$23,0))*parametros_manuales!$J$95+parametros_manuales!$E$37*(datos_base!$H$3+datos_base!$H$19+IF(parametros_manuales!$H$37="Todos",datos_base!$H$10+datos_base!$H$24,0))*parametros_manuales!$J$100+parametros_manuales!$F$37*(datos_base!$H$4+datos_base!$H$20+IF(parametros_manuales!$H$37="Todos",datos_base!$H$11+datos_base!$H$25,0))*parametros_manuales!$J$105+parametros_manuales!$G$37*(datos_base!$H$5+datos_base!$H$21+IF(parametros_manuales!$H$37="Todos",datos_base!$H$12+datos_base!$H$26,0))*parametros_manuales!$J$110)*parametros_manuales!$I$37*parametros_manuales!$J$37</f>
        <v>14878.88106612</v>
      </c>
      <c r="K182" s="9" t="n">
        <f aca="false">(parametros_manuales!$D$37*(datos_base!$H$2+datos_base!$H$18+IF(parametros_manuales!$H$37="Todos",datos_base!$H$9+datos_base!$H$23,0))*parametros_manuales!$K$95+parametros_manuales!$E$37*(datos_base!$H$3+datos_base!$H$19+IF(parametros_manuales!$H$37="Todos",datos_base!$H$10+datos_base!$H$24,0))*parametros_manuales!$K$100+parametros_manuales!$F$37*(datos_base!$H$4+datos_base!$H$20+IF(parametros_manuales!$H$37="Todos",datos_base!$H$11+datos_base!$H$25,0))*parametros_manuales!$K$105+parametros_manuales!$G$37*(datos_base!$H$5+datos_base!$H$21+IF(parametros_manuales!$H$37="Todos",datos_base!$H$12+datos_base!$H$26,0))*parametros_manuales!$K$110)*parametros_manuales!$I$37*parametros_manuales!$J$37</f>
        <v>15124.399645665</v>
      </c>
      <c r="L182" s="9" t="n">
        <f aca="false">(parametros_manuales!$D$37*(datos_base!$H$2+datos_base!$H$18+IF(parametros_manuales!$H$37="Todos",datos_base!$H$9+datos_base!$H$23,0))*parametros_manuales!$L$95+parametros_manuales!$E$37*(datos_base!$H$3+datos_base!$H$19+IF(parametros_manuales!$H$37="Todos",datos_base!$H$10+datos_base!$H$24,0))*parametros_manuales!$L$100+parametros_manuales!$F$37*(datos_base!$H$4+datos_base!$H$20+IF(parametros_manuales!$H$37="Todos",datos_base!$H$11+datos_base!$H$25,0))*parametros_manuales!$L$105+parametros_manuales!$G$37*(datos_base!$H$5+datos_base!$H$21+IF(parametros_manuales!$H$37="Todos",datos_base!$H$12+datos_base!$H$26,0))*parametros_manuales!$L$110)*parametros_manuales!$I$37*parametros_manuales!$J$37</f>
        <v>15369.91822521</v>
      </c>
      <c r="M182" s="9" t="n">
        <f aca="false">(parametros_manuales!$D$37*(datos_base!$H$2+datos_base!$H$18+IF(parametros_manuales!$H$37="Todos",datos_base!$H$9+datos_base!$H$23,0))*parametros_manuales!$M$95+parametros_manuales!$E$37*(datos_base!$H$3+datos_base!$H$19+IF(parametros_manuales!$H$37="Todos",datos_base!$H$10+datos_base!$H$24,0))*parametros_manuales!$M$100+parametros_manuales!$F$37*(datos_base!$H$4+datos_base!$H$20+IF(parametros_manuales!$H$37="Todos",datos_base!$H$11+datos_base!$H$25,0))*parametros_manuales!$M$105+parametros_manuales!$G$37*(datos_base!$H$5+datos_base!$H$21+IF(parametros_manuales!$H$37="Todos",datos_base!$H$12+datos_base!$H$26,0))*parametros_manuales!$M$110)*parametros_manuales!$I$37*parametros_manuales!$J$37</f>
        <v>15369.91822521</v>
      </c>
      <c r="N182" s="9" t="n">
        <f aca="false">SUM(B182:M182)</f>
        <v>170776.869169</v>
      </c>
      <c r="O182" s="9" t="n">
        <f aca="false">MAX(B182:M182)</f>
        <v>15369.91822521</v>
      </c>
      <c r="P182" s="43" t="n">
        <f aca="false">O182/(parametros_manuales!$B$7)</f>
        <v>102.4661215014</v>
      </c>
      <c r="Q182" s="8" t="str">
        <f aca="false">IF(O182=0,"-",INDEX($B$163:$M$163,MATCH(O182,B182:M182,0)))</f>
        <v>Ene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datos_base!$H$2+datos_base!$H$18+IF(parametros_manuales!$H$38="Todos",datos_base!$H$9+datos_base!$H$23,0))*parametros_manuales!$B$95+parametros_manuales!$E$38*(datos_base!$H$3+datos_base!$H$19+IF(parametros_manuales!$H$38="Todos",datos_base!$H$10+datos_base!$H$24,0))*parametros_manuales!$B$100+parametros_manuales!$F$38*(datos_base!$H$4+datos_base!$H$20+IF(parametros_manuales!$H$38="Todos",datos_base!$H$11+datos_base!$H$25,0))*parametros_manuales!$B$105+parametros_manuales!$G$38*(datos_base!$H$5+datos_base!$H$21+IF(parametros_manuales!$H$38="Todos",datos_base!$H$12+datos_base!$H$26,0))*parametros_manuales!$B$110)*parametros_manuales!$I$38*parametros_manuales!$J$38</f>
        <v>4008.68542521</v>
      </c>
      <c r="C183" s="9" t="n">
        <f aca="false">(parametros_manuales!$D$38*(datos_base!$H$2+datos_base!$H$18+IF(parametros_manuales!$H$38="Todos",datos_base!$H$9+datos_base!$H$23,0))*parametros_manuales!$C$95+parametros_manuales!$E$38*(datos_base!$H$3+datos_base!$H$19+IF(parametros_manuales!$H$38="Todos",datos_base!$H$10+datos_base!$H$24,0))*parametros_manuales!$C$100+parametros_manuales!$F$38*(datos_base!$H$4+datos_base!$H$20+IF(parametros_manuales!$H$38="Todos",datos_base!$H$11+datos_base!$H$25,0))*parametros_manuales!$C$105+parametros_manuales!$G$38*(datos_base!$H$5+datos_base!$H$21+IF(parametros_manuales!$H$38="Todos",datos_base!$H$12+datos_base!$H$26,0))*parametros_manuales!$C$110)*parametros_manuales!$I$38*parametros_manuales!$J$38</f>
        <v>3766.60146612</v>
      </c>
      <c r="D183" s="9" t="n">
        <f aca="false">(parametros_manuales!$D$38*(datos_base!$H$2+datos_base!$H$18+IF(parametros_manuales!$H$38="Todos",datos_base!$H$9+datos_base!$H$23,0))*parametros_manuales!$D$95+parametros_manuales!$E$38*(datos_base!$H$3+datos_base!$H$19+IF(parametros_manuales!$H$38="Todos",datos_base!$H$10+datos_base!$H$24,0))*parametros_manuales!$D$100+parametros_manuales!$F$38*(datos_base!$H$4+datos_base!$H$20+IF(parametros_manuales!$H$38="Todos",datos_base!$H$11+datos_base!$H$25,0))*parametros_manuales!$D$105+parametros_manuales!$G$38*(datos_base!$H$5+datos_base!$H$21+IF(parametros_manuales!$H$38="Todos",datos_base!$H$12+datos_base!$H$26,0))*parametros_manuales!$D$110)*parametros_manuales!$I$38*parametros_manuales!$J$38</f>
        <v>3684.317913065</v>
      </c>
      <c r="E183" s="9" t="n">
        <f aca="false">(parametros_manuales!$D$38*(datos_base!$H$2+datos_base!$H$18+IF(parametros_manuales!$H$38="Todos",datos_base!$H$9+datos_base!$H$23,0))*parametros_manuales!$E$95+parametros_manuales!$E$38*(datos_base!$H$3+datos_base!$H$19+IF(parametros_manuales!$H$38="Todos",datos_base!$H$10+datos_base!$H$24,0))*parametros_manuales!$E$100+parametros_manuales!$F$38*(datos_base!$H$4+datos_base!$H$20+IF(parametros_manuales!$H$38="Todos",datos_base!$H$11+datos_base!$H$25,0))*parametros_manuales!$E$105+parametros_manuales!$G$38*(datos_base!$H$5+datos_base!$H$21+IF(parametros_manuales!$H$38="Todos",datos_base!$H$12+datos_base!$H$26,0))*parametros_manuales!$E$110)*parametros_manuales!$I$38*parametros_manuales!$J$38</f>
        <v>3582.655146765</v>
      </c>
      <c r="F183" s="9" t="n">
        <f aca="false">(parametros_manuales!$D$38*(datos_base!$H$2+datos_base!$H$18+IF(parametros_manuales!$H$38="Todos",datos_base!$H$9+datos_base!$H$23,0))*parametros_manuales!$F$95+parametros_manuales!$E$38*(datos_base!$H$3+datos_base!$H$19+IF(parametros_manuales!$H$38="Todos",datos_base!$H$10+datos_base!$H$24,0))*parametros_manuales!$F$100+parametros_manuales!$F$38*(datos_base!$H$4+datos_base!$H$20+IF(parametros_manuales!$H$38="Todos",datos_base!$H$11+datos_base!$H$25,0))*parametros_manuales!$F$105+parametros_manuales!$G$38*(datos_base!$H$5+datos_base!$H$21+IF(parametros_manuales!$H$38="Todos",datos_base!$H$12+datos_base!$H$26,0))*parametros_manuales!$F$110)*parametros_manuales!$I$38*parametros_manuales!$J$38</f>
        <v>3359.95040092</v>
      </c>
      <c r="G183" s="9" t="n">
        <f aca="false">(parametros_manuales!$D$38*(datos_base!$H$2+datos_base!$H$18+IF(parametros_manuales!$H$38="Todos",datos_base!$H$9+datos_base!$H$23,0))*parametros_manuales!$G$95+parametros_manuales!$E$38*(datos_base!$H$3+datos_base!$H$19+IF(parametros_manuales!$H$38="Todos",datos_base!$H$10+datos_base!$H$24,0))*parametros_manuales!$G$100+parametros_manuales!$F$38*(datos_base!$H$4+datos_base!$H$20+IF(parametros_manuales!$H$38="Todos",datos_base!$H$11+datos_base!$H$25,0))*parametros_manuales!$G$105+parametros_manuales!$G$38*(datos_base!$H$5+datos_base!$H$21+IF(parametros_manuales!$H$38="Todos",datos_base!$H$12+datos_base!$H$26,0))*parametros_manuales!$G$110)*parametros_manuales!$I$38*parametros_manuales!$J$38</f>
        <v>3238.908421375</v>
      </c>
      <c r="H183" s="9" t="n">
        <f aca="false">(parametros_manuales!$D$38*(datos_base!$H$2+datos_base!$H$18+IF(parametros_manuales!$H$38="Todos",datos_base!$H$9+datos_base!$H$23,0))*parametros_manuales!$H$95+parametros_manuales!$E$38*(datos_base!$H$3+datos_base!$H$19+IF(parametros_manuales!$H$38="Todos",datos_base!$H$10+datos_base!$H$24,0))*parametros_manuales!$H$100+parametros_manuales!$F$38*(datos_base!$H$4+datos_base!$H$20+IF(parametros_manuales!$H$38="Todos",datos_base!$H$11+datos_base!$H$25,0))*parametros_manuales!$H$105+parametros_manuales!$G$38*(datos_base!$H$5+datos_base!$H$21+IF(parametros_manuales!$H$38="Todos",datos_base!$H$12+datos_base!$H$26,0))*parametros_manuales!$H$110)*parametros_manuales!$I$38*parametros_manuales!$J$38</f>
        <v>3461.61316722</v>
      </c>
      <c r="I183" s="9" t="n">
        <f aca="false">(parametros_manuales!$D$38*(datos_base!$H$2+datos_base!$H$18+IF(parametros_manuales!$H$38="Todos",datos_base!$H$9+datos_base!$H$23,0))*parametros_manuales!$I$95+parametros_manuales!$E$38*(datos_base!$H$3+datos_base!$H$19+IF(parametros_manuales!$H$38="Todos",datos_base!$H$10+datos_base!$H$24,0))*parametros_manuales!$I$100+parametros_manuales!$F$38*(datos_base!$H$4+datos_base!$H$20+IF(parametros_manuales!$H$38="Todos",datos_base!$H$11+datos_base!$H$25,0))*parametros_manuales!$I$105+parametros_manuales!$G$38*(datos_base!$H$5+datos_base!$H$21+IF(parametros_manuales!$H$38="Todos",datos_base!$H$12+datos_base!$H$26,0))*parametros_manuales!$I$110)*parametros_manuales!$I$38*parametros_manuales!$J$38</f>
        <v>3766.60146612</v>
      </c>
      <c r="J183" s="9" t="n">
        <f aca="false">(parametros_manuales!$D$38*(datos_base!$H$2+datos_base!$H$18+IF(parametros_manuales!$H$38="Todos",datos_base!$H$9+datos_base!$H$23,0))*parametros_manuales!$J$95+parametros_manuales!$E$38*(datos_base!$H$3+datos_base!$H$19+IF(parametros_manuales!$H$38="Todos",datos_base!$H$10+datos_base!$H$24,0))*parametros_manuales!$J$100+parametros_manuales!$F$38*(datos_base!$H$4+datos_base!$H$20+IF(parametros_manuales!$H$38="Todos",datos_base!$H$11+datos_base!$H$25,0))*parametros_manuales!$J$105+parametros_manuales!$G$38*(datos_base!$H$5+datos_base!$H$21+IF(parametros_manuales!$H$38="Todos",datos_base!$H$12+datos_base!$H$26,0))*parametros_manuales!$J$110)*parametros_manuales!$I$38*parametros_manuales!$J$38</f>
        <v>3766.60146612</v>
      </c>
      <c r="K183" s="9" t="n">
        <f aca="false">(parametros_manuales!$D$38*(datos_base!$H$2+datos_base!$H$18+IF(parametros_manuales!$H$38="Todos",datos_base!$H$9+datos_base!$H$23,0))*parametros_manuales!$K$95+parametros_manuales!$E$38*(datos_base!$H$3+datos_base!$H$19+IF(parametros_manuales!$H$38="Todos",datos_base!$H$10+datos_base!$H$24,0))*parametros_manuales!$K$100+parametros_manuales!$F$38*(datos_base!$H$4+datos_base!$H$20+IF(parametros_manuales!$H$38="Todos",datos_base!$H$11+datos_base!$H$25,0))*parametros_manuales!$K$105+parametros_manuales!$G$38*(datos_base!$H$5+datos_base!$H$21+IF(parametros_manuales!$H$38="Todos",datos_base!$H$12+datos_base!$H$26,0))*parametros_manuales!$K$110)*parametros_manuales!$I$38*parametros_manuales!$J$38</f>
        <v>3887.643445665</v>
      </c>
      <c r="L183" s="9" t="n">
        <f aca="false">(parametros_manuales!$D$38*(datos_base!$H$2+datos_base!$H$18+IF(parametros_manuales!$H$38="Todos",datos_base!$H$9+datos_base!$H$23,0))*parametros_manuales!$L$95+parametros_manuales!$E$38*(datos_base!$H$3+datos_base!$H$19+IF(parametros_manuales!$H$38="Todos",datos_base!$H$10+datos_base!$H$24,0))*parametros_manuales!$L$100+parametros_manuales!$F$38*(datos_base!$H$4+datos_base!$H$20+IF(parametros_manuales!$H$38="Todos",datos_base!$H$11+datos_base!$H$25,0))*parametros_manuales!$L$105+parametros_manuales!$G$38*(datos_base!$H$5+datos_base!$H$21+IF(parametros_manuales!$H$38="Todos",datos_base!$H$12+datos_base!$H$26,0))*parametros_manuales!$L$110)*parametros_manuales!$I$38*parametros_manuales!$J$38</f>
        <v>4008.68542521</v>
      </c>
      <c r="M183" s="9" t="n">
        <f aca="false">(parametros_manuales!$D$38*(datos_base!$H$2+datos_base!$H$18+IF(parametros_manuales!$H$38="Todos",datos_base!$H$9+datos_base!$H$23,0))*parametros_manuales!$M$95+parametros_manuales!$E$38*(datos_base!$H$3+datos_base!$H$19+IF(parametros_manuales!$H$38="Todos",datos_base!$H$10+datos_base!$H$24,0))*parametros_manuales!$M$100+parametros_manuales!$F$38*(datos_base!$H$4+datos_base!$H$20+IF(parametros_manuales!$H$38="Todos",datos_base!$H$11+datos_base!$H$25,0))*parametros_manuales!$M$105+parametros_manuales!$G$38*(datos_base!$H$5+datos_base!$H$21+IF(parametros_manuales!$H$38="Todos",datos_base!$H$12+datos_base!$H$26,0))*parametros_manuales!$M$110)*parametros_manuales!$I$38*parametros_manuales!$J$38</f>
        <v>4008.68542521</v>
      </c>
      <c r="N183" s="9" t="n">
        <f aca="false">SUM(B183:M183)</f>
        <v>44540.949169</v>
      </c>
      <c r="O183" s="9" t="n">
        <f aca="false">MAX(B183:M183)</f>
        <v>4008.68542521</v>
      </c>
      <c r="P183" s="43" t="n">
        <f aca="false">O183/(parametros_manuales!$B$7)</f>
        <v>26.7245695014</v>
      </c>
      <c r="Q183" s="8" t="str">
        <f aca="false">IF(O183=0,"-",INDEX($B$163:$M$163,MATCH(O183,B183:M183,0)))</f>
        <v>Ene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datos_base!$H$2+datos_base!$H$18+IF(parametros_manuales!$H$39="Todos",datos_base!$H$9+datos_base!$H$23,0))*parametros_manuales!$B$95+parametros_manuales!$E$39*(datos_base!$H$3+datos_base!$H$19+IF(parametros_manuales!$H$39="Todos",datos_base!$H$10+datos_base!$H$24,0))*parametros_manuales!$B$100+parametros_manuales!$F$39*(datos_base!$H$4+datos_base!$H$20+IF(parametros_manuales!$H$39="Todos",datos_base!$H$11+datos_base!$H$25,0))*parametros_manuales!$B$105+parametros_manuales!$G$39*(datos_base!$H$5+datos_base!$H$21+IF(parametros_manuales!$H$39="Todos",datos_base!$H$12+datos_base!$H$26,0))*parametros_manuales!$B$110)*parametros_manuales!$I$39*parametros_manuales!$J$39</f>
        <v>4008.68542521</v>
      </c>
      <c r="C184" s="9" t="n">
        <f aca="false">(parametros_manuales!$D$39*(datos_base!$H$2+datos_base!$H$18+IF(parametros_manuales!$H$39="Todos",datos_base!$H$9+datos_base!$H$23,0))*parametros_manuales!$C$95+parametros_manuales!$E$39*(datos_base!$H$3+datos_base!$H$19+IF(parametros_manuales!$H$39="Todos",datos_base!$H$10+datos_base!$H$24,0))*parametros_manuales!$C$100+parametros_manuales!$F$39*(datos_base!$H$4+datos_base!$H$20+IF(parametros_manuales!$H$39="Todos",datos_base!$H$11+datos_base!$H$25,0))*parametros_manuales!$C$105+parametros_manuales!$G$39*(datos_base!$H$5+datos_base!$H$21+IF(parametros_manuales!$H$39="Todos",datos_base!$H$12+datos_base!$H$26,0))*parametros_manuales!$C$110)*parametros_manuales!$I$39*parametros_manuales!$J$39</f>
        <v>3766.60146612</v>
      </c>
      <c r="D184" s="9" t="n">
        <f aca="false">(parametros_manuales!$D$39*(datos_base!$H$2+datos_base!$H$18+IF(parametros_manuales!$H$39="Todos",datos_base!$H$9+datos_base!$H$23,0))*parametros_manuales!$D$95+parametros_manuales!$E$39*(datos_base!$H$3+datos_base!$H$19+IF(parametros_manuales!$H$39="Todos",datos_base!$H$10+datos_base!$H$24,0))*parametros_manuales!$D$100+parametros_manuales!$F$39*(datos_base!$H$4+datos_base!$H$20+IF(parametros_manuales!$H$39="Todos",datos_base!$H$11+datos_base!$H$25,0))*parametros_manuales!$D$105+parametros_manuales!$G$39*(datos_base!$H$5+datos_base!$H$21+IF(parametros_manuales!$H$39="Todos",datos_base!$H$12+datos_base!$H$26,0))*parametros_manuales!$D$110)*parametros_manuales!$I$39*parametros_manuales!$J$39</f>
        <v>3684.317913065</v>
      </c>
      <c r="E184" s="9" t="n">
        <f aca="false">(parametros_manuales!$D$39*(datos_base!$H$2+datos_base!$H$18+IF(parametros_manuales!$H$39="Todos",datos_base!$H$9+datos_base!$H$23,0))*parametros_manuales!$E$95+parametros_manuales!$E$39*(datos_base!$H$3+datos_base!$H$19+IF(parametros_manuales!$H$39="Todos",datos_base!$H$10+datos_base!$H$24,0))*parametros_manuales!$E$100+parametros_manuales!$F$39*(datos_base!$H$4+datos_base!$H$20+IF(parametros_manuales!$H$39="Todos",datos_base!$H$11+datos_base!$H$25,0))*parametros_manuales!$E$105+parametros_manuales!$G$39*(datos_base!$H$5+datos_base!$H$21+IF(parametros_manuales!$H$39="Todos",datos_base!$H$12+datos_base!$H$26,0))*parametros_manuales!$E$110)*parametros_manuales!$I$39*parametros_manuales!$J$39</f>
        <v>3582.655146765</v>
      </c>
      <c r="F184" s="9" t="n">
        <f aca="false">(parametros_manuales!$D$39*(datos_base!$H$2+datos_base!$H$18+IF(parametros_manuales!$H$39="Todos",datos_base!$H$9+datos_base!$H$23,0))*parametros_manuales!$F$95+parametros_manuales!$E$39*(datos_base!$H$3+datos_base!$H$19+IF(parametros_manuales!$H$39="Todos",datos_base!$H$10+datos_base!$H$24,0))*parametros_manuales!$F$100+parametros_manuales!$F$39*(datos_base!$H$4+datos_base!$H$20+IF(parametros_manuales!$H$39="Todos",datos_base!$H$11+datos_base!$H$25,0))*parametros_manuales!$F$105+parametros_manuales!$G$39*(datos_base!$H$5+datos_base!$H$21+IF(parametros_manuales!$H$39="Todos",datos_base!$H$12+datos_base!$H$26,0))*parametros_manuales!$F$110)*parametros_manuales!$I$39*parametros_manuales!$J$39</f>
        <v>3359.95040092</v>
      </c>
      <c r="G184" s="9" t="n">
        <f aca="false">(parametros_manuales!$D$39*(datos_base!$H$2+datos_base!$H$18+IF(parametros_manuales!$H$39="Todos",datos_base!$H$9+datos_base!$H$23,0))*parametros_manuales!$G$95+parametros_manuales!$E$39*(datos_base!$H$3+datos_base!$H$19+IF(parametros_manuales!$H$39="Todos",datos_base!$H$10+datos_base!$H$24,0))*parametros_manuales!$G$100+parametros_manuales!$F$39*(datos_base!$H$4+datos_base!$H$20+IF(parametros_manuales!$H$39="Todos",datos_base!$H$11+datos_base!$H$25,0))*parametros_manuales!$G$105+parametros_manuales!$G$39*(datos_base!$H$5+datos_base!$H$21+IF(parametros_manuales!$H$39="Todos",datos_base!$H$12+datos_base!$H$26,0))*parametros_manuales!$G$110)*parametros_manuales!$I$39*parametros_manuales!$J$39</f>
        <v>3238.908421375</v>
      </c>
      <c r="H184" s="9" t="n">
        <f aca="false">(parametros_manuales!$D$39*(datos_base!$H$2+datos_base!$H$18+IF(parametros_manuales!$H$39="Todos",datos_base!$H$9+datos_base!$H$23,0))*parametros_manuales!$H$95+parametros_manuales!$E$39*(datos_base!$H$3+datos_base!$H$19+IF(parametros_manuales!$H$39="Todos",datos_base!$H$10+datos_base!$H$24,0))*parametros_manuales!$H$100+parametros_manuales!$F$39*(datos_base!$H$4+datos_base!$H$20+IF(parametros_manuales!$H$39="Todos",datos_base!$H$11+datos_base!$H$25,0))*parametros_manuales!$H$105+parametros_manuales!$G$39*(datos_base!$H$5+datos_base!$H$21+IF(parametros_manuales!$H$39="Todos",datos_base!$H$12+datos_base!$H$26,0))*parametros_manuales!$H$110)*parametros_manuales!$I$39*parametros_manuales!$J$39</f>
        <v>3461.61316722</v>
      </c>
      <c r="I184" s="9" t="n">
        <f aca="false">(parametros_manuales!$D$39*(datos_base!$H$2+datos_base!$H$18+IF(parametros_manuales!$H$39="Todos",datos_base!$H$9+datos_base!$H$23,0))*parametros_manuales!$I$95+parametros_manuales!$E$39*(datos_base!$H$3+datos_base!$H$19+IF(parametros_manuales!$H$39="Todos",datos_base!$H$10+datos_base!$H$24,0))*parametros_manuales!$I$100+parametros_manuales!$F$39*(datos_base!$H$4+datos_base!$H$20+IF(parametros_manuales!$H$39="Todos",datos_base!$H$11+datos_base!$H$25,0))*parametros_manuales!$I$105+parametros_manuales!$G$39*(datos_base!$H$5+datos_base!$H$21+IF(parametros_manuales!$H$39="Todos",datos_base!$H$12+datos_base!$H$26,0))*parametros_manuales!$I$110)*parametros_manuales!$I$39*parametros_manuales!$J$39</f>
        <v>3766.60146612</v>
      </c>
      <c r="J184" s="9" t="n">
        <f aca="false">(parametros_manuales!$D$39*(datos_base!$H$2+datos_base!$H$18+IF(parametros_manuales!$H$39="Todos",datos_base!$H$9+datos_base!$H$23,0))*parametros_manuales!$J$95+parametros_manuales!$E$39*(datos_base!$H$3+datos_base!$H$19+IF(parametros_manuales!$H$39="Todos",datos_base!$H$10+datos_base!$H$24,0))*parametros_manuales!$J$100+parametros_manuales!$F$39*(datos_base!$H$4+datos_base!$H$20+IF(parametros_manuales!$H$39="Todos",datos_base!$H$11+datos_base!$H$25,0))*parametros_manuales!$J$105+parametros_manuales!$G$39*(datos_base!$H$5+datos_base!$H$21+IF(parametros_manuales!$H$39="Todos",datos_base!$H$12+datos_base!$H$26,0))*parametros_manuales!$J$110)*parametros_manuales!$I$39*parametros_manuales!$J$39</f>
        <v>3766.60146612</v>
      </c>
      <c r="K184" s="9" t="n">
        <f aca="false">(parametros_manuales!$D$39*(datos_base!$H$2+datos_base!$H$18+IF(parametros_manuales!$H$39="Todos",datos_base!$H$9+datos_base!$H$23,0))*parametros_manuales!$K$95+parametros_manuales!$E$39*(datos_base!$H$3+datos_base!$H$19+IF(parametros_manuales!$H$39="Todos",datos_base!$H$10+datos_base!$H$24,0))*parametros_manuales!$K$100+parametros_manuales!$F$39*(datos_base!$H$4+datos_base!$H$20+IF(parametros_manuales!$H$39="Todos",datos_base!$H$11+datos_base!$H$25,0))*parametros_manuales!$K$105+parametros_manuales!$G$39*(datos_base!$H$5+datos_base!$H$21+IF(parametros_manuales!$H$39="Todos",datos_base!$H$12+datos_base!$H$26,0))*parametros_manuales!$K$110)*parametros_manuales!$I$39*parametros_manuales!$J$39</f>
        <v>3887.643445665</v>
      </c>
      <c r="L184" s="9" t="n">
        <f aca="false">(parametros_manuales!$D$39*(datos_base!$H$2+datos_base!$H$18+IF(parametros_manuales!$H$39="Todos",datos_base!$H$9+datos_base!$H$23,0))*parametros_manuales!$L$95+parametros_manuales!$E$39*(datos_base!$H$3+datos_base!$H$19+IF(parametros_manuales!$H$39="Todos",datos_base!$H$10+datos_base!$H$24,0))*parametros_manuales!$L$100+parametros_manuales!$F$39*(datos_base!$H$4+datos_base!$H$20+IF(parametros_manuales!$H$39="Todos",datos_base!$H$11+datos_base!$H$25,0))*parametros_manuales!$L$105+parametros_manuales!$G$39*(datos_base!$H$5+datos_base!$H$21+IF(parametros_manuales!$H$39="Todos",datos_base!$H$12+datos_base!$H$26,0))*parametros_manuales!$L$110)*parametros_manuales!$I$39*parametros_manuales!$J$39</f>
        <v>4008.68542521</v>
      </c>
      <c r="M184" s="9" t="n">
        <f aca="false">(parametros_manuales!$D$39*(datos_base!$H$2+datos_base!$H$18+IF(parametros_manuales!$H$39="Todos",datos_base!$H$9+datos_base!$H$23,0))*parametros_manuales!$M$95+parametros_manuales!$E$39*(datos_base!$H$3+datos_base!$H$19+IF(parametros_manuales!$H$39="Todos",datos_base!$H$10+datos_base!$H$24,0))*parametros_manuales!$M$100+parametros_manuales!$F$39*(datos_base!$H$4+datos_base!$H$20+IF(parametros_manuales!$H$39="Todos",datos_base!$H$11+datos_base!$H$25,0))*parametros_manuales!$M$105+parametros_manuales!$G$39*(datos_base!$H$5+datos_base!$H$21+IF(parametros_manuales!$H$39="Todos",datos_base!$H$12+datos_base!$H$26,0))*parametros_manuales!$M$110)*parametros_manuales!$I$39*parametros_manuales!$J$39</f>
        <v>4008.68542521</v>
      </c>
      <c r="N184" s="9" t="n">
        <f aca="false">SUM(B184:M184)</f>
        <v>44540.949169</v>
      </c>
      <c r="O184" s="9" t="n">
        <f aca="false">MAX(B184:M184)</f>
        <v>4008.68542521</v>
      </c>
      <c r="P184" s="43" t="n">
        <f aca="false">O184/(parametros_manuales!$B$7)</f>
        <v>26.7245695014</v>
      </c>
      <c r="Q184" s="8" t="str">
        <f aca="false">IF(O184=0,"-",INDEX($B$163:$M$163,MATCH(O184,B184:M184,0)))</f>
        <v>Ene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datos_base!$H$2+datos_base!$H$18+IF(parametros_manuales!$H$40="Todos",datos_base!$H$9+datos_base!$H$23,0))*parametros_manuales!$B$95+parametros_manuales!$E$40*(datos_base!$H$3+datos_base!$H$19+IF(parametros_manuales!$H$40="Todos",datos_base!$H$10+datos_base!$H$24,0))*parametros_manuales!$B$100+parametros_manuales!$F$40*(datos_base!$H$4+datos_base!$H$20+IF(parametros_manuales!$H$40="Todos",datos_base!$H$11+datos_base!$H$25,0))*parametros_manuales!$B$105+parametros_manuales!$G$40*(datos_base!$H$5+datos_base!$H$21+IF(parametros_manuales!$H$40="Todos",datos_base!$H$12+datos_base!$H$26,0))*parametros_manuales!$B$110)*parametros_manuales!$I$40*parametros_manuales!$J$40</f>
        <v>4008.68542521</v>
      </c>
      <c r="C185" s="9" t="n">
        <f aca="false">(parametros_manuales!$D$40*(datos_base!$H$2+datos_base!$H$18+IF(parametros_manuales!$H$40="Todos",datos_base!$H$9+datos_base!$H$23,0))*parametros_manuales!$C$95+parametros_manuales!$E$40*(datos_base!$H$3+datos_base!$H$19+IF(parametros_manuales!$H$40="Todos",datos_base!$H$10+datos_base!$H$24,0))*parametros_manuales!$C$100+parametros_manuales!$F$40*(datos_base!$H$4+datos_base!$H$20+IF(parametros_manuales!$H$40="Todos",datos_base!$H$11+datos_base!$H$25,0))*parametros_manuales!$C$105+parametros_manuales!$G$40*(datos_base!$H$5+datos_base!$H$21+IF(parametros_manuales!$H$40="Todos",datos_base!$H$12+datos_base!$H$26,0))*parametros_manuales!$C$110)*parametros_manuales!$I$40*parametros_manuales!$J$40</f>
        <v>3766.60146612</v>
      </c>
      <c r="D185" s="9" t="n">
        <f aca="false">(parametros_manuales!$D$40*(datos_base!$H$2+datos_base!$H$18+IF(parametros_manuales!$H$40="Todos",datos_base!$H$9+datos_base!$H$23,0))*parametros_manuales!$D$95+parametros_manuales!$E$40*(datos_base!$H$3+datos_base!$H$19+IF(parametros_manuales!$H$40="Todos",datos_base!$H$10+datos_base!$H$24,0))*parametros_manuales!$D$100+parametros_manuales!$F$40*(datos_base!$H$4+datos_base!$H$20+IF(parametros_manuales!$H$40="Todos",datos_base!$H$11+datos_base!$H$25,0))*parametros_manuales!$D$105+parametros_manuales!$G$40*(datos_base!$H$5+datos_base!$H$21+IF(parametros_manuales!$H$40="Todos",datos_base!$H$12+datos_base!$H$26,0))*parametros_manuales!$D$110)*parametros_manuales!$I$40*parametros_manuales!$J$40</f>
        <v>3684.317913065</v>
      </c>
      <c r="E185" s="9" t="n">
        <f aca="false">(parametros_manuales!$D$40*(datos_base!$H$2+datos_base!$H$18+IF(parametros_manuales!$H$40="Todos",datos_base!$H$9+datos_base!$H$23,0))*parametros_manuales!$E$95+parametros_manuales!$E$40*(datos_base!$H$3+datos_base!$H$19+IF(parametros_manuales!$H$40="Todos",datos_base!$H$10+datos_base!$H$24,0))*parametros_manuales!$E$100+parametros_manuales!$F$40*(datos_base!$H$4+datos_base!$H$20+IF(parametros_manuales!$H$40="Todos",datos_base!$H$11+datos_base!$H$25,0))*parametros_manuales!$E$105+parametros_manuales!$G$40*(datos_base!$H$5+datos_base!$H$21+IF(parametros_manuales!$H$40="Todos",datos_base!$H$12+datos_base!$H$26,0))*parametros_manuales!$E$110)*parametros_manuales!$I$40*parametros_manuales!$J$40</f>
        <v>3582.655146765</v>
      </c>
      <c r="F185" s="9" t="n">
        <f aca="false">(parametros_manuales!$D$40*(datos_base!$H$2+datos_base!$H$18+IF(parametros_manuales!$H$40="Todos",datos_base!$H$9+datos_base!$H$23,0))*parametros_manuales!$F$95+parametros_manuales!$E$40*(datos_base!$H$3+datos_base!$H$19+IF(parametros_manuales!$H$40="Todos",datos_base!$H$10+datos_base!$H$24,0))*parametros_manuales!$F$100+parametros_manuales!$F$40*(datos_base!$H$4+datos_base!$H$20+IF(parametros_manuales!$H$40="Todos",datos_base!$H$11+datos_base!$H$25,0))*parametros_manuales!$F$105+parametros_manuales!$G$40*(datos_base!$H$5+datos_base!$H$21+IF(parametros_manuales!$H$40="Todos",datos_base!$H$12+datos_base!$H$26,0))*parametros_manuales!$F$110)*parametros_manuales!$I$40*parametros_manuales!$J$40</f>
        <v>3359.95040092</v>
      </c>
      <c r="G185" s="9" t="n">
        <f aca="false">(parametros_manuales!$D$40*(datos_base!$H$2+datos_base!$H$18+IF(parametros_manuales!$H$40="Todos",datos_base!$H$9+datos_base!$H$23,0))*parametros_manuales!$G$95+parametros_manuales!$E$40*(datos_base!$H$3+datos_base!$H$19+IF(parametros_manuales!$H$40="Todos",datos_base!$H$10+datos_base!$H$24,0))*parametros_manuales!$G$100+parametros_manuales!$F$40*(datos_base!$H$4+datos_base!$H$20+IF(parametros_manuales!$H$40="Todos",datos_base!$H$11+datos_base!$H$25,0))*parametros_manuales!$G$105+parametros_manuales!$G$40*(datos_base!$H$5+datos_base!$H$21+IF(parametros_manuales!$H$40="Todos",datos_base!$H$12+datos_base!$H$26,0))*parametros_manuales!$G$110)*parametros_manuales!$I$40*parametros_manuales!$J$40</f>
        <v>3238.908421375</v>
      </c>
      <c r="H185" s="9" t="n">
        <f aca="false">(parametros_manuales!$D$40*(datos_base!$H$2+datos_base!$H$18+IF(parametros_manuales!$H$40="Todos",datos_base!$H$9+datos_base!$H$23,0))*parametros_manuales!$H$95+parametros_manuales!$E$40*(datos_base!$H$3+datos_base!$H$19+IF(parametros_manuales!$H$40="Todos",datos_base!$H$10+datos_base!$H$24,0))*parametros_manuales!$H$100+parametros_manuales!$F$40*(datos_base!$H$4+datos_base!$H$20+IF(parametros_manuales!$H$40="Todos",datos_base!$H$11+datos_base!$H$25,0))*parametros_manuales!$H$105+parametros_manuales!$G$40*(datos_base!$H$5+datos_base!$H$21+IF(parametros_manuales!$H$40="Todos",datos_base!$H$12+datos_base!$H$26,0))*parametros_manuales!$H$110)*parametros_manuales!$I$40*parametros_manuales!$J$40</f>
        <v>3461.61316722</v>
      </c>
      <c r="I185" s="9" t="n">
        <f aca="false">(parametros_manuales!$D$40*(datos_base!$H$2+datos_base!$H$18+IF(parametros_manuales!$H$40="Todos",datos_base!$H$9+datos_base!$H$23,0))*parametros_manuales!$I$95+parametros_manuales!$E$40*(datos_base!$H$3+datos_base!$H$19+IF(parametros_manuales!$H$40="Todos",datos_base!$H$10+datos_base!$H$24,0))*parametros_manuales!$I$100+parametros_manuales!$F$40*(datos_base!$H$4+datos_base!$H$20+IF(parametros_manuales!$H$40="Todos",datos_base!$H$11+datos_base!$H$25,0))*parametros_manuales!$I$105+parametros_manuales!$G$40*(datos_base!$H$5+datos_base!$H$21+IF(parametros_manuales!$H$40="Todos",datos_base!$H$12+datos_base!$H$26,0))*parametros_manuales!$I$110)*parametros_manuales!$I$40*parametros_manuales!$J$40</f>
        <v>3766.60146612</v>
      </c>
      <c r="J185" s="9" t="n">
        <f aca="false">(parametros_manuales!$D$40*(datos_base!$H$2+datos_base!$H$18+IF(parametros_manuales!$H$40="Todos",datos_base!$H$9+datos_base!$H$23,0))*parametros_manuales!$J$95+parametros_manuales!$E$40*(datos_base!$H$3+datos_base!$H$19+IF(parametros_manuales!$H$40="Todos",datos_base!$H$10+datos_base!$H$24,0))*parametros_manuales!$J$100+parametros_manuales!$F$40*(datos_base!$H$4+datos_base!$H$20+IF(parametros_manuales!$H$40="Todos",datos_base!$H$11+datos_base!$H$25,0))*parametros_manuales!$J$105+parametros_manuales!$G$40*(datos_base!$H$5+datos_base!$H$21+IF(parametros_manuales!$H$40="Todos",datos_base!$H$12+datos_base!$H$26,0))*parametros_manuales!$J$110)*parametros_manuales!$I$40*parametros_manuales!$J$40</f>
        <v>3766.60146612</v>
      </c>
      <c r="K185" s="9" t="n">
        <f aca="false">(parametros_manuales!$D$40*(datos_base!$H$2+datos_base!$H$18+IF(parametros_manuales!$H$40="Todos",datos_base!$H$9+datos_base!$H$23,0))*parametros_manuales!$K$95+parametros_manuales!$E$40*(datos_base!$H$3+datos_base!$H$19+IF(parametros_manuales!$H$40="Todos",datos_base!$H$10+datos_base!$H$24,0))*parametros_manuales!$K$100+parametros_manuales!$F$40*(datos_base!$H$4+datos_base!$H$20+IF(parametros_manuales!$H$40="Todos",datos_base!$H$11+datos_base!$H$25,0))*parametros_manuales!$K$105+parametros_manuales!$G$40*(datos_base!$H$5+datos_base!$H$21+IF(parametros_manuales!$H$40="Todos",datos_base!$H$12+datos_base!$H$26,0))*parametros_manuales!$K$110)*parametros_manuales!$I$40*parametros_manuales!$J$40</f>
        <v>3887.643445665</v>
      </c>
      <c r="L185" s="9" t="n">
        <f aca="false">(parametros_manuales!$D$40*(datos_base!$H$2+datos_base!$H$18+IF(parametros_manuales!$H$40="Todos",datos_base!$H$9+datos_base!$H$23,0))*parametros_manuales!$L$95+parametros_manuales!$E$40*(datos_base!$H$3+datos_base!$H$19+IF(parametros_manuales!$H$40="Todos",datos_base!$H$10+datos_base!$H$24,0))*parametros_manuales!$L$100+parametros_manuales!$F$40*(datos_base!$H$4+datos_base!$H$20+IF(parametros_manuales!$H$40="Todos",datos_base!$H$11+datos_base!$H$25,0))*parametros_manuales!$L$105+parametros_manuales!$G$40*(datos_base!$H$5+datos_base!$H$21+IF(parametros_manuales!$H$40="Todos",datos_base!$H$12+datos_base!$H$26,0))*parametros_manuales!$L$110)*parametros_manuales!$I$40*parametros_manuales!$J$40</f>
        <v>4008.68542521</v>
      </c>
      <c r="M185" s="9" t="n">
        <f aca="false">(parametros_manuales!$D$40*(datos_base!$H$2+datos_base!$H$18+IF(parametros_manuales!$H$40="Todos",datos_base!$H$9+datos_base!$H$23,0))*parametros_manuales!$M$95+parametros_manuales!$E$40*(datos_base!$H$3+datos_base!$H$19+IF(parametros_manuales!$H$40="Todos",datos_base!$H$10+datos_base!$H$24,0))*parametros_manuales!$M$100+parametros_manuales!$F$40*(datos_base!$H$4+datos_base!$H$20+IF(parametros_manuales!$H$40="Todos",datos_base!$H$11+datos_base!$H$25,0))*parametros_manuales!$M$105+parametros_manuales!$G$40*(datos_base!$H$5+datos_base!$H$21+IF(parametros_manuales!$H$40="Todos",datos_base!$H$12+datos_base!$H$26,0))*parametros_manuales!$M$110)*parametros_manuales!$I$40*parametros_manuales!$J$40</f>
        <v>4008.68542521</v>
      </c>
      <c r="N185" s="9" t="n">
        <f aca="false">SUM(B185:M185)</f>
        <v>44540.949169</v>
      </c>
      <c r="O185" s="9" t="n">
        <f aca="false">MAX(B185:M185)</f>
        <v>4008.68542521</v>
      </c>
      <c r="P185" s="43" t="n">
        <f aca="false">O185/(parametros_manuales!$B$7)</f>
        <v>26.7245695014</v>
      </c>
      <c r="Q185" s="8" t="str">
        <f aca="false">IF(O185=0,"-",INDEX($B$163:$M$163,MATCH(O185,B185:M185,0)))</f>
        <v>Ene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datos_base!$H$2+datos_base!$H$18+IF(parametros_manuales!$H$41="Todos",datos_base!$H$9+datos_base!$H$23,0))*parametros_manuales!$B$95+parametros_manuales!$E$41*(datos_base!$H$3+datos_base!$H$19+IF(parametros_manuales!$H$41="Todos",datos_base!$H$10+datos_base!$H$24,0))*parametros_manuales!$B$100+parametros_manuales!$F$41*(datos_base!$H$4+datos_base!$H$20+IF(parametros_manuales!$H$41="Todos",datos_base!$H$11+datos_base!$H$25,0))*parametros_manuales!$B$105+parametros_manuales!$G$41*(datos_base!$H$5+datos_base!$H$21+IF(parametros_manuales!$H$41="Todos",datos_base!$H$12+datos_base!$H$26,0))*parametros_manuales!$B$110)*parametros_manuales!$I$41*parametros_manuales!$J$41</f>
        <v>4008.68542521</v>
      </c>
      <c r="C186" s="9" t="n">
        <f aca="false">(parametros_manuales!$D$41*(datos_base!$H$2+datos_base!$H$18+IF(parametros_manuales!$H$41="Todos",datos_base!$H$9+datos_base!$H$23,0))*parametros_manuales!$C$95+parametros_manuales!$E$41*(datos_base!$H$3+datos_base!$H$19+IF(parametros_manuales!$H$41="Todos",datos_base!$H$10+datos_base!$H$24,0))*parametros_manuales!$C$100+parametros_manuales!$F$41*(datos_base!$H$4+datos_base!$H$20+IF(parametros_manuales!$H$41="Todos",datos_base!$H$11+datos_base!$H$25,0))*parametros_manuales!$C$105+parametros_manuales!$G$41*(datos_base!$H$5+datos_base!$H$21+IF(parametros_manuales!$H$41="Todos",datos_base!$H$12+datos_base!$H$26,0))*parametros_manuales!$C$110)*parametros_manuales!$I$41*parametros_manuales!$J$41</f>
        <v>3766.60146612</v>
      </c>
      <c r="D186" s="9" t="n">
        <f aca="false">(parametros_manuales!$D$41*(datos_base!$H$2+datos_base!$H$18+IF(parametros_manuales!$H$41="Todos",datos_base!$H$9+datos_base!$H$23,0))*parametros_manuales!$D$95+parametros_manuales!$E$41*(datos_base!$H$3+datos_base!$H$19+IF(parametros_manuales!$H$41="Todos",datos_base!$H$10+datos_base!$H$24,0))*parametros_manuales!$D$100+parametros_manuales!$F$41*(datos_base!$H$4+datos_base!$H$20+IF(parametros_manuales!$H$41="Todos",datos_base!$H$11+datos_base!$H$25,0))*parametros_manuales!$D$105+parametros_manuales!$G$41*(datos_base!$H$5+datos_base!$H$21+IF(parametros_manuales!$H$41="Todos",datos_base!$H$12+datos_base!$H$26,0))*parametros_manuales!$D$110)*parametros_manuales!$I$41*parametros_manuales!$J$41</f>
        <v>3684.317913065</v>
      </c>
      <c r="E186" s="9" t="n">
        <f aca="false">(parametros_manuales!$D$41*(datos_base!$H$2+datos_base!$H$18+IF(parametros_manuales!$H$41="Todos",datos_base!$H$9+datos_base!$H$23,0))*parametros_manuales!$E$95+parametros_manuales!$E$41*(datos_base!$H$3+datos_base!$H$19+IF(parametros_manuales!$H$41="Todos",datos_base!$H$10+datos_base!$H$24,0))*parametros_manuales!$E$100+parametros_manuales!$F$41*(datos_base!$H$4+datos_base!$H$20+IF(parametros_manuales!$H$41="Todos",datos_base!$H$11+datos_base!$H$25,0))*parametros_manuales!$E$105+parametros_manuales!$G$41*(datos_base!$H$5+datos_base!$H$21+IF(parametros_manuales!$H$41="Todos",datos_base!$H$12+datos_base!$H$26,0))*parametros_manuales!$E$110)*parametros_manuales!$I$41*parametros_manuales!$J$41</f>
        <v>3582.655146765</v>
      </c>
      <c r="F186" s="9" t="n">
        <f aca="false">(parametros_manuales!$D$41*(datos_base!$H$2+datos_base!$H$18+IF(parametros_manuales!$H$41="Todos",datos_base!$H$9+datos_base!$H$23,0))*parametros_manuales!$F$95+parametros_manuales!$E$41*(datos_base!$H$3+datos_base!$H$19+IF(parametros_manuales!$H$41="Todos",datos_base!$H$10+datos_base!$H$24,0))*parametros_manuales!$F$100+parametros_manuales!$F$41*(datos_base!$H$4+datos_base!$H$20+IF(parametros_manuales!$H$41="Todos",datos_base!$H$11+datos_base!$H$25,0))*parametros_manuales!$F$105+parametros_manuales!$G$41*(datos_base!$H$5+datos_base!$H$21+IF(parametros_manuales!$H$41="Todos",datos_base!$H$12+datos_base!$H$26,0))*parametros_manuales!$F$110)*parametros_manuales!$I$41*parametros_manuales!$J$41</f>
        <v>3359.95040092</v>
      </c>
      <c r="G186" s="9" t="n">
        <f aca="false">(parametros_manuales!$D$41*(datos_base!$H$2+datos_base!$H$18+IF(parametros_manuales!$H$41="Todos",datos_base!$H$9+datos_base!$H$23,0))*parametros_manuales!$G$95+parametros_manuales!$E$41*(datos_base!$H$3+datos_base!$H$19+IF(parametros_manuales!$H$41="Todos",datos_base!$H$10+datos_base!$H$24,0))*parametros_manuales!$G$100+parametros_manuales!$F$41*(datos_base!$H$4+datos_base!$H$20+IF(parametros_manuales!$H$41="Todos",datos_base!$H$11+datos_base!$H$25,0))*parametros_manuales!$G$105+parametros_manuales!$G$41*(datos_base!$H$5+datos_base!$H$21+IF(parametros_manuales!$H$41="Todos",datos_base!$H$12+datos_base!$H$26,0))*parametros_manuales!$G$110)*parametros_manuales!$I$41*parametros_manuales!$J$41</f>
        <v>3238.908421375</v>
      </c>
      <c r="H186" s="9" t="n">
        <f aca="false">(parametros_manuales!$D$41*(datos_base!$H$2+datos_base!$H$18+IF(parametros_manuales!$H$41="Todos",datos_base!$H$9+datos_base!$H$23,0))*parametros_manuales!$H$95+parametros_manuales!$E$41*(datos_base!$H$3+datos_base!$H$19+IF(parametros_manuales!$H$41="Todos",datos_base!$H$10+datos_base!$H$24,0))*parametros_manuales!$H$100+parametros_manuales!$F$41*(datos_base!$H$4+datos_base!$H$20+IF(parametros_manuales!$H$41="Todos",datos_base!$H$11+datos_base!$H$25,0))*parametros_manuales!$H$105+parametros_manuales!$G$41*(datos_base!$H$5+datos_base!$H$21+IF(parametros_manuales!$H$41="Todos",datos_base!$H$12+datos_base!$H$26,0))*parametros_manuales!$H$110)*parametros_manuales!$I$41*parametros_manuales!$J$41</f>
        <v>3461.61316722</v>
      </c>
      <c r="I186" s="9" t="n">
        <f aca="false">(parametros_manuales!$D$41*(datos_base!$H$2+datos_base!$H$18+IF(parametros_manuales!$H$41="Todos",datos_base!$H$9+datos_base!$H$23,0))*parametros_manuales!$I$95+parametros_manuales!$E$41*(datos_base!$H$3+datos_base!$H$19+IF(parametros_manuales!$H$41="Todos",datos_base!$H$10+datos_base!$H$24,0))*parametros_manuales!$I$100+parametros_manuales!$F$41*(datos_base!$H$4+datos_base!$H$20+IF(parametros_manuales!$H$41="Todos",datos_base!$H$11+datos_base!$H$25,0))*parametros_manuales!$I$105+parametros_manuales!$G$41*(datos_base!$H$5+datos_base!$H$21+IF(parametros_manuales!$H$41="Todos",datos_base!$H$12+datos_base!$H$26,0))*parametros_manuales!$I$110)*parametros_manuales!$I$41*parametros_manuales!$J$41</f>
        <v>3766.60146612</v>
      </c>
      <c r="J186" s="9" t="n">
        <f aca="false">(parametros_manuales!$D$41*(datos_base!$H$2+datos_base!$H$18+IF(parametros_manuales!$H$41="Todos",datos_base!$H$9+datos_base!$H$23,0))*parametros_manuales!$J$95+parametros_manuales!$E$41*(datos_base!$H$3+datos_base!$H$19+IF(parametros_manuales!$H$41="Todos",datos_base!$H$10+datos_base!$H$24,0))*parametros_manuales!$J$100+parametros_manuales!$F$41*(datos_base!$H$4+datos_base!$H$20+IF(parametros_manuales!$H$41="Todos",datos_base!$H$11+datos_base!$H$25,0))*parametros_manuales!$J$105+parametros_manuales!$G$41*(datos_base!$H$5+datos_base!$H$21+IF(parametros_manuales!$H$41="Todos",datos_base!$H$12+datos_base!$H$26,0))*parametros_manuales!$J$110)*parametros_manuales!$I$41*parametros_manuales!$J$41</f>
        <v>3766.60146612</v>
      </c>
      <c r="K186" s="9" t="n">
        <f aca="false">(parametros_manuales!$D$41*(datos_base!$H$2+datos_base!$H$18+IF(parametros_manuales!$H$41="Todos",datos_base!$H$9+datos_base!$H$23,0))*parametros_manuales!$K$95+parametros_manuales!$E$41*(datos_base!$H$3+datos_base!$H$19+IF(parametros_manuales!$H$41="Todos",datos_base!$H$10+datos_base!$H$24,0))*parametros_manuales!$K$100+parametros_manuales!$F$41*(datos_base!$H$4+datos_base!$H$20+IF(parametros_manuales!$H$41="Todos",datos_base!$H$11+datos_base!$H$25,0))*parametros_manuales!$K$105+parametros_manuales!$G$41*(datos_base!$H$5+datos_base!$H$21+IF(parametros_manuales!$H$41="Todos",datos_base!$H$12+datos_base!$H$26,0))*parametros_manuales!$K$110)*parametros_manuales!$I$41*parametros_manuales!$J$41</f>
        <v>3887.643445665</v>
      </c>
      <c r="L186" s="9" t="n">
        <f aca="false">(parametros_manuales!$D$41*(datos_base!$H$2+datos_base!$H$18+IF(parametros_manuales!$H$41="Todos",datos_base!$H$9+datos_base!$H$23,0))*parametros_manuales!$L$95+parametros_manuales!$E$41*(datos_base!$H$3+datos_base!$H$19+IF(parametros_manuales!$H$41="Todos",datos_base!$H$10+datos_base!$H$24,0))*parametros_manuales!$L$100+parametros_manuales!$F$41*(datos_base!$H$4+datos_base!$H$20+IF(parametros_manuales!$H$41="Todos",datos_base!$H$11+datos_base!$H$25,0))*parametros_manuales!$L$105+parametros_manuales!$G$41*(datos_base!$H$5+datos_base!$H$21+IF(parametros_manuales!$H$41="Todos",datos_base!$H$12+datos_base!$H$26,0))*parametros_manuales!$L$110)*parametros_manuales!$I$41*parametros_manuales!$J$41</f>
        <v>4008.68542521</v>
      </c>
      <c r="M186" s="9" t="n">
        <f aca="false">(parametros_manuales!$D$41*(datos_base!$H$2+datos_base!$H$18+IF(parametros_manuales!$H$41="Todos",datos_base!$H$9+datos_base!$H$23,0))*parametros_manuales!$M$95+parametros_manuales!$E$41*(datos_base!$H$3+datos_base!$H$19+IF(parametros_manuales!$H$41="Todos",datos_base!$H$10+datos_base!$H$24,0))*parametros_manuales!$M$100+parametros_manuales!$F$41*(datos_base!$H$4+datos_base!$H$20+IF(parametros_manuales!$H$41="Todos",datos_base!$H$11+datos_base!$H$25,0))*parametros_manuales!$M$105+parametros_manuales!$G$41*(datos_base!$H$5+datos_base!$H$21+IF(parametros_manuales!$H$41="Todos",datos_base!$H$12+datos_base!$H$26,0))*parametros_manuales!$M$110)*parametros_manuales!$I$41*parametros_manuales!$J$41</f>
        <v>4008.68542521</v>
      </c>
      <c r="N186" s="9" t="n">
        <f aca="false">SUM(B186:M186)</f>
        <v>44540.949169</v>
      </c>
      <c r="O186" s="9" t="n">
        <f aca="false">MAX(B186:M186)</f>
        <v>4008.68542521</v>
      </c>
      <c r="P186" s="43" t="n">
        <f aca="false">O186/(parametros_manuales!$B$7)</f>
        <v>26.7245695014</v>
      </c>
      <c r="Q186" s="8" t="str">
        <f aca="false">IF(O186=0,"-",INDEX($B$163:$M$163,MATCH(O186,B186:M186,0)))</f>
        <v>Ene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datos_base!$H$2+datos_base!$H$18+IF(parametros_manuales!$H$42="Todos",datos_base!$H$9+datos_base!$H$23,0))*parametros_manuales!$B$95+parametros_manuales!$E$42*(datos_base!$H$3+datos_base!$H$19+IF(parametros_manuales!$H$42="Todos",datos_base!$H$10+datos_base!$H$24,0))*parametros_manuales!$B$100+parametros_manuales!$F$42*(datos_base!$H$4+datos_base!$H$20+IF(parametros_manuales!$H$42="Todos",datos_base!$H$11+datos_base!$H$25,0))*parametros_manuales!$B$105+parametros_manuales!$G$42*(datos_base!$H$5+datos_base!$H$21+IF(parametros_manuales!$H$42="Todos",datos_base!$H$12+datos_base!$H$26,0))*parametros_manuales!$B$110)*parametros_manuales!$I$42*parametros_manuales!$J$42</f>
        <v>4008.68542521</v>
      </c>
      <c r="C187" s="9" t="n">
        <f aca="false">(parametros_manuales!$D$42*(datos_base!$H$2+datos_base!$H$18+IF(parametros_manuales!$H$42="Todos",datos_base!$H$9+datos_base!$H$23,0))*parametros_manuales!$C$95+parametros_manuales!$E$42*(datos_base!$H$3+datos_base!$H$19+IF(parametros_manuales!$H$42="Todos",datos_base!$H$10+datos_base!$H$24,0))*parametros_manuales!$C$100+parametros_manuales!$F$42*(datos_base!$H$4+datos_base!$H$20+IF(parametros_manuales!$H$42="Todos",datos_base!$H$11+datos_base!$H$25,0))*parametros_manuales!$C$105+parametros_manuales!$G$42*(datos_base!$H$5+datos_base!$H$21+IF(parametros_manuales!$H$42="Todos",datos_base!$H$12+datos_base!$H$26,0))*parametros_manuales!$C$110)*parametros_manuales!$I$42*parametros_manuales!$J$42</f>
        <v>3766.60146612</v>
      </c>
      <c r="D187" s="9" t="n">
        <f aca="false">(parametros_manuales!$D$42*(datos_base!$H$2+datos_base!$H$18+IF(parametros_manuales!$H$42="Todos",datos_base!$H$9+datos_base!$H$23,0))*parametros_manuales!$D$95+parametros_manuales!$E$42*(datos_base!$H$3+datos_base!$H$19+IF(parametros_manuales!$H$42="Todos",datos_base!$H$10+datos_base!$H$24,0))*parametros_manuales!$D$100+parametros_manuales!$F$42*(datos_base!$H$4+datos_base!$H$20+IF(parametros_manuales!$H$42="Todos",datos_base!$H$11+datos_base!$H$25,0))*parametros_manuales!$D$105+parametros_manuales!$G$42*(datos_base!$H$5+datos_base!$H$21+IF(parametros_manuales!$H$42="Todos",datos_base!$H$12+datos_base!$H$26,0))*parametros_manuales!$D$110)*parametros_manuales!$I$42*parametros_manuales!$J$42</f>
        <v>3684.317913065</v>
      </c>
      <c r="E187" s="9" t="n">
        <f aca="false">(parametros_manuales!$D$42*(datos_base!$H$2+datos_base!$H$18+IF(parametros_manuales!$H$42="Todos",datos_base!$H$9+datos_base!$H$23,0))*parametros_manuales!$E$95+parametros_manuales!$E$42*(datos_base!$H$3+datos_base!$H$19+IF(parametros_manuales!$H$42="Todos",datos_base!$H$10+datos_base!$H$24,0))*parametros_manuales!$E$100+parametros_manuales!$F$42*(datos_base!$H$4+datos_base!$H$20+IF(parametros_manuales!$H$42="Todos",datos_base!$H$11+datos_base!$H$25,0))*parametros_manuales!$E$105+parametros_manuales!$G$42*(datos_base!$H$5+datos_base!$H$21+IF(parametros_manuales!$H$42="Todos",datos_base!$H$12+datos_base!$H$26,0))*parametros_manuales!$E$110)*parametros_manuales!$I$42*parametros_manuales!$J$42</f>
        <v>3582.655146765</v>
      </c>
      <c r="F187" s="9" t="n">
        <f aca="false">(parametros_manuales!$D$42*(datos_base!$H$2+datos_base!$H$18+IF(parametros_manuales!$H$42="Todos",datos_base!$H$9+datos_base!$H$23,0))*parametros_manuales!$F$95+parametros_manuales!$E$42*(datos_base!$H$3+datos_base!$H$19+IF(parametros_manuales!$H$42="Todos",datos_base!$H$10+datos_base!$H$24,0))*parametros_manuales!$F$100+parametros_manuales!$F$42*(datos_base!$H$4+datos_base!$H$20+IF(parametros_manuales!$H$42="Todos",datos_base!$H$11+datos_base!$H$25,0))*parametros_manuales!$F$105+parametros_manuales!$G$42*(datos_base!$H$5+datos_base!$H$21+IF(parametros_manuales!$H$42="Todos",datos_base!$H$12+datos_base!$H$26,0))*parametros_manuales!$F$110)*parametros_manuales!$I$42*parametros_manuales!$J$42</f>
        <v>3359.95040092</v>
      </c>
      <c r="G187" s="9" t="n">
        <f aca="false">(parametros_manuales!$D$42*(datos_base!$H$2+datos_base!$H$18+IF(parametros_manuales!$H$42="Todos",datos_base!$H$9+datos_base!$H$23,0))*parametros_manuales!$G$95+parametros_manuales!$E$42*(datos_base!$H$3+datos_base!$H$19+IF(parametros_manuales!$H$42="Todos",datos_base!$H$10+datos_base!$H$24,0))*parametros_manuales!$G$100+parametros_manuales!$F$42*(datos_base!$H$4+datos_base!$H$20+IF(parametros_manuales!$H$42="Todos",datos_base!$H$11+datos_base!$H$25,0))*parametros_manuales!$G$105+parametros_manuales!$G$42*(datos_base!$H$5+datos_base!$H$21+IF(parametros_manuales!$H$42="Todos",datos_base!$H$12+datos_base!$H$26,0))*parametros_manuales!$G$110)*parametros_manuales!$I$42*parametros_manuales!$J$42</f>
        <v>3238.908421375</v>
      </c>
      <c r="H187" s="9" t="n">
        <f aca="false">(parametros_manuales!$D$42*(datos_base!$H$2+datos_base!$H$18+IF(parametros_manuales!$H$42="Todos",datos_base!$H$9+datos_base!$H$23,0))*parametros_manuales!$H$95+parametros_manuales!$E$42*(datos_base!$H$3+datos_base!$H$19+IF(parametros_manuales!$H$42="Todos",datos_base!$H$10+datos_base!$H$24,0))*parametros_manuales!$H$100+parametros_manuales!$F$42*(datos_base!$H$4+datos_base!$H$20+IF(parametros_manuales!$H$42="Todos",datos_base!$H$11+datos_base!$H$25,0))*parametros_manuales!$H$105+parametros_manuales!$G$42*(datos_base!$H$5+datos_base!$H$21+IF(parametros_manuales!$H$42="Todos",datos_base!$H$12+datos_base!$H$26,0))*parametros_manuales!$H$110)*parametros_manuales!$I$42*parametros_manuales!$J$42</f>
        <v>3461.61316722</v>
      </c>
      <c r="I187" s="9" t="n">
        <f aca="false">(parametros_manuales!$D$42*(datos_base!$H$2+datos_base!$H$18+IF(parametros_manuales!$H$42="Todos",datos_base!$H$9+datos_base!$H$23,0))*parametros_manuales!$I$95+parametros_manuales!$E$42*(datos_base!$H$3+datos_base!$H$19+IF(parametros_manuales!$H$42="Todos",datos_base!$H$10+datos_base!$H$24,0))*parametros_manuales!$I$100+parametros_manuales!$F$42*(datos_base!$H$4+datos_base!$H$20+IF(parametros_manuales!$H$42="Todos",datos_base!$H$11+datos_base!$H$25,0))*parametros_manuales!$I$105+parametros_manuales!$G$42*(datos_base!$H$5+datos_base!$H$21+IF(parametros_manuales!$H$42="Todos",datos_base!$H$12+datos_base!$H$26,0))*parametros_manuales!$I$110)*parametros_manuales!$I$42*parametros_manuales!$J$42</f>
        <v>3766.60146612</v>
      </c>
      <c r="J187" s="9" t="n">
        <f aca="false">(parametros_manuales!$D$42*(datos_base!$H$2+datos_base!$H$18+IF(parametros_manuales!$H$42="Todos",datos_base!$H$9+datos_base!$H$23,0))*parametros_manuales!$J$95+parametros_manuales!$E$42*(datos_base!$H$3+datos_base!$H$19+IF(parametros_manuales!$H$42="Todos",datos_base!$H$10+datos_base!$H$24,0))*parametros_manuales!$J$100+parametros_manuales!$F$42*(datos_base!$H$4+datos_base!$H$20+IF(parametros_manuales!$H$42="Todos",datos_base!$H$11+datos_base!$H$25,0))*parametros_manuales!$J$105+parametros_manuales!$G$42*(datos_base!$H$5+datos_base!$H$21+IF(parametros_manuales!$H$42="Todos",datos_base!$H$12+datos_base!$H$26,0))*parametros_manuales!$J$110)*parametros_manuales!$I$42*parametros_manuales!$J$42</f>
        <v>3766.60146612</v>
      </c>
      <c r="K187" s="9" t="n">
        <f aca="false">(parametros_manuales!$D$42*(datos_base!$H$2+datos_base!$H$18+IF(parametros_manuales!$H$42="Todos",datos_base!$H$9+datos_base!$H$23,0))*parametros_manuales!$K$95+parametros_manuales!$E$42*(datos_base!$H$3+datos_base!$H$19+IF(parametros_manuales!$H$42="Todos",datos_base!$H$10+datos_base!$H$24,0))*parametros_manuales!$K$100+parametros_manuales!$F$42*(datos_base!$H$4+datos_base!$H$20+IF(parametros_manuales!$H$42="Todos",datos_base!$H$11+datos_base!$H$25,0))*parametros_manuales!$K$105+parametros_manuales!$G$42*(datos_base!$H$5+datos_base!$H$21+IF(parametros_manuales!$H$42="Todos",datos_base!$H$12+datos_base!$H$26,0))*parametros_manuales!$K$110)*parametros_manuales!$I$42*parametros_manuales!$J$42</f>
        <v>3887.643445665</v>
      </c>
      <c r="L187" s="9" t="n">
        <f aca="false">(parametros_manuales!$D$42*(datos_base!$H$2+datos_base!$H$18+IF(parametros_manuales!$H$42="Todos",datos_base!$H$9+datos_base!$H$23,0))*parametros_manuales!$L$95+parametros_manuales!$E$42*(datos_base!$H$3+datos_base!$H$19+IF(parametros_manuales!$H$42="Todos",datos_base!$H$10+datos_base!$H$24,0))*parametros_manuales!$L$100+parametros_manuales!$F$42*(datos_base!$H$4+datos_base!$H$20+IF(parametros_manuales!$H$42="Todos",datos_base!$H$11+datos_base!$H$25,0))*parametros_manuales!$L$105+parametros_manuales!$G$42*(datos_base!$H$5+datos_base!$H$21+IF(parametros_manuales!$H$42="Todos",datos_base!$H$12+datos_base!$H$26,0))*parametros_manuales!$L$110)*parametros_manuales!$I$42*parametros_manuales!$J$42</f>
        <v>4008.68542521</v>
      </c>
      <c r="M187" s="9" t="n">
        <f aca="false">(parametros_manuales!$D$42*(datos_base!$H$2+datos_base!$H$18+IF(parametros_manuales!$H$42="Todos",datos_base!$H$9+datos_base!$H$23,0))*parametros_manuales!$M$95+parametros_manuales!$E$42*(datos_base!$H$3+datos_base!$H$19+IF(parametros_manuales!$H$42="Todos",datos_base!$H$10+datos_base!$H$24,0))*parametros_manuales!$M$100+parametros_manuales!$F$42*(datos_base!$H$4+datos_base!$H$20+IF(parametros_manuales!$H$42="Todos",datos_base!$H$11+datos_base!$H$25,0))*parametros_manuales!$M$105+parametros_manuales!$G$42*(datos_base!$H$5+datos_base!$H$21+IF(parametros_manuales!$H$42="Todos",datos_base!$H$12+datos_base!$H$26,0))*parametros_manuales!$M$110)*parametros_manuales!$I$42*parametros_manuales!$J$42</f>
        <v>4008.68542521</v>
      </c>
      <c r="N187" s="9" t="n">
        <f aca="false">SUM(B187:M187)</f>
        <v>44540.949169</v>
      </c>
      <c r="O187" s="9" t="n">
        <f aca="false">MAX(B187:M187)</f>
        <v>4008.68542521</v>
      </c>
      <c r="P187" s="43" t="n">
        <f aca="false">O187/(parametros_manuales!$B$7)</f>
        <v>26.7245695014</v>
      </c>
      <c r="Q187" s="8" t="str">
        <f aca="false">IF(O187=0,"-",INDEX($B$163:$M$163,MATCH(O187,B187:M187,0)))</f>
        <v>Ene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datos_base!$H$2+datos_base!$H$18+IF(parametros_manuales!$H$43="Todos",datos_base!$H$9+datos_base!$H$23,0))*parametros_manuales!$B$95+parametros_manuales!$E$43*(datos_base!$H$3+datos_base!$H$19+IF(parametros_manuales!$H$43="Todos",datos_base!$H$10+datos_base!$H$24,0))*parametros_manuales!$B$100+parametros_manuales!$F$43*(datos_base!$H$4+datos_base!$H$20+IF(parametros_manuales!$H$43="Todos",datos_base!$H$11+datos_base!$H$25,0))*parametros_manuales!$B$105+parametros_manuales!$G$43*(datos_base!$H$5+datos_base!$H$21+IF(parametros_manuales!$H$43="Todos",datos_base!$H$12+datos_base!$H$26,0))*parametros_manuales!$B$110)*parametros_manuales!$I$43*parametros_manuales!$J$43</f>
        <v>15369.91822521</v>
      </c>
      <c r="C188" s="9" t="n">
        <f aca="false">(parametros_manuales!$D$43*(datos_base!$H$2+datos_base!$H$18+IF(parametros_manuales!$H$43="Todos",datos_base!$H$9+datos_base!$H$23,0))*parametros_manuales!$C$95+parametros_manuales!$E$43*(datos_base!$H$3+datos_base!$H$19+IF(parametros_manuales!$H$43="Todos",datos_base!$H$10+datos_base!$H$24,0))*parametros_manuales!$C$100+parametros_manuales!$F$43*(datos_base!$H$4+datos_base!$H$20+IF(parametros_manuales!$H$43="Todos",datos_base!$H$11+datos_base!$H$25,0))*parametros_manuales!$C$105+parametros_manuales!$G$43*(datos_base!$H$5+datos_base!$H$21+IF(parametros_manuales!$H$43="Todos",datos_base!$H$12+datos_base!$H$26,0))*parametros_manuales!$C$110)*parametros_manuales!$I$43*parametros_manuales!$J$43</f>
        <v>14878.88106612</v>
      </c>
      <c r="D188" s="9" t="n">
        <f aca="false">(parametros_manuales!$D$43*(datos_base!$H$2+datos_base!$H$18+IF(parametros_manuales!$H$43="Todos",datos_base!$H$9+datos_base!$H$23,0))*parametros_manuales!$D$95+parametros_manuales!$E$43*(datos_base!$H$3+datos_base!$H$19+IF(parametros_manuales!$H$43="Todos",datos_base!$H$10+datos_base!$H$24,0))*parametros_manuales!$D$100+parametros_manuales!$F$43*(datos_base!$H$4+datos_base!$H$20+IF(parametros_manuales!$H$43="Todos",datos_base!$H$11+datos_base!$H$25,0))*parametros_manuales!$D$105+parametros_manuales!$G$43*(datos_base!$H$5+datos_base!$H$21+IF(parametros_manuales!$H$43="Todos",datos_base!$H$12+datos_base!$H$26,0))*parametros_manuales!$D$110)*parametros_manuales!$I$43*parametros_manuales!$J$43</f>
        <v>13907.668113065</v>
      </c>
      <c r="E188" s="9" t="n">
        <f aca="false">(parametros_manuales!$D$43*(datos_base!$H$2+datos_base!$H$18+IF(parametros_manuales!$H$43="Todos",datos_base!$H$9+datos_base!$H$23,0))*parametros_manuales!$E$95+parametros_manuales!$E$43*(datos_base!$H$3+datos_base!$H$19+IF(parametros_manuales!$H$43="Todos",datos_base!$H$10+datos_base!$H$24,0))*parametros_manuales!$E$100+parametros_manuales!$F$43*(datos_base!$H$4+datos_base!$H$20+IF(parametros_manuales!$H$43="Todos",datos_base!$H$11+datos_base!$H$25,0))*parametros_manuales!$E$105+parametros_manuales!$G$43*(datos_base!$H$5+datos_base!$H$21+IF(parametros_manuales!$H$43="Todos",datos_base!$H$12+datos_base!$H$26,0))*parametros_manuales!$E$110)*parametros_manuales!$I$43*parametros_manuales!$J$43</f>
        <v>13299.302346765</v>
      </c>
      <c r="F188" s="9" t="n">
        <f aca="false">(parametros_manuales!$D$43*(datos_base!$H$2+datos_base!$H$18+IF(parametros_manuales!$H$43="Todos",datos_base!$H$9+datos_base!$H$23,0))*parametros_manuales!$F$95+parametros_manuales!$E$43*(datos_base!$H$3+datos_base!$H$19+IF(parametros_manuales!$H$43="Todos",datos_base!$H$10+datos_base!$H$24,0))*parametros_manuales!$F$100+parametros_manuales!$F$43*(datos_base!$H$4+datos_base!$H$20+IF(parametros_manuales!$H$43="Todos",datos_base!$H$11+datos_base!$H$25,0))*parametros_manuales!$F$105+parametros_manuales!$G$43*(datos_base!$H$5+datos_base!$H$21+IF(parametros_manuales!$H$43="Todos",datos_base!$H$12+datos_base!$H$26,0))*parametros_manuales!$F$110)*parametros_manuales!$I$43*parametros_manuales!$J$43</f>
        <v>12445.41800092</v>
      </c>
      <c r="G188" s="9" t="n">
        <f aca="false">(parametros_manuales!$D$43*(datos_base!$H$2+datos_base!$H$18+IF(parametros_manuales!$H$43="Todos",datos_base!$H$9+datos_base!$H$23,0))*parametros_manuales!$G$95+parametros_manuales!$E$43*(datos_base!$H$3+datos_base!$H$19+IF(parametros_manuales!$H$43="Todos",datos_base!$H$10+datos_base!$H$24,0))*parametros_manuales!$G$100+parametros_manuales!$F$43*(datos_base!$H$4+datos_base!$H$20+IF(parametros_manuales!$H$43="Todos",datos_base!$H$11+datos_base!$H$25,0))*parametros_manuales!$G$105+parametros_manuales!$G$43*(datos_base!$H$5+datos_base!$H$21+IF(parametros_manuales!$H$43="Todos",datos_base!$H$12+datos_base!$H$26,0))*parametros_manuales!$G$110)*parametros_manuales!$I$43*parametros_manuales!$J$43</f>
        <v>12199.899421375</v>
      </c>
      <c r="H188" s="9" t="n">
        <f aca="false">(parametros_manuales!$D$43*(datos_base!$H$2+datos_base!$H$18+IF(parametros_manuales!$H$43="Todos",datos_base!$H$9+datos_base!$H$23,0))*parametros_manuales!$H$95+parametros_manuales!$E$43*(datos_base!$H$3+datos_base!$H$19+IF(parametros_manuales!$H$43="Todos",datos_base!$H$10+datos_base!$H$24,0))*parametros_manuales!$H$100+parametros_manuales!$F$43*(datos_base!$H$4+datos_base!$H$20+IF(parametros_manuales!$H$43="Todos",datos_base!$H$11+datos_base!$H$25,0))*parametros_manuales!$H$105+parametros_manuales!$G$43*(datos_base!$H$5+datos_base!$H$21+IF(parametros_manuales!$H$43="Todos",datos_base!$H$12+datos_base!$H$26,0))*parametros_manuales!$H$110)*parametros_manuales!$I$43*parametros_manuales!$J$43</f>
        <v>13053.78376722</v>
      </c>
      <c r="I188" s="9" t="n">
        <f aca="false">(parametros_manuales!$D$43*(datos_base!$H$2+datos_base!$H$18+IF(parametros_manuales!$H$43="Todos",datos_base!$H$9+datos_base!$H$23,0))*parametros_manuales!$I$95+parametros_manuales!$E$43*(datos_base!$H$3+datos_base!$H$19+IF(parametros_manuales!$H$43="Todos",datos_base!$H$10+datos_base!$H$24,0))*parametros_manuales!$I$100+parametros_manuales!$F$43*(datos_base!$H$4+datos_base!$H$20+IF(parametros_manuales!$H$43="Todos",datos_base!$H$11+datos_base!$H$25,0))*parametros_manuales!$I$105+parametros_manuales!$G$43*(datos_base!$H$5+datos_base!$H$21+IF(parametros_manuales!$H$43="Todos",datos_base!$H$12+datos_base!$H$26,0))*parametros_manuales!$I$110)*parametros_manuales!$I$43*parametros_manuales!$J$43</f>
        <v>14878.88106612</v>
      </c>
      <c r="J188" s="9" t="n">
        <f aca="false">(parametros_manuales!$D$43*(datos_base!$H$2+datos_base!$H$18+IF(parametros_manuales!$H$43="Todos",datos_base!$H$9+datos_base!$H$23,0))*parametros_manuales!$J$95+parametros_manuales!$E$43*(datos_base!$H$3+datos_base!$H$19+IF(parametros_manuales!$H$43="Todos",datos_base!$H$10+datos_base!$H$24,0))*parametros_manuales!$J$100+parametros_manuales!$F$43*(datos_base!$H$4+datos_base!$H$20+IF(parametros_manuales!$H$43="Todos",datos_base!$H$11+datos_base!$H$25,0))*parametros_manuales!$J$105+parametros_manuales!$G$43*(datos_base!$H$5+datos_base!$H$21+IF(parametros_manuales!$H$43="Todos",datos_base!$H$12+datos_base!$H$26,0))*parametros_manuales!$J$110)*parametros_manuales!$I$43*parametros_manuales!$J$43</f>
        <v>14878.88106612</v>
      </c>
      <c r="K188" s="9" t="n">
        <f aca="false">(parametros_manuales!$D$43*(datos_base!$H$2+datos_base!$H$18+IF(parametros_manuales!$H$43="Todos",datos_base!$H$9+datos_base!$H$23,0))*parametros_manuales!$K$95+parametros_manuales!$E$43*(datos_base!$H$3+datos_base!$H$19+IF(parametros_manuales!$H$43="Todos",datos_base!$H$10+datos_base!$H$24,0))*parametros_manuales!$K$100+parametros_manuales!$F$43*(datos_base!$H$4+datos_base!$H$20+IF(parametros_manuales!$H$43="Todos",datos_base!$H$11+datos_base!$H$25,0))*parametros_manuales!$K$105+parametros_manuales!$G$43*(datos_base!$H$5+datos_base!$H$21+IF(parametros_manuales!$H$43="Todos",datos_base!$H$12+datos_base!$H$26,0))*parametros_manuales!$K$110)*parametros_manuales!$I$43*parametros_manuales!$J$43</f>
        <v>15124.399645665</v>
      </c>
      <c r="L188" s="9" t="n">
        <f aca="false">(parametros_manuales!$D$43*(datos_base!$H$2+datos_base!$H$18+IF(parametros_manuales!$H$43="Todos",datos_base!$H$9+datos_base!$H$23,0))*parametros_manuales!$L$95+parametros_manuales!$E$43*(datos_base!$H$3+datos_base!$H$19+IF(parametros_manuales!$H$43="Todos",datos_base!$H$10+datos_base!$H$24,0))*parametros_manuales!$L$100+parametros_manuales!$F$43*(datos_base!$H$4+datos_base!$H$20+IF(parametros_manuales!$H$43="Todos",datos_base!$H$11+datos_base!$H$25,0))*parametros_manuales!$L$105+parametros_manuales!$G$43*(datos_base!$H$5+datos_base!$H$21+IF(parametros_manuales!$H$43="Todos",datos_base!$H$12+datos_base!$H$26,0))*parametros_manuales!$L$110)*parametros_manuales!$I$43*parametros_manuales!$J$43</f>
        <v>15369.91822521</v>
      </c>
      <c r="M188" s="9" t="n">
        <f aca="false">(parametros_manuales!$D$43*(datos_base!$H$2+datos_base!$H$18+IF(parametros_manuales!$H$43="Todos",datos_base!$H$9+datos_base!$H$23,0))*parametros_manuales!$M$95+parametros_manuales!$E$43*(datos_base!$H$3+datos_base!$H$19+IF(parametros_manuales!$H$43="Todos",datos_base!$H$10+datos_base!$H$24,0))*parametros_manuales!$M$100+parametros_manuales!$F$43*(datos_base!$H$4+datos_base!$H$20+IF(parametros_manuales!$H$43="Todos",datos_base!$H$11+datos_base!$H$25,0))*parametros_manuales!$M$105+parametros_manuales!$G$43*(datos_base!$H$5+datos_base!$H$21+IF(parametros_manuales!$H$43="Todos",datos_base!$H$12+datos_base!$H$26,0))*parametros_manuales!$M$110)*parametros_manuales!$I$43*parametros_manuales!$J$43</f>
        <v>15369.91822521</v>
      </c>
      <c r="N188" s="9" t="n">
        <f aca="false">SUM(B188:M188)</f>
        <v>170776.869169</v>
      </c>
      <c r="O188" s="9" t="n">
        <f aca="false">MAX(B188:M188)</f>
        <v>15369.91822521</v>
      </c>
      <c r="P188" s="43" t="n">
        <f aca="false">O188/(parametros_manuales!$B$7)</f>
        <v>102.4661215014</v>
      </c>
      <c r="Q188" s="8" t="str">
        <f aca="false">IF(O188=0,"-",INDEX($B$163:$M$163,MATCH(O188,B188:M188,0)))</f>
        <v>Ene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197</v>
      </c>
      <c r="B190" s="7" t="s">
        <v>61</v>
      </c>
      <c r="C190" s="7" t="s">
        <v>62</v>
      </c>
      <c r="D190" s="7" t="s">
        <v>63</v>
      </c>
      <c r="E190" s="7" t="s">
        <v>64</v>
      </c>
      <c r="F190" s="7" t="s">
        <v>65</v>
      </c>
      <c r="G190" s="7" t="s">
        <v>66</v>
      </c>
      <c r="H190" s="7" t="s">
        <v>67</v>
      </c>
      <c r="I190" s="7" t="s">
        <v>68</v>
      </c>
      <c r="J190" s="7" t="s">
        <v>69</v>
      </c>
      <c r="K190" s="7" t="s">
        <v>70</v>
      </c>
      <c r="L190" s="7" t="s">
        <v>71</v>
      </c>
      <c r="M190" s="7" t="s">
        <v>72</v>
      </c>
      <c r="N190" s="7" t="s">
        <v>183</v>
      </c>
      <c r="O190" s="7" t="s">
        <v>188</v>
      </c>
      <c r="P190" s="7" t="s">
        <v>189</v>
      </c>
      <c r="Q190" s="7" t="s">
        <v>190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datos_base!$I$2+datos_base!$I$18+IF(parametros_manuales!$H$19="Todos",datos_base!$I$9+datos_base!$I$23,0))*parametros_manuales!$B$95+parametros_manuales!$E$19*(datos_base!$I$3+datos_base!$I$19+IF(parametros_manuales!$H$19="Todos",datos_base!$I$10+datos_base!$I$24,0))*parametros_manuales!$B$100+parametros_manuales!$F$19*(datos_base!$I$4+datos_base!$I$20+IF(parametros_manuales!$H$19="Todos",datos_base!$I$11+datos_base!$I$25,0))*parametros_manuales!$B$105+parametros_manuales!$G$19*(datos_base!$I$5+datos_base!$I$21+IF(parametros_manuales!$H$19="Todos",datos_base!$I$12+datos_base!$I$26,0))*parametros_manuales!$B$110)*parametros_manuales!$I$19*parametros_manuales!$J$19</f>
        <v>19641.70586241</v>
      </c>
      <c r="C191" s="9" t="n">
        <f aca="false">(parametros_manuales!$D$19*(datos_base!$I$2+datos_base!$I$18+IF(parametros_manuales!$H$19="Todos",datos_base!$I$9+datos_base!$I$23,0))*parametros_manuales!$C$95+parametros_manuales!$E$19*(datos_base!$I$3+datos_base!$I$19+IF(parametros_manuales!$H$19="Todos",datos_base!$I$10+datos_base!$I$24,0))*parametros_manuales!$C$100+parametros_manuales!$F$19*(datos_base!$I$4+datos_base!$I$20+IF(parametros_manuales!$H$19="Todos",datos_base!$I$11+datos_base!$I$25,0))*parametros_manuales!$C$105+parametros_manuales!$G$19*(datos_base!$I$5+datos_base!$I$21+IF(parametros_manuales!$H$19="Todos",datos_base!$I$12+datos_base!$I$26,0))*parametros_manuales!$C$110)*parametros_manuales!$I$19*parametros_manuales!$J$19</f>
        <v>19020.62488472</v>
      </c>
      <c r="D191" s="9" t="n">
        <f aca="false">(parametros_manuales!$D$19*(datos_base!$I$2+datos_base!$I$18+IF(parametros_manuales!$H$19="Todos",datos_base!$I$9+datos_base!$I$23,0))*parametros_manuales!$D$95+parametros_manuales!$E$19*(datos_base!$I$3+datos_base!$I$19+IF(parametros_manuales!$H$19="Todos",datos_base!$I$10+datos_base!$I$24,0))*parametros_manuales!$D$100+parametros_manuales!$F$19*(datos_base!$I$4+datos_base!$I$20+IF(parametros_manuales!$H$19="Todos",datos_base!$I$11+datos_base!$I$25,0))*parametros_manuales!$D$105+parametros_manuales!$G$19*(datos_base!$I$5+datos_base!$I$21+IF(parametros_manuales!$H$19="Todos",datos_base!$I$12+datos_base!$I$26,0))*parametros_manuales!$D$110)*parametros_manuales!$I$19*parametros_manuales!$J$19</f>
        <v>17769.834588765</v>
      </c>
      <c r="E191" s="9" t="n">
        <f aca="false">(parametros_manuales!$D$19*(datos_base!$I$2+datos_base!$I$18+IF(parametros_manuales!$H$19="Todos",datos_base!$I$9+datos_base!$I$23,0))*parametros_manuales!$E$95+parametros_manuales!$E$19*(datos_base!$I$3+datos_base!$I$19+IF(parametros_manuales!$H$19="Todos",datos_base!$I$10+datos_base!$I$24,0))*parametros_manuales!$E$100+parametros_manuales!$F$19*(datos_base!$I$4+datos_base!$I$20+IF(parametros_manuales!$H$19="Todos",datos_base!$I$11+datos_base!$I$25,0))*parametros_manuales!$E$105+parametros_manuales!$G$19*(datos_base!$I$5+datos_base!$I$21+IF(parametros_manuales!$H$19="Todos",datos_base!$I$12+datos_base!$I$26,0))*parametros_manuales!$E$110)*parametros_manuales!$I$19*parametros_manuales!$J$19</f>
        <v>16989.169196365</v>
      </c>
      <c r="F191" s="9" t="n">
        <f aca="false">(parametros_manuales!$D$19*(datos_base!$I$2+datos_base!$I$18+IF(parametros_manuales!$H$19="Todos",datos_base!$I$9+datos_base!$I$23,0))*parametros_manuales!$F$95+parametros_manuales!$E$19*(datos_base!$I$3+datos_base!$I$19+IF(parametros_manuales!$H$19="Todos",datos_base!$I$10+datos_base!$I$24,0))*parametros_manuales!$F$100+parametros_manuales!$F$19*(datos_base!$I$4+datos_base!$I$20+IF(parametros_manuales!$H$19="Todos",datos_base!$I$11+datos_base!$I$25,0))*parametros_manuales!$F$105+parametros_manuales!$G$19*(datos_base!$I$5+datos_base!$I$21+IF(parametros_manuales!$H$19="Todos",datos_base!$I$12+datos_base!$I$26,0))*parametros_manuales!$F$110)*parametros_manuales!$I$19*parametros_manuales!$J$19</f>
        <v>15897.96331512</v>
      </c>
      <c r="G191" s="9" t="n">
        <f aca="false">(parametros_manuales!$D$19*(datos_base!$I$2+datos_base!$I$18+IF(parametros_manuales!$H$19="Todos",datos_base!$I$9+datos_base!$I$23,0))*parametros_manuales!$G$95+parametros_manuales!$E$19*(datos_base!$I$3+datos_base!$I$19+IF(parametros_manuales!$H$19="Todos",datos_base!$I$10+datos_base!$I$24,0))*parametros_manuales!$G$100+parametros_manuales!$F$19*(datos_base!$I$4+datos_base!$I$20+IF(parametros_manuales!$H$19="Todos",datos_base!$I$11+datos_base!$I$25,0))*parametros_manuales!$G$105+parametros_manuales!$G$19*(datos_base!$I$5+datos_base!$I$21+IF(parametros_manuales!$H$19="Todos",datos_base!$I$12+datos_base!$I$26,0))*parametros_manuales!$G$110)*parametros_manuales!$I$19*parametros_manuales!$J$19</f>
        <v>15587.422826275</v>
      </c>
      <c r="H191" s="9" t="n">
        <f aca="false">(parametros_manuales!$D$19*(datos_base!$I$2+datos_base!$I$18+IF(parametros_manuales!$H$19="Todos",datos_base!$I$9+datos_base!$I$23,0))*parametros_manuales!$H$95+parametros_manuales!$E$19*(datos_base!$I$3+datos_base!$I$19+IF(parametros_manuales!$H$19="Todos",datos_base!$I$10+datos_base!$I$24,0))*parametros_manuales!$H$100+parametros_manuales!$F$19*(datos_base!$I$4+datos_base!$I$20+IF(parametros_manuales!$H$19="Todos",datos_base!$I$11+datos_base!$I$25,0))*parametros_manuales!$H$105+parametros_manuales!$G$19*(datos_base!$I$5+datos_base!$I$21+IF(parametros_manuales!$H$19="Todos",datos_base!$I$12+datos_base!$I$26,0))*parametros_manuales!$H$110)*parametros_manuales!$I$19*parametros_manuales!$J$19</f>
        <v>16678.62870752</v>
      </c>
      <c r="I191" s="9" t="n">
        <f aca="false">(parametros_manuales!$D$19*(datos_base!$I$2+datos_base!$I$18+IF(parametros_manuales!$H$19="Todos",datos_base!$I$9+datos_base!$I$23,0))*parametros_manuales!$I$95+parametros_manuales!$E$19*(datos_base!$I$3+datos_base!$I$19+IF(parametros_manuales!$H$19="Todos",datos_base!$I$10+datos_base!$I$24,0))*parametros_manuales!$I$100+parametros_manuales!$F$19*(datos_base!$I$4+datos_base!$I$20+IF(parametros_manuales!$H$19="Todos",datos_base!$I$11+datos_base!$I$25,0))*parametros_manuales!$I$105+parametros_manuales!$G$19*(datos_base!$I$5+datos_base!$I$21+IF(parametros_manuales!$H$19="Todos",datos_base!$I$12+datos_base!$I$26,0))*parametros_manuales!$I$110)*parametros_manuales!$I$19*parametros_manuales!$J$19</f>
        <v>19020.62488472</v>
      </c>
      <c r="J191" s="9" t="n">
        <f aca="false">(parametros_manuales!$D$19*(datos_base!$I$2+datos_base!$I$18+IF(parametros_manuales!$H$19="Todos",datos_base!$I$9+datos_base!$I$23,0))*parametros_manuales!$J$95+parametros_manuales!$E$19*(datos_base!$I$3+datos_base!$I$19+IF(parametros_manuales!$H$19="Todos",datos_base!$I$10+datos_base!$I$24,0))*parametros_manuales!$J$100+parametros_manuales!$F$19*(datos_base!$I$4+datos_base!$I$20+IF(parametros_manuales!$H$19="Todos",datos_base!$I$11+datos_base!$I$25,0))*parametros_manuales!$J$105+parametros_manuales!$G$19*(datos_base!$I$5+datos_base!$I$21+IF(parametros_manuales!$H$19="Todos",datos_base!$I$12+datos_base!$I$26,0))*parametros_manuales!$J$110)*parametros_manuales!$I$19*parametros_manuales!$J$19</f>
        <v>19020.62488472</v>
      </c>
      <c r="K191" s="9" t="n">
        <f aca="false">(parametros_manuales!$D$19*(datos_base!$I$2+datos_base!$I$18+IF(parametros_manuales!$H$19="Todos",datos_base!$I$9+datos_base!$I$23,0))*parametros_manuales!$K$95+parametros_manuales!$E$19*(datos_base!$I$3+datos_base!$I$19+IF(parametros_manuales!$H$19="Todos",datos_base!$I$10+datos_base!$I$24,0))*parametros_manuales!$K$100+parametros_manuales!$F$19*(datos_base!$I$4+datos_base!$I$20+IF(parametros_manuales!$H$19="Todos",datos_base!$I$11+datos_base!$I$25,0))*parametros_manuales!$K$105+parametros_manuales!$G$19*(datos_base!$I$5+datos_base!$I$21+IF(parametros_manuales!$H$19="Todos",datos_base!$I$12+datos_base!$I$26,0))*parametros_manuales!$K$110)*parametros_manuales!$I$19*parametros_manuales!$J$19</f>
        <v>19331.165373565</v>
      </c>
      <c r="L191" s="9" t="n">
        <f aca="false">(parametros_manuales!$D$19*(datos_base!$I$2+datos_base!$I$18+IF(parametros_manuales!$H$19="Todos",datos_base!$I$9+datos_base!$I$23,0))*parametros_manuales!$L$95+parametros_manuales!$E$19*(datos_base!$I$3+datos_base!$I$19+IF(parametros_manuales!$H$19="Todos",datos_base!$I$10+datos_base!$I$24,0))*parametros_manuales!$L$100+parametros_manuales!$F$19*(datos_base!$I$4+datos_base!$I$20+IF(parametros_manuales!$H$19="Todos",datos_base!$I$11+datos_base!$I$25,0))*parametros_manuales!$L$105+parametros_manuales!$G$19*(datos_base!$I$5+datos_base!$I$21+IF(parametros_manuales!$H$19="Todos",datos_base!$I$12+datos_base!$I$26,0))*parametros_manuales!$L$110)*parametros_manuales!$I$19*parametros_manuales!$J$19</f>
        <v>19641.70586241</v>
      </c>
      <c r="M191" s="9" t="n">
        <f aca="false">(parametros_manuales!$D$19*(datos_base!$I$2+datos_base!$I$18+IF(parametros_manuales!$H$19="Todos",datos_base!$I$9+datos_base!$I$23,0))*parametros_manuales!$M$95+parametros_manuales!$E$19*(datos_base!$I$3+datos_base!$I$19+IF(parametros_manuales!$H$19="Todos",datos_base!$I$10+datos_base!$I$24,0))*parametros_manuales!$M$100+parametros_manuales!$F$19*(datos_base!$I$4+datos_base!$I$20+IF(parametros_manuales!$H$19="Todos",datos_base!$I$11+datos_base!$I$25,0))*parametros_manuales!$M$105+parametros_manuales!$G$19*(datos_base!$I$5+datos_base!$I$21+IF(parametros_manuales!$H$19="Todos",datos_base!$I$12+datos_base!$I$26,0))*parametros_manuales!$M$110)*parametros_manuales!$I$19*parametros_manuales!$J$19</f>
        <v>19641.70586241</v>
      </c>
      <c r="N191" s="9" t="n">
        <f aca="false">SUM(B191:M191)</f>
        <v>218241.176249</v>
      </c>
      <c r="O191" s="9" t="n">
        <f aca="false">MAX(B191:M191)</f>
        <v>19641.70586241</v>
      </c>
      <c r="P191" s="43" t="n">
        <f aca="false">O191/(parametros_manuales!$B$7)</f>
        <v>130.9447057494</v>
      </c>
      <c r="Q191" s="8" t="str">
        <f aca="false">IF(O191=0,"-",INDEX($B$190:$M$190,MATCH(O191,B191:M191,0)))</f>
        <v>Ene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datos_base!$I$2+datos_base!$I$18+IF(parametros_manuales!$H$20="Todos",datos_base!$I$9+datos_base!$I$23,0))*parametros_manuales!$B$95+parametros_manuales!$E$20*(datos_base!$I$3+datos_base!$I$19+IF(parametros_manuales!$H$20="Todos",datos_base!$I$10+datos_base!$I$24,0))*parametros_manuales!$B$100+parametros_manuales!$F$20*(datos_base!$I$4+datos_base!$I$20+IF(parametros_manuales!$H$20="Todos",datos_base!$I$11+datos_base!$I$25,0))*parametros_manuales!$B$105+parametros_manuales!$G$20*(datos_base!$I$5+datos_base!$I$21+IF(parametros_manuales!$H$20="Todos",datos_base!$I$12+datos_base!$I$26,0))*parametros_manuales!$B$110)*parametros_manuales!$I$20*parametros_manuales!$J$20</f>
        <v>5589.72879921</v>
      </c>
      <c r="C192" s="9" t="n">
        <f aca="false">(parametros_manuales!$D$20*(datos_base!$I$2+datos_base!$I$18+IF(parametros_manuales!$H$20="Todos",datos_base!$I$9+datos_base!$I$23,0))*parametros_manuales!$C$95+parametros_manuales!$E$20*(datos_base!$I$3+datos_base!$I$19+IF(parametros_manuales!$H$20="Todos",datos_base!$I$10+datos_base!$I$24,0))*parametros_manuales!$C$100+parametros_manuales!$F$20*(datos_base!$I$4+datos_base!$I$20+IF(parametros_manuales!$H$20="Todos",datos_base!$I$11+datos_base!$I$25,0))*parametros_manuales!$C$105+parametros_manuales!$G$20*(datos_base!$I$5+datos_base!$I$21+IF(parametros_manuales!$H$20="Todos",datos_base!$I$12+datos_base!$I$26,0))*parametros_manuales!$C$110)*parametros_manuales!$I$20*parametros_manuales!$J$20</f>
        <v>4968.64782152</v>
      </c>
      <c r="D192" s="9" t="n">
        <f aca="false">(parametros_manuales!$D$20*(datos_base!$I$2+datos_base!$I$18+IF(parametros_manuales!$H$20="Todos",datos_base!$I$9+datos_base!$I$23,0))*parametros_manuales!$D$95+parametros_manuales!$E$20*(datos_base!$I$3+datos_base!$I$19+IF(parametros_manuales!$H$20="Todos",datos_base!$I$10+datos_base!$I$24,0))*parametros_manuales!$D$100+parametros_manuales!$F$20*(datos_base!$I$4+datos_base!$I$20+IF(parametros_manuales!$H$20="Todos",datos_base!$I$11+datos_base!$I$25,0))*parametros_manuales!$D$105+parametros_manuales!$G$20*(datos_base!$I$5+datos_base!$I$21+IF(parametros_manuales!$H$20="Todos",datos_base!$I$12+datos_base!$I$26,0))*parametros_manuales!$D$110)*parametros_manuales!$I$20*parametros_manuales!$J$20</f>
        <v>5279.188310365</v>
      </c>
      <c r="E192" s="9" t="n">
        <f aca="false">(parametros_manuales!$D$20*(datos_base!$I$2+datos_base!$I$18+IF(parametros_manuales!$H$20="Todos",datos_base!$I$9+datos_base!$I$23,0))*parametros_manuales!$E$95+parametros_manuales!$E$20*(datos_base!$I$3+datos_base!$I$19+IF(parametros_manuales!$H$20="Todos",datos_base!$I$10+datos_base!$I$24,0))*parametros_manuales!$E$100+parametros_manuales!$F$20*(datos_base!$I$4+datos_base!$I$20+IF(parametros_manuales!$H$20="Todos",datos_base!$I$11+datos_base!$I$25,0))*parametros_manuales!$E$105+parametros_manuales!$G$20*(datos_base!$I$5+datos_base!$I$21+IF(parametros_manuales!$H$20="Todos",datos_base!$I$12+datos_base!$I$26,0))*parametros_manuales!$E$110)*parametros_manuales!$I$20*parametros_manuales!$J$20</f>
        <v>5279.188310365</v>
      </c>
      <c r="F192" s="9" t="n">
        <f aca="false">(parametros_manuales!$D$20*(datos_base!$I$2+datos_base!$I$18+IF(parametros_manuales!$H$20="Todos",datos_base!$I$9+datos_base!$I$23,0))*parametros_manuales!$F$95+parametros_manuales!$E$20*(datos_base!$I$3+datos_base!$I$19+IF(parametros_manuales!$H$20="Todos",datos_base!$I$10+datos_base!$I$24,0))*parametros_manuales!$F$100+parametros_manuales!$F$20*(datos_base!$I$4+datos_base!$I$20+IF(parametros_manuales!$H$20="Todos",datos_base!$I$11+datos_base!$I$25,0))*parametros_manuales!$F$105+parametros_manuales!$G$20*(datos_base!$I$5+datos_base!$I$21+IF(parametros_manuales!$H$20="Todos",datos_base!$I$12+datos_base!$I$26,0))*parametros_manuales!$F$110)*parametros_manuales!$I$20*parametros_manuales!$J$20</f>
        <v>4968.64782152</v>
      </c>
      <c r="G192" s="9" t="n">
        <f aca="false">(parametros_manuales!$D$20*(datos_base!$I$2+datos_base!$I$18+IF(parametros_manuales!$H$20="Todos",datos_base!$I$9+datos_base!$I$23,0))*parametros_manuales!$G$95+parametros_manuales!$E$20*(datos_base!$I$3+datos_base!$I$19+IF(parametros_manuales!$H$20="Todos",datos_base!$I$10+datos_base!$I$24,0))*parametros_manuales!$G$100+parametros_manuales!$F$20*(datos_base!$I$4+datos_base!$I$20+IF(parametros_manuales!$H$20="Todos",datos_base!$I$11+datos_base!$I$25,0))*parametros_manuales!$G$105+parametros_manuales!$G$20*(datos_base!$I$5+datos_base!$I$21+IF(parametros_manuales!$H$20="Todos",datos_base!$I$12+datos_base!$I$26,0))*parametros_manuales!$G$110)*parametros_manuales!$I$20*parametros_manuales!$J$20</f>
        <v>4658.107332675</v>
      </c>
      <c r="H192" s="9" t="n">
        <f aca="false">(parametros_manuales!$D$20*(datos_base!$I$2+datos_base!$I$18+IF(parametros_manuales!$H$20="Todos",datos_base!$I$9+datos_base!$I$23,0))*parametros_manuales!$H$95+parametros_manuales!$E$20*(datos_base!$I$3+datos_base!$I$19+IF(parametros_manuales!$H$20="Todos",datos_base!$I$10+datos_base!$I$24,0))*parametros_manuales!$H$100+parametros_manuales!$F$20*(datos_base!$I$4+datos_base!$I$20+IF(parametros_manuales!$H$20="Todos",datos_base!$I$11+datos_base!$I$25,0))*parametros_manuales!$H$105+parametros_manuales!$G$20*(datos_base!$I$5+datos_base!$I$21+IF(parametros_manuales!$H$20="Todos",datos_base!$I$12+datos_base!$I$26,0))*parametros_manuales!$H$110)*parametros_manuales!$I$20*parametros_manuales!$J$20</f>
        <v>4968.64782152</v>
      </c>
      <c r="I192" s="9" t="n">
        <f aca="false">(parametros_manuales!$D$20*(datos_base!$I$2+datos_base!$I$18+IF(parametros_manuales!$H$20="Todos",datos_base!$I$9+datos_base!$I$23,0))*parametros_manuales!$I$95+parametros_manuales!$E$20*(datos_base!$I$3+datos_base!$I$19+IF(parametros_manuales!$H$20="Todos",datos_base!$I$10+datos_base!$I$24,0))*parametros_manuales!$I$100+parametros_manuales!$F$20*(datos_base!$I$4+datos_base!$I$20+IF(parametros_manuales!$H$20="Todos",datos_base!$I$11+datos_base!$I$25,0))*parametros_manuales!$I$105+parametros_manuales!$G$20*(datos_base!$I$5+datos_base!$I$21+IF(parametros_manuales!$H$20="Todos",datos_base!$I$12+datos_base!$I$26,0))*parametros_manuales!$I$110)*parametros_manuales!$I$20*parametros_manuales!$J$20</f>
        <v>4968.64782152</v>
      </c>
      <c r="J192" s="9" t="n">
        <f aca="false">(parametros_manuales!$D$20*(datos_base!$I$2+datos_base!$I$18+IF(parametros_manuales!$H$20="Todos",datos_base!$I$9+datos_base!$I$23,0))*parametros_manuales!$J$95+parametros_manuales!$E$20*(datos_base!$I$3+datos_base!$I$19+IF(parametros_manuales!$H$20="Todos",datos_base!$I$10+datos_base!$I$24,0))*parametros_manuales!$J$100+parametros_manuales!$F$20*(datos_base!$I$4+datos_base!$I$20+IF(parametros_manuales!$H$20="Todos",datos_base!$I$11+datos_base!$I$25,0))*parametros_manuales!$J$105+parametros_manuales!$G$20*(datos_base!$I$5+datos_base!$I$21+IF(parametros_manuales!$H$20="Todos",datos_base!$I$12+datos_base!$I$26,0))*parametros_manuales!$J$110)*parametros_manuales!$I$20*parametros_manuales!$J$20</f>
        <v>4968.64782152</v>
      </c>
      <c r="K192" s="9" t="n">
        <f aca="false">(parametros_manuales!$D$20*(datos_base!$I$2+datos_base!$I$18+IF(parametros_manuales!$H$20="Todos",datos_base!$I$9+datos_base!$I$23,0))*parametros_manuales!$K$95+parametros_manuales!$E$20*(datos_base!$I$3+datos_base!$I$19+IF(parametros_manuales!$H$20="Todos",datos_base!$I$10+datos_base!$I$24,0))*parametros_manuales!$K$100+parametros_manuales!$F$20*(datos_base!$I$4+datos_base!$I$20+IF(parametros_manuales!$H$20="Todos",datos_base!$I$11+datos_base!$I$25,0))*parametros_manuales!$K$105+parametros_manuales!$G$20*(datos_base!$I$5+datos_base!$I$21+IF(parametros_manuales!$H$20="Todos",datos_base!$I$12+datos_base!$I$26,0))*parametros_manuales!$K$110)*parametros_manuales!$I$20*parametros_manuales!$J$20</f>
        <v>5279.188310365</v>
      </c>
      <c r="L192" s="9" t="n">
        <f aca="false">(parametros_manuales!$D$20*(datos_base!$I$2+datos_base!$I$18+IF(parametros_manuales!$H$20="Todos",datos_base!$I$9+datos_base!$I$23,0))*parametros_manuales!$L$95+parametros_manuales!$E$20*(datos_base!$I$3+datos_base!$I$19+IF(parametros_manuales!$H$20="Todos",datos_base!$I$10+datos_base!$I$24,0))*parametros_manuales!$L$100+parametros_manuales!$F$20*(datos_base!$I$4+datos_base!$I$20+IF(parametros_manuales!$H$20="Todos",datos_base!$I$11+datos_base!$I$25,0))*parametros_manuales!$L$105+parametros_manuales!$G$20*(datos_base!$I$5+datos_base!$I$21+IF(parametros_manuales!$H$20="Todos",datos_base!$I$12+datos_base!$I$26,0))*parametros_manuales!$L$110)*parametros_manuales!$I$20*parametros_manuales!$J$20</f>
        <v>5589.72879921</v>
      </c>
      <c r="M192" s="9" t="n">
        <f aca="false">(parametros_manuales!$D$20*(datos_base!$I$2+datos_base!$I$18+IF(parametros_manuales!$H$20="Todos",datos_base!$I$9+datos_base!$I$23,0))*parametros_manuales!$M$95+parametros_manuales!$E$20*(datos_base!$I$3+datos_base!$I$19+IF(parametros_manuales!$H$20="Todos",datos_base!$I$10+datos_base!$I$24,0))*parametros_manuales!$M$100+parametros_manuales!$F$20*(datos_base!$I$4+datos_base!$I$20+IF(parametros_manuales!$H$20="Todos",datos_base!$I$11+datos_base!$I$25,0))*parametros_manuales!$M$105+parametros_manuales!$G$20*(datos_base!$I$5+datos_base!$I$21+IF(parametros_manuales!$H$20="Todos",datos_base!$I$12+datos_base!$I$26,0))*parametros_manuales!$M$110)*parametros_manuales!$I$20*parametros_manuales!$J$20</f>
        <v>5589.72879921</v>
      </c>
      <c r="N192" s="9" t="n">
        <f aca="false">SUM(B192:M192)</f>
        <v>62108.097769</v>
      </c>
      <c r="O192" s="9" t="n">
        <f aca="false">MAX(B192:M192)</f>
        <v>5589.72879921</v>
      </c>
      <c r="P192" s="43" t="n">
        <f aca="false">O192/(parametros_manuales!$B$7)</f>
        <v>37.2648586614</v>
      </c>
      <c r="Q192" s="8" t="str">
        <f aca="false">IF(O192=0,"-",INDEX($B$190:$M$190,MATCH(O192,B192:M192,0)))</f>
        <v>Ene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datos_base!$I$2+datos_base!$I$18+IF(parametros_manuales!$H$21="Todos",datos_base!$I$9+datos_base!$I$23,0))*parametros_manuales!$B$95+parametros_manuales!$E$21*(datos_base!$I$3+datos_base!$I$19+IF(parametros_manuales!$H$21="Todos",datos_base!$I$10+datos_base!$I$24,0))*parametros_manuales!$B$100+parametros_manuales!$F$21*(datos_base!$I$4+datos_base!$I$20+IF(parametros_manuales!$H$21="Todos",datos_base!$I$11+datos_base!$I$25,0))*parametros_manuales!$B$105+parametros_manuales!$G$21*(datos_base!$I$5+datos_base!$I$21+IF(parametros_manuales!$H$21="Todos",datos_base!$I$12+datos_base!$I$26,0))*parametros_manuales!$B$110)*parametros_manuales!$I$21*parametros_manuales!$J$21</f>
        <v>14051.9770632</v>
      </c>
      <c r="C193" s="9" t="n">
        <f aca="false">(parametros_manuales!$D$21*(datos_base!$I$2+datos_base!$I$18+IF(parametros_manuales!$H$21="Todos",datos_base!$I$9+datos_base!$I$23,0))*parametros_manuales!$C$95+parametros_manuales!$E$21*(datos_base!$I$3+datos_base!$I$19+IF(parametros_manuales!$H$21="Todos",datos_base!$I$10+datos_base!$I$24,0))*parametros_manuales!$C$100+parametros_manuales!$F$21*(datos_base!$I$4+datos_base!$I$20+IF(parametros_manuales!$H$21="Todos",datos_base!$I$11+datos_base!$I$25,0))*parametros_manuales!$C$105+parametros_manuales!$G$21*(datos_base!$I$5+datos_base!$I$21+IF(parametros_manuales!$H$21="Todos",datos_base!$I$12+datos_base!$I$26,0))*parametros_manuales!$C$110)*parametros_manuales!$I$21*parametros_manuales!$J$21</f>
        <v>14051.9770632</v>
      </c>
      <c r="D193" s="9" t="n">
        <f aca="false">(parametros_manuales!$D$21*(datos_base!$I$2+datos_base!$I$18+IF(parametros_manuales!$H$21="Todos",datos_base!$I$9+datos_base!$I$23,0))*parametros_manuales!$D$95+parametros_manuales!$E$21*(datos_base!$I$3+datos_base!$I$19+IF(parametros_manuales!$H$21="Todos",datos_base!$I$10+datos_base!$I$24,0))*parametros_manuales!$D$100+parametros_manuales!$F$21*(datos_base!$I$4+datos_base!$I$20+IF(parametros_manuales!$H$21="Todos",datos_base!$I$11+datos_base!$I$25,0))*parametros_manuales!$D$105+parametros_manuales!$G$21*(datos_base!$I$5+datos_base!$I$21+IF(parametros_manuales!$H$21="Todos",datos_base!$I$12+datos_base!$I$26,0))*parametros_manuales!$D$110)*parametros_manuales!$I$21*parametros_manuales!$J$21</f>
        <v>12490.6462784</v>
      </c>
      <c r="E193" s="9" t="n">
        <f aca="false">(parametros_manuales!$D$21*(datos_base!$I$2+datos_base!$I$18+IF(parametros_manuales!$H$21="Todos",datos_base!$I$9+datos_base!$I$23,0))*parametros_manuales!$E$95+parametros_manuales!$E$21*(datos_base!$I$3+datos_base!$I$19+IF(parametros_manuales!$H$21="Todos",datos_base!$I$10+datos_base!$I$24,0))*parametros_manuales!$E$100+parametros_manuales!$F$21*(datos_base!$I$4+datos_base!$I$20+IF(parametros_manuales!$H$21="Todos",datos_base!$I$11+datos_base!$I$25,0))*parametros_manuales!$E$105+parametros_manuales!$G$21*(datos_base!$I$5+datos_base!$I$21+IF(parametros_manuales!$H$21="Todos",datos_base!$I$12+datos_base!$I$26,0))*parametros_manuales!$E$110)*parametros_manuales!$I$21*parametros_manuales!$J$21</f>
        <v>11709.980886</v>
      </c>
      <c r="F193" s="9" t="n">
        <f aca="false">(parametros_manuales!$D$21*(datos_base!$I$2+datos_base!$I$18+IF(parametros_manuales!$H$21="Todos",datos_base!$I$9+datos_base!$I$23,0))*parametros_manuales!$F$95+parametros_manuales!$E$21*(datos_base!$I$3+datos_base!$I$19+IF(parametros_manuales!$H$21="Todos",datos_base!$I$10+datos_base!$I$24,0))*parametros_manuales!$F$100+parametros_manuales!$F$21*(datos_base!$I$4+datos_base!$I$20+IF(parametros_manuales!$H$21="Todos",datos_base!$I$11+datos_base!$I$25,0))*parametros_manuales!$F$105+parametros_manuales!$G$21*(datos_base!$I$5+datos_base!$I$21+IF(parametros_manuales!$H$21="Todos",datos_base!$I$12+datos_base!$I$26,0))*parametros_manuales!$F$110)*parametros_manuales!$I$21*parametros_manuales!$J$21</f>
        <v>10929.3154936</v>
      </c>
      <c r="G193" s="9" t="n">
        <f aca="false">(parametros_manuales!$D$21*(datos_base!$I$2+datos_base!$I$18+IF(parametros_manuales!$H$21="Todos",datos_base!$I$9+datos_base!$I$23,0))*parametros_manuales!$G$95+parametros_manuales!$E$21*(datos_base!$I$3+datos_base!$I$19+IF(parametros_manuales!$H$21="Todos",datos_base!$I$10+datos_base!$I$24,0))*parametros_manuales!$G$100+parametros_manuales!$F$21*(datos_base!$I$4+datos_base!$I$20+IF(parametros_manuales!$H$21="Todos",datos_base!$I$11+datos_base!$I$25,0))*parametros_manuales!$G$105+parametros_manuales!$G$21*(datos_base!$I$5+datos_base!$I$21+IF(parametros_manuales!$H$21="Todos",datos_base!$I$12+datos_base!$I$26,0))*parametros_manuales!$G$110)*parametros_manuales!$I$21*parametros_manuales!$J$21</f>
        <v>10929.3154936</v>
      </c>
      <c r="H193" s="9" t="n">
        <f aca="false">(parametros_manuales!$D$21*(datos_base!$I$2+datos_base!$I$18+IF(parametros_manuales!$H$21="Todos",datos_base!$I$9+datos_base!$I$23,0))*parametros_manuales!$H$95+parametros_manuales!$E$21*(datos_base!$I$3+datos_base!$I$19+IF(parametros_manuales!$H$21="Todos",datos_base!$I$10+datos_base!$I$24,0))*parametros_manuales!$H$100+parametros_manuales!$F$21*(datos_base!$I$4+datos_base!$I$20+IF(parametros_manuales!$H$21="Todos",datos_base!$I$11+datos_base!$I$25,0))*parametros_manuales!$H$105+parametros_manuales!$G$21*(datos_base!$I$5+datos_base!$I$21+IF(parametros_manuales!$H$21="Todos",datos_base!$I$12+datos_base!$I$26,0))*parametros_manuales!$H$110)*parametros_manuales!$I$21*parametros_manuales!$J$21</f>
        <v>11709.980886</v>
      </c>
      <c r="I193" s="9" t="n">
        <f aca="false">(parametros_manuales!$D$21*(datos_base!$I$2+datos_base!$I$18+IF(parametros_manuales!$H$21="Todos",datos_base!$I$9+datos_base!$I$23,0))*parametros_manuales!$I$95+parametros_manuales!$E$21*(datos_base!$I$3+datos_base!$I$19+IF(parametros_manuales!$H$21="Todos",datos_base!$I$10+datos_base!$I$24,0))*parametros_manuales!$I$100+parametros_manuales!$F$21*(datos_base!$I$4+datos_base!$I$20+IF(parametros_manuales!$H$21="Todos",datos_base!$I$11+datos_base!$I$25,0))*parametros_manuales!$I$105+parametros_manuales!$G$21*(datos_base!$I$5+datos_base!$I$21+IF(parametros_manuales!$H$21="Todos",datos_base!$I$12+datos_base!$I$26,0))*parametros_manuales!$I$110)*parametros_manuales!$I$21*parametros_manuales!$J$21</f>
        <v>14051.9770632</v>
      </c>
      <c r="J193" s="9" t="n">
        <f aca="false">(parametros_manuales!$D$21*(datos_base!$I$2+datos_base!$I$18+IF(parametros_manuales!$H$21="Todos",datos_base!$I$9+datos_base!$I$23,0))*parametros_manuales!$J$95+parametros_manuales!$E$21*(datos_base!$I$3+datos_base!$I$19+IF(parametros_manuales!$H$21="Todos",datos_base!$I$10+datos_base!$I$24,0))*parametros_manuales!$J$100+parametros_manuales!$F$21*(datos_base!$I$4+datos_base!$I$20+IF(parametros_manuales!$H$21="Todos",datos_base!$I$11+datos_base!$I$25,0))*parametros_manuales!$J$105+parametros_manuales!$G$21*(datos_base!$I$5+datos_base!$I$21+IF(parametros_manuales!$H$21="Todos",datos_base!$I$12+datos_base!$I$26,0))*parametros_manuales!$J$110)*parametros_manuales!$I$21*parametros_manuales!$J$21</f>
        <v>14051.9770632</v>
      </c>
      <c r="K193" s="9" t="n">
        <f aca="false">(parametros_manuales!$D$21*(datos_base!$I$2+datos_base!$I$18+IF(parametros_manuales!$H$21="Todos",datos_base!$I$9+datos_base!$I$23,0))*parametros_manuales!$K$95+parametros_manuales!$E$21*(datos_base!$I$3+datos_base!$I$19+IF(parametros_manuales!$H$21="Todos",datos_base!$I$10+datos_base!$I$24,0))*parametros_manuales!$K$100+parametros_manuales!$F$21*(datos_base!$I$4+datos_base!$I$20+IF(parametros_manuales!$H$21="Todos",datos_base!$I$11+datos_base!$I$25,0))*parametros_manuales!$K$105+parametros_manuales!$G$21*(datos_base!$I$5+datos_base!$I$21+IF(parametros_manuales!$H$21="Todos",datos_base!$I$12+datos_base!$I$26,0))*parametros_manuales!$K$110)*parametros_manuales!$I$21*parametros_manuales!$J$21</f>
        <v>14051.9770632</v>
      </c>
      <c r="L193" s="9" t="n">
        <f aca="false">(parametros_manuales!$D$21*(datos_base!$I$2+datos_base!$I$18+IF(parametros_manuales!$H$21="Todos",datos_base!$I$9+datos_base!$I$23,0))*parametros_manuales!$L$95+parametros_manuales!$E$21*(datos_base!$I$3+datos_base!$I$19+IF(parametros_manuales!$H$21="Todos",datos_base!$I$10+datos_base!$I$24,0))*parametros_manuales!$L$100+parametros_manuales!$F$21*(datos_base!$I$4+datos_base!$I$20+IF(parametros_manuales!$H$21="Todos",datos_base!$I$11+datos_base!$I$25,0))*parametros_manuales!$L$105+parametros_manuales!$G$21*(datos_base!$I$5+datos_base!$I$21+IF(parametros_manuales!$H$21="Todos",datos_base!$I$12+datos_base!$I$26,0))*parametros_manuales!$L$110)*parametros_manuales!$I$21*parametros_manuales!$J$21</f>
        <v>14051.9770632</v>
      </c>
      <c r="M193" s="9" t="n">
        <f aca="false">(parametros_manuales!$D$21*(datos_base!$I$2+datos_base!$I$18+IF(parametros_manuales!$H$21="Todos",datos_base!$I$9+datos_base!$I$23,0))*parametros_manuales!$M$95+parametros_manuales!$E$21*(datos_base!$I$3+datos_base!$I$19+IF(parametros_manuales!$H$21="Todos",datos_base!$I$10+datos_base!$I$24,0))*parametros_manuales!$M$100+parametros_manuales!$F$21*(datos_base!$I$4+datos_base!$I$20+IF(parametros_manuales!$H$21="Todos",datos_base!$I$11+datos_base!$I$25,0))*parametros_manuales!$M$105+parametros_manuales!$G$21*(datos_base!$I$5+datos_base!$I$21+IF(parametros_manuales!$H$21="Todos",datos_base!$I$12+datos_base!$I$26,0))*parametros_manuales!$M$110)*parametros_manuales!$I$21*parametros_manuales!$J$21</f>
        <v>14051.9770632</v>
      </c>
      <c r="N193" s="9" t="n">
        <f aca="false">SUM(B193:M193)</f>
        <v>156133.07848</v>
      </c>
      <c r="O193" s="9" t="n">
        <f aca="false">MAX(B193:M193)</f>
        <v>14051.9770632</v>
      </c>
      <c r="P193" s="43" t="n">
        <f aca="false">O193/(parametros_manuales!$B$7)</f>
        <v>93.679847088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datos_base!$I$2+datos_base!$I$18+IF(parametros_manuales!$H$22="Todos",datos_base!$I$9+datos_base!$I$23,0))*parametros_manuales!$B$95+parametros_manuales!$E$22*(datos_base!$I$3+datos_base!$I$19+IF(parametros_manuales!$H$22="Todos",datos_base!$I$10+datos_base!$I$24,0))*parametros_manuales!$B$100+parametros_manuales!$F$22*(datos_base!$I$4+datos_base!$I$20+IF(parametros_manuales!$H$22="Todos",datos_base!$I$11+datos_base!$I$25,0))*parametros_manuales!$B$105+parametros_manuales!$G$22*(datos_base!$I$5+datos_base!$I$21+IF(parametros_manuales!$H$22="Todos",datos_base!$I$12+datos_base!$I$26,0))*parametros_manuales!$B$110)*parametros_manuales!$I$22*parametros_manuales!$J$22</f>
        <v>39283.41172482</v>
      </c>
      <c r="C194" s="9" t="n">
        <f aca="false">(parametros_manuales!$D$22*(datos_base!$I$2+datos_base!$I$18+IF(parametros_manuales!$H$22="Todos",datos_base!$I$9+datos_base!$I$23,0))*parametros_manuales!$C$95+parametros_manuales!$E$22*(datos_base!$I$3+datos_base!$I$19+IF(parametros_manuales!$H$22="Todos",datos_base!$I$10+datos_base!$I$24,0))*parametros_manuales!$C$100+parametros_manuales!$F$22*(datos_base!$I$4+datos_base!$I$20+IF(parametros_manuales!$H$22="Todos",datos_base!$I$11+datos_base!$I$25,0))*parametros_manuales!$C$105+parametros_manuales!$G$22*(datos_base!$I$5+datos_base!$I$21+IF(parametros_manuales!$H$22="Todos",datos_base!$I$12+datos_base!$I$26,0))*parametros_manuales!$C$110)*parametros_manuales!$I$22*parametros_manuales!$J$22</f>
        <v>38041.24976944</v>
      </c>
      <c r="D194" s="9" t="n">
        <f aca="false">(parametros_manuales!$D$22*(datos_base!$I$2+datos_base!$I$18+IF(parametros_manuales!$H$22="Todos",datos_base!$I$9+datos_base!$I$23,0))*parametros_manuales!$D$95+parametros_manuales!$E$22*(datos_base!$I$3+datos_base!$I$19+IF(parametros_manuales!$H$22="Todos",datos_base!$I$10+datos_base!$I$24,0))*parametros_manuales!$D$100+parametros_manuales!$F$22*(datos_base!$I$4+datos_base!$I$20+IF(parametros_manuales!$H$22="Todos",datos_base!$I$11+datos_base!$I$25,0))*parametros_manuales!$D$105+parametros_manuales!$G$22*(datos_base!$I$5+datos_base!$I$21+IF(parametros_manuales!$H$22="Todos",datos_base!$I$12+datos_base!$I$26,0))*parametros_manuales!$D$110)*parametros_manuales!$I$22*parametros_manuales!$J$22</f>
        <v>35539.66917753</v>
      </c>
      <c r="E194" s="9" t="n">
        <f aca="false">(parametros_manuales!$D$22*(datos_base!$I$2+datos_base!$I$18+IF(parametros_manuales!$H$22="Todos",datos_base!$I$9+datos_base!$I$23,0))*parametros_manuales!$E$95+parametros_manuales!$E$22*(datos_base!$I$3+datos_base!$I$19+IF(parametros_manuales!$H$22="Todos",datos_base!$I$10+datos_base!$I$24,0))*parametros_manuales!$E$100+parametros_manuales!$F$22*(datos_base!$I$4+datos_base!$I$20+IF(parametros_manuales!$H$22="Todos",datos_base!$I$11+datos_base!$I$25,0))*parametros_manuales!$E$105+parametros_manuales!$G$22*(datos_base!$I$5+datos_base!$I$21+IF(parametros_manuales!$H$22="Todos",datos_base!$I$12+datos_base!$I$26,0))*parametros_manuales!$E$110)*parametros_manuales!$I$22*parametros_manuales!$J$22</f>
        <v>33978.33839273</v>
      </c>
      <c r="F194" s="9" t="n">
        <f aca="false">(parametros_manuales!$D$22*(datos_base!$I$2+datos_base!$I$18+IF(parametros_manuales!$H$22="Todos",datos_base!$I$9+datos_base!$I$23,0))*parametros_manuales!$F$95+parametros_manuales!$E$22*(datos_base!$I$3+datos_base!$I$19+IF(parametros_manuales!$H$22="Todos",datos_base!$I$10+datos_base!$I$24,0))*parametros_manuales!$F$100+parametros_manuales!$F$22*(datos_base!$I$4+datos_base!$I$20+IF(parametros_manuales!$H$22="Todos",datos_base!$I$11+datos_base!$I$25,0))*parametros_manuales!$F$105+parametros_manuales!$G$22*(datos_base!$I$5+datos_base!$I$21+IF(parametros_manuales!$H$22="Todos",datos_base!$I$12+datos_base!$I$26,0))*parametros_manuales!$F$110)*parametros_manuales!$I$22*parametros_manuales!$J$22</f>
        <v>31795.92663024</v>
      </c>
      <c r="G194" s="9" t="n">
        <f aca="false">(parametros_manuales!$D$22*(datos_base!$I$2+datos_base!$I$18+IF(parametros_manuales!$H$22="Todos",datos_base!$I$9+datos_base!$I$23,0))*parametros_manuales!$G$95+parametros_manuales!$E$22*(datos_base!$I$3+datos_base!$I$19+IF(parametros_manuales!$H$22="Todos",datos_base!$I$10+datos_base!$I$24,0))*parametros_manuales!$G$100+parametros_manuales!$F$22*(datos_base!$I$4+datos_base!$I$20+IF(parametros_manuales!$H$22="Todos",datos_base!$I$11+datos_base!$I$25,0))*parametros_manuales!$G$105+parametros_manuales!$G$22*(datos_base!$I$5+datos_base!$I$21+IF(parametros_manuales!$H$22="Todos",datos_base!$I$12+datos_base!$I$26,0))*parametros_manuales!$G$110)*parametros_manuales!$I$22*parametros_manuales!$J$22</f>
        <v>31174.84565255</v>
      </c>
      <c r="H194" s="9" t="n">
        <f aca="false">(parametros_manuales!$D$22*(datos_base!$I$2+datos_base!$I$18+IF(parametros_manuales!$H$22="Todos",datos_base!$I$9+datos_base!$I$23,0))*parametros_manuales!$H$95+parametros_manuales!$E$22*(datos_base!$I$3+datos_base!$I$19+IF(parametros_manuales!$H$22="Todos",datos_base!$I$10+datos_base!$I$24,0))*parametros_manuales!$H$100+parametros_manuales!$F$22*(datos_base!$I$4+datos_base!$I$20+IF(parametros_manuales!$H$22="Todos",datos_base!$I$11+datos_base!$I$25,0))*parametros_manuales!$H$105+parametros_manuales!$G$22*(datos_base!$I$5+datos_base!$I$21+IF(parametros_manuales!$H$22="Todos",datos_base!$I$12+datos_base!$I$26,0))*parametros_manuales!$H$110)*parametros_manuales!$I$22*parametros_manuales!$J$22</f>
        <v>33357.25741504</v>
      </c>
      <c r="I194" s="9" t="n">
        <f aca="false">(parametros_manuales!$D$22*(datos_base!$I$2+datos_base!$I$18+IF(parametros_manuales!$H$22="Todos",datos_base!$I$9+datos_base!$I$23,0))*parametros_manuales!$I$95+parametros_manuales!$E$22*(datos_base!$I$3+datos_base!$I$19+IF(parametros_manuales!$H$22="Todos",datos_base!$I$10+datos_base!$I$24,0))*parametros_manuales!$I$100+parametros_manuales!$F$22*(datos_base!$I$4+datos_base!$I$20+IF(parametros_manuales!$H$22="Todos",datos_base!$I$11+datos_base!$I$25,0))*parametros_manuales!$I$105+parametros_manuales!$G$22*(datos_base!$I$5+datos_base!$I$21+IF(parametros_manuales!$H$22="Todos",datos_base!$I$12+datos_base!$I$26,0))*parametros_manuales!$I$110)*parametros_manuales!$I$22*parametros_manuales!$J$22</f>
        <v>38041.24976944</v>
      </c>
      <c r="J194" s="9" t="n">
        <f aca="false">(parametros_manuales!$D$22*(datos_base!$I$2+datos_base!$I$18+IF(parametros_manuales!$H$22="Todos",datos_base!$I$9+datos_base!$I$23,0))*parametros_manuales!$J$95+parametros_manuales!$E$22*(datos_base!$I$3+datos_base!$I$19+IF(parametros_manuales!$H$22="Todos",datos_base!$I$10+datos_base!$I$24,0))*parametros_manuales!$J$100+parametros_manuales!$F$22*(datos_base!$I$4+datos_base!$I$20+IF(parametros_manuales!$H$22="Todos",datos_base!$I$11+datos_base!$I$25,0))*parametros_manuales!$J$105+parametros_manuales!$G$22*(datos_base!$I$5+datos_base!$I$21+IF(parametros_manuales!$H$22="Todos",datos_base!$I$12+datos_base!$I$26,0))*parametros_manuales!$J$110)*parametros_manuales!$I$22*parametros_manuales!$J$22</f>
        <v>38041.24976944</v>
      </c>
      <c r="K194" s="9" t="n">
        <f aca="false">(parametros_manuales!$D$22*(datos_base!$I$2+datos_base!$I$18+IF(parametros_manuales!$H$22="Todos",datos_base!$I$9+datos_base!$I$23,0))*parametros_manuales!$K$95+parametros_manuales!$E$22*(datos_base!$I$3+datos_base!$I$19+IF(parametros_manuales!$H$22="Todos",datos_base!$I$10+datos_base!$I$24,0))*parametros_manuales!$K$100+parametros_manuales!$F$22*(datos_base!$I$4+datos_base!$I$20+IF(parametros_manuales!$H$22="Todos",datos_base!$I$11+datos_base!$I$25,0))*parametros_manuales!$K$105+parametros_manuales!$G$22*(datos_base!$I$5+datos_base!$I$21+IF(parametros_manuales!$H$22="Todos",datos_base!$I$12+datos_base!$I$26,0))*parametros_manuales!$K$110)*parametros_manuales!$I$22*parametros_manuales!$J$22</f>
        <v>38662.33074713</v>
      </c>
      <c r="L194" s="9" t="n">
        <f aca="false">(parametros_manuales!$D$22*(datos_base!$I$2+datos_base!$I$18+IF(parametros_manuales!$H$22="Todos",datos_base!$I$9+datos_base!$I$23,0))*parametros_manuales!$L$95+parametros_manuales!$E$22*(datos_base!$I$3+datos_base!$I$19+IF(parametros_manuales!$H$22="Todos",datos_base!$I$10+datos_base!$I$24,0))*parametros_manuales!$L$100+parametros_manuales!$F$22*(datos_base!$I$4+datos_base!$I$20+IF(parametros_manuales!$H$22="Todos",datos_base!$I$11+datos_base!$I$25,0))*parametros_manuales!$L$105+parametros_manuales!$G$22*(datos_base!$I$5+datos_base!$I$21+IF(parametros_manuales!$H$22="Todos",datos_base!$I$12+datos_base!$I$26,0))*parametros_manuales!$L$110)*parametros_manuales!$I$22*parametros_manuales!$J$22</f>
        <v>39283.41172482</v>
      </c>
      <c r="M194" s="9" t="n">
        <f aca="false">(parametros_manuales!$D$22*(datos_base!$I$2+datos_base!$I$18+IF(parametros_manuales!$H$22="Todos",datos_base!$I$9+datos_base!$I$23,0))*parametros_manuales!$M$95+parametros_manuales!$E$22*(datos_base!$I$3+datos_base!$I$19+IF(parametros_manuales!$H$22="Todos",datos_base!$I$10+datos_base!$I$24,0))*parametros_manuales!$M$100+parametros_manuales!$F$22*(datos_base!$I$4+datos_base!$I$20+IF(parametros_manuales!$H$22="Todos",datos_base!$I$11+datos_base!$I$25,0))*parametros_manuales!$M$105+parametros_manuales!$G$22*(datos_base!$I$5+datos_base!$I$21+IF(parametros_manuales!$H$22="Todos",datos_base!$I$12+datos_base!$I$26,0))*parametros_manuales!$M$110)*parametros_manuales!$I$22*parametros_manuales!$J$22</f>
        <v>39283.41172482</v>
      </c>
      <c r="N194" s="9" t="n">
        <f aca="false">SUM(B194:M194)</f>
        <v>436482.352498</v>
      </c>
      <c r="O194" s="9" t="n">
        <f aca="false">MAX(B194:M194)</f>
        <v>39283.41172482</v>
      </c>
      <c r="P194" s="43" t="n">
        <f aca="false">O194/(parametros_manuales!$B$7)</f>
        <v>261.8894114988</v>
      </c>
      <c r="Q194" s="8" t="str">
        <f aca="false">IF(O194=0,"-",INDEX($B$190:$M$190,MATCH(O194,B194:M194,0)))</f>
        <v>Ene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datos_base!$I$2+datos_base!$I$18+IF(parametros_manuales!$H$23="Todos",datos_base!$I$9+datos_base!$I$23,0))*parametros_manuales!$B$95+parametros_manuales!$E$23*(datos_base!$I$3+datos_base!$I$19+IF(parametros_manuales!$H$23="Todos",datos_base!$I$10+datos_base!$I$24,0))*parametros_manuales!$B$100+parametros_manuales!$F$23*(datos_base!$I$4+datos_base!$I$20+IF(parametros_manuales!$H$23="Todos",datos_base!$I$11+datos_base!$I$25,0))*parametros_manuales!$B$105+parametros_manuales!$G$23*(datos_base!$I$5+datos_base!$I$21+IF(parametros_manuales!$H$23="Todos",datos_base!$I$12+datos_base!$I$26,0))*parametros_manuales!$B$110)*parametros_manuales!$I$23*parametros_manuales!$J$23</f>
        <v>19641.70586241</v>
      </c>
      <c r="C195" s="9" t="n">
        <f aca="false">(parametros_manuales!$D$23*(datos_base!$I$2+datos_base!$I$18+IF(parametros_manuales!$H$23="Todos",datos_base!$I$9+datos_base!$I$23,0))*parametros_manuales!$C$95+parametros_manuales!$E$23*(datos_base!$I$3+datos_base!$I$19+IF(parametros_manuales!$H$23="Todos",datos_base!$I$10+datos_base!$I$24,0))*parametros_manuales!$C$100+parametros_manuales!$F$23*(datos_base!$I$4+datos_base!$I$20+IF(parametros_manuales!$H$23="Todos",datos_base!$I$11+datos_base!$I$25,0))*parametros_manuales!$C$105+parametros_manuales!$G$23*(datos_base!$I$5+datos_base!$I$21+IF(parametros_manuales!$H$23="Todos",datos_base!$I$12+datos_base!$I$26,0))*parametros_manuales!$C$110)*parametros_manuales!$I$23*parametros_manuales!$J$23</f>
        <v>19020.62488472</v>
      </c>
      <c r="D195" s="9" t="n">
        <f aca="false">(parametros_manuales!$D$23*(datos_base!$I$2+datos_base!$I$18+IF(parametros_manuales!$H$23="Todos",datos_base!$I$9+datos_base!$I$23,0))*parametros_manuales!$D$95+parametros_manuales!$E$23*(datos_base!$I$3+datos_base!$I$19+IF(parametros_manuales!$H$23="Todos",datos_base!$I$10+datos_base!$I$24,0))*parametros_manuales!$D$100+parametros_manuales!$F$23*(datos_base!$I$4+datos_base!$I$20+IF(parametros_manuales!$H$23="Todos",datos_base!$I$11+datos_base!$I$25,0))*parametros_manuales!$D$105+parametros_manuales!$G$23*(datos_base!$I$5+datos_base!$I$21+IF(parametros_manuales!$H$23="Todos",datos_base!$I$12+datos_base!$I$26,0))*parametros_manuales!$D$110)*parametros_manuales!$I$23*parametros_manuales!$J$23</f>
        <v>17769.834588765</v>
      </c>
      <c r="E195" s="9" t="n">
        <f aca="false">(parametros_manuales!$D$23*(datos_base!$I$2+datos_base!$I$18+IF(parametros_manuales!$H$23="Todos",datos_base!$I$9+datos_base!$I$23,0))*parametros_manuales!$E$95+parametros_manuales!$E$23*(datos_base!$I$3+datos_base!$I$19+IF(parametros_manuales!$H$23="Todos",datos_base!$I$10+datos_base!$I$24,0))*parametros_manuales!$E$100+parametros_manuales!$F$23*(datos_base!$I$4+datos_base!$I$20+IF(parametros_manuales!$H$23="Todos",datos_base!$I$11+datos_base!$I$25,0))*parametros_manuales!$E$105+parametros_manuales!$G$23*(datos_base!$I$5+datos_base!$I$21+IF(parametros_manuales!$H$23="Todos",datos_base!$I$12+datos_base!$I$26,0))*parametros_manuales!$E$110)*parametros_manuales!$I$23*parametros_manuales!$J$23</f>
        <v>16989.169196365</v>
      </c>
      <c r="F195" s="9" t="n">
        <f aca="false">(parametros_manuales!$D$23*(datos_base!$I$2+datos_base!$I$18+IF(parametros_manuales!$H$23="Todos",datos_base!$I$9+datos_base!$I$23,0))*parametros_manuales!$F$95+parametros_manuales!$E$23*(datos_base!$I$3+datos_base!$I$19+IF(parametros_manuales!$H$23="Todos",datos_base!$I$10+datos_base!$I$24,0))*parametros_manuales!$F$100+parametros_manuales!$F$23*(datos_base!$I$4+datos_base!$I$20+IF(parametros_manuales!$H$23="Todos",datos_base!$I$11+datos_base!$I$25,0))*parametros_manuales!$F$105+parametros_manuales!$G$23*(datos_base!$I$5+datos_base!$I$21+IF(parametros_manuales!$H$23="Todos",datos_base!$I$12+datos_base!$I$26,0))*parametros_manuales!$F$110)*parametros_manuales!$I$23*parametros_manuales!$J$23</f>
        <v>15897.96331512</v>
      </c>
      <c r="G195" s="9" t="n">
        <f aca="false">(parametros_manuales!$D$23*(datos_base!$I$2+datos_base!$I$18+IF(parametros_manuales!$H$23="Todos",datos_base!$I$9+datos_base!$I$23,0))*parametros_manuales!$G$95+parametros_manuales!$E$23*(datos_base!$I$3+datos_base!$I$19+IF(parametros_manuales!$H$23="Todos",datos_base!$I$10+datos_base!$I$24,0))*parametros_manuales!$G$100+parametros_manuales!$F$23*(datos_base!$I$4+datos_base!$I$20+IF(parametros_manuales!$H$23="Todos",datos_base!$I$11+datos_base!$I$25,0))*parametros_manuales!$G$105+parametros_manuales!$G$23*(datos_base!$I$5+datos_base!$I$21+IF(parametros_manuales!$H$23="Todos",datos_base!$I$12+datos_base!$I$26,0))*parametros_manuales!$G$110)*parametros_manuales!$I$23*parametros_manuales!$J$23</f>
        <v>15587.422826275</v>
      </c>
      <c r="H195" s="9" t="n">
        <f aca="false">(parametros_manuales!$D$23*(datos_base!$I$2+datos_base!$I$18+IF(parametros_manuales!$H$23="Todos",datos_base!$I$9+datos_base!$I$23,0))*parametros_manuales!$H$95+parametros_manuales!$E$23*(datos_base!$I$3+datos_base!$I$19+IF(parametros_manuales!$H$23="Todos",datos_base!$I$10+datos_base!$I$24,0))*parametros_manuales!$H$100+parametros_manuales!$F$23*(datos_base!$I$4+datos_base!$I$20+IF(parametros_manuales!$H$23="Todos",datos_base!$I$11+datos_base!$I$25,0))*parametros_manuales!$H$105+parametros_manuales!$G$23*(datos_base!$I$5+datos_base!$I$21+IF(parametros_manuales!$H$23="Todos",datos_base!$I$12+datos_base!$I$26,0))*parametros_manuales!$H$110)*parametros_manuales!$I$23*parametros_manuales!$J$23</f>
        <v>16678.62870752</v>
      </c>
      <c r="I195" s="9" t="n">
        <f aca="false">(parametros_manuales!$D$23*(datos_base!$I$2+datos_base!$I$18+IF(parametros_manuales!$H$23="Todos",datos_base!$I$9+datos_base!$I$23,0))*parametros_manuales!$I$95+parametros_manuales!$E$23*(datos_base!$I$3+datos_base!$I$19+IF(parametros_manuales!$H$23="Todos",datos_base!$I$10+datos_base!$I$24,0))*parametros_manuales!$I$100+parametros_manuales!$F$23*(datos_base!$I$4+datos_base!$I$20+IF(parametros_manuales!$H$23="Todos",datos_base!$I$11+datos_base!$I$25,0))*parametros_manuales!$I$105+parametros_manuales!$G$23*(datos_base!$I$5+datos_base!$I$21+IF(parametros_manuales!$H$23="Todos",datos_base!$I$12+datos_base!$I$26,0))*parametros_manuales!$I$110)*parametros_manuales!$I$23*parametros_manuales!$J$23</f>
        <v>19020.62488472</v>
      </c>
      <c r="J195" s="9" t="n">
        <f aca="false">(parametros_manuales!$D$23*(datos_base!$I$2+datos_base!$I$18+IF(parametros_manuales!$H$23="Todos",datos_base!$I$9+datos_base!$I$23,0))*parametros_manuales!$J$95+parametros_manuales!$E$23*(datos_base!$I$3+datos_base!$I$19+IF(parametros_manuales!$H$23="Todos",datos_base!$I$10+datos_base!$I$24,0))*parametros_manuales!$J$100+parametros_manuales!$F$23*(datos_base!$I$4+datos_base!$I$20+IF(parametros_manuales!$H$23="Todos",datos_base!$I$11+datos_base!$I$25,0))*parametros_manuales!$J$105+parametros_manuales!$G$23*(datos_base!$I$5+datos_base!$I$21+IF(parametros_manuales!$H$23="Todos",datos_base!$I$12+datos_base!$I$26,0))*parametros_manuales!$J$110)*parametros_manuales!$I$23*parametros_manuales!$J$23</f>
        <v>19020.62488472</v>
      </c>
      <c r="K195" s="9" t="n">
        <f aca="false">(parametros_manuales!$D$23*(datos_base!$I$2+datos_base!$I$18+IF(parametros_manuales!$H$23="Todos",datos_base!$I$9+datos_base!$I$23,0))*parametros_manuales!$K$95+parametros_manuales!$E$23*(datos_base!$I$3+datos_base!$I$19+IF(parametros_manuales!$H$23="Todos",datos_base!$I$10+datos_base!$I$24,0))*parametros_manuales!$K$100+parametros_manuales!$F$23*(datos_base!$I$4+datos_base!$I$20+IF(parametros_manuales!$H$23="Todos",datos_base!$I$11+datos_base!$I$25,0))*parametros_manuales!$K$105+parametros_manuales!$G$23*(datos_base!$I$5+datos_base!$I$21+IF(parametros_manuales!$H$23="Todos",datos_base!$I$12+datos_base!$I$26,0))*parametros_manuales!$K$110)*parametros_manuales!$I$23*parametros_manuales!$J$23</f>
        <v>19331.165373565</v>
      </c>
      <c r="L195" s="9" t="n">
        <f aca="false">(parametros_manuales!$D$23*(datos_base!$I$2+datos_base!$I$18+IF(parametros_manuales!$H$23="Todos",datos_base!$I$9+datos_base!$I$23,0))*parametros_manuales!$L$95+parametros_manuales!$E$23*(datos_base!$I$3+datos_base!$I$19+IF(parametros_manuales!$H$23="Todos",datos_base!$I$10+datos_base!$I$24,0))*parametros_manuales!$L$100+parametros_manuales!$F$23*(datos_base!$I$4+datos_base!$I$20+IF(parametros_manuales!$H$23="Todos",datos_base!$I$11+datos_base!$I$25,0))*parametros_manuales!$L$105+parametros_manuales!$G$23*(datos_base!$I$5+datos_base!$I$21+IF(parametros_manuales!$H$23="Todos",datos_base!$I$12+datos_base!$I$26,0))*parametros_manuales!$L$110)*parametros_manuales!$I$23*parametros_manuales!$J$23</f>
        <v>19641.70586241</v>
      </c>
      <c r="M195" s="9" t="n">
        <f aca="false">(parametros_manuales!$D$23*(datos_base!$I$2+datos_base!$I$18+IF(parametros_manuales!$H$23="Todos",datos_base!$I$9+datos_base!$I$23,0))*parametros_manuales!$M$95+parametros_manuales!$E$23*(datos_base!$I$3+datos_base!$I$19+IF(parametros_manuales!$H$23="Todos",datos_base!$I$10+datos_base!$I$24,0))*parametros_manuales!$M$100+parametros_manuales!$F$23*(datos_base!$I$4+datos_base!$I$20+IF(parametros_manuales!$H$23="Todos",datos_base!$I$11+datos_base!$I$25,0))*parametros_manuales!$M$105+parametros_manuales!$G$23*(datos_base!$I$5+datos_base!$I$21+IF(parametros_manuales!$H$23="Todos",datos_base!$I$12+datos_base!$I$26,0))*parametros_manuales!$M$110)*parametros_manuales!$I$23*parametros_manuales!$J$23</f>
        <v>19641.70586241</v>
      </c>
      <c r="N195" s="9" t="n">
        <f aca="false">SUM(B195:M195)</f>
        <v>218241.176249</v>
      </c>
      <c r="O195" s="9" t="n">
        <f aca="false">MAX(B195:M195)</f>
        <v>19641.70586241</v>
      </c>
      <c r="P195" s="43" t="n">
        <f aca="false">O195/(parametros_manuales!$B$7)</f>
        <v>130.9447057494</v>
      </c>
      <c r="Q195" s="8" t="str">
        <f aca="false">IF(O195=0,"-",INDEX($B$190:$M$190,MATCH(O195,B195:M195,0)))</f>
        <v>Ene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datos_base!$I$2+datos_base!$I$18+IF(parametros_manuales!$H$24="Todos",datos_base!$I$9+datos_base!$I$23,0))*parametros_manuales!$B$95+parametros_manuales!$E$24*(datos_base!$I$3+datos_base!$I$19+IF(parametros_manuales!$H$24="Todos",datos_base!$I$10+datos_base!$I$24,0))*parametros_manuales!$B$100+parametros_manuales!$F$24*(datos_base!$I$4+datos_base!$I$20+IF(parametros_manuales!$H$24="Todos",datos_base!$I$11+datos_base!$I$25,0))*parametros_manuales!$B$105+parametros_manuales!$G$24*(datos_base!$I$5+datos_base!$I$21+IF(parametros_manuales!$H$24="Todos",datos_base!$I$12+datos_base!$I$26,0))*parametros_manuales!$B$110)*parametros_manuales!$I$24*parametros_manuales!$J$24</f>
        <v>19641.70586241</v>
      </c>
      <c r="C196" s="9" t="n">
        <f aca="false">(parametros_manuales!$D$24*(datos_base!$I$2+datos_base!$I$18+IF(parametros_manuales!$H$24="Todos",datos_base!$I$9+datos_base!$I$23,0))*parametros_manuales!$C$95+parametros_manuales!$E$24*(datos_base!$I$3+datos_base!$I$19+IF(parametros_manuales!$H$24="Todos",datos_base!$I$10+datos_base!$I$24,0))*parametros_manuales!$C$100+parametros_manuales!$F$24*(datos_base!$I$4+datos_base!$I$20+IF(parametros_manuales!$H$24="Todos",datos_base!$I$11+datos_base!$I$25,0))*parametros_manuales!$C$105+parametros_manuales!$G$24*(datos_base!$I$5+datos_base!$I$21+IF(parametros_manuales!$H$24="Todos",datos_base!$I$12+datos_base!$I$26,0))*parametros_manuales!$C$110)*parametros_manuales!$I$24*parametros_manuales!$J$24</f>
        <v>19020.62488472</v>
      </c>
      <c r="D196" s="9" t="n">
        <f aca="false">(parametros_manuales!$D$24*(datos_base!$I$2+datos_base!$I$18+IF(parametros_manuales!$H$24="Todos",datos_base!$I$9+datos_base!$I$23,0))*parametros_manuales!$D$95+parametros_manuales!$E$24*(datos_base!$I$3+datos_base!$I$19+IF(parametros_manuales!$H$24="Todos",datos_base!$I$10+datos_base!$I$24,0))*parametros_manuales!$D$100+parametros_manuales!$F$24*(datos_base!$I$4+datos_base!$I$20+IF(parametros_manuales!$H$24="Todos",datos_base!$I$11+datos_base!$I$25,0))*parametros_manuales!$D$105+parametros_manuales!$G$24*(datos_base!$I$5+datos_base!$I$21+IF(parametros_manuales!$H$24="Todos",datos_base!$I$12+datos_base!$I$26,0))*parametros_manuales!$D$110)*parametros_manuales!$I$24*parametros_manuales!$J$24</f>
        <v>17769.834588765</v>
      </c>
      <c r="E196" s="9" t="n">
        <f aca="false">(parametros_manuales!$D$24*(datos_base!$I$2+datos_base!$I$18+IF(parametros_manuales!$H$24="Todos",datos_base!$I$9+datos_base!$I$23,0))*parametros_manuales!$E$95+parametros_manuales!$E$24*(datos_base!$I$3+datos_base!$I$19+IF(parametros_manuales!$H$24="Todos",datos_base!$I$10+datos_base!$I$24,0))*parametros_manuales!$E$100+parametros_manuales!$F$24*(datos_base!$I$4+datos_base!$I$20+IF(parametros_manuales!$H$24="Todos",datos_base!$I$11+datos_base!$I$25,0))*parametros_manuales!$E$105+parametros_manuales!$G$24*(datos_base!$I$5+datos_base!$I$21+IF(parametros_manuales!$H$24="Todos",datos_base!$I$12+datos_base!$I$26,0))*parametros_manuales!$E$110)*parametros_manuales!$I$24*parametros_manuales!$J$24</f>
        <v>16989.169196365</v>
      </c>
      <c r="F196" s="9" t="n">
        <f aca="false">(parametros_manuales!$D$24*(datos_base!$I$2+datos_base!$I$18+IF(parametros_manuales!$H$24="Todos",datos_base!$I$9+datos_base!$I$23,0))*parametros_manuales!$F$95+parametros_manuales!$E$24*(datos_base!$I$3+datos_base!$I$19+IF(parametros_manuales!$H$24="Todos",datos_base!$I$10+datos_base!$I$24,0))*parametros_manuales!$F$100+parametros_manuales!$F$24*(datos_base!$I$4+datos_base!$I$20+IF(parametros_manuales!$H$24="Todos",datos_base!$I$11+datos_base!$I$25,0))*parametros_manuales!$F$105+parametros_manuales!$G$24*(datos_base!$I$5+datos_base!$I$21+IF(parametros_manuales!$H$24="Todos",datos_base!$I$12+datos_base!$I$26,0))*parametros_manuales!$F$110)*parametros_manuales!$I$24*parametros_manuales!$J$24</f>
        <v>15897.96331512</v>
      </c>
      <c r="G196" s="9" t="n">
        <f aca="false">(parametros_manuales!$D$24*(datos_base!$I$2+datos_base!$I$18+IF(parametros_manuales!$H$24="Todos",datos_base!$I$9+datos_base!$I$23,0))*parametros_manuales!$G$95+parametros_manuales!$E$24*(datos_base!$I$3+datos_base!$I$19+IF(parametros_manuales!$H$24="Todos",datos_base!$I$10+datos_base!$I$24,0))*parametros_manuales!$G$100+parametros_manuales!$F$24*(datos_base!$I$4+datos_base!$I$20+IF(parametros_manuales!$H$24="Todos",datos_base!$I$11+datos_base!$I$25,0))*parametros_manuales!$G$105+parametros_manuales!$G$24*(datos_base!$I$5+datos_base!$I$21+IF(parametros_manuales!$H$24="Todos",datos_base!$I$12+datos_base!$I$26,0))*parametros_manuales!$G$110)*parametros_manuales!$I$24*parametros_manuales!$J$24</f>
        <v>15587.422826275</v>
      </c>
      <c r="H196" s="9" t="n">
        <f aca="false">(parametros_manuales!$D$24*(datos_base!$I$2+datos_base!$I$18+IF(parametros_manuales!$H$24="Todos",datos_base!$I$9+datos_base!$I$23,0))*parametros_manuales!$H$95+parametros_manuales!$E$24*(datos_base!$I$3+datos_base!$I$19+IF(parametros_manuales!$H$24="Todos",datos_base!$I$10+datos_base!$I$24,0))*parametros_manuales!$H$100+parametros_manuales!$F$24*(datos_base!$I$4+datos_base!$I$20+IF(parametros_manuales!$H$24="Todos",datos_base!$I$11+datos_base!$I$25,0))*parametros_manuales!$H$105+parametros_manuales!$G$24*(datos_base!$I$5+datos_base!$I$21+IF(parametros_manuales!$H$24="Todos",datos_base!$I$12+datos_base!$I$26,0))*parametros_manuales!$H$110)*parametros_manuales!$I$24*parametros_manuales!$J$24</f>
        <v>16678.62870752</v>
      </c>
      <c r="I196" s="9" t="n">
        <f aca="false">(parametros_manuales!$D$24*(datos_base!$I$2+datos_base!$I$18+IF(parametros_manuales!$H$24="Todos",datos_base!$I$9+datos_base!$I$23,0))*parametros_manuales!$I$95+parametros_manuales!$E$24*(datos_base!$I$3+datos_base!$I$19+IF(parametros_manuales!$H$24="Todos",datos_base!$I$10+datos_base!$I$24,0))*parametros_manuales!$I$100+parametros_manuales!$F$24*(datos_base!$I$4+datos_base!$I$20+IF(parametros_manuales!$H$24="Todos",datos_base!$I$11+datos_base!$I$25,0))*parametros_manuales!$I$105+parametros_manuales!$G$24*(datos_base!$I$5+datos_base!$I$21+IF(parametros_manuales!$H$24="Todos",datos_base!$I$12+datos_base!$I$26,0))*parametros_manuales!$I$110)*parametros_manuales!$I$24*parametros_manuales!$J$24</f>
        <v>19020.62488472</v>
      </c>
      <c r="J196" s="9" t="n">
        <f aca="false">(parametros_manuales!$D$24*(datos_base!$I$2+datos_base!$I$18+IF(parametros_manuales!$H$24="Todos",datos_base!$I$9+datos_base!$I$23,0))*parametros_manuales!$J$95+parametros_manuales!$E$24*(datos_base!$I$3+datos_base!$I$19+IF(parametros_manuales!$H$24="Todos",datos_base!$I$10+datos_base!$I$24,0))*parametros_manuales!$J$100+parametros_manuales!$F$24*(datos_base!$I$4+datos_base!$I$20+IF(parametros_manuales!$H$24="Todos",datos_base!$I$11+datos_base!$I$25,0))*parametros_manuales!$J$105+parametros_manuales!$G$24*(datos_base!$I$5+datos_base!$I$21+IF(parametros_manuales!$H$24="Todos",datos_base!$I$12+datos_base!$I$26,0))*parametros_manuales!$J$110)*parametros_manuales!$I$24*parametros_manuales!$J$24</f>
        <v>19020.62488472</v>
      </c>
      <c r="K196" s="9" t="n">
        <f aca="false">(parametros_manuales!$D$24*(datos_base!$I$2+datos_base!$I$18+IF(parametros_manuales!$H$24="Todos",datos_base!$I$9+datos_base!$I$23,0))*parametros_manuales!$K$95+parametros_manuales!$E$24*(datos_base!$I$3+datos_base!$I$19+IF(parametros_manuales!$H$24="Todos",datos_base!$I$10+datos_base!$I$24,0))*parametros_manuales!$K$100+parametros_manuales!$F$24*(datos_base!$I$4+datos_base!$I$20+IF(parametros_manuales!$H$24="Todos",datos_base!$I$11+datos_base!$I$25,0))*parametros_manuales!$K$105+parametros_manuales!$G$24*(datos_base!$I$5+datos_base!$I$21+IF(parametros_manuales!$H$24="Todos",datos_base!$I$12+datos_base!$I$26,0))*parametros_manuales!$K$110)*parametros_manuales!$I$24*parametros_manuales!$J$24</f>
        <v>19331.165373565</v>
      </c>
      <c r="L196" s="9" t="n">
        <f aca="false">(parametros_manuales!$D$24*(datos_base!$I$2+datos_base!$I$18+IF(parametros_manuales!$H$24="Todos",datos_base!$I$9+datos_base!$I$23,0))*parametros_manuales!$L$95+parametros_manuales!$E$24*(datos_base!$I$3+datos_base!$I$19+IF(parametros_manuales!$H$24="Todos",datos_base!$I$10+datos_base!$I$24,0))*parametros_manuales!$L$100+parametros_manuales!$F$24*(datos_base!$I$4+datos_base!$I$20+IF(parametros_manuales!$H$24="Todos",datos_base!$I$11+datos_base!$I$25,0))*parametros_manuales!$L$105+parametros_manuales!$G$24*(datos_base!$I$5+datos_base!$I$21+IF(parametros_manuales!$H$24="Todos",datos_base!$I$12+datos_base!$I$26,0))*parametros_manuales!$L$110)*parametros_manuales!$I$24*parametros_manuales!$J$24</f>
        <v>19641.70586241</v>
      </c>
      <c r="M196" s="9" t="n">
        <f aca="false">(parametros_manuales!$D$24*(datos_base!$I$2+datos_base!$I$18+IF(parametros_manuales!$H$24="Todos",datos_base!$I$9+datos_base!$I$23,0))*parametros_manuales!$M$95+parametros_manuales!$E$24*(datos_base!$I$3+datos_base!$I$19+IF(parametros_manuales!$H$24="Todos",datos_base!$I$10+datos_base!$I$24,0))*parametros_manuales!$M$100+parametros_manuales!$F$24*(datos_base!$I$4+datos_base!$I$20+IF(parametros_manuales!$H$24="Todos",datos_base!$I$11+datos_base!$I$25,0))*parametros_manuales!$M$105+parametros_manuales!$G$24*(datos_base!$I$5+datos_base!$I$21+IF(parametros_manuales!$H$24="Todos",datos_base!$I$12+datos_base!$I$26,0))*parametros_manuales!$M$110)*parametros_manuales!$I$24*parametros_manuales!$J$24</f>
        <v>19641.70586241</v>
      </c>
      <c r="N196" s="9" t="n">
        <f aca="false">SUM(B196:M196)</f>
        <v>218241.176249</v>
      </c>
      <c r="O196" s="9" t="n">
        <f aca="false">MAX(B196:M196)</f>
        <v>19641.70586241</v>
      </c>
      <c r="P196" s="43" t="n">
        <f aca="false">O196/(parametros_manuales!$B$7)</f>
        <v>130.9447057494</v>
      </c>
      <c r="Q196" s="8" t="str">
        <f aca="false">IF(O196=0,"-",INDEX($B$190:$M$190,MATCH(O196,B196:M196,0)))</f>
        <v>Ene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datos_base!$I$2+datos_base!$I$18+IF(parametros_manuales!$H$25="Todos",datos_base!$I$9+datos_base!$I$23,0))*parametros_manuales!$B$95+parametros_manuales!$E$25*(datos_base!$I$3+datos_base!$I$19+IF(parametros_manuales!$H$25="Todos",datos_base!$I$10+datos_base!$I$24,0))*parametros_manuales!$B$100+parametros_manuales!$F$25*(datos_base!$I$4+datos_base!$I$20+IF(parametros_manuales!$H$25="Todos",datos_base!$I$11+datos_base!$I$25,0))*parametros_manuales!$B$105+parametros_manuales!$G$25*(datos_base!$I$5+datos_base!$I$21+IF(parametros_manuales!$H$25="Todos",datos_base!$I$12+datos_base!$I$26,0))*parametros_manuales!$B$110)*parametros_manuales!$I$25*parametros_manuales!$J$25</f>
        <v>19641.70586241</v>
      </c>
      <c r="C197" s="9" t="n">
        <f aca="false">(parametros_manuales!$D$25*(datos_base!$I$2+datos_base!$I$18+IF(parametros_manuales!$H$25="Todos",datos_base!$I$9+datos_base!$I$23,0))*parametros_manuales!$C$95+parametros_manuales!$E$25*(datos_base!$I$3+datos_base!$I$19+IF(parametros_manuales!$H$25="Todos",datos_base!$I$10+datos_base!$I$24,0))*parametros_manuales!$C$100+parametros_manuales!$F$25*(datos_base!$I$4+datos_base!$I$20+IF(parametros_manuales!$H$25="Todos",datos_base!$I$11+datos_base!$I$25,0))*parametros_manuales!$C$105+parametros_manuales!$G$25*(datos_base!$I$5+datos_base!$I$21+IF(parametros_manuales!$H$25="Todos",datos_base!$I$12+datos_base!$I$26,0))*parametros_manuales!$C$110)*parametros_manuales!$I$25*parametros_manuales!$J$25</f>
        <v>19020.62488472</v>
      </c>
      <c r="D197" s="9" t="n">
        <f aca="false">(parametros_manuales!$D$25*(datos_base!$I$2+datos_base!$I$18+IF(parametros_manuales!$H$25="Todos",datos_base!$I$9+datos_base!$I$23,0))*parametros_manuales!$D$95+parametros_manuales!$E$25*(datos_base!$I$3+datos_base!$I$19+IF(parametros_manuales!$H$25="Todos",datos_base!$I$10+datos_base!$I$24,0))*parametros_manuales!$D$100+parametros_manuales!$F$25*(datos_base!$I$4+datos_base!$I$20+IF(parametros_manuales!$H$25="Todos",datos_base!$I$11+datos_base!$I$25,0))*parametros_manuales!$D$105+parametros_manuales!$G$25*(datos_base!$I$5+datos_base!$I$21+IF(parametros_manuales!$H$25="Todos",datos_base!$I$12+datos_base!$I$26,0))*parametros_manuales!$D$110)*parametros_manuales!$I$25*parametros_manuales!$J$25</f>
        <v>17769.834588765</v>
      </c>
      <c r="E197" s="9" t="n">
        <f aca="false">(parametros_manuales!$D$25*(datos_base!$I$2+datos_base!$I$18+IF(parametros_manuales!$H$25="Todos",datos_base!$I$9+datos_base!$I$23,0))*parametros_manuales!$E$95+parametros_manuales!$E$25*(datos_base!$I$3+datos_base!$I$19+IF(parametros_manuales!$H$25="Todos",datos_base!$I$10+datos_base!$I$24,0))*parametros_manuales!$E$100+parametros_manuales!$F$25*(datos_base!$I$4+datos_base!$I$20+IF(parametros_manuales!$H$25="Todos",datos_base!$I$11+datos_base!$I$25,0))*parametros_manuales!$E$105+parametros_manuales!$G$25*(datos_base!$I$5+datos_base!$I$21+IF(parametros_manuales!$H$25="Todos",datos_base!$I$12+datos_base!$I$26,0))*parametros_manuales!$E$110)*parametros_manuales!$I$25*parametros_manuales!$J$25</f>
        <v>16989.169196365</v>
      </c>
      <c r="F197" s="9" t="n">
        <f aca="false">(parametros_manuales!$D$25*(datos_base!$I$2+datos_base!$I$18+IF(parametros_manuales!$H$25="Todos",datos_base!$I$9+datos_base!$I$23,0))*parametros_manuales!$F$95+parametros_manuales!$E$25*(datos_base!$I$3+datos_base!$I$19+IF(parametros_manuales!$H$25="Todos",datos_base!$I$10+datos_base!$I$24,0))*parametros_manuales!$F$100+parametros_manuales!$F$25*(datos_base!$I$4+datos_base!$I$20+IF(parametros_manuales!$H$25="Todos",datos_base!$I$11+datos_base!$I$25,0))*parametros_manuales!$F$105+parametros_manuales!$G$25*(datos_base!$I$5+datos_base!$I$21+IF(parametros_manuales!$H$25="Todos",datos_base!$I$12+datos_base!$I$26,0))*parametros_manuales!$F$110)*parametros_manuales!$I$25*parametros_manuales!$J$25</f>
        <v>15897.96331512</v>
      </c>
      <c r="G197" s="9" t="n">
        <f aca="false">(parametros_manuales!$D$25*(datos_base!$I$2+datos_base!$I$18+IF(parametros_manuales!$H$25="Todos",datos_base!$I$9+datos_base!$I$23,0))*parametros_manuales!$G$95+parametros_manuales!$E$25*(datos_base!$I$3+datos_base!$I$19+IF(parametros_manuales!$H$25="Todos",datos_base!$I$10+datos_base!$I$24,0))*parametros_manuales!$G$100+parametros_manuales!$F$25*(datos_base!$I$4+datos_base!$I$20+IF(parametros_manuales!$H$25="Todos",datos_base!$I$11+datos_base!$I$25,0))*parametros_manuales!$G$105+parametros_manuales!$G$25*(datos_base!$I$5+datos_base!$I$21+IF(parametros_manuales!$H$25="Todos",datos_base!$I$12+datos_base!$I$26,0))*parametros_manuales!$G$110)*parametros_manuales!$I$25*parametros_manuales!$J$25</f>
        <v>15587.422826275</v>
      </c>
      <c r="H197" s="9" t="n">
        <f aca="false">(parametros_manuales!$D$25*(datos_base!$I$2+datos_base!$I$18+IF(parametros_manuales!$H$25="Todos",datos_base!$I$9+datos_base!$I$23,0))*parametros_manuales!$H$95+parametros_manuales!$E$25*(datos_base!$I$3+datos_base!$I$19+IF(parametros_manuales!$H$25="Todos",datos_base!$I$10+datos_base!$I$24,0))*parametros_manuales!$H$100+parametros_manuales!$F$25*(datos_base!$I$4+datos_base!$I$20+IF(parametros_manuales!$H$25="Todos",datos_base!$I$11+datos_base!$I$25,0))*parametros_manuales!$H$105+parametros_manuales!$G$25*(datos_base!$I$5+datos_base!$I$21+IF(parametros_manuales!$H$25="Todos",datos_base!$I$12+datos_base!$I$26,0))*parametros_manuales!$H$110)*parametros_manuales!$I$25*parametros_manuales!$J$25</f>
        <v>16678.62870752</v>
      </c>
      <c r="I197" s="9" t="n">
        <f aca="false">(parametros_manuales!$D$25*(datos_base!$I$2+datos_base!$I$18+IF(parametros_manuales!$H$25="Todos",datos_base!$I$9+datos_base!$I$23,0))*parametros_manuales!$I$95+parametros_manuales!$E$25*(datos_base!$I$3+datos_base!$I$19+IF(parametros_manuales!$H$25="Todos",datos_base!$I$10+datos_base!$I$24,0))*parametros_manuales!$I$100+parametros_manuales!$F$25*(datos_base!$I$4+datos_base!$I$20+IF(parametros_manuales!$H$25="Todos",datos_base!$I$11+datos_base!$I$25,0))*parametros_manuales!$I$105+parametros_manuales!$G$25*(datos_base!$I$5+datos_base!$I$21+IF(parametros_manuales!$H$25="Todos",datos_base!$I$12+datos_base!$I$26,0))*parametros_manuales!$I$110)*parametros_manuales!$I$25*parametros_manuales!$J$25</f>
        <v>19020.62488472</v>
      </c>
      <c r="J197" s="9" t="n">
        <f aca="false">(parametros_manuales!$D$25*(datos_base!$I$2+datos_base!$I$18+IF(parametros_manuales!$H$25="Todos",datos_base!$I$9+datos_base!$I$23,0))*parametros_manuales!$J$95+parametros_manuales!$E$25*(datos_base!$I$3+datos_base!$I$19+IF(parametros_manuales!$H$25="Todos",datos_base!$I$10+datos_base!$I$24,0))*parametros_manuales!$J$100+parametros_manuales!$F$25*(datos_base!$I$4+datos_base!$I$20+IF(parametros_manuales!$H$25="Todos",datos_base!$I$11+datos_base!$I$25,0))*parametros_manuales!$J$105+parametros_manuales!$G$25*(datos_base!$I$5+datos_base!$I$21+IF(parametros_manuales!$H$25="Todos",datos_base!$I$12+datos_base!$I$26,0))*parametros_manuales!$J$110)*parametros_manuales!$I$25*parametros_manuales!$J$25</f>
        <v>19020.62488472</v>
      </c>
      <c r="K197" s="9" t="n">
        <f aca="false">(parametros_manuales!$D$25*(datos_base!$I$2+datos_base!$I$18+IF(parametros_manuales!$H$25="Todos",datos_base!$I$9+datos_base!$I$23,0))*parametros_manuales!$K$95+parametros_manuales!$E$25*(datos_base!$I$3+datos_base!$I$19+IF(parametros_manuales!$H$25="Todos",datos_base!$I$10+datos_base!$I$24,0))*parametros_manuales!$K$100+parametros_manuales!$F$25*(datos_base!$I$4+datos_base!$I$20+IF(parametros_manuales!$H$25="Todos",datos_base!$I$11+datos_base!$I$25,0))*parametros_manuales!$K$105+parametros_manuales!$G$25*(datos_base!$I$5+datos_base!$I$21+IF(parametros_manuales!$H$25="Todos",datos_base!$I$12+datos_base!$I$26,0))*parametros_manuales!$K$110)*parametros_manuales!$I$25*parametros_manuales!$J$25</f>
        <v>19331.165373565</v>
      </c>
      <c r="L197" s="9" t="n">
        <f aca="false">(parametros_manuales!$D$25*(datos_base!$I$2+datos_base!$I$18+IF(parametros_manuales!$H$25="Todos",datos_base!$I$9+datos_base!$I$23,0))*parametros_manuales!$L$95+parametros_manuales!$E$25*(datos_base!$I$3+datos_base!$I$19+IF(parametros_manuales!$H$25="Todos",datos_base!$I$10+datos_base!$I$24,0))*parametros_manuales!$L$100+parametros_manuales!$F$25*(datos_base!$I$4+datos_base!$I$20+IF(parametros_manuales!$H$25="Todos",datos_base!$I$11+datos_base!$I$25,0))*parametros_manuales!$L$105+parametros_manuales!$G$25*(datos_base!$I$5+datos_base!$I$21+IF(parametros_manuales!$H$25="Todos",datos_base!$I$12+datos_base!$I$26,0))*parametros_manuales!$L$110)*parametros_manuales!$I$25*parametros_manuales!$J$25</f>
        <v>19641.70586241</v>
      </c>
      <c r="M197" s="9" t="n">
        <f aca="false">(parametros_manuales!$D$25*(datos_base!$I$2+datos_base!$I$18+IF(parametros_manuales!$H$25="Todos",datos_base!$I$9+datos_base!$I$23,0))*parametros_manuales!$M$95+parametros_manuales!$E$25*(datos_base!$I$3+datos_base!$I$19+IF(parametros_manuales!$H$25="Todos",datos_base!$I$10+datos_base!$I$24,0))*parametros_manuales!$M$100+parametros_manuales!$F$25*(datos_base!$I$4+datos_base!$I$20+IF(parametros_manuales!$H$25="Todos",datos_base!$I$11+datos_base!$I$25,0))*parametros_manuales!$M$105+parametros_manuales!$G$25*(datos_base!$I$5+datos_base!$I$21+IF(parametros_manuales!$H$25="Todos",datos_base!$I$12+datos_base!$I$26,0))*parametros_manuales!$M$110)*parametros_manuales!$I$25*parametros_manuales!$J$25</f>
        <v>19641.70586241</v>
      </c>
      <c r="N197" s="9" t="n">
        <f aca="false">SUM(B197:M197)</f>
        <v>218241.176249</v>
      </c>
      <c r="O197" s="9" t="n">
        <f aca="false">MAX(B197:M197)</f>
        <v>19641.70586241</v>
      </c>
      <c r="P197" s="43" t="n">
        <f aca="false">O197/(parametros_manuales!$B$7)</f>
        <v>130.9447057494</v>
      </c>
      <c r="Q197" s="8" t="str">
        <f aca="false">IF(O197=0,"-",INDEX($B$190:$M$190,MATCH(O197,B197:M197,0)))</f>
        <v>Ene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datos_base!$I$2+datos_base!$I$18+IF(parametros_manuales!$H$26="Todos",datos_base!$I$9+datos_base!$I$23,0))*parametros_manuales!$B$95+parametros_manuales!$E$26*(datos_base!$I$3+datos_base!$I$19+IF(parametros_manuales!$H$26="Todos",datos_base!$I$10+datos_base!$I$24,0))*parametros_manuales!$B$100+parametros_manuales!$F$26*(datos_base!$I$4+datos_base!$I$20+IF(parametros_manuales!$H$26="Todos",datos_base!$I$11+datos_base!$I$25,0))*parametros_manuales!$B$105+parametros_manuales!$G$26*(datos_base!$I$5+datos_base!$I$21+IF(parametros_manuales!$H$26="Todos",datos_base!$I$12+datos_base!$I$26,0))*parametros_manuales!$B$110)*parametros_manuales!$I$26*parametros_manuales!$J$26</f>
        <v>5589.72879921</v>
      </c>
      <c r="C198" s="9" t="n">
        <f aca="false">(parametros_manuales!$D$26*(datos_base!$I$2+datos_base!$I$18+IF(parametros_manuales!$H$26="Todos",datos_base!$I$9+datos_base!$I$23,0))*parametros_manuales!$C$95+parametros_manuales!$E$26*(datos_base!$I$3+datos_base!$I$19+IF(parametros_manuales!$H$26="Todos",datos_base!$I$10+datos_base!$I$24,0))*parametros_manuales!$C$100+parametros_manuales!$F$26*(datos_base!$I$4+datos_base!$I$20+IF(parametros_manuales!$H$26="Todos",datos_base!$I$11+datos_base!$I$25,0))*parametros_manuales!$C$105+parametros_manuales!$G$26*(datos_base!$I$5+datos_base!$I$21+IF(parametros_manuales!$H$26="Todos",datos_base!$I$12+datos_base!$I$26,0))*parametros_manuales!$C$110)*parametros_manuales!$I$26*parametros_manuales!$J$26</f>
        <v>4968.64782152</v>
      </c>
      <c r="D198" s="9" t="n">
        <f aca="false">(parametros_manuales!$D$26*(datos_base!$I$2+datos_base!$I$18+IF(parametros_manuales!$H$26="Todos",datos_base!$I$9+datos_base!$I$23,0))*parametros_manuales!$D$95+parametros_manuales!$E$26*(datos_base!$I$3+datos_base!$I$19+IF(parametros_manuales!$H$26="Todos",datos_base!$I$10+datos_base!$I$24,0))*parametros_manuales!$D$100+parametros_manuales!$F$26*(datos_base!$I$4+datos_base!$I$20+IF(parametros_manuales!$H$26="Todos",datos_base!$I$11+datos_base!$I$25,0))*parametros_manuales!$D$105+parametros_manuales!$G$26*(datos_base!$I$5+datos_base!$I$21+IF(parametros_manuales!$H$26="Todos",datos_base!$I$12+datos_base!$I$26,0))*parametros_manuales!$D$110)*parametros_manuales!$I$26*parametros_manuales!$J$26</f>
        <v>5279.188310365</v>
      </c>
      <c r="E198" s="9" t="n">
        <f aca="false">(parametros_manuales!$D$26*(datos_base!$I$2+datos_base!$I$18+IF(parametros_manuales!$H$26="Todos",datos_base!$I$9+datos_base!$I$23,0))*parametros_manuales!$E$95+parametros_manuales!$E$26*(datos_base!$I$3+datos_base!$I$19+IF(parametros_manuales!$H$26="Todos",datos_base!$I$10+datos_base!$I$24,0))*parametros_manuales!$E$100+parametros_manuales!$F$26*(datos_base!$I$4+datos_base!$I$20+IF(parametros_manuales!$H$26="Todos",datos_base!$I$11+datos_base!$I$25,0))*parametros_manuales!$E$105+parametros_manuales!$G$26*(datos_base!$I$5+datos_base!$I$21+IF(parametros_manuales!$H$26="Todos",datos_base!$I$12+datos_base!$I$26,0))*parametros_manuales!$E$110)*parametros_manuales!$I$26*parametros_manuales!$J$26</f>
        <v>5279.188310365</v>
      </c>
      <c r="F198" s="9" t="n">
        <f aca="false">(parametros_manuales!$D$26*(datos_base!$I$2+datos_base!$I$18+IF(parametros_manuales!$H$26="Todos",datos_base!$I$9+datos_base!$I$23,0))*parametros_manuales!$F$95+parametros_manuales!$E$26*(datos_base!$I$3+datos_base!$I$19+IF(parametros_manuales!$H$26="Todos",datos_base!$I$10+datos_base!$I$24,0))*parametros_manuales!$F$100+parametros_manuales!$F$26*(datos_base!$I$4+datos_base!$I$20+IF(parametros_manuales!$H$26="Todos",datos_base!$I$11+datos_base!$I$25,0))*parametros_manuales!$F$105+parametros_manuales!$G$26*(datos_base!$I$5+datos_base!$I$21+IF(parametros_manuales!$H$26="Todos",datos_base!$I$12+datos_base!$I$26,0))*parametros_manuales!$F$110)*parametros_manuales!$I$26*parametros_manuales!$J$26</f>
        <v>4968.64782152</v>
      </c>
      <c r="G198" s="9" t="n">
        <f aca="false">(parametros_manuales!$D$26*(datos_base!$I$2+datos_base!$I$18+IF(parametros_manuales!$H$26="Todos",datos_base!$I$9+datos_base!$I$23,0))*parametros_manuales!$G$95+parametros_manuales!$E$26*(datos_base!$I$3+datos_base!$I$19+IF(parametros_manuales!$H$26="Todos",datos_base!$I$10+datos_base!$I$24,0))*parametros_manuales!$G$100+parametros_manuales!$F$26*(datos_base!$I$4+datos_base!$I$20+IF(parametros_manuales!$H$26="Todos",datos_base!$I$11+datos_base!$I$25,0))*parametros_manuales!$G$105+parametros_manuales!$G$26*(datos_base!$I$5+datos_base!$I$21+IF(parametros_manuales!$H$26="Todos",datos_base!$I$12+datos_base!$I$26,0))*parametros_manuales!$G$110)*parametros_manuales!$I$26*parametros_manuales!$J$26</f>
        <v>4658.107332675</v>
      </c>
      <c r="H198" s="9" t="n">
        <f aca="false">(parametros_manuales!$D$26*(datos_base!$I$2+datos_base!$I$18+IF(parametros_manuales!$H$26="Todos",datos_base!$I$9+datos_base!$I$23,0))*parametros_manuales!$H$95+parametros_manuales!$E$26*(datos_base!$I$3+datos_base!$I$19+IF(parametros_manuales!$H$26="Todos",datos_base!$I$10+datos_base!$I$24,0))*parametros_manuales!$H$100+parametros_manuales!$F$26*(datos_base!$I$4+datos_base!$I$20+IF(parametros_manuales!$H$26="Todos",datos_base!$I$11+datos_base!$I$25,0))*parametros_manuales!$H$105+parametros_manuales!$G$26*(datos_base!$I$5+datos_base!$I$21+IF(parametros_manuales!$H$26="Todos",datos_base!$I$12+datos_base!$I$26,0))*parametros_manuales!$H$110)*parametros_manuales!$I$26*parametros_manuales!$J$26</f>
        <v>4968.64782152</v>
      </c>
      <c r="I198" s="9" t="n">
        <f aca="false">(parametros_manuales!$D$26*(datos_base!$I$2+datos_base!$I$18+IF(parametros_manuales!$H$26="Todos",datos_base!$I$9+datos_base!$I$23,0))*parametros_manuales!$I$95+parametros_manuales!$E$26*(datos_base!$I$3+datos_base!$I$19+IF(parametros_manuales!$H$26="Todos",datos_base!$I$10+datos_base!$I$24,0))*parametros_manuales!$I$100+parametros_manuales!$F$26*(datos_base!$I$4+datos_base!$I$20+IF(parametros_manuales!$H$26="Todos",datos_base!$I$11+datos_base!$I$25,0))*parametros_manuales!$I$105+parametros_manuales!$G$26*(datos_base!$I$5+datos_base!$I$21+IF(parametros_manuales!$H$26="Todos",datos_base!$I$12+datos_base!$I$26,0))*parametros_manuales!$I$110)*parametros_manuales!$I$26*parametros_manuales!$J$26</f>
        <v>4968.64782152</v>
      </c>
      <c r="J198" s="9" t="n">
        <f aca="false">(parametros_manuales!$D$26*(datos_base!$I$2+datos_base!$I$18+IF(parametros_manuales!$H$26="Todos",datos_base!$I$9+datos_base!$I$23,0))*parametros_manuales!$J$95+parametros_manuales!$E$26*(datos_base!$I$3+datos_base!$I$19+IF(parametros_manuales!$H$26="Todos",datos_base!$I$10+datos_base!$I$24,0))*parametros_manuales!$J$100+parametros_manuales!$F$26*(datos_base!$I$4+datos_base!$I$20+IF(parametros_manuales!$H$26="Todos",datos_base!$I$11+datos_base!$I$25,0))*parametros_manuales!$J$105+parametros_manuales!$G$26*(datos_base!$I$5+datos_base!$I$21+IF(parametros_manuales!$H$26="Todos",datos_base!$I$12+datos_base!$I$26,0))*parametros_manuales!$J$110)*parametros_manuales!$I$26*parametros_manuales!$J$26</f>
        <v>4968.64782152</v>
      </c>
      <c r="K198" s="9" t="n">
        <f aca="false">(parametros_manuales!$D$26*(datos_base!$I$2+datos_base!$I$18+IF(parametros_manuales!$H$26="Todos",datos_base!$I$9+datos_base!$I$23,0))*parametros_manuales!$K$95+parametros_manuales!$E$26*(datos_base!$I$3+datos_base!$I$19+IF(parametros_manuales!$H$26="Todos",datos_base!$I$10+datos_base!$I$24,0))*parametros_manuales!$K$100+parametros_manuales!$F$26*(datos_base!$I$4+datos_base!$I$20+IF(parametros_manuales!$H$26="Todos",datos_base!$I$11+datos_base!$I$25,0))*parametros_manuales!$K$105+parametros_manuales!$G$26*(datos_base!$I$5+datos_base!$I$21+IF(parametros_manuales!$H$26="Todos",datos_base!$I$12+datos_base!$I$26,0))*parametros_manuales!$K$110)*parametros_manuales!$I$26*parametros_manuales!$J$26</f>
        <v>5279.188310365</v>
      </c>
      <c r="L198" s="9" t="n">
        <f aca="false">(parametros_manuales!$D$26*(datos_base!$I$2+datos_base!$I$18+IF(parametros_manuales!$H$26="Todos",datos_base!$I$9+datos_base!$I$23,0))*parametros_manuales!$L$95+parametros_manuales!$E$26*(datos_base!$I$3+datos_base!$I$19+IF(parametros_manuales!$H$26="Todos",datos_base!$I$10+datos_base!$I$24,0))*parametros_manuales!$L$100+parametros_manuales!$F$26*(datos_base!$I$4+datos_base!$I$20+IF(parametros_manuales!$H$26="Todos",datos_base!$I$11+datos_base!$I$25,0))*parametros_manuales!$L$105+parametros_manuales!$G$26*(datos_base!$I$5+datos_base!$I$21+IF(parametros_manuales!$H$26="Todos",datos_base!$I$12+datos_base!$I$26,0))*parametros_manuales!$L$110)*parametros_manuales!$I$26*parametros_manuales!$J$26</f>
        <v>5589.72879921</v>
      </c>
      <c r="M198" s="9" t="n">
        <f aca="false">(parametros_manuales!$D$26*(datos_base!$I$2+datos_base!$I$18+IF(parametros_manuales!$H$26="Todos",datos_base!$I$9+datos_base!$I$23,0))*parametros_manuales!$M$95+parametros_manuales!$E$26*(datos_base!$I$3+datos_base!$I$19+IF(parametros_manuales!$H$26="Todos",datos_base!$I$10+datos_base!$I$24,0))*parametros_manuales!$M$100+parametros_manuales!$F$26*(datos_base!$I$4+datos_base!$I$20+IF(parametros_manuales!$H$26="Todos",datos_base!$I$11+datos_base!$I$25,0))*parametros_manuales!$M$105+parametros_manuales!$G$26*(datos_base!$I$5+datos_base!$I$21+IF(parametros_manuales!$H$26="Todos",datos_base!$I$12+datos_base!$I$26,0))*parametros_manuales!$M$110)*parametros_manuales!$I$26*parametros_manuales!$J$26</f>
        <v>5589.72879921</v>
      </c>
      <c r="N198" s="9" t="n">
        <f aca="false">SUM(B198:M198)</f>
        <v>62108.097769</v>
      </c>
      <c r="O198" s="9" t="n">
        <f aca="false">MAX(B198:M198)</f>
        <v>5589.72879921</v>
      </c>
      <c r="P198" s="43" t="n">
        <f aca="false">O198/(parametros_manuales!$B$7)</f>
        <v>37.2648586614</v>
      </c>
      <c r="Q198" s="8" t="str">
        <f aca="false">IF(O198=0,"-",INDEX($B$190:$M$190,MATCH(O198,B198:M198,0)))</f>
        <v>Ene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datos_base!$I$2+datos_base!$I$18+IF(parametros_manuales!$H$27="Todos",datos_base!$I$9+datos_base!$I$23,0))*parametros_manuales!$B$95+parametros_manuales!$E$27*(datos_base!$I$3+datos_base!$I$19+IF(parametros_manuales!$H$27="Todos",datos_base!$I$10+datos_base!$I$24,0))*parametros_manuales!$B$100+parametros_manuales!$F$27*(datos_base!$I$4+datos_base!$I$20+IF(parametros_manuales!$H$27="Todos",datos_base!$I$11+datos_base!$I$25,0))*parametros_manuales!$B$105+parametros_manuales!$G$27*(datos_base!$I$5+datos_base!$I$21+IF(parametros_manuales!$H$27="Todos",datos_base!$I$12+datos_base!$I$26,0))*parametros_manuales!$B$110)*parametros_manuales!$I$27*parametros_manuales!$J$27</f>
        <v>5589.72879921</v>
      </c>
      <c r="C199" s="9" t="n">
        <f aca="false">(parametros_manuales!$D$27*(datos_base!$I$2+datos_base!$I$18+IF(parametros_manuales!$H$27="Todos",datos_base!$I$9+datos_base!$I$23,0))*parametros_manuales!$C$95+parametros_manuales!$E$27*(datos_base!$I$3+datos_base!$I$19+IF(parametros_manuales!$H$27="Todos",datos_base!$I$10+datos_base!$I$24,0))*parametros_manuales!$C$100+parametros_manuales!$F$27*(datos_base!$I$4+datos_base!$I$20+IF(parametros_manuales!$H$27="Todos",datos_base!$I$11+datos_base!$I$25,0))*parametros_manuales!$C$105+parametros_manuales!$G$27*(datos_base!$I$5+datos_base!$I$21+IF(parametros_manuales!$H$27="Todos",datos_base!$I$12+datos_base!$I$26,0))*parametros_manuales!$C$110)*parametros_manuales!$I$27*parametros_manuales!$J$27</f>
        <v>4968.64782152</v>
      </c>
      <c r="D199" s="9" t="n">
        <f aca="false">(parametros_manuales!$D$27*(datos_base!$I$2+datos_base!$I$18+IF(parametros_manuales!$H$27="Todos",datos_base!$I$9+datos_base!$I$23,0))*parametros_manuales!$D$95+parametros_manuales!$E$27*(datos_base!$I$3+datos_base!$I$19+IF(parametros_manuales!$H$27="Todos",datos_base!$I$10+datos_base!$I$24,0))*parametros_manuales!$D$100+parametros_manuales!$F$27*(datos_base!$I$4+datos_base!$I$20+IF(parametros_manuales!$H$27="Todos",datos_base!$I$11+datos_base!$I$25,0))*parametros_manuales!$D$105+parametros_manuales!$G$27*(datos_base!$I$5+datos_base!$I$21+IF(parametros_manuales!$H$27="Todos",datos_base!$I$12+datos_base!$I$26,0))*parametros_manuales!$D$110)*parametros_manuales!$I$27*parametros_manuales!$J$27</f>
        <v>5279.188310365</v>
      </c>
      <c r="E199" s="9" t="n">
        <f aca="false">(parametros_manuales!$D$27*(datos_base!$I$2+datos_base!$I$18+IF(parametros_manuales!$H$27="Todos",datos_base!$I$9+datos_base!$I$23,0))*parametros_manuales!$E$95+parametros_manuales!$E$27*(datos_base!$I$3+datos_base!$I$19+IF(parametros_manuales!$H$27="Todos",datos_base!$I$10+datos_base!$I$24,0))*parametros_manuales!$E$100+parametros_manuales!$F$27*(datos_base!$I$4+datos_base!$I$20+IF(parametros_manuales!$H$27="Todos",datos_base!$I$11+datos_base!$I$25,0))*parametros_manuales!$E$105+parametros_manuales!$G$27*(datos_base!$I$5+datos_base!$I$21+IF(parametros_manuales!$H$27="Todos",datos_base!$I$12+datos_base!$I$26,0))*parametros_manuales!$E$110)*parametros_manuales!$I$27*parametros_manuales!$J$27</f>
        <v>5279.188310365</v>
      </c>
      <c r="F199" s="9" t="n">
        <f aca="false">(parametros_manuales!$D$27*(datos_base!$I$2+datos_base!$I$18+IF(parametros_manuales!$H$27="Todos",datos_base!$I$9+datos_base!$I$23,0))*parametros_manuales!$F$95+parametros_manuales!$E$27*(datos_base!$I$3+datos_base!$I$19+IF(parametros_manuales!$H$27="Todos",datos_base!$I$10+datos_base!$I$24,0))*parametros_manuales!$F$100+parametros_manuales!$F$27*(datos_base!$I$4+datos_base!$I$20+IF(parametros_manuales!$H$27="Todos",datos_base!$I$11+datos_base!$I$25,0))*parametros_manuales!$F$105+parametros_manuales!$G$27*(datos_base!$I$5+datos_base!$I$21+IF(parametros_manuales!$H$27="Todos",datos_base!$I$12+datos_base!$I$26,0))*parametros_manuales!$F$110)*parametros_manuales!$I$27*parametros_manuales!$J$27</f>
        <v>4968.64782152</v>
      </c>
      <c r="G199" s="9" t="n">
        <f aca="false">(parametros_manuales!$D$27*(datos_base!$I$2+datos_base!$I$18+IF(parametros_manuales!$H$27="Todos",datos_base!$I$9+datos_base!$I$23,0))*parametros_manuales!$G$95+parametros_manuales!$E$27*(datos_base!$I$3+datos_base!$I$19+IF(parametros_manuales!$H$27="Todos",datos_base!$I$10+datos_base!$I$24,0))*parametros_manuales!$G$100+parametros_manuales!$F$27*(datos_base!$I$4+datos_base!$I$20+IF(parametros_manuales!$H$27="Todos",datos_base!$I$11+datos_base!$I$25,0))*parametros_manuales!$G$105+parametros_manuales!$G$27*(datos_base!$I$5+datos_base!$I$21+IF(parametros_manuales!$H$27="Todos",datos_base!$I$12+datos_base!$I$26,0))*parametros_manuales!$G$110)*parametros_manuales!$I$27*parametros_manuales!$J$27</f>
        <v>4658.107332675</v>
      </c>
      <c r="H199" s="9" t="n">
        <f aca="false">(parametros_manuales!$D$27*(datos_base!$I$2+datos_base!$I$18+IF(parametros_manuales!$H$27="Todos",datos_base!$I$9+datos_base!$I$23,0))*parametros_manuales!$H$95+parametros_manuales!$E$27*(datos_base!$I$3+datos_base!$I$19+IF(parametros_manuales!$H$27="Todos",datos_base!$I$10+datos_base!$I$24,0))*parametros_manuales!$H$100+parametros_manuales!$F$27*(datos_base!$I$4+datos_base!$I$20+IF(parametros_manuales!$H$27="Todos",datos_base!$I$11+datos_base!$I$25,0))*parametros_manuales!$H$105+parametros_manuales!$G$27*(datos_base!$I$5+datos_base!$I$21+IF(parametros_manuales!$H$27="Todos",datos_base!$I$12+datos_base!$I$26,0))*parametros_manuales!$H$110)*parametros_manuales!$I$27*parametros_manuales!$J$27</f>
        <v>4968.64782152</v>
      </c>
      <c r="I199" s="9" t="n">
        <f aca="false">(parametros_manuales!$D$27*(datos_base!$I$2+datos_base!$I$18+IF(parametros_manuales!$H$27="Todos",datos_base!$I$9+datos_base!$I$23,0))*parametros_manuales!$I$95+parametros_manuales!$E$27*(datos_base!$I$3+datos_base!$I$19+IF(parametros_manuales!$H$27="Todos",datos_base!$I$10+datos_base!$I$24,0))*parametros_manuales!$I$100+parametros_manuales!$F$27*(datos_base!$I$4+datos_base!$I$20+IF(parametros_manuales!$H$27="Todos",datos_base!$I$11+datos_base!$I$25,0))*parametros_manuales!$I$105+parametros_manuales!$G$27*(datos_base!$I$5+datos_base!$I$21+IF(parametros_manuales!$H$27="Todos",datos_base!$I$12+datos_base!$I$26,0))*parametros_manuales!$I$110)*parametros_manuales!$I$27*parametros_manuales!$J$27</f>
        <v>4968.64782152</v>
      </c>
      <c r="J199" s="9" t="n">
        <f aca="false">(parametros_manuales!$D$27*(datos_base!$I$2+datos_base!$I$18+IF(parametros_manuales!$H$27="Todos",datos_base!$I$9+datos_base!$I$23,0))*parametros_manuales!$J$95+parametros_manuales!$E$27*(datos_base!$I$3+datos_base!$I$19+IF(parametros_manuales!$H$27="Todos",datos_base!$I$10+datos_base!$I$24,0))*parametros_manuales!$J$100+parametros_manuales!$F$27*(datos_base!$I$4+datos_base!$I$20+IF(parametros_manuales!$H$27="Todos",datos_base!$I$11+datos_base!$I$25,0))*parametros_manuales!$J$105+parametros_manuales!$G$27*(datos_base!$I$5+datos_base!$I$21+IF(parametros_manuales!$H$27="Todos",datos_base!$I$12+datos_base!$I$26,0))*parametros_manuales!$J$110)*parametros_manuales!$I$27*parametros_manuales!$J$27</f>
        <v>4968.64782152</v>
      </c>
      <c r="K199" s="9" t="n">
        <f aca="false">(parametros_manuales!$D$27*(datos_base!$I$2+datos_base!$I$18+IF(parametros_manuales!$H$27="Todos",datos_base!$I$9+datos_base!$I$23,0))*parametros_manuales!$K$95+parametros_manuales!$E$27*(datos_base!$I$3+datos_base!$I$19+IF(parametros_manuales!$H$27="Todos",datos_base!$I$10+datos_base!$I$24,0))*parametros_manuales!$K$100+parametros_manuales!$F$27*(datos_base!$I$4+datos_base!$I$20+IF(parametros_manuales!$H$27="Todos",datos_base!$I$11+datos_base!$I$25,0))*parametros_manuales!$K$105+parametros_manuales!$G$27*(datos_base!$I$5+datos_base!$I$21+IF(parametros_manuales!$H$27="Todos",datos_base!$I$12+datos_base!$I$26,0))*parametros_manuales!$K$110)*parametros_manuales!$I$27*parametros_manuales!$J$27</f>
        <v>5279.188310365</v>
      </c>
      <c r="L199" s="9" t="n">
        <f aca="false">(parametros_manuales!$D$27*(datos_base!$I$2+datos_base!$I$18+IF(parametros_manuales!$H$27="Todos",datos_base!$I$9+datos_base!$I$23,0))*parametros_manuales!$L$95+parametros_manuales!$E$27*(datos_base!$I$3+datos_base!$I$19+IF(parametros_manuales!$H$27="Todos",datos_base!$I$10+datos_base!$I$24,0))*parametros_manuales!$L$100+parametros_manuales!$F$27*(datos_base!$I$4+datos_base!$I$20+IF(parametros_manuales!$H$27="Todos",datos_base!$I$11+datos_base!$I$25,0))*parametros_manuales!$L$105+parametros_manuales!$G$27*(datos_base!$I$5+datos_base!$I$21+IF(parametros_manuales!$H$27="Todos",datos_base!$I$12+datos_base!$I$26,0))*parametros_manuales!$L$110)*parametros_manuales!$I$27*parametros_manuales!$J$27</f>
        <v>5589.72879921</v>
      </c>
      <c r="M199" s="9" t="n">
        <f aca="false">(parametros_manuales!$D$27*(datos_base!$I$2+datos_base!$I$18+IF(parametros_manuales!$H$27="Todos",datos_base!$I$9+datos_base!$I$23,0))*parametros_manuales!$M$95+parametros_manuales!$E$27*(datos_base!$I$3+datos_base!$I$19+IF(parametros_manuales!$H$27="Todos",datos_base!$I$10+datos_base!$I$24,0))*parametros_manuales!$M$100+parametros_manuales!$F$27*(datos_base!$I$4+datos_base!$I$20+IF(parametros_manuales!$H$27="Todos",datos_base!$I$11+datos_base!$I$25,0))*parametros_manuales!$M$105+parametros_manuales!$G$27*(datos_base!$I$5+datos_base!$I$21+IF(parametros_manuales!$H$27="Todos",datos_base!$I$12+datos_base!$I$26,0))*parametros_manuales!$M$110)*parametros_manuales!$I$27*parametros_manuales!$J$27</f>
        <v>5589.72879921</v>
      </c>
      <c r="N199" s="9" t="n">
        <f aca="false">SUM(B199:M199)</f>
        <v>62108.097769</v>
      </c>
      <c r="O199" s="9" t="n">
        <f aca="false">MAX(B199:M199)</f>
        <v>5589.72879921</v>
      </c>
      <c r="P199" s="43" t="n">
        <f aca="false">O199/(parametros_manuales!$B$7)</f>
        <v>37.2648586614</v>
      </c>
      <c r="Q199" s="8" t="str">
        <f aca="false">IF(O199=0,"-",INDEX($B$190:$M$190,MATCH(O199,B199:M199,0)))</f>
        <v>Ene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datos_base!$I$2+datos_base!$I$18+IF(parametros_manuales!$H$28="Todos",datos_base!$I$9+datos_base!$I$23,0))*parametros_manuales!$B$95+parametros_manuales!$E$28*(datos_base!$I$3+datos_base!$I$19+IF(parametros_manuales!$H$28="Todos",datos_base!$I$10+datos_base!$I$24,0))*parametros_manuales!$B$100+parametros_manuales!$F$28*(datos_base!$I$4+datos_base!$I$20+IF(parametros_manuales!$H$28="Todos",datos_base!$I$11+datos_base!$I$25,0))*parametros_manuales!$B$105+parametros_manuales!$G$28*(datos_base!$I$5+datos_base!$I$21+IF(parametros_manuales!$H$28="Todos",datos_base!$I$12+datos_base!$I$26,0))*parametros_manuales!$B$110)*parametros_manuales!$I$28*parametros_manuales!$J$28</f>
        <v>19641.70586241</v>
      </c>
      <c r="C200" s="9" t="n">
        <f aca="false">(parametros_manuales!$D$28*(datos_base!$I$2+datos_base!$I$18+IF(parametros_manuales!$H$28="Todos",datos_base!$I$9+datos_base!$I$23,0))*parametros_manuales!$C$95+parametros_manuales!$E$28*(datos_base!$I$3+datos_base!$I$19+IF(parametros_manuales!$H$28="Todos",datos_base!$I$10+datos_base!$I$24,0))*parametros_manuales!$C$100+parametros_manuales!$F$28*(datos_base!$I$4+datos_base!$I$20+IF(parametros_manuales!$H$28="Todos",datos_base!$I$11+datos_base!$I$25,0))*parametros_manuales!$C$105+parametros_manuales!$G$28*(datos_base!$I$5+datos_base!$I$21+IF(parametros_manuales!$H$28="Todos",datos_base!$I$12+datos_base!$I$26,0))*parametros_manuales!$C$110)*parametros_manuales!$I$28*parametros_manuales!$J$28</f>
        <v>19020.62488472</v>
      </c>
      <c r="D200" s="9" t="n">
        <f aca="false">(parametros_manuales!$D$28*(datos_base!$I$2+datos_base!$I$18+IF(parametros_manuales!$H$28="Todos",datos_base!$I$9+datos_base!$I$23,0))*parametros_manuales!$D$95+parametros_manuales!$E$28*(datos_base!$I$3+datos_base!$I$19+IF(parametros_manuales!$H$28="Todos",datos_base!$I$10+datos_base!$I$24,0))*parametros_manuales!$D$100+parametros_manuales!$F$28*(datos_base!$I$4+datos_base!$I$20+IF(parametros_manuales!$H$28="Todos",datos_base!$I$11+datos_base!$I$25,0))*parametros_manuales!$D$105+parametros_manuales!$G$28*(datos_base!$I$5+datos_base!$I$21+IF(parametros_manuales!$H$28="Todos",datos_base!$I$12+datos_base!$I$26,0))*parametros_manuales!$D$110)*parametros_manuales!$I$28*parametros_manuales!$J$28</f>
        <v>17769.834588765</v>
      </c>
      <c r="E200" s="9" t="n">
        <f aca="false">(parametros_manuales!$D$28*(datos_base!$I$2+datos_base!$I$18+IF(parametros_manuales!$H$28="Todos",datos_base!$I$9+datos_base!$I$23,0))*parametros_manuales!$E$95+parametros_manuales!$E$28*(datos_base!$I$3+datos_base!$I$19+IF(parametros_manuales!$H$28="Todos",datos_base!$I$10+datos_base!$I$24,0))*parametros_manuales!$E$100+parametros_manuales!$F$28*(datos_base!$I$4+datos_base!$I$20+IF(parametros_manuales!$H$28="Todos",datos_base!$I$11+datos_base!$I$25,0))*parametros_manuales!$E$105+parametros_manuales!$G$28*(datos_base!$I$5+datos_base!$I$21+IF(parametros_manuales!$H$28="Todos",datos_base!$I$12+datos_base!$I$26,0))*parametros_manuales!$E$110)*parametros_manuales!$I$28*parametros_manuales!$J$28</f>
        <v>16989.169196365</v>
      </c>
      <c r="F200" s="9" t="n">
        <f aca="false">(parametros_manuales!$D$28*(datos_base!$I$2+datos_base!$I$18+IF(parametros_manuales!$H$28="Todos",datos_base!$I$9+datos_base!$I$23,0))*parametros_manuales!$F$95+parametros_manuales!$E$28*(datos_base!$I$3+datos_base!$I$19+IF(parametros_manuales!$H$28="Todos",datos_base!$I$10+datos_base!$I$24,0))*parametros_manuales!$F$100+parametros_manuales!$F$28*(datos_base!$I$4+datos_base!$I$20+IF(parametros_manuales!$H$28="Todos",datos_base!$I$11+datos_base!$I$25,0))*parametros_manuales!$F$105+parametros_manuales!$G$28*(datos_base!$I$5+datos_base!$I$21+IF(parametros_manuales!$H$28="Todos",datos_base!$I$12+datos_base!$I$26,0))*parametros_manuales!$F$110)*parametros_manuales!$I$28*parametros_manuales!$J$28</f>
        <v>15897.96331512</v>
      </c>
      <c r="G200" s="9" t="n">
        <f aca="false">(parametros_manuales!$D$28*(datos_base!$I$2+datos_base!$I$18+IF(parametros_manuales!$H$28="Todos",datos_base!$I$9+datos_base!$I$23,0))*parametros_manuales!$G$95+parametros_manuales!$E$28*(datos_base!$I$3+datos_base!$I$19+IF(parametros_manuales!$H$28="Todos",datos_base!$I$10+datos_base!$I$24,0))*parametros_manuales!$G$100+parametros_manuales!$F$28*(datos_base!$I$4+datos_base!$I$20+IF(parametros_manuales!$H$28="Todos",datos_base!$I$11+datos_base!$I$25,0))*parametros_manuales!$G$105+parametros_manuales!$G$28*(datos_base!$I$5+datos_base!$I$21+IF(parametros_manuales!$H$28="Todos",datos_base!$I$12+datos_base!$I$26,0))*parametros_manuales!$G$110)*parametros_manuales!$I$28*parametros_manuales!$J$28</f>
        <v>15587.422826275</v>
      </c>
      <c r="H200" s="9" t="n">
        <f aca="false">(parametros_manuales!$D$28*(datos_base!$I$2+datos_base!$I$18+IF(parametros_manuales!$H$28="Todos",datos_base!$I$9+datos_base!$I$23,0))*parametros_manuales!$H$95+parametros_manuales!$E$28*(datos_base!$I$3+datos_base!$I$19+IF(parametros_manuales!$H$28="Todos",datos_base!$I$10+datos_base!$I$24,0))*parametros_manuales!$H$100+parametros_manuales!$F$28*(datos_base!$I$4+datos_base!$I$20+IF(parametros_manuales!$H$28="Todos",datos_base!$I$11+datos_base!$I$25,0))*parametros_manuales!$H$105+parametros_manuales!$G$28*(datos_base!$I$5+datos_base!$I$21+IF(parametros_manuales!$H$28="Todos",datos_base!$I$12+datos_base!$I$26,0))*parametros_manuales!$H$110)*parametros_manuales!$I$28*parametros_manuales!$J$28</f>
        <v>16678.62870752</v>
      </c>
      <c r="I200" s="9" t="n">
        <f aca="false">(parametros_manuales!$D$28*(datos_base!$I$2+datos_base!$I$18+IF(parametros_manuales!$H$28="Todos",datos_base!$I$9+datos_base!$I$23,0))*parametros_manuales!$I$95+parametros_manuales!$E$28*(datos_base!$I$3+datos_base!$I$19+IF(parametros_manuales!$H$28="Todos",datos_base!$I$10+datos_base!$I$24,0))*parametros_manuales!$I$100+parametros_manuales!$F$28*(datos_base!$I$4+datos_base!$I$20+IF(parametros_manuales!$H$28="Todos",datos_base!$I$11+datos_base!$I$25,0))*parametros_manuales!$I$105+parametros_manuales!$G$28*(datos_base!$I$5+datos_base!$I$21+IF(parametros_manuales!$H$28="Todos",datos_base!$I$12+datos_base!$I$26,0))*parametros_manuales!$I$110)*parametros_manuales!$I$28*parametros_manuales!$J$28</f>
        <v>19020.62488472</v>
      </c>
      <c r="J200" s="9" t="n">
        <f aca="false">(parametros_manuales!$D$28*(datos_base!$I$2+datos_base!$I$18+IF(parametros_manuales!$H$28="Todos",datos_base!$I$9+datos_base!$I$23,0))*parametros_manuales!$J$95+parametros_manuales!$E$28*(datos_base!$I$3+datos_base!$I$19+IF(parametros_manuales!$H$28="Todos",datos_base!$I$10+datos_base!$I$24,0))*parametros_manuales!$J$100+parametros_manuales!$F$28*(datos_base!$I$4+datos_base!$I$20+IF(parametros_manuales!$H$28="Todos",datos_base!$I$11+datos_base!$I$25,0))*parametros_manuales!$J$105+parametros_manuales!$G$28*(datos_base!$I$5+datos_base!$I$21+IF(parametros_manuales!$H$28="Todos",datos_base!$I$12+datos_base!$I$26,0))*parametros_manuales!$J$110)*parametros_manuales!$I$28*parametros_manuales!$J$28</f>
        <v>19020.62488472</v>
      </c>
      <c r="K200" s="9" t="n">
        <f aca="false">(parametros_manuales!$D$28*(datos_base!$I$2+datos_base!$I$18+IF(parametros_manuales!$H$28="Todos",datos_base!$I$9+datos_base!$I$23,0))*parametros_manuales!$K$95+parametros_manuales!$E$28*(datos_base!$I$3+datos_base!$I$19+IF(parametros_manuales!$H$28="Todos",datos_base!$I$10+datos_base!$I$24,0))*parametros_manuales!$K$100+parametros_manuales!$F$28*(datos_base!$I$4+datos_base!$I$20+IF(parametros_manuales!$H$28="Todos",datos_base!$I$11+datos_base!$I$25,0))*parametros_manuales!$K$105+parametros_manuales!$G$28*(datos_base!$I$5+datos_base!$I$21+IF(parametros_manuales!$H$28="Todos",datos_base!$I$12+datos_base!$I$26,0))*parametros_manuales!$K$110)*parametros_manuales!$I$28*parametros_manuales!$J$28</f>
        <v>19331.165373565</v>
      </c>
      <c r="L200" s="9" t="n">
        <f aca="false">(parametros_manuales!$D$28*(datos_base!$I$2+datos_base!$I$18+IF(parametros_manuales!$H$28="Todos",datos_base!$I$9+datos_base!$I$23,0))*parametros_manuales!$L$95+parametros_manuales!$E$28*(datos_base!$I$3+datos_base!$I$19+IF(parametros_manuales!$H$28="Todos",datos_base!$I$10+datos_base!$I$24,0))*parametros_manuales!$L$100+parametros_manuales!$F$28*(datos_base!$I$4+datos_base!$I$20+IF(parametros_manuales!$H$28="Todos",datos_base!$I$11+datos_base!$I$25,0))*parametros_manuales!$L$105+parametros_manuales!$G$28*(datos_base!$I$5+datos_base!$I$21+IF(parametros_manuales!$H$28="Todos",datos_base!$I$12+datos_base!$I$26,0))*parametros_manuales!$L$110)*parametros_manuales!$I$28*parametros_manuales!$J$28</f>
        <v>19641.70586241</v>
      </c>
      <c r="M200" s="9" t="n">
        <f aca="false">(parametros_manuales!$D$28*(datos_base!$I$2+datos_base!$I$18+IF(parametros_manuales!$H$28="Todos",datos_base!$I$9+datos_base!$I$23,0))*parametros_manuales!$M$95+parametros_manuales!$E$28*(datos_base!$I$3+datos_base!$I$19+IF(parametros_manuales!$H$28="Todos",datos_base!$I$10+datos_base!$I$24,0))*parametros_manuales!$M$100+parametros_manuales!$F$28*(datos_base!$I$4+datos_base!$I$20+IF(parametros_manuales!$H$28="Todos",datos_base!$I$11+datos_base!$I$25,0))*parametros_manuales!$M$105+parametros_manuales!$G$28*(datos_base!$I$5+datos_base!$I$21+IF(parametros_manuales!$H$28="Todos",datos_base!$I$12+datos_base!$I$26,0))*parametros_manuales!$M$110)*parametros_manuales!$I$28*parametros_manuales!$J$28</f>
        <v>19641.70586241</v>
      </c>
      <c r="N200" s="9" t="n">
        <f aca="false">SUM(B200:M200)</f>
        <v>218241.176249</v>
      </c>
      <c r="O200" s="9" t="n">
        <f aca="false">MAX(B200:M200)</f>
        <v>19641.70586241</v>
      </c>
      <c r="P200" s="43" t="n">
        <f aca="false">O200/(parametros_manuales!$B$7)</f>
        <v>130.9447057494</v>
      </c>
      <c r="Q200" s="8" t="str">
        <f aca="false">IF(O200=0,"-",INDEX($B$190:$M$190,MATCH(O200,B200:M200,0)))</f>
        <v>Ene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datos_base!$I$2+datos_base!$I$18+IF(parametros_manuales!$H$29="Todos",datos_base!$I$9+datos_base!$I$23,0))*parametros_manuales!$B$95+parametros_manuales!$E$29*(datos_base!$I$3+datos_base!$I$19+IF(parametros_manuales!$H$29="Todos",datos_base!$I$10+datos_base!$I$24,0))*parametros_manuales!$B$100+parametros_manuales!$F$29*(datos_base!$I$4+datos_base!$I$20+IF(parametros_manuales!$H$29="Todos",datos_base!$I$11+datos_base!$I$25,0))*parametros_manuales!$B$105+parametros_manuales!$G$29*(datos_base!$I$5+datos_base!$I$21+IF(parametros_manuales!$H$29="Todos",datos_base!$I$12+datos_base!$I$26,0))*parametros_manuales!$B$110)*parametros_manuales!$I$29*parametros_manuales!$J$29</f>
        <v>19641.70586241</v>
      </c>
      <c r="C201" s="9" t="n">
        <f aca="false">(parametros_manuales!$D$29*(datos_base!$I$2+datos_base!$I$18+IF(parametros_manuales!$H$29="Todos",datos_base!$I$9+datos_base!$I$23,0))*parametros_manuales!$C$95+parametros_manuales!$E$29*(datos_base!$I$3+datos_base!$I$19+IF(parametros_manuales!$H$29="Todos",datos_base!$I$10+datos_base!$I$24,0))*parametros_manuales!$C$100+parametros_manuales!$F$29*(datos_base!$I$4+datos_base!$I$20+IF(parametros_manuales!$H$29="Todos",datos_base!$I$11+datos_base!$I$25,0))*parametros_manuales!$C$105+parametros_manuales!$G$29*(datos_base!$I$5+datos_base!$I$21+IF(parametros_manuales!$H$29="Todos",datos_base!$I$12+datos_base!$I$26,0))*parametros_manuales!$C$110)*parametros_manuales!$I$29*parametros_manuales!$J$29</f>
        <v>19020.62488472</v>
      </c>
      <c r="D201" s="9" t="n">
        <f aca="false">(parametros_manuales!$D$29*(datos_base!$I$2+datos_base!$I$18+IF(parametros_manuales!$H$29="Todos",datos_base!$I$9+datos_base!$I$23,0))*parametros_manuales!$D$95+parametros_manuales!$E$29*(datos_base!$I$3+datos_base!$I$19+IF(parametros_manuales!$H$29="Todos",datos_base!$I$10+datos_base!$I$24,0))*parametros_manuales!$D$100+parametros_manuales!$F$29*(datos_base!$I$4+datos_base!$I$20+IF(parametros_manuales!$H$29="Todos",datos_base!$I$11+datos_base!$I$25,0))*parametros_manuales!$D$105+parametros_manuales!$G$29*(datos_base!$I$5+datos_base!$I$21+IF(parametros_manuales!$H$29="Todos",datos_base!$I$12+datos_base!$I$26,0))*parametros_manuales!$D$110)*parametros_manuales!$I$29*parametros_manuales!$J$29</f>
        <v>17769.834588765</v>
      </c>
      <c r="E201" s="9" t="n">
        <f aca="false">(parametros_manuales!$D$29*(datos_base!$I$2+datos_base!$I$18+IF(parametros_manuales!$H$29="Todos",datos_base!$I$9+datos_base!$I$23,0))*parametros_manuales!$E$95+parametros_manuales!$E$29*(datos_base!$I$3+datos_base!$I$19+IF(parametros_manuales!$H$29="Todos",datos_base!$I$10+datos_base!$I$24,0))*parametros_manuales!$E$100+parametros_manuales!$F$29*(datos_base!$I$4+datos_base!$I$20+IF(parametros_manuales!$H$29="Todos",datos_base!$I$11+datos_base!$I$25,0))*parametros_manuales!$E$105+parametros_manuales!$G$29*(datos_base!$I$5+datos_base!$I$21+IF(parametros_manuales!$H$29="Todos",datos_base!$I$12+datos_base!$I$26,0))*parametros_manuales!$E$110)*parametros_manuales!$I$29*parametros_manuales!$J$29</f>
        <v>16989.169196365</v>
      </c>
      <c r="F201" s="9" t="n">
        <f aca="false">(parametros_manuales!$D$29*(datos_base!$I$2+datos_base!$I$18+IF(parametros_manuales!$H$29="Todos",datos_base!$I$9+datos_base!$I$23,0))*parametros_manuales!$F$95+parametros_manuales!$E$29*(datos_base!$I$3+datos_base!$I$19+IF(parametros_manuales!$H$29="Todos",datos_base!$I$10+datos_base!$I$24,0))*parametros_manuales!$F$100+parametros_manuales!$F$29*(datos_base!$I$4+datos_base!$I$20+IF(parametros_manuales!$H$29="Todos",datos_base!$I$11+datos_base!$I$25,0))*parametros_manuales!$F$105+parametros_manuales!$G$29*(datos_base!$I$5+datos_base!$I$21+IF(parametros_manuales!$H$29="Todos",datos_base!$I$12+datos_base!$I$26,0))*parametros_manuales!$F$110)*parametros_manuales!$I$29*parametros_manuales!$J$29</f>
        <v>15897.96331512</v>
      </c>
      <c r="G201" s="9" t="n">
        <f aca="false">(parametros_manuales!$D$29*(datos_base!$I$2+datos_base!$I$18+IF(parametros_manuales!$H$29="Todos",datos_base!$I$9+datos_base!$I$23,0))*parametros_manuales!$G$95+parametros_manuales!$E$29*(datos_base!$I$3+datos_base!$I$19+IF(parametros_manuales!$H$29="Todos",datos_base!$I$10+datos_base!$I$24,0))*parametros_manuales!$G$100+parametros_manuales!$F$29*(datos_base!$I$4+datos_base!$I$20+IF(parametros_manuales!$H$29="Todos",datos_base!$I$11+datos_base!$I$25,0))*parametros_manuales!$G$105+parametros_manuales!$G$29*(datos_base!$I$5+datos_base!$I$21+IF(parametros_manuales!$H$29="Todos",datos_base!$I$12+datos_base!$I$26,0))*parametros_manuales!$G$110)*parametros_manuales!$I$29*parametros_manuales!$J$29</f>
        <v>15587.422826275</v>
      </c>
      <c r="H201" s="9" t="n">
        <f aca="false">(parametros_manuales!$D$29*(datos_base!$I$2+datos_base!$I$18+IF(parametros_manuales!$H$29="Todos",datos_base!$I$9+datos_base!$I$23,0))*parametros_manuales!$H$95+parametros_manuales!$E$29*(datos_base!$I$3+datos_base!$I$19+IF(parametros_manuales!$H$29="Todos",datos_base!$I$10+datos_base!$I$24,0))*parametros_manuales!$H$100+parametros_manuales!$F$29*(datos_base!$I$4+datos_base!$I$20+IF(parametros_manuales!$H$29="Todos",datos_base!$I$11+datos_base!$I$25,0))*parametros_manuales!$H$105+parametros_manuales!$G$29*(datos_base!$I$5+datos_base!$I$21+IF(parametros_manuales!$H$29="Todos",datos_base!$I$12+datos_base!$I$26,0))*parametros_manuales!$H$110)*parametros_manuales!$I$29*parametros_manuales!$J$29</f>
        <v>16678.62870752</v>
      </c>
      <c r="I201" s="9" t="n">
        <f aca="false">(parametros_manuales!$D$29*(datos_base!$I$2+datos_base!$I$18+IF(parametros_manuales!$H$29="Todos",datos_base!$I$9+datos_base!$I$23,0))*parametros_manuales!$I$95+parametros_manuales!$E$29*(datos_base!$I$3+datos_base!$I$19+IF(parametros_manuales!$H$29="Todos",datos_base!$I$10+datos_base!$I$24,0))*parametros_manuales!$I$100+parametros_manuales!$F$29*(datos_base!$I$4+datos_base!$I$20+IF(parametros_manuales!$H$29="Todos",datos_base!$I$11+datos_base!$I$25,0))*parametros_manuales!$I$105+parametros_manuales!$G$29*(datos_base!$I$5+datos_base!$I$21+IF(parametros_manuales!$H$29="Todos",datos_base!$I$12+datos_base!$I$26,0))*parametros_manuales!$I$110)*parametros_manuales!$I$29*parametros_manuales!$J$29</f>
        <v>19020.62488472</v>
      </c>
      <c r="J201" s="9" t="n">
        <f aca="false">(parametros_manuales!$D$29*(datos_base!$I$2+datos_base!$I$18+IF(parametros_manuales!$H$29="Todos",datos_base!$I$9+datos_base!$I$23,0))*parametros_manuales!$J$95+parametros_manuales!$E$29*(datos_base!$I$3+datos_base!$I$19+IF(parametros_manuales!$H$29="Todos",datos_base!$I$10+datos_base!$I$24,0))*parametros_manuales!$J$100+parametros_manuales!$F$29*(datos_base!$I$4+datos_base!$I$20+IF(parametros_manuales!$H$29="Todos",datos_base!$I$11+datos_base!$I$25,0))*parametros_manuales!$J$105+parametros_manuales!$G$29*(datos_base!$I$5+datos_base!$I$21+IF(parametros_manuales!$H$29="Todos",datos_base!$I$12+datos_base!$I$26,0))*parametros_manuales!$J$110)*parametros_manuales!$I$29*parametros_manuales!$J$29</f>
        <v>19020.62488472</v>
      </c>
      <c r="K201" s="9" t="n">
        <f aca="false">(parametros_manuales!$D$29*(datos_base!$I$2+datos_base!$I$18+IF(parametros_manuales!$H$29="Todos",datos_base!$I$9+datos_base!$I$23,0))*parametros_manuales!$K$95+parametros_manuales!$E$29*(datos_base!$I$3+datos_base!$I$19+IF(parametros_manuales!$H$29="Todos",datos_base!$I$10+datos_base!$I$24,0))*parametros_manuales!$K$100+parametros_manuales!$F$29*(datos_base!$I$4+datos_base!$I$20+IF(parametros_manuales!$H$29="Todos",datos_base!$I$11+datos_base!$I$25,0))*parametros_manuales!$K$105+parametros_manuales!$G$29*(datos_base!$I$5+datos_base!$I$21+IF(parametros_manuales!$H$29="Todos",datos_base!$I$12+datos_base!$I$26,0))*parametros_manuales!$K$110)*parametros_manuales!$I$29*parametros_manuales!$J$29</f>
        <v>19331.165373565</v>
      </c>
      <c r="L201" s="9" t="n">
        <f aca="false">(parametros_manuales!$D$29*(datos_base!$I$2+datos_base!$I$18+IF(parametros_manuales!$H$29="Todos",datos_base!$I$9+datos_base!$I$23,0))*parametros_manuales!$L$95+parametros_manuales!$E$29*(datos_base!$I$3+datos_base!$I$19+IF(parametros_manuales!$H$29="Todos",datos_base!$I$10+datos_base!$I$24,0))*parametros_manuales!$L$100+parametros_manuales!$F$29*(datos_base!$I$4+datos_base!$I$20+IF(parametros_manuales!$H$29="Todos",datos_base!$I$11+datos_base!$I$25,0))*parametros_manuales!$L$105+parametros_manuales!$G$29*(datos_base!$I$5+datos_base!$I$21+IF(parametros_manuales!$H$29="Todos",datos_base!$I$12+datos_base!$I$26,0))*parametros_manuales!$L$110)*parametros_manuales!$I$29*parametros_manuales!$J$29</f>
        <v>19641.70586241</v>
      </c>
      <c r="M201" s="9" t="n">
        <f aca="false">(parametros_manuales!$D$29*(datos_base!$I$2+datos_base!$I$18+IF(parametros_manuales!$H$29="Todos",datos_base!$I$9+datos_base!$I$23,0))*parametros_manuales!$M$95+parametros_manuales!$E$29*(datos_base!$I$3+datos_base!$I$19+IF(parametros_manuales!$H$29="Todos",datos_base!$I$10+datos_base!$I$24,0))*parametros_manuales!$M$100+parametros_manuales!$F$29*(datos_base!$I$4+datos_base!$I$20+IF(parametros_manuales!$H$29="Todos",datos_base!$I$11+datos_base!$I$25,0))*parametros_manuales!$M$105+parametros_manuales!$G$29*(datos_base!$I$5+datos_base!$I$21+IF(parametros_manuales!$H$29="Todos",datos_base!$I$12+datos_base!$I$26,0))*parametros_manuales!$M$110)*parametros_manuales!$I$29*parametros_manuales!$J$29</f>
        <v>19641.70586241</v>
      </c>
      <c r="N201" s="9" t="n">
        <f aca="false">SUM(B201:M201)</f>
        <v>218241.176249</v>
      </c>
      <c r="O201" s="9" t="n">
        <f aca="false">MAX(B201:M201)</f>
        <v>19641.70586241</v>
      </c>
      <c r="P201" s="43" t="n">
        <f aca="false">O201/(parametros_manuales!$B$7)</f>
        <v>130.9447057494</v>
      </c>
      <c r="Q201" s="8" t="str">
        <f aca="false">IF(O201=0,"-",INDEX($B$190:$M$190,MATCH(O201,B201:M201,0)))</f>
        <v>Ene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datos_base!$I$2+datos_base!$I$18+IF(parametros_manuales!$H$30="Todos",datos_base!$I$9+datos_base!$I$23,0))*parametros_manuales!$B$95+parametros_manuales!$E$30*(datos_base!$I$3+datos_base!$I$19+IF(parametros_manuales!$H$30="Todos",datos_base!$I$10+datos_base!$I$24,0))*parametros_manuales!$B$100+parametros_manuales!$F$30*(datos_base!$I$4+datos_base!$I$20+IF(parametros_manuales!$H$30="Todos",datos_base!$I$11+datos_base!$I$25,0))*parametros_manuales!$B$105+parametros_manuales!$G$30*(datos_base!$I$5+datos_base!$I$21+IF(parametros_manuales!$H$30="Todos",datos_base!$I$12+datos_base!$I$26,0))*parametros_manuales!$B$110)*parametros_manuales!$I$30*parametros_manuales!$J$30</f>
        <v>19641.70586241</v>
      </c>
      <c r="C202" s="9" t="n">
        <f aca="false">(parametros_manuales!$D$30*(datos_base!$I$2+datos_base!$I$18+IF(parametros_manuales!$H$30="Todos",datos_base!$I$9+datos_base!$I$23,0))*parametros_manuales!$C$95+parametros_manuales!$E$30*(datos_base!$I$3+datos_base!$I$19+IF(parametros_manuales!$H$30="Todos",datos_base!$I$10+datos_base!$I$24,0))*parametros_manuales!$C$100+parametros_manuales!$F$30*(datos_base!$I$4+datos_base!$I$20+IF(parametros_manuales!$H$30="Todos",datos_base!$I$11+datos_base!$I$25,0))*parametros_manuales!$C$105+parametros_manuales!$G$30*(datos_base!$I$5+datos_base!$I$21+IF(parametros_manuales!$H$30="Todos",datos_base!$I$12+datos_base!$I$26,0))*parametros_manuales!$C$110)*parametros_manuales!$I$30*parametros_manuales!$J$30</f>
        <v>19020.62488472</v>
      </c>
      <c r="D202" s="9" t="n">
        <f aca="false">(parametros_manuales!$D$30*(datos_base!$I$2+datos_base!$I$18+IF(parametros_manuales!$H$30="Todos",datos_base!$I$9+datos_base!$I$23,0))*parametros_manuales!$D$95+parametros_manuales!$E$30*(datos_base!$I$3+datos_base!$I$19+IF(parametros_manuales!$H$30="Todos",datos_base!$I$10+datos_base!$I$24,0))*parametros_manuales!$D$100+parametros_manuales!$F$30*(datos_base!$I$4+datos_base!$I$20+IF(parametros_manuales!$H$30="Todos",datos_base!$I$11+datos_base!$I$25,0))*parametros_manuales!$D$105+parametros_manuales!$G$30*(datos_base!$I$5+datos_base!$I$21+IF(parametros_manuales!$H$30="Todos",datos_base!$I$12+datos_base!$I$26,0))*parametros_manuales!$D$110)*parametros_manuales!$I$30*parametros_manuales!$J$30</f>
        <v>17769.834588765</v>
      </c>
      <c r="E202" s="9" t="n">
        <f aca="false">(parametros_manuales!$D$30*(datos_base!$I$2+datos_base!$I$18+IF(parametros_manuales!$H$30="Todos",datos_base!$I$9+datos_base!$I$23,0))*parametros_manuales!$E$95+parametros_manuales!$E$30*(datos_base!$I$3+datos_base!$I$19+IF(parametros_manuales!$H$30="Todos",datos_base!$I$10+datos_base!$I$24,0))*parametros_manuales!$E$100+parametros_manuales!$F$30*(datos_base!$I$4+datos_base!$I$20+IF(parametros_manuales!$H$30="Todos",datos_base!$I$11+datos_base!$I$25,0))*parametros_manuales!$E$105+parametros_manuales!$G$30*(datos_base!$I$5+datos_base!$I$21+IF(parametros_manuales!$H$30="Todos",datos_base!$I$12+datos_base!$I$26,0))*parametros_manuales!$E$110)*parametros_manuales!$I$30*parametros_manuales!$J$30</f>
        <v>16989.169196365</v>
      </c>
      <c r="F202" s="9" t="n">
        <f aca="false">(parametros_manuales!$D$30*(datos_base!$I$2+datos_base!$I$18+IF(parametros_manuales!$H$30="Todos",datos_base!$I$9+datos_base!$I$23,0))*parametros_manuales!$F$95+parametros_manuales!$E$30*(datos_base!$I$3+datos_base!$I$19+IF(parametros_manuales!$H$30="Todos",datos_base!$I$10+datos_base!$I$24,0))*parametros_manuales!$F$100+parametros_manuales!$F$30*(datos_base!$I$4+datos_base!$I$20+IF(parametros_manuales!$H$30="Todos",datos_base!$I$11+datos_base!$I$25,0))*parametros_manuales!$F$105+parametros_manuales!$G$30*(datos_base!$I$5+datos_base!$I$21+IF(parametros_manuales!$H$30="Todos",datos_base!$I$12+datos_base!$I$26,0))*parametros_manuales!$F$110)*parametros_manuales!$I$30*parametros_manuales!$J$30</f>
        <v>15897.96331512</v>
      </c>
      <c r="G202" s="9" t="n">
        <f aca="false">(parametros_manuales!$D$30*(datos_base!$I$2+datos_base!$I$18+IF(parametros_manuales!$H$30="Todos",datos_base!$I$9+datos_base!$I$23,0))*parametros_manuales!$G$95+parametros_manuales!$E$30*(datos_base!$I$3+datos_base!$I$19+IF(parametros_manuales!$H$30="Todos",datos_base!$I$10+datos_base!$I$24,0))*parametros_manuales!$G$100+parametros_manuales!$F$30*(datos_base!$I$4+datos_base!$I$20+IF(parametros_manuales!$H$30="Todos",datos_base!$I$11+datos_base!$I$25,0))*parametros_manuales!$G$105+parametros_manuales!$G$30*(datos_base!$I$5+datos_base!$I$21+IF(parametros_manuales!$H$30="Todos",datos_base!$I$12+datos_base!$I$26,0))*parametros_manuales!$G$110)*parametros_manuales!$I$30*parametros_manuales!$J$30</f>
        <v>15587.422826275</v>
      </c>
      <c r="H202" s="9" t="n">
        <f aca="false">(parametros_manuales!$D$30*(datos_base!$I$2+datos_base!$I$18+IF(parametros_manuales!$H$30="Todos",datos_base!$I$9+datos_base!$I$23,0))*parametros_manuales!$H$95+parametros_manuales!$E$30*(datos_base!$I$3+datos_base!$I$19+IF(parametros_manuales!$H$30="Todos",datos_base!$I$10+datos_base!$I$24,0))*parametros_manuales!$H$100+parametros_manuales!$F$30*(datos_base!$I$4+datos_base!$I$20+IF(parametros_manuales!$H$30="Todos",datos_base!$I$11+datos_base!$I$25,0))*parametros_manuales!$H$105+parametros_manuales!$G$30*(datos_base!$I$5+datos_base!$I$21+IF(parametros_manuales!$H$30="Todos",datos_base!$I$12+datos_base!$I$26,0))*parametros_manuales!$H$110)*parametros_manuales!$I$30*parametros_manuales!$J$30</f>
        <v>16678.62870752</v>
      </c>
      <c r="I202" s="9" t="n">
        <f aca="false">(parametros_manuales!$D$30*(datos_base!$I$2+datos_base!$I$18+IF(parametros_manuales!$H$30="Todos",datos_base!$I$9+datos_base!$I$23,0))*parametros_manuales!$I$95+parametros_manuales!$E$30*(datos_base!$I$3+datos_base!$I$19+IF(parametros_manuales!$H$30="Todos",datos_base!$I$10+datos_base!$I$24,0))*parametros_manuales!$I$100+parametros_manuales!$F$30*(datos_base!$I$4+datos_base!$I$20+IF(parametros_manuales!$H$30="Todos",datos_base!$I$11+datos_base!$I$25,0))*parametros_manuales!$I$105+parametros_manuales!$G$30*(datos_base!$I$5+datos_base!$I$21+IF(parametros_manuales!$H$30="Todos",datos_base!$I$12+datos_base!$I$26,0))*parametros_manuales!$I$110)*parametros_manuales!$I$30*parametros_manuales!$J$30</f>
        <v>19020.62488472</v>
      </c>
      <c r="J202" s="9" t="n">
        <f aca="false">(parametros_manuales!$D$30*(datos_base!$I$2+datos_base!$I$18+IF(parametros_manuales!$H$30="Todos",datos_base!$I$9+datos_base!$I$23,0))*parametros_manuales!$J$95+parametros_manuales!$E$30*(datos_base!$I$3+datos_base!$I$19+IF(parametros_manuales!$H$30="Todos",datos_base!$I$10+datos_base!$I$24,0))*parametros_manuales!$J$100+parametros_manuales!$F$30*(datos_base!$I$4+datos_base!$I$20+IF(parametros_manuales!$H$30="Todos",datos_base!$I$11+datos_base!$I$25,0))*parametros_manuales!$J$105+parametros_manuales!$G$30*(datos_base!$I$5+datos_base!$I$21+IF(parametros_manuales!$H$30="Todos",datos_base!$I$12+datos_base!$I$26,0))*parametros_manuales!$J$110)*parametros_manuales!$I$30*parametros_manuales!$J$30</f>
        <v>19020.62488472</v>
      </c>
      <c r="K202" s="9" t="n">
        <f aca="false">(parametros_manuales!$D$30*(datos_base!$I$2+datos_base!$I$18+IF(parametros_manuales!$H$30="Todos",datos_base!$I$9+datos_base!$I$23,0))*parametros_manuales!$K$95+parametros_manuales!$E$30*(datos_base!$I$3+datos_base!$I$19+IF(parametros_manuales!$H$30="Todos",datos_base!$I$10+datos_base!$I$24,0))*parametros_manuales!$K$100+parametros_manuales!$F$30*(datos_base!$I$4+datos_base!$I$20+IF(parametros_manuales!$H$30="Todos",datos_base!$I$11+datos_base!$I$25,0))*parametros_manuales!$K$105+parametros_manuales!$G$30*(datos_base!$I$5+datos_base!$I$21+IF(parametros_manuales!$H$30="Todos",datos_base!$I$12+datos_base!$I$26,0))*parametros_manuales!$K$110)*parametros_manuales!$I$30*parametros_manuales!$J$30</f>
        <v>19331.165373565</v>
      </c>
      <c r="L202" s="9" t="n">
        <f aca="false">(parametros_manuales!$D$30*(datos_base!$I$2+datos_base!$I$18+IF(parametros_manuales!$H$30="Todos",datos_base!$I$9+datos_base!$I$23,0))*parametros_manuales!$L$95+parametros_manuales!$E$30*(datos_base!$I$3+datos_base!$I$19+IF(parametros_manuales!$H$30="Todos",datos_base!$I$10+datos_base!$I$24,0))*parametros_manuales!$L$100+parametros_manuales!$F$30*(datos_base!$I$4+datos_base!$I$20+IF(parametros_manuales!$H$30="Todos",datos_base!$I$11+datos_base!$I$25,0))*parametros_manuales!$L$105+parametros_manuales!$G$30*(datos_base!$I$5+datos_base!$I$21+IF(parametros_manuales!$H$30="Todos",datos_base!$I$12+datos_base!$I$26,0))*parametros_manuales!$L$110)*parametros_manuales!$I$30*parametros_manuales!$J$30</f>
        <v>19641.70586241</v>
      </c>
      <c r="M202" s="9" t="n">
        <f aca="false">(parametros_manuales!$D$30*(datos_base!$I$2+datos_base!$I$18+IF(parametros_manuales!$H$30="Todos",datos_base!$I$9+datos_base!$I$23,0))*parametros_manuales!$M$95+parametros_manuales!$E$30*(datos_base!$I$3+datos_base!$I$19+IF(parametros_manuales!$H$30="Todos",datos_base!$I$10+datos_base!$I$24,0))*parametros_manuales!$M$100+parametros_manuales!$F$30*(datos_base!$I$4+datos_base!$I$20+IF(parametros_manuales!$H$30="Todos",datos_base!$I$11+datos_base!$I$25,0))*parametros_manuales!$M$105+parametros_manuales!$G$30*(datos_base!$I$5+datos_base!$I$21+IF(parametros_manuales!$H$30="Todos",datos_base!$I$12+datos_base!$I$26,0))*parametros_manuales!$M$110)*parametros_manuales!$I$30*parametros_manuales!$J$30</f>
        <v>19641.70586241</v>
      </c>
      <c r="N202" s="9" t="n">
        <f aca="false">SUM(B202:M202)</f>
        <v>218241.176249</v>
      </c>
      <c r="O202" s="9" t="n">
        <f aca="false">MAX(B202:M202)</f>
        <v>19641.70586241</v>
      </c>
      <c r="P202" s="43" t="n">
        <f aca="false">O202/(parametros_manuales!$B$7)</f>
        <v>130.9447057494</v>
      </c>
      <c r="Q202" s="8" t="str">
        <f aca="false">IF(O202=0,"-",INDEX($B$190:$M$190,MATCH(O202,B202:M202,0)))</f>
        <v>Ene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datos_base!$I$2+datos_base!$I$18+IF(parametros_manuales!$H$31="Todos",datos_base!$I$9+datos_base!$I$23,0))*parametros_manuales!$B$95+parametros_manuales!$E$31*(datos_base!$I$3+datos_base!$I$19+IF(parametros_manuales!$H$31="Todos",datos_base!$I$10+datos_base!$I$24,0))*parametros_manuales!$B$100+parametros_manuales!$F$31*(datos_base!$I$4+datos_base!$I$20+IF(parametros_manuales!$H$31="Todos",datos_base!$I$11+datos_base!$I$25,0))*parametros_manuales!$B$105+parametros_manuales!$G$31*(datos_base!$I$5+datos_base!$I$21+IF(parametros_manuales!$H$31="Todos",datos_base!$I$12+datos_base!$I$26,0))*parametros_manuales!$B$110)*parametros_manuales!$I$31*parametros_manuales!$J$31</f>
        <v>392.8341172482</v>
      </c>
      <c r="C203" s="9" t="n">
        <f aca="false">(parametros_manuales!$D$31*(datos_base!$I$2+datos_base!$I$18+IF(parametros_manuales!$H$31="Todos",datos_base!$I$9+datos_base!$I$23,0))*parametros_manuales!$C$95+parametros_manuales!$E$31*(datos_base!$I$3+datos_base!$I$19+IF(parametros_manuales!$H$31="Todos",datos_base!$I$10+datos_base!$I$24,0))*parametros_manuales!$C$100+parametros_manuales!$F$31*(datos_base!$I$4+datos_base!$I$20+IF(parametros_manuales!$H$31="Todos",datos_base!$I$11+datos_base!$I$25,0))*parametros_manuales!$C$105+parametros_manuales!$G$31*(datos_base!$I$5+datos_base!$I$21+IF(parametros_manuales!$H$31="Todos",datos_base!$I$12+datos_base!$I$26,0))*parametros_manuales!$C$110)*parametros_manuales!$I$31*parametros_manuales!$J$31</f>
        <v>380.4124976944</v>
      </c>
      <c r="D203" s="9" t="n">
        <f aca="false">(parametros_manuales!$D$31*(datos_base!$I$2+datos_base!$I$18+IF(parametros_manuales!$H$31="Todos",datos_base!$I$9+datos_base!$I$23,0))*parametros_manuales!$D$95+parametros_manuales!$E$31*(datos_base!$I$3+datos_base!$I$19+IF(parametros_manuales!$H$31="Todos",datos_base!$I$10+datos_base!$I$24,0))*parametros_manuales!$D$100+parametros_manuales!$F$31*(datos_base!$I$4+datos_base!$I$20+IF(parametros_manuales!$H$31="Todos",datos_base!$I$11+datos_base!$I$25,0))*parametros_manuales!$D$105+parametros_manuales!$G$31*(datos_base!$I$5+datos_base!$I$21+IF(parametros_manuales!$H$31="Todos",datos_base!$I$12+datos_base!$I$26,0))*parametros_manuales!$D$110)*parametros_manuales!$I$31*parametros_manuales!$J$31</f>
        <v>355.3966917753</v>
      </c>
      <c r="E203" s="9" t="n">
        <f aca="false">(parametros_manuales!$D$31*(datos_base!$I$2+datos_base!$I$18+IF(parametros_manuales!$H$31="Todos",datos_base!$I$9+datos_base!$I$23,0))*parametros_manuales!$E$95+parametros_manuales!$E$31*(datos_base!$I$3+datos_base!$I$19+IF(parametros_manuales!$H$31="Todos",datos_base!$I$10+datos_base!$I$24,0))*parametros_manuales!$E$100+parametros_manuales!$F$31*(datos_base!$I$4+datos_base!$I$20+IF(parametros_manuales!$H$31="Todos",datos_base!$I$11+datos_base!$I$25,0))*parametros_manuales!$E$105+parametros_manuales!$G$31*(datos_base!$I$5+datos_base!$I$21+IF(parametros_manuales!$H$31="Todos",datos_base!$I$12+datos_base!$I$26,0))*parametros_manuales!$E$110)*parametros_manuales!$I$31*parametros_manuales!$J$31</f>
        <v>339.7833839273</v>
      </c>
      <c r="F203" s="9" t="n">
        <f aca="false">(parametros_manuales!$D$31*(datos_base!$I$2+datos_base!$I$18+IF(parametros_manuales!$H$31="Todos",datos_base!$I$9+datos_base!$I$23,0))*parametros_manuales!$F$95+parametros_manuales!$E$31*(datos_base!$I$3+datos_base!$I$19+IF(parametros_manuales!$H$31="Todos",datos_base!$I$10+datos_base!$I$24,0))*parametros_manuales!$F$100+parametros_manuales!$F$31*(datos_base!$I$4+datos_base!$I$20+IF(parametros_manuales!$H$31="Todos",datos_base!$I$11+datos_base!$I$25,0))*parametros_manuales!$F$105+parametros_manuales!$G$31*(datos_base!$I$5+datos_base!$I$21+IF(parametros_manuales!$H$31="Todos",datos_base!$I$12+datos_base!$I$26,0))*parametros_manuales!$F$110)*parametros_manuales!$I$31*parametros_manuales!$J$31</f>
        <v>317.9592663024</v>
      </c>
      <c r="G203" s="9" t="n">
        <f aca="false">(parametros_manuales!$D$31*(datos_base!$I$2+datos_base!$I$18+IF(parametros_manuales!$H$31="Todos",datos_base!$I$9+datos_base!$I$23,0))*parametros_manuales!$G$95+parametros_manuales!$E$31*(datos_base!$I$3+datos_base!$I$19+IF(parametros_manuales!$H$31="Todos",datos_base!$I$10+datos_base!$I$24,0))*parametros_manuales!$G$100+parametros_manuales!$F$31*(datos_base!$I$4+datos_base!$I$20+IF(parametros_manuales!$H$31="Todos",datos_base!$I$11+datos_base!$I$25,0))*parametros_manuales!$G$105+parametros_manuales!$G$31*(datos_base!$I$5+datos_base!$I$21+IF(parametros_manuales!$H$31="Todos",datos_base!$I$12+datos_base!$I$26,0))*parametros_manuales!$G$110)*parametros_manuales!$I$31*parametros_manuales!$J$31</f>
        <v>311.7484565255</v>
      </c>
      <c r="H203" s="9" t="n">
        <f aca="false">(parametros_manuales!$D$31*(datos_base!$I$2+datos_base!$I$18+IF(parametros_manuales!$H$31="Todos",datos_base!$I$9+datos_base!$I$23,0))*parametros_manuales!$H$95+parametros_manuales!$E$31*(datos_base!$I$3+datos_base!$I$19+IF(parametros_manuales!$H$31="Todos",datos_base!$I$10+datos_base!$I$24,0))*parametros_manuales!$H$100+parametros_manuales!$F$31*(datos_base!$I$4+datos_base!$I$20+IF(parametros_manuales!$H$31="Todos",datos_base!$I$11+datos_base!$I$25,0))*parametros_manuales!$H$105+parametros_manuales!$G$31*(datos_base!$I$5+datos_base!$I$21+IF(parametros_manuales!$H$31="Todos",datos_base!$I$12+datos_base!$I$26,0))*parametros_manuales!$H$110)*parametros_manuales!$I$31*parametros_manuales!$J$31</f>
        <v>333.5725741504</v>
      </c>
      <c r="I203" s="9" t="n">
        <f aca="false">(parametros_manuales!$D$31*(datos_base!$I$2+datos_base!$I$18+IF(parametros_manuales!$H$31="Todos",datos_base!$I$9+datos_base!$I$23,0))*parametros_manuales!$I$95+parametros_manuales!$E$31*(datos_base!$I$3+datos_base!$I$19+IF(parametros_manuales!$H$31="Todos",datos_base!$I$10+datos_base!$I$24,0))*parametros_manuales!$I$100+parametros_manuales!$F$31*(datos_base!$I$4+datos_base!$I$20+IF(parametros_manuales!$H$31="Todos",datos_base!$I$11+datos_base!$I$25,0))*parametros_manuales!$I$105+parametros_manuales!$G$31*(datos_base!$I$5+datos_base!$I$21+IF(parametros_manuales!$H$31="Todos",datos_base!$I$12+datos_base!$I$26,0))*parametros_manuales!$I$110)*parametros_manuales!$I$31*parametros_manuales!$J$31</f>
        <v>380.4124976944</v>
      </c>
      <c r="J203" s="9" t="n">
        <f aca="false">(parametros_manuales!$D$31*(datos_base!$I$2+datos_base!$I$18+IF(parametros_manuales!$H$31="Todos",datos_base!$I$9+datos_base!$I$23,0))*parametros_manuales!$J$95+parametros_manuales!$E$31*(datos_base!$I$3+datos_base!$I$19+IF(parametros_manuales!$H$31="Todos",datos_base!$I$10+datos_base!$I$24,0))*parametros_manuales!$J$100+parametros_manuales!$F$31*(datos_base!$I$4+datos_base!$I$20+IF(parametros_manuales!$H$31="Todos",datos_base!$I$11+datos_base!$I$25,0))*parametros_manuales!$J$105+parametros_manuales!$G$31*(datos_base!$I$5+datos_base!$I$21+IF(parametros_manuales!$H$31="Todos",datos_base!$I$12+datos_base!$I$26,0))*parametros_manuales!$J$110)*parametros_manuales!$I$31*parametros_manuales!$J$31</f>
        <v>380.4124976944</v>
      </c>
      <c r="K203" s="9" t="n">
        <f aca="false">(parametros_manuales!$D$31*(datos_base!$I$2+datos_base!$I$18+IF(parametros_manuales!$H$31="Todos",datos_base!$I$9+datos_base!$I$23,0))*parametros_manuales!$K$95+parametros_manuales!$E$31*(datos_base!$I$3+datos_base!$I$19+IF(parametros_manuales!$H$31="Todos",datos_base!$I$10+datos_base!$I$24,0))*parametros_manuales!$K$100+parametros_manuales!$F$31*(datos_base!$I$4+datos_base!$I$20+IF(parametros_manuales!$H$31="Todos",datos_base!$I$11+datos_base!$I$25,0))*parametros_manuales!$K$105+parametros_manuales!$G$31*(datos_base!$I$5+datos_base!$I$21+IF(parametros_manuales!$H$31="Todos",datos_base!$I$12+datos_base!$I$26,0))*parametros_manuales!$K$110)*parametros_manuales!$I$31*parametros_manuales!$J$31</f>
        <v>386.6233074713</v>
      </c>
      <c r="L203" s="9" t="n">
        <f aca="false">(parametros_manuales!$D$31*(datos_base!$I$2+datos_base!$I$18+IF(parametros_manuales!$H$31="Todos",datos_base!$I$9+datos_base!$I$23,0))*parametros_manuales!$L$95+parametros_manuales!$E$31*(datos_base!$I$3+datos_base!$I$19+IF(parametros_manuales!$H$31="Todos",datos_base!$I$10+datos_base!$I$24,0))*parametros_manuales!$L$100+parametros_manuales!$F$31*(datos_base!$I$4+datos_base!$I$20+IF(parametros_manuales!$H$31="Todos",datos_base!$I$11+datos_base!$I$25,0))*parametros_manuales!$L$105+parametros_manuales!$G$31*(datos_base!$I$5+datos_base!$I$21+IF(parametros_manuales!$H$31="Todos",datos_base!$I$12+datos_base!$I$26,0))*parametros_manuales!$L$110)*parametros_manuales!$I$31*parametros_manuales!$J$31</f>
        <v>392.8341172482</v>
      </c>
      <c r="M203" s="9" t="n">
        <f aca="false">(parametros_manuales!$D$31*(datos_base!$I$2+datos_base!$I$18+IF(parametros_manuales!$H$31="Todos",datos_base!$I$9+datos_base!$I$23,0))*parametros_manuales!$M$95+parametros_manuales!$E$31*(datos_base!$I$3+datos_base!$I$19+IF(parametros_manuales!$H$31="Todos",datos_base!$I$10+datos_base!$I$24,0))*parametros_manuales!$M$100+parametros_manuales!$F$31*(datos_base!$I$4+datos_base!$I$20+IF(parametros_manuales!$H$31="Todos",datos_base!$I$11+datos_base!$I$25,0))*parametros_manuales!$M$105+parametros_manuales!$G$31*(datos_base!$I$5+datos_base!$I$21+IF(parametros_manuales!$H$31="Todos",datos_base!$I$12+datos_base!$I$26,0))*parametros_manuales!$M$110)*parametros_manuales!$I$31*parametros_manuales!$J$31</f>
        <v>392.8341172482</v>
      </c>
      <c r="N203" s="9" t="n">
        <f aca="false">SUM(B203:M203)</f>
        <v>4364.82352498</v>
      </c>
      <c r="O203" s="9" t="n">
        <f aca="false">MAX(B203:M203)</f>
        <v>392.8341172482</v>
      </c>
      <c r="P203" s="43" t="n">
        <f aca="false">O203/(parametros_manuales!$B$7)</f>
        <v>2.618894114988</v>
      </c>
      <c r="Q203" s="8" t="str">
        <f aca="false">IF(O203=0,"-",INDEX($B$190:$M$190,MATCH(O203,B203:M203,0)))</f>
        <v>Ene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datos_base!$I$2+datos_base!$I$18+IF(parametros_manuales!$H$32="Todos",datos_base!$I$9+datos_base!$I$23,0))*parametros_manuales!$B$95+parametros_manuales!$E$32*(datos_base!$I$3+datos_base!$I$19+IF(parametros_manuales!$H$32="Todos",datos_base!$I$10+datos_base!$I$24,0))*parametros_manuales!$B$100+parametros_manuales!$F$32*(datos_base!$I$4+datos_base!$I$20+IF(parametros_manuales!$H$32="Todos",datos_base!$I$11+datos_base!$I$25,0))*parametros_manuales!$B$105+parametros_manuales!$G$32*(datos_base!$I$5+datos_base!$I$21+IF(parametros_manuales!$H$32="Todos",datos_base!$I$12+datos_base!$I$26,0))*parametros_manuales!$B$110)*parametros_manuales!$I$32*parametros_manuales!$J$32</f>
        <v>19641.70586241</v>
      </c>
      <c r="C204" s="9" t="n">
        <f aca="false">(parametros_manuales!$D$32*(datos_base!$I$2+datos_base!$I$18+IF(parametros_manuales!$H$32="Todos",datos_base!$I$9+datos_base!$I$23,0))*parametros_manuales!$C$95+parametros_manuales!$E$32*(datos_base!$I$3+datos_base!$I$19+IF(parametros_manuales!$H$32="Todos",datos_base!$I$10+datos_base!$I$24,0))*parametros_manuales!$C$100+parametros_manuales!$F$32*(datos_base!$I$4+datos_base!$I$20+IF(parametros_manuales!$H$32="Todos",datos_base!$I$11+datos_base!$I$25,0))*parametros_manuales!$C$105+parametros_manuales!$G$32*(datos_base!$I$5+datos_base!$I$21+IF(parametros_manuales!$H$32="Todos",datos_base!$I$12+datos_base!$I$26,0))*parametros_manuales!$C$110)*parametros_manuales!$I$32*parametros_manuales!$J$32</f>
        <v>19020.62488472</v>
      </c>
      <c r="D204" s="9" t="n">
        <f aca="false">(parametros_manuales!$D$32*(datos_base!$I$2+datos_base!$I$18+IF(parametros_manuales!$H$32="Todos",datos_base!$I$9+datos_base!$I$23,0))*parametros_manuales!$D$95+parametros_manuales!$E$32*(datos_base!$I$3+datos_base!$I$19+IF(parametros_manuales!$H$32="Todos",datos_base!$I$10+datos_base!$I$24,0))*parametros_manuales!$D$100+parametros_manuales!$F$32*(datos_base!$I$4+datos_base!$I$20+IF(parametros_manuales!$H$32="Todos",datos_base!$I$11+datos_base!$I$25,0))*parametros_manuales!$D$105+parametros_manuales!$G$32*(datos_base!$I$5+datos_base!$I$21+IF(parametros_manuales!$H$32="Todos",datos_base!$I$12+datos_base!$I$26,0))*parametros_manuales!$D$110)*parametros_manuales!$I$32*parametros_manuales!$J$32</f>
        <v>17769.834588765</v>
      </c>
      <c r="E204" s="9" t="n">
        <f aca="false">(parametros_manuales!$D$32*(datos_base!$I$2+datos_base!$I$18+IF(parametros_manuales!$H$32="Todos",datos_base!$I$9+datos_base!$I$23,0))*parametros_manuales!$E$95+parametros_manuales!$E$32*(datos_base!$I$3+datos_base!$I$19+IF(parametros_manuales!$H$32="Todos",datos_base!$I$10+datos_base!$I$24,0))*parametros_manuales!$E$100+parametros_manuales!$F$32*(datos_base!$I$4+datos_base!$I$20+IF(parametros_manuales!$H$32="Todos",datos_base!$I$11+datos_base!$I$25,0))*parametros_manuales!$E$105+parametros_manuales!$G$32*(datos_base!$I$5+datos_base!$I$21+IF(parametros_manuales!$H$32="Todos",datos_base!$I$12+datos_base!$I$26,0))*parametros_manuales!$E$110)*parametros_manuales!$I$32*parametros_manuales!$J$32</f>
        <v>16989.169196365</v>
      </c>
      <c r="F204" s="9" t="n">
        <f aca="false">(parametros_manuales!$D$32*(datos_base!$I$2+datos_base!$I$18+IF(parametros_manuales!$H$32="Todos",datos_base!$I$9+datos_base!$I$23,0))*parametros_manuales!$F$95+parametros_manuales!$E$32*(datos_base!$I$3+datos_base!$I$19+IF(parametros_manuales!$H$32="Todos",datos_base!$I$10+datos_base!$I$24,0))*parametros_manuales!$F$100+parametros_manuales!$F$32*(datos_base!$I$4+datos_base!$I$20+IF(parametros_manuales!$H$32="Todos",datos_base!$I$11+datos_base!$I$25,0))*parametros_manuales!$F$105+parametros_manuales!$G$32*(datos_base!$I$5+datos_base!$I$21+IF(parametros_manuales!$H$32="Todos",datos_base!$I$12+datos_base!$I$26,0))*parametros_manuales!$F$110)*parametros_manuales!$I$32*parametros_manuales!$J$32</f>
        <v>15897.96331512</v>
      </c>
      <c r="G204" s="9" t="n">
        <f aca="false">(parametros_manuales!$D$32*(datos_base!$I$2+datos_base!$I$18+IF(parametros_manuales!$H$32="Todos",datos_base!$I$9+datos_base!$I$23,0))*parametros_manuales!$G$95+parametros_manuales!$E$32*(datos_base!$I$3+datos_base!$I$19+IF(parametros_manuales!$H$32="Todos",datos_base!$I$10+datos_base!$I$24,0))*parametros_manuales!$G$100+parametros_manuales!$F$32*(datos_base!$I$4+datos_base!$I$20+IF(parametros_manuales!$H$32="Todos",datos_base!$I$11+datos_base!$I$25,0))*parametros_manuales!$G$105+parametros_manuales!$G$32*(datos_base!$I$5+datos_base!$I$21+IF(parametros_manuales!$H$32="Todos",datos_base!$I$12+datos_base!$I$26,0))*parametros_manuales!$G$110)*parametros_manuales!$I$32*parametros_manuales!$J$32</f>
        <v>15587.422826275</v>
      </c>
      <c r="H204" s="9" t="n">
        <f aca="false">(parametros_manuales!$D$32*(datos_base!$I$2+datos_base!$I$18+IF(parametros_manuales!$H$32="Todos",datos_base!$I$9+datos_base!$I$23,0))*parametros_manuales!$H$95+parametros_manuales!$E$32*(datos_base!$I$3+datos_base!$I$19+IF(parametros_manuales!$H$32="Todos",datos_base!$I$10+datos_base!$I$24,0))*parametros_manuales!$H$100+parametros_manuales!$F$32*(datos_base!$I$4+datos_base!$I$20+IF(parametros_manuales!$H$32="Todos",datos_base!$I$11+datos_base!$I$25,0))*parametros_manuales!$H$105+parametros_manuales!$G$32*(datos_base!$I$5+datos_base!$I$21+IF(parametros_manuales!$H$32="Todos",datos_base!$I$12+datos_base!$I$26,0))*parametros_manuales!$H$110)*parametros_manuales!$I$32*parametros_manuales!$J$32</f>
        <v>16678.62870752</v>
      </c>
      <c r="I204" s="9" t="n">
        <f aca="false">(parametros_manuales!$D$32*(datos_base!$I$2+datos_base!$I$18+IF(parametros_manuales!$H$32="Todos",datos_base!$I$9+datos_base!$I$23,0))*parametros_manuales!$I$95+parametros_manuales!$E$32*(datos_base!$I$3+datos_base!$I$19+IF(parametros_manuales!$H$32="Todos",datos_base!$I$10+datos_base!$I$24,0))*parametros_manuales!$I$100+parametros_manuales!$F$32*(datos_base!$I$4+datos_base!$I$20+IF(parametros_manuales!$H$32="Todos",datos_base!$I$11+datos_base!$I$25,0))*parametros_manuales!$I$105+parametros_manuales!$G$32*(datos_base!$I$5+datos_base!$I$21+IF(parametros_manuales!$H$32="Todos",datos_base!$I$12+datos_base!$I$26,0))*parametros_manuales!$I$110)*parametros_manuales!$I$32*parametros_manuales!$J$32</f>
        <v>19020.62488472</v>
      </c>
      <c r="J204" s="9" t="n">
        <f aca="false">(parametros_manuales!$D$32*(datos_base!$I$2+datos_base!$I$18+IF(parametros_manuales!$H$32="Todos",datos_base!$I$9+datos_base!$I$23,0))*parametros_manuales!$J$95+parametros_manuales!$E$32*(datos_base!$I$3+datos_base!$I$19+IF(parametros_manuales!$H$32="Todos",datos_base!$I$10+datos_base!$I$24,0))*parametros_manuales!$J$100+parametros_manuales!$F$32*(datos_base!$I$4+datos_base!$I$20+IF(parametros_manuales!$H$32="Todos",datos_base!$I$11+datos_base!$I$25,0))*parametros_manuales!$J$105+parametros_manuales!$G$32*(datos_base!$I$5+datos_base!$I$21+IF(parametros_manuales!$H$32="Todos",datos_base!$I$12+datos_base!$I$26,0))*parametros_manuales!$J$110)*parametros_manuales!$I$32*parametros_manuales!$J$32</f>
        <v>19020.62488472</v>
      </c>
      <c r="K204" s="9" t="n">
        <f aca="false">(parametros_manuales!$D$32*(datos_base!$I$2+datos_base!$I$18+IF(parametros_manuales!$H$32="Todos",datos_base!$I$9+datos_base!$I$23,0))*parametros_manuales!$K$95+parametros_manuales!$E$32*(datos_base!$I$3+datos_base!$I$19+IF(parametros_manuales!$H$32="Todos",datos_base!$I$10+datos_base!$I$24,0))*parametros_manuales!$K$100+parametros_manuales!$F$32*(datos_base!$I$4+datos_base!$I$20+IF(parametros_manuales!$H$32="Todos",datos_base!$I$11+datos_base!$I$25,0))*parametros_manuales!$K$105+parametros_manuales!$G$32*(datos_base!$I$5+datos_base!$I$21+IF(parametros_manuales!$H$32="Todos",datos_base!$I$12+datos_base!$I$26,0))*parametros_manuales!$K$110)*parametros_manuales!$I$32*parametros_manuales!$J$32</f>
        <v>19331.165373565</v>
      </c>
      <c r="L204" s="9" t="n">
        <f aca="false">(parametros_manuales!$D$32*(datos_base!$I$2+datos_base!$I$18+IF(parametros_manuales!$H$32="Todos",datos_base!$I$9+datos_base!$I$23,0))*parametros_manuales!$L$95+parametros_manuales!$E$32*(datos_base!$I$3+datos_base!$I$19+IF(parametros_manuales!$H$32="Todos",datos_base!$I$10+datos_base!$I$24,0))*parametros_manuales!$L$100+parametros_manuales!$F$32*(datos_base!$I$4+datos_base!$I$20+IF(parametros_manuales!$H$32="Todos",datos_base!$I$11+datos_base!$I$25,0))*parametros_manuales!$L$105+parametros_manuales!$G$32*(datos_base!$I$5+datos_base!$I$21+IF(parametros_manuales!$H$32="Todos",datos_base!$I$12+datos_base!$I$26,0))*parametros_manuales!$L$110)*parametros_manuales!$I$32*parametros_manuales!$J$32</f>
        <v>19641.70586241</v>
      </c>
      <c r="M204" s="9" t="n">
        <f aca="false">(parametros_manuales!$D$32*(datos_base!$I$2+datos_base!$I$18+IF(parametros_manuales!$H$32="Todos",datos_base!$I$9+datos_base!$I$23,0))*parametros_manuales!$M$95+parametros_manuales!$E$32*(datos_base!$I$3+datos_base!$I$19+IF(parametros_manuales!$H$32="Todos",datos_base!$I$10+datos_base!$I$24,0))*parametros_manuales!$M$100+parametros_manuales!$F$32*(datos_base!$I$4+datos_base!$I$20+IF(parametros_manuales!$H$32="Todos",datos_base!$I$11+datos_base!$I$25,0))*parametros_manuales!$M$105+parametros_manuales!$G$32*(datos_base!$I$5+datos_base!$I$21+IF(parametros_manuales!$H$32="Todos",datos_base!$I$12+datos_base!$I$26,0))*parametros_manuales!$M$110)*parametros_manuales!$I$32*parametros_manuales!$J$32</f>
        <v>19641.70586241</v>
      </c>
      <c r="N204" s="9" t="n">
        <f aca="false">SUM(B204:M204)</f>
        <v>218241.176249</v>
      </c>
      <c r="O204" s="9" t="n">
        <f aca="false">MAX(B204:M204)</f>
        <v>19641.70586241</v>
      </c>
      <c r="P204" s="43" t="n">
        <f aca="false">O204/(parametros_manuales!$B$7)</f>
        <v>130.9447057494</v>
      </c>
      <c r="Q204" s="8" t="str">
        <f aca="false">IF(O204=0,"-",INDEX($B$190:$M$190,MATCH(O204,B204:M204,0)))</f>
        <v>Ene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datos_base!$I$2+datos_base!$I$18+IF(parametros_manuales!$H$33="Todos",datos_base!$I$9+datos_base!$I$23,0))*parametros_manuales!$B$95+parametros_manuales!$E$33*(datos_base!$I$3+datos_base!$I$19+IF(parametros_manuales!$H$33="Todos",datos_base!$I$10+datos_base!$I$24,0))*parametros_manuales!$B$100+parametros_manuales!$F$33*(datos_base!$I$4+datos_base!$I$20+IF(parametros_manuales!$H$33="Todos",datos_base!$I$11+datos_base!$I$25,0))*parametros_manuales!$B$105+parametros_manuales!$G$33*(datos_base!$I$5+datos_base!$I$21+IF(parametros_manuales!$H$33="Todos",datos_base!$I$12+datos_base!$I$26,0))*parametros_manuales!$B$110)*parametros_manuales!$I$33*parametros_manuales!$J$33</f>
        <v>19641.70586241</v>
      </c>
      <c r="C205" s="9" t="n">
        <f aca="false">(parametros_manuales!$D$33*(datos_base!$I$2+datos_base!$I$18+IF(parametros_manuales!$H$33="Todos",datos_base!$I$9+datos_base!$I$23,0))*parametros_manuales!$C$95+parametros_manuales!$E$33*(datos_base!$I$3+datos_base!$I$19+IF(parametros_manuales!$H$33="Todos",datos_base!$I$10+datos_base!$I$24,0))*parametros_manuales!$C$100+parametros_manuales!$F$33*(datos_base!$I$4+datos_base!$I$20+IF(parametros_manuales!$H$33="Todos",datos_base!$I$11+datos_base!$I$25,0))*parametros_manuales!$C$105+parametros_manuales!$G$33*(datos_base!$I$5+datos_base!$I$21+IF(parametros_manuales!$H$33="Todos",datos_base!$I$12+datos_base!$I$26,0))*parametros_manuales!$C$110)*parametros_manuales!$I$33*parametros_manuales!$J$33</f>
        <v>19020.62488472</v>
      </c>
      <c r="D205" s="9" t="n">
        <f aca="false">(parametros_manuales!$D$33*(datos_base!$I$2+datos_base!$I$18+IF(parametros_manuales!$H$33="Todos",datos_base!$I$9+datos_base!$I$23,0))*parametros_manuales!$D$95+parametros_manuales!$E$33*(datos_base!$I$3+datos_base!$I$19+IF(parametros_manuales!$H$33="Todos",datos_base!$I$10+datos_base!$I$24,0))*parametros_manuales!$D$100+parametros_manuales!$F$33*(datos_base!$I$4+datos_base!$I$20+IF(parametros_manuales!$H$33="Todos",datos_base!$I$11+datos_base!$I$25,0))*parametros_manuales!$D$105+parametros_manuales!$G$33*(datos_base!$I$5+datos_base!$I$21+IF(parametros_manuales!$H$33="Todos",datos_base!$I$12+datos_base!$I$26,0))*parametros_manuales!$D$110)*parametros_manuales!$I$33*parametros_manuales!$J$33</f>
        <v>17769.834588765</v>
      </c>
      <c r="E205" s="9" t="n">
        <f aca="false">(parametros_manuales!$D$33*(datos_base!$I$2+datos_base!$I$18+IF(parametros_manuales!$H$33="Todos",datos_base!$I$9+datos_base!$I$23,0))*parametros_manuales!$E$95+parametros_manuales!$E$33*(datos_base!$I$3+datos_base!$I$19+IF(parametros_manuales!$H$33="Todos",datos_base!$I$10+datos_base!$I$24,0))*parametros_manuales!$E$100+parametros_manuales!$F$33*(datos_base!$I$4+datos_base!$I$20+IF(parametros_manuales!$H$33="Todos",datos_base!$I$11+datos_base!$I$25,0))*parametros_manuales!$E$105+parametros_manuales!$G$33*(datos_base!$I$5+datos_base!$I$21+IF(parametros_manuales!$H$33="Todos",datos_base!$I$12+datos_base!$I$26,0))*parametros_manuales!$E$110)*parametros_manuales!$I$33*parametros_manuales!$J$33</f>
        <v>16989.169196365</v>
      </c>
      <c r="F205" s="9" t="n">
        <f aca="false">(parametros_manuales!$D$33*(datos_base!$I$2+datos_base!$I$18+IF(parametros_manuales!$H$33="Todos",datos_base!$I$9+datos_base!$I$23,0))*parametros_manuales!$F$95+parametros_manuales!$E$33*(datos_base!$I$3+datos_base!$I$19+IF(parametros_manuales!$H$33="Todos",datos_base!$I$10+datos_base!$I$24,0))*parametros_manuales!$F$100+parametros_manuales!$F$33*(datos_base!$I$4+datos_base!$I$20+IF(parametros_manuales!$H$33="Todos",datos_base!$I$11+datos_base!$I$25,0))*parametros_manuales!$F$105+parametros_manuales!$G$33*(datos_base!$I$5+datos_base!$I$21+IF(parametros_manuales!$H$33="Todos",datos_base!$I$12+datos_base!$I$26,0))*parametros_manuales!$F$110)*parametros_manuales!$I$33*parametros_manuales!$J$33</f>
        <v>15897.96331512</v>
      </c>
      <c r="G205" s="9" t="n">
        <f aca="false">(parametros_manuales!$D$33*(datos_base!$I$2+datos_base!$I$18+IF(parametros_manuales!$H$33="Todos",datos_base!$I$9+datos_base!$I$23,0))*parametros_manuales!$G$95+parametros_manuales!$E$33*(datos_base!$I$3+datos_base!$I$19+IF(parametros_manuales!$H$33="Todos",datos_base!$I$10+datos_base!$I$24,0))*parametros_manuales!$G$100+parametros_manuales!$F$33*(datos_base!$I$4+datos_base!$I$20+IF(parametros_manuales!$H$33="Todos",datos_base!$I$11+datos_base!$I$25,0))*parametros_manuales!$G$105+parametros_manuales!$G$33*(datos_base!$I$5+datos_base!$I$21+IF(parametros_manuales!$H$33="Todos",datos_base!$I$12+datos_base!$I$26,0))*parametros_manuales!$G$110)*parametros_manuales!$I$33*parametros_manuales!$J$33</f>
        <v>15587.422826275</v>
      </c>
      <c r="H205" s="9" t="n">
        <f aca="false">(parametros_manuales!$D$33*(datos_base!$I$2+datos_base!$I$18+IF(parametros_manuales!$H$33="Todos",datos_base!$I$9+datos_base!$I$23,0))*parametros_manuales!$H$95+parametros_manuales!$E$33*(datos_base!$I$3+datos_base!$I$19+IF(parametros_manuales!$H$33="Todos",datos_base!$I$10+datos_base!$I$24,0))*parametros_manuales!$H$100+parametros_manuales!$F$33*(datos_base!$I$4+datos_base!$I$20+IF(parametros_manuales!$H$33="Todos",datos_base!$I$11+datos_base!$I$25,0))*parametros_manuales!$H$105+parametros_manuales!$G$33*(datos_base!$I$5+datos_base!$I$21+IF(parametros_manuales!$H$33="Todos",datos_base!$I$12+datos_base!$I$26,0))*parametros_manuales!$H$110)*parametros_manuales!$I$33*parametros_manuales!$J$33</f>
        <v>16678.62870752</v>
      </c>
      <c r="I205" s="9" t="n">
        <f aca="false">(parametros_manuales!$D$33*(datos_base!$I$2+datos_base!$I$18+IF(parametros_manuales!$H$33="Todos",datos_base!$I$9+datos_base!$I$23,0))*parametros_manuales!$I$95+parametros_manuales!$E$33*(datos_base!$I$3+datos_base!$I$19+IF(parametros_manuales!$H$33="Todos",datos_base!$I$10+datos_base!$I$24,0))*parametros_manuales!$I$100+parametros_manuales!$F$33*(datos_base!$I$4+datos_base!$I$20+IF(parametros_manuales!$H$33="Todos",datos_base!$I$11+datos_base!$I$25,0))*parametros_manuales!$I$105+parametros_manuales!$G$33*(datos_base!$I$5+datos_base!$I$21+IF(parametros_manuales!$H$33="Todos",datos_base!$I$12+datos_base!$I$26,0))*parametros_manuales!$I$110)*parametros_manuales!$I$33*parametros_manuales!$J$33</f>
        <v>19020.62488472</v>
      </c>
      <c r="J205" s="9" t="n">
        <f aca="false">(parametros_manuales!$D$33*(datos_base!$I$2+datos_base!$I$18+IF(parametros_manuales!$H$33="Todos",datos_base!$I$9+datos_base!$I$23,0))*parametros_manuales!$J$95+parametros_manuales!$E$33*(datos_base!$I$3+datos_base!$I$19+IF(parametros_manuales!$H$33="Todos",datos_base!$I$10+datos_base!$I$24,0))*parametros_manuales!$J$100+parametros_manuales!$F$33*(datos_base!$I$4+datos_base!$I$20+IF(parametros_manuales!$H$33="Todos",datos_base!$I$11+datos_base!$I$25,0))*parametros_manuales!$J$105+parametros_manuales!$G$33*(datos_base!$I$5+datos_base!$I$21+IF(parametros_manuales!$H$33="Todos",datos_base!$I$12+datos_base!$I$26,0))*parametros_manuales!$J$110)*parametros_manuales!$I$33*parametros_manuales!$J$33</f>
        <v>19020.62488472</v>
      </c>
      <c r="K205" s="9" t="n">
        <f aca="false">(parametros_manuales!$D$33*(datos_base!$I$2+datos_base!$I$18+IF(parametros_manuales!$H$33="Todos",datos_base!$I$9+datos_base!$I$23,0))*parametros_manuales!$K$95+parametros_manuales!$E$33*(datos_base!$I$3+datos_base!$I$19+IF(parametros_manuales!$H$33="Todos",datos_base!$I$10+datos_base!$I$24,0))*parametros_manuales!$K$100+parametros_manuales!$F$33*(datos_base!$I$4+datos_base!$I$20+IF(parametros_manuales!$H$33="Todos",datos_base!$I$11+datos_base!$I$25,0))*parametros_manuales!$K$105+parametros_manuales!$G$33*(datos_base!$I$5+datos_base!$I$21+IF(parametros_manuales!$H$33="Todos",datos_base!$I$12+datos_base!$I$26,0))*parametros_manuales!$K$110)*parametros_manuales!$I$33*parametros_manuales!$J$33</f>
        <v>19331.165373565</v>
      </c>
      <c r="L205" s="9" t="n">
        <f aca="false">(parametros_manuales!$D$33*(datos_base!$I$2+datos_base!$I$18+IF(parametros_manuales!$H$33="Todos",datos_base!$I$9+datos_base!$I$23,0))*parametros_manuales!$L$95+parametros_manuales!$E$33*(datos_base!$I$3+datos_base!$I$19+IF(parametros_manuales!$H$33="Todos",datos_base!$I$10+datos_base!$I$24,0))*parametros_manuales!$L$100+parametros_manuales!$F$33*(datos_base!$I$4+datos_base!$I$20+IF(parametros_manuales!$H$33="Todos",datos_base!$I$11+datos_base!$I$25,0))*parametros_manuales!$L$105+parametros_manuales!$G$33*(datos_base!$I$5+datos_base!$I$21+IF(parametros_manuales!$H$33="Todos",datos_base!$I$12+datos_base!$I$26,0))*parametros_manuales!$L$110)*parametros_manuales!$I$33*parametros_manuales!$J$33</f>
        <v>19641.70586241</v>
      </c>
      <c r="M205" s="9" t="n">
        <f aca="false">(parametros_manuales!$D$33*(datos_base!$I$2+datos_base!$I$18+IF(parametros_manuales!$H$33="Todos",datos_base!$I$9+datos_base!$I$23,0))*parametros_manuales!$M$95+parametros_manuales!$E$33*(datos_base!$I$3+datos_base!$I$19+IF(parametros_manuales!$H$33="Todos",datos_base!$I$10+datos_base!$I$24,0))*parametros_manuales!$M$100+parametros_manuales!$F$33*(datos_base!$I$4+datos_base!$I$20+IF(parametros_manuales!$H$33="Todos",datos_base!$I$11+datos_base!$I$25,0))*parametros_manuales!$M$105+parametros_manuales!$G$33*(datos_base!$I$5+datos_base!$I$21+IF(parametros_manuales!$H$33="Todos",datos_base!$I$12+datos_base!$I$26,0))*parametros_manuales!$M$110)*parametros_manuales!$I$33*parametros_manuales!$J$33</f>
        <v>19641.70586241</v>
      </c>
      <c r="N205" s="9" t="n">
        <f aca="false">SUM(B205:M205)</f>
        <v>218241.176249</v>
      </c>
      <c r="O205" s="9" t="n">
        <f aca="false">MAX(B205:M205)</f>
        <v>19641.70586241</v>
      </c>
      <c r="P205" s="43" t="n">
        <f aca="false">O205/(parametros_manuales!$B$7)</f>
        <v>130.9447057494</v>
      </c>
      <c r="Q205" s="8" t="str">
        <f aca="false">IF(O205=0,"-",INDEX($B$190:$M$190,MATCH(O205,B205:M205,0)))</f>
        <v>Ene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datos_base!$I$2+datos_base!$I$18+IF(parametros_manuales!$H$34="Todos",datos_base!$I$9+datos_base!$I$23,0))*parametros_manuales!$B$95+parametros_manuales!$E$34*(datos_base!$I$3+datos_base!$I$19+IF(parametros_manuales!$H$34="Todos",datos_base!$I$10+datos_base!$I$24,0))*parametros_manuales!$B$100+parametros_manuales!$F$34*(datos_base!$I$4+datos_base!$I$20+IF(parametros_manuales!$H$34="Todos",datos_base!$I$11+datos_base!$I$25,0))*parametros_manuales!$B$105+parametros_manuales!$G$34*(datos_base!$I$5+datos_base!$I$21+IF(parametros_manuales!$H$34="Todos",datos_base!$I$12+datos_base!$I$26,0))*parametros_manuales!$B$110)*parametros_manuales!$I$34*parametros_manuales!$J$34</f>
        <v>19641.70586241</v>
      </c>
      <c r="C206" s="9" t="n">
        <f aca="false">(parametros_manuales!$D$34*(datos_base!$I$2+datos_base!$I$18+IF(parametros_manuales!$H$34="Todos",datos_base!$I$9+datos_base!$I$23,0))*parametros_manuales!$C$95+parametros_manuales!$E$34*(datos_base!$I$3+datos_base!$I$19+IF(parametros_manuales!$H$34="Todos",datos_base!$I$10+datos_base!$I$24,0))*parametros_manuales!$C$100+parametros_manuales!$F$34*(datos_base!$I$4+datos_base!$I$20+IF(parametros_manuales!$H$34="Todos",datos_base!$I$11+datos_base!$I$25,0))*parametros_manuales!$C$105+parametros_manuales!$G$34*(datos_base!$I$5+datos_base!$I$21+IF(parametros_manuales!$H$34="Todos",datos_base!$I$12+datos_base!$I$26,0))*parametros_manuales!$C$110)*parametros_manuales!$I$34*parametros_manuales!$J$34</f>
        <v>19020.62488472</v>
      </c>
      <c r="D206" s="9" t="n">
        <f aca="false">(parametros_manuales!$D$34*(datos_base!$I$2+datos_base!$I$18+IF(parametros_manuales!$H$34="Todos",datos_base!$I$9+datos_base!$I$23,0))*parametros_manuales!$D$95+parametros_manuales!$E$34*(datos_base!$I$3+datos_base!$I$19+IF(parametros_manuales!$H$34="Todos",datos_base!$I$10+datos_base!$I$24,0))*parametros_manuales!$D$100+parametros_manuales!$F$34*(datos_base!$I$4+datos_base!$I$20+IF(parametros_manuales!$H$34="Todos",datos_base!$I$11+datos_base!$I$25,0))*parametros_manuales!$D$105+parametros_manuales!$G$34*(datos_base!$I$5+datos_base!$I$21+IF(parametros_manuales!$H$34="Todos",datos_base!$I$12+datos_base!$I$26,0))*parametros_manuales!$D$110)*parametros_manuales!$I$34*parametros_manuales!$J$34</f>
        <v>17769.834588765</v>
      </c>
      <c r="E206" s="9" t="n">
        <f aca="false">(parametros_manuales!$D$34*(datos_base!$I$2+datos_base!$I$18+IF(parametros_manuales!$H$34="Todos",datos_base!$I$9+datos_base!$I$23,0))*parametros_manuales!$E$95+parametros_manuales!$E$34*(datos_base!$I$3+datos_base!$I$19+IF(parametros_manuales!$H$34="Todos",datos_base!$I$10+datos_base!$I$24,0))*parametros_manuales!$E$100+parametros_manuales!$F$34*(datos_base!$I$4+datos_base!$I$20+IF(parametros_manuales!$H$34="Todos",datos_base!$I$11+datos_base!$I$25,0))*parametros_manuales!$E$105+parametros_manuales!$G$34*(datos_base!$I$5+datos_base!$I$21+IF(parametros_manuales!$H$34="Todos",datos_base!$I$12+datos_base!$I$26,0))*parametros_manuales!$E$110)*parametros_manuales!$I$34*parametros_manuales!$J$34</f>
        <v>16989.169196365</v>
      </c>
      <c r="F206" s="9" t="n">
        <f aca="false">(parametros_manuales!$D$34*(datos_base!$I$2+datos_base!$I$18+IF(parametros_manuales!$H$34="Todos",datos_base!$I$9+datos_base!$I$23,0))*parametros_manuales!$F$95+parametros_manuales!$E$34*(datos_base!$I$3+datos_base!$I$19+IF(parametros_manuales!$H$34="Todos",datos_base!$I$10+datos_base!$I$24,0))*parametros_manuales!$F$100+parametros_manuales!$F$34*(datos_base!$I$4+datos_base!$I$20+IF(parametros_manuales!$H$34="Todos",datos_base!$I$11+datos_base!$I$25,0))*parametros_manuales!$F$105+parametros_manuales!$G$34*(datos_base!$I$5+datos_base!$I$21+IF(parametros_manuales!$H$34="Todos",datos_base!$I$12+datos_base!$I$26,0))*parametros_manuales!$F$110)*parametros_manuales!$I$34*parametros_manuales!$J$34</f>
        <v>15897.96331512</v>
      </c>
      <c r="G206" s="9" t="n">
        <f aca="false">(parametros_manuales!$D$34*(datos_base!$I$2+datos_base!$I$18+IF(parametros_manuales!$H$34="Todos",datos_base!$I$9+datos_base!$I$23,0))*parametros_manuales!$G$95+parametros_manuales!$E$34*(datos_base!$I$3+datos_base!$I$19+IF(parametros_manuales!$H$34="Todos",datos_base!$I$10+datos_base!$I$24,0))*parametros_manuales!$G$100+parametros_manuales!$F$34*(datos_base!$I$4+datos_base!$I$20+IF(parametros_manuales!$H$34="Todos",datos_base!$I$11+datos_base!$I$25,0))*parametros_manuales!$G$105+parametros_manuales!$G$34*(datos_base!$I$5+datos_base!$I$21+IF(parametros_manuales!$H$34="Todos",datos_base!$I$12+datos_base!$I$26,0))*parametros_manuales!$G$110)*parametros_manuales!$I$34*parametros_manuales!$J$34</f>
        <v>15587.422826275</v>
      </c>
      <c r="H206" s="9" t="n">
        <f aca="false">(parametros_manuales!$D$34*(datos_base!$I$2+datos_base!$I$18+IF(parametros_manuales!$H$34="Todos",datos_base!$I$9+datos_base!$I$23,0))*parametros_manuales!$H$95+parametros_manuales!$E$34*(datos_base!$I$3+datos_base!$I$19+IF(parametros_manuales!$H$34="Todos",datos_base!$I$10+datos_base!$I$24,0))*parametros_manuales!$H$100+parametros_manuales!$F$34*(datos_base!$I$4+datos_base!$I$20+IF(parametros_manuales!$H$34="Todos",datos_base!$I$11+datos_base!$I$25,0))*parametros_manuales!$H$105+parametros_manuales!$G$34*(datos_base!$I$5+datos_base!$I$21+IF(parametros_manuales!$H$34="Todos",datos_base!$I$12+datos_base!$I$26,0))*parametros_manuales!$H$110)*parametros_manuales!$I$34*parametros_manuales!$J$34</f>
        <v>16678.62870752</v>
      </c>
      <c r="I206" s="9" t="n">
        <f aca="false">(parametros_manuales!$D$34*(datos_base!$I$2+datos_base!$I$18+IF(parametros_manuales!$H$34="Todos",datos_base!$I$9+datos_base!$I$23,0))*parametros_manuales!$I$95+parametros_manuales!$E$34*(datos_base!$I$3+datos_base!$I$19+IF(parametros_manuales!$H$34="Todos",datos_base!$I$10+datos_base!$I$24,0))*parametros_manuales!$I$100+parametros_manuales!$F$34*(datos_base!$I$4+datos_base!$I$20+IF(parametros_manuales!$H$34="Todos",datos_base!$I$11+datos_base!$I$25,0))*parametros_manuales!$I$105+parametros_manuales!$G$34*(datos_base!$I$5+datos_base!$I$21+IF(parametros_manuales!$H$34="Todos",datos_base!$I$12+datos_base!$I$26,0))*parametros_manuales!$I$110)*parametros_manuales!$I$34*parametros_manuales!$J$34</f>
        <v>19020.62488472</v>
      </c>
      <c r="J206" s="9" t="n">
        <f aca="false">(parametros_manuales!$D$34*(datos_base!$I$2+datos_base!$I$18+IF(parametros_manuales!$H$34="Todos",datos_base!$I$9+datos_base!$I$23,0))*parametros_manuales!$J$95+parametros_manuales!$E$34*(datos_base!$I$3+datos_base!$I$19+IF(parametros_manuales!$H$34="Todos",datos_base!$I$10+datos_base!$I$24,0))*parametros_manuales!$J$100+parametros_manuales!$F$34*(datos_base!$I$4+datos_base!$I$20+IF(parametros_manuales!$H$34="Todos",datos_base!$I$11+datos_base!$I$25,0))*parametros_manuales!$J$105+parametros_manuales!$G$34*(datos_base!$I$5+datos_base!$I$21+IF(parametros_manuales!$H$34="Todos",datos_base!$I$12+datos_base!$I$26,0))*parametros_manuales!$J$110)*parametros_manuales!$I$34*parametros_manuales!$J$34</f>
        <v>19020.62488472</v>
      </c>
      <c r="K206" s="9" t="n">
        <f aca="false">(parametros_manuales!$D$34*(datos_base!$I$2+datos_base!$I$18+IF(parametros_manuales!$H$34="Todos",datos_base!$I$9+datos_base!$I$23,0))*parametros_manuales!$K$95+parametros_manuales!$E$34*(datos_base!$I$3+datos_base!$I$19+IF(parametros_manuales!$H$34="Todos",datos_base!$I$10+datos_base!$I$24,0))*parametros_manuales!$K$100+parametros_manuales!$F$34*(datos_base!$I$4+datos_base!$I$20+IF(parametros_manuales!$H$34="Todos",datos_base!$I$11+datos_base!$I$25,0))*parametros_manuales!$K$105+parametros_manuales!$G$34*(datos_base!$I$5+datos_base!$I$21+IF(parametros_manuales!$H$34="Todos",datos_base!$I$12+datos_base!$I$26,0))*parametros_manuales!$K$110)*parametros_manuales!$I$34*parametros_manuales!$J$34</f>
        <v>19331.165373565</v>
      </c>
      <c r="L206" s="9" t="n">
        <f aca="false">(parametros_manuales!$D$34*(datos_base!$I$2+datos_base!$I$18+IF(parametros_manuales!$H$34="Todos",datos_base!$I$9+datos_base!$I$23,0))*parametros_manuales!$L$95+parametros_manuales!$E$34*(datos_base!$I$3+datos_base!$I$19+IF(parametros_manuales!$H$34="Todos",datos_base!$I$10+datos_base!$I$24,0))*parametros_manuales!$L$100+parametros_manuales!$F$34*(datos_base!$I$4+datos_base!$I$20+IF(parametros_manuales!$H$34="Todos",datos_base!$I$11+datos_base!$I$25,0))*parametros_manuales!$L$105+parametros_manuales!$G$34*(datos_base!$I$5+datos_base!$I$21+IF(parametros_manuales!$H$34="Todos",datos_base!$I$12+datos_base!$I$26,0))*parametros_manuales!$L$110)*parametros_manuales!$I$34*parametros_manuales!$J$34</f>
        <v>19641.70586241</v>
      </c>
      <c r="M206" s="9" t="n">
        <f aca="false">(parametros_manuales!$D$34*(datos_base!$I$2+datos_base!$I$18+IF(parametros_manuales!$H$34="Todos",datos_base!$I$9+datos_base!$I$23,0))*parametros_manuales!$M$95+parametros_manuales!$E$34*(datos_base!$I$3+datos_base!$I$19+IF(parametros_manuales!$H$34="Todos",datos_base!$I$10+datos_base!$I$24,0))*parametros_manuales!$M$100+parametros_manuales!$F$34*(datos_base!$I$4+datos_base!$I$20+IF(parametros_manuales!$H$34="Todos",datos_base!$I$11+datos_base!$I$25,0))*parametros_manuales!$M$105+parametros_manuales!$G$34*(datos_base!$I$5+datos_base!$I$21+IF(parametros_manuales!$H$34="Todos",datos_base!$I$12+datos_base!$I$26,0))*parametros_manuales!$M$110)*parametros_manuales!$I$34*parametros_manuales!$J$34</f>
        <v>19641.70586241</v>
      </c>
      <c r="N206" s="9" t="n">
        <f aca="false">SUM(B206:M206)</f>
        <v>218241.176249</v>
      </c>
      <c r="O206" s="9" t="n">
        <f aca="false">MAX(B206:M206)</f>
        <v>19641.70586241</v>
      </c>
      <c r="P206" s="43" t="n">
        <f aca="false">O206/(parametros_manuales!$B$7)</f>
        <v>130.9447057494</v>
      </c>
      <c r="Q206" s="8" t="str">
        <f aca="false">IF(O206=0,"-",INDEX($B$190:$M$190,MATCH(O206,B206:M206,0)))</f>
        <v>Ene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datos_base!$I$2+datos_base!$I$18+IF(parametros_manuales!$H$35="Todos",datos_base!$I$9+datos_base!$I$23,0))*parametros_manuales!$B$95+parametros_manuales!$E$35*(datos_base!$I$3+datos_base!$I$19+IF(parametros_manuales!$H$35="Todos",datos_base!$I$10+datos_base!$I$24,0))*parametros_manuales!$B$100+parametros_manuales!$F$35*(datos_base!$I$4+datos_base!$I$20+IF(parametros_manuales!$H$35="Todos",datos_base!$I$11+datos_base!$I$25,0))*parametros_manuales!$B$105+parametros_manuales!$G$35*(datos_base!$I$5+datos_base!$I$21+IF(parametros_manuales!$H$35="Todos",datos_base!$I$12+datos_base!$I$26,0))*parametros_manuales!$B$110)*parametros_manuales!$I$35*parametros_manuales!$J$35</f>
        <v>19641.70586241</v>
      </c>
      <c r="C207" s="9" t="n">
        <f aca="false">(parametros_manuales!$D$35*(datos_base!$I$2+datos_base!$I$18+IF(parametros_manuales!$H$35="Todos",datos_base!$I$9+datos_base!$I$23,0))*parametros_manuales!$C$95+parametros_manuales!$E$35*(datos_base!$I$3+datos_base!$I$19+IF(parametros_manuales!$H$35="Todos",datos_base!$I$10+datos_base!$I$24,0))*parametros_manuales!$C$100+parametros_manuales!$F$35*(datos_base!$I$4+datos_base!$I$20+IF(parametros_manuales!$H$35="Todos",datos_base!$I$11+datos_base!$I$25,0))*parametros_manuales!$C$105+parametros_manuales!$G$35*(datos_base!$I$5+datos_base!$I$21+IF(parametros_manuales!$H$35="Todos",datos_base!$I$12+datos_base!$I$26,0))*parametros_manuales!$C$110)*parametros_manuales!$I$35*parametros_manuales!$J$35</f>
        <v>19020.62488472</v>
      </c>
      <c r="D207" s="9" t="n">
        <f aca="false">(parametros_manuales!$D$35*(datos_base!$I$2+datos_base!$I$18+IF(parametros_manuales!$H$35="Todos",datos_base!$I$9+datos_base!$I$23,0))*parametros_manuales!$D$95+parametros_manuales!$E$35*(datos_base!$I$3+datos_base!$I$19+IF(parametros_manuales!$H$35="Todos",datos_base!$I$10+datos_base!$I$24,0))*parametros_manuales!$D$100+parametros_manuales!$F$35*(datos_base!$I$4+datos_base!$I$20+IF(parametros_manuales!$H$35="Todos",datos_base!$I$11+datos_base!$I$25,0))*parametros_manuales!$D$105+parametros_manuales!$G$35*(datos_base!$I$5+datos_base!$I$21+IF(parametros_manuales!$H$35="Todos",datos_base!$I$12+datos_base!$I$26,0))*parametros_manuales!$D$110)*parametros_manuales!$I$35*parametros_manuales!$J$35</f>
        <v>17769.834588765</v>
      </c>
      <c r="E207" s="9" t="n">
        <f aca="false">(parametros_manuales!$D$35*(datos_base!$I$2+datos_base!$I$18+IF(parametros_manuales!$H$35="Todos",datos_base!$I$9+datos_base!$I$23,0))*parametros_manuales!$E$95+parametros_manuales!$E$35*(datos_base!$I$3+datos_base!$I$19+IF(parametros_manuales!$H$35="Todos",datos_base!$I$10+datos_base!$I$24,0))*parametros_manuales!$E$100+parametros_manuales!$F$35*(datos_base!$I$4+datos_base!$I$20+IF(parametros_manuales!$H$35="Todos",datos_base!$I$11+datos_base!$I$25,0))*parametros_manuales!$E$105+parametros_manuales!$G$35*(datos_base!$I$5+datos_base!$I$21+IF(parametros_manuales!$H$35="Todos",datos_base!$I$12+datos_base!$I$26,0))*parametros_manuales!$E$110)*parametros_manuales!$I$35*parametros_manuales!$J$35</f>
        <v>16989.169196365</v>
      </c>
      <c r="F207" s="9" t="n">
        <f aca="false">(parametros_manuales!$D$35*(datos_base!$I$2+datos_base!$I$18+IF(parametros_manuales!$H$35="Todos",datos_base!$I$9+datos_base!$I$23,0))*parametros_manuales!$F$95+parametros_manuales!$E$35*(datos_base!$I$3+datos_base!$I$19+IF(parametros_manuales!$H$35="Todos",datos_base!$I$10+datos_base!$I$24,0))*parametros_manuales!$F$100+parametros_manuales!$F$35*(datos_base!$I$4+datos_base!$I$20+IF(parametros_manuales!$H$35="Todos",datos_base!$I$11+datos_base!$I$25,0))*parametros_manuales!$F$105+parametros_manuales!$G$35*(datos_base!$I$5+datos_base!$I$21+IF(parametros_manuales!$H$35="Todos",datos_base!$I$12+datos_base!$I$26,0))*parametros_manuales!$F$110)*parametros_manuales!$I$35*parametros_manuales!$J$35</f>
        <v>15897.96331512</v>
      </c>
      <c r="G207" s="9" t="n">
        <f aca="false">(parametros_manuales!$D$35*(datos_base!$I$2+datos_base!$I$18+IF(parametros_manuales!$H$35="Todos",datos_base!$I$9+datos_base!$I$23,0))*parametros_manuales!$G$95+parametros_manuales!$E$35*(datos_base!$I$3+datos_base!$I$19+IF(parametros_manuales!$H$35="Todos",datos_base!$I$10+datos_base!$I$24,0))*parametros_manuales!$G$100+parametros_manuales!$F$35*(datos_base!$I$4+datos_base!$I$20+IF(parametros_manuales!$H$35="Todos",datos_base!$I$11+datos_base!$I$25,0))*parametros_manuales!$G$105+parametros_manuales!$G$35*(datos_base!$I$5+datos_base!$I$21+IF(parametros_manuales!$H$35="Todos",datos_base!$I$12+datos_base!$I$26,0))*parametros_manuales!$G$110)*parametros_manuales!$I$35*parametros_manuales!$J$35</f>
        <v>15587.422826275</v>
      </c>
      <c r="H207" s="9" t="n">
        <f aca="false">(parametros_manuales!$D$35*(datos_base!$I$2+datos_base!$I$18+IF(parametros_manuales!$H$35="Todos",datos_base!$I$9+datos_base!$I$23,0))*parametros_manuales!$H$95+parametros_manuales!$E$35*(datos_base!$I$3+datos_base!$I$19+IF(parametros_manuales!$H$35="Todos",datos_base!$I$10+datos_base!$I$24,0))*parametros_manuales!$H$100+parametros_manuales!$F$35*(datos_base!$I$4+datos_base!$I$20+IF(parametros_manuales!$H$35="Todos",datos_base!$I$11+datos_base!$I$25,0))*parametros_manuales!$H$105+parametros_manuales!$G$35*(datos_base!$I$5+datos_base!$I$21+IF(parametros_manuales!$H$35="Todos",datos_base!$I$12+datos_base!$I$26,0))*parametros_manuales!$H$110)*parametros_manuales!$I$35*parametros_manuales!$J$35</f>
        <v>16678.62870752</v>
      </c>
      <c r="I207" s="9" t="n">
        <f aca="false">(parametros_manuales!$D$35*(datos_base!$I$2+datos_base!$I$18+IF(parametros_manuales!$H$35="Todos",datos_base!$I$9+datos_base!$I$23,0))*parametros_manuales!$I$95+parametros_manuales!$E$35*(datos_base!$I$3+datos_base!$I$19+IF(parametros_manuales!$H$35="Todos",datos_base!$I$10+datos_base!$I$24,0))*parametros_manuales!$I$100+parametros_manuales!$F$35*(datos_base!$I$4+datos_base!$I$20+IF(parametros_manuales!$H$35="Todos",datos_base!$I$11+datos_base!$I$25,0))*parametros_manuales!$I$105+parametros_manuales!$G$35*(datos_base!$I$5+datos_base!$I$21+IF(parametros_manuales!$H$35="Todos",datos_base!$I$12+datos_base!$I$26,0))*parametros_manuales!$I$110)*parametros_manuales!$I$35*parametros_manuales!$J$35</f>
        <v>19020.62488472</v>
      </c>
      <c r="J207" s="9" t="n">
        <f aca="false">(parametros_manuales!$D$35*(datos_base!$I$2+datos_base!$I$18+IF(parametros_manuales!$H$35="Todos",datos_base!$I$9+datos_base!$I$23,0))*parametros_manuales!$J$95+parametros_manuales!$E$35*(datos_base!$I$3+datos_base!$I$19+IF(parametros_manuales!$H$35="Todos",datos_base!$I$10+datos_base!$I$24,0))*parametros_manuales!$J$100+parametros_manuales!$F$35*(datos_base!$I$4+datos_base!$I$20+IF(parametros_manuales!$H$35="Todos",datos_base!$I$11+datos_base!$I$25,0))*parametros_manuales!$J$105+parametros_manuales!$G$35*(datos_base!$I$5+datos_base!$I$21+IF(parametros_manuales!$H$35="Todos",datos_base!$I$12+datos_base!$I$26,0))*parametros_manuales!$J$110)*parametros_manuales!$I$35*parametros_manuales!$J$35</f>
        <v>19020.62488472</v>
      </c>
      <c r="K207" s="9" t="n">
        <f aca="false">(parametros_manuales!$D$35*(datos_base!$I$2+datos_base!$I$18+IF(parametros_manuales!$H$35="Todos",datos_base!$I$9+datos_base!$I$23,0))*parametros_manuales!$K$95+parametros_manuales!$E$35*(datos_base!$I$3+datos_base!$I$19+IF(parametros_manuales!$H$35="Todos",datos_base!$I$10+datos_base!$I$24,0))*parametros_manuales!$K$100+parametros_manuales!$F$35*(datos_base!$I$4+datos_base!$I$20+IF(parametros_manuales!$H$35="Todos",datos_base!$I$11+datos_base!$I$25,0))*parametros_manuales!$K$105+parametros_manuales!$G$35*(datos_base!$I$5+datos_base!$I$21+IF(parametros_manuales!$H$35="Todos",datos_base!$I$12+datos_base!$I$26,0))*parametros_manuales!$K$110)*parametros_manuales!$I$35*parametros_manuales!$J$35</f>
        <v>19331.165373565</v>
      </c>
      <c r="L207" s="9" t="n">
        <f aca="false">(parametros_manuales!$D$35*(datos_base!$I$2+datos_base!$I$18+IF(parametros_manuales!$H$35="Todos",datos_base!$I$9+datos_base!$I$23,0))*parametros_manuales!$L$95+parametros_manuales!$E$35*(datos_base!$I$3+datos_base!$I$19+IF(parametros_manuales!$H$35="Todos",datos_base!$I$10+datos_base!$I$24,0))*parametros_manuales!$L$100+parametros_manuales!$F$35*(datos_base!$I$4+datos_base!$I$20+IF(parametros_manuales!$H$35="Todos",datos_base!$I$11+datos_base!$I$25,0))*parametros_manuales!$L$105+parametros_manuales!$G$35*(datos_base!$I$5+datos_base!$I$21+IF(parametros_manuales!$H$35="Todos",datos_base!$I$12+datos_base!$I$26,0))*parametros_manuales!$L$110)*parametros_manuales!$I$35*parametros_manuales!$J$35</f>
        <v>19641.70586241</v>
      </c>
      <c r="M207" s="9" t="n">
        <f aca="false">(parametros_manuales!$D$35*(datos_base!$I$2+datos_base!$I$18+IF(parametros_manuales!$H$35="Todos",datos_base!$I$9+datos_base!$I$23,0))*parametros_manuales!$M$95+parametros_manuales!$E$35*(datos_base!$I$3+datos_base!$I$19+IF(parametros_manuales!$H$35="Todos",datos_base!$I$10+datos_base!$I$24,0))*parametros_manuales!$M$100+parametros_manuales!$F$35*(datos_base!$I$4+datos_base!$I$20+IF(parametros_manuales!$H$35="Todos",datos_base!$I$11+datos_base!$I$25,0))*parametros_manuales!$M$105+parametros_manuales!$G$35*(datos_base!$I$5+datos_base!$I$21+IF(parametros_manuales!$H$35="Todos",datos_base!$I$12+datos_base!$I$26,0))*parametros_manuales!$M$110)*parametros_manuales!$I$35*parametros_manuales!$J$35</f>
        <v>19641.70586241</v>
      </c>
      <c r="N207" s="9" t="n">
        <f aca="false">SUM(B207:M207)</f>
        <v>218241.176249</v>
      </c>
      <c r="O207" s="9" t="n">
        <f aca="false">MAX(B207:M207)</f>
        <v>19641.70586241</v>
      </c>
      <c r="P207" s="43" t="n">
        <f aca="false">O207/(parametros_manuales!$B$7)</f>
        <v>130.9447057494</v>
      </c>
      <c r="Q207" s="8" t="str">
        <f aca="false">IF(O207=0,"-",INDEX($B$190:$M$190,MATCH(O207,B207:M207,0)))</f>
        <v>Ene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datos_base!$I$2+datos_base!$I$18+IF(parametros_manuales!$H$36="Todos",datos_base!$I$9+datos_base!$I$23,0))*parametros_manuales!$B$95+parametros_manuales!$E$36*(datos_base!$I$3+datos_base!$I$19+IF(parametros_manuales!$H$36="Todos",datos_base!$I$10+datos_base!$I$24,0))*parametros_manuales!$B$100+parametros_manuales!$F$36*(datos_base!$I$4+datos_base!$I$20+IF(parametros_manuales!$H$36="Todos",datos_base!$I$11+datos_base!$I$25,0))*parametros_manuales!$B$105+parametros_manuales!$G$36*(datos_base!$I$5+datos_base!$I$21+IF(parametros_manuales!$H$36="Todos",datos_base!$I$12+datos_base!$I$26,0))*parametros_manuales!$B$110)*parametros_manuales!$I$36*parametros_manuales!$J$36</f>
        <v>982.0852931205</v>
      </c>
      <c r="C208" s="9" t="n">
        <f aca="false">(parametros_manuales!$D$36*(datos_base!$I$2+datos_base!$I$18+IF(parametros_manuales!$H$36="Todos",datos_base!$I$9+datos_base!$I$23,0))*parametros_manuales!$C$95+parametros_manuales!$E$36*(datos_base!$I$3+datos_base!$I$19+IF(parametros_manuales!$H$36="Todos",datos_base!$I$10+datos_base!$I$24,0))*parametros_manuales!$C$100+parametros_manuales!$F$36*(datos_base!$I$4+datos_base!$I$20+IF(parametros_manuales!$H$36="Todos",datos_base!$I$11+datos_base!$I$25,0))*parametros_manuales!$C$105+parametros_manuales!$G$36*(datos_base!$I$5+datos_base!$I$21+IF(parametros_manuales!$H$36="Todos",datos_base!$I$12+datos_base!$I$26,0))*parametros_manuales!$C$110)*parametros_manuales!$I$36*parametros_manuales!$J$36</f>
        <v>951.031244236</v>
      </c>
      <c r="D208" s="9" t="n">
        <f aca="false">(parametros_manuales!$D$36*(datos_base!$I$2+datos_base!$I$18+IF(parametros_manuales!$H$36="Todos",datos_base!$I$9+datos_base!$I$23,0))*parametros_manuales!$D$95+parametros_manuales!$E$36*(datos_base!$I$3+datos_base!$I$19+IF(parametros_manuales!$H$36="Todos",datos_base!$I$10+datos_base!$I$24,0))*parametros_manuales!$D$100+parametros_manuales!$F$36*(datos_base!$I$4+datos_base!$I$20+IF(parametros_manuales!$H$36="Todos",datos_base!$I$11+datos_base!$I$25,0))*parametros_manuales!$D$105+parametros_manuales!$G$36*(datos_base!$I$5+datos_base!$I$21+IF(parametros_manuales!$H$36="Todos",datos_base!$I$12+datos_base!$I$26,0))*parametros_manuales!$D$110)*parametros_manuales!$I$36*parametros_manuales!$J$36</f>
        <v>888.49172943825</v>
      </c>
      <c r="E208" s="9" t="n">
        <f aca="false">(parametros_manuales!$D$36*(datos_base!$I$2+datos_base!$I$18+IF(parametros_manuales!$H$36="Todos",datos_base!$I$9+datos_base!$I$23,0))*parametros_manuales!$E$95+parametros_manuales!$E$36*(datos_base!$I$3+datos_base!$I$19+IF(parametros_manuales!$H$36="Todos",datos_base!$I$10+datos_base!$I$24,0))*parametros_manuales!$E$100+parametros_manuales!$F$36*(datos_base!$I$4+datos_base!$I$20+IF(parametros_manuales!$H$36="Todos",datos_base!$I$11+datos_base!$I$25,0))*parametros_manuales!$E$105+parametros_manuales!$G$36*(datos_base!$I$5+datos_base!$I$21+IF(parametros_manuales!$H$36="Todos",datos_base!$I$12+datos_base!$I$26,0))*parametros_manuales!$E$110)*parametros_manuales!$I$36*parametros_manuales!$J$36</f>
        <v>849.45845981825</v>
      </c>
      <c r="F208" s="9" t="n">
        <f aca="false">(parametros_manuales!$D$36*(datos_base!$I$2+datos_base!$I$18+IF(parametros_manuales!$H$36="Todos",datos_base!$I$9+datos_base!$I$23,0))*parametros_manuales!$F$95+parametros_manuales!$E$36*(datos_base!$I$3+datos_base!$I$19+IF(parametros_manuales!$H$36="Todos",datos_base!$I$10+datos_base!$I$24,0))*parametros_manuales!$F$100+parametros_manuales!$F$36*(datos_base!$I$4+datos_base!$I$20+IF(parametros_manuales!$H$36="Todos",datos_base!$I$11+datos_base!$I$25,0))*parametros_manuales!$F$105+parametros_manuales!$G$36*(datos_base!$I$5+datos_base!$I$21+IF(parametros_manuales!$H$36="Todos",datos_base!$I$12+datos_base!$I$26,0))*parametros_manuales!$F$110)*parametros_manuales!$I$36*parametros_manuales!$J$36</f>
        <v>794.898165756</v>
      </c>
      <c r="G208" s="9" t="n">
        <f aca="false">(parametros_manuales!$D$36*(datos_base!$I$2+datos_base!$I$18+IF(parametros_manuales!$H$36="Todos",datos_base!$I$9+datos_base!$I$23,0))*parametros_manuales!$G$95+parametros_manuales!$E$36*(datos_base!$I$3+datos_base!$I$19+IF(parametros_manuales!$H$36="Todos",datos_base!$I$10+datos_base!$I$24,0))*parametros_manuales!$G$100+parametros_manuales!$F$36*(datos_base!$I$4+datos_base!$I$20+IF(parametros_manuales!$H$36="Todos",datos_base!$I$11+datos_base!$I$25,0))*parametros_manuales!$G$105+parametros_manuales!$G$36*(datos_base!$I$5+datos_base!$I$21+IF(parametros_manuales!$H$36="Todos",datos_base!$I$12+datos_base!$I$26,0))*parametros_manuales!$G$110)*parametros_manuales!$I$36*parametros_manuales!$J$36</f>
        <v>779.37114131375</v>
      </c>
      <c r="H208" s="9" t="n">
        <f aca="false">(parametros_manuales!$D$36*(datos_base!$I$2+datos_base!$I$18+IF(parametros_manuales!$H$36="Todos",datos_base!$I$9+datos_base!$I$23,0))*parametros_manuales!$H$95+parametros_manuales!$E$36*(datos_base!$I$3+datos_base!$I$19+IF(parametros_manuales!$H$36="Todos",datos_base!$I$10+datos_base!$I$24,0))*parametros_manuales!$H$100+parametros_manuales!$F$36*(datos_base!$I$4+datos_base!$I$20+IF(parametros_manuales!$H$36="Todos",datos_base!$I$11+datos_base!$I$25,0))*parametros_manuales!$H$105+parametros_manuales!$G$36*(datos_base!$I$5+datos_base!$I$21+IF(parametros_manuales!$H$36="Todos",datos_base!$I$12+datos_base!$I$26,0))*parametros_manuales!$H$110)*parametros_manuales!$I$36*parametros_manuales!$J$36</f>
        <v>833.931435376</v>
      </c>
      <c r="I208" s="9" t="n">
        <f aca="false">(parametros_manuales!$D$36*(datos_base!$I$2+datos_base!$I$18+IF(parametros_manuales!$H$36="Todos",datos_base!$I$9+datos_base!$I$23,0))*parametros_manuales!$I$95+parametros_manuales!$E$36*(datos_base!$I$3+datos_base!$I$19+IF(parametros_manuales!$H$36="Todos",datos_base!$I$10+datos_base!$I$24,0))*parametros_manuales!$I$100+parametros_manuales!$F$36*(datos_base!$I$4+datos_base!$I$20+IF(parametros_manuales!$H$36="Todos",datos_base!$I$11+datos_base!$I$25,0))*parametros_manuales!$I$105+parametros_manuales!$G$36*(datos_base!$I$5+datos_base!$I$21+IF(parametros_manuales!$H$36="Todos",datos_base!$I$12+datos_base!$I$26,0))*parametros_manuales!$I$110)*parametros_manuales!$I$36*parametros_manuales!$J$36</f>
        <v>951.031244236</v>
      </c>
      <c r="J208" s="9" t="n">
        <f aca="false">(parametros_manuales!$D$36*(datos_base!$I$2+datos_base!$I$18+IF(parametros_manuales!$H$36="Todos",datos_base!$I$9+datos_base!$I$23,0))*parametros_manuales!$J$95+parametros_manuales!$E$36*(datos_base!$I$3+datos_base!$I$19+IF(parametros_manuales!$H$36="Todos",datos_base!$I$10+datos_base!$I$24,0))*parametros_manuales!$J$100+parametros_manuales!$F$36*(datos_base!$I$4+datos_base!$I$20+IF(parametros_manuales!$H$36="Todos",datos_base!$I$11+datos_base!$I$25,0))*parametros_manuales!$J$105+parametros_manuales!$G$36*(datos_base!$I$5+datos_base!$I$21+IF(parametros_manuales!$H$36="Todos",datos_base!$I$12+datos_base!$I$26,0))*parametros_manuales!$J$110)*parametros_manuales!$I$36*parametros_manuales!$J$36</f>
        <v>951.031244236</v>
      </c>
      <c r="K208" s="9" t="n">
        <f aca="false">(parametros_manuales!$D$36*(datos_base!$I$2+datos_base!$I$18+IF(parametros_manuales!$H$36="Todos",datos_base!$I$9+datos_base!$I$23,0))*parametros_manuales!$K$95+parametros_manuales!$E$36*(datos_base!$I$3+datos_base!$I$19+IF(parametros_manuales!$H$36="Todos",datos_base!$I$10+datos_base!$I$24,0))*parametros_manuales!$K$100+parametros_manuales!$F$36*(datos_base!$I$4+datos_base!$I$20+IF(parametros_manuales!$H$36="Todos",datos_base!$I$11+datos_base!$I$25,0))*parametros_manuales!$K$105+parametros_manuales!$G$36*(datos_base!$I$5+datos_base!$I$21+IF(parametros_manuales!$H$36="Todos",datos_base!$I$12+datos_base!$I$26,0))*parametros_manuales!$K$110)*parametros_manuales!$I$36*parametros_manuales!$J$36</f>
        <v>966.55826867825</v>
      </c>
      <c r="L208" s="9" t="n">
        <f aca="false">(parametros_manuales!$D$36*(datos_base!$I$2+datos_base!$I$18+IF(parametros_manuales!$H$36="Todos",datos_base!$I$9+datos_base!$I$23,0))*parametros_manuales!$L$95+parametros_manuales!$E$36*(datos_base!$I$3+datos_base!$I$19+IF(parametros_manuales!$H$36="Todos",datos_base!$I$10+datos_base!$I$24,0))*parametros_manuales!$L$100+parametros_manuales!$F$36*(datos_base!$I$4+datos_base!$I$20+IF(parametros_manuales!$H$36="Todos",datos_base!$I$11+datos_base!$I$25,0))*parametros_manuales!$L$105+parametros_manuales!$G$36*(datos_base!$I$5+datos_base!$I$21+IF(parametros_manuales!$H$36="Todos",datos_base!$I$12+datos_base!$I$26,0))*parametros_manuales!$L$110)*parametros_manuales!$I$36*parametros_manuales!$J$36</f>
        <v>982.0852931205</v>
      </c>
      <c r="M208" s="9" t="n">
        <f aca="false">(parametros_manuales!$D$36*(datos_base!$I$2+datos_base!$I$18+IF(parametros_manuales!$H$36="Todos",datos_base!$I$9+datos_base!$I$23,0))*parametros_manuales!$M$95+parametros_manuales!$E$36*(datos_base!$I$3+datos_base!$I$19+IF(parametros_manuales!$H$36="Todos",datos_base!$I$10+datos_base!$I$24,0))*parametros_manuales!$M$100+parametros_manuales!$F$36*(datos_base!$I$4+datos_base!$I$20+IF(parametros_manuales!$H$36="Todos",datos_base!$I$11+datos_base!$I$25,0))*parametros_manuales!$M$105+parametros_manuales!$G$36*(datos_base!$I$5+datos_base!$I$21+IF(parametros_manuales!$H$36="Todos",datos_base!$I$12+datos_base!$I$26,0))*parametros_manuales!$M$110)*parametros_manuales!$I$36*parametros_manuales!$J$36</f>
        <v>982.0852931205</v>
      </c>
      <c r="N208" s="9" t="n">
        <f aca="false">SUM(B208:M208)</f>
        <v>10912.05881245</v>
      </c>
      <c r="O208" s="9" t="n">
        <f aca="false">MAX(B208:M208)</f>
        <v>982.0852931205</v>
      </c>
      <c r="P208" s="43" t="n">
        <f aca="false">O208/(parametros_manuales!$B$7)</f>
        <v>6.54723528747</v>
      </c>
      <c r="Q208" s="8" t="str">
        <f aca="false">IF(O208=0,"-",INDEX($B$190:$M$190,MATCH(O208,B208:M208,0)))</f>
        <v>Ene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datos_base!$I$2+datos_base!$I$18+IF(parametros_manuales!$H$37="Todos",datos_base!$I$9+datos_base!$I$23,0))*parametros_manuales!$B$95+parametros_manuales!$E$37*(datos_base!$I$3+datos_base!$I$19+IF(parametros_manuales!$H$37="Todos",datos_base!$I$10+datos_base!$I$24,0))*parametros_manuales!$B$100+parametros_manuales!$F$37*(datos_base!$I$4+datos_base!$I$20+IF(parametros_manuales!$H$37="Todos",datos_base!$I$11+datos_base!$I$25,0))*parametros_manuales!$B$105+parametros_manuales!$G$37*(datos_base!$I$5+datos_base!$I$21+IF(parametros_manuales!$H$37="Todos",datos_base!$I$12+datos_base!$I$26,0))*parametros_manuales!$B$110)*parametros_manuales!$I$37*parametros_manuales!$J$37</f>
        <v>19641.70586241</v>
      </c>
      <c r="C209" s="9" t="n">
        <f aca="false">(parametros_manuales!$D$37*(datos_base!$I$2+datos_base!$I$18+IF(parametros_manuales!$H$37="Todos",datos_base!$I$9+datos_base!$I$23,0))*parametros_manuales!$C$95+parametros_manuales!$E$37*(datos_base!$I$3+datos_base!$I$19+IF(parametros_manuales!$H$37="Todos",datos_base!$I$10+datos_base!$I$24,0))*parametros_manuales!$C$100+parametros_manuales!$F$37*(datos_base!$I$4+datos_base!$I$20+IF(parametros_manuales!$H$37="Todos",datos_base!$I$11+datos_base!$I$25,0))*parametros_manuales!$C$105+parametros_manuales!$G$37*(datos_base!$I$5+datos_base!$I$21+IF(parametros_manuales!$H$37="Todos",datos_base!$I$12+datos_base!$I$26,0))*parametros_manuales!$C$110)*parametros_manuales!$I$37*parametros_manuales!$J$37</f>
        <v>19020.62488472</v>
      </c>
      <c r="D209" s="9" t="n">
        <f aca="false">(parametros_manuales!$D$37*(datos_base!$I$2+datos_base!$I$18+IF(parametros_manuales!$H$37="Todos",datos_base!$I$9+datos_base!$I$23,0))*parametros_manuales!$D$95+parametros_manuales!$E$37*(datos_base!$I$3+datos_base!$I$19+IF(parametros_manuales!$H$37="Todos",datos_base!$I$10+datos_base!$I$24,0))*parametros_manuales!$D$100+parametros_manuales!$F$37*(datos_base!$I$4+datos_base!$I$20+IF(parametros_manuales!$H$37="Todos",datos_base!$I$11+datos_base!$I$25,0))*parametros_manuales!$D$105+parametros_manuales!$G$37*(datos_base!$I$5+datos_base!$I$21+IF(parametros_manuales!$H$37="Todos",datos_base!$I$12+datos_base!$I$26,0))*parametros_manuales!$D$110)*parametros_manuales!$I$37*parametros_manuales!$J$37</f>
        <v>17769.834588765</v>
      </c>
      <c r="E209" s="9" t="n">
        <f aca="false">(parametros_manuales!$D$37*(datos_base!$I$2+datos_base!$I$18+IF(parametros_manuales!$H$37="Todos",datos_base!$I$9+datos_base!$I$23,0))*parametros_manuales!$E$95+parametros_manuales!$E$37*(datos_base!$I$3+datos_base!$I$19+IF(parametros_manuales!$H$37="Todos",datos_base!$I$10+datos_base!$I$24,0))*parametros_manuales!$E$100+parametros_manuales!$F$37*(datos_base!$I$4+datos_base!$I$20+IF(parametros_manuales!$H$37="Todos",datos_base!$I$11+datos_base!$I$25,0))*parametros_manuales!$E$105+parametros_manuales!$G$37*(datos_base!$I$5+datos_base!$I$21+IF(parametros_manuales!$H$37="Todos",datos_base!$I$12+datos_base!$I$26,0))*parametros_manuales!$E$110)*parametros_manuales!$I$37*parametros_manuales!$J$37</f>
        <v>16989.169196365</v>
      </c>
      <c r="F209" s="9" t="n">
        <f aca="false">(parametros_manuales!$D$37*(datos_base!$I$2+datos_base!$I$18+IF(parametros_manuales!$H$37="Todos",datos_base!$I$9+datos_base!$I$23,0))*parametros_manuales!$F$95+parametros_manuales!$E$37*(datos_base!$I$3+datos_base!$I$19+IF(parametros_manuales!$H$37="Todos",datos_base!$I$10+datos_base!$I$24,0))*parametros_manuales!$F$100+parametros_manuales!$F$37*(datos_base!$I$4+datos_base!$I$20+IF(parametros_manuales!$H$37="Todos",datos_base!$I$11+datos_base!$I$25,0))*parametros_manuales!$F$105+parametros_manuales!$G$37*(datos_base!$I$5+datos_base!$I$21+IF(parametros_manuales!$H$37="Todos",datos_base!$I$12+datos_base!$I$26,0))*parametros_manuales!$F$110)*parametros_manuales!$I$37*parametros_manuales!$J$37</f>
        <v>15897.96331512</v>
      </c>
      <c r="G209" s="9" t="n">
        <f aca="false">(parametros_manuales!$D$37*(datos_base!$I$2+datos_base!$I$18+IF(parametros_manuales!$H$37="Todos",datos_base!$I$9+datos_base!$I$23,0))*parametros_manuales!$G$95+parametros_manuales!$E$37*(datos_base!$I$3+datos_base!$I$19+IF(parametros_manuales!$H$37="Todos",datos_base!$I$10+datos_base!$I$24,0))*parametros_manuales!$G$100+parametros_manuales!$F$37*(datos_base!$I$4+datos_base!$I$20+IF(parametros_manuales!$H$37="Todos",datos_base!$I$11+datos_base!$I$25,0))*parametros_manuales!$G$105+parametros_manuales!$G$37*(datos_base!$I$5+datos_base!$I$21+IF(parametros_manuales!$H$37="Todos",datos_base!$I$12+datos_base!$I$26,0))*parametros_manuales!$G$110)*parametros_manuales!$I$37*parametros_manuales!$J$37</f>
        <v>15587.422826275</v>
      </c>
      <c r="H209" s="9" t="n">
        <f aca="false">(parametros_manuales!$D$37*(datos_base!$I$2+datos_base!$I$18+IF(parametros_manuales!$H$37="Todos",datos_base!$I$9+datos_base!$I$23,0))*parametros_manuales!$H$95+parametros_manuales!$E$37*(datos_base!$I$3+datos_base!$I$19+IF(parametros_manuales!$H$37="Todos",datos_base!$I$10+datos_base!$I$24,0))*parametros_manuales!$H$100+parametros_manuales!$F$37*(datos_base!$I$4+datos_base!$I$20+IF(parametros_manuales!$H$37="Todos",datos_base!$I$11+datos_base!$I$25,0))*parametros_manuales!$H$105+parametros_manuales!$G$37*(datos_base!$I$5+datos_base!$I$21+IF(parametros_manuales!$H$37="Todos",datos_base!$I$12+datos_base!$I$26,0))*parametros_manuales!$H$110)*parametros_manuales!$I$37*parametros_manuales!$J$37</f>
        <v>16678.62870752</v>
      </c>
      <c r="I209" s="9" t="n">
        <f aca="false">(parametros_manuales!$D$37*(datos_base!$I$2+datos_base!$I$18+IF(parametros_manuales!$H$37="Todos",datos_base!$I$9+datos_base!$I$23,0))*parametros_manuales!$I$95+parametros_manuales!$E$37*(datos_base!$I$3+datos_base!$I$19+IF(parametros_manuales!$H$37="Todos",datos_base!$I$10+datos_base!$I$24,0))*parametros_manuales!$I$100+parametros_manuales!$F$37*(datos_base!$I$4+datos_base!$I$20+IF(parametros_manuales!$H$37="Todos",datos_base!$I$11+datos_base!$I$25,0))*parametros_manuales!$I$105+parametros_manuales!$G$37*(datos_base!$I$5+datos_base!$I$21+IF(parametros_manuales!$H$37="Todos",datos_base!$I$12+datos_base!$I$26,0))*parametros_manuales!$I$110)*parametros_manuales!$I$37*parametros_manuales!$J$37</f>
        <v>19020.62488472</v>
      </c>
      <c r="J209" s="9" t="n">
        <f aca="false">(parametros_manuales!$D$37*(datos_base!$I$2+datos_base!$I$18+IF(parametros_manuales!$H$37="Todos",datos_base!$I$9+datos_base!$I$23,0))*parametros_manuales!$J$95+parametros_manuales!$E$37*(datos_base!$I$3+datos_base!$I$19+IF(parametros_manuales!$H$37="Todos",datos_base!$I$10+datos_base!$I$24,0))*parametros_manuales!$J$100+parametros_manuales!$F$37*(datos_base!$I$4+datos_base!$I$20+IF(parametros_manuales!$H$37="Todos",datos_base!$I$11+datos_base!$I$25,0))*parametros_manuales!$J$105+parametros_manuales!$G$37*(datos_base!$I$5+datos_base!$I$21+IF(parametros_manuales!$H$37="Todos",datos_base!$I$12+datos_base!$I$26,0))*parametros_manuales!$J$110)*parametros_manuales!$I$37*parametros_manuales!$J$37</f>
        <v>19020.62488472</v>
      </c>
      <c r="K209" s="9" t="n">
        <f aca="false">(parametros_manuales!$D$37*(datos_base!$I$2+datos_base!$I$18+IF(parametros_manuales!$H$37="Todos",datos_base!$I$9+datos_base!$I$23,0))*parametros_manuales!$K$95+parametros_manuales!$E$37*(datos_base!$I$3+datos_base!$I$19+IF(parametros_manuales!$H$37="Todos",datos_base!$I$10+datos_base!$I$24,0))*parametros_manuales!$K$100+parametros_manuales!$F$37*(datos_base!$I$4+datos_base!$I$20+IF(parametros_manuales!$H$37="Todos",datos_base!$I$11+datos_base!$I$25,0))*parametros_manuales!$K$105+parametros_manuales!$G$37*(datos_base!$I$5+datos_base!$I$21+IF(parametros_manuales!$H$37="Todos",datos_base!$I$12+datos_base!$I$26,0))*parametros_manuales!$K$110)*parametros_manuales!$I$37*parametros_manuales!$J$37</f>
        <v>19331.165373565</v>
      </c>
      <c r="L209" s="9" t="n">
        <f aca="false">(parametros_manuales!$D$37*(datos_base!$I$2+datos_base!$I$18+IF(parametros_manuales!$H$37="Todos",datos_base!$I$9+datos_base!$I$23,0))*parametros_manuales!$L$95+parametros_manuales!$E$37*(datos_base!$I$3+datos_base!$I$19+IF(parametros_manuales!$H$37="Todos",datos_base!$I$10+datos_base!$I$24,0))*parametros_manuales!$L$100+parametros_manuales!$F$37*(datos_base!$I$4+datos_base!$I$20+IF(parametros_manuales!$H$37="Todos",datos_base!$I$11+datos_base!$I$25,0))*parametros_manuales!$L$105+parametros_manuales!$G$37*(datos_base!$I$5+datos_base!$I$21+IF(parametros_manuales!$H$37="Todos",datos_base!$I$12+datos_base!$I$26,0))*parametros_manuales!$L$110)*parametros_manuales!$I$37*parametros_manuales!$J$37</f>
        <v>19641.70586241</v>
      </c>
      <c r="M209" s="9" t="n">
        <f aca="false">(parametros_manuales!$D$37*(datos_base!$I$2+datos_base!$I$18+IF(parametros_manuales!$H$37="Todos",datos_base!$I$9+datos_base!$I$23,0))*parametros_manuales!$M$95+parametros_manuales!$E$37*(datos_base!$I$3+datos_base!$I$19+IF(parametros_manuales!$H$37="Todos",datos_base!$I$10+datos_base!$I$24,0))*parametros_manuales!$M$100+parametros_manuales!$F$37*(datos_base!$I$4+datos_base!$I$20+IF(parametros_manuales!$H$37="Todos",datos_base!$I$11+datos_base!$I$25,0))*parametros_manuales!$M$105+parametros_manuales!$G$37*(datos_base!$I$5+datos_base!$I$21+IF(parametros_manuales!$H$37="Todos",datos_base!$I$12+datos_base!$I$26,0))*parametros_manuales!$M$110)*parametros_manuales!$I$37*parametros_manuales!$J$37</f>
        <v>19641.70586241</v>
      </c>
      <c r="N209" s="9" t="n">
        <f aca="false">SUM(B209:M209)</f>
        <v>218241.176249</v>
      </c>
      <c r="O209" s="9" t="n">
        <f aca="false">MAX(B209:M209)</f>
        <v>19641.70586241</v>
      </c>
      <c r="P209" s="43" t="n">
        <f aca="false">O209/(parametros_manuales!$B$7)</f>
        <v>130.9447057494</v>
      </c>
      <c r="Q209" s="8" t="str">
        <f aca="false">IF(O209=0,"-",INDEX($B$190:$M$190,MATCH(O209,B209:M209,0)))</f>
        <v>Ene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datos_base!$I$2+datos_base!$I$18+IF(parametros_manuales!$H$38="Todos",datos_base!$I$9+datos_base!$I$23,0))*parametros_manuales!$B$95+parametros_manuales!$E$38*(datos_base!$I$3+datos_base!$I$19+IF(parametros_manuales!$H$38="Todos",datos_base!$I$10+datos_base!$I$24,0))*parametros_manuales!$B$100+parametros_manuales!$F$38*(datos_base!$I$4+datos_base!$I$20+IF(parametros_manuales!$H$38="Todos",datos_base!$I$11+datos_base!$I$25,0))*parametros_manuales!$B$105+parametros_manuales!$G$38*(datos_base!$I$5+datos_base!$I$21+IF(parametros_manuales!$H$38="Todos",datos_base!$I$12+datos_base!$I$26,0))*parametros_manuales!$B$110)*parametros_manuales!$I$38*parametros_manuales!$J$38</f>
        <v>4959.28946241</v>
      </c>
      <c r="C210" s="9" t="n">
        <f aca="false">(parametros_manuales!$D$38*(datos_base!$I$2+datos_base!$I$18+IF(parametros_manuales!$H$38="Todos",datos_base!$I$9+datos_base!$I$23,0))*parametros_manuales!$C$95+parametros_manuales!$E$38*(datos_base!$I$3+datos_base!$I$19+IF(parametros_manuales!$H$38="Todos",datos_base!$I$10+datos_base!$I$24,0))*parametros_manuales!$C$100+parametros_manuales!$F$38*(datos_base!$I$4+datos_base!$I$20+IF(parametros_manuales!$H$38="Todos",datos_base!$I$11+datos_base!$I$25,0))*parametros_manuales!$C$105+parametros_manuales!$G$38*(datos_base!$I$5+datos_base!$I$21+IF(parametros_manuales!$H$38="Todos",datos_base!$I$12+datos_base!$I$26,0))*parametros_manuales!$C$110)*parametros_manuales!$I$38*parametros_manuales!$J$38</f>
        <v>4659.57808472</v>
      </c>
      <c r="D210" s="9" t="n">
        <f aca="false">(parametros_manuales!$D$38*(datos_base!$I$2+datos_base!$I$18+IF(parametros_manuales!$H$38="Todos",datos_base!$I$9+datos_base!$I$23,0))*parametros_manuales!$D$95+parametros_manuales!$E$38*(datos_base!$I$3+datos_base!$I$19+IF(parametros_manuales!$H$38="Todos",datos_base!$I$10+datos_base!$I$24,0))*parametros_manuales!$D$100+parametros_manuales!$F$38*(datos_base!$I$4+datos_base!$I$20+IF(parametros_manuales!$H$38="Todos",datos_base!$I$11+datos_base!$I$25,0))*parametros_manuales!$D$105+parametros_manuales!$G$38*(datos_base!$I$5+datos_base!$I$21+IF(parametros_manuales!$H$38="Todos",datos_base!$I$12+datos_base!$I$26,0))*parametros_manuales!$D$110)*parametros_manuales!$I$38*parametros_manuales!$J$38</f>
        <v>4558.112988765</v>
      </c>
      <c r="E210" s="9" t="n">
        <f aca="false">(parametros_manuales!$D$38*(datos_base!$I$2+datos_base!$I$18+IF(parametros_manuales!$H$38="Todos",datos_base!$I$9+datos_base!$I$23,0))*parametros_manuales!$E$95+parametros_manuales!$E$38*(datos_base!$I$3+datos_base!$I$19+IF(parametros_manuales!$H$38="Todos",datos_base!$I$10+datos_base!$I$24,0))*parametros_manuales!$E$100+parametros_manuales!$F$38*(datos_base!$I$4+datos_base!$I$20+IF(parametros_manuales!$H$38="Todos",datos_base!$I$11+datos_base!$I$25,0))*parametros_manuales!$E$105+parametros_manuales!$G$38*(datos_base!$I$5+datos_base!$I$21+IF(parametros_manuales!$H$38="Todos",datos_base!$I$12+datos_base!$I$26,0))*parametros_manuales!$E$110)*parametros_manuales!$I$38*parametros_manuales!$J$38</f>
        <v>4432.452596365</v>
      </c>
      <c r="F210" s="9" t="n">
        <f aca="false">(parametros_manuales!$D$38*(datos_base!$I$2+datos_base!$I$18+IF(parametros_manuales!$H$38="Todos",datos_base!$I$9+datos_base!$I$23,0))*parametros_manuales!$F$95+parametros_manuales!$E$38*(datos_base!$I$3+datos_base!$I$19+IF(parametros_manuales!$H$38="Todos",datos_base!$I$10+datos_base!$I$24,0))*parametros_manuales!$F$100+parametros_manuales!$F$38*(datos_base!$I$4+datos_base!$I$20+IF(parametros_manuales!$H$38="Todos",datos_base!$I$11+datos_base!$I$25,0))*parametros_manuales!$F$105+parametros_manuales!$G$38*(datos_base!$I$5+datos_base!$I$21+IF(parametros_manuales!$H$38="Todos",datos_base!$I$12+datos_base!$I$26,0))*parametros_manuales!$F$110)*parametros_manuales!$I$38*parametros_manuales!$J$38</f>
        <v>4156.93651512</v>
      </c>
      <c r="G210" s="9" t="n">
        <f aca="false">(parametros_manuales!$D$38*(datos_base!$I$2+datos_base!$I$18+IF(parametros_manuales!$H$38="Todos",datos_base!$I$9+datos_base!$I$23,0))*parametros_manuales!$G$95+parametros_manuales!$E$38*(datos_base!$I$3+datos_base!$I$19+IF(parametros_manuales!$H$38="Todos",datos_base!$I$10+datos_base!$I$24,0))*parametros_manuales!$G$100+parametros_manuales!$F$38*(datos_base!$I$4+datos_base!$I$20+IF(parametros_manuales!$H$38="Todos",datos_base!$I$11+datos_base!$I$25,0))*parametros_manuales!$G$105+parametros_manuales!$G$38*(datos_base!$I$5+datos_base!$I$21+IF(parametros_manuales!$H$38="Todos",datos_base!$I$12+datos_base!$I$26,0))*parametros_manuales!$G$110)*parametros_manuales!$I$38*parametros_manuales!$J$38</f>
        <v>4007.080826275</v>
      </c>
      <c r="H210" s="9" t="n">
        <f aca="false">(parametros_manuales!$D$38*(datos_base!$I$2+datos_base!$I$18+IF(parametros_manuales!$H$38="Todos",datos_base!$I$9+datos_base!$I$23,0))*parametros_manuales!$H$95+parametros_manuales!$E$38*(datos_base!$I$3+datos_base!$I$19+IF(parametros_manuales!$H$38="Todos",datos_base!$I$10+datos_base!$I$24,0))*parametros_manuales!$H$100+parametros_manuales!$F$38*(datos_base!$I$4+datos_base!$I$20+IF(parametros_manuales!$H$38="Todos",datos_base!$I$11+datos_base!$I$25,0))*parametros_manuales!$H$105+parametros_manuales!$G$38*(datos_base!$I$5+datos_base!$I$21+IF(parametros_manuales!$H$38="Todos",datos_base!$I$12+datos_base!$I$26,0))*parametros_manuales!$H$110)*parametros_manuales!$I$38*parametros_manuales!$J$38</f>
        <v>4282.59690752</v>
      </c>
      <c r="I210" s="9" t="n">
        <f aca="false">(parametros_manuales!$D$38*(datos_base!$I$2+datos_base!$I$18+IF(parametros_manuales!$H$38="Todos",datos_base!$I$9+datos_base!$I$23,0))*parametros_manuales!$I$95+parametros_manuales!$E$38*(datos_base!$I$3+datos_base!$I$19+IF(parametros_manuales!$H$38="Todos",datos_base!$I$10+datos_base!$I$24,0))*parametros_manuales!$I$100+parametros_manuales!$F$38*(datos_base!$I$4+datos_base!$I$20+IF(parametros_manuales!$H$38="Todos",datos_base!$I$11+datos_base!$I$25,0))*parametros_manuales!$I$105+parametros_manuales!$G$38*(datos_base!$I$5+datos_base!$I$21+IF(parametros_manuales!$H$38="Todos",datos_base!$I$12+datos_base!$I$26,0))*parametros_manuales!$I$110)*parametros_manuales!$I$38*parametros_manuales!$J$38</f>
        <v>4659.57808472</v>
      </c>
      <c r="J210" s="9" t="n">
        <f aca="false">(parametros_manuales!$D$38*(datos_base!$I$2+datos_base!$I$18+IF(parametros_manuales!$H$38="Todos",datos_base!$I$9+datos_base!$I$23,0))*parametros_manuales!$J$95+parametros_manuales!$E$38*(datos_base!$I$3+datos_base!$I$19+IF(parametros_manuales!$H$38="Todos",datos_base!$I$10+datos_base!$I$24,0))*parametros_manuales!$J$100+parametros_manuales!$F$38*(datos_base!$I$4+datos_base!$I$20+IF(parametros_manuales!$H$38="Todos",datos_base!$I$11+datos_base!$I$25,0))*parametros_manuales!$J$105+parametros_manuales!$G$38*(datos_base!$I$5+datos_base!$I$21+IF(parametros_manuales!$H$38="Todos",datos_base!$I$12+datos_base!$I$26,0))*parametros_manuales!$J$110)*parametros_manuales!$I$38*parametros_manuales!$J$38</f>
        <v>4659.57808472</v>
      </c>
      <c r="K210" s="9" t="n">
        <f aca="false">(parametros_manuales!$D$38*(datos_base!$I$2+datos_base!$I$18+IF(parametros_manuales!$H$38="Todos",datos_base!$I$9+datos_base!$I$23,0))*parametros_manuales!$K$95+parametros_manuales!$E$38*(datos_base!$I$3+datos_base!$I$19+IF(parametros_manuales!$H$38="Todos",datos_base!$I$10+datos_base!$I$24,0))*parametros_manuales!$K$100+parametros_manuales!$F$38*(datos_base!$I$4+datos_base!$I$20+IF(parametros_manuales!$H$38="Todos",datos_base!$I$11+datos_base!$I$25,0))*parametros_manuales!$K$105+parametros_manuales!$G$38*(datos_base!$I$5+datos_base!$I$21+IF(parametros_manuales!$H$38="Todos",datos_base!$I$12+datos_base!$I$26,0))*parametros_manuales!$K$110)*parametros_manuales!$I$38*parametros_manuales!$J$38</f>
        <v>4809.433773565</v>
      </c>
      <c r="L210" s="9" t="n">
        <f aca="false">(parametros_manuales!$D$38*(datos_base!$I$2+datos_base!$I$18+IF(parametros_manuales!$H$38="Todos",datos_base!$I$9+datos_base!$I$23,0))*parametros_manuales!$L$95+parametros_manuales!$E$38*(datos_base!$I$3+datos_base!$I$19+IF(parametros_manuales!$H$38="Todos",datos_base!$I$10+datos_base!$I$24,0))*parametros_manuales!$L$100+parametros_manuales!$F$38*(datos_base!$I$4+datos_base!$I$20+IF(parametros_manuales!$H$38="Todos",datos_base!$I$11+datos_base!$I$25,0))*parametros_manuales!$L$105+parametros_manuales!$G$38*(datos_base!$I$5+datos_base!$I$21+IF(parametros_manuales!$H$38="Todos",datos_base!$I$12+datos_base!$I$26,0))*parametros_manuales!$L$110)*parametros_manuales!$I$38*parametros_manuales!$J$38</f>
        <v>4959.28946241</v>
      </c>
      <c r="M210" s="9" t="n">
        <f aca="false">(parametros_manuales!$D$38*(datos_base!$I$2+datos_base!$I$18+IF(parametros_manuales!$H$38="Todos",datos_base!$I$9+datos_base!$I$23,0))*parametros_manuales!$M$95+parametros_manuales!$E$38*(datos_base!$I$3+datos_base!$I$19+IF(parametros_manuales!$H$38="Todos",datos_base!$I$10+datos_base!$I$24,0))*parametros_manuales!$M$100+parametros_manuales!$F$38*(datos_base!$I$4+datos_base!$I$20+IF(parametros_manuales!$H$38="Todos",datos_base!$I$11+datos_base!$I$25,0))*parametros_manuales!$M$105+parametros_manuales!$G$38*(datos_base!$I$5+datos_base!$I$21+IF(parametros_manuales!$H$38="Todos",datos_base!$I$12+datos_base!$I$26,0))*parametros_manuales!$M$110)*parametros_manuales!$I$38*parametros_manuales!$J$38</f>
        <v>4959.28946241</v>
      </c>
      <c r="N210" s="9" t="n">
        <f aca="false">SUM(B210:M210)</f>
        <v>55103.216249</v>
      </c>
      <c r="O210" s="9" t="n">
        <f aca="false">MAX(B210:M210)</f>
        <v>4959.28946241</v>
      </c>
      <c r="P210" s="43" t="n">
        <f aca="false">O210/(parametros_manuales!$B$7)</f>
        <v>33.0619297494</v>
      </c>
      <c r="Q210" s="8" t="str">
        <f aca="false">IF(O210=0,"-",INDEX($B$190:$M$190,MATCH(O210,B210:M210,0)))</f>
        <v>Ene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datos_base!$I$2+datos_base!$I$18+IF(parametros_manuales!$H$39="Todos",datos_base!$I$9+datos_base!$I$23,0))*parametros_manuales!$B$95+parametros_manuales!$E$39*(datos_base!$I$3+datos_base!$I$19+IF(parametros_manuales!$H$39="Todos",datos_base!$I$10+datos_base!$I$24,0))*parametros_manuales!$B$100+parametros_manuales!$F$39*(datos_base!$I$4+datos_base!$I$20+IF(parametros_manuales!$H$39="Todos",datos_base!$I$11+datos_base!$I$25,0))*parametros_manuales!$B$105+parametros_manuales!$G$39*(datos_base!$I$5+datos_base!$I$21+IF(parametros_manuales!$H$39="Todos",datos_base!$I$12+datos_base!$I$26,0))*parametros_manuales!$B$110)*parametros_manuales!$I$39*parametros_manuales!$J$39</f>
        <v>4959.28946241</v>
      </c>
      <c r="C211" s="9" t="n">
        <f aca="false">(parametros_manuales!$D$39*(datos_base!$I$2+datos_base!$I$18+IF(parametros_manuales!$H$39="Todos",datos_base!$I$9+datos_base!$I$23,0))*parametros_manuales!$C$95+parametros_manuales!$E$39*(datos_base!$I$3+datos_base!$I$19+IF(parametros_manuales!$H$39="Todos",datos_base!$I$10+datos_base!$I$24,0))*parametros_manuales!$C$100+parametros_manuales!$F$39*(datos_base!$I$4+datos_base!$I$20+IF(parametros_manuales!$H$39="Todos",datos_base!$I$11+datos_base!$I$25,0))*parametros_manuales!$C$105+parametros_manuales!$G$39*(datos_base!$I$5+datos_base!$I$21+IF(parametros_manuales!$H$39="Todos",datos_base!$I$12+datos_base!$I$26,0))*parametros_manuales!$C$110)*parametros_manuales!$I$39*parametros_manuales!$J$39</f>
        <v>4659.57808472</v>
      </c>
      <c r="D211" s="9" t="n">
        <f aca="false">(parametros_manuales!$D$39*(datos_base!$I$2+datos_base!$I$18+IF(parametros_manuales!$H$39="Todos",datos_base!$I$9+datos_base!$I$23,0))*parametros_manuales!$D$95+parametros_manuales!$E$39*(datos_base!$I$3+datos_base!$I$19+IF(parametros_manuales!$H$39="Todos",datos_base!$I$10+datos_base!$I$24,0))*parametros_manuales!$D$100+parametros_manuales!$F$39*(datos_base!$I$4+datos_base!$I$20+IF(parametros_manuales!$H$39="Todos",datos_base!$I$11+datos_base!$I$25,0))*parametros_manuales!$D$105+parametros_manuales!$G$39*(datos_base!$I$5+datos_base!$I$21+IF(parametros_manuales!$H$39="Todos",datos_base!$I$12+datos_base!$I$26,0))*parametros_manuales!$D$110)*parametros_manuales!$I$39*parametros_manuales!$J$39</f>
        <v>4558.112988765</v>
      </c>
      <c r="E211" s="9" t="n">
        <f aca="false">(parametros_manuales!$D$39*(datos_base!$I$2+datos_base!$I$18+IF(parametros_manuales!$H$39="Todos",datos_base!$I$9+datos_base!$I$23,0))*parametros_manuales!$E$95+parametros_manuales!$E$39*(datos_base!$I$3+datos_base!$I$19+IF(parametros_manuales!$H$39="Todos",datos_base!$I$10+datos_base!$I$24,0))*parametros_manuales!$E$100+parametros_manuales!$F$39*(datos_base!$I$4+datos_base!$I$20+IF(parametros_manuales!$H$39="Todos",datos_base!$I$11+datos_base!$I$25,0))*parametros_manuales!$E$105+parametros_manuales!$G$39*(datos_base!$I$5+datos_base!$I$21+IF(parametros_manuales!$H$39="Todos",datos_base!$I$12+datos_base!$I$26,0))*parametros_manuales!$E$110)*parametros_manuales!$I$39*parametros_manuales!$J$39</f>
        <v>4432.452596365</v>
      </c>
      <c r="F211" s="9" t="n">
        <f aca="false">(parametros_manuales!$D$39*(datos_base!$I$2+datos_base!$I$18+IF(parametros_manuales!$H$39="Todos",datos_base!$I$9+datos_base!$I$23,0))*parametros_manuales!$F$95+parametros_manuales!$E$39*(datos_base!$I$3+datos_base!$I$19+IF(parametros_manuales!$H$39="Todos",datos_base!$I$10+datos_base!$I$24,0))*parametros_manuales!$F$100+parametros_manuales!$F$39*(datos_base!$I$4+datos_base!$I$20+IF(parametros_manuales!$H$39="Todos",datos_base!$I$11+datos_base!$I$25,0))*parametros_manuales!$F$105+parametros_manuales!$G$39*(datos_base!$I$5+datos_base!$I$21+IF(parametros_manuales!$H$39="Todos",datos_base!$I$12+datos_base!$I$26,0))*parametros_manuales!$F$110)*parametros_manuales!$I$39*parametros_manuales!$J$39</f>
        <v>4156.93651512</v>
      </c>
      <c r="G211" s="9" t="n">
        <f aca="false">(parametros_manuales!$D$39*(datos_base!$I$2+datos_base!$I$18+IF(parametros_manuales!$H$39="Todos",datos_base!$I$9+datos_base!$I$23,0))*parametros_manuales!$G$95+parametros_manuales!$E$39*(datos_base!$I$3+datos_base!$I$19+IF(parametros_manuales!$H$39="Todos",datos_base!$I$10+datos_base!$I$24,0))*parametros_manuales!$G$100+parametros_manuales!$F$39*(datos_base!$I$4+datos_base!$I$20+IF(parametros_manuales!$H$39="Todos",datos_base!$I$11+datos_base!$I$25,0))*parametros_manuales!$G$105+parametros_manuales!$G$39*(datos_base!$I$5+datos_base!$I$21+IF(parametros_manuales!$H$39="Todos",datos_base!$I$12+datos_base!$I$26,0))*parametros_manuales!$G$110)*parametros_manuales!$I$39*parametros_manuales!$J$39</f>
        <v>4007.080826275</v>
      </c>
      <c r="H211" s="9" t="n">
        <f aca="false">(parametros_manuales!$D$39*(datos_base!$I$2+datos_base!$I$18+IF(parametros_manuales!$H$39="Todos",datos_base!$I$9+datos_base!$I$23,0))*parametros_manuales!$H$95+parametros_manuales!$E$39*(datos_base!$I$3+datos_base!$I$19+IF(parametros_manuales!$H$39="Todos",datos_base!$I$10+datos_base!$I$24,0))*parametros_manuales!$H$100+parametros_manuales!$F$39*(datos_base!$I$4+datos_base!$I$20+IF(parametros_manuales!$H$39="Todos",datos_base!$I$11+datos_base!$I$25,0))*parametros_manuales!$H$105+parametros_manuales!$G$39*(datos_base!$I$5+datos_base!$I$21+IF(parametros_manuales!$H$39="Todos",datos_base!$I$12+datos_base!$I$26,0))*parametros_manuales!$H$110)*parametros_manuales!$I$39*parametros_manuales!$J$39</f>
        <v>4282.59690752</v>
      </c>
      <c r="I211" s="9" t="n">
        <f aca="false">(parametros_manuales!$D$39*(datos_base!$I$2+datos_base!$I$18+IF(parametros_manuales!$H$39="Todos",datos_base!$I$9+datos_base!$I$23,0))*parametros_manuales!$I$95+parametros_manuales!$E$39*(datos_base!$I$3+datos_base!$I$19+IF(parametros_manuales!$H$39="Todos",datos_base!$I$10+datos_base!$I$24,0))*parametros_manuales!$I$100+parametros_manuales!$F$39*(datos_base!$I$4+datos_base!$I$20+IF(parametros_manuales!$H$39="Todos",datos_base!$I$11+datos_base!$I$25,0))*parametros_manuales!$I$105+parametros_manuales!$G$39*(datos_base!$I$5+datos_base!$I$21+IF(parametros_manuales!$H$39="Todos",datos_base!$I$12+datos_base!$I$26,0))*parametros_manuales!$I$110)*parametros_manuales!$I$39*parametros_manuales!$J$39</f>
        <v>4659.57808472</v>
      </c>
      <c r="J211" s="9" t="n">
        <f aca="false">(parametros_manuales!$D$39*(datos_base!$I$2+datos_base!$I$18+IF(parametros_manuales!$H$39="Todos",datos_base!$I$9+datos_base!$I$23,0))*parametros_manuales!$J$95+parametros_manuales!$E$39*(datos_base!$I$3+datos_base!$I$19+IF(parametros_manuales!$H$39="Todos",datos_base!$I$10+datos_base!$I$24,0))*parametros_manuales!$J$100+parametros_manuales!$F$39*(datos_base!$I$4+datos_base!$I$20+IF(parametros_manuales!$H$39="Todos",datos_base!$I$11+datos_base!$I$25,0))*parametros_manuales!$J$105+parametros_manuales!$G$39*(datos_base!$I$5+datos_base!$I$21+IF(parametros_manuales!$H$39="Todos",datos_base!$I$12+datos_base!$I$26,0))*parametros_manuales!$J$110)*parametros_manuales!$I$39*parametros_manuales!$J$39</f>
        <v>4659.57808472</v>
      </c>
      <c r="K211" s="9" t="n">
        <f aca="false">(parametros_manuales!$D$39*(datos_base!$I$2+datos_base!$I$18+IF(parametros_manuales!$H$39="Todos",datos_base!$I$9+datos_base!$I$23,0))*parametros_manuales!$K$95+parametros_manuales!$E$39*(datos_base!$I$3+datos_base!$I$19+IF(parametros_manuales!$H$39="Todos",datos_base!$I$10+datos_base!$I$24,0))*parametros_manuales!$K$100+parametros_manuales!$F$39*(datos_base!$I$4+datos_base!$I$20+IF(parametros_manuales!$H$39="Todos",datos_base!$I$11+datos_base!$I$25,0))*parametros_manuales!$K$105+parametros_manuales!$G$39*(datos_base!$I$5+datos_base!$I$21+IF(parametros_manuales!$H$39="Todos",datos_base!$I$12+datos_base!$I$26,0))*parametros_manuales!$K$110)*parametros_manuales!$I$39*parametros_manuales!$J$39</f>
        <v>4809.433773565</v>
      </c>
      <c r="L211" s="9" t="n">
        <f aca="false">(parametros_manuales!$D$39*(datos_base!$I$2+datos_base!$I$18+IF(parametros_manuales!$H$39="Todos",datos_base!$I$9+datos_base!$I$23,0))*parametros_manuales!$L$95+parametros_manuales!$E$39*(datos_base!$I$3+datos_base!$I$19+IF(parametros_manuales!$H$39="Todos",datos_base!$I$10+datos_base!$I$24,0))*parametros_manuales!$L$100+parametros_manuales!$F$39*(datos_base!$I$4+datos_base!$I$20+IF(parametros_manuales!$H$39="Todos",datos_base!$I$11+datos_base!$I$25,0))*parametros_manuales!$L$105+parametros_manuales!$G$39*(datos_base!$I$5+datos_base!$I$21+IF(parametros_manuales!$H$39="Todos",datos_base!$I$12+datos_base!$I$26,0))*parametros_manuales!$L$110)*parametros_manuales!$I$39*parametros_manuales!$J$39</f>
        <v>4959.28946241</v>
      </c>
      <c r="M211" s="9" t="n">
        <f aca="false">(parametros_manuales!$D$39*(datos_base!$I$2+datos_base!$I$18+IF(parametros_manuales!$H$39="Todos",datos_base!$I$9+datos_base!$I$23,0))*parametros_manuales!$M$95+parametros_manuales!$E$39*(datos_base!$I$3+datos_base!$I$19+IF(parametros_manuales!$H$39="Todos",datos_base!$I$10+datos_base!$I$24,0))*parametros_manuales!$M$100+parametros_manuales!$F$39*(datos_base!$I$4+datos_base!$I$20+IF(parametros_manuales!$H$39="Todos",datos_base!$I$11+datos_base!$I$25,0))*parametros_manuales!$M$105+parametros_manuales!$G$39*(datos_base!$I$5+datos_base!$I$21+IF(parametros_manuales!$H$39="Todos",datos_base!$I$12+datos_base!$I$26,0))*parametros_manuales!$M$110)*parametros_manuales!$I$39*parametros_manuales!$J$39</f>
        <v>4959.28946241</v>
      </c>
      <c r="N211" s="9" t="n">
        <f aca="false">SUM(B211:M211)</f>
        <v>55103.216249</v>
      </c>
      <c r="O211" s="9" t="n">
        <f aca="false">MAX(B211:M211)</f>
        <v>4959.28946241</v>
      </c>
      <c r="P211" s="43" t="n">
        <f aca="false">O211/(parametros_manuales!$B$7)</f>
        <v>33.0619297494</v>
      </c>
      <c r="Q211" s="8" t="str">
        <f aca="false">IF(O211=0,"-",INDEX($B$190:$M$190,MATCH(O211,B211:M211,0)))</f>
        <v>Ene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datos_base!$I$2+datos_base!$I$18+IF(parametros_manuales!$H$40="Todos",datos_base!$I$9+datos_base!$I$23,0))*parametros_manuales!$B$95+parametros_manuales!$E$40*(datos_base!$I$3+datos_base!$I$19+IF(parametros_manuales!$H$40="Todos",datos_base!$I$10+datos_base!$I$24,0))*parametros_manuales!$B$100+parametros_manuales!$F$40*(datos_base!$I$4+datos_base!$I$20+IF(parametros_manuales!$H$40="Todos",datos_base!$I$11+datos_base!$I$25,0))*parametros_manuales!$B$105+parametros_manuales!$G$40*(datos_base!$I$5+datos_base!$I$21+IF(parametros_manuales!$H$40="Todos",datos_base!$I$12+datos_base!$I$26,0))*parametros_manuales!$B$110)*parametros_manuales!$I$40*parametros_manuales!$J$40</f>
        <v>4959.28946241</v>
      </c>
      <c r="C212" s="9" t="n">
        <f aca="false">(parametros_manuales!$D$40*(datos_base!$I$2+datos_base!$I$18+IF(parametros_manuales!$H$40="Todos",datos_base!$I$9+datos_base!$I$23,0))*parametros_manuales!$C$95+parametros_manuales!$E$40*(datos_base!$I$3+datos_base!$I$19+IF(parametros_manuales!$H$40="Todos",datos_base!$I$10+datos_base!$I$24,0))*parametros_manuales!$C$100+parametros_manuales!$F$40*(datos_base!$I$4+datos_base!$I$20+IF(parametros_manuales!$H$40="Todos",datos_base!$I$11+datos_base!$I$25,0))*parametros_manuales!$C$105+parametros_manuales!$G$40*(datos_base!$I$5+datos_base!$I$21+IF(parametros_manuales!$H$40="Todos",datos_base!$I$12+datos_base!$I$26,0))*parametros_manuales!$C$110)*parametros_manuales!$I$40*parametros_manuales!$J$40</f>
        <v>4659.57808472</v>
      </c>
      <c r="D212" s="9" t="n">
        <f aca="false">(parametros_manuales!$D$40*(datos_base!$I$2+datos_base!$I$18+IF(parametros_manuales!$H$40="Todos",datos_base!$I$9+datos_base!$I$23,0))*parametros_manuales!$D$95+parametros_manuales!$E$40*(datos_base!$I$3+datos_base!$I$19+IF(parametros_manuales!$H$40="Todos",datos_base!$I$10+datos_base!$I$24,0))*parametros_manuales!$D$100+parametros_manuales!$F$40*(datos_base!$I$4+datos_base!$I$20+IF(parametros_manuales!$H$40="Todos",datos_base!$I$11+datos_base!$I$25,0))*parametros_manuales!$D$105+parametros_manuales!$G$40*(datos_base!$I$5+datos_base!$I$21+IF(parametros_manuales!$H$40="Todos",datos_base!$I$12+datos_base!$I$26,0))*parametros_manuales!$D$110)*parametros_manuales!$I$40*parametros_manuales!$J$40</f>
        <v>4558.112988765</v>
      </c>
      <c r="E212" s="9" t="n">
        <f aca="false">(parametros_manuales!$D$40*(datos_base!$I$2+datos_base!$I$18+IF(parametros_manuales!$H$40="Todos",datos_base!$I$9+datos_base!$I$23,0))*parametros_manuales!$E$95+parametros_manuales!$E$40*(datos_base!$I$3+datos_base!$I$19+IF(parametros_manuales!$H$40="Todos",datos_base!$I$10+datos_base!$I$24,0))*parametros_manuales!$E$100+parametros_manuales!$F$40*(datos_base!$I$4+datos_base!$I$20+IF(parametros_manuales!$H$40="Todos",datos_base!$I$11+datos_base!$I$25,0))*parametros_manuales!$E$105+parametros_manuales!$G$40*(datos_base!$I$5+datos_base!$I$21+IF(parametros_manuales!$H$40="Todos",datos_base!$I$12+datos_base!$I$26,0))*parametros_manuales!$E$110)*parametros_manuales!$I$40*parametros_manuales!$J$40</f>
        <v>4432.452596365</v>
      </c>
      <c r="F212" s="9" t="n">
        <f aca="false">(parametros_manuales!$D$40*(datos_base!$I$2+datos_base!$I$18+IF(parametros_manuales!$H$40="Todos",datos_base!$I$9+datos_base!$I$23,0))*parametros_manuales!$F$95+parametros_manuales!$E$40*(datos_base!$I$3+datos_base!$I$19+IF(parametros_manuales!$H$40="Todos",datos_base!$I$10+datos_base!$I$24,0))*parametros_manuales!$F$100+parametros_manuales!$F$40*(datos_base!$I$4+datos_base!$I$20+IF(parametros_manuales!$H$40="Todos",datos_base!$I$11+datos_base!$I$25,0))*parametros_manuales!$F$105+parametros_manuales!$G$40*(datos_base!$I$5+datos_base!$I$21+IF(parametros_manuales!$H$40="Todos",datos_base!$I$12+datos_base!$I$26,0))*parametros_manuales!$F$110)*parametros_manuales!$I$40*parametros_manuales!$J$40</f>
        <v>4156.93651512</v>
      </c>
      <c r="G212" s="9" t="n">
        <f aca="false">(parametros_manuales!$D$40*(datos_base!$I$2+datos_base!$I$18+IF(parametros_manuales!$H$40="Todos",datos_base!$I$9+datos_base!$I$23,0))*parametros_manuales!$G$95+parametros_manuales!$E$40*(datos_base!$I$3+datos_base!$I$19+IF(parametros_manuales!$H$40="Todos",datos_base!$I$10+datos_base!$I$24,0))*parametros_manuales!$G$100+parametros_manuales!$F$40*(datos_base!$I$4+datos_base!$I$20+IF(parametros_manuales!$H$40="Todos",datos_base!$I$11+datos_base!$I$25,0))*parametros_manuales!$G$105+parametros_manuales!$G$40*(datos_base!$I$5+datos_base!$I$21+IF(parametros_manuales!$H$40="Todos",datos_base!$I$12+datos_base!$I$26,0))*parametros_manuales!$G$110)*parametros_manuales!$I$40*parametros_manuales!$J$40</f>
        <v>4007.080826275</v>
      </c>
      <c r="H212" s="9" t="n">
        <f aca="false">(parametros_manuales!$D$40*(datos_base!$I$2+datos_base!$I$18+IF(parametros_manuales!$H$40="Todos",datos_base!$I$9+datos_base!$I$23,0))*parametros_manuales!$H$95+parametros_manuales!$E$40*(datos_base!$I$3+datos_base!$I$19+IF(parametros_manuales!$H$40="Todos",datos_base!$I$10+datos_base!$I$24,0))*parametros_manuales!$H$100+parametros_manuales!$F$40*(datos_base!$I$4+datos_base!$I$20+IF(parametros_manuales!$H$40="Todos",datos_base!$I$11+datos_base!$I$25,0))*parametros_manuales!$H$105+parametros_manuales!$G$40*(datos_base!$I$5+datos_base!$I$21+IF(parametros_manuales!$H$40="Todos",datos_base!$I$12+datos_base!$I$26,0))*parametros_manuales!$H$110)*parametros_manuales!$I$40*parametros_manuales!$J$40</f>
        <v>4282.59690752</v>
      </c>
      <c r="I212" s="9" t="n">
        <f aca="false">(parametros_manuales!$D$40*(datos_base!$I$2+datos_base!$I$18+IF(parametros_manuales!$H$40="Todos",datos_base!$I$9+datos_base!$I$23,0))*parametros_manuales!$I$95+parametros_manuales!$E$40*(datos_base!$I$3+datos_base!$I$19+IF(parametros_manuales!$H$40="Todos",datos_base!$I$10+datos_base!$I$24,0))*parametros_manuales!$I$100+parametros_manuales!$F$40*(datos_base!$I$4+datos_base!$I$20+IF(parametros_manuales!$H$40="Todos",datos_base!$I$11+datos_base!$I$25,0))*parametros_manuales!$I$105+parametros_manuales!$G$40*(datos_base!$I$5+datos_base!$I$21+IF(parametros_manuales!$H$40="Todos",datos_base!$I$12+datos_base!$I$26,0))*parametros_manuales!$I$110)*parametros_manuales!$I$40*parametros_manuales!$J$40</f>
        <v>4659.57808472</v>
      </c>
      <c r="J212" s="9" t="n">
        <f aca="false">(parametros_manuales!$D$40*(datos_base!$I$2+datos_base!$I$18+IF(parametros_manuales!$H$40="Todos",datos_base!$I$9+datos_base!$I$23,0))*parametros_manuales!$J$95+parametros_manuales!$E$40*(datos_base!$I$3+datos_base!$I$19+IF(parametros_manuales!$H$40="Todos",datos_base!$I$10+datos_base!$I$24,0))*parametros_manuales!$J$100+parametros_manuales!$F$40*(datos_base!$I$4+datos_base!$I$20+IF(parametros_manuales!$H$40="Todos",datos_base!$I$11+datos_base!$I$25,0))*parametros_manuales!$J$105+parametros_manuales!$G$40*(datos_base!$I$5+datos_base!$I$21+IF(parametros_manuales!$H$40="Todos",datos_base!$I$12+datos_base!$I$26,0))*parametros_manuales!$J$110)*parametros_manuales!$I$40*parametros_manuales!$J$40</f>
        <v>4659.57808472</v>
      </c>
      <c r="K212" s="9" t="n">
        <f aca="false">(parametros_manuales!$D$40*(datos_base!$I$2+datos_base!$I$18+IF(parametros_manuales!$H$40="Todos",datos_base!$I$9+datos_base!$I$23,0))*parametros_manuales!$K$95+parametros_manuales!$E$40*(datos_base!$I$3+datos_base!$I$19+IF(parametros_manuales!$H$40="Todos",datos_base!$I$10+datos_base!$I$24,0))*parametros_manuales!$K$100+parametros_manuales!$F$40*(datos_base!$I$4+datos_base!$I$20+IF(parametros_manuales!$H$40="Todos",datos_base!$I$11+datos_base!$I$25,0))*parametros_manuales!$K$105+parametros_manuales!$G$40*(datos_base!$I$5+datos_base!$I$21+IF(parametros_manuales!$H$40="Todos",datos_base!$I$12+datos_base!$I$26,0))*parametros_manuales!$K$110)*parametros_manuales!$I$40*parametros_manuales!$J$40</f>
        <v>4809.433773565</v>
      </c>
      <c r="L212" s="9" t="n">
        <f aca="false">(parametros_manuales!$D$40*(datos_base!$I$2+datos_base!$I$18+IF(parametros_manuales!$H$40="Todos",datos_base!$I$9+datos_base!$I$23,0))*parametros_manuales!$L$95+parametros_manuales!$E$40*(datos_base!$I$3+datos_base!$I$19+IF(parametros_manuales!$H$40="Todos",datos_base!$I$10+datos_base!$I$24,0))*parametros_manuales!$L$100+parametros_manuales!$F$40*(datos_base!$I$4+datos_base!$I$20+IF(parametros_manuales!$H$40="Todos",datos_base!$I$11+datos_base!$I$25,0))*parametros_manuales!$L$105+parametros_manuales!$G$40*(datos_base!$I$5+datos_base!$I$21+IF(parametros_manuales!$H$40="Todos",datos_base!$I$12+datos_base!$I$26,0))*parametros_manuales!$L$110)*parametros_manuales!$I$40*parametros_manuales!$J$40</f>
        <v>4959.28946241</v>
      </c>
      <c r="M212" s="9" t="n">
        <f aca="false">(parametros_manuales!$D$40*(datos_base!$I$2+datos_base!$I$18+IF(parametros_manuales!$H$40="Todos",datos_base!$I$9+datos_base!$I$23,0))*parametros_manuales!$M$95+parametros_manuales!$E$40*(datos_base!$I$3+datos_base!$I$19+IF(parametros_manuales!$H$40="Todos",datos_base!$I$10+datos_base!$I$24,0))*parametros_manuales!$M$100+parametros_manuales!$F$40*(datos_base!$I$4+datos_base!$I$20+IF(parametros_manuales!$H$40="Todos",datos_base!$I$11+datos_base!$I$25,0))*parametros_manuales!$M$105+parametros_manuales!$G$40*(datos_base!$I$5+datos_base!$I$21+IF(parametros_manuales!$H$40="Todos",datos_base!$I$12+datos_base!$I$26,0))*parametros_manuales!$M$110)*parametros_manuales!$I$40*parametros_manuales!$J$40</f>
        <v>4959.28946241</v>
      </c>
      <c r="N212" s="9" t="n">
        <f aca="false">SUM(B212:M212)</f>
        <v>55103.216249</v>
      </c>
      <c r="O212" s="9" t="n">
        <f aca="false">MAX(B212:M212)</f>
        <v>4959.28946241</v>
      </c>
      <c r="P212" s="43" t="n">
        <f aca="false">O212/(parametros_manuales!$B$7)</f>
        <v>33.0619297494</v>
      </c>
      <c r="Q212" s="8" t="str">
        <f aca="false">IF(O212=0,"-",INDEX($B$190:$M$190,MATCH(O212,B212:M212,0)))</f>
        <v>Ene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datos_base!$I$2+datos_base!$I$18+IF(parametros_manuales!$H$41="Todos",datos_base!$I$9+datos_base!$I$23,0))*parametros_manuales!$B$95+parametros_manuales!$E$41*(datos_base!$I$3+datos_base!$I$19+IF(parametros_manuales!$H$41="Todos",datos_base!$I$10+datos_base!$I$24,0))*parametros_manuales!$B$100+parametros_manuales!$F$41*(datos_base!$I$4+datos_base!$I$20+IF(parametros_manuales!$H$41="Todos",datos_base!$I$11+datos_base!$I$25,0))*parametros_manuales!$B$105+parametros_manuales!$G$41*(datos_base!$I$5+datos_base!$I$21+IF(parametros_manuales!$H$41="Todos",datos_base!$I$12+datos_base!$I$26,0))*parametros_manuales!$B$110)*parametros_manuales!$I$41*parametros_manuales!$J$41</f>
        <v>4959.28946241</v>
      </c>
      <c r="C213" s="9" t="n">
        <f aca="false">(parametros_manuales!$D$41*(datos_base!$I$2+datos_base!$I$18+IF(parametros_manuales!$H$41="Todos",datos_base!$I$9+datos_base!$I$23,0))*parametros_manuales!$C$95+parametros_manuales!$E$41*(datos_base!$I$3+datos_base!$I$19+IF(parametros_manuales!$H$41="Todos",datos_base!$I$10+datos_base!$I$24,0))*parametros_manuales!$C$100+parametros_manuales!$F$41*(datos_base!$I$4+datos_base!$I$20+IF(parametros_manuales!$H$41="Todos",datos_base!$I$11+datos_base!$I$25,0))*parametros_manuales!$C$105+parametros_manuales!$G$41*(datos_base!$I$5+datos_base!$I$21+IF(parametros_manuales!$H$41="Todos",datos_base!$I$12+datos_base!$I$26,0))*parametros_manuales!$C$110)*parametros_manuales!$I$41*parametros_manuales!$J$41</f>
        <v>4659.57808472</v>
      </c>
      <c r="D213" s="9" t="n">
        <f aca="false">(parametros_manuales!$D$41*(datos_base!$I$2+datos_base!$I$18+IF(parametros_manuales!$H$41="Todos",datos_base!$I$9+datos_base!$I$23,0))*parametros_manuales!$D$95+parametros_manuales!$E$41*(datos_base!$I$3+datos_base!$I$19+IF(parametros_manuales!$H$41="Todos",datos_base!$I$10+datos_base!$I$24,0))*parametros_manuales!$D$100+parametros_manuales!$F$41*(datos_base!$I$4+datos_base!$I$20+IF(parametros_manuales!$H$41="Todos",datos_base!$I$11+datos_base!$I$25,0))*parametros_manuales!$D$105+parametros_manuales!$G$41*(datos_base!$I$5+datos_base!$I$21+IF(parametros_manuales!$H$41="Todos",datos_base!$I$12+datos_base!$I$26,0))*parametros_manuales!$D$110)*parametros_manuales!$I$41*parametros_manuales!$J$41</f>
        <v>4558.112988765</v>
      </c>
      <c r="E213" s="9" t="n">
        <f aca="false">(parametros_manuales!$D$41*(datos_base!$I$2+datos_base!$I$18+IF(parametros_manuales!$H$41="Todos",datos_base!$I$9+datos_base!$I$23,0))*parametros_manuales!$E$95+parametros_manuales!$E$41*(datos_base!$I$3+datos_base!$I$19+IF(parametros_manuales!$H$41="Todos",datos_base!$I$10+datos_base!$I$24,0))*parametros_manuales!$E$100+parametros_manuales!$F$41*(datos_base!$I$4+datos_base!$I$20+IF(parametros_manuales!$H$41="Todos",datos_base!$I$11+datos_base!$I$25,0))*parametros_manuales!$E$105+parametros_manuales!$G$41*(datos_base!$I$5+datos_base!$I$21+IF(parametros_manuales!$H$41="Todos",datos_base!$I$12+datos_base!$I$26,0))*parametros_manuales!$E$110)*parametros_manuales!$I$41*parametros_manuales!$J$41</f>
        <v>4432.452596365</v>
      </c>
      <c r="F213" s="9" t="n">
        <f aca="false">(parametros_manuales!$D$41*(datos_base!$I$2+datos_base!$I$18+IF(parametros_manuales!$H$41="Todos",datos_base!$I$9+datos_base!$I$23,0))*parametros_manuales!$F$95+parametros_manuales!$E$41*(datos_base!$I$3+datos_base!$I$19+IF(parametros_manuales!$H$41="Todos",datos_base!$I$10+datos_base!$I$24,0))*parametros_manuales!$F$100+parametros_manuales!$F$41*(datos_base!$I$4+datos_base!$I$20+IF(parametros_manuales!$H$41="Todos",datos_base!$I$11+datos_base!$I$25,0))*parametros_manuales!$F$105+parametros_manuales!$G$41*(datos_base!$I$5+datos_base!$I$21+IF(parametros_manuales!$H$41="Todos",datos_base!$I$12+datos_base!$I$26,0))*parametros_manuales!$F$110)*parametros_manuales!$I$41*parametros_manuales!$J$41</f>
        <v>4156.93651512</v>
      </c>
      <c r="G213" s="9" t="n">
        <f aca="false">(parametros_manuales!$D$41*(datos_base!$I$2+datos_base!$I$18+IF(parametros_manuales!$H$41="Todos",datos_base!$I$9+datos_base!$I$23,0))*parametros_manuales!$G$95+parametros_manuales!$E$41*(datos_base!$I$3+datos_base!$I$19+IF(parametros_manuales!$H$41="Todos",datos_base!$I$10+datos_base!$I$24,0))*parametros_manuales!$G$100+parametros_manuales!$F$41*(datos_base!$I$4+datos_base!$I$20+IF(parametros_manuales!$H$41="Todos",datos_base!$I$11+datos_base!$I$25,0))*parametros_manuales!$G$105+parametros_manuales!$G$41*(datos_base!$I$5+datos_base!$I$21+IF(parametros_manuales!$H$41="Todos",datos_base!$I$12+datos_base!$I$26,0))*parametros_manuales!$G$110)*parametros_manuales!$I$41*parametros_manuales!$J$41</f>
        <v>4007.080826275</v>
      </c>
      <c r="H213" s="9" t="n">
        <f aca="false">(parametros_manuales!$D$41*(datos_base!$I$2+datos_base!$I$18+IF(parametros_manuales!$H$41="Todos",datos_base!$I$9+datos_base!$I$23,0))*parametros_manuales!$H$95+parametros_manuales!$E$41*(datos_base!$I$3+datos_base!$I$19+IF(parametros_manuales!$H$41="Todos",datos_base!$I$10+datos_base!$I$24,0))*parametros_manuales!$H$100+parametros_manuales!$F$41*(datos_base!$I$4+datos_base!$I$20+IF(parametros_manuales!$H$41="Todos",datos_base!$I$11+datos_base!$I$25,0))*parametros_manuales!$H$105+parametros_manuales!$G$41*(datos_base!$I$5+datos_base!$I$21+IF(parametros_manuales!$H$41="Todos",datos_base!$I$12+datos_base!$I$26,0))*parametros_manuales!$H$110)*parametros_manuales!$I$41*parametros_manuales!$J$41</f>
        <v>4282.59690752</v>
      </c>
      <c r="I213" s="9" t="n">
        <f aca="false">(parametros_manuales!$D$41*(datos_base!$I$2+datos_base!$I$18+IF(parametros_manuales!$H$41="Todos",datos_base!$I$9+datos_base!$I$23,0))*parametros_manuales!$I$95+parametros_manuales!$E$41*(datos_base!$I$3+datos_base!$I$19+IF(parametros_manuales!$H$41="Todos",datos_base!$I$10+datos_base!$I$24,0))*parametros_manuales!$I$100+parametros_manuales!$F$41*(datos_base!$I$4+datos_base!$I$20+IF(parametros_manuales!$H$41="Todos",datos_base!$I$11+datos_base!$I$25,0))*parametros_manuales!$I$105+parametros_manuales!$G$41*(datos_base!$I$5+datos_base!$I$21+IF(parametros_manuales!$H$41="Todos",datos_base!$I$12+datos_base!$I$26,0))*parametros_manuales!$I$110)*parametros_manuales!$I$41*parametros_manuales!$J$41</f>
        <v>4659.57808472</v>
      </c>
      <c r="J213" s="9" t="n">
        <f aca="false">(parametros_manuales!$D$41*(datos_base!$I$2+datos_base!$I$18+IF(parametros_manuales!$H$41="Todos",datos_base!$I$9+datos_base!$I$23,0))*parametros_manuales!$J$95+parametros_manuales!$E$41*(datos_base!$I$3+datos_base!$I$19+IF(parametros_manuales!$H$41="Todos",datos_base!$I$10+datos_base!$I$24,0))*parametros_manuales!$J$100+parametros_manuales!$F$41*(datos_base!$I$4+datos_base!$I$20+IF(parametros_manuales!$H$41="Todos",datos_base!$I$11+datos_base!$I$25,0))*parametros_manuales!$J$105+parametros_manuales!$G$41*(datos_base!$I$5+datos_base!$I$21+IF(parametros_manuales!$H$41="Todos",datos_base!$I$12+datos_base!$I$26,0))*parametros_manuales!$J$110)*parametros_manuales!$I$41*parametros_manuales!$J$41</f>
        <v>4659.57808472</v>
      </c>
      <c r="K213" s="9" t="n">
        <f aca="false">(parametros_manuales!$D$41*(datos_base!$I$2+datos_base!$I$18+IF(parametros_manuales!$H$41="Todos",datos_base!$I$9+datos_base!$I$23,0))*parametros_manuales!$K$95+parametros_manuales!$E$41*(datos_base!$I$3+datos_base!$I$19+IF(parametros_manuales!$H$41="Todos",datos_base!$I$10+datos_base!$I$24,0))*parametros_manuales!$K$100+parametros_manuales!$F$41*(datos_base!$I$4+datos_base!$I$20+IF(parametros_manuales!$H$41="Todos",datos_base!$I$11+datos_base!$I$25,0))*parametros_manuales!$K$105+parametros_manuales!$G$41*(datos_base!$I$5+datos_base!$I$21+IF(parametros_manuales!$H$41="Todos",datos_base!$I$12+datos_base!$I$26,0))*parametros_manuales!$K$110)*parametros_manuales!$I$41*parametros_manuales!$J$41</f>
        <v>4809.433773565</v>
      </c>
      <c r="L213" s="9" t="n">
        <f aca="false">(parametros_manuales!$D$41*(datos_base!$I$2+datos_base!$I$18+IF(parametros_manuales!$H$41="Todos",datos_base!$I$9+datos_base!$I$23,0))*parametros_manuales!$L$95+parametros_manuales!$E$41*(datos_base!$I$3+datos_base!$I$19+IF(parametros_manuales!$H$41="Todos",datos_base!$I$10+datos_base!$I$24,0))*parametros_manuales!$L$100+parametros_manuales!$F$41*(datos_base!$I$4+datos_base!$I$20+IF(parametros_manuales!$H$41="Todos",datos_base!$I$11+datos_base!$I$25,0))*parametros_manuales!$L$105+parametros_manuales!$G$41*(datos_base!$I$5+datos_base!$I$21+IF(parametros_manuales!$H$41="Todos",datos_base!$I$12+datos_base!$I$26,0))*parametros_manuales!$L$110)*parametros_manuales!$I$41*parametros_manuales!$J$41</f>
        <v>4959.28946241</v>
      </c>
      <c r="M213" s="9" t="n">
        <f aca="false">(parametros_manuales!$D$41*(datos_base!$I$2+datos_base!$I$18+IF(parametros_manuales!$H$41="Todos",datos_base!$I$9+datos_base!$I$23,0))*parametros_manuales!$M$95+parametros_manuales!$E$41*(datos_base!$I$3+datos_base!$I$19+IF(parametros_manuales!$H$41="Todos",datos_base!$I$10+datos_base!$I$24,0))*parametros_manuales!$M$100+parametros_manuales!$F$41*(datos_base!$I$4+datos_base!$I$20+IF(parametros_manuales!$H$41="Todos",datos_base!$I$11+datos_base!$I$25,0))*parametros_manuales!$M$105+parametros_manuales!$G$41*(datos_base!$I$5+datos_base!$I$21+IF(parametros_manuales!$H$41="Todos",datos_base!$I$12+datos_base!$I$26,0))*parametros_manuales!$M$110)*parametros_manuales!$I$41*parametros_manuales!$J$41</f>
        <v>4959.28946241</v>
      </c>
      <c r="N213" s="9" t="n">
        <f aca="false">SUM(B213:M213)</f>
        <v>55103.216249</v>
      </c>
      <c r="O213" s="9" t="n">
        <f aca="false">MAX(B213:M213)</f>
        <v>4959.28946241</v>
      </c>
      <c r="P213" s="43" t="n">
        <f aca="false">O213/(parametros_manuales!$B$7)</f>
        <v>33.0619297494</v>
      </c>
      <c r="Q213" s="8" t="str">
        <f aca="false">IF(O213=0,"-",INDEX($B$190:$M$190,MATCH(O213,B213:M213,0)))</f>
        <v>Ene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datos_base!$I$2+datos_base!$I$18+IF(parametros_manuales!$H$42="Todos",datos_base!$I$9+datos_base!$I$23,0))*parametros_manuales!$B$95+parametros_manuales!$E$42*(datos_base!$I$3+datos_base!$I$19+IF(parametros_manuales!$H$42="Todos",datos_base!$I$10+datos_base!$I$24,0))*parametros_manuales!$B$100+parametros_manuales!$F$42*(datos_base!$I$4+datos_base!$I$20+IF(parametros_manuales!$H$42="Todos",datos_base!$I$11+datos_base!$I$25,0))*parametros_manuales!$B$105+parametros_manuales!$G$42*(datos_base!$I$5+datos_base!$I$21+IF(parametros_manuales!$H$42="Todos",datos_base!$I$12+datos_base!$I$26,0))*parametros_manuales!$B$110)*parametros_manuales!$I$42*parametros_manuales!$J$42</f>
        <v>4959.28946241</v>
      </c>
      <c r="C214" s="9" t="n">
        <f aca="false">(parametros_manuales!$D$42*(datos_base!$I$2+datos_base!$I$18+IF(parametros_manuales!$H$42="Todos",datos_base!$I$9+datos_base!$I$23,0))*parametros_manuales!$C$95+parametros_manuales!$E$42*(datos_base!$I$3+datos_base!$I$19+IF(parametros_manuales!$H$42="Todos",datos_base!$I$10+datos_base!$I$24,0))*parametros_manuales!$C$100+parametros_manuales!$F$42*(datos_base!$I$4+datos_base!$I$20+IF(parametros_manuales!$H$42="Todos",datos_base!$I$11+datos_base!$I$25,0))*parametros_manuales!$C$105+parametros_manuales!$G$42*(datos_base!$I$5+datos_base!$I$21+IF(parametros_manuales!$H$42="Todos",datos_base!$I$12+datos_base!$I$26,0))*parametros_manuales!$C$110)*parametros_manuales!$I$42*parametros_manuales!$J$42</f>
        <v>4659.57808472</v>
      </c>
      <c r="D214" s="9" t="n">
        <f aca="false">(parametros_manuales!$D$42*(datos_base!$I$2+datos_base!$I$18+IF(parametros_manuales!$H$42="Todos",datos_base!$I$9+datos_base!$I$23,0))*parametros_manuales!$D$95+parametros_manuales!$E$42*(datos_base!$I$3+datos_base!$I$19+IF(parametros_manuales!$H$42="Todos",datos_base!$I$10+datos_base!$I$24,0))*parametros_manuales!$D$100+parametros_manuales!$F$42*(datos_base!$I$4+datos_base!$I$20+IF(parametros_manuales!$H$42="Todos",datos_base!$I$11+datos_base!$I$25,0))*parametros_manuales!$D$105+parametros_manuales!$G$42*(datos_base!$I$5+datos_base!$I$21+IF(parametros_manuales!$H$42="Todos",datos_base!$I$12+datos_base!$I$26,0))*parametros_manuales!$D$110)*parametros_manuales!$I$42*parametros_manuales!$J$42</f>
        <v>4558.112988765</v>
      </c>
      <c r="E214" s="9" t="n">
        <f aca="false">(parametros_manuales!$D$42*(datos_base!$I$2+datos_base!$I$18+IF(parametros_manuales!$H$42="Todos",datos_base!$I$9+datos_base!$I$23,0))*parametros_manuales!$E$95+parametros_manuales!$E$42*(datos_base!$I$3+datos_base!$I$19+IF(parametros_manuales!$H$42="Todos",datos_base!$I$10+datos_base!$I$24,0))*parametros_manuales!$E$100+parametros_manuales!$F$42*(datos_base!$I$4+datos_base!$I$20+IF(parametros_manuales!$H$42="Todos",datos_base!$I$11+datos_base!$I$25,0))*parametros_manuales!$E$105+parametros_manuales!$G$42*(datos_base!$I$5+datos_base!$I$21+IF(parametros_manuales!$H$42="Todos",datos_base!$I$12+datos_base!$I$26,0))*parametros_manuales!$E$110)*parametros_manuales!$I$42*parametros_manuales!$J$42</f>
        <v>4432.452596365</v>
      </c>
      <c r="F214" s="9" t="n">
        <f aca="false">(parametros_manuales!$D$42*(datos_base!$I$2+datos_base!$I$18+IF(parametros_manuales!$H$42="Todos",datos_base!$I$9+datos_base!$I$23,0))*parametros_manuales!$F$95+parametros_manuales!$E$42*(datos_base!$I$3+datos_base!$I$19+IF(parametros_manuales!$H$42="Todos",datos_base!$I$10+datos_base!$I$24,0))*parametros_manuales!$F$100+parametros_manuales!$F$42*(datos_base!$I$4+datos_base!$I$20+IF(parametros_manuales!$H$42="Todos",datos_base!$I$11+datos_base!$I$25,0))*parametros_manuales!$F$105+parametros_manuales!$G$42*(datos_base!$I$5+datos_base!$I$21+IF(parametros_manuales!$H$42="Todos",datos_base!$I$12+datos_base!$I$26,0))*parametros_manuales!$F$110)*parametros_manuales!$I$42*parametros_manuales!$J$42</f>
        <v>4156.93651512</v>
      </c>
      <c r="G214" s="9" t="n">
        <f aca="false">(parametros_manuales!$D$42*(datos_base!$I$2+datos_base!$I$18+IF(parametros_manuales!$H$42="Todos",datos_base!$I$9+datos_base!$I$23,0))*parametros_manuales!$G$95+parametros_manuales!$E$42*(datos_base!$I$3+datos_base!$I$19+IF(parametros_manuales!$H$42="Todos",datos_base!$I$10+datos_base!$I$24,0))*parametros_manuales!$G$100+parametros_manuales!$F$42*(datos_base!$I$4+datos_base!$I$20+IF(parametros_manuales!$H$42="Todos",datos_base!$I$11+datos_base!$I$25,0))*parametros_manuales!$G$105+parametros_manuales!$G$42*(datos_base!$I$5+datos_base!$I$21+IF(parametros_manuales!$H$42="Todos",datos_base!$I$12+datos_base!$I$26,0))*parametros_manuales!$G$110)*parametros_manuales!$I$42*parametros_manuales!$J$42</f>
        <v>4007.080826275</v>
      </c>
      <c r="H214" s="9" t="n">
        <f aca="false">(parametros_manuales!$D$42*(datos_base!$I$2+datos_base!$I$18+IF(parametros_manuales!$H$42="Todos",datos_base!$I$9+datos_base!$I$23,0))*parametros_manuales!$H$95+parametros_manuales!$E$42*(datos_base!$I$3+datos_base!$I$19+IF(parametros_manuales!$H$42="Todos",datos_base!$I$10+datos_base!$I$24,0))*parametros_manuales!$H$100+parametros_manuales!$F$42*(datos_base!$I$4+datos_base!$I$20+IF(parametros_manuales!$H$42="Todos",datos_base!$I$11+datos_base!$I$25,0))*parametros_manuales!$H$105+parametros_manuales!$G$42*(datos_base!$I$5+datos_base!$I$21+IF(parametros_manuales!$H$42="Todos",datos_base!$I$12+datos_base!$I$26,0))*parametros_manuales!$H$110)*parametros_manuales!$I$42*parametros_manuales!$J$42</f>
        <v>4282.59690752</v>
      </c>
      <c r="I214" s="9" t="n">
        <f aca="false">(parametros_manuales!$D$42*(datos_base!$I$2+datos_base!$I$18+IF(parametros_manuales!$H$42="Todos",datos_base!$I$9+datos_base!$I$23,0))*parametros_manuales!$I$95+parametros_manuales!$E$42*(datos_base!$I$3+datos_base!$I$19+IF(parametros_manuales!$H$42="Todos",datos_base!$I$10+datos_base!$I$24,0))*parametros_manuales!$I$100+parametros_manuales!$F$42*(datos_base!$I$4+datos_base!$I$20+IF(parametros_manuales!$H$42="Todos",datos_base!$I$11+datos_base!$I$25,0))*parametros_manuales!$I$105+parametros_manuales!$G$42*(datos_base!$I$5+datos_base!$I$21+IF(parametros_manuales!$H$42="Todos",datos_base!$I$12+datos_base!$I$26,0))*parametros_manuales!$I$110)*parametros_manuales!$I$42*parametros_manuales!$J$42</f>
        <v>4659.57808472</v>
      </c>
      <c r="J214" s="9" t="n">
        <f aca="false">(parametros_manuales!$D$42*(datos_base!$I$2+datos_base!$I$18+IF(parametros_manuales!$H$42="Todos",datos_base!$I$9+datos_base!$I$23,0))*parametros_manuales!$J$95+parametros_manuales!$E$42*(datos_base!$I$3+datos_base!$I$19+IF(parametros_manuales!$H$42="Todos",datos_base!$I$10+datos_base!$I$24,0))*parametros_manuales!$J$100+parametros_manuales!$F$42*(datos_base!$I$4+datos_base!$I$20+IF(parametros_manuales!$H$42="Todos",datos_base!$I$11+datos_base!$I$25,0))*parametros_manuales!$J$105+parametros_manuales!$G$42*(datos_base!$I$5+datos_base!$I$21+IF(parametros_manuales!$H$42="Todos",datos_base!$I$12+datos_base!$I$26,0))*parametros_manuales!$J$110)*parametros_manuales!$I$42*parametros_manuales!$J$42</f>
        <v>4659.57808472</v>
      </c>
      <c r="K214" s="9" t="n">
        <f aca="false">(parametros_manuales!$D$42*(datos_base!$I$2+datos_base!$I$18+IF(parametros_manuales!$H$42="Todos",datos_base!$I$9+datos_base!$I$23,0))*parametros_manuales!$K$95+parametros_manuales!$E$42*(datos_base!$I$3+datos_base!$I$19+IF(parametros_manuales!$H$42="Todos",datos_base!$I$10+datos_base!$I$24,0))*parametros_manuales!$K$100+parametros_manuales!$F$42*(datos_base!$I$4+datos_base!$I$20+IF(parametros_manuales!$H$42="Todos",datos_base!$I$11+datos_base!$I$25,0))*parametros_manuales!$K$105+parametros_manuales!$G$42*(datos_base!$I$5+datos_base!$I$21+IF(parametros_manuales!$H$42="Todos",datos_base!$I$12+datos_base!$I$26,0))*parametros_manuales!$K$110)*parametros_manuales!$I$42*parametros_manuales!$J$42</f>
        <v>4809.433773565</v>
      </c>
      <c r="L214" s="9" t="n">
        <f aca="false">(parametros_manuales!$D$42*(datos_base!$I$2+datos_base!$I$18+IF(parametros_manuales!$H$42="Todos",datos_base!$I$9+datos_base!$I$23,0))*parametros_manuales!$L$95+parametros_manuales!$E$42*(datos_base!$I$3+datos_base!$I$19+IF(parametros_manuales!$H$42="Todos",datos_base!$I$10+datos_base!$I$24,0))*parametros_manuales!$L$100+parametros_manuales!$F$42*(datos_base!$I$4+datos_base!$I$20+IF(parametros_manuales!$H$42="Todos",datos_base!$I$11+datos_base!$I$25,0))*parametros_manuales!$L$105+parametros_manuales!$G$42*(datos_base!$I$5+datos_base!$I$21+IF(parametros_manuales!$H$42="Todos",datos_base!$I$12+datos_base!$I$26,0))*parametros_manuales!$L$110)*parametros_manuales!$I$42*parametros_manuales!$J$42</f>
        <v>4959.28946241</v>
      </c>
      <c r="M214" s="9" t="n">
        <f aca="false">(parametros_manuales!$D$42*(datos_base!$I$2+datos_base!$I$18+IF(parametros_manuales!$H$42="Todos",datos_base!$I$9+datos_base!$I$23,0))*parametros_manuales!$M$95+parametros_manuales!$E$42*(datos_base!$I$3+datos_base!$I$19+IF(parametros_manuales!$H$42="Todos",datos_base!$I$10+datos_base!$I$24,0))*parametros_manuales!$M$100+parametros_manuales!$F$42*(datos_base!$I$4+datos_base!$I$20+IF(parametros_manuales!$H$42="Todos",datos_base!$I$11+datos_base!$I$25,0))*parametros_manuales!$M$105+parametros_manuales!$G$42*(datos_base!$I$5+datos_base!$I$21+IF(parametros_manuales!$H$42="Todos",datos_base!$I$12+datos_base!$I$26,0))*parametros_manuales!$M$110)*parametros_manuales!$I$42*parametros_manuales!$J$42</f>
        <v>4959.28946241</v>
      </c>
      <c r="N214" s="9" t="n">
        <f aca="false">SUM(B214:M214)</f>
        <v>55103.216249</v>
      </c>
      <c r="O214" s="9" t="n">
        <f aca="false">MAX(B214:M214)</f>
        <v>4959.28946241</v>
      </c>
      <c r="P214" s="43" t="n">
        <f aca="false">O214/(parametros_manuales!$B$7)</f>
        <v>33.0619297494</v>
      </c>
      <c r="Q214" s="8" t="str">
        <f aca="false">IF(O214=0,"-",INDEX($B$190:$M$190,MATCH(O214,B214:M214,0)))</f>
        <v>Ene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datos_base!$I$2+datos_base!$I$18+IF(parametros_manuales!$H$43="Todos",datos_base!$I$9+datos_base!$I$23,0))*parametros_manuales!$B$95+parametros_manuales!$E$43*(datos_base!$I$3+datos_base!$I$19+IF(parametros_manuales!$H$43="Todos",datos_base!$I$10+datos_base!$I$24,0))*parametros_manuales!$B$100+parametros_manuales!$F$43*(datos_base!$I$4+datos_base!$I$20+IF(parametros_manuales!$H$43="Todos",datos_base!$I$11+datos_base!$I$25,0))*parametros_manuales!$B$105+parametros_manuales!$G$43*(datos_base!$I$5+datos_base!$I$21+IF(parametros_manuales!$H$43="Todos",datos_base!$I$12+datos_base!$I$26,0))*parametros_manuales!$B$110)*parametros_manuales!$I$43*parametros_manuales!$J$43</f>
        <v>19641.70586241</v>
      </c>
      <c r="C215" s="9" t="n">
        <f aca="false">(parametros_manuales!$D$43*(datos_base!$I$2+datos_base!$I$18+IF(parametros_manuales!$H$43="Todos",datos_base!$I$9+datos_base!$I$23,0))*parametros_manuales!$C$95+parametros_manuales!$E$43*(datos_base!$I$3+datos_base!$I$19+IF(parametros_manuales!$H$43="Todos",datos_base!$I$10+datos_base!$I$24,0))*parametros_manuales!$C$100+parametros_manuales!$F$43*(datos_base!$I$4+datos_base!$I$20+IF(parametros_manuales!$H$43="Todos",datos_base!$I$11+datos_base!$I$25,0))*parametros_manuales!$C$105+parametros_manuales!$G$43*(datos_base!$I$5+datos_base!$I$21+IF(parametros_manuales!$H$43="Todos",datos_base!$I$12+datos_base!$I$26,0))*parametros_manuales!$C$110)*parametros_manuales!$I$43*parametros_manuales!$J$43</f>
        <v>19020.62488472</v>
      </c>
      <c r="D215" s="9" t="n">
        <f aca="false">(parametros_manuales!$D$43*(datos_base!$I$2+datos_base!$I$18+IF(parametros_manuales!$H$43="Todos",datos_base!$I$9+datos_base!$I$23,0))*parametros_manuales!$D$95+parametros_manuales!$E$43*(datos_base!$I$3+datos_base!$I$19+IF(parametros_manuales!$H$43="Todos",datos_base!$I$10+datos_base!$I$24,0))*parametros_manuales!$D$100+parametros_manuales!$F$43*(datos_base!$I$4+datos_base!$I$20+IF(parametros_manuales!$H$43="Todos",datos_base!$I$11+datos_base!$I$25,0))*parametros_manuales!$D$105+parametros_manuales!$G$43*(datos_base!$I$5+datos_base!$I$21+IF(parametros_manuales!$H$43="Todos",datos_base!$I$12+datos_base!$I$26,0))*parametros_manuales!$D$110)*parametros_manuales!$I$43*parametros_manuales!$J$43</f>
        <v>17769.834588765</v>
      </c>
      <c r="E215" s="9" t="n">
        <f aca="false">(parametros_manuales!$D$43*(datos_base!$I$2+datos_base!$I$18+IF(parametros_manuales!$H$43="Todos",datos_base!$I$9+datos_base!$I$23,0))*parametros_manuales!$E$95+parametros_manuales!$E$43*(datos_base!$I$3+datos_base!$I$19+IF(parametros_manuales!$H$43="Todos",datos_base!$I$10+datos_base!$I$24,0))*parametros_manuales!$E$100+parametros_manuales!$F$43*(datos_base!$I$4+datos_base!$I$20+IF(parametros_manuales!$H$43="Todos",datos_base!$I$11+datos_base!$I$25,0))*parametros_manuales!$E$105+parametros_manuales!$G$43*(datos_base!$I$5+datos_base!$I$21+IF(parametros_manuales!$H$43="Todos",datos_base!$I$12+datos_base!$I$26,0))*parametros_manuales!$E$110)*parametros_manuales!$I$43*parametros_manuales!$J$43</f>
        <v>16989.169196365</v>
      </c>
      <c r="F215" s="9" t="n">
        <f aca="false">(parametros_manuales!$D$43*(datos_base!$I$2+datos_base!$I$18+IF(parametros_manuales!$H$43="Todos",datos_base!$I$9+datos_base!$I$23,0))*parametros_manuales!$F$95+parametros_manuales!$E$43*(datos_base!$I$3+datos_base!$I$19+IF(parametros_manuales!$H$43="Todos",datos_base!$I$10+datos_base!$I$24,0))*parametros_manuales!$F$100+parametros_manuales!$F$43*(datos_base!$I$4+datos_base!$I$20+IF(parametros_manuales!$H$43="Todos",datos_base!$I$11+datos_base!$I$25,0))*parametros_manuales!$F$105+parametros_manuales!$G$43*(datos_base!$I$5+datos_base!$I$21+IF(parametros_manuales!$H$43="Todos",datos_base!$I$12+datos_base!$I$26,0))*parametros_manuales!$F$110)*parametros_manuales!$I$43*parametros_manuales!$J$43</f>
        <v>15897.96331512</v>
      </c>
      <c r="G215" s="9" t="n">
        <f aca="false">(parametros_manuales!$D$43*(datos_base!$I$2+datos_base!$I$18+IF(parametros_manuales!$H$43="Todos",datos_base!$I$9+datos_base!$I$23,0))*parametros_manuales!$G$95+parametros_manuales!$E$43*(datos_base!$I$3+datos_base!$I$19+IF(parametros_manuales!$H$43="Todos",datos_base!$I$10+datos_base!$I$24,0))*parametros_manuales!$G$100+parametros_manuales!$F$43*(datos_base!$I$4+datos_base!$I$20+IF(parametros_manuales!$H$43="Todos",datos_base!$I$11+datos_base!$I$25,0))*parametros_manuales!$G$105+parametros_manuales!$G$43*(datos_base!$I$5+datos_base!$I$21+IF(parametros_manuales!$H$43="Todos",datos_base!$I$12+datos_base!$I$26,0))*parametros_manuales!$G$110)*parametros_manuales!$I$43*parametros_manuales!$J$43</f>
        <v>15587.422826275</v>
      </c>
      <c r="H215" s="9" t="n">
        <f aca="false">(parametros_manuales!$D$43*(datos_base!$I$2+datos_base!$I$18+IF(parametros_manuales!$H$43="Todos",datos_base!$I$9+datos_base!$I$23,0))*parametros_manuales!$H$95+parametros_manuales!$E$43*(datos_base!$I$3+datos_base!$I$19+IF(parametros_manuales!$H$43="Todos",datos_base!$I$10+datos_base!$I$24,0))*parametros_manuales!$H$100+parametros_manuales!$F$43*(datos_base!$I$4+datos_base!$I$20+IF(parametros_manuales!$H$43="Todos",datos_base!$I$11+datos_base!$I$25,0))*parametros_manuales!$H$105+parametros_manuales!$G$43*(datos_base!$I$5+datos_base!$I$21+IF(parametros_manuales!$H$43="Todos",datos_base!$I$12+datos_base!$I$26,0))*parametros_manuales!$H$110)*parametros_manuales!$I$43*parametros_manuales!$J$43</f>
        <v>16678.62870752</v>
      </c>
      <c r="I215" s="9" t="n">
        <f aca="false">(parametros_manuales!$D$43*(datos_base!$I$2+datos_base!$I$18+IF(parametros_manuales!$H$43="Todos",datos_base!$I$9+datos_base!$I$23,0))*parametros_manuales!$I$95+parametros_manuales!$E$43*(datos_base!$I$3+datos_base!$I$19+IF(parametros_manuales!$H$43="Todos",datos_base!$I$10+datos_base!$I$24,0))*parametros_manuales!$I$100+parametros_manuales!$F$43*(datos_base!$I$4+datos_base!$I$20+IF(parametros_manuales!$H$43="Todos",datos_base!$I$11+datos_base!$I$25,0))*parametros_manuales!$I$105+parametros_manuales!$G$43*(datos_base!$I$5+datos_base!$I$21+IF(parametros_manuales!$H$43="Todos",datos_base!$I$12+datos_base!$I$26,0))*parametros_manuales!$I$110)*parametros_manuales!$I$43*parametros_manuales!$J$43</f>
        <v>19020.62488472</v>
      </c>
      <c r="J215" s="9" t="n">
        <f aca="false">(parametros_manuales!$D$43*(datos_base!$I$2+datos_base!$I$18+IF(parametros_manuales!$H$43="Todos",datos_base!$I$9+datos_base!$I$23,0))*parametros_manuales!$J$95+parametros_manuales!$E$43*(datos_base!$I$3+datos_base!$I$19+IF(parametros_manuales!$H$43="Todos",datos_base!$I$10+datos_base!$I$24,0))*parametros_manuales!$J$100+parametros_manuales!$F$43*(datos_base!$I$4+datos_base!$I$20+IF(parametros_manuales!$H$43="Todos",datos_base!$I$11+datos_base!$I$25,0))*parametros_manuales!$J$105+parametros_manuales!$G$43*(datos_base!$I$5+datos_base!$I$21+IF(parametros_manuales!$H$43="Todos",datos_base!$I$12+datos_base!$I$26,0))*parametros_manuales!$J$110)*parametros_manuales!$I$43*parametros_manuales!$J$43</f>
        <v>19020.62488472</v>
      </c>
      <c r="K215" s="9" t="n">
        <f aca="false">(parametros_manuales!$D$43*(datos_base!$I$2+datos_base!$I$18+IF(parametros_manuales!$H$43="Todos",datos_base!$I$9+datos_base!$I$23,0))*parametros_manuales!$K$95+parametros_manuales!$E$43*(datos_base!$I$3+datos_base!$I$19+IF(parametros_manuales!$H$43="Todos",datos_base!$I$10+datos_base!$I$24,0))*parametros_manuales!$K$100+parametros_manuales!$F$43*(datos_base!$I$4+datos_base!$I$20+IF(parametros_manuales!$H$43="Todos",datos_base!$I$11+datos_base!$I$25,0))*parametros_manuales!$K$105+parametros_manuales!$G$43*(datos_base!$I$5+datos_base!$I$21+IF(parametros_manuales!$H$43="Todos",datos_base!$I$12+datos_base!$I$26,0))*parametros_manuales!$K$110)*parametros_manuales!$I$43*parametros_manuales!$J$43</f>
        <v>19331.165373565</v>
      </c>
      <c r="L215" s="9" t="n">
        <f aca="false">(parametros_manuales!$D$43*(datos_base!$I$2+datos_base!$I$18+IF(parametros_manuales!$H$43="Todos",datos_base!$I$9+datos_base!$I$23,0))*parametros_manuales!$L$95+parametros_manuales!$E$43*(datos_base!$I$3+datos_base!$I$19+IF(parametros_manuales!$H$43="Todos",datos_base!$I$10+datos_base!$I$24,0))*parametros_manuales!$L$100+parametros_manuales!$F$43*(datos_base!$I$4+datos_base!$I$20+IF(parametros_manuales!$H$43="Todos",datos_base!$I$11+datos_base!$I$25,0))*parametros_manuales!$L$105+parametros_manuales!$G$43*(datos_base!$I$5+datos_base!$I$21+IF(parametros_manuales!$H$43="Todos",datos_base!$I$12+datos_base!$I$26,0))*parametros_manuales!$L$110)*parametros_manuales!$I$43*parametros_manuales!$J$43</f>
        <v>19641.70586241</v>
      </c>
      <c r="M215" s="9" t="n">
        <f aca="false">(parametros_manuales!$D$43*(datos_base!$I$2+datos_base!$I$18+IF(parametros_manuales!$H$43="Todos",datos_base!$I$9+datos_base!$I$23,0))*parametros_manuales!$M$95+parametros_manuales!$E$43*(datos_base!$I$3+datos_base!$I$19+IF(parametros_manuales!$H$43="Todos",datos_base!$I$10+datos_base!$I$24,0))*parametros_manuales!$M$100+parametros_manuales!$F$43*(datos_base!$I$4+datos_base!$I$20+IF(parametros_manuales!$H$43="Todos",datos_base!$I$11+datos_base!$I$25,0))*parametros_manuales!$M$105+parametros_manuales!$G$43*(datos_base!$I$5+datos_base!$I$21+IF(parametros_manuales!$H$43="Todos",datos_base!$I$12+datos_base!$I$26,0))*parametros_manuales!$M$110)*parametros_manuales!$I$43*parametros_manuales!$J$43</f>
        <v>19641.70586241</v>
      </c>
      <c r="N215" s="9" t="n">
        <f aca="false">SUM(B215:M215)</f>
        <v>218241.176249</v>
      </c>
      <c r="O215" s="9" t="n">
        <f aca="false">MAX(B215:M215)</f>
        <v>19641.70586241</v>
      </c>
      <c r="P215" s="43" t="n">
        <f aca="false">O215/(parametros_manuales!$B$7)</f>
        <v>130.9447057494</v>
      </c>
      <c r="Q215" s="8" t="str">
        <f aca="false">IF(O215=0,"-",INDEX($B$190:$M$190,MATCH(O215,B215:M215,0)))</f>
        <v>Ene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198</v>
      </c>
      <c r="B217" s="7" t="s">
        <v>61</v>
      </c>
      <c r="C217" s="7" t="s">
        <v>62</v>
      </c>
      <c r="D217" s="7" t="s">
        <v>63</v>
      </c>
      <c r="E217" s="7" t="s">
        <v>64</v>
      </c>
      <c r="F217" s="7" t="s">
        <v>65</v>
      </c>
      <c r="G217" s="7" t="s">
        <v>66</v>
      </c>
      <c r="H217" s="7" t="s">
        <v>67</v>
      </c>
      <c r="I217" s="7" t="s">
        <v>68</v>
      </c>
      <c r="J217" s="7" t="s">
        <v>69</v>
      </c>
      <c r="K217" s="7" t="s">
        <v>70</v>
      </c>
      <c r="L217" s="7" t="s">
        <v>71</v>
      </c>
      <c r="M217" s="7" t="s">
        <v>72</v>
      </c>
      <c r="N217" s="7" t="s">
        <v>183</v>
      </c>
      <c r="O217" s="7" t="s">
        <v>188</v>
      </c>
      <c r="P217" s="7" t="s">
        <v>189</v>
      </c>
      <c r="Q217" s="7" t="s">
        <v>190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datos_base!$J$2+datos_base!$J$18+IF(parametros_manuales!$H$19="Todos",datos_base!$J$9+datos_base!$J$23,0))*parametros_manuales!$B$95+parametros_manuales!$E$19*(datos_base!$J$3+datos_base!$J$19+IF(parametros_manuales!$H$19="Todos",datos_base!$J$10+datos_base!$J$24,0))*parametros_manuales!$B$100+parametros_manuales!$F$19*(datos_base!$J$4+datos_base!$J$20+IF(parametros_manuales!$H$19="Todos",datos_base!$J$11+datos_base!$J$25,0))*parametros_manuales!$B$105+parametros_manuales!$G$19*(datos_base!$J$5+datos_base!$J$21+IF(parametros_manuales!$H$19="Todos",datos_base!$J$12+datos_base!$J$26,0))*parametros_manuales!$B$110)*parametros_manuales!$I$19*parametros_manuales!$J$19</f>
        <v>22162.09652883</v>
      </c>
      <c r="C218" s="9" t="n">
        <f aca="false">(parametros_manuales!$D$19*(datos_base!$J$2+datos_base!$J$18+IF(parametros_manuales!$H$19="Todos",datos_base!$J$9+datos_base!$J$23,0))*parametros_manuales!$C$95+parametros_manuales!$E$19*(datos_base!$J$3+datos_base!$J$19+IF(parametros_manuales!$H$19="Todos",datos_base!$J$10+datos_base!$J$24,0))*parametros_manuales!$C$100+parametros_manuales!$F$19*(datos_base!$J$4+datos_base!$J$20+IF(parametros_manuales!$H$19="Todos",datos_base!$J$11+datos_base!$J$25,0))*parametros_manuales!$C$105+parametros_manuales!$G$19*(datos_base!$J$5+datos_base!$J$21+IF(parametros_manuales!$H$19="Todos",datos_base!$J$12+datos_base!$J$26,0))*parametros_manuales!$C$110)*parametros_manuales!$I$19*parametros_manuales!$J$19</f>
        <v>21453.57272036</v>
      </c>
      <c r="D218" s="9" t="n">
        <f aca="false">(parametros_manuales!$D$19*(datos_base!$J$2+datos_base!$J$18+IF(parametros_manuales!$H$19="Todos",datos_base!$J$9+datos_base!$J$23,0))*parametros_manuales!$D$95+parametros_manuales!$E$19*(datos_base!$J$3+datos_base!$J$19+IF(parametros_manuales!$H$19="Todos",datos_base!$J$10+datos_base!$J$24,0))*parametros_manuales!$D$100+parametros_manuales!$F$19*(datos_base!$J$4+datos_base!$J$20+IF(parametros_manuales!$H$19="Todos",datos_base!$J$11+datos_base!$J$25,0))*parametros_manuales!$D$105+parametros_manuales!$G$19*(datos_base!$J$5+datos_base!$J$21+IF(parametros_manuales!$H$19="Todos",datos_base!$J$12+datos_base!$J$26,0))*parametros_manuales!$D$110)*parametros_manuales!$I$19*parametros_manuales!$J$19</f>
        <v>20053.903263195</v>
      </c>
      <c r="E218" s="9" t="n">
        <f aca="false">(parametros_manuales!$D$19*(datos_base!$J$2+datos_base!$J$18+IF(parametros_manuales!$H$19="Todos",datos_base!$J$9+datos_base!$J$23,0))*parametros_manuales!$E$95+parametros_manuales!$E$19*(datos_base!$J$3+datos_base!$J$19+IF(parametros_manuales!$H$19="Todos",datos_base!$J$10+datos_base!$J$24,0))*parametros_manuales!$E$100+parametros_manuales!$F$19*(datos_base!$J$4+datos_base!$J$20+IF(parametros_manuales!$H$19="Todos",datos_base!$J$11+datos_base!$J$25,0))*parametros_manuales!$E$105+parametros_manuales!$G$19*(datos_base!$J$5+datos_base!$J$21+IF(parametros_manuales!$H$19="Todos",datos_base!$J$12+datos_base!$J$26,0))*parametros_manuales!$E$110)*parametros_manuales!$I$19*parametros_manuales!$J$19</f>
        <v>19176.937582495</v>
      </c>
      <c r="F218" s="9" t="n">
        <f aca="false">(parametros_manuales!$D$19*(datos_base!$J$2+datos_base!$J$18+IF(parametros_manuales!$H$19="Todos",datos_base!$J$9+datos_base!$J$23,0))*parametros_manuales!$F$95+parametros_manuales!$E$19*(datos_base!$J$3+datos_base!$J$19+IF(parametros_manuales!$H$19="Todos",datos_base!$J$10+datos_base!$J$24,0))*parametros_manuales!$F$100+parametros_manuales!$F$19*(datos_base!$J$4+datos_base!$J$20+IF(parametros_manuales!$H$19="Todos",datos_base!$J$11+datos_base!$J$25,0))*parametros_manuales!$F$105+parametros_manuales!$G$19*(datos_base!$J$5+datos_base!$J$21+IF(parametros_manuales!$H$19="Todos",datos_base!$J$12+datos_base!$J$26,0))*parametros_manuales!$F$110)*parametros_manuales!$I$19*parametros_manuales!$J$19</f>
        <v>17945.70999756</v>
      </c>
      <c r="G218" s="9" t="n">
        <f aca="false">(parametros_manuales!$D$19*(datos_base!$J$2+datos_base!$J$18+IF(parametros_manuales!$H$19="Todos",datos_base!$J$9+datos_base!$J$23,0))*parametros_manuales!$G$95+parametros_manuales!$E$19*(datos_base!$J$3+datos_base!$J$19+IF(parametros_manuales!$H$19="Todos",datos_base!$J$10+datos_base!$J$24,0))*parametros_manuales!$G$100+parametros_manuales!$F$19*(datos_base!$J$4+datos_base!$J$20+IF(parametros_manuales!$H$19="Todos",datos_base!$J$11+datos_base!$J$25,0))*parametros_manuales!$G$105+parametros_manuales!$G$19*(datos_base!$J$5+datos_base!$J$21+IF(parametros_manuales!$H$19="Todos",datos_base!$J$12+datos_base!$J$26,0))*parametros_manuales!$G$110)*parametros_manuales!$I$19*parametros_manuales!$J$19</f>
        <v>17591.448093325</v>
      </c>
      <c r="H218" s="9" t="n">
        <f aca="false">(parametros_manuales!$D$19*(datos_base!$J$2+datos_base!$J$18+IF(parametros_manuales!$H$19="Todos",datos_base!$J$9+datos_base!$J$23,0))*parametros_manuales!$H$95+parametros_manuales!$E$19*(datos_base!$J$3+datos_base!$J$19+IF(parametros_manuales!$H$19="Todos",datos_base!$J$10+datos_base!$J$24,0))*parametros_manuales!$H$100+parametros_manuales!$F$19*(datos_base!$J$4+datos_base!$J$20+IF(parametros_manuales!$H$19="Todos",datos_base!$J$11+datos_base!$J$25,0))*parametros_manuales!$H$105+parametros_manuales!$G$19*(datos_base!$J$5+datos_base!$J$21+IF(parametros_manuales!$H$19="Todos",datos_base!$J$12+datos_base!$J$26,0))*parametros_manuales!$H$110)*parametros_manuales!$I$19*parametros_manuales!$J$19</f>
        <v>18822.67567826</v>
      </c>
      <c r="I218" s="9" t="n">
        <f aca="false">(parametros_manuales!$D$19*(datos_base!$J$2+datos_base!$J$18+IF(parametros_manuales!$H$19="Todos",datos_base!$J$9+datos_base!$J$23,0))*parametros_manuales!$I$95+parametros_manuales!$E$19*(datos_base!$J$3+datos_base!$J$19+IF(parametros_manuales!$H$19="Todos",datos_base!$J$10+datos_base!$J$24,0))*parametros_manuales!$I$100+parametros_manuales!$F$19*(datos_base!$J$4+datos_base!$J$20+IF(parametros_manuales!$H$19="Todos",datos_base!$J$11+datos_base!$J$25,0))*parametros_manuales!$I$105+parametros_manuales!$G$19*(datos_base!$J$5+datos_base!$J$21+IF(parametros_manuales!$H$19="Todos",datos_base!$J$12+datos_base!$J$26,0))*parametros_manuales!$I$110)*parametros_manuales!$I$19*parametros_manuales!$J$19</f>
        <v>21453.57272036</v>
      </c>
      <c r="J218" s="9" t="n">
        <f aca="false">(parametros_manuales!$D$19*(datos_base!$J$2+datos_base!$J$18+IF(parametros_manuales!$H$19="Todos",datos_base!$J$9+datos_base!$J$23,0))*parametros_manuales!$J$95+parametros_manuales!$E$19*(datos_base!$J$3+datos_base!$J$19+IF(parametros_manuales!$H$19="Todos",datos_base!$J$10+datos_base!$J$24,0))*parametros_manuales!$J$100+parametros_manuales!$F$19*(datos_base!$J$4+datos_base!$J$20+IF(parametros_manuales!$H$19="Todos",datos_base!$J$11+datos_base!$J$25,0))*parametros_manuales!$J$105+parametros_manuales!$G$19*(datos_base!$J$5+datos_base!$J$21+IF(parametros_manuales!$H$19="Todos",datos_base!$J$12+datos_base!$J$26,0))*parametros_manuales!$J$110)*parametros_manuales!$I$19*parametros_manuales!$J$19</f>
        <v>21453.57272036</v>
      </c>
      <c r="K218" s="9" t="n">
        <f aca="false">(parametros_manuales!$D$19*(datos_base!$J$2+datos_base!$J$18+IF(parametros_manuales!$H$19="Todos",datos_base!$J$9+datos_base!$J$23,0))*parametros_manuales!$K$95+parametros_manuales!$E$19*(datos_base!$J$3+datos_base!$J$19+IF(parametros_manuales!$H$19="Todos",datos_base!$J$10+datos_base!$J$24,0))*parametros_manuales!$K$100+parametros_manuales!$F$19*(datos_base!$J$4+datos_base!$J$20+IF(parametros_manuales!$H$19="Todos",datos_base!$J$11+datos_base!$J$25,0))*parametros_manuales!$K$105+parametros_manuales!$G$19*(datos_base!$J$5+datos_base!$J$21+IF(parametros_manuales!$H$19="Todos",datos_base!$J$12+datos_base!$J$26,0))*parametros_manuales!$K$110)*parametros_manuales!$I$19*parametros_manuales!$J$19</f>
        <v>21807.834624595</v>
      </c>
      <c r="L218" s="9" t="n">
        <f aca="false">(parametros_manuales!$D$19*(datos_base!$J$2+datos_base!$J$18+IF(parametros_manuales!$H$19="Todos",datos_base!$J$9+datos_base!$J$23,0))*parametros_manuales!$L$95+parametros_manuales!$E$19*(datos_base!$J$3+datos_base!$J$19+IF(parametros_manuales!$H$19="Todos",datos_base!$J$10+datos_base!$J$24,0))*parametros_manuales!$L$100+parametros_manuales!$F$19*(datos_base!$J$4+datos_base!$J$20+IF(parametros_manuales!$H$19="Todos",datos_base!$J$11+datos_base!$J$25,0))*parametros_manuales!$L$105+parametros_manuales!$G$19*(datos_base!$J$5+datos_base!$J$21+IF(parametros_manuales!$H$19="Todos",datos_base!$J$12+datos_base!$J$26,0))*parametros_manuales!$L$110)*parametros_manuales!$I$19*parametros_manuales!$J$19</f>
        <v>22162.09652883</v>
      </c>
      <c r="M218" s="9" t="n">
        <f aca="false">(parametros_manuales!$D$19*(datos_base!$J$2+datos_base!$J$18+IF(parametros_manuales!$H$19="Todos",datos_base!$J$9+datos_base!$J$23,0))*parametros_manuales!$M$95+parametros_manuales!$E$19*(datos_base!$J$3+datos_base!$J$19+IF(parametros_manuales!$H$19="Todos",datos_base!$J$10+datos_base!$J$24,0))*parametros_manuales!$M$100+parametros_manuales!$F$19*(datos_base!$J$4+datos_base!$J$20+IF(parametros_manuales!$H$19="Todos",datos_base!$J$11+datos_base!$J$25,0))*parametros_manuales!$M$105+parametros_manuales!$G$19*(datos_base!$J$5+datos_base!$J$21+IF(parametros_manuales!$H$19="Todos",datos_base!$J$12+datos_base!$J$26,0))*parametros_manuales!$M$110)*parametros_manuales!$I$19*parametros_manuales!$J$19</f>
        <v>22162.09652883</v>
      </c>
      <c r="N218" s="9" t="n">
        <f aca="false">SUM(B218:M218)</f>
        <v>246245.516987</v>
      </c>
      <c r="O218" s="9" t="n">
        <f aca="false">MAX(B218:M218)</f>
        <v>22162.09652883</v>
      </c>
      <c r="P218" s="43" t="n">
        <f aca="false">O218/(parametros_manuales!$B$7)</f>
        <v>147.7473101922</v>
      </c>
      <c r="Q218" s="8" t="str">
        <f aca="false">IF(O218=0,"-",INDEX($B$217:$M$217,MATCH(O218,B218:M218,0)))</f>
        <v>Ene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datos_base!$J$2+datos_base!$J$18+IF(parametros_manuales!$H$20="Todos",datos_base!$J$9+datos_base!$J$23,0))*parametros_manuales!$B$95+parametros_manuales!$E$20*(datos_base!$J$3+datos_base!$J$19+IF(parametros_manuales!$H$20="Todos",datos_base!$J$10+datos_base!$J$24,0))*parametros_manuales!$B$100+parametros_manuales!$F$20*(datos_base!$J$4+datos_base!$J$20+IF(parametros_manuales!$H$20="Todos",datos_base!$J$11+datos_base!$J$25,0))*parametros_manuales!$B$105+parametros_manuales!$G$20*(datos_base!$J$5+datos_base!$J$21+IF(parametros_manuales!$H$20="Todos",datos_base!$J$12+datos_base!$J$26,0))*parametros_manuales!$B$110)*parametros_manuales!$I$20*parametros_manuales!$J$20</f>
        <v>6376.71427623</v>
      </c>
      <c r="C219" s="9" t="n">
        <f aca="false">(parametros_manuales!$D$20*(datos_base!$J$2+datos_base!$J$18+IF(parametros_manuales!$H$20="Todos",datos_base!$J$9+datos_base!$J$23,0))*parametros_manuales!$C$95+parametros_manuales!$E$20*(datos_base!$J$3+datos_base!$J$19+IF(parametros_manuales!$H$20="Todos",datos_base!$J$10+datos_base!$J$24,0))*parametros_manuales!$C$100+parametros_manuales!$F$20*(datos_base!$J$4+datos_base!$J$20+IF(parametros_manuales!$H$20="Todos",datos_base!$J$11+datos_base!$J$25,0))*parametros_manuales!$C$105+parametros_manuales!$G$20*(datos_base!$J$5+datos_base!$J$21+IF(parametros_manuales!$H$20="Todos",datos_base!$J$12+datos_base!$J$26,0))*parametros_manuales!$C$110)*parametros_manuales!$I$20*parametros_manuales!$J$20</f>
        <v>5668.19046776</v>
      </c>
      <c r="D219" s="9" t="n">
        <f aca="false">(parametros_manuales!$D$20*(datos_base!$J$2+datos_base!$J$18+IF(parametros_manuales!$H$20="Todos",datos_base!$J$9+datos_base!$J$23,0))*parametros_manuales!$D$95+parametros_manuales!$E$20*(datos_base!$J$3+datos_base!$J$19+IF(parametros_manuales!$H$20="Todos",datos_base!$J$10+datos_base!$J$24,0))*parametros_manuales!$D$100+parametros_manuales!$F$20*(datos_base!$J$4+datos_base!$J$20+IF(parametros_manuales!$H$20="Todos",datos_base!$J$11+datos_base!$J$25,0))*parametros_manuales!$D$105+parametros_manuales!$G$20*(datos_base!$J$5+datos_base!$J$21+IF(parametros_manuales!$H$20="Todos",datos_base!$J$12+datos_base!$J$26,0))*parametros_manuales!$D$110)*parametros_manuales!$I$20*parametros_manuales!$J$20</f>
        <v>6022.452371995</v>
      </c>
      <c r="E219" s="9" t="n">
        <f aca="false">(parametros_manuales!$D$20*(datos_base!$J$2+datos_base!$J$18+IF(parametros_manuales!$H$20="Todos",datos_base!$J$9+datos_base!$J$23,0))*parametros_manuales!$E$95+parametros_manuales!$E$20*(datos_base!$J$3+datos_base!$J$19+IF(parametros_manuales!$H$20="Todos",datos_base!$J$10+datos_base!$J$24,0))*parametros_manuales!$E$100+parametros_manuales!$F$20*(datos_base!$J$4+datos_base!$J$20+IF(parametros_manuales!$H$20="Todos",datos_base!$J$11+datos_base!$J$25,0))*parametros_manuales!$E$105+parametros_manuales!$G$20*(datos_base!$J$5+datos_base!$J$21+IF(parametros_manuales!$H$20="Todos",datos_base!$J$12+datos_base!$J$26,0))*parametros_manuales!$E$110)*parametros_manuales!$I$20*parametros_manuales!$J$20</f>
        <v>6022.452371995</v>
      </c>
      <c r="F219" s="9" t="n">
        <f aca="false">(parametros_manuales!$D$20*(datos_base!$J$2+datos_base!$J$18+IF(parametros_manuales!$H$20="Todos",datos_base!$J$9+datos_base!$J$23,0))*parametros_manuales!$F$95+parametros_manuales!$E$20*(datos_base!$J$3+datos_base!$J$19+IF(parametros_manuales!$H$20="Todos",datos_base!$J$10+datos_base!$J$24,0))*parametros_manuales!$F$100+parametros_manuales!$F$20*(datos_base!$J$4+datos_base!$J$20+IF(parametros_manuales!$H$20="Todos",datos_base!$J$11+datos_base!$J$25,0))*parametros_manuales!$F$105+parametros_manuales!$G$20*(datos_base!$J$5+datos_base!$J$21+IF(parametros_manuales!$H$20="Todos",datos_base!$J$12+datos_base!$J$26,0))*parametros_manuales!$F$110)*parametros_manuales!$I$20*parametros_manuales!$J$20</f>
        <v>5668.19046776</v>
      </c>
      <c r="G219" s="9" t="n">
        <f aca="false">(parametros_manuales!$D$20*(datos_base!$J$2+datos_base!$J$18+IF(parametros_manuales!$H$20="Todos",datos_base!$J$9+datos_base!$J$23,0))*parametros_manuales!$G$95+parametros_manuales!$E$20*(datos_base!$J$3+datos_base!$J$19+IF(parametros_manuales!$H$20="Todos",datos_base!$J$10+datos_base!$J$24,0))*parametros_manuales!$G$100+parametros_manuales!$F$20*(datos_base!$J$4+datos_base!$J$20+IF(parametros_manuales!$H$20="Todos",datos_base!$J$11+datos_base!$J$25,0))*parametros_manuales!$G$105+parametros_manuales!$G$20*(datos_base!$J$5+datos_base!$J$21+IF(parametros_manuales!$H$20="Todos",datos_base!$J$12+datos_base!$J$26,0))*parametros_manuales!$G$110)*parametros_manuales!$I$20*parametros_manuales!$J$20</f>
        <v>5313.928563525</v>
      </c>
      <c r="H219" s="9" t="n">
        <f aca="false">(parametros_manuales!$D$20*(datos_base!$J$2+datos_base!$J$18+IF(parametros_manuales!$H$20="Todos",datos_base!$J$9+datos_base!$J$23,0))*parametros_manuales!$H$95+parametros_manuales!$E$20*(datos_base!$J$3+datos_base!$J$19+IF(parametros_manuales!$H$20="Todos",datos_base!$J$10+datos_base!$J$24,0))*parametros_manuales!$H$100+parametros_manuales!$F$20*(datos_base!$J$4+datos_base!$J$20+IF(parametros_manuales!$H$20="Todos",datos_base!$J$11+datos_base!$J$25,0))*parametros_manuales!$H$105+parametros_manuales!$G$20*(datos_base!$J$5+datos_base!$J$21+IF(parametros_manuales!$H$20="Todos",datos_base!$J$12+datos_base!$J$26,0))*parametros_manuales!$H$110)*parametros_manuales!$I$20*parametros_manuales!$J$20</f>
        <v>5668.19046776</v>
      </c>
      <c r="I219" s="9" t="n">
        <f aca="false">(parametros_manuales!$D$20*(datos_base!$J$2+datos_base!$J$18+IF(parametros_manuales!$H$20="Todos",datos_base!$J$9+datos_base!$J$23,0))*parametros_manuales!$I$95+parametros_manuales!$E$20*(datos_base!$J$3+datos_base!$J$19+IF(parametros_manuales!$H$20="Todos",datos_base!$J$10+datos_base!$J$24,0))*parametros_manuales!$I$100+parametros_manuales!$F$20*(datos_base!$J$4+datos_base!$J$20+IF(parametros_manuales!$H$20="Todos",datos_base!$J$11+datos_base!$J$25,0))*parametros_manuales!$I$105+parametros_manuales!$G$20*(datos_base!$J$5+datos_base!$J$21+IF(parametros_manuales!$H$20="Todos",datos_base!$J$12+datos_base!$J$26,0))*parametros_manuales!$I$110)*parametros_manuales!$I$20*parametros_manuales!$J$20</f>
        <v>5668.19046776</v>
      </c>
      <c r="J219" s="9" t="n">
        <f aca="false">(parametros_manuales!$D$20*(datos_base!$J$2+datos_base!$J$18+IF(parametros_manuales!$H$20="Todos",datos_base!$J$9+datos_base!$J$23,0))*parametros_manuales!$J$95+parametros_manuales!$E$20*(datos_base!$J$3+datos_base!$J$19+IF(parametros_manuales!$H$20="Todos",datos_base!$J$10+datos_base!$J$24,0))*parametros_manuales!$J$100+parametros_manuales!$F$20*(datos_base!$J$4+datos_base!$J$20+IF(parametros_manuales!$H$20="Todos",datos_base!$J$11+datos_base!$J$25,0))*parametros_manuales!$J$105+parametros_manuales!$G$20*(datos_base!$J$5+datos_base!$J$21+IF(parametros_manuales!$H$20="Todos",datos_base!$J$12+datos_base!$J$26,0))*parametros_manuales!$J$110)*parametros_manuales!$I$20*parametros_manuales!$J$20</f>
        <v>5668.19046776</v>
      </c>
      <c r="K219" s="9" t="n">
        <f aca="false">(parametros_manuales!$D$20*(datos_base!$J$2+datos_base!$J$18+IF(parametros_manuales!$H$20="Todos",datos_base!$J$9+datos_base!$J$23,0))*parametros_manuales!$K$95+parametros_manuales!$E$20*(datos_base!$J$3+datos_base!$J$19+IF(parametros_manuales!$H$20="Todos",datos_base!$J$10+datos_base!$J$24,0))*parametros_manuales!$K$100+parametros_manuales!$F$20*(datos_base!$J$4+datos_base!$J$20+IF(parametros_manuales!$H$20="Todos",datos_base!$J$11+datos_base!$J$25,0))*parametros_manuales!$K$105+parametros_manuales!$G$20*(datos_base!$J$5+datos_base!$J$21+IF(parametros_manuales!$H$20="Todos",datos_base!$J$12+datos_base!$J$26,0))*parametros_manuales!$K$110)*parametros_manuales!$I$20*parametros_manuales!$J$20</f>
        <v>6022.452371995</v>
      </c>
      <c r="L219" s="9" t="n">
        <f aca="false">(parametros_manuales!$D$20*(datos_base!$J$2+datos_base!$J$18+IF(parametros_manuales!$H$20="Todos",datos_base!$J$9+datos_base!$J$23,0))*parametros_manuales!$L$95+parametros_manuales!$E$20*(datos_base!$J$3+datos_base!$J$19+IF(parametros_manuales!$H$20="Todos",datos_base!$J$10+datos_base!$J$24,0))*parametros_manuales!$L$100+parametros_manuales!$F$20*(datos_base!$J$4+datos_base!$J$20+IF(parametros_manuales!$H$20="Todos",datos_base!$J$11+datos_base!$J$25,0))*parametros_manuales!$L$105+parametros_manuales!$G$20*(datos_base!$J$5+datos_base!$J$21+IF(parametros_manuales!$H$20="Todos",datos_base!$J$12+datos_base!$J$26,0))*parametros_manuales!$L$110)*parametros_manuales!$I$20*parametros_manuales!$J$20</f>
        <v>6376.71427623</v>
      </c>
      <c r="M219" s="9" t="n">
        <f aca="false">(parametros_manuales!$D$20*(datos_base!$J$2+datos_base!$J$18+IF(parametros_manuales!$H$20="Todos",datos_base!$J$9+datos_base!$J$23,0))*parametros_manuales!$M$95+parametros_manuales!$E$20*(datos_base!$J$3+datos_base!$J$19+IF(parametros_manuales!$H$20="Todos",datos_base!$J$10+datos_base!$J$24,0))*parametros_manuales!$M$100+parametros_manuales!$F$20*(datos_base!$J$4+datos_base!$J$20+IF(parametros_manuales!$H$20="Todos",datos_base!$J$11+datos_base!$J$25,0))*parametros_manuales!$M$105+parametros_manuales!$G$20*(datos_base!$J$5+datos_base!$J$21+IF(parametros_manuales!$H$20="Todos",datos_base!$J$12+datos_base!$J$26,0))*parametros_manuales!$M$110)*parametros_manuales!$I$20*parametros_manuales!$J$20</f>
        <v>6376.71427623</v>
      </c>
      <c r="N219" s="9" t="n">
        <f aca="false">SUM(B219:M219)</f>
        <v>70852.380847</v>
      </c>
      <c r="O219" s="9" t="n">
        <f aca="false">MAX(B219:M219)</f>
        <v>6376.71427623</v>
      </c>
      <c r="P219" s="43" t="n">
        <f aca="false">O219/(parametros_manuales!$B$7)</f>
        <v>42.5114285082</v>
      </c>
      <c r="Q219" s="8" t="str">
        <f aca="false">IF(O219=0,"-",INDEX($B$217:$M$217,MATCH(O219,B219:M219,0)))</f>
        <v>Ene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datos_base!$J$2+datos_base!$J$18+IF(parametros_manuales!$H$21="Todos",datos_base!$J$9+datos_base!$J$23,0))*parametros_manuales!$B$95+parametros_manuales!$E$21*(datos_base!$J$3+datos_base!$J$19+IF(parametros_manuales!$H$21="Todos",datos_base!$J$10+datos_base!$J$24,0))*parametros_manuales!$B$100+parametros_manuales!$F$21*(datos_base!$J$4+datos_base!$J$20+IF(parametros_manuales!$H$21="Todos",datos_base!$J$11+datos_base!$J$25,0))*parametros_manuales!$B$105+parametros_manuales!$G$21*(datos_base!$J$5+datos_base!$J$21+IF(parametros_manuales!$H$21="Todos",datos_base!$J$12+datos_base!$J$26,0))*parametros_manuales!$B$110)*parametros_manuales!$I$21*parametros_manuales!$J$21</f>
        <v>15785.3822526</v>
      </c>
      <c r="C220" s="9" t="n">
        <f aca="false">(parametros_manuales!$D$21*(datos_base!$J$2+datos_base!$J$18+IF(parametros_manuales!$H$21="Todos",datos_base!$J$9+datos_base!$J$23,0))*parametros_manuales!$C$95+parametros_manuales!$E$21*(datos_base!$J$3+datos_base!$J$19+IF(parametros_manuales!$H$21="Todos",datos_base!$J$10+datos_base!$J$24,0))*parametros_manuales!$C$100+parametros_manuales!$F$21*(datos_base!$J$4+datos_base!$J$20+IF(parametros_manuales!$H$21="Todos",datos_base!$J$11+datos_base!$J$25,0))*parametros_manuales!$C$105+parametros_manuales!$G$21*(datos_base!$J$5+datos_base!$J$21+IF(parametros_manuales!$H$21="Todos",datos_base!$J$12+datos_base!$J$26,0))*parametros_manuales!$C$110)*parametros_manuales!$I$21*parametros_manuales!$J$21</f>
        <v>15785.3822526</v>
      </c>
      <c r="D220" s="9" t="n">
        <f aca="false">(parametros_manuales!$D$21*(datos_base!$J$2+datos_base!$J$18+IF(parametros_manuales!$H$21="Todos",datos_base!$J$9+datos_base!$J$23,0))*parametros_manuales!$D$95+parametros_manuales!$E$21*(datos_base!$J$3+datos_base!$J$19+IF(parametros_manuales!$H$21="Todos",datos_base!$J$10+datos_base!$J$24,0))*parametros_manuales!$D$100+parametros_manuales!$F$21*(datos_base!$J$4+datos_base!$J$20+IF(parametros_manuales!$H$21="Todos",datos_base!$J$11+datos_base!$J$25,0))*parametros_manuales!$D$105+parametros_manuales!$G$21*(datos_base!$J$5+datos_base!$J$21+IF(parametros_manuales!$H$21="Todos",datos_base!$J$12+datos_base!$J$26,0))*parametros_manuales!$D$110)*parametros_manuales!$I$21*parametros_manuales!$J$21</f>
        <v>14031.4508912</v>
      </c>
      <c r="E220" s="9" t="n">
        <f aca="false">(parametros_manuales!$D$21*(datos_base!$J$2+datos_base!$J$18+IF(parametros_manuales!$H$21="Todos",datos_base!$J$9+datos_base!$J$23,0))*parametros_manuales!$E$95+parametros_manuales!$E$21*(datos_base!$J$3+datos_base!$J$19+IF(parametros_manuales!$H$21="Todos",datos_base!$J$10+datos_base!$J$24,0))*parametros_manuales!$E$100+parametros_manuales!$F$21*(datos_base!$J$4+datos_base!$J$20+IF(parametros_manuales!$H$21="Todos",datos_base!$J$11+datos_base!$J$25,0))*parametros_manuales!$E$105+parametros_manuales!$G$21*(datos_base!$J$5+datos_base!$J$21+IF(parametros_manuales!$H$21="Todos",datos_base!$J$12+datos_base!$J$26,0))*parametros_manuales!$E$110)*parametros_manuales!$I$21*parametros_manuales!$J$21</f>
        <v>13154.4852105</v>
      </c>
      <c r="F220" s="9" t="n">
        <f aca="false">(parametros_manuales!$D$21*(datos_base!$J$2+datos_base!$J$18+IF(parametros_manuales!$H$21="Todos",datos_base!$J$9+datos_base!$J$23,0))*parametros_manuales!$F$95+parametros_manuales!$E$21*(datos_base!$J$3+datos_base!$J$19+IF(parametros_manuales!$H$21="Todos",datos_base!$J$10+datos_base!$J$24,0))*parametros_manuales!$F$100+parametros_manuales!$F$21*(datos_base!$J$4+datos_base!$J$20+IF(parametros_manuales!$H$21="Todos",datos_base!$J$11+datos_base!$J$25,0))*parametros_manuales!$F$105+parametros_manuales!$G$21*(datos_base!$J$5+datos_base!$J$21+IF(parametros_manuales!$H$21="Todos",datos_base!$J$12+datos_base!$J$26,0))*parametros_manuales!$F$110)*parametros_manuales!$I$21*parametros_manuales!$J$21</f>
        <v>12277.5195298</v>
      </c>
      <c r="G220" s="9" t="n">
        <f aca="false">(parametros_manuales!$D$21*(datos_base!$J$2+datos_base!$J$18+IF(parametros_manuales!$H$21="Todos",datos_base!$J$9+datos_base!$J$23,0))*parametros_manuales!$G$95+parametros_manuales!$E$21*(datos_base!$J$3+datos_base!$J$19+IF(parametros_manuales!$H$21="Todos",datos_base!$J$10+datos_base!$J$24,0))*parametros_manuales!$G$100+parametros_manuales!$F$21*(datos_base!$J$4+datos_base!$J$20+IF(parametros_manuales!$H$21="Todos",datos_base!$J$11+datos_base!$J$25,0))*parametros_manuales!$G$105+parametros_manuales!$G$21*(datos_base!$J$5+datos_base!$J$21+IF(parametros_manuales!$H$21="Todos",datos_base!$J$12+datos_base!$J$26,0))*parametros_manuales!$G$110)*parametros_manuales!$I$21*parametros_manuales!$J$21</f>
        <v>12277.5195298</v>
      </c>
      <c r="H220" s="9" t="n">
        <f aca="false">(parametros_manuales!$D$21*(datos_base!$J$2+datos_base!$J$18+IF(parametros_manuales!$H$21="Todos",datos_base!$J$9+datos_base!$J$23,0))*parametros_manuales!$H$95+parametros_manuales!$E$21*(datos_base!$J$3+datos_base!$J$19+IF(parametros_manuales!$H$21="Todos",datos_base!$J$10+datos_base!$J$24,0))*parametros_manuales!$H$100+parametros_manuales!$F$21*(datos_base!$J$4+datos_base!$J$20+IF(parametros_manuales!$H$21="Todos",datos_base!$J$11+datos_base!$J$25,0))*parametros_manuales!$H$105+parametros_manuales!$G$21*(datos_base!$J$5+datos_base!$J$21+IF(parametros_manuales!$H$21="Todos",datos_base!$J$12+datos_base!$J$26,0))*parametros_manuales!$H$110)*parametros_manuales!$I$21*parametros_manuales!$J$21</f>
        <v>13154.4852105</v>
      </c>
      <c r="I220" s="9" t="n">
        <f aca="false">(parametros_manuales!$D$21*(datos_base!$J$2+datos_base!$J$18+IF(parametros_manuales!$H$21="Todos",datos_base!$J$9+datos_base!$J$23,0))*parametros_manuales!$I$95+parametros_manuales!$E$21*(datos_base!$J$3+datos_base!$J$19+IF(parametros_manuales!$H$21="Todos",datos_base!$J$10+datos_base!$J$24,0))*parametros_manuales!$I$100+parametros_manuales!$F$21*(datos_base!$J$4+datos_base!$J$20+IF(parametros_manuales!$H$21="Todos",datos_base!$J$11+datos_base!$J$25,0))*parametros_manuales!$I$105+parametros_manuales!$G$21*(datos_base!$J$5+datos_base!$J$21+IF(parametros_manuales!$H$21="Todos",datos_base!$J$12+datos_base!$J$26,0))*parametros_manuales!$I$110)*parametros_manuales!$I$21*parametros_manuales!$J$21</f>
        <v>15785.3822526</v>
      </c>
      <c r="J220" s="9" t="n">
        <f aca="false">(parametros_manuales!$D$21*(datos_base!$J$2+datos_base!$J$18+IF(parametros_manuales!$H$21="Todos",datos_base!$J$9+datos_base!$J$23,0))*parametros_manuales!$J$95+parametros_manuales!$E$21*(datos_base!$J$3+datos_base!$J$19+IF(parametros_manuales!$H$21="Todos",datos_base!$J$10+datos_base!$J$24,0))*parametros_manuales!$J$100+parametros_manuales!$F$21*(datos_base!$J$4+datos_base!$J$20+IF(parametros_manuales!$H$21="Todos",datos_base!$J$11+datos_base!$J$25,0))*parametros_manuales!$J$105+parametros_manuales!$G$21*(datos_base!$J$5+datos_base!$J$21+IF(parametros_manuales!$H$21="Todos",datos_base!$J$12+datos_base!$J$26,0))*parametros_manuales!$J$110)*parametros_manuales!$I$21*parametros_manuales!$J$21</f>
        <v>15785.3822526</v>
      </c>
      <c r="K220" s="9" t="n">
        <f aca="false">(parametros_manuales!$D$21*(datos_base!$J$2+datos_base!$J$18+IF(parametros_manuales!$H$21="Todos",datos_base!$J$9+datos_base!$J$23,0))*parametros_manuales!$K$95+parametros_manuales!$E$21*(datos_base!$J$3+datos_base!$J$19+IF(parametros_manuales!$H$21="Todos",datos_base!$J$10+datos_base!$J$24,0))*parametros_manuales!$K$100+parametros_manuales!$F$21*(datos_base!$J$4+datos_base!$J$20+IF(parametros_manuales!$H$21="Todos",datos_base!$J$11+datos_base!$J$25,0))*parametros_manuales!$K$105+parametros_manuales!$G$21*(datos_base!$J$5+datos_base!$J$21+IF(parametros_manuales!$H$21="Todos",datos_base!$J$12+datos_base!$J$26,0))*parametros_manuales!$K$110)*parametros_manuales!$I$21*parametros_manuales!$J$21</f>
        <v>15785.3822526</v>
      </c>
      <c r="L220" s="9" t="n">
        <f aca="false">(parametros_manuales!$D$21*(datos_base!$J$2+datos_base!$J$18+IF(parametros_manuales!$H$21="Todos",datos_base!$J$9+datos_base!$J$23,0))*parametros_manuales!$L$95+parametros_manuales!$E$21*(datos_base!$J$3+datos_base!$J$19+IF(parametros_manuales!$H$21="Todos",datos_base!$J$10+datos_base!$J$24,0))*parametros_manuales!$L$100+parametros_manuales!$F$21*(datos_base!$J$4+datos_base!$J$20+IF(parametros_manuales!$H$21="Todos",datos_base!$J$11+datos_base!$J$25,0))*parametros_manuales!$L$105+parametros_manuales!$G$21*(datos_base!$J$5+datos_base!$J$21+IF(parametros_manuales!$H$21="Todos",datos_base!$J$12+datos_base!$J$26,0))*parametros_manuales!$L$110)*parametros_manuales!$I$21*parametros_manuales!$J$21</f>
        <v>15785.3822526</v>
      </c>
      <c r="M220" s="9" t="n">
        <f aca="false">(parametros_manuales!$D$21*(datos_base!$J$2+datos_base!$J$18+IF(parametros_manuales!$H$21="Todos",datos_base!$J$9+datos_base!$J$23,0))*parametros_manuales!$M$95+parametros_manuales!$E$21*(datos_base!$J$3+datos_base!$J$19+IF(parametros_manuales!$H$21="Todos",datos_base!$J$10+datos_base!$J$24,0))*parametros_manuales!$M$100+parametros_manuales!$F$21*(datos_base!$J$4+datos_base!$J$20+IF(parametros_manuales!$H$21="Todos",datos_base!$J$11+datos_base!$J$25,0))*parametros_manuales!$M$105+parametros_manuales!$G$21*(datos_base!$J$5+datos_base!$J$21+IF(parametros_manuales!$H$21="Todos",datos_base!$J$12+datos_base!$J$26,0))*parametros_manuales!$M$110)*parametros_manuales!$I$21*parametros_manuales!$J$21</f>
        <v>15785.3822526</v>
      </c>
      <c r="N220" s="9" t="n">
        <f aca="false">SUM(B220:M220)</f>
        <v>175393.13614</v>
      </c>
      <c r="O220" s="9" t="n">
        <f aca="false">MAX(B220:M220)</f>
        <v>15785.3822526</v>
      </c>
      <c r="P220" s="43" t="n">
        <f aca="false">O220/(parametros_manuales!$B$7)</f>
        <v>105.235881684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datos_base!$J$2+datos_base!$J$18+IF(parametros_manuales!$H$22="Todos",datos_base!$J$9+datos_base!$J$23,0))*parametros_manuales!$B$95+parametros_manuales!$E$22*(datos_base!$J$3+datos_base!$J$19+IF(parametros_manuales!$H$22="Todos",datos_base!$J$10+datos_base!$J$24,0))*parametros_manuales!$B$100+parametros_manuales!$F$22*(datos_base!$J$4+datos_base!$J$20+IF(parametros_manuales!$H$22="Todos",datos_base!$J$11+datos_base!$J$25,0))*parametros_manuales!$B$105+parametros_manuales!$G$22*(datos_base!$J$5+datos_base!$J$21+IF(parametros_manuales!$H$22="Todos",datos_base!$J$12+datos_base!$J$26,0))*parametros_manuales!$B$110)*parametros_manuales!$I$22*parametros_manuales!$J$22</f>
        <v>44324.19305766</v>
      </c>
      <c r="C221" s="9" t="n">
        <f aca="false">(parametros_manuales!$D$22*(datos_base!$J$2+datos_base!$J$18+IF(parametros_manuales!$H$22="Todos",datos_base!$J$9+datos_base!$J$23,0))*parametros_manuales!$C$95+parametros_manuales!$E$22*(datos_base!$J$3+datos_base!$J$19+IF(parametros_manuales!$H$22="Todos",datos_base!$J$10+datos_base!$J$24,0))*parametros_manuales!$C$100+parametros_manuales!$F$22*(datos_base!$J$4+datos_base!$J$20+IF(parametros_manuales!$H$22="Todos",datos_base!$J$11+datos_base!$J$25,0))*parametros_manuales!$C$105+parametros_manuales!$G$22*(datos_base!$J$5+datos_base!$J$21+IF(parametros_manuales!$H$22="Todos",datos_base!$J$12+datos_base!$J$26,0))*parametros_manuales!$C$110)*parametros_manuales!$I$22*parametros_manuales!$J$22</f>
        <v>42907.14544072</v>
      </c>
      <c r="D221" s="9" t="n">
        <f aca="false">(parametros_manuales!$D$22*(datos_base!$J$2+datos_base!$J$18+IF(parametros_manuales!$H$22="Todos",datos_base!$J$9+datos_base!$J$23,0))*parametros_manuales!$D$95+parametros_manuales!$E$22*(datos_base!$J$3+datos_base!$J$19+IF(parametros_manuales!$H$22="Todos",datos_base!$J$10+datos_base!$J$24,0))*parametros_manuales!$D$100+parametros_manuales!$F$22*(datos_base!$J$4+datos_base!$J$20+IF(parametros_manuales!$H$22="Todos",datos_base!$J$11+datos_base!$J$25,0))*parametros_manuales!$D$105+parametros_manuales!$G$22*(datos_base!$J$5+datos_base!$J$21+IF(parametros_manuales!$H$22="Todos",datos_base!$J$12+datos_base!$J$26,0))*parametros_manuales!$D$110)*parametros_manuales!$I$22*parametros_manuales!$J$22</f>
        <v>40107.80652639</v>
      </c>
      <c r="E221" s="9" t="n">
        <f aca="false">(parametros_manuales!$D$22*(datos_base!$J$2+datos_base!$J$18+IF(parametros_manuales!$H$22="Todos",datos_base!$J$9+datos_base!$J$23,0))*parametros_manuales!$E$95+parametros_manuales!$E$22*(datos_base!$J$3+datos_base!$J$19+IF(parametros_manuales!$H$22="Todos",datos_base!$J$10+datos_base!$J$24,0))*parametros_manuales!$E$100+parametros_manuales!$F$22*(datos_base!$J$4+datos_base!$J$20+IF(parametros_manuales!$H$22="Todos",datos_base!$J$11+datos_base!$J$25,0))*parametros_manuales!$E$105+parametros_manuales!$G$22*(datos_base!$J$5+datos_base!$J$21+IF(parametros_manuales!$H$22="Todos",datos_base!$J$12+datos_base!$J$26,0))*parametros_manuales!$E$110)*parametros_manuales!$I$22*parametros_manuales!$J$22</f>
        <v>38353.87516499</v>
      </c>
      <c r="F221" s="9" t="n">
        <f aca="false">(parametros_manuales!$D$22*(datos_base!$J$2+datos_base!$J$18+IF(parametros_manuales!$H$22="Todos",datos_base!$J$9+datos_base!$J$23,0))*parametros_manuales!$F$95+parametros_manuales!$E$22*(datos_base!$J$3+datos_base!$J$19+IF(parametros_manuales!$H$22="Todos",datos_base!$J$10+datos_base!$J$24,0))*parametros_manuales!$F$100+parametros_manuales!$F$22*(datos_base!$J$4+datos_base!$J$20+IF(parametros_manuales!$H$22="Todos",datos_base!$J$11+datos_base!$J$25,0))*parametros_manuales!$F$105+parametros_manuales!$G$22*(datos_base!$J$5+datos_base!$J$21+IF(parametros_manuales!$H$22="Todos",datos_base!$J$12+datos_base!$J$26,0))*parametros_manuales!$F$110)*parametros_manuales!$I$22*parametros_manuales!$J$22</f>
        <v>35891.41999512</v>
      </c>
      <c r="G221" s="9" t="n">
        <f aca="false">(parametros_manuales!$D$22*(datos_base!$J$2+datos_base!$J$18+IF(parametros_manuales!$H$22="Todos",datos_base!$J$9+datos_base!$J$23,0))*parametros_manuales!$G$95+parametros_manuales!$E$22*(datos_base!$J$3+datos_base!$J$19+IF(parametros_manuales!$H$22="Todos",datos_base!$J$10+datos_base!$J$24,0))*parametros_manuales!$G$100+parametros_manuales!$F$22*(datos_base!$J$4+datos_base!$J$20+IF(parametros_manuales!$H$22="Todos",datos_base!$J$11+datos_base!$J$25,0))*parametros_manuales!$G$105+parametros_manuales!$G$22*(datos_base!$J$5+datos_base!$J$21+IF(parametros_manuales!$H$22="Todos",datos_base!$J$12+datos_base!$J$26,0))*parametros_manuales!$G$110)*parametros_manuales!$I$22*parametros_manuales!$J$22</f>
        <v>35182.89618665</v>
      </c>
      <c r="H221" s="9" t="n">
        <f aca="false">(parametros_manuales!$D$22*(datos_base!$J$2+datos_base!$J$18+IF(parametros_manuales!$H$22="Todos",datos_base!$J$9+datos_base!$J$23,0))*parametros_manuales!$H$95+parametros_manuales!$E$22*(datos_base!$J$3+datos_base!$J$19+IF(parametros_manuales!$H$22="Todos",datos_base!$J$10+datos_base!$J$24,0))*parametros_manuales!$H$100+parametros_manuales!$F$22*(datos_base!$J$4+datos_base!$J$20+IF(parametros_manuales!$H$22="Todos",datos_base!$J$11+datos_base!$J$25,0))*parametros_manuales!$H$105+parametros_manuales!$G$22*(datos_base!$J$5+datos_base!$J$21+IF(parametros_manuales!$H$22="Todos",datos_base!$J$12+datos_base!$J$26,0))*parametros_manuales!$H$110)*parametros_manuales!$I$22*parametros_manuales!$J$22</f>
        <v>37645.35135652</v>
      </c>
      <c r="I221" s="9" t="n">
        <f aca="false">(parametros_manuales!$D$22*(datos_base!$J$2+datos_base!$J$18+IF(parametros_manuales!$H$22="Todos",datos_base!$J$9+datos_base!$J$23,0))*parametros_manuales!$I$95+parametros_manuales!$E$22*(datos_base!$J$3+datos_base!$J$19+IF(parametros_manuales!$H$22="Todos",datos_base!$J$10+datos_base!$J$24,0))*parametros_manuales!$I$100+parametros_manuales!$F$22*(datos_base!$J$4+datos_base!$J$20+IF(parametros_manuales!$H$22="Todos",datos_base!$J$11+datos_base!$J$25,0))*parametros_manuales!$I$105+parametros_manuales!$G$22*(datos_base!$J$5+datos_base!$J$21+IF(parametros_manuales!$H$22="Todos",datos_base!$J$12+datos_base!$J$26,0))*parametros_manuales!$I$110)*parametros_manuales!$I$22*parametros_manuales!$J$22</f>
        <v>42907.14544072</v>
      </c>
      <c r="J221" s="9" t="n">
        <f aca="false">(parametros_manuales!$D$22*(datos_base!$J$2+datos_base!$J$18+IF(parametros_manuales!$H$22="Todos",datos_base!$J$9+datos_base!$J$23,0))*parametros_manuales!$J$95+parametros_manuales!$E$22*(datos_base!$J$3+datos_base!$J$19+IF(parametros_manuales!$H$22="Todos",datos_base!$J$10+datos_base!$J$24,0))*parametros_manuales!$J$100+parametros_manuales!$F$22*(datos_base!$J$4+datos_base!$J$20+IF(parametros_manuales!$H$22="Todos",datos_base!$J$11+datos_base!$J$25,0))*parametros_manuales!$J$105+parametros_manuales!$G$22*(datos_base!$J$5+datos_base!$J$21+IF(parametros_manuales!$H$22="Todos",datos_base!$J$12+datos_base!$J$26,0))*parametros_manuales!$J$110)*parametros_manuales!$I$22*parametros_manuales!$J$22</f>
        <v>42907.14544072</v>
      </c>
      <c r="K221" s="9" t="n">
        <f aca="false">(parametros_manuales!$D$22*(datos_base!$J$2+datos_base!$J$18+IF(parametros_manuales!$H$22="Todos",datos_base!$J$9+datos_base!$J$23,0))*parametros_manuales!$K$95+parametros_manuales!$E$22*(datos_base!$J$3+datos_base!$J$19+IF(parametros_manuales!$H$22="Todos",datos_base!$J$10+datos_base!$J$24,0))*parametros_manuales!$K$100+parametros_manuales!$F$22*(datos_base!$J$4+datos_base!$J$20+IF(parametros_manuales!$H$22="Todos",datos_base!$J$11+datos_base!$J$25,0))*parametros_manuales!$K$105+parametros_manuales!$G$22*(datos_base!$J$5+datos_base!$J$21+IF(parametros_manuales!$H$22="Todos",datos_base!$J$12+datos_base!$J$26,0))*parametros_manuales!$K$110)*parametros_manuales!$I$22*parametros_manuales!$J$22</f>
        <v>43615.66924919</v>
      </c>
      <c r="L221" s="9" t="n">
        <f aca="false">(parametros_manuales!$D$22*(datos_base!$J$2+datos_base!$J$18+IF(parametros_manuales!$H$22="Todos",datos_base!$J$9+datos_base!$J$23,0))*parametros_manuales!$L$95+parametros_manuales!$E$22*(datos_base!$J$3+datos_base!$J$19+IF(parametros_manuales!$H$22="Todos",datos_base!$J$10+datos_base!$J$24,0))*parametros_manuales!$L$100+parametros_manuales!$F$22*(datos_base!$J$4+datos_base!$J$20+IF(parametros_manuales!$H$22="Todos",datos_base!$J$11+datos_base!$J$25,0))*parametros_manuales!$L$105+parametros_manuales!$G$22*(datos_base!$J$5+datos_base!$J$21+IF(parametros_manuales!$H$22="Todos",datos_base!$J$12+datos_base!$J$26,0))*parametros_manuales!$L$110)*parametros_manuales!$I$22*parametros_manuales!$J$22</f>
        <v>44324.19305766</v>
      </c>
      <c r="M221" s="9" t="n">
        <f aca="false">(parametros_manuales!$D$22*(datos_base!$J$2+datos_base!$J$18+IF(parametros_manuales!$H$22="Todos",datos_base!$J$9+datos_base!$J$23,0))*parametros_manuales!$M$95+parametros_manuales!$E$22*(datos_base!$J$3+datos_base!$J$19+IF(parametros_manuales!$H$22="Todos",datos_base!$J$10+datos_base!$J$24,0))*parametros_manuales!$M$100+parametros_manuales!$F$22*(datos_base!$J$4+datos_base!$J$20+IF(parametros_manuales!$H$22="Todos",datos_base!$J$11+datos_base!$J$25,0))*parametros_manuales!$M$105+parametros_manuales!$G$22*(datos_base!$J$5+datos_base!$J$21+IF(parametros_manuales!$H$22="Todos",datos_base!$J$12+datos_base!$J$26,0))*parametros_manuales!$M$110)*parametros_manuales!$I$22*parametros_manuales!$J$22</f>
        <v>44324.19305766</v>
      </c>
      <c r="N221" s="9" t="n">
        <f aca="false">SUM(B221:M221)</f>
        <v>492491.033974</v>
      </c>
      <c r="O221" s="9" t="n">
        <f aca="false">MAX(B221:M221)</f>
        <v>44324.19305766</v>
      </c>
      <c r="P221" s="43" t="n">
        <f aca="false">O221/(parametros_manuales!$B$7)</f>
        <v>295.4946203844</v>
      </c>
      <c r="Q221" s="8" t="str">
        <f aca="false">IF(O221=0,"-",INDEX($B$217:$M$217,MATCH(O221,B221:M221,0)))</f>
        <v>Ene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datos_base!$J$2+datos_base!$J$18+IF(parametros_manuales!$H$23="Todos",datos_base!$J$9+datos_base!$J$23,0))*parametros_manuales!$B$95+parametros_manuales!$E$23*(datos_base!$J$3+datos_base!$J$19+IF(parametros_manuales!$H$23="Todos",datos_base!$J$10+datos_base!$J$24,0))*parametros_manuales!$B$100+parametros_manuales!$F$23*(datos_base!$J$4+datos_base!$J$20+IF(parametros_manuales!$H$23="Todos",datos_base!$J$11+datos_base!$J$25,0))*parametros_manuales!$B$105+parametros_manuales!$G$23*(datos_base!$J$5+datos_base!$J$21+IF(parametros_manuales!$H$23="Todos",datos_base!$J$12+datos_base!$J$26,0))*parametros_manuales!$B$110)*parametros_manuales!$I$23*parametros_manuales!$J$23</f>
        <v>22162.09652883</v>
      </c>
      <c r="C222" s="9" t="n">
        <f aca="false">(parametros_manuales!$D$23*(datos_base!$J$2+datos_base!$J$18+IF(parametros_manuales!$H$23="Todos",datos_base!$J$9+datos_base!$J$23,0))*parametros_manuales!$C$95+parametros_manuales!$E$23*(datos_base!$J$3+datos_base!$J$19+IF(parametros_manuales!$H$23="Todos",datos_base!$J$10+datos_base!$J$24,0))*parametros_manuales!$C$100+parametros_manuales!$F$23*(datos_base!$J$4+datos_base!$J$20+IF(parametros_manuales!$H$23="Todos",datos_base!$J$11+datos_base!$J$25,0))*parametros_manuales!$C$105+parametros_manuales!$G$23*(datos_base!$J$5+datos_base!$J$21+IF(parametros_manuales!$H$23="Todos",datos_base!$J$12+datos_base!$J$26,0))*parametros_manuales!$C$110)*parametros_manuales!$I$23*parametros_manuales!$J$23</f>
        <v>21453.57272036</v>
      </c>
      <c r="D222" s="9" t="n">
        <f aca="false">(parametros_manuales!$D$23*(datos_base!$J$2+datos_base!$J$18+IF(parametros_manuales!$H$23="Todos",datos_base!$J$9+datos_base!$J$23,0))*parametros_manuales!$D$95+parametros_manuales!$E$23*(datos_base!$J$3+datos_base!$J$19+IF(parametros_manuales!$H$23="Todos",datos_base!$J$10+datos_base!$J$24,0))*parametros_manuales!$D$100+parametros_manuales!$F$23*(datos_base!$J$4+datos_base!$J$20+IF(parametros_manuales!$H$23="Todos",datos_base!$J$11+datos_base!$J$25,0))*parametros_manuales!$D$105+parametros_manuales!$G$23*(datos_base!$J$5+datos_base!$J$21+IF(parametros_manuales!$H$23="Todos",datos_base!$J$12+datos_base!$J$26,0))*parametros_manuales!$D$110)*parametros_manuales!$I$23*parametros_manuales!$J$23</f>
        <v>20053.903263195</v>
      </c>
      <c r="E222" s="9" t="n">
        <f aca="false">(parametros_manuales!$D$23*(datos_base!$J$2+datos_base!$J$18+IF(parametros_manuales!$H$23="Todos",datos_base!$J$9+datos_base!$J$23,0))*parametros_manuales!$E$95+parametros_manuales!$E$23*(datos_base!$J$3+datos_base!$J$19+IF(parametros_manuales!$H$23="Todos",datos_base!$J$10+datos_base!$J$24,0))*parametros_manuales!$E$100+parametros_manuales!$F$23*(datos_base!$J$4+datos_base!$J$20+IF(parametros_manuales!$H$23="Todos",datos_base!$J$11+datos_base!$J$25,0))*parametros_manuales!$E$105+parametros_manuales!$G$23*(datos_base!$J$5+datos_base!$J$21+IF(parametros_manuales!$H$23="Todos",datos_base!$J$12+datos_base!$J$26,0))*parametros_manuales!$E$110)*parametros_manuales!$I$23*parametros_manuales!$J$23</f>
        <v>19176.937582495</v>
      </c>
      <c r="F222" s="9" t="n">
        <f aca="false">(parametros_manuales!$D$23*(datos_base!$J$2+datos_base!$J$18+IF(parametros_manuales!$H$23="Todos",datos_base!$J$9+datos_base!$J$23,0))*parametros_manuales!$F$95+parametros_manuales!$E$23*(datos_base!$J$3+datos_base!$J$19+IF(parametros_manuales!$H$23="Todos",datos_base!$J$10+datos_base!$J$24,0))*parametros_manuales!$F$100+parametros_manuales!$F$23*(datos_base!$J$4+datos_base!$J$20+IF(parametros_manuales!$H$23="Todos",datos_base!$J$11+datos_base!$J$25,0))*parametros_manuales!$F$105+parametros_manuales!$G$23*(datos_base!$J$5+datos_base!$J$21+IF(parametros_manuales!$H$23="Todos",datos_base!$J$12+datos_base!$J$26,0))*parametros_manuales!$F$110)*parametros_manuales!$I$23*parametros_manuales!$J$23</f>
        <v>17945.70999756</v>
      </c>
      <c r="G222" s="9" t="n">
        <f aca="false">(parametros_manuales!$D$23*(datos_base!$J$2+datos_base!$J$18+IF(parametros_manuales!$H$23="Todos",datos_base!$J$9+datos_base!$J$23,0))*parametros_manuales!$G$95+parametros_manuales!$E$23*(datos_base!$J$3+datos_base!$J$19+IF(parametros_manuales!$H$23="Todos",datos_base!$J$10+datos_base!$J$24,0))*parametros_manuales!$G$100+parametros_manuales!$F$23*(datos_base!$J$4+datos_base!$J$20+IF(parametros_manuales!$H$23="Todos",datos_base!$J$11+datos_base!$J$25,0))*parametros_manuales!$G$105+parametros_manuales!$G$23*(datos_base!$J$5+datos_base!$J$21+IF(parametros_manuales!$H$23="Todos",datos_base!$J$12+datos_base!$J$26,0))*parametros_manuales!$G$110)*parametros_manuales!$I$23*parametros_manuales!$J$23</f>
        <v>17591.448093325</v>
      </c>
      <c r="H222" s="9" t="n">
        <f aca="false">(parametros_manuales!$D$23*(datos_base!$J$2+datos_base!$J$18+IF(parametros_manuales!$H$23="Todos",datos_base!$J$9+datos_base!$J$23,0))*parametros_manuales!$H$95+parametros_manuales!$E$23*(datos_base!$J$3+datos_base!$J$19+IF(parametros_manuales!$H$23="Todos",datos_base!$J$10+datos_base!$J$24,0))*parametros_manuales!$H$100+parametros_manuales!$F$23*(datos_base!$J$4+datos_base!$J$20+IF(parametros_manuales!$H$23="Todos",datos_base!$J$11+datos_base!$J$25,0))*parametros_manuales!$H$105+parametros_manuales!$G$23*(datos_base!$J$5+datos_base!$J$21+IF(parametros_manuales!$H$23="Todos",datos_base!$J$12+datos_base!$J$26,0))*parametros_manuales!$H$110)*parametros_manuales!$I$23*parametros_manuales!$J$23</f>
        <v>18822.67567826</v>
      </c>
      <c r="I222" s="9" t="n">
        <f aca="false">(parametros_manuales!$D$23*(datos_base!$J$2+datos_base!$J$18+IF(parametros_manuales!$H$23="Todos",datos_base!$J$9+datos_base!$J$23,0))*parametros_manuales!$I$95+parametros_manuales!$E$23*(datos_base!$J$3+datos_base!$J$19+IF(parametros_manuales!$H$23="Todos",datos_base!$J$10+datos_base!$J$24,0))*parametros_manuales!$I$100+parametros_manuales!$F$23*(datos_base!$J$4+datos_base!$J$20+IF(parametros_manuales!$H$23="Todos",datos_base!$J$11+datos_base!$J$25,0))*parametros_manuales!$I$105+parametros_manuales!$G$23*(datos_base!$J$5+datos_base!$J$21+IF(parametros_manuales!$H$23="Todos",datos_base!$J$12+datos_base!$J$26,0))*parametros_manuales!$I$110)*parametros_manuales!$I$23*parametros_manuales!$J$23</f>
        <v>21453.57272036</v>
      </c>
      <c r="J222" s="9" t="n">
        <f aca="false">(parametros_manuales!$D$23*(datos_base!$J$2+datos_base!$J$18+IF(parametros_manuales!$H$23="Todos",datos_base!$J$9+datos_base!$J$23,0))*parametros_manuales!$J$95+parametros_manuales!$E$23*(datos_base!$J$3+datos_base!$J$19+IF(parametros_manuales!$H$23="Todos",datos_base!$J$10+datos_base!$J$24,0))*parametros_manuales!$J$100+parametros_manuales!$F$23*(datos_base!$J$4+datos_base!$J$20+IF(parametros_manuales!$H$23="Todos",datos_base!$J$11+datos_base!$J$25,0))*parametros_manuales!$J$105+parametros_manuales!$G$23*(datos_base!$J$5+datos_base!$J$21+IF(parametros_manuales!$H$23="Todos",datos_base!$J$12+datos_base!$J$26,0))*parametros_manuales!$J$110)*parametros_manuales!$I$23*parametros_manuales!$J$23</f>
        <v>21453.57272036</v>
      </c>
      <c r="K222" s="9" t="n">
        <f aca="false">(parametros_manuales!$D$23*(datos_base!$J$2+datos_base!$J$18+IF(parametros_manuales!$H$23="Todos",datos_base!$J$9+datos_base!$J$23,0))*parametros_manuales!$K$95+parametros_manuales!$E$23*(datos_base!$J$3+datos_base!$J$19+IF(parametros_manuales!$H$23="Todos",datos_base!$J$10+datos_base!$J$24,0))*parametros_manuales!$K$100+parametros_manuales!$F$23*(datos_base!$J$4+datos_base!$J$20+IF(parametros_manuales!$H$23="Todos",datos_base!$J$11+datos_base!$J$25,0))*parametros_manuales!$K$105+parametros_manuales!$G$23*(datos_base!$J$5+datos_base!$J$21+IF(parametros_manuales!$H$23="Todos",datos_base!$J$12+datos_base!$J$26,0))*parametros_manuales!$K$110)*parametros_manuales!$I$23*parametros_manuales!$J$23</f>
        <v>21807.834624595</v>
      </c>
      <c r="L222" s="9" t="n">
        <f aca="false">(parametros_manuales!$D$23*(datos_base!$J$2+datos_base!$J$18+IF(parametros_manuales!$H$23="Todos",datos_base!$J$9+datos_base!$J$23,0))*parametros_manuales!$L$95+parametros_manuales!$E$23*(datos_base!$J$3+datos_base!$J$19+IF(parametros_manuales!$H$23="Todos",datos_base!$J$10+datos_base!$J$24,0))*parametros_manuales!$L$100+parametros_manuales!$F$23*(datos_base!$J$4+datos_base!$J$20+IF(parametros_manuales!$H$23="Todos",datos_base!$J$11+datos_base!$J$25,0))*parametros_manuales!$L$105+parametros_manuales!$G$23*(datos_base!$J$5+datos_base!$J$21+IF(parametros_manuales!$H$23="Todos",datos_base!$J$12+datos_base!$J$26,0))*parametros_manuales!$L$110)*parametros_manuales!$I$23*parametros_manuales!$J$23</f>
        <v>22162.09652883</v>
      </c>
      <c r="M222" s="9" t="n">
        <f aca="false">(parametros_manuales!$D$23*(datos_base!$J$2+datos_base!$J$18+IF(parametros_manuales!$H$23="Todos",datos_base!$J$9+datos_base!$J$23,0))*parametros_manuales!$M$95+parametros_manuales!$E$23*(datos_base!$J$3+datos_base!$J$19+IF(parametros_manuales!$H$23="Todos",datos_base!$J$10+datos_base!$J$24,0))*parametros_manuales!$M$100+parametros_manuales!$F$23*(datos_base!$J$4+datos_base!$J$20+IF(parametros_manuales!$H$23="Todos",datos_base!$J$11+datos_base!$J$25,0))*parametros_manuales!$M$105+parametros_manuales!$G$23*(datos_base!$J$5+datos_base!$J$21+IF(parametros_manuales!$H$23="Todos",datos_base!$J$12+datos_base!$J$26,0))*parametros_manuales!$M$110)*parametros_manuales!$I$23*parametros_manuales!$J$23</f>
        <v>22162.09652883</v>
      </c>
      <c r="N222" s="9" t="n">
        <f aca="false">SUM(B222:M222)</f>
        <v>246245.516987</v>
      </c>
      <c r="O222" s="9" t="n">
        <f aca="false">MAX(B222:M222)</f>
        <v>22162.09652883</v>
      </c>
      <c r="P222" s="43" t="n">
        <f aca="false">O222/(parametros_manuales!$B$7)</f>
        <v>147.7473101922</v>
      </c>
      <c r="Q222" s="8" t="str">
        <f aca="false">IF(O222=0,"-",INDEX($B$217:$M$217,MATCH(O222,B222:M222,0)))</f>
        <v>Ene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datos_base!$J$2+datos_base!$J$18+IF(parametros_manuales!$H$24="Todos",datos_base!$J$9+datos_base!$J$23,0))*parametros_manuales!$B$95+parametros_manuales!$E$24*(datos_base!$J$3+datos_base!$J$19+IF(parametros_manuales!$H$24="Todos",datos_base!$J$10+datos_base!$J$24,0))*parametros_manuales!$B$100+parametros_manuales!$F$24*(datos_base!$J$4+datos_base!$J$20+IF(parametros_manuales!$H$24="Todos",datos_base!$J$11+datos_base!$J$25,0))*parametros_manuales!$B$105+parametros_manuales!$G$24*(datos_base!$J$5+datos_base!$J$21+IF(parametros_manuales!$H$24="Todos",datos_base!$J$12+datos_base!$J$26,0))*parametros_manuales!$B$110)*parametros_manuales!$I$24*parametros_manuales!$J$24</f>
        <v>22162.09652883</v>
      </c>
      <c r="C223" s="9" t="n">
        <f aca="false">(parametros_manuales!$D$24*(datos_base!$J$2+datos_base!$J$18+IF(parametros_manuales!$H$24="Todos",datos_base!$J$9+datos_base!$J$23,0))*parametros_manuales!$C$95+parametros_manuales!$E$24*(datos_base!$J$3+datos_base!$J$19+IF(parametros_manuales!$H$24="Todos",datos_base!$J$10+datos_base!$J$24,0))*parametros_manuales!$C$100+parametros_manuales!$F$24*(datos_base!$J$4+datos_base!$J$20+IF(parametros_manuales!$H$24="Todos",datos_base!$J$11+datos_base!$J$25,0))*parametros_manuales!$C$105+parametros_manuales!$G$24*(datos_base!$J$5+datos_base!$J$21+IF(parametros_manuales!$H$24="Todos",datos_base!$J$12+datos_base!$J$26,0))*parametros_manuales!$C$110)*parametros_manuales!$I$24*parametros_manuales!$J$24</f>
        <v>21453.57272036</v>
      </c>
      <c r="D223" s="9" t="n">
        <f aca="false">(parametros_manuales!$D$24*(datos_base!$J$2+datos_base!$J$18+IF(parametros_manuales!$H$24="Todos",datos_base!$J$9+datos_base!$J$23,0))*parametros_manuales!$D$95+parametros_manuales!$E$24*(datos_base!$J$3+datos_base!$J$19+IF(parametros_manuales!$H$24="Todos",datos_base!$J$10+datos_base!$J$24,0))*parametros_manuales!$D$100+parametros_manuales!$F$24*(datos_base!$J$4+datos_base!$J$20+IF(parametros_manuales!$H$24="Todos",datos_base!$J$11+datos_base!$J$25,0))*parametros_manuales!$D$105+parametros_manuales!$G$24*(datos_base!$J$5+datos_base!$J$21+IF(parametros_manuales!$H$24="Todos",datos_base!$J$12+datos_base!$J$26,0))*parametros_manuales!$D$110)*parametros_manuales!$I$24*parametros_manuales!$J$24</f>
        <v>20053.903263195</v>
      </c>
      <c r="E223" s="9" t="n">
        <f aca="false">(parametros_manuales!$D$24*(datos_base!$J$2+datos_base!$J$18+IF(parametros_manuales!$H$24="Todos",datos_base!$J$9+datos_base!$J$23,0))*parametros_manuales!$E$95+parametros_manuales!$E$24*(datos_base!$J$3+datos_base!$J$19+IF(parametros_manuales!$H$24="Todos",datos_base!$J$10+datos_base!$J$24,0))*parametros_manuales!$E$100+parametros_manuales!$F$24*(datos_base!$J$4+datos_base!$J$20+IF(parametros_manuales!$H$24="Todos",datos_base!$J$11+datos_base!$J$25,0))*parametros_manuales!$E$105+parametros_manuales!$G$24*(datos_base!$J$5+datos_base!$J$21+IF(parametros_manuales!$H$24="Todos",datos_base!$J$12+datos_base!$J$26,0))*parametros_manuales!$E$110)*parametros_manuales!$I$24*parametros_manuales!$J$24</f>
        <v>19176.937582495</v>
      </c>
      <c r="F223" s="9" t="n">
        <f aca="false">(parametros_manuales!$D$24*(datos_base!$J$2+datos_base!$J$18+IF(parametros_manuales!$H$24="Todos",datos_base!$J$9+datos_base!$J$23,0))*parametros_manuales!$F$95+parametros_manuales!$E$24*(datos_base!$J$3+datos_base!$J$19+IF(parametros_manuales!$H$24="Todos",datos_base!$J$10+datos_base!$J$24,0))*parametros_manuales!$F$100+parametros_manuales!$F$24*(datos_base!$J$4+datos_base!$J$20+IF(parametros_manuales!$H$24="Todos",datos_base!$J$11+datos_base!$J$25,0))*parametros_manuales!$F$105+parametros_manuales!$G$24*(datos_base!$J$5+datos_base!$J$21+IF(parametros_manuales!$H$24="Todos",datos_base!$J$12+datos_base!$J$26,0))*parametros_manuales!$F$110)*parametros_manuales!$I$24*parametros_manuales!$J$24</f>
        <v>17945.70999756</v>
      </c>
      <c r="G223" s="9" t="n">
        <f aca="false">(parametros_manuales!$D$24*(datos_base!$J$2+datos_base!$J$18+IF(parametros_manuales!$H$24="Todos",datos_base!$J$9+datos_base!$J$23,0))*parametros_manuales!$G$95+parametros_manuales!$E$24*(datos_base!$J$3+datos_base!$J$19+IF(parametros_manuales!$H$24="Todos",datos_base!$J$10+datos_base!$J$24,0))*parametros_manuales!$G$100+parametros_manuales!$F$24*(datos_base!$J$4+datos_base!$J$20+IF(parametros_manuales!$H$24="Todos",datos_base!$J$11+datos_base!$J$25,0))*parametros_manuales!$G$105+parametros_manuales!$G$24*(datos_base!$J$5+datos_base!$J$21+IF(parametros_manuales!$H$24="Todos",datos_base!$J$12+datos_base!$J$26,0))*parametros_manuales!$G$110)*parametros_manuales!$I$24*parametros_manuales!$J$24</f>
        <v>17591.448093325</v>
      </c>
      <c r="H223" s="9" t="n">
        <f aca="false">(parametros_manuales!$D$24*(datos_base!$J$2+datos_base!$J$18+IF(parametros_manuales!$H$24="Todos",datos_base!$J$9+datos_base!$J$23,0))*parametros_manuales!$H$95+parametros_manuales!$E$24*(datos_base!$J$3+datos_base!$J$19+IF(parametros_manuales!$H$24="Todos",datos_base!$J$10+datos_base!$J$24,0))*parametros_manuales!$H$100+parametros_manuales!$F$24*(datos_base!$J$4+datos_base!$J$20+IF(parametros_manuales!$H$24="Todos",datos_base!$J$11+datos_base!$J$25,0))*parametros_manuales!$H$105+parametros_manuales!$G$24*(datos_base!$J$5+datos_base!$J$21+IF(parametros_manuales!$H$24="Todos",datos_base!$J$12+datos_base!$J$26,0))*parametros_manuales!$H$110)*parametros_manuales!$I$24*parametros_manuales!$J$24</f>
        <v>18822.67567826</v>
      </c>
      <c r="I223" s="9" t="n">
        <f aca="false">(parametros_manuales!$D$24*(datos_base!$J$2+datos_base!$J$18+IF(parametros_manuales!$H$24="Todos",datos_base!$J$9+datos_base!$J$23,0))*parametros_manuales!$I$95+parametros_manuales!$E$24*(datos_base!$J$3+datos_base!$J$19+IF(parametros_manuales!$H$24="Todos",datos_base!$J$10+datos_base!$J$24,0))*parametros_manuales!$I$100+parametros_manuales!$F$24*(datos_base!$J$4+datos_base!$J$20+IF(parametros_manuales!$H$24="Todos",datos_base!$J$11+datos_base!$J$25,0))*parametros_manuales!$I$105+parametros_manuales!$G$24*(datos_base!$J$5+datos_base!$J$21+IF(parametros_manuales!$H$24="Todos",datos_base!$J$12+datos_base!$J$26,0))*parametros_manuales!$I$110)*parametros_manuales!$I$24*parametros_manuales!$J$24</f>
        <v>21453.57272036</v>
      </c>
      <c r="J223" s="9" t="n">
        <f aca="false">(parametros_manuales!$D$24*(datos_base!$J$2+datos_base!$J$18+IF(parametros_manuales!$H$24="Todos",datos_base!$J$9+datos_base!$J$23,0))*parametros_manuales!$J$95+parametros_manuales!$E$24*(datos_base!$J$3+datos_base!$J$19+IF(parametros_manuales!$H$24="Todos",datos_base!$J$10+datos_base!$J$24,0))*parametros_manuales!$J$100+parametros_manuales!$F$24*(datos_base!$J$4+datos_base!$J$20+IF(parametros_manuales!$H$24="Todos",datos_base!$J$11+datos_base!$J$25,0))*parametros_manuales!$J$105+parametros_manuales!$G$24*(datos_base!$J$5+datos_base!$J$21+IF(parametros_manuales!$H$24="Todos",datos_base!$J$12+datos_base!$J$26,0))*parametros_manuales!$J$110)*parametros_manuales!$I$24*parametros_manuales!$J$24</f>
        <v>21453.57272036</v>
      </c>
      <c r="K223" s="9" t="n">
        <f aca="false">(parametros_manuales!$D$24*(datos_base!$J$2+datos_base!$J$18+IF(parametros_manuales!$H$24="Todos",datos_base!$J$9+datos_base!$J$23,0))*parametros_manuales!$K$95+parametros_manuales!$E$24*(datos_base!$J$3+datos_base!$J$19+IF(parametros_manuales!$H$24="Todos",datos_base!$J$10+datos_base!$J$24,0))*parametros_manuales!$K$100+parametros_manuales!$F$24*(datos_base!$J$4+datos_base!$J$20+IF(parametros_manuales!$H$24="Todos",datos_base!$J$11+datos_base!$J$25,0))*parametros_manuales!$K$105+parametros_manuales!$G$24*(datos_base!$J$5+datos_base!$J$21+IF(parametros_manuales!$H$24="Todos",datos_base!$J$12+datos_base!$J$26,0))*parametros_manuales!$K$110)*parametros_manuales!$I$24*parametros_manuales!$J$24</f>
        <v>21807.834624595</v>
      </c>
      <c r="L223" s="9" t="n">
        <f aca="false">(parametros_manuales!$D$24*(datos_base!$J$2+datos_base!$J$18+IF(parametros_manuales!$H$24="Todos",datos_base!$J$9+datos_base!$J$23,0))*parametros_manuales!$L$95+parametros_manuales!$E$24*(datos_base!$J$3+datos_base!$J$19+IF(parametros_manuales!$H$24="Todos",datos_base!$J$10+datos_base!$J$24,0))*parametros_manuales!$L$100+parametros_manuales!$F$24*(datos_base!$J$4+datos_base!$J$20+IF(parametros_manuales!$H$24="Todos",datos_base!$J$11+datos_base!$J$25,0))*parametros_manuales!$L$105+parametros_manuales!$G$24*(datos_base!$J$5+datos_base!$J$21+IF(parametros_manuales!$H$24="Todos",datos_base!$J$12+datos_base!$J$26,0))*parametros_manuales!$L$110)*parametros_manuales!$I$24*parametros_manuales!$J$24</f>
        <v>22162.09652883</v>
      </c>
      <c r="M223" s="9" t="n">
        <f aca="false">(parametros_manuales!$D$24*(datos_base!$J$2+datos_base!$J$18+IF(parametros_manuales!$H$24="Todos",datos_base!$J$9+datos_base!$J$23,0))*parametros_manuales!$M$95+parametros_manuales!$E$24*(datos_base!$J$3+datos_base!$J$19+IF(parametros_manuales!$H$24="Todos",datos_base!$J$10+datos_base!$J$24,0))*parametros_manuales!$M$100+parametros_manuales!$F$24*(datos_base!$J$4+datos_base!$J$20+IF(parametros_manuales!$H$24="Todos",datos_base!$J$11+datos_base!$J$25,0))*parametros_manuales!$M$105+parametros_manuales!$G$24*(datos_base!$J$5+datos_base!$J$21+IF(parametros_manuales!$H$24="Todos",datos_base!$J$12+datos_base!$J$26,0))*parametros_manuales!$M$110)*parametros_manuales!$I$24*parametros_manuales!$J$24</f>
        <v>22162.09652883</v>
      </c>
      <c r="N223" s="9" t="n">
        <f aca="false">SUM(B223:M223)</f>
        <v>246245.516987</v>
      </c>
      <c r="O223" s="9" t="n">
        <f aca="false">MAX(B223:M223)</f>
        <v>22162.09652883</v>
      </c>
      <c r="P223" s="43" t="n">
        <f aca="false">O223/(parametros_manuales!$B$7)</f>
        <v>147.7473101922</v>
      </c>
      <c r="Q223" s="8" t="str">
        <f aca="false">IF(O223=0,"-",INDEX($B$217:$M$217,MATCH(O223,B223:M223,0)))</f>
        <v>Ene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datos_base!$J$2+datos_base!$J$18+IF(parametros_manuales!$H$25="Todos",datos_base!$J$9+datos_base!$J$23,0))*parametros_manuales!$B$95+parametros_manuales!$E$25*(datos_base!$J$3+datos_base!$J$19+IF(parametros_manuales!$H$25="Todos",datos_base!$J$10+datos_base!$J$24,0))*parametros_manuales!$B$100+parametros_manuales!$F$25*(datos_base!$J$4+datos_base!$J$20+IF(parametros_manuales!$H$25="Todos",datos_base!$J$11+datos_base!$J$25,0))*parametros_manuales!$B$105+parametros_manuales!$G$25*(datos_base!$J$5+datos_base!$J$21+IF(parametros_manuales!$H$25="Todos",datos_base!$J$12+datos_base!$J$26,0))*parametros_manuales!$B$110)*parametros_manuales!$I$25*parametros_manuales!$J$25</f>
        <v>22162.09652883</v>
      </c>
      <c r="C224" s="9" t="n">
        <f aca="false">(parametros_manuales!$D$25*(datos_base!$J$2+datos_base!$J$18+IF(parametros_manuales!$H$25="Todos",datos_base!$J$9+datos_base!$J$23,0))*parametros_manuales!$C$95+parametros_manuales!$E$25*(datos_base!$J$3+datos_base!$J$19+IF(parametros_manuales!$H$25="Todos",datos_base!$J$10+datos_base!$J$24,0))*parametros_manuales!$C$100+parametros_manuales!$F$25*(datos_base!$J$4+datos_base!$J$20+IF(parametros_manuales!$H$25="Todos",datos_base!$J$11+datos_base!$J$25,0))*parametros_manuales!$C$105+parametros_manuales!$G$25*(datos_base!$J$5+datos_base!$J$21+IF(parametros_manuales!$H$25="Todos",datos_base!$J$12+datos_base!$J$26,0))*parametros_manuales!$C$110)*parametros_manuales!$I$25*parametros_manuales!$J$25</f>
        <v>21453.57272036</v>
      </c>
      <c r="D224" s="9" t="n">
        <f aca="false">(parametros_manuales!$D$25*(datos_base!$J$2+datos_base!$J$18+IF(parametros_manuales!$H$25="Todos",datos_base!$J$9+datos_base!$J$23,0))*parametros_manuales!$D$95+parametros_manuales!$E$25*(datos_base!$J$3+datos_base!$J$19+IF(parametros_manuales!$H$25="Todos",datos_base!$J$10+datos_base!$J$24,0))*parametros_manuales!$D$100+parametros_manuales!$F$25*(datos_base!$J$4+datos_base!$J$20+IF(parametros_manuales!$H$25="Todos",datos_base!$J$11+datos_base!$J$25,0))*parametros_manuales!$D$105+parametros_manuales!$G$25*(datos_base!$J$5+datos_base!$J$21+IF(parametros_manuales!$H$25="Todos",datos_base!$J$12+datos_base!$J$26,0))*parametros_manuales!$D$110)*parametros_manuales!$I$25*parametros_manuales!$J$25</f>
        <v>20053.903263195</v>
      </c>
      <c r="E224" s="9" t="n">
        <f aca="false">(parametros_manuales!$D$25*(datos_base!$J$2+datos_base!$J$18+IF(parametros_manuales!$H$25="Todos",datos_base!$J$9+datos_base!$J$23,0))*parametros_manuales!$E$95+parametros_manuales!$E$25*(datos_base!$J$3+datos_base!$J$19+IF(parametros_manuales!$H$25="Todos",datos_base!$J$10+datos_base!$J$24,0))*parametros_manuales!$E$100+parametros_manuales!$F$25*(datos_base!$J$4+datos_base!$J$20+IF(parametros_manuales!$H$25="Todos",datos_base!$J$11+datos_base!$J$25,0))*parametros_manuales!$E$105+parametros_manuales!$G$25*(datos_base!$J$5+datos_base!$J$21+IF(parametros_manuales!$H$25="Todos",datos_base!$J$12+datos_base!$J$26,0))*parametros_manuales!$E$110)*parametros_manuales!$I$25*parametros_manuales!$J$25</f>
        <v>19176.937582495</v>
      </c>
      <c r="F224" s="9" t="n">
        <f aca="false">(parametros_manuales!$D$25*(datos_base!$J$2+datos_base!$J$18+IF(parametros_manuales!$H$25="Todos",datos_base!$J$9+datos_base!$J$23,0))*parametros_manuales!$F$95+parametros_manuales!$E$25*(datos_base!$J$3+datos_base!$J$19+IF(parametros_manuales!$H$25="Todos",datos_base!$J$10+datos_base!$J$24,0))*parametros_manuales!$F$100+parametros_manuales!$F$25*(datos_base!$J$4+datos_base!$J$20+IF(parametros_manuales!$H$25="Todos",datos_base!$J$11+datos_base!$J$25,0))*parametros_manuales!$F$105+parametros_manuales!$G$25*(datos_base!$J$5+datos_base!$J$21+IF(parametros_manuales!$H$25="Todos",datos_base!$J$12+datos_base!$J$26,0))*parametros_manuales!$F$110)*parametros_manuales!$I$25*parametros_manuales!$J$25</f>
        <v>17945.70999756</v>
      </c>
      <c r="G224" s="9" t="n">
        <f aca="false">(parametros_manuales!$D$25*(datos_base!$J$2+datos_base!$J$18+IF(parametros_manuales!$H$25="Todos",datos_base!$J$9+datos_base!$J$23,0))*parametros_manuales!$G$95+parametros_manuales!$E$25*(datos_base!$J$3+datos_base!$J$19+IF(parametros_manuales!$H$25="Todos",datos_base!$J$10+datos_base!$J$24,0))*parametros_manuales!$G$100+parametros_manuales!$F$25*(datos_base!$J$4+datos_base!$J$20+IF(parametros_manuales!$H$25="Todos",datos_base!$J$11+datos_base!$J$25,0))*parametros_manuales!$G$105+parametros_manuales!$G$25*(datos_base!$J$5+datos_base!$J$21+IF(parametros_manuales!$H$25="Todos",datos_base!$J$12+datos_base!$J$26,0))*parametros_manuales!$G$110)*parametros_manuales!$I$25*parametros_manuales!$J$25</f>
        <v>17591.448093325</v>
      </c>
      <c r="H224" s="9" t="n">
        <f aca="false">(parametros_manuales!$D$25*(datos_base!$J$2+datos_base!$J$18+IF(parametros_manuales!$H$25="Todos",datos_base!$J$9+datos_base!$J$23,0))*parametros_manuales!$H$95+parametros_manuales!$E$25*(datos_base!$J$3+datos_base!$J$19+IF(parametros_manuales!$H$25="Todos",datos_base!$J$10+datos_base!$J$24,0))*parametros_manuales!$H$100+parametros_manuales!$F$25*(datos_base!$J$4+datos_base!$J$20+IF(parametros_manuales!$H$25="Todos",datos_base!$J$11+datos_base!$J$25,0))*parametros_manuales!$H$105+parametros_manuales!$G$25*(datos_base!$J$5+datos_base!$J$21+IF(parametros_manuales!$H$25="Todos",datos_base!$J$12+datos_base!$J$26,0))*parametros_manuales!$H$110)*parametros_manuales!$I$25*parametros_manuales!$J$25</f>
        <v>18822.67567826</v>
      </c>
      <c r="I224" s="9" t="n">
        <f aca="false">(parametros_manuales!$D$25*(datos_base!$J$2+datos_base!$J$18+IF(parametros_manuales!$H$25="Todos",datos_base!$J$9+datos_base!$J$23,0))*parametros_manuales!$I$95+parametros_manuales!$E$25*(datos_base!$J$3+datos_base!$J$19+IF(parametros_manuales!$H$25="Todos",datos_base!$J$10+datos_base!$J$24,0))*parametros_manuales!$I$100+parametros_manuales!$F$25*(datos_base!$J$4+datos_base!$J$20+IF(parametros_manuales!$H$25="Todos",datos_base!$J$11+datos_base!$J$25,0))*parametros_manuales!$I$105+parametros_manuales!$G$25*(datos_base!$J$5+datos_base!$J$21+IF(parametros_manuales!$H$25="Todos",datos_base!$J$12+datos_base!$J$26,0))*parametros_manuales!$I$110)*parametros_manuales!$I$25*parametros_manuales!$J$25</f>
        <v>21453.57272036</v>
      </c>
      <c r="J224" s="9" t="n">
        <f aca="false">(parametros_manuales!$D$25*(datos_base!$J$2+datos_base!$J$18+IF(parametros_manuales!$H$25="Todos",datos_base!$J$9+datos_base!$J$23,0))*parametros_manuales!$J$95+parametros_manuales!$E$25*(datos_base!$J$3+datos_base!$J$19+IF(parametros_manuales!$H$25="Todos",datos_base!$J$10+datos_base!$J$24,0))*parametros_manuales!$J$100+parametros_manuales!$F$25*(datos_base!$J$4+datos_base!$J$20+IF(parametros_manuales!$H$25="Todos",datos_base!$J$11+datos_base!$J$25,0))*parametros_manuales!$J$105+parametros_manuales!$G$25*(datos_base!$J$5+datos_base!$J$21+IF(parametros_manuales!$H$25="Todos",datos_base!$J$12+datos_base!$J$26,0))*parametros_manuales!$J$110)*parametros_manuales!$I$25*parametros_manuales!$J$25</f>
        <v>21453.57272036</v>
      </c>
      <c r="K224" s="9" t="n">
        <f aca="false">(parametros_manuales!$D$25*(datos_base!$J$2+datos_base!$J$18+IF(parametros_manuales!$H$25="Todos",datos_base!$J$9+datos_base!$J$23,0))*parametros_manuales!$K$95+parametros_manuales!$E$25*(datos_base!$J$3+datos_base!$J$19+IF(parametros_manuales!$H$25="Todos",datos_base!$J$10+datos_base!$J$24,0))*parametros_manuales!$K$100+parametros_manuales!$F$25*(datos_base!$J$4+datos_base!$J$20+IF(parametros_manuales!$H$25="Todos",datos_base!$J$11+datos_base!$J$25,0))*parametros_manuales!$K$105+parametros_manuales!$G$25*(datos_base!$J$5+datos_base!$J$21+IF(parametros_manuales!$H$25="Todos",datos_base!$J$12+datos_base!$J$26,0))*parametros_manuales!$K$110)*parametros_manuales!$I$25*parametros_manuales!$J$25</f>
        <v>21807.834624595</v>
      </c>
      <c r="L224" s="9" t="n">
        <f aca="false">(parametros_manuales!$D$25*(datos_base!$J$2+datos_base!$J$18+IF(parametros_manuales!$H$25="Todos",datos_base!$J$9+datos_base!$J$23,0))*parametros_manuales!$L$95+parametros_manuales!$E$25*(datos_base!$J$3+datos_base!$J$19+IF(parametros_manuales!$H$25="Todos",datos_base!$J$10+datos_base!$J$24,0))*parametros_manuales!$L$100+parametros_manuales!$F$25*(datos_base!$J$4+datos_base!$J$20+IF(parametros_manuales!$H$25="Todos",datos_base!$J$11+datos_base!$J$25,0))*parametros_manuales!$L$105+parametros_manuales!$G$25*(datos_base!$J$5+datos_base!$J$21+IF(parametros_manuales!$H$25="Todos",datos_base!$J$12+datos_base!$J$26,0))*parametros_manuales!$L$110)*parametros_manuales!$I$25*parametros_manuales!$J$25</f>
        <v>22162.09652883</v>
      </c>
      <c r="M224" s="9" t="n">
        <f aca="false">(parametros_manuales!$D$25*(datos_base!$J$2+datos_base!$J$18+IF(parametros_manuales!$H$25="Todos",datos_base!$J$9+datos_base!$J$23,0))*parametros_manuales!$M$95+parametros_manuales!$E$25*(datos_base!$J$3+datos_base!$J$19+IF(parametros_manuales!$H$25="Todos",datos_base!$J$10+datos_base!$J$24,0))*parametros_manuales!$M$100+parametros_manuales!$F$25*(datos_base!$J$4+datos_base!$J$20+IF(parametros_manuales!$H$25="Todos",datos_base!$J$11+datos_base!$J$25,0))*parametros_manuales!$M$105+parametros_manuales!$G$25*(datos_base!$J$5+datos_base!$J$21+IF(parametros_manuales!$H$25="Todos",datos_base!$J$12+datos_base!$J$26,0))*parametros_manuales!$M$110)*parametros_manuales!$I$25*parametros_manuales!$J$25</f>
        <v>22162.09652883</v>
      </c>
      <c r="N224" s="9" t="n">
        <f aca="false">SUM(B224:M224)</f>
        <v>246245.516987</v>
      </c>
      <c r="O224" s="9" t="n">
        <f aca="false">MAX(B224:M224)</f>
        <v>22162.09652883</v>
      </c>
      <c r="P224" s="43" t="n">
        <f aca="false">O224/(parametros_manuales!$B$7)</f>
        <v>147.7473101922</v>
      </c>
      <c r="Q224" s="8" t="str">
        <f aca="false">IF(O224=0,"-",INDEX($B$217:$M$217,MATCH(O224,B224:M224,0)))</f>
        <v>Ene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datos_base!$J$2+datos_base!$J$18+IF(parametros_manuales!$H$26="Todos",datos_base!$J$9+datos_base!$J$23,0))*parametros_manuales!$B$95+parametros_manuales!$E$26*(datos_base!$J$3+datos_base!$J$19+IF(parametros_manuales!$H$26="Todos",datos_base!$J$10+datos_base!$J$24,0))*parametros_manuales!$B$100+parametros_manuales!$F$26*(datos_base!$J$4+datos_base!$J$20+IF(parametros_manuales!$H$26="Todos",datos_base!$J$11+datos_base!$J$25,0))*parametros_manuales!$B$105+parametros_manuales!$G$26*(datos_base!$J$5+datos_base!$J$21+IF(parametros_manuales!$H$26="Todos",datos_base!$J$12+datos_base!$J$26,0))*parametros_manuales!$B$110)*parametros_manuales!$I$26*parametros_manuales!$J$26</f>
        <v>6376.71427623</v>
      </c>
      <c r="C225" s="9" t="n">
        <f aca="false">(parametros_manuales!$D$26*(datos_base!$J$2+datos_base!$J$18+IF(parametros_manuales!$H$26="Todos",datos_base!$J$9+datos_base!$J$23,0))*parametros_manuales!$C$95+parametros_manuales!$E$26*(datos_base!$J$3+datos_base!$J$19+IF(parametros_manuales!$H$26="Todos",datos_base!$J$10+datos_base!$J$24,0))*parametros_manuales!$C$100+parametros_manuales!$F$26*(datos_base!$J$4+datos_base!$J$20+IF(parametros_manuales!$H$26="Todos",datos_base!$J$11+datos_base!$J$25,0))*parametros_manuales!$C$105+parametros_manuales!$G$26*(datos_base!$J$5+datos_base!$J$21+IF(parametros_manuales!$H$26="Todos",datos_base!$J$12+datos_base!$J$26,0))*parametros_manuales!$C$110)*parametros_manuales!$I$26*parametros_manuales!$J$26</f>
        <v>5668.19046776</v>
      </c>
      <c r="D225" s="9" t="n">
        <f aca="false">(parametros_manuales!$D$26*(datos_base!$J$2+datos_base!$J$18+IF(parametros_manuales!$H$26="Todos",datos_base!$J$9+datos_base!$J$23,0))*parametros_manuales!$D$95+parametros_manuales!$E$26*(datos_base!$J$3+datos_base!$J$19+IF(parametros_manuales!$H$26="Todos",datos_base!$J$10+datos_base!$J$24,0))*parametros_manuales!$D$100+parametros_manuales!$F$26*(datos_base!$J$4+datos_base!$J$20+IF(parametros_manuales!$H$26="Todos",datos_base!$J$11+datos_base!$J$25,0))*parametros_manuales!$D$105+parametros_manuales!$G$26*(datos_base!$J$5+datos_base!$J$21+IF(parametros_manuales!$H$26="Todos",datos_base!$J$12+datos_base!$J$26,0))*parametros_manuales!$D$110)*parametros_manuales!$I$26*parametros_manuales!$J$26</f>
        <v>6022.452371995</v>
      </c>
      <c r="E225" s="9" t="n">
        <f aca="false">(parametros_manuales!$D$26*(datos_base!$J$2+datos_base!$J$18+IF(parametros_manuales!$H$26="Todos",datos_base!$J$9+datos_base!$J$23,0))*parametros_manuales!$E$95+parametros_manuales!$E$26*(datos_base!$J$3+datos_base!$J$19+IF(parametros_manuales!$H$26="Todos",datos_base!$J$10+datos_base!$J$24,0))*parametros_manuales!$E$100+parametros_manuales!$F$26*(datos_base!$J$4+datos_base!$J$20+IF(parametros_manuales!$H$26="Todos",datos_base!$J$11+datos_base!$J$25,0))*parametros_manuales!$E$105+parametros_manuales!$G$26*(datos_base!$J$5+datos_base!$J$21+IF(parametros_manuales!$H$26="Todos",datos_base!$J$12+datos_base!$J$26,0))*parametros_manuales!$E$110)*parametros_manuales!$I$26*parametros_manuales!$J$26</f>
        <v>6022.452371995</v>
      </c>
      <c r="F225" s="9" t="n">
        <f aca="false">(parametros_manuales!$D$26*(datos_base!$J$2+datos_base!$J$18+IF(parametros_manuales!$H$26="Todos",datos_base!$J$9+datos_base!$J$23,0))*parametros_manuales!$F$95+parametros_manuales!$E$26*(datos_base!$J$3+datos_base!$J$19+IF(parametros_manuales!$H$26="Todos",datos_base!$J$10+datos_base!$J$24,0))*parametros_manuales!$F$100+parametros_manuales!$F$26*(datos_base!$J$4+datos_base!$J$20+IF(parametros_manuales!$H$26="Todos",datos_base!$J$11+datos_base!$J$25,0))*parametros_manuales!$F$105+parametros_manuales!$G$26*(datos_base!$J$5+datos_base!$J$21+IF(parametros_manuales!$H$26="Todos",datos_base!$J$12+datos_base!$J$26,0))*parametros_manuales!$F$110)*parametros_manuales!$I$26*parametros_manuales!$J$26</f>
        <v>5668.19046776</v>
      </c>
      <c r="G225" s="9" t="n">
        <f aca="false">(parametros_manuales!$D$26*(datos_base!$J$2+datos_base!$J$18+IF(parametros_manuales!$H$26="Todos",datos_base!$J$9+datos_base!$J$23,0))*parametros_manuales!$G$95+parametros_manuales!$E$26*(datos_base!$J$3+datos_base!$J$19+IF(parametros_manuales!$H$26="Todos",datos_base!$J$10+datos_base!$J$24,0))*parametros_manuales!$G$100+parametros_manuales!$F$26*(datos_base!$J$4+datos_base!$J$20+IF(parametros_manuales!$H$26="Todos",datos_base!$J$11+datos_base!$J$25,0))*parametros_manuales!$G$105+parametros_manuales!$G$26*(datos_base!$J$5+datos_base!$J$21+IF(parametros_manuales!$H$26="Todos",datos_base!$J$12+datos_base!$J$26,0))*parametros_manuales!$G$110)*parametros_manuales!$I$26*parametros_manuales!$J$26</f>
        <v>5313.928563525</v>
      </c>
      <c r="H225" s="9" t="n">
        <f aca="false">(parametros_manuales!$D$26*(datos_base!$J$2+datos_base!$J$18+IF(parametros_manuales!$H$26="Todos",datos_base!$J$9+datos_base!$J$23,0))*parametros_manuales!$H$95+parametros_manuales!$E$26*(datos_base!$J$3+datos_base!$J$19+IF(parametros_manuales!$H$26="Todos",datos_base!$J$10+datos_base!$J$24,0))*parametros_manuales!$H$100+parametros_manuales!$F$26*(datos_base!$J$4+datos_base!$J$20+IF(parametros_manuales!$H$26="Todos",datos_base!$J$11+datos_base!$J$25,0))*parametros_manuales!$H$105+parametros_manuales!$G$26*(datos_base!$J$5+datos_base!$J$21+IF(parametros_manuales!$H$26="Todos",datos_base!$J$12+datos_base!$J$26,0))*parametros_manuales!$H$110)*parametros_manuales!$I$26*parametros_manuales!$J$26</f>
        <v>5668.19046776</v>
      </c>
      <c r="I225" s="9" t="n">
        <f aca="false">(parametros_manuales!$D$26*(datos_base!$J$2+datos_base!$J$18+IF(parametros_manuales!$H$26="Todos",datos_base!$J$9+datos_base!$J$23,0))*parametros_manuales!$I$95+parametros_manuales!$E$26*(datos_base!$J$3+datos_base!$J$19+IF(parametros_manuales!$H$26="Todos",datos_base!$J$10+datos_base!$J$24,0))*parametros_manuales!$I$100+parametros_manuales!$F$26*(datos_base!$J$4+datos_base!$J$20+IF(parametros_manuales!$H$26="Todos",datos_base!$J$11+datos_base!$J$25,0))*parametros_manuales!$I$105+parametros_manuales!$G$26*(datos_base!$J$5+datos_base!$J$21+IF(parametros_manuales!$H$26="Todos",datos_base!$J$12+datos_base!$J$26,0))*parametros_manuales!$I$110)*parametros_manuales!$I$26*parametros_manuales!$J$26</f>
        <v>5668.19046776</v>
      </c>
      <c r="J225" s="9" t="n">
        <f aca="false">(parametros_manuales!$D$26*(datos_base!$J$2+datos_base!$J$18+IF(parametros_manuales!$H$26="Todos",datos_base!$J$9+datos_base!$J$23,0))*parametros_manuales!$J$95+parametros_manuales!$E$26*(datos_base!$J$3+datos_base!$J$19+IF(parametros_manuales!$H$26="Todos",datos_base!$J$10+datos_base!$J$24,0))*parametros_manuales!$J$100+parametros_manuales!$F$26*(datos_base!$J$4+datos_base!$J$20+IF(parametros_manuales!$H$26="Todos",datos_base!$J$11+datos_base!$J$25,0))*parametros_manuales!$J$105+parametros_manuales!$G$26*(datos_base!$J$5+datos_base!$J$21+IF(parametros_manuales!$H$26="Todos",datos_base!$J$12+datos_base!$J$26,0))*parametros_manuales!$J$110)*parametros_manuales!$I$26*parametros_manuales!$J$26</f>
        <v>5668.19046776</v>
      </c>
      <c r="K225" s="9" t="n">
        <f aca="false">(parametros_manuales!$D$26*(datos_base!$J$2+datos_base!$J$18+IF(parametros_manuales!$H$26="Todos",datos_base!$J$9+datos_base!$J$23,0))*parametros_manuales!$K$95+parametros_manuales!$E$26*(datos_base!$J$3+datos_base!$J$19+IF(parametros_manuales!$H$26="Todos",datos_base!$J$10+datos_base!$J$24,0))*parametros_manuales!$K$100+parametros_manuales!$F$26*(datos_base!$J$4+datos_base!$J$20+IF(parametros_manuales!$H$26="Todos",datos_base!$J$11+datos_base!$J$25,0))*parametros_manuales!$K$105+parametros_manuales!$G$26*(datos_base!$J$5+datos_base!$J$21+IF(parametros_manuales!$H$26="Todos",datos_base!$J$12+datos_base!$J$26,0))*parametros_manuales!$K$110)*parametros_manuales!$I$26*parametros_manuales!$J$26</f>
        <v>6022.452371995</v>
      </c>
      <c r="L225" s="9" t="n">
        <f aca="false">(parametros_manuales!$D$26*(datos_base!$J$2+datos_base!$J$18+IF(parametros_manuales!$H$26="Todos",datos_base!$J$9+datos_base!$J$23,0))*parametros_manuales!$L$95+parametros_manuales!$E$26*(datos_base!$J$3+datos_base!$J$19+IF(parametros_manuales!$H$26="Todos",datos_base!$J$10+datos_base!$J$24,0))*parametros_manuales!$L$100+parametros_manuales!$F$26*(datos_base!$J$4+datos_base!$J$20+IF(parametros_manuales!$H$26="Todos",datos_base!$J$11+datos_base!$J$25,0))*parametros_manuales!$L$105+parametros_manuales!$G$26*(datos_base!$J$5+datos_base!$J$21+IF(parametros_manuales!$H$26="Todos",datos_base!$J$12+datos_base!$J$26,0))*parametros_manuales!$L$110)*parametros_manuales!$I$26*parametros_manuales!$J$26</f>
        <v>6376.71427623</v>
      </c>
      <c r="M225" s="9" t="n">
        <f aca="false">(parametros_manuales!$D$26*(datos_base!$J$2+datos_base!$J$18+IF(parametros_manuales!$H$26="Todos",datos_base!$J$9+datos_base!$J$23,0))*parametros_manuales!$M$95+parametros_manuales!$E$26*(datos_base!$J$3+datos_base!$J$19+IF(parametros_manuales!$H$26="Todos",datos_base!$J$10+datos_base!$J$24,0))*parametros_manuales!$M$100+parametros_manuales!$F$26*(datos_base!$J$4+datos_base!$J$20+IF(parametros_manuales!$H$26="Todos",datos_base!$J$11+datos_base!$J$25,0))*parametros_manuales!$M$105+parametros_manuales!$G$26*(datos_base!$J$5+datos_base!$J$21+IF(parametros_manuales!$H$26="Todos",datos_base!$J$12+datos_base!$J$26,0))*parametros_manuales!$M$110)*parametros_manuales!$I$26*parametros_manuales!$J$26</f>
        <v>6376.71427623</v>
      </c>
      <c r="N225" s="9" t="n">
        <f aca="false">SUM(B225:M225)</f>
        <v>70852.380847</v>
      </c>
      <c r="O225" s="9" t="n">
        <f aca="false">MAX(B225:M225)</f>
        <v>6376.71427623</v>
      </c>
      <c r="P225" s="43" t="n">
        <f aca="false">O225/(parametros_manuales!$B$7)</f>
        <v>42.5114285082</v>
      </c>
      <c r="Q225" s="8" t="str">
        <f aca="false">IF(O225=0,"-",INDEX($B$217:$M$217,MATCH(O225,B225:M225,0)))</f>
        <v>Ene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datos_base!$J$2+datos_base!$J$18+IF(parametros_manuales!$H$27="Todos",datos_base!$J$9+datos_base!$J$23,0))*parametros_manuales!$B$95+parametros_manuales!$E$27*(datos_base!$J$3+datos_base!$J$19+IF(parametros_manuales!$H$27="Todos",datos_base!$J$10+datos_base!$J$24,0))*parametros_manuales!$B$100+parametros_manuales!$F$27*(datos_base!$J$4+datos_base!$J$20+IF(parametros_manuales!$H$27="Todos",datos_base!$J$11+datos_base!$J$25,0))*parametros_manuales!$B$105+parametros_manuales!$G$27*(datos_base!$J$5+datos_base!$J$21+IF(parametros_manuales!$H$27="Todos",datos_base!$J$12+datos_base!$J$26,0))*parametros_manuales!$B$110)*parametros_manuales!$I$27*parametros_manuales!$J$27</f>
        <v>6376.71427623</v>
      </c>
      <c r="C226" s="9" t="n">
        <f aca="false">(parametros_manuales!$D$27*(datos_base!$J$2+datos_base!$J$18+IF(parametros_manuales!$H$27="Todos",datos_base!$J$9+datos_base!$J$23,0))*parametros_manuales!$C$95+parametros_manuales!$E$27*(datos_base!$J$3+datos_base!$J$19+IF(parametros_manuales!$H$27="Todos",datos_base!$J$10+datos_base!$J$24,0))*parametros_manuales!$C$100+parametros_manuales!$F$27*(datos_base!$J$4+datos_base!$J$20+IF(parametros_manuales!$H$27="Todos",datos_base!$J$11+datos_base!$J$25,0))*parametros_manuales!$C$105+parametros_manuales!$G$27*(datos_base!$J$5+datos_base!$J$21+IF(parametros_manuales!$H$27="Todos",datos_base!$J$12+datos_base!$J$26,0))*parametros_manuales!$C$110)*parametros_manuales!$I$27*parametros_manuales!$J$27</f>
        <v>5668.19046776</v>
      </c>
      <c r="D226" s="9" t="n">
        <f aca="false">(parametros_manuales!$D$27*(datos_base!$J$2+datos_base!$J$18+IF(parametros_manuales!$H$27="Todos",datos_base!$J$9+datos_base!$J$23,0))*parametros_manuales!$D$95+parametros_manuales!$E$27*(datos_base!$J$3+datos_base!$J$19+IF(parametros_manuales!$H$27="Todos",datos_base!$J$10+datos_base!$J$24,0))*parametros_manuales!$D$100+parametros_manuales!$F$27*(datos_base!$J$4+datos_base!$J$20+IF(parametros_manuales!$H$27="Todos",datos_base!$J$11+datos_base!$J$25,0))*parametros_manuales!$D$105+parametros_manuales!$G$27*(datos_base!$J$5+datos_base!$J$21+IF(parametros_manuales!$H$27="Todos",datos_base!$J$12+datos_base!$J$26,0))*parametros_manuales!$D$110)*parametros_manuales!$I$27*parametros_manuales!$J$27</f>
        <v>6022.452371995</v>
      </c>
      <c r="E226" s="9" t="n">
        <f aca="false">(parametros_manuales!$D$27*(datos_base!$J$2+datos_base!$J$18+IF(parametros_manuales!$H$27="Todos",datos_base!$J$9+datos_base!$J$23,0))*parametros_manuales!$E$95+parametros_manuales!$E$27*(datos_base!$J$3+datos_base!$J$19+IF(parametros_manuales!$H$27="Todos",datos_base!$J$10+datos_base!$J$24,0))*parametros_manuales!$E$100+parametros_manuales!$F$27*(datos_base!$J$4+datos_base!$J$20+IF(parametros_manuales!$H$27="Todos",datos_base!$J$11+datos_base!$J$25,0))*parametros_manuales!$E$105+parametros_manuales!$G$27*(datos_base!$J$5+datos_base!$J$21+IF(parametros_manuales!$H$27="Todos",datos_base!$J$12+datos_base!$J$26,0))*parametros_manuales!$E$110)*parametros_manuales!$I$27*parametros_manuales!$J$27</f>
        <v>6022.452371995</v>
      </c>
      <c r="F226" s="9" t="n">
        <f aca="false">(parametros_manuales!$D$27*(datos_base!$J$2+datos_base!$J$18+IF(parametros_manuales!$H$27="Todos",datos_base!$J$9+datos_base!$J$23,0))*parametros_manuales!$F$95+parametros_manuales!$E$27*(datos_base!$J$3+datos_base!$J$19+IF(parametros_manuales!$H$27="Todos",datos_base!$J$10+datos_base!$J$24,0))*parametros_manuales!$F$100+parametros_manuales!$F$27*(datos_base!$J$4+datos_base!$J$20+IF(parametros_manuales!$H$27="Todos",datos_base!$J$11+datos_base!$J$25,0))*parametros_manuales!$F$105+parametros_manuales!$G$27*(datos_base!$J$5+datos_base!$J$21+IF(parametros_manuales!$H$27="Todos",datos_base!$J$12+datos_base!$J$26,0))*parametros_manuales!$F$110)*parametros_manuales!$I$27*parametros_manuales!$J$27</f>
        <v>5668.19046776</v>
      </c>
      <c r="G226" s="9" t="n">
        <f aca="false">(parametros_manuales!$D$27*(datos_base!$J$2+datos_base!$J$18+IF(parametros_manuales!$H$27="Todos",datos_base!$J$9+datos_base!$J$23,0))*parametros_manuales!$G$95+parametros_manuales!$E$27*(datos_base!$J$3+datos_base!$J$19+IF(parametros_manuales!$H$27="Todos",datos_base!$J$10+datos_base!$J$24,0))*parametros_manuales!$G$100+parametros_manuales!$F$27*(datos_base!$J$4+datos_base!$J$20+IF(parametros_manuales!$H$27="Todos",datos_base!$J$11+datos_base!$J$25,0))*parametros_manuales!$G$105+parametros_manuales!$G$27*(datos_base!$J$5+datos_base!$J$21+IF(parametros_manuales!$H$27="Todos",datos_base!$J$12+datos_base!$J$26,0))*parametros_manuales!$G$110)*parametros_manuales!$I$27*parametros_manuales!$J$27</f>
        <v>5313.928563525</v>
      </c>
      <c r="H226" s="9" t="n">
        <f aca="false">(parametros_manuales!$D$27*(datos_base!$J$2+datos_base!$J$18+IF(parametros_manuales!$H$27="Todos",datos_base!$J$9+datos_base!$J$23,0))*parametros_manuales!$H$95+parametros_manuales!$E$27*(datos_base!$J$3+datos_base!$J$19+IF(parametros_manuales!$H$27="Todos",datos_base!$J$10+datos_base!$J$24,0))*parametros_manuales!$H$100+parametros_manuales!$F$27*(datos_base!$J$4+datos_base!$J$20+IF(parametros_manuales!$H$27="Todos",datos_base!$J$11+datos_base!$J$25,0))*parametros_manuales!$H$105+parametros_manuales!$G$27*(datos_base!$J$5+datos_base!$J$21+IF(parametros_manuales!$H$27="Todos",datos_base!$J$12+datos_base!$J$26,0))*parametros_manuales!$H$110)*parametros_manuales!$I$27*parametros_manuales!$J$27</f>
        <v>5668.19046776</v>
      </c>
      <c r="I226" s="9" t="n">
        <f aca="false">(parametros_manuales!$D$27*(datos_base!$J$2+datos_base!$J$18+IF(parametros_manuales!$H$27="Todos",datos_base!$J$9+datos_base!$J$23,0))*parametros_manuales!$I$95+parametros_manuales!$E$27*(datos_base!$J$3+datos_base!$J$19+IF(parametros_manuales!$H$27="Todos",datos_base!$J$10+datos_base!$J$24,0))*parametros_manuales!$I$100+parametros_manuales!$F$27*(datos_base!$J$4+datos_base!$J$20+IF(parametros_manuales!$H$27="Todos",datos_base!$J$11+datos_base!$J$25,0))*parametros_manuales!$I$105+parametros_manuales!$G$27*(datos_base!$J$5+datos_base!$J$21+IF(parametros_manuales!$H$27="Todos",datos_base!$J$12+datos_base!$J$26,0))*parametros_manuales!$I$110)*parametros_manuales!$I$27*parametros_manuales!$J$27</f>
        <v>5668.19046776</v>
      </c>
      <c r="J226" s="9" t="n">
        <f aca="false">(parametros_manuales!$D$27*(datos_base!$J$2+datos_base!$J$18+IF(parametros_manuales!$H$27="Todos",datos_base!$J$9+datos_base!$J$23,0))*parametros_manuales!$J$95+parametros_manuales!$E$27*(datos_base!$J$3+datos_base!$J$19+IF(parametros_manuales!$H$27="Todos",datos_base!$J$10+datos_base!$J$24,0))*parametros_manuales!$J$100+parametros_manuales!$F$27*(datos_base!$J$4+datos_base!$J$20+IF(parametros_manuales!$H$27="Todos",datos_base!$J$11+datos_base!$J$25,0))*parametros_manuales!$J$105+parametros_manuales!$G$27*(datos_base!$J$5+datos_base!$J$21+IF(parametros_manuales!$H$27="Todos",datos_base!$J$12+datos_base!$J$26,0))*parametros_manuales!$J$110)*parametros_manuales!$I$27*parametros_manuales!$J$27</f>
        <v>5668.19046776</v>
      </c>
      <c r="K226" s="9" t="n">
        <f aca="false">(parametros_manuales!$D$27*(datos_base!$J$2+datos_base!$J$18+IF(parametros_manuales!$H$27="Todos",datos_base!$J$9+datos_base!$J$23,0))*parametros_manuales!$K$95+parametros_manuales!$E$27*(datos_base!$J$3+datos_base!$J$19+IF(parametros_manuales!$H$27="Todos",datos_base!$J$10+datos_base!$J$24,0))*parametros_manuales!$K$100+parametros_manuales!$F$27*(datos_base!$J$4+datos_base!$J$20+IF(parametros_manuales!$H$27="Todos",datos_base!$J$11+datos_base!$J$25,0))*parametros_manuales!$K$105+parametros_manuales!$G$27*(datos_base!$J$5+datos_base!$J$21+IF(parametros_manuales!$H$27="Todos",datos_base!$J$12+datos_base!$J$26,0))*parametros_manuales!$K$110)*parametros_manuales!$I$27*parametros_manuales!$J$27</f>
        <v>6022.452371995</v>
      </c>
      <c r="L226" s="9" t="n">
        <f aca="false">(parametros_manuales!$D$27*(datos_base!$J$2+datos_base!$J$18+IF(parametros_manuales!$H$27="Todos",datos_base!$J$9+datos_base!$J$23,0))*parametros_manuales!$L$95+parametros_manuales!$E$27*(datos_base!$J$3+datos_base!$J$19+IF(parametros_manuales!$H$27="Todos",datos_base!$J$10+datos_base!$J$24,0))*parametros_manuales!$L$100+parametros_manuales!$F$27*(datos_base!$J$4+datos_base!$J$20+IF(parametros_manuales!$H$27="Todos",datos_base!$J$11+datos_base!$J$25,0))*parametros_manuales!$L$105+parametros_manuales!$G$27*(datos_base!$J$5+datos_base!$J$21+IF(parametros_manuales!$H$27="Todos",datos_base!$J$12+datos_base!$J$26,0))*parametros_manuales!$L$110)*parametros_manuales!$I$27*parametros_manuales!$J$27</f>
        <v>6376.71427623</v>
      </c>
      <c r="M226" s="9" t="n">
        <f aca="false">(parametros_manuales!$D$27*(datos_base!$J$2+datos_base!$J$18+IF(parametros_manuales!$H$27="Todos",datos_base!$J$9+datos_base!$J$23,0))*parametros_manuales!$M$95+parametros_manuales!$E$27*(datos_base!$J$3+datos_base!$J$19+IF(parametros_manuales!$H$27="Todos",datos_base!$J$10+datos_base!$J$24,0))*parametros_manuales!$M$100+parametros_manuales!$F$27*(datos_base!$J$4+datos_base!$J$20+IF(parametros_manuales!$H$27="Todos",datos_base!$J$11+datos_base!$J$25,0))*parametros_manuales!$M$105+parametros_manuales!$G$27*(datos_base!$J$5+datos_base!$J$21+IF(parametros_manuales!$H$27="Todos",datos_base!$J$12+datos_base!$J$26,0))*parametros_manuales!$M$110)*parametros_manuales!$I$27*parametros_manuales!$J$27</f>
        <v>6376.71427623</v>
      </c>
      <c r="N226" s="9" t="n">
        <f aca="false">SUM(B226:M226)</f>
        <v>70852.380847</v>
      </c>
      <c r="O226" s="9" t="n">
        <f aca="false">MAX(B226:M226)</f>
        <v>6376.71427623</v>
      </c>
      <c r="P226" s="43" t="n">
        <f aca="false">O226/(parametros_manuales!$B$7)</f>
        <v>42.5114285082</v>
      </c>
      <c r="Q226" s="8" t="str">
        <f aca="false">IF(O226=0,"-",INDEX($B$217:$M$217,MATCH(O226,B226:M226,0)))</f>
        <v>Ene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datos_base!$J$2+datos_base!$J$18+IF(parametros_manuales!$H$28="Todos",datos_base!$J$9+datos_base!$J$23,0))*parametros_manuales!$B$95+parametros_manuales!$E$28*(datos_base!$J$3+datos_base!$J$19+IF(parametros_manuales!$H$28="Todos",datos_base!$J$10+datos_base!$J$24,0))*parametros_manuales!$B$100+parametros_manuales!$F$28*(datos_base!$J$4+datos_base!$J$20+IF(parametros_manuales!$H$28="Todos",datos_base!$J$11+datos_base!$J$25,0))*parametros_manuales!$B$105+parametros_manuales!$G$28*(datos_base!$J$5+datos_base!$J$21+IF(parametros_manuales!$H$28="Todos",datos_base!$J$12+datos_base!$J$26,0))*parametros_manuales!$B$110)*parametros_manuales!$I$28*parametros_manuales!$J$28</f>
        <v>22162.09652883</v>
      </c>
      <c r="C227" s="9" t="n">
        <f aca="false">(parametros_manuales!$D$28*(datos_base!$J$2+datos_base!$J$18+IF(parametros_manuales!$H$28="Todos",datos_base!$J$9+datos_base!$J$23,0))*parametros_manuales!$C$95+parametros_manuales!$E$28*(datos_base!$J$3+datos_base!$J$19+IF(parametros_manuales!$H$28="Todos",datos_base!$J$10+datos_base!$J$24,0))*parametros_manuales!$C$100+parametros_manuales!$F$28*(datos_base!$J$4+datos_base!$J$20+IF(parametros_manuales!$H$28="Todos",datos_base!$J$11+datos_base!$J$25,0))*parametros_manuales!$C$105+parametros_manuales!$G$28*(datos_base!$J$5+datos_base!$J$21+IF(parametros_manuales!$H$28="Todos",datos_base!$J$12+datos_base!$J$26,0))*parametros_manuales!$C$110)*parametros_manuales!$I$28*parametros_manuales!$J$28</f>
        <v>21453.57272036</v>
      </c>
      <c r="D227" s="9" t="n">
        <f aca="false">(parametros_manuales!$D$28*(datos_base!$J$2+datos_base!$J$18+IF(parametros_manuales!$H$28="Todos",datos_base!$J$9+datos_base!$J$23,0))*parametros_manuales!$D$95+parametros_manuales!$E$28*(datos_base!$J$3+datos_base!$J$19+IF(parametros_manuales!$H$28="Todos",datos_base!$J$10+datos_base!$J$24,0))*parametros_manuales!$D$100+parametros_manuales!$F$28*(datos_base!$J$4+datos_base!$J$20+IF(parametros_manuales!$H$28="Todos",datos_base!$J$11+datos_base!$J$25,0))*parametros_manuales!$D$105+parametros_manuales!$G$28*(datos_base!$J$5+datos_base!$J$21+IF(parametros_manuales!$H$28="Todos",datos_base!$J$12+datos_base!$J$26,0))*parametros_manuales!$D$110)*parametros_manuales!$I$28*parametros_manuales!$J$28</f>
        <v>20053.903263195</v>
      </c>
      <c r="E227" s="9" t="n">
        <f aca="false">(parametros_manuales!$D$28*(datos_base!$J$2+datos_base!$J$18+IF(parametros_manuales!$H$28="Todos",datos_base!$J$9+datos_base!$J$23,0))*parametros_manuales!$E$95+parametros_manuales!$E$28*(datos_base!$J$3+datos_base!$J$19+IF(parametros_manuales!$H$28="Todos",datos_base!$J$10+datos_base!$J$24,0))*parametros_manuales!$E$100+parametros_manuales!$F$28*(datos_base!$J$4+datos_base!$J$20+IF(parametros_manuales!$H$28="Todos",datos_base!$J$11+datos_base!$J$25,0))*parametros_manuales!$E$105+parametros_manuales!$G$28*(datos_base!$J$5+datos_base!$J$21+IF(parametros_manuales!$H$28="Todos",datos_base!$J$12+datos_base!$J$26,0))*parametros_manuales!$E$110)*parametros_manuales!$I$28*parametros_manuales!$J$28</f>
        <v>19176.937582495</v>
      </c>
      <c r="F227" s="9" t="n">
        <f aca="false">(parametros_manuales!$D$28*(datos_base!$J$2+datos_base!$J$18+IF(parametros_manuales!$H$28="Todos",datos_base!$J$9+datos_base!$J$23,0))*parametros_manuales!$F$95+parametros_manuales!$E$28*(datos_base!$J$3+datos_base!$J$19+IF(parametros_manuales!$H$28="Todos",datos_base!$J$10+datos_base!$J$24,0))*parametros_manuales!$F$100+parametros_manuales!$F$28*(datos_base!$J$4+datos_base!$J$20+IF(parametros_manuales!$H$28="Todos",datos_base!$J$11+datos_base!$J$25,0))*parametros_manuales!$F$105+parametros_manuales!$G$28*(datos_base!$J$5+datos_base!$J$21+IF(parametros_manuales!$H$28="Todos",datos_base!$J$12+datos_base!$J$26,0))*parametros_manuales!$F$110)*parametros_manuales!$I$28*parametros_manuales!$J$28</f>
        <v>17945.70999756</v>
      </c>
      <c r="G227" s="9" t="n">
        <f aca="false">(parametros_manuales!$D$28*(datos_base!$J$2+datos_base!$J$18+IF(parametros_manuales!$H$28="Todos",datos_base!$J$9+datos_base!$J$23,0))*parametros_manuales!$G$95+parametros_manuales!$E$28*(datos_base!$J$3+datos_base!$J$19+IF(parametros_manuales!$H$28="Todos",datos_base!$J$10+datos_base!$J$24,0))*parametros_manuales!$G$100+parametros_manuales!$F$28*(datos_base!$J$4+datos_base!$J$20+IF(parametros_manuales!$H$28="Todos",datos_base!$J$11+datos_base!$J$25,0))*parametros_manuales!$G$105+parametros_manuales!$G$28*(datos_base!$J$5+datos_base!$J$21+IF(parametros_manuales!$H$28="Todos",datos_base!$J$12+datos_base!$J$26,0))*parametros_manuales!$G$110)*parametros_manuales!$I$28*parametros_manuales!$J$28</f>
        <v>17591.448093325</v>
      </c>
      <c r="H227" s="9" t="n">
        <f aca="false">(parametros_manuales!$D$28*(datos_base!$J$2+datos_base!$J$18+IF(parametros_manuales!$H$28="Todos",datos_base!$J$9+datos_base!$J$23,0))*parametros_manuales!$H$95+parametros_manuales!$E$28*(datos_base!$J$3+datos_base!$J$19+IF(parametros_manuales!$H$28="Todos",datos_base!$J$10+datos_base!$J$24,0))*parametros_manuales!$H$100+parametros_manuales!$F$28*(datos_base!$J$4+datos_base!$J$20+IF(parametros_manuales!$H$28="Todos",datos_base!$J$11+datos_base!$J$25,0))*parametros_manuales!$H$105+parametros_manuales!$G$28*(datos_base!$J$5+datos_base!$J$21+IF(parametros_manuales!$H$28="Todos",datos_base!$J$12+datos_base!$J$26,0))*parametros_manuales!$H$110)*parametros_manuales!$I$28*parametros_manuales!$J$28</f>
        <v>18822.67567826</v>
      </c>
      <c r="I227" s="9" t="n">
        <f aca="false">(parametros_manuales!$D$28*(datos_base!$J$2+datos_base!$J$18+IF(parametros_manuales!$H$28="Todos",datos_base!$J$9+datos_base!$J$23,0))*parametros_manuales!$I$95+parametros_manuales!$E$28*(datos_base!$J$3+datos_base!$J$19+IF(parametros_manuales!$H$28="Todos",datos_base!$J$10+datos_base!$J$24,0))*parametros_manuales!$I$100+parametros_manuales!$F$28*(datos_base!$J$4+datos_base!$J$20+IF(parametros_manuales!$H$28="Todos",datos_base!$J$11+datos_base!$J$25,0))*parametros_manuales!$I$105+parametros_manuales!$G$28*(datos_base!$J$5+datos_base!$J$21+IF(parametros_manuales!$H$28="Todos",datos_base!$J$12+datos_base!$J$26,0))*parametros_manuales!$I$110)*parametros_manuales!$I$28*parametros_manuales!$J$28</f>
        <v>21453.57272036</v>
      </c>
      <c r="J227" s="9" t="n">
        <f aca="false">(parametros_manuales!$D$28*(datos_base!$J$2+datos_base!$J$18+IF(parametros_manuales!$H$28="Todos",datos_base!$J$9+datos_base!$J$23,0))*parametros_manuales!$J$95+parametros_manuales!$E$28*(datos_base!$J$3+datos_base!$J$19+IF(parametros_manuales!$H$28="Todos",datos_base!$J$10+datos_base!$J$24,0))*parametros_manuales!$J$100+parametros_manuales!$F$28*(datos_base!$J$4+datos_base!$J$20+IF(parametros_manuales!$H$28="Todos",datos_base!$J$11+datos_base!$J$25,0))*parametros_manuales!$J$105+parametros_manuales!$G$28*(datos_base!$J$5+datos_base!$J$21+IF(parametros_manuales!$H$28="Todos",datos_base!$J$12+datos_base!$J$26,0))*parametros_manuales!$J$110)*parametros_manuales!$I$28*parametros_manuales!$J$28</f>
        <v>21453.57272036</v>
      </c>
      <c r="K227" s="9" t="n">
        <f aca="false">(parametros_manuales!$D$28*(datos_base!$J$2+datos_base!$J$18+IF(parametros_manuales!$H$28="Todos",datos_base!$J$9+datos_base!$J$23,0))*parametros_manuales!$K$95+parametros_manuales!$E$28*(datos_base!$J$3+datos_base!$J$19+IF(parametros_manuales!$H$28="Todos",datos_base!$J$10+datos_base!$J$24,0))*parametros_manuales!$K$100+parametros_manuales!$F$28*(datos_base!$J$4+datos_base!$J$20+IF(parametros_manuales!$H$28="Todos",datos_base!$J$11+datos_base!$J$25,0))*parametros_manuales!$K$105+parametros_manuales!$G$28*(datos_base!$J$5+datos_base!$J$21+IF(parametros_manuales!$H$28="Todos",datos_base!$J$12+datos_base!$J$26,0))*parametros_manuales!$K$110)*parametros_manuales!$I$28*parametros_manuales!$J$28</f>
        <v>21807.834624595</v>
      </c>
      <c r="L227" s="9" t="n">
        <f aca="false">(parametros_manuales!$D$28*(datos_base!$J$2+datos_base!$J$18+IF(parametros_manuales!$H$28="Todos",datos_base!$J$9+datos_base!$J$23,0))*parametros_manuales!$L$95+parametros_manuales!$E$28*(datos_base!$J$3+datos_base!$J$19+IF(parametros_manuales!$H$28="Todos",datos_base!$J$10+datos_base!$J$24,0))*parametros_manuales!$L$100+parametros_manuales!$F$28*(datos_base!$J$4+datos_base!$J$20+IF(parametros_manuales!$H$28="Todos",datos_base!$J$11+datos_base!$J$25,0))*parametros_manuales!$L$105+parametros_manuales!$G$28*(datos_base!$J$5+datos_base!$J$21+IF(parametros_manuales!$H$28="Todos",datos_base!$J$12+datos_base!$J$26,0))*parametros_manuales!$L$110)*parametros_manuales!$I$28*parametros_manuales!$J$28</f>
        <v>22162.09652883</v>
      </c>
      <c r="M227" s="9" t="n">
        <f aca="false">(parametros_manuales!$D$28*(datos_base!$J$2+datos_base!$J$18+IF(parametros_manuales!$H$28="Todos",datos_base!$J$9+datos_base!$J$23,0))*parametros_manuales!$M$95+parametros_manuales!$E$28*(datos_base!$J$3+datos_base!$J$19+IF(parametros_manuales!$H$28="Todos",datos_base!$J$10+datos_base!$J$24,0))*parametros_manuales!$M$100+parametros_manuales!$F$28*(datos_base!$J$4+datos_base!$J$20+IF(parametros_manuales!$H$28="Todos",datos_base!$J$11+datos_base!$J$25,0))*parametros_manuales!$M$105+parametros_manuales!$G$28*(datos_base!$J$5+datos_base!$J$21+IF(parametros_manuales!$H$28="Todos",datos_base!$J$12+datos_base!$J$26,0))*parametros_manuales!$M$110)*parametros_manuales!$I$28*parametros_manuales!$J$28</f>
        <v>22162.09652883</v>
      </c>
      <c r="N227" s="9" t="n">
        <f aca="false">SUM(B227:M227)</f>
        <v>246245.516987</v>
      </c>
      <c r="O227" s="9" t="n">
        <f aca="false">MAX(B227:M227)</f>
        <v>22162.09652883</v>
      </c>
      <c r="P227" s="43" t="n">
        <f aca="false">O227/(parametros_manuales!$B$7)</f>
        <v>147.7473101922</v>
      </c>
      <c r="Q227" s="8" t="str">
        <f aca="false">IF(O227=0,"-",INDEX($B$217:$M$217,MATCH(O227,B227:M227,0)))</f>
        <v>Ene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datos_base!$J$2+datos_base!$J$18+IF(parametros_manuales!$H$29="Todos",datos_base!$J$9+datos_base!$J$23,0))*parametros_manuales!$B$95+parametros_manuales!$E$29*(datos_base!$J$3+datos_base!$J$19+IF(parametros_manuales!$H$29="Todos",datos_base!$J$10+datos_base!$J$24,0))*parametros_manuales!$B$100+parametros_manuales!$F$29*(datos_base!$J$4+datos_base!$J$20+IF(parametros_manuales!$H$29="Todos",datos_base!$J$11+datos_base!$J$25,0))*parametros_manuales!$B$105+parametros_manuales!$G$29*(datos_base!$J$5+datos_base!$J$21+IF(parametros_manuales!$H$29="Todos",datos_base!$J$12+datos_base!$J$26,0))*parametros_manuales!$B$110)*parametros_manuales!$I$29*parametros_manuales!$J$29</f>
        <v>22162.09652883</v>
      </c>
      <c r="C228" s="9" t="n">
        <f aca="false">(parametros_manuales!$D$29*(datos_base!$J$2+datos_base!$J$18+IF(parametros_manuales!$H$29="Todos",datos_base!$J$9+datos_base!$J$23,0))*parametros_manuales!$C$95+parametros_manuales!$E$29*(datos_base!$J$3+datos_base!$J$19+IF(parametros_manuales!$H$29="Todos",datos_base!$J$10+datos_base!$J$24,0))*parametros_manuales!$C$100+parametros_manuales!$F$29*(datos_base!$J$4+datos_base!$J$20+IF(parametros_manuales!$H$29="Todos",datos_base!$J$11+datos_base!$J$25,0))*parametros_manuales!$C$105+parametros_manuales!$G$29*(datos_base!$J$5+datos_base!$J$21+IF(parametros_manuales!$H$29="Todos",datos_base!$J$12+datos_base!$J$26,0))*parametros_manuales!$C$110)*parametros_manuales!$I$29*parametros_manuales!$J$29</f>
        <v>21453.57272036</v>
      </c>
      <c r="D228" s="9" t="n">
        <f aca="false">(parametros_manuales!$D$29*(datos_base!$J$2+datos_base!$J$18+IF(parametros_manuales!$H$29="Todos",datos_base!$J$9+datos_base!$J$23,0))*parametros_manuales!$D$95+parametros_manuales!$E$29*(datos_base!$J$3+datos_base!$J$19+IF(parametros_manuales!$H$29="Todos",datos_base!$J$10+datos_base!$J$24,0))*parametros_manuales!$D$100+parametros_manuales!$F$29*(datos_base!$J$4+datos_base!$J$20+IF(parametros_manuales!$H$29="Todos",datos_base!$J$11+datos_base!$J$25,0))*parametros_manuales!$D$105+parametros_manuales!$G$29*(datos_base!$J$5+datos_base!$J$21+IF(parametros_manuales!$H$29="Todos",datos_base!$J$12+datos_base!$J$26,0))*parametros_manuales!$D$110)*parametros_manuales!$I$29*parametros_manuales!$J$29</f>
        <v>20053.903263195</v>
      </c>
      <c r="E228" s="9" t="n">
        <f aca="false">(parametros_manuales!$D$29*(datos_base!$J$2+datos_base!$J$18+IF(parametros_manuales!$H$29="Todos",datos_base!$J$9+datos_base!$J$23,0))*parametros_manuales!$E$95+parametros_manuales!$E$29*(datos_base!$J$3+datos_base!$J$19+IF(parametros_manuales!$H$29="Todos",datos_base!$J$10+datos_base!$J$24,0))*parametros_manuales!$E$100+parametros_manuales!$F$29*(datos_base!$J$4+datos_base!$J$20+IF(parametros_manuales!$H$29="Todos",datos_base!$J$11+datos_base!$J$25,0))*parametros_manuales!$E$105+parametros_manuales!$G$29*(datos_base!$J$5+datos_base!$J$21+IF(parametros_manuales!$H$29="Todos",datos_base!$J$12+datos_base!$J$26,0))*parametros_manuales!$E$110)*parametros_manuales!$I$29*parametros_manuales!$J$29</f>
        <v>19176.937582495</v>
      </c>
      <c r="F228" s="9" t="n">
        <f aca="false">(parametros_manuales!$D$29*(datos_base!$J$2+datos_base!$J$18+IF(parametros_manuales!$H$29="Todos",datos_base!$J$9+datos_base!$J$23,0))*parametros_manuales!$F$95+parametros_manuales!$E$29*(datos_base!$J$3+datos_base!$J$19+IF(parametros_manuales!$H$29="Todos",datos_base!$J$10+datos_base!$J$24,0))*parametros_manuales!$F$100+parametros_manuales!$F$29*(datos_base!$J$4+datos_base!$J$20+IF(parametros_manuales!$H$29="Todos",datos_base!$J$11+datos_base!$J$25,0))*parametros_manuales!$F$105+parametros_manuales!$G$29*(datos_base!$J$5+datos_base!$J$21+IF(parametros_manuales!$H$29="Todos",datos_base!$J$12+datos_base!$J$26,0))*parametros_manuales!$F$110)*parametros_manuales!$I$29*parametros_manuales!$J$29</f>
        <v>17945.70999756</v>
      </c>
      <c r="G228" s="9" t="n">
        <f aca="false">(parametros_manuales!$D$29*(datos_base!$J$2+datos_base!$J$18+IF(parametros_manuales!$H$29="Todos",datos_base!$J$9+datos_base!$J$23,0))*parametros_manuales!$G$95+parametros_manuales!$E$29*(datos_base!$J$3+datos_base!$J$19+IF(parametros_manuales!$H$29="Todos",datos_base!$J$10+datos_base!$J$24,0))*parametros_manuales!$G$100+parametros_manuales!$F$29*(datos_base!$J$4+datos_base!$J$20+IF(parametros_manuales!$H$29="Todos",datos_base!$J$11+datos_base!$J$25,0))*parametros_manuales!$G$105+parametros_manuales!$G$29*(datos_base!$J$5+datos_base!$J$21+IF(parametros_manuales!$H$29="Todos",datos_base!$J$12+datos_base!$J$26,0))*parametros_manuales!$G$110)*parametros_manuales!$I$29*parametros_manuales!$J$29</f>
        <v>17591.448093325</v>
      </c>
      <c r="H228" s="9" t="n">
        <f aca="false">(parametros_manuales!$D$29*(datos_base!$J$2+datos_base!$J$18+IF(parametros_manuales!$H$29="Todos",datos_base!$J$9+datos_base!$J$23,0))*parametros_manuales!$H$95+parametros_manuales!$E$29*(datos_base!$J$3+datos_base!$J$19+IF(parametros_manuales!$H$29="Todos",datos_base!$J$10+datos_base!$J$24,0))*parametros_manuales!$H$100+parametros_manuales!$F$29*(datos_base!$J$4+datos_base!$J$20+IF(parametros_manuales!$H$29="Todos",datos_base!$J$11+datos_base!$J$25,0))*parametros_manuales!$H$105+parametros_manuales!$G$29*(datos_base!$J$5+datos_base!$J$21+IF(parametros_manuales!$H$29="Todos",datos_base!$J$12+datos_base!$J$26,0))*parametros_manuales!$H$110)*parametros_manuales!$I$29*parametros_manuales!$J$29</f>
        <v>18822.67567826</v>
      </c>
      <c r="I228" s="9" t="n">
        <f aca="false">(parametros_manuales!$D$29*(datos_base!$J$2+datos_base!$J$18+IF(parametros_manuales!$H$29="Todos",datos_base!$J$9+datos_base!$J$23,0))*parametros_manuales!$I$95+parametros_manuales!$E$29*(datos_base!$J$3+datos_base!$J$19+IF(parametros_manuales!$H$29="Todos",datos_base!$J$10+datos_base!$J$24,0))*parametros_manuales!$I$100+parametros_manuales!$F$29*(datos_base!$J$4+datos_base!$J$20+IF(parametros_manuales!$H$29="Todos",datos_base!$J$11+datos_base!$J$25,0))*parametros_manuales!$I$105+parametros_manuales!$G$29*(datos_base!$J$5+datos_base!$J$21+IF(parametros_manuales!$H$29="Todos",datos_base!$J$12+datos_base!$J$26,0))*parametros_manuales!$I$110)*parametros_manuales!$I$29*parametros_manuales!$J$29</f>
        <v>21453.57272036</v>
      </c>
      <c r="J228" s="9" t="n">
        <f aca="false">(parametros_manuales!$D$29*(datos_base!$J$2+datos_base!$J$18+IF(parametros_manuales!$H$29="Todos",datos_base!$J$9+datos_base!$J$23,0))*parametros_manuales!$J$95+parametros_manuales!$E$29*(datos_base!$J$3+datos_base!$J$19+IF(parametros_manuales!$H$29="Todos",datos_base!$J$10+datos_base!$J$24,0))*parametros_manuales!$J$100+parametros_manuales!$F$29*(datos_base!$J$4+datos_base!$J$20+IF(parametros_manuales!$H$29="Todos",datos_base!$J$11+datos_base!$J$25,0))*parametros_manuales!$J$105+parametros_manuales!$G$29*(datos_base!$J$5+datos_base!$J$21+IF(parametros_manuales!$H$29="Todos",datos_base!$J$12+datos_base!$J$26,0))*parametros_manuales!$J$110)*parametros_manuales!$I$29*parametros_manuales!$J$29</f>
        <v>21453.57272036</v>
      </c>
      <c r="K228" s="9" t="n">
        <f aca="false">(parametros_manuales!$D$29*(datos_base!$J$2+datos_base!$J$18+IF(parametros_manuales!$H$29="Todos",datos_base!$J$9+datos_base!$J$23,0))*parametros_manuales!$K$95+parametros_manuales!$E$29*(datos_base!$J$3+datos_base!$J$19+IF(parametros_manuales!$H$29="Todos",datos_base!$J$10+datos_base!$J$24,0))*parametros_manuales!$K$100+parametros_manuales!$F$29*(datos_base!$J$4+datos_base!$J$20+IF(parametros_manuales!$H$29="Todos",datos_base!$J$11+datos_base!$J$25,0))*parametros_manuales!$K$105+parametros_manuales!$G$29*(datos_base!$J$5+datos_base!$J$21+IF(parametros_manuales!$H$29="Todos",datos_base!$J$12+datos_base!$J$26,0))*parametros_manuales!$K$110)*parametros_manuales!$I$29*parametros_manuales!$J$29</f>
        <v>21807.834624595</v>
      </c>
      <c r="L228" s="9" t="n">
        <f aca="false">(parametros_manuales!$D$29*(datos_base!$J$2+datos_base!$J$18+IF(parametros_manuales!$H$29="Todos",datos_base!$J$9+datos_base!$J$23,0))*parametros_manuales!$L$95+parametros_manuales!$E$29*(datos_base!$J$3+datos_base!$J$19+IF(parametros_manuales!$H$29="Todos",datos_base!$J$10+datos_base!$J$24,0))*parametros_manuales!$L$100+parametros_manuales!$F$29*(datos_base!$J$4+datos_base!$J$20+IF(parametros_manuales!$H$29="Todos",datos_base!$J$11+datos_base!$J$25,0))*parametros_manuales!$L$105+parametros_manuales!$G$29*(datos_base!$J$5+datos_base!$J$21+IF(parametros_manuales!$H$29="Todos",datos_base!$J$12+datos_base!$J$26,0))*parametros_manuales!$L$110)*parametros_manuales!$I$29*parametros_manuales!$J$29</f>
        <v>22162.09652883</v>
      </c>
      <c r="M228" s="9" t="n">
        <f aca="false">(parametros_manuales!$D$29*(datos_base!$J$2+datos_base!$J$18+IF(parametros_manuales!$H$29="Todos",datos_base!$J$9+datos_base!$J$23,0))*parametros_manuales!$M$95+parametros_manuales!$E$29*(datos_base!$J$3+datos_base!$J$19+IF(parametros_manuales!$H$29="Todos",datos_base!$J$10+datos_base!$J$24,0))*parametros_manuales!$M$100+parametros_manuales!$F$29*(datos_base!$J$4+datos_base!$J$20+IF(parametros_manuales!$H$29="Todos",datos_base!$J$11+datos_base!$J$25,0))*parametros_manuales!$M$105+parametros_manuales!$G$29*(datos_base!$J$5+datos_base!$J$21+IF(parametros_manuales!$H$29="Todos",datos_base!$J$12+datos_base!$J$26,0))*parametros_manuales!$M$110)*parametros_manuales!$I$29*parametros_manuales!$J$29</f>
        <v>22162.09652883</v>
      </c>
      <c r="N228" s="9" t="n">
        <f aca="false">SUM(B228:M228)</f>
        <v>246245.516987</v>
      </c>
      <c r="O228" s="9" t="n">
        <f aca="false">MAX(B228:M228)</f>
        <v>22162.09652883</v>
      </c>
      <c r="P228" s="43" t="n">
        <f aca="false">O228/(parametros_manuales!$B$7)</f>
        <v>147.7473101922</v>
      </c>
      <c r="Q228" s="8" t="str">
        <f aca="false">IF(O228=0,"-",INDEX($B$217:$M$217,MATCH(O228,B228:M228,0)))</f>
        <v>Ene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datos_base!$J$2+datos_base!$J$18+IF(parametros_manuales!$H$30="Todos",datos_base!$J$9+datos_base!$J$23,0))*parametros_manuales!$B$95+parametros_manuales!$E$30*(datos_base!$J$3+datos_base!$J$19+IF(parametros_manuales!$H$30="Todos",datos_base!$J$10+datos_base!$J$24,0))*parametros_manuales!$B$100+parametros_manuales!$F$30*(datos_base!$J$4+datos_base!$J$20+IF(parametros_manuales!$H$30="Todos",datos_base!$J$11+datos_base!$J$25,0))*parametros_manuales!$B$105+parametros_manuales!$G$30*(datos_base!$J$5+datos_base!$J$21+IF(parametros_manuales!$H$30="Todos",datos_base!$J$12+datos_base!$J$26,0))*parametros_manuales!$B$110)*parametros_manuales!$I$30*parametros_manuales!$J$30</f>
        <v>22162.09652883</v>
      </c>
      <c r="C229" s="9" t="n">
        <f aca="false">(parametros_manuales!$D$30*(datos_base!$J$2+datos_base!$J$18+IF(parametros_manuales!$H$30="Todos",datos_base!$J$9+datos_base!$J$23,0))*parametros_manuales!$C$95+parametros_manuales!$E$30*(datos_base!$J$3+datos_base!$J$19+IF(parametros_manuales!$H$30="Todos",datos_base!$J$10+datos_base!$J$24,0))*parametros_manuales!$C$100+parametros_manuales!$F$30*(datos_base!$J$4+datos_base!$J$20+IF(parametros_manuales!$H$30="Todos",datos_base!$J$11+datos_base!$J$25,0))*parametros_manuales!$C$105+parametros_manuales!$G$30*(datos_base!$J$5+datos_base!$J$21+IF(parametros_manuales!$H$30="Todos",datos_base!$J$12+datos_base!$J$26,0))*parametros_manuales!$C$110)*parametros_manuales!$I$30*parametros_manuales!$J$30</f>
        <v>21453.57272036</v>
      </c>
      <c r="D229" s="9" t="n">
        <f aca="false">(parametros_manuales!$D$30*(datos_base!$J$2+datos_base!$J$18+IF(parametros_manuales!$H$30="Todos",datos_base!$J$9+datos_base!$J$23,0))*parametros_manuales!$D$95+parametros_manuales!$E$30*(datos_base!$J$3+datos_base!$J$19+IF(parametros_manuales!$H$30="Todos",datos_base!$J$10+datos_base!$J$24,0))*parametros_manuales!$D$100+parametros_manuales!$F$30*(datos_base!$J$4+datos_base!$J$20+IF(parametros_manuales!$H$30="Todos",datos_base!$J$11+datos_base!$J$25,0))*parametros_manuales!$D$105+parametros_manuales!$G$30*(datos_base!$J$5+datos_base!$J$21+IF(parametros_manuales!$H$30="Todos",datos_base!$J$12+datos_base!$J$26,0))*parametros_manuales!$D$110)*parametros_manuales!$I$30*parametros_manuales!$J$30</f>
        <v>20053.903263195</v>
      </c>
      <c r="E229" s="9" t="n">
        <f aca="false">(parametros_manuales!$D$30*(datos_base!$J$2+datos_base!$J$18+IF(parametros_manuales!$H$30="Todos",datos_base!$J$9+datos_base!$J$23,0))*parametros_manuales!$E$95+parametros_manuales!$E$30*(datos_base!$J$3+datos_base!$J$19+IF(parametros_manuales!$H$30="Todos",datos_base!$J$10+datos_base!$J$24,0))*parametros_manuales!$E$100+parametros_manuales!$F$30*(datos_base!$J$4+datos_base!$J$20+IF(parametros_manuales!$H$30="Todos",datos_base!$J$11+datos_base!$J$25,0))*parametros_manuales!$E$105+parametros_manuales!$G$30*(datos_base!$J$5+datos_base!$J$21+IF(parametros_manuales!$H$30="Todos",datos_base!$J$12+datos_base!$J$26,0))*parametros_manuales!$E$110)*parametros_manuales!$I$30*parametros_manuales!$J$30</f>
        <v>19176.937582495</v>
      </c>
      <c r="F229" s="9" t="n">
        <f aca="false">(parametros_manuales!$D$30*(datos_base!$J$2+datos_base!$J$18+IF(parametros_manuales!$H$30="Todos",datos_base!$J$9+datos_base!$J$23,0))*parametros_manuales!$F$95+parametros_manuales!$E$30*(datos_base!$J$3+datos_base!$J$19+IF(parametros_manuales!$H$30="Todos",datos_base!$J$10+datos_base!$J$24,0))*parametros_manuales!$F$100+parametros_manuales!$F$30*(datos_base!$J$4+datos_base!$J$20+IF(parametros_manuales!$H$30="Todos",datos_base!$J$11+datos_base!$J$25,0))*parametros_manuales!$F$105+parametros_manuales!$G$30*(datos_base!$J$5+datos_base!$J$21+IF(parametros_manuales!$H$30="Todos",datos_base!$J$12+datos_base!$J$26,0))*parametros_manuales!$F$110)*parametros_manuales!$I$30*parametros_manuales!$J$30</f>
        <v>17945.70999756</v>
      </c>
      <c r="G229" s="9" t="n">
        <f aca="false">(parametros_manuales!$D$30*(datos_base!$J$2+datos_base!$J$18+IF(parametros_manuales!$H$30="Todos",datos_base!$J$9+datos_base!$J$23,0))*parametros_manuales!$G$95+parametros_manuales!$E$30*(datos_base!$J$3+datos_base!$J$19+IF(parametros_manuales!$H$30="Todos",datos_base!$J$10+datos_base!$J$24,0))*parametros_manuales!$G$100+parametros_manuales!$F$30*(datos_base!$J$4+datos_base!$J$20+IF(parametros_manuales!$H$30="Todos",datos_base!$J$11+datos_base!$J$25,0))*parametros_manuales!$G$105+parametros_manuales!$G$30*(datos_base!$J$5+datos_base!$J$21+IF(parametros_manuales!$H$30="Todos",datos_base!$J$12+datos_base!$J$26,0))*parametros_manuales!$G$110)*parametros_manuales!$I$30*parametros_manuales!$J$30</f>
        <v>17591.448093325</v>
      </c>
      <c r="H229" s="9" t="n">
        <f aca="false">(parametros_manuales!$D$30*(datos_base!$J$2+datos_base!$J$18+IF(parametros_manuales!$H$30="Todos",datos_base!$J$9+datos_base!$J$23,0))*parametros_manuales!$H$95+parametros_manuales!$E$30*(datos_base!$J$3+datos_base!$J$19+IF(parametros_manuales!$H$30="Todos",datos_base!$J$10+datos_base!$J$24,0))*parametros_manuales!$H$100+parametros_manuales!$F$30*(datos_base!$J$4+datos_base!$J$20+IF(parametros_manuales!$H$30="Todos",datos_base!$J$11+datos_base!$J$25,0))*parametros_manuales!$H$105+parametros_manuales!$G$30*(datos_base!$J$5+datos_base!$J$21+IF(parametros_manuales!$H$30="Todos",datos_base!$J$12+datos_base!$J$26,0))*parametros_manuales!$H$110)*parametros_manuales!$I$30*parametros_manuales!$J$30</f>
        <v>18822.67567826</v>
      </c>
      <c r="I229" s="9" t="n">
        <f aca="false">(parametros_manuales!$D$30*(datos_base!$J$2+datos_base!$J$18+IF(parametros_manuales!$H$30="Todos",datos_base!$J$9+datos_base!$J$23,0))*parametros_manuales!$I$95+parametros_manuales!$E$30*(datos_base!$J$3+datos_base!$J$19+IF(parametros_manuales!$H$30="Todos",datos_base!$J$10+datos_base!$J$24,0))*parametros_manuales!$I$100+parametros_manuales!$F$30*(datos_base!$J$4+datos_base!$J$20+IF(parametros_manuales!$H$30="Todos",datos_base!$J$11+datos_base!$J$25,0))*parametros_manuales!$I$105+parametros_manuales!$G$30*(datos_base!$J$5+datos_base!$J$21+IF(parametros_manuales!$H$30="Todos",datos_base!$J$12+datos_base!$J$26,0))*parametros_manuales!$I$110)*parametros_manuales!$I$30*parametros_manuales!$J$30</f>
        <v>21453.57272036</v>
      </c>
      <c r="J229" s="9" t="n">
        <f aca="false">(parametros_manuales!$D$30*(datos_base!$J$2+datos_base!$J$18+IF(parametros_manuales!$H$30="Todos",datos_base!$J$9+datos_base!$J$23,0))*parametros_manuales!$J$95+parametros_manuales!$E$30*(datos_base!$J$3+datos_base!$J$19+IF(parametros_manuales!$H$30="Todos",datos_base!$J$10+datos_base!$J$24,0))*parametros_manuales!$J$100+parametros_manuales!$F$30*(datos_base!$J$4+datos_base!$J$20+IF(parametros_manuales!$H$30="Todos",datos_base!$J$11+datos_base!$J$25,0))*parametros_manuales!$J$105+parametros_manuales!$G$30*(datos_base!$J$5+datos_base!$J$21+IF(parametros_manuales!$H$30="Todos",datos_base!$J$12+datos_base!$J$26,0))*parametros_manuales!$J$110)*parametros_manuales!$I$30*parametros_manuales!$J$30</f>
        <v>21453.57272036</v>
      </c>
      <c r="K229" s="9" t="n">
        <f aca="false">(parametros_manuales!$D$30*(datos_base!$J$2+datos_base!$J$18+IF(parametros_manuales!$H$30="Todos",datos_base!$J$9+datos_base!$J$23,0))*parametros_manuales!$K$95+parametros_manuales!$E$30*(datos_base!$J$3+datos_base!$J$19+IF(parametros_manuales!$H$30="Todos",datos_base!$J$10+datos_base!$J$24,0))*parametros_manuales!$K$100+parametros_manuales!$F$30*(datos_base!$J$4+datos_base!$J$20+IF(parametros_manuales!$H$30="Todos",datos_base!$J$11+datos_base!$J$25,0))*parametros_manuales!$K$105+parametros_manuales!$G$30*(datos_base!$J$5+datos_base!$J$21+IF(parametros_manuales!$H$30="Todos",datos_base!$J$12+datos_base!$J$26,0))*parametros_manuales!$K$110)*parametros_manuales!$I$30*parametros_manuales!$J$30</f>
        <v>21807.834624595</v>
      </c>
      <c r="L229" s="9" t="n">
        <f aca="false">(parametros_manuales!$D$30*(datos_base!$J$2+datos_base!$J$18+IF(parametros_manuales!$H$30="Todos",datos_base!$J$9+datos_base!$J$23,0))*parametros_manuales!$L$95+parametros_manuales!$E$30*(datos_base!$J$3+datos_base!$J$19+IF(parametros_manuales!$H$30="Todos",datos_base!$J$10+datos_base!$J$24,0))*parametros_manuales!$L$100+parametros_manuales!$F$30*(datos_base!$J$4+datos_base!$J$20+IF(parametros_manuales!$H$30="Todos",datos_base!$J$11+datos_base!$J$25,0))*parametros_manuales!$L$105+parametros_manuales!$G$30*(datos_base!$J$5+datos_base!$J$21+IF(parametros_manuales!$H$30="Todos",datos_base!$J$12+datos_base!$J$26,0))*parametros_manuales!$L$110)*parametros_manuales!$I$30*parametros_manuales!$J$30</f>
        <v>22162.09652883</v>
      </c>
      <c r="M229" s="9" t="n">
        <f aca="false">(parametros_manuales!$D$30*(datos_base!$J$2+datos_base!$J$18+IF(parametros_manuales!$H$30="Todos",datos_base!$J$9+datos_base!$J$23,0))*parametros_manuales!$M$95+parametros_manuales!$E$30*(datos_base!$J$3+datos_base!$J$19+IF(parametros_manuales!$H$30="Todos",datos_base!$J$10+datos_base!$J$24,0))*parametros_manuales!$M$100+parametros_manuales!$F$30*(datos_base!$J$4+datos_base!$J$20+IF(parametros_manuales!$H$30="Todos",datos_base!$J$11+datos_base!$J$25,0))*parametros_manuales!$M$105+parametros_manuales!$G$30*(datos_base!$J$5+datos_base!$J$21+IF(parametros_manuales!$H$30="Todos",datos_base!$J$12+datos_base!$J$26,0))*parametros_manuales!$M$110)*parametros_manuales!$I$30*parametros_manuales!$J$30</f>
        <v>22162.09652883</v>
      </c>
      <c r="N229" s="9" t="n">
        <f aca="false">SUM(B229:M229)</f>
        <v>246245.516987</v>
      </c>
      <c r="O229" s="9" t="n">
        <f aca="false">MAX(B229:M229)</f>
        <v>22162.09652883</v>
      </c>
      <c r="P229" s="43" t="n">
        <f aca="false">O229/(parametros_manuales!$B$7)</f>
        <v>147.7473101922</v>
      </c>
      <c r="Q229" s="8" t="str">
        <f aca="false">IF(O229=0,"-",INDEX($B$217:$M$217,MATCH(O229,B229:M229,0)))</f>
        <v>Ene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datos_base!$J$2+datos_base!$J$18+IF(parametros_manuales!$H$31="Todos",datos_base!$J$9+datos_base!$J$23,0))*parametros_manuales!$B$95+parametros_manuales!$E$31*(datos_base!$J$3+datos_base!$J$19+IF(parametros_manuales!$H$31="Todos",datos_base!$J$10+datos_base!$J$24,0))*parametros_manuales!$B$100+parametros_manuales!$F$31*(datos_base!$J$4+datos_base!$J$20+IF(parametros_manuales!$H$31="Todos",datos_base!$J$11+datos_base!$J$25,0))*parametros_manuales!$B$105+parametros_manuales!$G$31*(datos_base!$J$5+datos_base!$J$21+IF(parametros_manuales!$H$31="Todos",datos_base!$J$12+datos_base!$J$26,0))*parametros_manuales!$B$110)*parametros_manuales!$I$31*parametros_manuales!$J$31</f>
        <v>443.2419305766</v>
      </c>
      <c r="C230" s="9" t="n">
        <f aca="false">(parametros_manuales!$D$31*(datos_base!$J$2+datos_base!$J$18+IF(parametros_manuales!$H$31="Todos",datos_base!$J$9+datos_base!$J$23,0))*parametros_manuales!$C$95+parametros_manuales!$E$31*(datos_base!$J$3+datos_base!$J$19+IF(parametros_manuales!$H$31="Todos",datos_base!$J$10+datos_base!$J$24,0))*parametros_manuales!$C$100+parametros_manuales!$F$31*(datos_base!$J$4+datos_base!$J$20+IF(parametros_manuales!$H$31="Todos",datos_base!$J$11+datos_base!$J$25,0))*parametros_manuales!$C$105+parametros_manuales!$G$31*(datos_base!$J$5+datos_base!$J$21+IF(parametros_manuales!$H$31="Todos",datos_base!$J$12+datos_base!$J$26,0))*parametros_manuales!$C$110)*parametros_manuales!$I$31*parametros_manuales!$J$31</f>
        <v>429.0714544072</v>
      </c>
      <c r="D230" s="9" t="n">
        <f aca="false">(parametros_manuales!$D$31*(datos_base!$J$2+datos_base!$J$18+IF(parametros_manuales!$H$31="Todos",datos_base!$J$9+datos_base!$J$23,0))*parametros_manuales!$D$95+parametros_manuales!$E$31*(datos_base!$J$3+datos_base!$J$19+IF(parametros_manuales!$H$31="Todos",datos_base!$J$10+datos_base!$J$24,0))*parametros_manuales!$D$100+parametros_manuales!$F$31*(datos_base!$J$4+datos_base!$J$20+IF(parametros_manuales!$H$31="Todos",datos_base!$J$11+datos_base!$J$25,0))*parametros_manuales!$D$105+parametros_manuales!$G$31*(datos_base!$J$5+datos_base!$J$21+IF(parametros_manuales!$H$31="Todos",datos_base!$J$12+datos_base!$J$26,0))*parametros_manuales!$D$110)*parametros_manuales!$I$31*parametros_manuales!$J$31</f>
        <v>401.0780652639</v>
      </c>
      <c r="E230" s="9" t="n">
        <f aca="false">(parametros_manuales!$D$31*(datos_base!$J$2+datos_base!$J$18+IF(parametros_manuales!$H$31="Todos",datos_base!$J$9+datos_base!$J$23,0))*parametros_manuales!$E$95+parametros_manuales!$E$31*(datos_base!$J$3+datos_base!$J$19+IF(parametros_manuales!$H$31="Todos",datos_base!$J$10+datos_base!$J$24,0))*parametros_manuales!$E$100+parametros_manuales!$F$31*(datos_base!$J$4+datos_base!$J$20+IF(parametros_manuales!$H$31="Todos",datos_base!$J$11+datos_base!$J$25,0))*parametros_manuales!$E$105+parametros_manuales!$G$31*(datos_base!$J$5+datos_base!$J$21+IF(parametros_manuales!$H$31="Todos",datos_base!$J$12+datos_base!$J$26,0))*parametros_manuales!$E$110)*parametros_manuales!$I$31*parametros_manuales!$J$31</f>
        <v>383.5387516499</v>
      </c>
      <c r="F230" s="9" t="n">
        <f aca="false">(parametros_manuales!$D$31*(datos_base!$J$2+datos_base!$J$18+IF(parametros_manuales!$H$31="Todos",datos_base!$J$9+datos_base!$J$23,0))*parametros_manuales!$F$95+parametros_manuales!$E$31*(datos_base!$J$3+datos_base!$J$19+IF(parametros_manuales!$H$31="Todos",datos_base!$J$10+datos_base!$J$24,0))*parametros_manuales!$F$100+parametros_manuales!$F$31*(datos_base!$J$4+datos_base!$J$20+IF(parametros_manuales!$H$31="Todos",datos_base!$J$11+datos_base!$J$25,0))*parametros_manuales!$F$105+parametros_manuales!$G$31*(datos_base!$J$5+datos_base!$J$21+IF(parametros_manuales!$H$31="Todos",datos_base!$J$12+datos_base!$J$26,0))*parametros_manuales!$F$110)*parametros_manuales!$I$31*parametros_manuales!$J$31</f>
        <v>358.9141999512</v>
      </c>
      <c r="G230" s="9" t="n">
        <f aca="false">(parametros_manuales!$D$31*(datos_base!$J$2+datos_base!$J$18+IF(parametros_manuales!$H$31="Todos",datos_base!$J$9+datos_base!$J$23,0))*parametros_manuales!$G$95+parametros_manuales!$E$31*(datos_base!$J$3+datos_base!$J$19+IF(parametros_manuales!$H$31="Todos",datos_base!$J$10+datos_base!$J$24,0))*parametros_manuales!$G$100+parametros_manuales!$F$31*(datos_base!$J$4+datos_base!$J$20+IF(parametros_manuales!$H$31="Todos",datos_base!$J$11+datos_base!$J$25,0))*parametros_manuales!$G$105+parametros_manuales!$G$31*(datos_base!$J$5+datos_base!$J$21+IF(parametros_manuales!$H$31="Todos",datos_base!$J$12+datos_base!$J$26,0))*parametros_manuales!$G$110)*parametros_manuales!$I$31*parametros_manuales!$J$31</f>
        <v>351.8289618665</v>
      </c>
      <c r="H230" s="9" t="n">
        <f aca="false">(parametros_manuales!$D$31*(datos_base!$J$2+datos_base!$J$18+IF(parametros_manuales!$H$31="Todos",datos_base!$J$9+datos_base!$J$23,0))*parametros_manuales!$H$95+parametros_manuales!$E$31*(datos_base!$J$3+datos_base!$J$19+IF(parametros_manuales!$H$31="Todos",datos_base!$J$10+datos_base!$J$24,0))*parametros_manuales!$H$100+parametros_manuales!$F$31*(datos_base!$J$4+datos_base!$J$20+IF(parametros_manuales!$H$31="Todos",datos_base!$J$11+datos_base!$J$25,0))*parametros_manuales!$H$105+parametros_manuales!$G$31*(datos_base!$J$5+datos_base!$J$21+IF(parametros_manuales!$H$31="Todos",datos_base!$J$12+datos_base!$J$26,0))*parametros_manuales!$H$110)*parametros_manuales!$I$31*parametros_manuales!$J$31</f>
        <v>376.4535135652</v>
      </c>
      <c r="I230" s="9" t="n">
        <f aca="false">(parametros_manuales!$D$31*(datos_base!$J$2+datos_base!$J$18+IF(parametros_manuales!$H$31="Todos",datos_base!$J$9+datos_base!$J$23,0))*parametros_manuales!$I$95+parametros_manuales!$E$31*(datos_base!$J$3+datos_base!$J$19+IF(parametros_manuales!$H$31="Todos",datos_base!$J$10+datos_base!$J$24,0))*parametros_manuales!$I$100+parametros_manuales!$F$31*(datos_base!$J$4+datos_base!$J$20+IF(parametros_manuales!$H$31="Todos",datos_base!$J$11+datos_base!$J$25,0))*parametros_manuales!$I$105+parametros_manuales!$G$31*(datos_base!$J$5+datos_base!$J$21+IF(parametros_manuales!$H$31="Todos",datos_base!$J$12+datos_base!$J$26,0))*parametros_manuales!$I$110)*parametros_manuales!$I$31*parametros_manuales!$J$31</f>
        <v>429.0714544072</v>
      </c>
      <c r="J230" s="9" t="n">
        <f aca="false">(parametros_manuales!$D$31*(datos_base!$J$2+datos_base!$J$18+IF(parametros_manuales!$H$31="Todos",datos_base!$J$9+datos_base!$J$23,0))*parametros_manuales!$J$95+parametros_manuales!$E$31*(datos_base!$J$3+datos_base!$J$19+IF(parametros_manuales!$H$31="Todos",datos_base!$J$10+datos_base!$J$24,0))*parametros_manuales!$J$100+parametros_manuales!$F$31*(datos_base!$J$4+datos_base!$J$20+IF(parametros_manuales!$H$31="Todos",datos_base!$J$11+datos_base!$J$25,0))*parametros_manuales!$J$105+parametros_manuales!$G$31*(datos_base!$J$5+datos_base!$J$21+IF(parametros_manuales!$H$31="Todos",datos_base!$J$12+datos_base!$J$26,0))*parametros_manuales!$J$110)*parametros_manuales!$I$31*parametros_manuales!$J$31</f>
        <v>429.0714544072</v>
      </c>
      <c r="K230" s="9" t="n">
        <f aca="false">(parametros_manuales!$D$31*(datos_base!$J$2+datos_base!$J$18+IF(parametros_manuales!$H$31="Todos",datos_base!$J$9+datos_base!$J$23,0))*parametros_manuales!$K$95+parametros_manuales!$E$31*(datos_base!$J$3+datos_base!$J$19+IF(parametros_manuales!$H$31="Todos",datos_base!$J$10+datos_base!$J$24,0))*parametros_manuales!$K$100+parametros_manuales!$F$31*(datos_base!$J$4+datos_base!$J$20+IF(parametros_manuales!$H$31="Todos",datos_base!$J$11+datos_base!$J$25,0))*parametros_manuales!$K$105+parametros_manuales!$G$31*(datos_base!$J$5+datos_base!$J$21+IF(parametros_manuales!$H$31="Todos",datos_base!$J$12+datos_base!$J$26,0))*parametros_manuales!$K$110)*parametros_manuales!$I$31*parametros_manuales!$J$31</f>
        <v>436.1566924919</v>
      </c>
      <c r="L230" s="9" t="n">
        <f aca="false">(parametros_manuales!$D$31*(datos_base!$J$2+datos_base!$J$18+IF(parametros_manuales!$H$31="Todos",datos_base!$J$9+datos_base!$J$23,0))*parametros_manuales!$L$95+parametros_manuales!$E$31*(datos_base!$J$3+datos_base!$J$19+IF(parametros_manuales!$H$31="Todos",datos_base!$J$10+datos_base!$J$24,0))*parametros_manuales!$L$100+parametros_manuales!$F$31*(datos_base!$J$4+datos_base!$J$20+IF(parametros_manuales!$H$31="Todos",datos_base!$J$11+datos_base!$J$25,0))*parametros_manuales!$L$105+parametros_manuales!$G$31*(datos_base!$J$5+datos_base!$J$21+IF(parametros_manuales!$H$31="Todos",datos_base!$J$12+datos_base!$J$26,0))*parametros_manuales!$L$110)*parametros_manuales!$I$31*parametros_manuales!$J$31</f>
        <v>443.2419305766</v>
      </c>
      <c r="M230" s="9" t="n">
        <f aca="false">(parametros_manuales!$D$31*(datos_base!$J$2+datos_base!$J$18+IF(parametros_manuales!$H$31="Todos",datos_base!$J$9+datos_base!$J$23,0))*parametros_manuales!$M$95+parametros_manuales!$E$31*(datos_base!$J$3+datos_base!$J$19+IF(parametros_manuales!$H$31="Todos",datos_base!$J$10+datos_base!$J$24,0))*parametros_manuales!$M$100+parametros_manuales!$F$31*(datos_base!$J$4+datos_base!$J$20+IF(parametros_manuales!$H$31="Todos",datos_base!$J$11+datos_base!$J$25,0))*parametros_manuales!$M$105+parametros_manuales!$G$31*(datos_base!$J$5+datos_base!$J$21+IF(parametros_manuales!$H$31="Todos",datos_base!$J$12+datos_base!$J$26,0))*parametros_manuales!$M$110)*parametros_manuales!$I$31*parametros_manuales!$J$31</f>
        <v>443.2419305766</v>
      </c>
      <c r="N230" s="9" t="n">
        <f aca="false">SUM(B230:M230)</f>
        <v>4924.91033974</v>
      </c>
      <c r="O230" s="9" t="n">
        <f aca="false">MAX(B230:M230)</f>
        <v>443.2419305766</v>
      </c>
      <c r="P230" s="43" t="n">
        <f aca="false">O230/(parametros_manuales!$B$7)</f>
        <v>2.954946203844</v>
      </c>
      <c r="Q230" s="8" t="str">
        <f aca="false">IF(O230=0,"-",INDEX($B$217:$M$217,MATCH(O230,B230:M230,0)))</f>
        <v>Ene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datos_base!$J$2+datos_base!$J$18+IF(parametros_manuales!$H$32="Todos",datos_base!$J$9+datos_base!$J$23,0))*parametros_manuales!$B$95+parametros_manuales!$E$32*(datos_base!$J$3+datos_base!$J$19+IF(parametros_manuales!$H$32="Todos",datos_base!$J$10+datos_base!$J$24,0))*parametros_manuales!$B$100+parametros_manuales!$F$32*(datos_base!$J$4+datos_base!$J$20+IF(parametros_manuales!$H$32="Todos",datos_base!$J$11+datos_base!$J$25,0))*parametros_manuales!$B$105+parametros_manuales!$G$32*(datos_base!$J$5+datos_base!$J$21+IF(parametros_manuales!$H$32="Todos",datos_base!$J$12+datos_base!$J$26,0))*parametros_manuales!$B$110)*parametros_manuales!$I$32*parametros_manuales!$J$32</f>
        <v>22162.09652883</v>
      </c>
      <c r="C231" s="9" t="n">
        <f aca="false">(parametros_manuales!$D$32*(datos_base!$J$2+datos_base!$J$18+IF(parametros_manuales!$H$32="Todos",datos_base!$J$9+datos_base!$J$23,0))*parametros_manuales!$C$95+parametros_manuales!$E$32*(datos_base!$J$3+datos_base!$J$19+IF(parametros_manuales!$H$32="Todos",datos_base!$J$10+datos_base!$J$24,0))*parametros_manuales!$C$100+parametros_manuales!$F$32*(datos_base!$J$4+datos_base!$J$20+IF(parametros_manuales!$H$32="Todos",datos_base!$J$11+datos_base!$J$25,0))*parametros_manuales!$C$105+parametros_manuales!$G$32*(datos_base!$J$5+datos_base!$J$21+IF(parametros_manuales!$H$32="Todos",datos_base!$J$12+datos_base!$J$26,0))*parametros_manuales!$C$110)*parametros_manuales!$I$32*parametros_manuales!$J$32</f>
        <v>21453.57272036</v>
      </c>
      <c r="D231" s="9" t="n">
        <f aca="false">(parametros_manuales!$D$32*(datos_base!$J$2+datos_base!$J$18+IF(parametros_manuales!$H$32="Todos",datos_base!$J$9+datos_base!$J$23,0))*parametros_manuales!$D$95+parametros_manuales!$E$32*(datos_base!$J$3+datos_base!$J$19+IF(parametros_manuales!$H$32="Todos",datos_base!$J$10+datos_base!$J$24,0))*parametros_manuales!$D$100+parametros_manuales!$F$32*(datos_base!$J$4+datos_base!$J$20+IF(parametros_manuales!$H$32="Todos",datos_base!$J$11+datos_base!$J$25,0))*parametros_manuales!$D$105+parametros_manuales!$G$32*(datos_base!$J$5+datos_base!$J$21+IF(parametros_manuales!$H$32="Todos",datos_base!$J$12+datos_base!$J$26,0))*parametros_manuales!$D$110)*parametros_manuales!$I$32*parametros_manuales!$J$32</f>
        <v>20053.903263195</v>
      </c>
      <c r="E231" s="9" t="n">
        <f aca="false">(parametros_manuales!$D$32*(datos_base!$J$2+datos_base!$J$18+IF(parametros_manuales!$H$32="Todos",datos_base!$J$9+datos_base!$J$23,0))*parametros_manuales!$E$95+parametros_manuales!$E$32*(datos_base!$J$3+datos_base!$J$19+IF(parametros_manuales!$H$32="Todos",datos_base!$J$10+datos_base!$J$24,0))*parametros_manuales!$E$100+parametros_manuales!$F$32*(datos_base!$J$4+datos_base!$J$20+IF(parametros_manuales!$H$32="Todos",datos_base!$J$11+datos_base!$J$25,0))*parametros_manuales!$E$105+parametros_manuales!$G$32*(datos_base!$J$5+datos_base!$J$21+IF(parametros_manuales!$H$32="Todos",datos_base!$J$12+datos_base!$J$26,0))*parametros_manuales!$E$110)*parametros_manuales!$I$32*parametros_manuales!$J$32</f>
        <v>19176.937582495</v>
      </c>
      <c r="F231" s="9" t="n">
        <f aca="false">(parametros_manuales!$D$32*(datos_base!$J$2+datos_base!$J$18+IF(parametros_manuales!$H$32="Todos",datos_base!$J$9+datos_base!$J$23,0))*parametros_manuales!$F$95+parametros_manuales!$E$32*(datos_base!$J$3+datos_base!$J$19+IF(parametros_manuales!$H$32="Todos",datos_base!$J$10+datos_base!$J$24,0))*parametros_manuales!$F$100+parametros_manuales!$F$32*(datos_base!$J$4+datos_base!$J$20+IF(parametros_manuales!$H$32="Todos",datos_base!$J$11+datos_base!$J$25,0))*parametros_manuales!$F$105+parametros_manuales!$G$32*(datos_base!$J$5+datos_base!$J$21+IF(parametros_manuales!$H$32="Todos",datos_base!$J$12+datos_base!$J$26,0))*parametros_manuales!$F$110)*parametros_manuales!$I$32*parametros_manuales!$J$32</f>
        <v>17945.70999756</v>
      </c>
      <c r="G231" s="9" t="n">
        <f aca="false">(parametros_manuales!$D$32*(datos_base!$J$2+datos_base!$J$18+IF(parametros_manuales!$H$32="Todos",datos_base!$J$9+datos_base!$J$23,0))*parametros_manuales!$G$95+parametros_manuales!$E$32*(datos_base!$J$3+datos_base!$J$19+IF(parametros_manuales!$H$32="Todos",datos_base!$J$10+datos_base!$J$24,0))*parametros_manuales!$G$100+parametros_manuales!$F$32*(datos_base!$J$4+datos_base!$J$20+IF(parametros_manuales!$H$32="Todos",datos_base!$J$11+datos_base!$J$25,0))*parametros_manuales!$G$105+parametros_manuales!$G$32*(datos_base!$J$5+datos_base!$J$21+IF(parametros_manuales!$H$32="Todos",datos_base!$J$12+datos_base!$J$26,0))*parametros_manuales!$G$110)*parametros_manuales!$I$32*parametros_manuales!$J$32</f>
        <v>17591.448093325</v>
      </c>
      <c r="H231" s="9" t="n">
        <f aca="false">(parametros_manuales!$D$32*(datos_base!$J$2+datos_base!$J$18+IF(parametros_manuales!$H$32="Todos",datos_base!$J$9+datos_base!$J$23,0))*parametros_manuales!$H$95+parametros_manuales!$E$32*(datos_base!$J$3+datos_base!$J$19+IF(parametros_manuales!$H$32="Todos",datos_base!$J$10+datos_base!$J$24,0))*parametros_manuales!$H$100+parametros_manuales!$F$32*(datos_base!$J$4+datos_base!$J$20+IF(parametros_manuales!$H$32="Todos",datos_base!$J$11+datos_base!$J$25,0))*parametros_manuales!$H$105+parametros_manuales!$G$32*(datos_base!$J$5+datos_base!$J$21+IF(parametros_manuales!$H$32="Todos",datos_base!$J$12+datos_base!$J$26,0))*parametros_manuales!$H$110)*parametros_manuales!$I$32*parametros_manuales!$J$32</f>
        <v>18822.67567826</v>
      </c>
      <c r="I231" s="9" t="n">
        <f aca="false">(parametros_manuales!$D$32*(datos_base!$J$2+datos_base!$J$18+IF(parametros_manuales!$H$32="Todos",datos_base!$J$9+datos_base!$J$23,0))*parametros_manuales!$I$95+parametros_manuales!$E$32*(datos_base!$J$3+datos_base!$J$19+IF(parametros_manuales!$H$32="Todos",datos_base!$J$10+datos_base!$J$24,0))*parametros_manuales!$I$100+parametros_manuales!$F$32*(datos_base!$J$4+datos_base!$J$20+IF(parametros_manuales!$H$32="Todos",datos_base!$J$11+datos_base!$J$25,0))*parametros_manuales!$I$105+parametros_manuales!$G$32*(datos_base!$J$5+datos_base!$J$21+IF(parametros_manuales!$H$32="Todos",datos_base!$J$12+datos_base!$J$26,0))*parametros_manuales!$I$110)*parametros_manuales!$I$32*parametros_manuales!$J$32</f>
        <v>21453.57272036</v>
      </c>
      <c r="J231" s="9" t="n">
        <f aca="false">(parametros_manuales!$D$32*(datos_base!$J$2+datos_base!$J$18+IF(parametros_manuales!$H$32="Todos",datos_base!$J$9+datos_base!$J$23,0))*parametros_manuales!$J$95+parametros_manuales!$E$32*(datos_base!$J$3+datos_base!$J$19+IF(parametros_manuales!$H$32="Todos",datos_base!$J$10+datos_base!$J$24,0))*parametros_manuales!$J$100+parametros_manuales!$F$32*(datos_base!$J$4+datos_base!$J$20+IF(parametros_manuales!$H$32="Todos",datos_base!$J$11+datos_base!$J$25,0))*parametros_manuales!$J$105+parametros_manuales!$G$32*(datos_base!$J$5+datos_base!$J$21+IF(parametros_manuales!$H$32="Todos",datos_base!$J$12+datos_base!$J$26,0))*parametros_manuales!$J$110)*parametros_manuales!$I$32*parametros_manuales!$J$32</f>
        <v>21453.57272036</v>
      </c>
      <c r="K231" s="9" t="n">
        <f aca="false">(parametros_manuales!$D$32*(datos_base!$J$2+datos_base!$J$18+IF(parametros_manuales!$H$32="Todos",datos_base!$J$9+datos_base!$J$23,0))*parametros_manuales!$K$95+parametros_manuales!$E$32*(datos_base!$J$3+datos_base!$J$19+IF(parametros_manuales!$H$32="Todos",datos_base!$J$10+datos_base!$J$24,0))*parametros_manuales!$K$100+parametros_manuales!$F$32*(datos_base!$J$4+datos_base!$J$20+IF(parametros_manuales!$H$32="Todos",datos_base!$J$11+datos_base!$J$25,0))*parametros_manuales!$K$105+parametros_manuales!$G$32*(datos_base!$J$5+datos_base!$J$21+IF(parametros_manuales!$H$32="Todos",datos_base!$J$12+datos_base!$J$26,0))*parametros_manuales!$K$110)*parametros_manuales!$I$32*parametros_manuales!$J$32</f>
        <v>21807.834624595</v>
      </c>
      <c r="L231" s="9" t="n">
        <f aca="false">(parametros_manuales!$D$32*(datos_base!$J$2+datos_base!$J$18+IF(parametros_manuales!$H$32="Todos",datos_base!$J$9+datos_base!$J$23,0))*parametros_manuales!$L$95+parametros_manuales!$E$32*(datos_base!$J$3+datos_base!$J$19+IF(parametros_manuales!$H$32="Todos",datos_base!$J$10+datos_base!$J$24,0))*parametros_manuales!$L$100+parametros_manuales!$F$32*(datos_base!$J$4+datos_base!$J$20+IF(parametros_manuales!$H$32="Todos",datos_base!$J$11+datos_base!$J$25,0))*parametros_manuales!$L$105+parametros_manuales!$G$32*(datos_base!$J$5+datos_base!$J$21+IF(parametros_manuales!$H$32="Todos",datos_base!$J$12+datos_base!$J$26,0))*parametros_manuales!$L$110)*parametros_manuales!$I$32*parametros_manuales!$J$32</f>
        <v>22162.09652883</v>
      </c>
      <c r="M231" s="9" t="n">
        <f aca="false">(parametros_manuales!$D$32*(datos_base!$J$2+datos_base!$J$18+IF(parametros_manuales!$H$32="Todos",datos_base!$J$9+datos_base!$J$23,0))*parametros_manuales!$M$95+parametros_manuales!$E$32*(datos_base!$J$3+datos_base!$J$19+IF(parametros_manuales!$H$32="Todos",datos_base!$J$10+datos_base!$J$24,0))*parametros_manuales!$M$100+parametros_manuales!$F$32*(datos_base!$J$4+datos_base!$J$20+IF(parametros_manuales!$H$32="Todos",datos_base!$J$11+datos_base!$J$25,0))*parametros_manuales!$M$105+parametros_manuales!$G$32*(datos_base!$J$5+datos_base!$J$21+IF(parametros_manuales!$H$32="Todos",datos_base!$J$12+datos_base!$J$26,0))*parametros_manuales!$M$110)*parametros_manuales!$I$32*parametros_manuales!$J$32</f>
        <v>22162.09652883</v>
      </c>
      <c r="N231" s="9" t="n">
        <f aca="false">SUM(B231:M231)</f>
        <v>246245.516987</v>
      </c>
      <c r="O231" s="9" t="n">
        <f aca="false">MAX(B231:M231)</f>
        <v>22162.09652883</v>
      </c>
      <c r="P231" s="43" t="n">
        <f aca="false">O231/(parametros_manuales!$B$7)</f>
        <v>147.7473101922</v>
      </c>
      <c r="Q231" s="8" t="str">
        <f aca="false">IF(O231=0,"-",INDEX($B$217:$M$217,MATCH(O231,B231:M231,0)))</f>
        <v>Ene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datos_base!$J$2+datos_base!$J$18+IF(parametros_manuales!$H$33="Todos",datos_base!$J$9+datos_base!$J$23,0))*parametros_manuales!$B$95+parametros_manuales!$E$33*(datos_base!$J$3+datos_base!$J$19+IF(parametros_manuales!$H$33="Todos",datos_base!$J$10+datos_base!$J$24,0))*parametros_manuales!$B$100+parametros_manuales!$F$33*(datos_base!$J$4+datos_base!$J$20+IF(parametros_manuales!$H$33="Todos",datos_base!$J$11+datos_base!$J$25,0))*parametros_manuales!$B$105+parametros_manuales!$G$33*(datos_base!$J$5+datos_base!$J$21+IF(parametros_manuales!$H$33="Todos",datos_base!$J$12+datos_base!$J$26,0))*parametros_manuales!$B$110)*parametros_manuales!$I$33*parametros_manuales!$J$33</f>
        <v>22162.09652883</v>
      </c>
      <c r="C232" s="9" t="n">
        <f aca="false">(parametros_manuales!$D$33*(datos_base!$J$2+datos_base!$J$18+IF(parametros_manuales!$H$33="Todos",datos_base!$J$9+datos_base!$J$23,0))*parametros_manuales!$C$95+parametros_manuales!$E$33*(datos_base!$J$3+datos_base!$J$19+IF(parametros_manuales!$H$33="Todos",datos_base!$J$10+datos_base!$J$24,0))*parametros_manuales!$C$100+parametros_manuales!$F$33*(datos_base!$J$4+datos_base!$J$20+IF(parametros_manuales!$H$33="Todos",datos_base!$J$11+datos_base!$J$25,0))*parametros_manuales!$C$105+parametros_manuales!$G$33*(datos_base!$J$5+datos_base!$J$21+IF(parametros_manuales!$H$33="Todos",datos_base!$J$12+datos_base!$J$26,0))*parametros_manuales!$C$110)*parametros_manuales!$I$33*parametros_manuales!$J$33</f>
        <v>21453.57272036</v>
      </c>
      <c r="D232" s="9" t="n">
        <f aca="false">(parametros_manuales!$D$33*(datos_base!$J$2+datos_base!$J$18+IF(parametros_manuales!$H$33="Todos",datos_base!$J$9+datos_base!$J$23,0))*parametros_manuales!$D$95+parametros_manuales!$E$33*(datos_base!$J$3+datos_base!$J$19+IF(parametros_manuales!$H$33="Todos",datos_base!$J$10+datos_base!$J$24,0))*parametros_manuales!$D$100+parametros_manuales!$F$33*(datos_base!$J$4+datos_base!$J$20+IF(parametros_manuales!$H$33="Todos",datos_base!$J$11+datos_base!$J$25,0))*parametros_manuales!$D$105+parametros_manuales!$G$33*(datos_base!$J$5+datos_base!$J$21+IF(parametros_manuales!$H$33="Todos",datos_base!$J$12+datos_base!$J$26,0))*parametros_manuales!$D$110)*parametros_manuales!$I$33*parametros_manuales!$J$33</f>
        <v>20053.903263195</v>
      </c>
      <c r="E232" s="9" t="n">
        <f aca="false">(parametros_manuales!$D$33*(datos_base!$J$2+datos_base!$J$18+IF(parametros_manuales!$H$33="Todos",datos_base!$J$9+datos_base!$J$23,0))*parametros_manuales!$E$95+parametros_manuales!$E$33*(datos_base!$J$3+datos_base!$J$19+IF(parametros_manuales!$H$33="Todos",datos_base!$J$10+datos_base!$J$24,0))*parametros_manuales!$E$100+parametros_manuales!$F$33*(datos_base!$J$4+datos_base!$J$20+IF(parametros_manuales!$H$33="Todos",datos_base!$J$11+datos_base!$J$25,0))*parametros_manuales!$E$105+parametros_manuales!$G$33*(datos_base!$J$5+datos_base!$J$21+IF(parametros_manuales!$H$33="Todos",datos_base!$J$12+datos_base!$J$26,0))*parametros_manuales!$E$110)*parametros_manuales!$I$33*parametros_manuales!$J$33</f>
        <v>19176.937582495</v>
      </c>
      <c r="F232" s="9" t="n">
        <f aca="false">(parametros_manuales!$D$33*(datos_base!$J$2+datos_base!$J$18+IF(parametros_manuales!$H$33="Todos",datos_base!$J$9+datos_base!$J$23,0))*parametros_manuales!$F$95+parametros_manuales!$E$33*(datos_base!$J$3+datos_base!$J$19+IF(parametros_manuales!$H$33="Todos",datos_base!$J$10+datos_base!$J$24,0))*parametros_manuales!$F$100+parametros_manuales!$F$33*(datos_base!$J$4+datos_base!$J$20+IF(parametros_manuales!$H$33="Todos",datos_base!$J$11+datos_base!$J$25,0))*parametros_manuales!$F$105+parametros_manuales!$G$33*(datos_base!$J$5+datos_base!$J$21+IF(parametros_manuales!$H$33="Todos",datos_base!$J$12+datos_base!$J$26,0))*parametros_manuales!$F$110)*parametros_manuales!$I$33*parametros_manuales!$J$33</f>
        <v>17945.70999756</v>
      </c>
      <c r="G232" s="9" t="n">
        <f aca="false">(parametros_manuales!$D$33*(datos_base!$J$2+datos_base!$J$18+IF(parametros_manuales!$H$33="Todos",datos_base!$J$9+datos_base!$J$23,0))*parametros_manuales!$G$95+parametros_manuales!$E$33*(datos_base!$J$3+datos_base!$J$19+IF(parametros_manuales!$H$33="Todos",datos_base!$J$10+datos_base!$J$24,0))*parametros_manuales!$G$100+parametros_manuales!$F$33*(datos_base!$J$4+datos_base!$J$20+IF(parametros_manuales!$H$33="Todos",datos_base!$J$11+datos_base!$J$25,0))*parametros_manuales!$G$105+parametros_manuales!$G$33*(datos_base!$J$5+datos_base!$J$21+IF(parametros_manuales!$H$33="Todos",datos_base!$J$12+datos_base!$J$26,0))*parametros_manuales!$G$110)*parametros_manuales!$I$33*parametros_manuales!$J$33</f>
        <v>17591.448093325</v>
      </c>
      <c r="H232" s="9" t="n">
        <f aca="false">(parametros_manuales!$D$33*(datos_base!$J$2+datos_base!$J$18+IF(parametros_manuales!$H$33="Todos",datos_base!$J$9+datos_base!$J$23,0))*parametros_manuales!$H$95+parametros_manuales!$E$33*(datos_base!$J$3+datos_base!$J$19+IF(parametros_manuales!$H$33="Todos",datos_base!$J$10+datos_base!$J$24,0))*parametros_manuales!$H$100+parametros_manuales!$F$33*(datos_base!$J$4+datos_base!$J$20+IF(parametros_manuales!$H$33="Todos",datos_base!$J$11+datos_base!$J$25,0))*parametros_manuales!$H$105+parametros_manuales!$G$33*(datos_base!$J$5+datos_base!$J$21+IF(parametros_manuales!$H$33="Todos",datos_base!$J$12+datos_base!$J$26,0))*parametros_manuales!$H$110)*parametros_manuales!$I$33*parametros_manuales!$J$33</f>
        <v>18822.67567826</v>
      </c>
      <c r="I232" s="9" t="n">
        <f aca="false">(parametros_manuales!$D$33*(datos_base!$J$2+datos_base!$J$18+IF(parametros_manuales!$H$33="Todos",datos_base!$J$9+datos_base!$J$23,0))*parametros_manuales!$I$95+parametros_manuales!$E$33*(datos_base!$J$3+datos_base!$J$19+IF(parametros_manuales!$H$33="Todos",datos_base!$J$10+datos_base!$J$24,0))*parametros_manuales!$I$100+parametros_manuales!$F$33*(datos_base!$J$4+datos_base!$J$20+IF(parametros_manuales!$H$33="Todos",datos_base!$J$11+datos_base!$J$25,0))*parametros_manuales!$I$105+parametros_manuales!$G$33*(datos_base!$J$5+datos_base!$J$21+IF(parametros_manuales!$H$33="Todos",datos_base!$J$12+datos_base!$J$26,0))*parametros_manuales!$I$110)*parametros_manuales!$I$33*parametros_manuales!$J$33</f>
        <v>21453.57272036</v>
      </c>
      <c r="J232" s="9" t="n">
        <f aca="false">(parametros_manuales!$D$33*(datos_base!$J$2+datos_base!$J$18+IF(parametros_manuales!$H$33="Todos",datos_base!$J$9+datos_base!$J$23,0))*parametros_manuales!$J$95+parametros_manuales!$E$33*(datos_base!$J$3+datos_base!$J$19+IF(parametros_manuales!$H$33="Todos",datos_base!$J$10+datos_base!$J$24,0))*parametros_manuales!$J$100+parametros_manuales!$F$33*(datos_base!$J$4+datos_base!$J$20+IF(parametros_manuales!$H$33="Todos",datos_base!$J$11+datos_base!$J$25,0))*parametros_manuales!$J$105+parametros_manuales!$G$33*(datos_base!$J$5+datos_base!$J$21+IF(parametros_manuales!$H$33="Todos",datos_base!$J$12+datos_base!$J$26,0))*parametros_manuales!$J$110)*parametros_manuales!$I$33*parametros_manuales!$J$33</f>
        <v>21453.57272036</v>
      </c>
      <c r="K232" s="9" t="n">
        <f aca="false">(parametros_manuales!$D$33*(datos_base!$J$2+datos_base!$J$18+IF(parametros_manuales!$H$33="Todos",datos_base!$J$9+datos_base!$J$23,0))*parametros_manuales!$K$95+parametros_manuales!$E$33*(datos_base!$J$3+datos_base!$J$19+IF(parametros_manuales!$H$33="Todos",datos_base!$J$10+datos_base!$J$24,0))*parametros_manuales!$K$100+parametros_manuales!$F$33*(datos_base!$J$4+datos_base!$J$20+IF(parametros_manuales!$H$33="Todos",datos_base!$J$11+datos_base!$J$25,0))*parametros_manuales!$K$105+parametros_manuales!$G$33*(datos_base!$J$5+datos_base!$J$21+IF(parametros_manuales!$H$33="Todos",datos_base!$J$12+datos_base!$J$26,0))*parametros_manuales!$K$110)*parametros_manuales!$I$33*parametros_manuales!$J$33</f>
        <v>21807.834624595</v>
      </c>
      <c r="L232" s="9" t="n">
        <f aca="false">(parametros_manuales!$D$33*(datos_base!$J$2+datos_base!$J$18+IF(parametros_manuales!$H$33="Todos",datos_base!$J$9+datos_base!$J$23,0))*parametros_manuales!$L$95+parametros_manuales!$E$33*(datos_base!$J$3+datos_base!$J$19+IF(parametros_manuales!$H$33="Todos",datos_base!$J$10+datos_base!$J$24,0))*parametros_manuales!$L$100+parametros_manuales!$F$33*(datos_base!$J$4+datos_base!$J$20+IF(parametros_manuales!$H$33="Todos",datos_base!$J$11+datos_base!$J$25,0))*parametros_manuales!$L$105+parametros_manuales!$G$33*(datos_base!$J$5+datos_base!$J$21+IF(parametros_manuales!$H$33="Todos",datos_base!$J$12+datos_base!$J$26,0))*parametros_manuales!$L$110)*parametros_manuales!$I$33*parametros_manuales!$J$33</f>
        <v>22162.09652883</v>
      </c>
      <c r="M232" s="9" t="n">
        <f aca="false">(parametros_manuales!$D$33*(datos_base!$J$2+datos_base!$J$18+IF(parametros_manuales!$H$33="Todos",datos_base!$J$9+datos_base!$J$23,0))*parametros_manuales!$M$95+parametros_manuales!$E$33*(datos_base!$J$3+datos_base!$J$19+IF(parametros_manuales!$H$33="Todos",datos_base!$J$10+datos_base!$J$24,0))*parametros_manuales!$M$100+parametros_manuales!$F$33*(datos_base!$J$4+datos_base!$J$20+IF(parametros_manuales!$H$33="Todos",datos_base!$J$11+datos_base!$J$25,0))*parametros_manuales!$M$105+parametros_manuales!$G$33*(datos_base!$J$5+datos_base!$J$21+IF(parametros_manuales!$H$33="Todos",datos_base!$J$12+datos_base!$J$26,0))*parametros_manuales!$M$110)*parametros_manuales!$I$33*parametros_manuales!$J$33</f>
        <v>22162.09652883</v>
      </c>
      <c r="N232" s="9" t="n">
        <f aca="false">SUM(B232:M232)</f>
        <v>246245.516987</v>
      </c>
      <c r="O232" s="9" t="n">
        <f aca="false">MAX(B232:M232)</f>
        <v>22162.09652883</v>
      </c>
      <c r="P232" s="43" t="n">
        <f aca="false">O232/(parametros_manuales!$B$7)</f>
        <v>147.7473101922</v>
      </c>
      <c r="Q232" s="8" t="str">
        <f aca="false">IF(O232=0,"-",INDEX($B$217:$M$217,MATCH(O232,B232:M232,0)))</f>
        <v>Ene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datos_base!$J$2+datos_base!$J$18+IF(parametros_manuales!$H$34="Todos",datos_base!$J$9+datos_base!$J$23,0))*parametros_manuales!$B$95+parametros_manuales!$E$34*(datos_base!$J$3+datos_base!$J$19+IF(parametros_manuales!$H$34="Todos",datos_base!$J$10+datos_base!$J$24,0))*parametros_manuales!$B$100+parametros_manuales!$F$34*(datos_base!$J$4+datos_base!$J$20+IF(parametros_manuales!$H$34="Todos",datos_base!$J$11+datos_base!$J$25,0))*parametros_manuales!$B$105+parametros_manuales!$G$34*(datos_base!$J$5+datos_base!$J$21+IF(parametros_manuales!$H$34="Todos",datos_base!$J$12+datos_base!$J$26,0))*parametros_manuales!$B$110)*parametros_manuales!$I$34*parametros_manuales!$J$34</f>
        <v>22162.09652883</v>
      </c>
      <c r="C233" s="9" t="n">
        <f aca="false">(parametros_manuales!$D$34*(datos_base!$J$2+datos_base!$J$18+IF(parametros_manuales!$H$34="Todos",datos_base!$J$9+datos_base!$J$23,0))*parametros_manuales!$C$95+parametros_manuales!$E$34*(datos_base!$J$3+datos_base!$J$19+IF(parametros_manuales!$H$34="Todos",datos_base!$J$10+datos_base!$J$24,0))*parametros_manuales!$C$100+parametros_manuales!$F$34*(datos_base!$J$4+datos_base!$J$20+IF(parametros_manuales!$H$34="Todos",datos_base!$J$11+datos_base!$J$25,0))*parametros_manuales!$C$105+parametros_manuales!$G$34*(datos_base!$J$5+datos_base!$J$21+IF(parametros_manuales!$H$34="Todos",datos_base!$J$12+datos_base!$J$26,0))*parametros_manuales!$C$110)*parametros_manuales!$I$34*parametros_manuales!$J$34</f>
        <v>21453.57272036</v>
      </c>
      <c r="D233" s="9" t="n">
        <f aca="false">(parametros_manuales!$D$34*(datos_base!$J$2+datos_base!$J$18+IF(parametros_manuales!$H$34="Todos",datos_base!$J$9+datos_base!$J$23,0))*parametros_manuales!$D$95+parametros_manuales!$E$34*(datos_base!$J$3+datos_base!$J$19+IF(parametros_manuales!$H$34="Todos",datos_base!$J$10+datos_base!$J$24,0))*parametros_manuales!$D$100+parametros_manuales!$F$34*(datos_base!$J$4+datos_base!$J$20+IF(parametros_manuales!$H$34="Todos",datos_base!$J$11+datos_base!$J$25,0))*parametros_manuales!$D$105+parametros_manuales!$G$34*(datos_base!$J$5+datos_base!$J$21+IF(parametros_manuales!$H$34="Todos",datos_base!$J$12+datos_base!$J$26,0))*parametros_manuales!$D$110)*parametros_manuales!$I$34*parametros_manuales!$J$34</f>
        <v>20053.903263195</v>
      </c>
      <c r="E233" s="9" t="n">
        <f aca="false">(parametros_manuales!$D$34*(datos_base!$J$2+datos_base!$J$18+IF(parametros_manuales!$H$34="Todos",datos_base!$J$9+datos_base!$J$23,0))*parametros_manuales!$E$95+parametros_manuales!$E$34*(datos_base!$J$3+datos_base!$J$19+IF(parametros_manuales!$H$34="Todos",datos_base!$J$10+datos_base!$J$24,0))*parametros_manuales!$E$100+parametros_manuales!$F$34*(datos_base!$J$4+datos_base!$J$20+IF(parametros_manuales!$H$34="Todos",datos_base!$J$11+datos_base!$J$25,0))*parametros_manuales!$E$105+parametros_manuales!$G$34*(datos_base!$J$5+datos_base!$J$21+IF(parametros_manuales!$H$34="Todos",datos_base!$J$12+datos_base!$J$26,0))*parametros_manuales!$E$110)*parametros_manuales!$I$34*parametros_manuales!$J$34</f>
        <v>19176.937582495</v>
      </c>
      <c r="F233" s="9" t="n">
        <f aca="false">(parametros_manuales!$D$34*(datos_base!$J$2+datos_base!$J$18+IF(parametros_manuales!$H$34="Todos",datos_base!$J$9+datos_base!$J$23,0))*parametros_manuales!$F$95+parametros_manuales!$E$34*(datos_base!$J$3+datos_base!$J$19+IF(parametros_manuales!$H$34="Todos",datos_base!$J$10+datos_base!$J$24,0))*parametros_manuales!$F$100+parametros_manuales!$F$34*(datos_base!$J$4+datos_base!$J$20+IF(parametros_manuales!$H$34="Todos",datos_base!$J$11+datos_base!$J$25,0))*parametros_manuales!$F$105+parametros_manuales!$G$34*(datos_base!$J$5+datos_base!$J$21+IF(parametros_manuales!$H$34="Todos",datos_base!$J$12+datos_base!$J$26,0))*parametros_manuales!$F$110)*parametros_manuales!$I$34*parametros_manuales!$J$34</f>
        <v>17945.70999756</v>
      </c>
      <c r="G233" s="9" t="n">
        <f aca="false">(parametros_manuales!$D$34*(datos_base!$J$2+datos_base!$J$18+IF(parametros_manuales!$H$34="Todos",datos_base!$J$9+datos_base!$J$23,0))*parametros_manuales!$G$95+parametros_manuales!$E$34*(datos_base!$J$3+datos_base!$J$19+IF(parametros_manuales!$H$34="Todos",datos_base!$J$10+datos_base!$J$24,0))*parametros_manuales!$G$100+parametros_manuales!$F$34*(datos_base!$J$4+datos_base!$J$20+IF(parametros_manuales!$H$34="Todos",datos_base!$J$11+datos_base!$J$25,0))*parametros_manuales!$G$105+parametros_manuales!$G$34*(datos_base!$J$5+datos_base!$J$21+IF(parametros_manuales!$H$34="Todos",datos_base!$J$12+datos_base!$J$26,0))*parametros_manuales!$G$110)*parametros_manuales!$I$34*parametros_manuales!$J$34</f>
        <v>17591.448093325</v>
      </c>
      <c r="H233" s="9" t="n">
        <f aca="false">(parametros_manuales!$D$34*(datos_base!$J$2+datos_base!$J$18+IF(parametros_manuales!$H$34="Todos",datos_base!$J$9+datos_base!$J$23,0))*parametros_manuales!$H$95+parametros_manuales!$E$34*(datos_base!$J$3+datos_base!$J$19+IF(parametros_manuales!$H$34="Todos",datos_base!$J$10+datos_base!$J$24,0))*parametros_manuales!$H$100+parametros_manuales!$F$34*(datos_base!$J$4+datos_base!$J$20+IF(parametros_manuales!$H$34="Todos",datos_base!$J$11+datos_base!$J$25,0))*parametros_manuales!$H$105+parametros_manuales!$G$34*(datos_base!$J$5+datos_base!$J$21+IF(parametros_manuales!$H$34="Todos",datos_base!$J$12+datos_base!$J$26,0))*parametros_manuales!$H$110)*parametros_manuales!$I$34*parametros_manuales!$J$34</f>
        <v>18822.67567826</v>
      </c>
      <c r="I233" s="9" t="n">
        <f aca="false">(parametros_manuales!$D$34*(datos_base!$J$2+datos_base!$J$18+IF(parametros_manuales!$H$34="Todos",datos_base!$J$9+datos_base!$J$23,0))*parametros_manuales!$I$95+parametros_manuales!$E$34*(datos_base!$J$3+datos_base!$J$19+IF(parametros_manuales!$H$34="Todos",datos_base!$J$10+datos_base!$J$24,0))*parametros_manuales!$I$100+parametros_manuales!$F$34*(datos_base!$J$4+datos_base!$J$20+IF(parametros_manuales!$H$34="Todos",datos_base!$J$11+datos_base!$J$25,0))*parametros_manuales!$I$105+parametros_manuales!$G$34*(datos_base!$J$5+datos_base!$J$21+IF(parametros_manuales!$H$34="Todos",datos_base!$J$12+datos_base!$J$26,0))*parametros_manuales!$I$110)*parametros_manuales!$I$34*parametros_manuales!$J$34</f>
        <v>21453.57272036</v>
      </c>
      <c r="J233" s="9" t="n">
        <f aca="false">(parametros_manuales!$D$34*(datos_base!$J$2+datos_base!$J$18+IF(parametros_manuales!$H$34="Todos",datos_base!$J$9+datos_base!$J$23,0))*parametros_manuales!$J$95+parametros_manuales!$E$34*(datos_base!$J$3+datos_base!$J$19+IF(parametros_manuales!$H$34="Todos",datos_base!$J$10+datos_base!$J$24,0))*parametros_manuales!$J$100+parametros_manuales!$F$34*(datos_base!$J$4+datos_base!$J$20+IF(parametros_manuales!$H$34="Todos",datos_base!$J$11+datos_base!$J$25,0))*parametros_manuales!$J$105+parametros_manuales!$G$34*(datos_base!$J$5+datos_base!$J$21+IF(parametros_manuales!$H$34="Todos",datos_base!$J$12+datos_base!$J$26,0))*parametros_manuales!$J$110)*parametros_manuales!$I$34*parametros_manuales!$J$34</f>
        <v>21453.57272036</v>
      </c>
      <c r="K233" s="9" t="n">
        <f aca="false">(parametros_manuales!$D$34*(datos_base!$J$2+datos_base!$J$18+IF(parametros_manuales!$H$34="Todos",datos_base!$J$9+datos_base!$J$23,0))*parametros_manuales!$K$95+parametros_manuales!$E$34*(datos_base!$J$3+datos_base!$J$19+IF(parametros_manuales!$H$34="Todos",datos_base!$J$10+datos_base!$J$24,0))*parametros_manuales!$K$100+parametros_manuales!$F$34*(datos_base!$J$4+datos_base!$J$20+IF(parametros_manuales!$H$34="Todos",datos_base!$J$11+datos_base!$J$25,0))*parametros_manuales!$K$105+parametros_manuales!$G$34*(datos_base!$J$5+datos_base!$J$21+IF(parametros_manuales!$H$34="Todos",datos_base!$J$12+datos_base!$J$26,0))*parametros_manuales!$K$110)*parametros_manuales!$I$34*parametros_manuales!$J$34</f>
        <v>21807.834624595</v>
      </c>
      <c r="L233" s="9" t="n">
        <f aca="false">(parametros_manuales!$D$34*(datos_base!$J$2+datos_base!$J$18+IF(parametros_manuales!$H$34="Todos",datos_base!$J$9+datos_base!$J$23,0))*parametros_manuales!$L$95+parametros_manuales!$E$34*(datos_base!$J$3+datos_base!$J$19+IF(parametros_manuales!$H$34="Todos",datos_base!$J$10+datos_base!$J$24,0))*parametros_manuales!$L$100+parametros_manuales!$F$34*(datos_base!$J$4+datos_base!$J$20+IF(parametros_manuales!$H$34="Todos",datos_base!$J$11+datos_base!$J$25,0))*parametros_manuales!$L$105+parametros_manuales!$G$34*(datos_base!$J$5+datos_base!$J$21+IF(parametros_manuales!$H$34="Todos",datos_base!$J$12+datos_base!$J$26,0))*parametros_manuales!$L$110)*parametros_manuales!$I$34*parametros_manuales!$J$34</f>
        <v>22162.09652883</v>
      </c>
      <c r="M233" s="9" t="n">
        <f aca="false">(parametros_manuales!$D$34*(datos_base!$J$2+datos_base!$J$18+IF(parametros_manuales!$H$34="Todos",datos_base!$J$9+datos_base!$J$23,0))*parametros_manuales!$M$95+parametros_manuales!$E$34*(datos_base!$J$3+datos_base!$J$19+IF(parametros_manuales!$H$34="Todos",datos_base!$J$10+datos_base!$J$24,0))*parametros_manuales!$M$100+parametros_manuales!$F$34*(datos_base!$J$4+datos_base!$J$20+IF(parametros_manuales!$H$34="Todos",datos_base!$J$11+datos_base!$J$25,0))*parametros_manuales!$M$105+parametros_manuales!$G$34*(datos_base!$J$5+datos_base!$J$21+IF(parametros_manuales!$H$34="Todos",datos_base!$J$12+datos_base!$J$26,0))*parametros_manuales!$M$110)*parametros_manuales!$I$34*parametros_manuales!$J$34</f>
        <v>22162.09652883</v>
      </c>
      <c r="N233" s="9" t="n">
        <f aca="false">SUM(B233:M233)</f>
        <v>246245.516987</v>
      </c>
      <c r="O233" s="9" t="n">
        <f aca="false">MAX(B233:M233)</f>
        <v>22162.09652883</v>
      </c>
      <c r="P233" s="43" t="n">
        <f aca="false">O233/(parametros_manuales!$B$7)</f>
        <v>147.7473101922</v>
      </c>
      <c r="Q233" s="8" t="str">
        <f aca="false">IF(O233=0,"-",INDEX($B$217:$M$217,MATCH(O233,B233:M233,0)))</f>
        <v>Ene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datos_base!$J$2+datos_base!$J$18+IF(parametros_manuales!$H$35="Todos",datos_base!$J$9+datos_base!$J$23,0))*parametros_manuales!$B$95+parametros_manuales!$E$35*(datos_base!$J$3+datos_base!$J$19+IF(parametros_manuales!$H$35="Todos",datos_base!$J$10+datos_base!$J$24,0))*parametros_manuales!$B$100+parametros_manuales!$F$35*(datos_base!$J$4+datos_base!$J$20+IF(parametros_manuales!$H$35="Todos",datos_base!$J$11+datos_base!$J$25,0))*parametros_manuales!$B$105+parametros_manuales!$G$35*(datos_base!$J$5+datos_base!$J$21+IF(parametros_manuales!$H$35="Todos",datos_base!$J$12+datos_base!$J$26,0))*parametros_manuales!$B$110)*parametros_manuales!$I$35*parametros_manuales!$J$35</f>
        <v>22162.09652883</v>
      </c>
      <c r="C234" s="9" t="n">
        <f aca="false">(parametros_manuales!$D$35*(datos_base!$J$2+datos_base!$J$18+IF(parametros_manuales!$H$35="Todos",datos_base!$J$9+datos_base!$J$23,0))*parametros_manuales!$C$95+parametros_manuales!$E$35*(datos_base!$J$3+datos_base!$J$19+IF(parametros_manuales!$H$35="Todos",datos_base!$J$10+datos_base!$J$24,0))*parametros_manuales!$C$100+parametros_manuales!$F$35*(datos_base!$J$4+datos_base!$J$20+IF(parametros_manuales!$H$35="Todos",datos_base!$J$11+datos_base!$J$25,0))*parametros_manuales!$C$105+parametros_manuales!$G$35*(datos_base!$J$5+datos_base!$J$21+IF(parametros_manuales!$H$35="Todos",datos_base!$J$12+datos_base!$J$26,0))*parametros_manuales!$C$110)*parametros_manuales!$I$35*parametros_manuales!$J$35</f>
        <v>21453.57272036</v>
      </c>
      <c r="D234" s="9" t="n">
        <f aca="false">(parametros_manuales!$D$35*(datos_base!$J$2+datos_base!$J$18+IF(parametros_manuales!$H$35="Todos",datos_base!$J$9+datos_base!$J$23,0))*parametros_manuales!$D$95+parametros_manuales!$E$35*(datos_base!$J$3+datos_base!$J$19+IF(parametros_manuales!$H$35="Todos",datos_base!$J$10+datos_base!$J$24,0))*parametros_manuales!$D$100+parametros_manuales!$F$35*(datos_base!$J$4+datos_base!$J$20+IF(parametros_manuales!$H$35="Todos",datos_base!$J$11+datos_base!$J$25,0))*parametros_manuales!$D$105+parametros_manuales!$G$35*(datos_base!$J$5+datos_base!$J$21+IF(parametros_manuales!$H$35="Todos",datos_base!$J$12+datos_base!$J$26,0))*parametros_manuales!$D$110)*parametros_manuales!$I$35*parametros_manuales!$J$35</f>
        <v>20053.903263195</v>
      </c>
      <c r="E234" s="9" t="n">
        <f aca="false">(parametros_manuales!$D$35*(datos_base!$J$2+datos_base!$J$18+IF(parametros_manuales!$H$35="Todos",datos_base!$J$9+datos_base!$J$23,0))*parametros_manuales!$E$95+parametros_manuales!$E$35*(datos_base!$J$3+datos_base!$J$19+IF(parametros_manuales!$H$35="Todos",datos_base!$J$10+datos_base!$J$24,0))*parametros_manuales!$E$100+parametros_manuales!$F$35*(datos_base!$J$4+datos_base!$J$20+IF(parametros_manuales!$H$35="Todos",datos_base!$J$11+datos_base!$J$25,0))*parametros_manuales!$E$105+parametros_manuales!$G$35*(datos_base!$J$5+datos_base!$J$21+IF(parametros_manuales!$H$35="Todos",datos_base!$J$12+datos_base!$J$26,0))*parametros_manuales!$E$110)*parametros_manuales!$I$35*parametros_manuales!$J$35</f>
        <v>19176.937582495</v>
      </c>
      <c r="F234" s="9" t="n">
        <f aca="false">(parametros_manuales!$D$35*(datos_base!$J$2+datos_base!$J$18+IF(parametros_manuales!$H$35="Todos",datos_base!$J$9+datos_base!$J$23,0))*parametros_manuales!$F$95+parametros_manuales!$E$35*(datos_base!$J$3+datos_base!$J$19+IF(parametros_manuales!$H$35="Todos",datos_base!$J$10+datos_base!$J$24,0))*parametros_manuales!$F$100+parametros_manuales!$F$35*(datos_base!$J$4+datos_base!$J$20+IF(parametros_manuales!$H$35="Todos",datos_base!$J$11+datos_base!$J$25,0))*parametros_manuales!$F$105+parametros_manuales!$G$35*(datos_base!$J$5+datos_base!$J$21+IF(parametros_manuales!$H$35="Todos",datos_base!$J$12+datos_base!$J$26,0))*parametros_manuales!$F$110)*parametros_manuales!$I$35*parametros_manuales!$J$35</f>
        <v>17945.70999756</v>
      </c>
      <c r="G234" s="9" t="n">
        <f aca="false">(parametros_manuales!$D$35*(datos_base!$J$2+datos_base!$J$18+IF(parametros_manuales!$H$35="Todos",datos_base!$J$9+datos_base!$J$23,0))*parametros_manuales!$G$95+parametros_manuales!$E$35*(datos_base!$J$3+datos_base!$J$19+IF(parametros_manuales!$H$35="Todos",datos_base!$J$10+datos_base!$J$24,0))*parametros_manuales!$G$100+parametros_manuales!$F$35*(datos_base!$J$4+datos_base!$J$20+IF(parametros_manuales!$H$35="Todos",datos_base!$J$11+datos_base!$J$25,0))*parametros_manuales!$G$105+parametros_manuales!$G$35*(datos_base!$J$5+datos_base!$J$21+IF(parametros_manuales!$H$35="Todos",datos_base!$J$12+datos_base!$J$26,0))*parametros_manuales!$G$110)*parametros_manuales!$I$35*parametros_manuales!$J$35</f>
        <v>17591.448093325</v>
      </c>
      <c r="H234" s="9" t="n">
        <f aca="false">(parametros_manuales!$D$35*(datos_base!$J$2+datos_base!$J$18+IF(parametros_manuales!$H$35="Todos",datos_base!$J$9+datos_base!$J$23,0))*parametros_manuales!$H$95+parametros_manuales!$E$35*(datos_base!$J$3+datos_base!$J$19+IF(parametros_manuales!$H$35="Todos",datos_base!$J$10+datos_base!$J$24,0))*parametros_manuales!$H$100+parametros_manuales!$F$35*(datos_base!$J$4+datos_base!$J$20+IF(parametros_manuales!$H$35="Todos",datos_base!$J$11+datos_base!$J$25,0))*parametros_manuales!$H$105+parametros_manuales!$G$35*(datos_base!$J$5+datos_base!$J$21+IF(parametros_manuales!$H$35="Todos",datos_base!$J$12+datos_base!$J$26,0))*parametros_manuales!$H$110)*parametros_manuales!$I$35*parametros_manuales!$J$35</f>
        <v>18822.67567826</v>
      </c>
      <c r="I234" s="9" t="n">
        <f aca="false">(parametros_manuales!$D$35*(datos_base!$J$2+datos_base!$J$18+IF(parametros_manuales!$H$35="Todos",datos_base!$J$9+datos_base!$J$23,0))*parametros_manuales!$I$95+parametros_manuales!$E$35*(datos_base!$J$3+datos_base!$J$19+IF(parametros_manuales!$H$35="Todos",datos_base!$J$10+datos_base!$J$24,0))*parametros_manuales!$I$100+parametros_manuales!$F$35*(datos_base!$J$4+datos_base!$J$20+IF(parametros_manuales!$H$35="Todos",datos_base!$J$11+datos_base!$J$25,0))*parametros_manuales!$I$105+parametros_manuales!$G$35*(datos_base!$J$5+datos_base!$J$21+IF(parametros_manuales!$H$35="Todos",datos_base!$J$12+datos_base!$J$26,0))*parametros_manuales!$I$110)*parametros_manuales!$I$35*parametros_manuales!$J$35</f>
        <v>21453.57272036</v>
      </c>
      <c r="J234" s="9" t="n">
        <f aca="false">(parametros_manuales!$D$35*(datos_base!$J$2+datos_base!$J$18+IF(parametros_manuales!$H$35="Todos",datos_base!$J$9+datos_base!$J$23,0))*parametros_manuales!$J$95+parametros_manuales!$E$35*(datos_base!$J$3+datos_base!$J$19+IF(parametros_manuales!$H$35="Todos",datos_base!$J$10+datos_base!$J$24,0))*parametros_manuales!$J$100+parametros_manuales!$F$35*(datos_base!$J$4+datos_base!$J$20+IF(parametros_manuales!$H$35="Todos",datos_base!$J$11+datos_base!$J$25,0))*parametros_manuales!$J$105+parametros_manuales!$G$35*(datos_base!$J$5+datos_base!$J$21+IF(parametros_manuales!$H$35="Todos",datos_base!$J$12+datos_base!$J$26,0))*parametros_manuales!$J$110)*parametros_manuales!$I$35*parametros_manuales!$J$35</f>
        <v>21453.57272036</v>
      </c>
      <c r="K234" s="9" t="n">
        <f aca="false">(parametros_manuales!$D$35*(datos_base!$J$2+datos_base!$J$18+IF(parametros_manuales!$H$35="Todos",datos_base!$J$9+datos_base!$J$23,0))*parametros_manuales!$K$95+parametros_manuales!$E$35*(datos_base!$J$3+datos_base!$J$19+IF(parametros_manuales!$H$35="Todos",datos_base!$J$10+datos_base!$J$24,0))*parametros_manuales!$K$100+parametros_manuales!$F$35*(datos_base!$J$4+datos_base!$J$20+IF(parametros_manuales!$H$35="Todos",datos_base!$J$11+datos_base!$J$25,0))*parametros_manuales!$K$105+parametros_manuales!$G$35*(datos_base!$J$5+datos_base!$J$21+IF(parametros_manuales!$H$35="Todos",datos_base!$J$12+datos_base!$J$26,0))*parametros_manuales!$K$110)*parametros_manuales!$I$35*parametros_manuales!$J$35</f>
        <v>21807.834624595</v>
      </c>
      <c r="L234" s="9" t="n">
        <f aca="false">(parametros_manuales!$D$35*(datos_base!$J$2+datos_base!$J$18+IF(parametros_manuales!$H$35="Todos",datos_base!$J$9+datos_base!$J$23,0))*parametros_manuales!$L$95+parametros_manuales!$E$35*(datos_base!$J$3+datos_base!$J$19+IF(parametros_manuales!$H$35="Todos",datos_base!$J$10+datos_base!$J$24,0))*parametros_manuales!$L$100+parametros_manuales!$F$35*(datos_base!$J$4+datos_base!$J$20+IF(parametros_manuales!$H$35="Todos",datos_base!$J$11+datos_base!$J$25,0))*parametros_manuales!$L$105+parametros_manuales!$G$35*(datos_base!$J$5+datos_base!$J$21+IF(parametros_manuales!$H$35="Todos",datos_base!$J$12+datos_base!$J$26,0))*parametros_manuales!$L$110)*parametros_manuales!$I$35*parametros_manuales!$J$35</f>
        <v>22162.09652883</v>
      </c>
      <c r="M234" s="9" t="n">
        <f aca="false">(parametros_manuales!$D$35*(datos_base!$J$2+datos_base!$J$18+IF(parametros_manuales!$H$35="Todos",datos_base!$J$9+datos_base!$J$23,0))*parametros_manuales!$M$95+parametros_manuales!$E$35*(datos_base!$J$3+datos_base!$J$19+IF(parametros_manuales!$H$35="Todos",datos_base!$J$10+datos_base!$J$24,0))*parametros_manuales!$M$100+parametros_manuales!$F$35*(datos_base!$J$4+datos_base!$J$20+IF(parametros_manuales!$H$35="Todos",datos_base!$J$11+datos_base!$J$25,0))*parametros_manuales!$M$105+parametros_manuales!$G$35*(datos_base!$J$5+datos_base!$J$21+IF(parametros_manuales!$H$35="Todos",datos_base!$J$12+datos_base!$J$26,0))*parametros_manuales!$M$110)*parametros_manuales!$I$35*parametros_manuales!$J$35</f>
        <v>22162.09652883</v>
      </c>
      <c r="N234" s="9" t="n">
        <f aca="false">SUM(B234:M234)</f>
        <v>246245.516987</v>
      </c>
      <c r="O234" s="9" t="n">
        <f aca="false">MAX(B234:M234)</f>
        <v>22162.09652883</v>
      </c>
      <c r="P234" s="43" t="n">
        <f aca="false">O234/(parametros_manuales!$B$7)</f>
        <v>147.7473101922</v>
      </c>
      <c r="Q234" s="8" t="str">
        <f aca="false">IF(O234=0,"-",INDEX($B$217:$M$217,MATCH(O234,B234:M234,0)))</f>
        <v>Ene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datos_base!$J$2+datos_base!$J$18+IF(parametros_manuales!$H$36="Todos",datos_base!$J$9+datos_base!$J$23,0))*parametros_manuales!$B$95+parametros_manuales!$E$36*(datos_base!$J$3+datos_base!$J$19+IF(parametros_manuales!$H$36="Todos",datos_base!$J$10+datos_base!$J$24,0))*parametros_manuales!$B$100+parametros_manuales!$F$36*(datos_base!$J$4+datos_base!$J$20+IF(parametros_manuales!$H$36="Todos",datos_base!$J$11+datos_base!$J$25,0))*parametros_manuales!$B$105+parametros_manuales!$G$36*(datos_base!$J$5+datos_base!$J$21+IF(parametros_manuales!$H$36="Todos",datos_base!$J$12+datos_base!$J$26,0))*parametros_manuales!$B$110)*parametros_manuales!$I$36*parametros_manuales!$J$36</f>
        <v>1108.1048264415</v>
      </c>
      <c r="C235" s="9" t="n">
        <f aca="false">(parametros_manuales!$D$36*(datos_base!$J$2+datos_base!$J$18+IF(parametros_manuales!$H$36="Todos",datos_base!$J$9+datos_base!$J$23,0))*parametros_manuales!$C$95+parametros_manuales!$E$36*(datos_base!$J$3+datos_base!$J$19+IF(parametros_manuales!$H$36="Todos",datos_base!$J$10+datos_base!$J$24,0))*parametros_manuales!$C$100+parametros_manuales!$F$36*(datos_base!$J$4+datos_base!$J$20+IF(parametros_manuales!$H$36="Todos",datos_base!$J$11+datos_base!$J$25,0))*parametros_manuales!$C$105+parametros_manuales!$G$36*(datos_base!$J$5+datos_base!$J$21+IF(parametros_manuales!$H$36="Todos",datos_base!$J$12+datos_base!$J$26,0))*parametros_manuales!$C$110)*parametros_manuales!$I$36*parametros_manuales!$J$36</f>
        <v>1072.678636018</v>
      </c>
      <c r="D235" s="9" t="n">
        <f aca="false">(parametros_manuales!$D$36*(datos_base!$J$2+datos_base!$J$18+IF(parametros_manuales!$H$36="Todos",datos_base!$J$9+datos_base!$J$23,0))*parametros_manuales!$D$95+parametros_manuales!$E$36*(datos_base!$J$3+datos_base!$J$19+IF(parametros_manuales!$H$36="Todos",datos_base!$J$10+datos_base!$J$24,0))*parametros_manuales!$D$100+parametros_manuales!$F$36*(datos_base!$J$4+datos_base!$J$20+IF(parametros_manuales!$H$36="Todos",datos_base!$J$11+datos_base!$J$25,0))*parametros_manuales!$D$105+parametros_manuales!$G$36*(datos_base!$J$5+datos_base!$J$21+IF(parametros_manuales!$H$36="Todos",datos_base!$J$12+datos_base!$J$26,0))*parametros_manuales!$D$110)*parametros_manuales!$I$36*parametros_manuales!$J$36</f>
        <v>1002.69516315975</v>
      </c>
      <c r="E235" s="9" t="n">
        <f aca="false">(parametros_manuales!$D$36*(datos_base!$J$2+datos_base!$J$18+IF(parametros_manuales!$H$36="Todos",datos_base!$J$9+datos_base!$J$23,0))*parametros_manuales!$E$95+parametros_manuales!$E$36*(datos_base!$J$3+datos_base!$J$19+IF(parametros_manuales!$H$36="Todos",datos_base!$J$10+datos_base!$J$24,0))*parametros_manuales!$E$100+parametros_manuales!$F$36*(datos_base!$J$4+datos_base!$J$20+IF(parametros_manuales!$H$36="Todos",datos_base!$J$11+datos_base!$J$25,0))*parametros_manuales!$E$105+parametros_manuales!$G$36*(datos_base!$J$5+datos_base!$J$21+IF(parametros_manuales!$H$36="Todos",datos_base!$J$12+datos_base!$J$26,0))*parametros_manuales!$E$110)*parametros_manuales!$I$36*parametros_manuales!$J$36</f>
        <v>958.84687912475</v>
      </c>
      <c r="F235" s="9" t="n">
        <f aca="false">(parametros_manuales!$D$36*(datos_base!$J$2+datos_base!$J$18+IF(parametros_manuales!$H$36="Todos",datos_base!$J$9+datos_base!$J$23,0))*parametros_manuales!$F$95+parametros_manuales!$E$36*(datos_base!$J$3+datos_base!$J$19+IF(parametros_manuales!$H$36="Todos",datos_base!$J$10+datos_base!$J$24,0))*parametros_manuales!$F$100+parametros_manuales!$F$36*(datos_base!$J$4+datos_base!$J$20+IF(parametros_manuales!$H$36="Todos",datos_base!$J$11+datos_base!$J$25,0))*parametros_manuales!$F$105+parametros_manuales!$G$36*(datos_base!$J$5+datos_base!$J$21+IF(parametros_manuales!$H$36="Todos",datos_base!$J$12+datos_base!$J$26,0))*parametros_manuales!$F$110)*parametros_manuales!$I$36*parametros_manuales!$J$36</f>
        <v>897.285499878</v>
      </c>
      <c r="G235" s="9" t="n">
        <f aca="false">(parametros_manuales!$D$36*(datos_base!$J$2+datos_base!$J$18+IF(parametros_manuales!$H$36="Todos",datos_base!$J$9+datos_base!$J$23,0))*parametros_manuales!$G$95+parametros_manuales!$E$36*(datos_base!$J$3+datos_base!$J$19+IF(parametros_manuales!$H$36="Todos",datos_base!$J$10+datos_base!$J$24,0))*parametros_manuales!$G$100+parametros_manuales!$F$36*(datos_base!$J$4+datos_base!$J$20+IF(parametros_manuales!$H$36="Todos",datos_base!$J$11+datos_base!$J$25,0))*parametros_manuales!$G$105+parametros_manuales!$G$36*(datos_base!$J$5+datos_base!$J$21+IF(parametros_manuales!$H$36="Todos",datos_base!$J$12+datos_base!$J$26,0))*parametros_manuales!$G$110)*parametros_manuales!$I$36*parametros_manuales!$J$36</f>
        <v>879.57240466625</v>
      </c>
      <c r="H235" s="9" t="n">
        <f aca="false">(parametros_manuales!$D$36*(datos_base!$J$2+datos_base!$J$18+IF(parametros_manuales!$H$36="Todos",datos_base!$J$9+datos_base!$J$23,0))*parametros_manuales!$H$95+parametros_manuales!$E$36*(datos_base!$J$3+datos_base!$J$19+IF(parametros_manuales!$H$36="Todos",datos_base!$J$10+datos_base!$J$24,0))*parametros_manuales!$H$100+parametros_manuales!$F$36*(datos_base!$J$4+datos_base!$J$20+IF(parametros_manuales!$H$36="Todos",datos_base!$J$11+datos_base!$J$25,0))*parametros_manuales!$H$105+parametros_manuales!$G$36*(datos_base!$J$5+datos_base!$J$21+IF(parametros_manuales!$H$36="Todos",datos_base!$J$12+datos_base!$J$26,0))*parametros_manuales!$H$110)*parametros_manuales!$I$36*parametros_manuales!$J$36</f>
        <v>941.133783913</v>
      </c>
      <c r="I235" s="9" t="n">
        <f aca="false">(parametros_manuales!$D$36*(datos_base!$J$2+datos_base!$J$18+IF(parametros_manuales!$H$36="Todos",datos_base!$J$9+datos_base!$J$23,0))*parametros_manuales!$I$95+parametros_manuales!$E$36*(datos_base!$J$3+datos_base!$J$19+IF(parametros_manuales!$H$36="Todos",datos_base!$J$10+datos_base!$J$24,0))*parametros_manuales!$I$100+parametros_manuales!$F$36*(datos_base!$J$4+datos_base!$J$20+IF(parametros_manuales!$H$36="Todos",datos_base!$J$11+datos_base!$J$25,0))*parametros_manuales!$I$105+parametros_manuales!$G$36*(datos_base!$J$5+datos_base!$J$21+IF(parametros_manuales!$H$36="Todos",datos_base!$J$12+datos_base!$J$26,0))*parametros_manuales!$I$110)*parametros_manuales!$I$36*parametros_manuales!$J$36</f>
        <v>1072.678636018</v>
      </c>
      <c r="J235" s="9" t="n">
        <f aca="false">(parametros_manuales!$D$36*(datos_base!$J$2+datos_base!$J$18+IF(parametros_manuales!$H$36="Todos",datos_base!$J$9+datos_base!$J$23,0))*parametros_manuales!$J$95+parametros_manuales!$E$36*(datos_base!$J$3+datos_base!$J$19+IF(parametros_manuales!$H$36="Todos",datos_base!$J$10+datos_base!$J$24,0))*parametros_manuales!$J$100+parametros_manuales!$F$36*(datos_base!$J$4+datos_base!$J$20+IF(parametros_manuales!$H$36="Todos",datos_base!$J$11+datos_base!$J$25,0))*parametros_manuales!$J$105+parametros_manuales!$G$36*(datos_base!$J$5+datos_base!$J$21+IF(parametros_manuales!$H$36="Todos",datos_base!$J$12+datos_base!$J$26,0))*parametros_manuales!$J$110)*parametros_manuales!$I$36*parametros_manuales!$J$36</f>
        <v>1072.678636018</v>
      </c>
      <c r="K235" s="9" t="n">
        <f aca="false">(parametros_manuales!$D$36*(datos_base!$J$2+datos_base!$J$18+IF(parametros_manuales!$H$36="Todos",datos_base!$J$9+datos_base!$J$23,0))*parametros_manuales!$K$95+parametros_manuales!$E$36*(datos_base!$J$3+datos_base!$J$19+IF(parametros_manuales!$H$36="Todos",datos_base!$J$10+datos_base!$J$24,0))*parametros_manuales!$K$100+parametros_manuales!$F$36*(datos_base!$J$4+datos_base!$J$20+IF(parametros_manuales!$H$36="Todos",datos_base!$J$11+datos_base!$J$25,0))*parametros_manuales!$K$105+parametros_manuales!$G$36*(datos_base!$J$5+datos_base!$J$21+IF(parametros_manuales!$H$36="Todos",datos_base!$J$12+datos_base!$J$26,0))*parametros_manuales!$K$110)*parametros_manuales!$I$36*parametros_manuales!$J$36</f>
        <v>1090.39173122975</v>
      </c>
      <c r="L235" s="9" t="n">
        <f aca="false">(parametros_manuales!$D$36*(datos_base!$J$2+datos_base!$J$18+IF(parametros_manuales!$H$36="Todos",datos_base!$J$9+datos_base!$J$23,0))*parametros_manuales!$L$95+parametros_manuales!$E$36*(datos_base!$J$3+datos_base!$J$19+IF(parametros_manuales!$H$36="Todos",datos_base!$J$10+datos_base!$J$24,0))*parametros_manuales!$L$100+parametros_manuales!$F$36*(datos_base!$J$4+datos_base!$J$20+IF(parametros_manuales!$H$36="Todos",datos_base!$J$11+datos_base!$J$25,0))*parametros_manuales!$L$105+parametros_manuales!$G$36*(datos_base!$J$5+datos_base!$J$21+IF(parametros_manuales!$H$36="Todos",datos_base!$J$12+datos_base!$J$26,0))*parametros_manuales!$L$110)*parametros_manuales!$I$36*parametros_manuales!$J$36</f>
        <v>1108.1048264415</v>
      </c>
      <c r="M235" s="9" t="n">
        <f aca="false">(parametros_manuales!$D$36*(datos_base!$J$2+datos_base!$J$18+IF(parametros_manuales!$H$36="Todos",datos_base!$J$9+datos_base!$J$23,0))*parametros_manuales!$M$95+parametros_manuales!$E$36*(datos_base!$J$3+datos_base!$J$19+IF(parametros_manuales!$H$36="Todos",datos_base!$J$10+datos_base!$J$24,0))*parametros_manuales!$M$100+parametros_manuales!$F$36*(datos_base!$J$4+datos_base!$J$20+IF(parametros_manuales!$H$36="Todos",datos_base!$J$11+datos_base!$J$25,0))*parametros_manuales!$M$105+parametros_manuales!$G$36*(datos_base!$J$5+datos_base!$J$21+IF(parametros_manuales!$H$36="Todos",datos_base!$J$12+datos_base!$J$26,0))*parametros_manuales!$M$110)*parametros_manuales!$I$36*parametros_manuales!$J$36</f>
        <v>1108.1048264415</v>
      </c>
      <c r="N235" s="9" t="n">
        <f aca="false">SUM(B235:M235)</f>
        <v>12312.27584935</v>
      </c>
      <c r="O235" s="9" t="n">
        <f aca="false">MAX(B235:M235)</f>
        <v>1108.1048264415</v>
      </c>
      <c r="P235" s="43" t="n">
        <f aca="false">O235/(parametros_manuales!$B$7)</f>
        <v>7.38736550961</v>
      </c>
      <c r="Q235" s="8" t="str">
        <f aca="false">IF(O235=0,"-",INDEX($B$217:$M$217,MATCH(O235,B235:M235,0)))</f>
        <v>Ene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datos_base!$J$2+datos_base!$J$18+IF(parametros_manuales!$H$37="Todos",datos_base!$J$9+datos_base!$J$23,0))*parametros_manuales!$B$95+parametros_manuales!$E$37*(datos_base!$J$3+datos_base!$J$19+IF(parametros_manuales!$H$37="Todos",datos_base!$J$10+datos_base!$J$24,0))*parametros_manuales!$B$100+parametros_manuales!$F$37*(datos_base!$J$4+datos_base!$J$20+IF(parametros_manuales!$H$37="Todos",datos_base!$J$11+datos_base!$J$25,0))*parametros_manuales!$B$105+parametros_manuales!$G$37*(datos_base!$J$5+datos_base!$J$21+IF(parametros_manuales!$H$37="Todos",datos_base!$J$12+datos_base!$J$26,0))*parametros_manuales!$B$110)*parametros_manuales!$I$37*parametros_manuales!$J$37</f>
        <v>22162.09652883</v>
      </c>
      <c r="C236" s="9" t="n">
        <f aca="false">(parametros_manuales!$D$37*(datos_base!$J$2+datos_base!$J$18+IF(parametros_manuales!$H$37="Todos",datos_base!$J$9+datos_base!$J$23,0))*parametros_manuales!$C$95+parametros_manuales!$E$37*(datos_base!$J$3+datos_base!$J$19+IF(parametros_manuales!$H$37="Todos",datos_base!$J$10+datos_base!$J$24,0))*parametros_manuales!$C$100+parametros_manuales!$F$37*(datos_base!$J$4+datos_base!$J$20+IF(parametros_manuales!$H$37="Todos",datos_base!$J$11+datos_base!$J$25,0))*parametros_manuales!$C$105+parametros_manuales!$G$37*(datos_base!$J$5+datos_base!$J$21+IF(parametros_manuales!$H$37="Todos",datos_base!$J$12+datos_base!$J$26,0))*parametros_manuales!$C$110)*parametros_manuales!$I$37*parametros_manuales!$J$37</f>
        <v>21453.57272036</v>
      </c>
      <c r="D236" s="9" t="n">
        <f aca="false">(parametros_manuales!$D$37*(datos_base!$J$2+datos_base!$J$18+IF(parametros_manuales!$H$37="Todos",datos_base!$J$9+datos_base!$J$23,0))*parametros_manuales!$D$95+parametros_manuales!$E$37*(datos_base!$J$3+datos_base!$J$19+IF(parametros_manuales!$H$37="Todos",datos_base!$J$10+datos_base!$J$24,0))*parametros_manuales!$D$100+parametros_manuales!$F$37*(datos_base!$J$4+datos_base!$J$20+IF(parametros_manuales!$H$37="Todos",datos_base!$J$11+datos_base!$J$25,0))*parametros_manuales!$D$105+parametros_manuales!$G$37*(datos_base!$J$5+datos_base!$J$21+IF(parametros_manuales!$H$37="Todos",datos_base!$J$12+datos_base!$J$26,0))*parametros_manuales!$D$110)*parametros_manuales!$I$37*parametros_manuales!$J$37</f>
        <v>20053.903263195</v>
      </c>
      <c r="E236" s="9" t="n">
        <f aca="false">(parametros_manuales!$D$37*(datos_base!$J$2+datos_base!$J$18+IF(parametros_manuales!$H$37="Todos",datos_base!$J$9+datos_base!$J$23,0))*parametros_manuales!$E$95+parametros_manuales!$E$37*(datos_base!$J$3+datos_base!$J$19+IF(parametros_manuales!$H$37="Todos",datos_base!$J$10+datos_base!$J$24,0))*parametros_manuales!$E$100+parametros_manuales!$F$37*(datos_base!$J$4+datos_base!$J$20+IF(parametros_manuales!$H$37="Todos",datos_base!$J$11+datos_base!$J$25,0))*parametros_manuales!$E$105+parametros_manuales!$G$37*(datos_base!$J$5+datos_base!$J$21+IF(parametros_manuales!$H$37="Todos",datos_base!$J$12+datos_base!$J$26,0))*parametros_manuales!$E$110)*parametros_manuales!$I$37*parametros_manuales!$J$37</f>
        <v>19176.937582495</v>
      </c>
      <c r="F236" s="9" t="n">
        <f aca="false">(parametros_manuales!$D$37*(datos_base!$J$2+datos_base!$J$18+IF(parametros_manuales!$H$37="Todos",datos_base!$J$9+datos_base!$J$23,0))*parametros_manuales!$F$95+parametros_manuales!$E$37*(datos_base!$J$3+datos_base!$J$19+IF(parametros_manuales!$H$37="Todos",datos_base!$J$10+datos_base!$J$24,0))*parametros_manuales!$F$100+parametros_manuales!$F$37*(datos_base!$J$4+datos_base!$J$20+IF(parametros_manuales!$H$37="Todos",datos_base!$J$11+datos_base!$J$25,0))*parametros_manuales!$F$105+parametros_manuales!$G$37*(datos_base!$J$5+datos_base!$J$21+IF(parametros_manuales!$H$37="Todos",datos_base!$J$12+datos_base!$J$26,0))*parametros_manuales!$F$110)*parametros_manuales!$I$37*parametros_manuales!$J$37</f>
        <v>17945.70999756</v>
      </c>
      <c r="G236" s="9" t="n">
        <f aca="false">(parametros_manuales!$D$37*(datos_base!$J$2+datos_base!$J$18+IF(parametros_manuales!$H$37="Todos",datos_base!$J$9+datos_base!$J$23,0))*parametros_manuales!$G$95+parametros_manuales!$E$37*(datos_base!$J$3+datos_base!$J$19+IF(parametros_manuales!$H$37="Todos",datos_base!$J$10+datos_base!$J$24,0))*parametros_manuales!$G$100+parametros_manuales!$F$37*(datos_base!$J$4+datos_base!$J$20+IF(parametros_manuales!$H$37="Todos",datos_base!$J$11+datos_base!$J$25,0))*parametros_manuales!$G$105+parametros_manuales!$G$37*(datos_base!$J$5+datos_base!$J$21+IF(parametros_manuales!$H$37="Todos",datos_base!$J$12+datos_base!$J$26,0))*parametros_manuales!$G$110)*parametros_manuales!$I$37*parametros_manuales!$J$37</f>
        <v>17591.448093325</v>
      </c>
      <c r="H236" s="9" t="n">
        <f aca="false">(parametros_manuales!$D$37*(datos_base!$J$2+datos_base!$J$18+IF(parametros_manuales!$H$37="Todos",datos_base!$J$9+datos_base!$J$23,0))*parametros_manuales!$H$95+parametros_manuales!$E$37*(datos_base!$J$3+datos_base!$J$19+IF(parametros_manuales!$H$37="Todos",datos_base!$J$10+datos_base!$J$24,0))*parametros_manuales!$H$100+parametros_manuales!$F$37*(datos_base!$J$4+datos_base!$J$20+IF(parametros_manuales!$H$37="Todos",datos_base!$J$11+datos_base!$J$25,0))*parametros_manuales!$H$105+parametros_manuales!$G$37*(datos_base!$J$5+datos_base!$J$21+IF(parametros_manuales!$H$37="Todos",datos_base!$J$12+datos_base!$J$26,0))*parametros_manuales!$H$110)*parametros_manuales!$I$37*parametros_manuales!$J$37</f>
        <v>18822.67567826</v>
      </c>
      <c r="I236" s="9" t="n">
        <f aca="false">(parametros_manuales!$D$37*(datos_base!$J$2+datos_base!$J$18+IF(parametros_manuales!$H$37="Todos",datos_base!$J$9+datos_base!$J$23,0))*parametros_manuales!$I$95+parametros_manuales!$E$37*(datos_base!$J$3+datos_base!$J$19+IF(parametros_manuales!$H$37="Todos",datos_base!$J$10+datos_base!$J$24,0))*parametros_manuales!$I$100+parametros_manuales!$F$37*(datos_base!$J$4+datos_base!$J$20+IF(parametros_manuales!$H$37="Todos",datos_base!$J$11+datos_base!$J$25,0))*parametros_manuales!$I$105+parametros_manuales!$G$37*(datos_base!$J$5+datos_base!$J$21+IF(parametros_manuales!$H$37="Todos",datos_base!$J$12+datos_base!$J$26,0))*parametros_manuales!$I$110)*parametros_manuales!$I$37*parametros_manuales!$J$37</f>
        <v>21453.57272036</v>
      </c>
      <c r="J236" s="9" t="n">
        <f aca="false">(parametros_manuales!$D$37*(datos_base!$J$2+datos_base!$J$18+IF(parametros_manuales!$H$37="Todos",datos_base!$J$9+datos_base!$J$23,0))*parametros_manuales!$J$95+parametros_manuales!$E$37*(datos_base!$J$3+datos_base!$J$19+IF(parametros_manuales!$H$37="Todos",datos_base!$J$10+datos_base!$J$24,0))*parametros_manuales!$J$100+parametros_manuales!$F$37*(datos_base!$J$4+datos_base!$J$20+IF(parametros_manuales!$H$37="Todos",datos_base!$J$11+datos_base!$J$25,0))*parametros_manuales!$J$105+parametros_manuales!$G$37*(datos_base!$J$5+datos_base!$J$21+IF(parametros_manuales!$H$37="Todos",datos_base!$J$12+datos_base!$J$26,0))*parametros_manuales!$J$110)*parametros_manuales!$I$37*parametros_manuales!$J$37</f>
        <v>21453.57272036</v>
      </c>
      <c r="K236" s="9" t="n">
        <f aca="false">(parametros_manuales!$D$37*(datos_base!$J$2+datos_base!$J$18+IF(parametros_manuales!$H$37="Todos",datos_base!$J$9+datos_base!$J$23,0))*parametros_manuales!$K$95+parametros_manuales!$E$37*(datos_base!$J$3+datos_base!$J$19+IF(parametros_manuales!$H$37="Todos",datos_base!$J$10+datos_base!$J$24,0))*parametros_manuales!$K$100+parametros_manuales!$F$37*(datos_base!$J$4+datos_base!$J$20+IF(parametros_manuales!$H$37="Todos",datos_base!$J$11+datos_base!$J$25,0))*parametros_manuales!$K$105+parametros_manuales!$G$37*(datos_base!$J$5+datos_base!$J$21+IF(parametros_manuales!$H$37="Todos",datos_base!$J$12+datos_base!$J$26,0))*parametros_manuales!$K$110)*parametros_manuales!$I$37*parametros_manuales!$J$37</f>
        <v>21807.834624595</v>
      </c>
      <c r="L236" s="9" t="n">
        <f aca="false">(parametros_manuales!$D$37*(datos_base!$J$2+datos_base!$J$18+IF(parametros_manuales!$H$37="Todos",datos_base!$J$9+datos_base!$J$23,0))*parametros_manuales!$L$95+parametros_manuales!$E$37*(datos_base!$J$3+datos_base!$J$19+IF(parametros_manuales!$H$37="Todos",datos_base!$J$10+datos_base!$J$24,0))*parametros_manuales!$L$100+parametros_manuales!$F$37*(datos_base!$J$4+datos_base!$J$20+IF(parametros_manuales!$H$37="Todos",datos_base!$J$11+datos_base!$J$25,0))*parametros_manuales!$L$105+parametros_manuales!$G$37*(datos_base!$J$5+datos_base!$J$21+IF(parametros_manuales!$H$37="Todos",datos_base!$J$12+datos_base!$J$26,0))*parametros_manuales!$L$110)*parametros_manuales!$I$37*parametros_manuales!$J$37</f>
        <v>22162.09652883</v>
      </c>
      <c r="M236" s="9" t="n">
        <f aca="false">(parametros_manuales!$D$37*(datos_base!$J$2+datos_base!$J$18+IF(parametros_manuales!$H$37="Todos",datos_base!$J$9+datos_base!$J$23,0))*parametros_manuales!$M$95+parametros_manuales!$E$37*(datos_base!$J$3+datos_base!$J$19+IF(parametros_manuales!$H$37="Todos",datos_base!$J$10+datos_base!$J$24,0))*parametros_manuales!$M$100+parametros_manuales!$F$37*(datos_base!$J$4+datos_base!$J$20+IF(parametros_manuales!$H$37="Todos",datos_base!$J$11+datos_base!$J$25,0))*parametros_manuales!$M$105+parametros_manuales!$G$37*(datos_base!$J$5+datos_base!$J$21+IF(parametros_manuales!$H$37="Todos",datos_base!$J$12+datos_base!$J$26,0))*parametros_manuales!$M$110)*parametros_manuales!$I$37*parametros_manuales!$J$37</f>
        <v>22162.09652883</v>
      </c>
      <c r="N236" s="9" t="n">
        <f aca="false">SUM(B236:M236)</f>
        <v>246245.516987</v>
      </c>
      <c r="O236" s="9" t="n">
        <f aca="false">MAX(B236:M236)</f>
        <v>22162.09652883</v>
      </c>
      <c r="P236" s="43" t="n">
        <f aca="false">O236/(parametros_manuales!$B$7)</f>
        <v>147.7473101922</v>
      </c>
      <c r="Q236" s="8" t="str">
        <f aca="false">IF(O236=0,"-",INDEX($B$217:$M$217,MATCH(O236,B236:M236,0)))</f>
        <v>Ene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datos_base!$J$2+datos_base!$J$18+IF(parametros_manuales!$H$38="Todos",datos_base!$J$9+datos_base!$J$23,0))*parametros_manuales!$B$95+parametros_manuales!$E$38*(datos_base!$J$3+datos_base!$J$19+IF(parametros_manuales!$H$38="Todos",datos_base!$J$10+datos_base!$J$24,0))*parametros_manuales!$B$100+parametros_manuales!$F$38*(datos_base!$J$4+datos_base!$J$20+IF(parametros_manuales!$H$38="Todos",datos_base!$J$11+datos_base!$J$25,0))*parametros_manuales!$B$105+parametros_manuales!$G$38*(datos_base!$J$5+datos_base!$J$21+IF(parametros_manuales!$H$38="Todos",datos_base!$J$12+datos_base!$J$26,0))*parametros_manuales!$B$110)*parametros_manuales!$I$38*parametros_manuales!$J$38</f>
        <v>5709.83372883</v>
      </c>
      <c r="C237" s="9" t="n">
        <f aca="false">(parametros_manuales!$D$38*(datos_base!$J$2+datos_base!$J$18+IF(parametros_manuales!$H$38="Todos",datos_base!$J$9+datos_base!$J$23,0))*parametros_manuales!$C$95+parametros_manuales!$E$38*(datos_base!$J$3+datos_base!$J$19+IF(parametros_manuales!$H$38="Todos",datos_base!$J$10+datos_base!$J$24,0))*parametros_manuales!$C$100+parametros_manuales!$F$38*(datos_base!$J$4+datos_base!$J$20+IF(parametros_manuales!$H$38="Todos",datos_base!$J$11+datos_base!$J$25,0))*parametros_manuales!$C$105+parametros_manuales!$G$38*(datos_base!$J$5+datos_base!$J$21+IF(parametros_manuales!$H$38="Todos",datos_base!$J$12+datos_base!$J$26,0))*parametros_manuales!$C$110)*parametros_manuales!$I$38*parametros_manuales!$J$38</f>
        <v>5361.14112036</v>
      </c>
      <c r="D237" s="9" t="n">
        <f aca="false">(parametros_manuales!$D$38*(datos_base!$J$2+datos_base!$J$18+IF(parametros_manuales!$H$38="Todos",datos_base!$J$9+datos_base!$J$23,0))*parametros_manuales!$D$95+parametros_manuales!$E$38*(datos_base!$J$3+datos_base!$J$19+IF(parametros_manuales!$H$38="Todos",datos_base!$J$10+datos_base!$J$24,0))*parametros_manuales!$D$100+parametros_manuales!$F$38*(datos_base!$J$4+datos_base!$J$20+IF(parametros_manuales!$H$38="Todos",datos_base!$J$11+datos_base!$J$25,0))*parametros_manuales!$D$105+parametros_manuales!$G$38*(datos_base!$J$5+datos_base!$J$21+IF(parametros_manuales!$H$38="Todos",datos_base!$J$12+datos_base!$J$26,0))*parametros_manuales!$D$110)*parametros_manuales!$I$38*parametros_manuales!$J$38</f>
        <v>5249.754063195</v>
      </c>
      <c r="E237" s="9" t="n">
        <f aca="false">(parametros_manuales!$D$38*(datos_base!$J$2+datos_base!$J$18+IF(parametros_manuales!$H$38="Todos",datos_base!$J$9+datos_base!$J$23,0))*parametros_manuales!$E$95+parametros_manuales!$E$38*(datos_base!$J$3+datos_base!$J$19+IF(parametros_manuales!$H$38="Todos",datos_base!$J$10+datos_base!$J$24,0))*parametros_manuales!$E$100+parametros_manuales!$F$38*(datos_base!$J$4+datos_base!$J$20+IF(parametros_manuales!$H$38="Todos",datos_base!$J$11+datos_base!$J$25,0))*parametros_manuales!$E$105+parametros_manuales!$G$38*(datos_base!$J$5+datos_base!$J$21+IF(parametros_manuales!$H$38="Todos",datos_base!$J$12+datos_base!$J$26,0))*parametros_manuales!$E$110)*parametros_manuales!$I$38*parametros_manuales!$J$38</f>
        <v>5106.887382495</v>
      </c>
      <c r="F237" s="9" t="n">
        <f aca="false">(parametros_manuales!$D$38*(datos_base!$J$2+datos_base!$J$18+IF(parametros_manuales!$H$38="Todos",datos_base!$J$9+datos_base!$J$23,0))*parametros_manuales!$F$95+parametros_manuales!$E$38*(datos_base!$J$3+datos_base!$J$19+IF(parametros_manuales!$H$38="Todos",datos_base!$J$10+datos_base!$J$24,0))*parametros_manuales!$F$100+parametros_manuales!$F$38*(datos_base!$J$4+datos_base!$J$20+IF(parametros_manuales!$H$38="Todos",datos_base!$J$11+datos_base!$J$25,0))*parametros_manuales!$F$105+parametros_manuales!$G$38*(datos_base!$J$5+datos_base!$J$21+IF(parametros_manuales!$H$38="Todos",datos_base!$J$12+datos_base!$J$26,0))*parametros_manuales!$F$110)*parametros_manuales!$I$38*parametros_manuales!$J$38</f>
        <v>4789.67439756</v>
      </c>
      <c r="G237" s="9" t="n">
        <f aca="false">(parametros_manuales!$D$38*(datos_base!$J$2+datos_base!$J$18+IF(parametros_manuales!$H$38="Todos",datos_base!$J$9+datos_base!$J$23,0))*parametros_manuales!$G$95+parametros_manuales!$E$38*(datos_base!$J$3+datos_base!$J$19+IF(parametros_manuales!$H$38="Todos",datos_base!$J$10+datos_base!$J$24,0))*parametros_manuales!$G$100+parametros_manuales!$F$38*(datos_base!$J$4+datos_base!$J$20+IF(parametros_manuales!$H$38="Todos",datos_base!$J$11+datos_base!$J$25,0))*parametros_manuales!$G$105+parametros_manuales!$G$38*(datos_base!$J$5+datos_base!$J$21+IF(parametros_manuales!$H$38="Todos",datos_base!$J$12+datos_base!$J$26,0))*parametros_manuales!$G$110)*parametros_manuales!$I$38*parametros_manuales!$J$38</f>
        <v>4615.328093325</v>
      </c>
      <c r="H237" s="9" t="n">
        <f aca="false">(parametros_manuales!$D$38*(datos_base!$J$2+datos_base!$J$18+IF(parametros_manuales!$H$38="Todos",datos_base!$J$9+datos_base!$J$23,0))*parametros_manuales!$H$95+parametros_manuales!$E$38*(datos_base!$J$3+datos_base!$J$19+IF(parametros_manuales!$H$38="Todos",datos_base!$J$10+datos_base!$J$24,0))*parametros_manuales!$H$100+parametros_manuales!$F$38*(datos_base!$J$4+datos_base!$J$20+IF(parametros_manuales!$H$38="Todos",datos_base!$J$11+datos_base!$J$25,0))*parametros_manuales!$H$105+parametros_manuales!$G$38*(datos_base!$J$5+datos_base!$J$21+IF(parametros_manuales!$H$38="Todos",datos_base!$J$12+datos_base!$J$26,0))*parametros_manuales!$H$110)*parametros_manuales!$I$38*parametros_manuales!$J$38</f>
        <v>4932.54107826</v>
      </c>
      <c r="I237" s="9" t="n">
        <f aca="false">(parametros_manuales!$D$38*(datos_base!$J$2+datos_base!$J$18+IF(parametros_manuales!$H$38="Todos",datos_base!$J$9+datos_base!$J$23,0))*parametros_manuales!$I$95+parametros_manuales!$E$38*(datos_base!$J$3+datos_base!$J$19+IF(parametros_manuales!$H$38="Todos",datos_base!$J$10+datos_base!$J$24,0))*parametros_manuales!$I$100+parametros_manuales!$F$38*(datos_base!$J$4+datos_base!$J$20+IF(parametros_manuales!$H$38="Todos",datos_base!$J$11+datos_base!$J$25,0))*parametros_manuales!$I$105+parametros_manuales!$G$38*(datos_base!$J$5+datos_base!$J$21+IF(parametros_manuales!$H$38="Todos",datos_base!$J$12+datos_base!$J$26,0))*parametros_manuales!$I$110)*parametros_manuales!$I$38*parametros_manuales!$J$38</f>
        <v>5361.14112036</v>
      </c>
      <c r="J237" s="9" t="n">
        <f aca="false">(parametros_manuales!$D$38*(datos_base!$J$2+datos_base!$J$18+IF(parametros_manuales!$H$38="Todos",datos_base!$J$9+datos_base!$J$23,0))*parametros_manuales!$J$95+parametros_manuales!$E$38*(datos_base!$J$3+datos_base!$J$19+IF(parametros_manuales!$H$38="Todos",datos_base!$J$10+datos_base!$J$24,0))*parametros_manuales!$J$100+parametros_manuales!$F$38*(datos_base!$J$4+datos_base!$J$20+IF(parametros_manuales!$H$38="Todos",datos_base!$J$11+datos_base!$J$25,0))*parametros_manuales!$J$105+parametros_manuales!$G$38*(datos_base!$J$5+datos_base!$J$21+IF(parametros_manuales!$H$38="Todos",datos_base!$J$12+datos_base!$J$26,0))*parametros_manuales!$J$110)*parametros_manuales!$I$38*parametros_manuales!$J$38</f>
        <v>5361.14112036</v>
      </c>
      <c r="K237" s="9" t="n">
        <f aca="false">(parametros_manuales!$D$38*(datos_base!$J$2+datos_base!$J$18+IF(parametros_manuales!$H$38="Todos",datos_base!$J$9+datos_base!$J$23,0))*parametros_manuales!$K$95+parametros_manuales!$E$38*(datos_base!$J$3+datos_base!$J$19+IF(parametros_manuales!$H$38="Todos",datos_base!$J$10+datos_base!$J$24,0))*parametros_manuales!$K$100+parametros_manuales!$F$38*(datos_base!$J$4+datos_base!$J$20+IF(parametros_manuales!$H$38="Todos",datos_base!$J$11+datos_base!$J$25,0))*parametros_manuales!$K$105+parametros_manuales!$G$38*(datos_base!$J$5+datos_base!$J$21+IF(parametros_manuales!$H$38="Todos",datos_base!$J$12+datos_base!$J$26,0))*parametros_manuales!$K$110)*parametros_manuales!$I$38*parametros_manuales!$J$38</f>
        <v>5535.487424595</v>
      </c>
      <c r="L237" s="9" t="n">
        <f aca="false">(parametros_manuales!$D$38*(datos_base!$J$2+datos_base!$J$18+IF(parametros_manuales!$H$38="Todos",datos_base!$J$9+datos_base!$J$23,0))*parametros_manuales!$L$95+parametros_manuales!$E$38*(datos_base!$J$3+datos_base!$J$19+IF(parametros_manuales!$H$38="Todos",datos_base!$J$10+datos_base!$J$24,0))*parametros_manuales!$L$100+parametros_manuales!$F$38*(datos_base!$J$4+datos_base!$J$20+IF(parametros_manuales!$H$38="Todos",datos_base!$J$11+datos_base!$J$25,0))*parametros_manuales!$L$105+parametros_manuales!$G$38*(datos_base!$J$5+datos_base!$J$21+IF(parametros_manuales!$H$38="Todos",datos_base!$J$12+datos_base!$J$26,0))*parametros_manuales!$L$110)*parametros_manuales!$I$38*parametros_manuales!$J$38</f>
        <v>5709.83372883</v>
      </c>
      <c r="M237" s="9" t="n">
        <f aca="false">(parametros_manuales!$D$38*(datos_base!$J$2+datos_base!$J$18+IF(parametros_manuales!$H$38="Todos",datos_base!$J$9+datos_base!$J$23,0))*parametros_manuales!$M$95+parametros_manuales!$E$38*(datos_base!$J$3+datos_base!$J$19+IF(parametros_manuales!$H$38="Todos",datos_base!$J$10+datos_base!$J$24,0))*parametros_manuales!$M$100+parametros_manuales!$F$38*(datos_base!$J$4+datos_base!$J$20+IF(parametros_manuales!$H$38="Todos",datos_base!$J$11+datos_base!$J$25,0))*parametros_manuales!$M$105+parametros_manuales!$G$38*(datos_base!$J$5+datos_base!$J$21+IF(parametros_manuales!$H$38="Todos",datos_base!$J$12+datos_base!$J$26,0))*parametros_manuales!$M$110)*parametros_manuales!$I$38*parametros_manuales!$J$38</f>
        <v>5709.83372883</v>
      </c>
      <c r="N237" s="9" t="n">
        <f aca="false">SUM(B237:M237)</f>
        <v>63442.596987</v>
      </c>
      <c r="O237" s="9" t="n">
        <f aca="false">MAX(B237:M237)</f>
        <v>5709.83372883</v>
      </c>
      <c r="P237" s="43" t="n">
        <f aca="false">O237/(parametros_manuales!$B$7)</f>
        <v>38.0655581922</v>
      </c>
      <c r="Q237" s="8" t="str">
        <f aca="false">IF(O237=0,"-",INDEX($B$217:$M$217,MATCH(O237,B237:M237,0)))</f>
        <v>Ene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datos_base!$J$2+datos_base!$J$18+IF(parametros_manuales!$H$39="Todos",datos_base!$J$9+datos_base!$J$23,0))*parametros_manuales!$B$95+parametros_manuales!$E$39*(datos_base!$J$3+datos_base!$J$19+IF(parametros_manuales!$H$39="Todos",datos_base!$J$10+datos_base!$J$24,0))*parametros_manuales!$B$100+parametros_manuales!$F$39*(datos_base!$J$4+datos_base!$J$20+IF(parametros_manuales!$H$39="Todos",datos_base!$J$11+datos_base!$J$25,0))*parametros_manuales!$B$105+parametros_manuales!$G$39*(datos_base!$J$5+datos_base!$J$21+IF(parametros_manuales!$H$39="Todos",datos_base!$J$12+datos_base!$J$26,0))*parametros_manuales!$B$110)*parametros_manuales!$I$39*parametros_manuales!$J$39</f>
        <v>5709.83372883</v>
      </c>
      <c r="C238" s="9" t="n">
        <f aca="false">(parametros_manuales!$D$39*(datos_base!$J$2+datos_base!$J$18+IF(parametros_manuales!$H$39="Todos",datos_base!$J$9+datos_base!$J$23,0))*parametros_manuales!$C$95+parametros_manuales!$E$39*(datos_base!$J$3+datos_base!$J$19+IF(parametros_manuales!$H$39="Todos",datos_base!$J$10+datos_base!$J$24,0))*parametros_manuales!$C$100+parametros_manuales!$F$39*(datos_base!$J$4+datos_base!$J$20+IF(parametros_manuales!$H$39="Todos",datos_base!$J$11+datos_base!$J$25,0))*parametros_manuales!$C$105+parametros_manuales!$G$39*(datos_base!$J$5+datos_base!$J$21+IF(parametros_manuales!$H$39="Todos",datos_base!$J$12+datos_base!$J$26,0))*parametros_manuales!$C$110)*parametros_manuales!$I$39*parametros_manuales!$J$39</f>
        <v>5361.14112036</v>
      </c>
      <c r="D238" s="9" t="n">
        <f aca="false">(parametros_manuales!$D$39*(datos_base!$J$2+datos_base!$J$18+IF(parametros_manuales!$H$39="Todos",datos_base!$J$9+datos_base!$J$23,0))*parametros_manuales!$D$95+parametros_manuales!$E$39*(datos_base!$J$3+datos_base!$J$19+IF(parametros_manuales!$H$39="Todos",datos_base!$J$10+datos_base!$J$24,0))*parametros_manuales!$D$100+parametros_manuales!$F$39*(datos_base!$J$4+datos_base!$J$20+IF(parametros_manuales!$H$39="Todos",datos_base!$J$11+datos_base!$J$25,0))*parametros_manuales!$D$105+parametros_manuales!$G$39*(datos_base!$J$5+datos_base!$J$21+IF(parametros_manuales!$H$39="Todos",datos_base!$J$12+datos_base!$J$26,0))*parametros_manuales!$D$110)*parametros_manuales!$I$39*parametros_manuales!$J$39</f>
        <v>5249.754063195</v>
      </c>
      <c r="E238" s="9" t="n">
        <f aca="false">(parametros_manuales!$D$39*(datos_base!$J$2+datos_base!$J$18+IF(parametros_manuales!$H$39="Todos",datos_base!$J$9+datos_base!$J$23,0))*parametros_manuales!$E$95+parametros_manuales!$E$39*(datos_base!$J$3+datos_base!$J$19+IF(parametros_manuales!$H$39="Todos",datos_base!$J$10+datos_base!$J$24,0))*parametros_manuales!$E$100+parametros_manuales!$F$39*(datos_base!$J$4+datos_base!$J$20+IF(parametros_manuales!$H$39="Todos",datos_base!$J$11+datos_base!$J$25,0))*parametros_manuales!$E$105+parametros_manuales!$G$39*(datos_base!$J$5+datos_base!$J$21+IF(parametros_manuales!$H$39="Todos",datos_base!$J$12+datos_base!$J$26,0))*parametros_manuales!$E$110)*parametros_manuales!$I$39*parametros_manuales!$J$39</f>
        <v>5106.887382495</v>
      </c>
      <c r="F238" s="9" t="n">
        <f aca="false">(parametros_manuales!$D$39*(datos_base!$J$2+datos_base!$J$18+IF(parametros_manuales!$H$39="Todos",datos_base!$J$9+datos_base!$J$23,0))*parametros_manuales!$F$95+parametros_manuales!$E$39*(datos_base!$J$3+datos_base!$J$19+IF(parametros_manuales!$H$39="Todos",datos_base!$J$10+datos_base!$J$24,0))*parametros_manuales!$F$100+parametros_manuales!$F$39*(datos_base!$J$4+datos_base!$J$20+IF(parametros_manuales!$H$39="Todos",datos_base!$J$11+datos_base!$J$25,0))*parametros_manuales!$F$105+parametros_manuales!$G$39*(datos_base!$J$5+datos_base!$J$21+IF(parametros_manuales!$H$39="Todos",datos_base!$J$12+datos_base!$J$26,0))*parametros_manuales!$F$110)*parametros_manuales!$I$39*parametros_manuales!$J$39</f>
        <v>4789.67439756</v>
      </c>
      <c r="G238" s="9" t="n">
        <f aca="false">(parametros_manuales!$D$39*(datos_base!$J$2+datos_base!$J$18+IF(parametros_manuales!$H$39="Todos",datos_base!$J$9+datos_base!$J$23,0))*parametros_manuales!$G$95+parametros_manuales!$E$39*(datos_base!$J$3+datos_base!$J$19+IF(parametros_manuales!$H$39="Todos",datos_base!$J$10+datos_base!$J$24,0))*parametros_manuales!$G$100+parametros_manuales!$F$39*(datos_base!$J$4+datos_base!$J$20+IF(parametros_manuales!$H$39="Todos",datos_base!$J$11+datos_base!$J$25,0))*parametros_manuales!$G$105+parametros_manuales!$G$39*(datos_base!$J$5+datos_base!$J$21+IF(parametros_manuales!$H$39="Todos",datos_base!$J$12+datos_base!$J$26,0))*parametros_manuales!$G$110)*parametros_manuales!$I$39*parametros_manuales!$J$39</f>
        <v>4615.328093325</v>
      </c>
      <c r="H238" s="9" t="n">
        <f aca="false">(parametros_manuales!$D$39*(datos_base!$J$2+datos_base!$J$18+IF(parametros_manuales!$H$39="Todos",datos_base!$J$9+datos_base!$J$23,0))*parametros_manuales!$H$95+parametros_manuales!$E$39*(datos_base!$J$3+datos_base!$J$19+IF(parametros_manuales!$H$39="Todos",datos_base!$J$10+datos_base!$J$24,0))*parametros_manuales!$H$100+parametros_manuales!$F$39*(datos_base!$J$4+datos_base!$J$20+IF(parametros_manuales!$H$39="Todos",datos_base!$J$11+datos_base!$J$25,0))*parametros_manuales!$H$105+parametros_manuales!$G$39*(datos_base!$J$5+datos_base!$J$21+IF(parametros_manuales!$H$39="Todos",datos_base!$J$12+datos_base!$J$26,0))*parametros_manuales!$H$110)*parametros_manuales!$I$39*parametros_manuales!$J$39</f>
        <v>4932.54107826</v>
      </c>
      <c r="I238" s="9" t="n">
        <f aca="false">(parametros_manuales!$D$39*(datos_base!$J$2+datos_base!$J$18+IF(parametros_manuales!$H$39="Todos",datos_base!$J$9+datos_base!$J$23,0))*parametros_manuales!$I$95+parametros_manuales!$E$39*(datos_base!$J$3+datos_base!$J$19+IF(parametros_manuales!$H$39="Todos",datos_base!$J$10+datos_base!$J$24,0))*parametros_manuales!$I$100+parametros_manuales!$F$39*(datos_base!$J$4+datos_base!$J$20+IF(parametros_manuales!$H$39="Todos",datos_base!$J$11+datos_base!$J$25,0))*parametros_manuales!$I$105+parametros_manuales!$G$39*(datos_base!$J$5+datos_base!$J$21+IF(parametros_manuales!$H$39="Todos",datos_base!$J$12+datos_base!$J$26,0))*parametros_manuales!$I$110)*parametros_manuales!$I$39*parametros_manuales!$J$39</f>
        <v>5361.14112036</v>
      </c>
      <c r="J238" s="9" t="n">
        <f aca="false">(parametros_manuales!$D$39*(datos_base!$J$2+datos_base!$J$18+IF(parametros_manuales!$H$39="Todos",datos_base!$J$9+datos_base!$J$23,0))*parametros_manuales!$J$95+parametros_manuales!$E$39*(datos_base!$J$3+datos_base!$J$19+IF(parametros_manuales!$H$39="Todos",datos_base!$J$10+datos_base!$J$24,0))*parametros_manuales!$J$100+parametros_manuales!$F$39*(datos_base!$J$4+datos_base!$J$20+IF(parametros_manuales!$H$39="Todos",datos_base!$J$11+datos_base!$J$25,0))*parametros_manuales!$J$105+parametros_manuales!$G$39*(datos_base!$J$5+datos_base!$J$21+IF(parametros_manuales!$H$39="Todos",datos_base!$J$12+datos_base!$J$26,0))*parametros_manuales!$J$110)*parametros_manuales!$I$39*parametros_manuales!$J$39</f>
        <v>5361.14112036</v>
      </c>
      <c r="K238" s="9" t="n">
        <f aca="false">(parametros_manuales!$D$39*(datos_base!$J$2+datos_base!$J$18+IF(parametros_manuales!$H$39="Todos",datos_base!$J$9+datos_base!$J$23,0))*parametros_manuales!$K$95+parametros_manuales!$E$39*(datos_base!$J$3+datos_base!$J$19+IF(parametros_manuales!$H$39="Todos",datos_base!$J$10+datos_base!$J$24,0))*parametros_manuales!$K$100+parametros_manuales!$F$39*(datos_base!$J$4+datos_base!$J$20+IF(parametros_manuales!$H$39="Todos",datos_base!$J$11+datos_base!$J$25,0))*parametros_manuales!$K$105+parametros_manuales!$G$39*(datos_base!$J$5+datos_base!$J$21+IF(parametros_manuales!$H$39="Todos",datos_base!$J$12+datos_base!$J$26,0))*parametros_manuales!$K$110)*parametros_manuales!$I$39*parametros_manuales!$J$39</f>
        <v>5535.487424595</v>
      </c>
      <c r="L238" s="9" t="n">
        <f aca="false">(parametros_manuales!$D$39*(datos_base!$J$2+datos_base!$J$18+IF(parametros_manuales!$H$39="Todos",datos_base!$J$9+datos_base!$J$23,0))*parametros_manuales!$L$95+parametros_manuales!$E$39*(datos_base!$J$3+datos_base!$J$19+IF(parametros_manuales!$H$39="Todos",datos_base!$J$10+datos_base!$J$24,0))*parametros_manuales!$L$100+parametros_manuales!$F$39*(datos_base!$J$4+datos_base!$J$20+IF(parametros_manuales!$H$39="Todos",datos_base!$J$11+datos_base!$J$25,0))*parametros_manuales!$L$105+parametros_manuales!$G$39*(datos_base!$J$5+datos_base!$J$21+IF(parametros_manuales!$H$39="Todos",datos_base!$J$12+datos_base!$J$26,0))*parametros_manuales!$L$110)*parametros_manuales!$I$39*parametros_manuales!$J$39</f>
        <v>5709.83372883</v>
      </c>
      <c r="M238" s="9" t="n">
        <f aca="false">(parametros_manuales!$D$39*(datos_base!$J$2+datos_base!$J$18+IF(parametros_manuales!$H$39="Todos",datos_base!$J$9+datos_base!$J$23,0))*parametros_manuales!$M$95+parametros_manuales!$E$39*(datos_base!$J$3+datos_base!$J$19+IF(parametros_manuales!$H$39="Todos",datos_base!$J$10+datos_base!$J$24,0))*parametros_manuales!$M$100+parametros_manuales!$F$39*(datos_base!$J$4+datos_base!$J$20+IF(parametros_manuales!$H$39="Todos",datos_base!$J$11+datos_base!$J$25,0))*parametros_manuales!$M$105+parametros_manuales!$G$39*(datos_base!$J$5+datos_base!$J$21+IF(parametros_manuales!$H$39="Todos",datos_base!$J$12+datos_base!$J$26,0))*parametros_manuales!$M$110)*parametros_manuales!$I$39*parametros_manuales!$J$39</f>
        <v>5709.83372883</v>
      </c>
      <c r="N238" s="9" t="n">
        <f aca="false">SUM(B238:M238)</f>
        <v>63442.596987</v>
      </c>
      <c r="O238" s="9" t="n">
        <f aca="false">MAX(B238:M238)</f>
        <v>5709.83372883</v>
      </c>
      <c r="P238" s="43" t="n">
        <f aca="false">O238/(parametros_manuales!$B$7)</f>
        <v>38.0655581922</v>
      </c>
      <c r="Q238" s="8" t="str">
        <f aca="false">IF(O238=0,"-",INDEX($B$217:$M$217,MATCH(O238,B238:M238,0)))</f>
        <v>Ene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datos_base!$J$2+datos_base!$J$18+IF(parametros_manuales!$H$40="Todos",datos_base!$J$9+datos_base!$J$23,0))*parametros_manuales!$B$95+parametros_manuales!$E$40*(datos_base!$J$3+datos_base!$J$19+IF(parametros_manuales!$H$40="Todos",datos_base!$J$10+datos_base!$J$24,0))*parametros_manuales!$B$100+parametros_manuales!$F$40*(datos_base!$J$4+datos_base!$J$20+IF(parametros_manuales!$H$40="Todos",datos_base!$J$11+datos_base!$J$25,0))*parametros_manuales!$B$105+parametros_manuales!$G$40*(datos_base!$J$5+datos_base!$J$21+IF(parametros_manuales!$H$40="Todos",datos_base!$J$12+datos_base!$J$26,0))*parametros_manuales!$B$110)*parametros_manuales!$I$40*parametros_manuales!$J$40</f>
        <v>5709.83372883</v>
      </c>
      <c r="C239" s="9" t="n">
        <f aca="false">(parametros_manuales!$D$40*(datos_base!$J$2+datos_base!$J$18+IF(parametros_manuales!$H$40="Todos",datos_base!$J$9+datos_base!$J$23,0))*parametros_manuales!$C$95+parametros_manuales!$E$40*(datos_base!$J$3+datos_base!$J$19+IF(parametros_manuales!$H$40="Todos",datos_base!$J$10+datos_base!$J$24,0))*parametros_manuales!$C$100+parametros_manuales!$F$40*(datos_base!$J$4+datos_base!$J$20+IF(parametros_manuales!$H$40="Todos",datos_base!$J$11+datos_base!$J$25,0))*parametros_manuales!$C$105+parametros_manuales!$G$40*(datos_base!$J$5+datos_base!$J$21+IF(parametros_manuales!$H$40="Todos",datos_base!$J$12+datos_base!$J$26,0))*parametros_manuales!$C$110)*parametros_manuales!$I$40*parametros_manuales!$J$40</f>
        <v>5361.14112036</v>
      </c>
      <c r="D239" s="9" t="n">
        <f aca="false">(parametros_manuales!$D$40*(datos_base!$J$2+datos_base!$J$18+IF(parametros_manuales!$H$40="Todos",datos_base!$J$9+datos_base!$J$23,0))*parametros_manuales!$D$95+parametros_manuales!$E$40*(datos_base!$J$3+datos_base!$J$19+IF(parametros_manuales!$H$40="Todos",datos_base!$J$10+datos_base!$J$24,0))*parametros_manuales!$D$100+parametros_manuales!$F$40*(datos_base!$J$4+datos_base!$J$20+IF(parametros_manuales!$H$40="Todos",datos_base!$J$11+datos_base!$J$25,0))*parametros_manuales!$D$105+parametros_manuales!$G$40*(datos_base!$J$5+datos_base!$J$21+IF(parametros_manuales!$H$40="Todos",datos_base!$J$12+datos_base!$J$26,0))*parametros_manuales!$D$110)*parametros_manuales!$I$40*parametros_manuales!$J$40</f>
        <v>5249.754063195</v>
      </c>
      <c r="E239" s="9" t="n">
        <f aca="false">(parametros_manuales!$D$40*(datos_base!$J$2+datos_base!$J$18+IF(parametros_manuales!$H$40="Todos",datos_base!$J$9+datos_base!$J$23,0))*parametros_manuales!$E$95+parametros_manuales!$E$40*(datos_base!$J$3+datos_base!$J$19+IF(parametros_manuales!$H$40="Todos",datos_base!$J$10+datos_base!$J$24,0))*parametros_manuales!$E$100+parametros_manuales!$F$40*(datos_base!$J$4+datos_base!$J$20+IF(parametros_manuales!$H$40="Todos",datos_base!$J$11+datos_base!$J$25,0))*parametros_manuales!$E$105+parametros_manuales!$G$40*(datos_base!$J$5+datos_base!$J$21+IF(parametros_manuales!$H$40="Todos",datos_base!$J$12+datos_base!$J$26,0))*parametros_manuales!$E$110)*parametros_manuales!$I$40*parametros_manuales!$J$40</f>
        <v>5106.887382495</v>
      </c>
      <c r="F239" s="9" t="n">
        <f aca="false">(parametros_manuales!$D$40*(datos_base!$J$2+datos_base!$J$18+IF(parametros_manuales!$H$40="Todos",datos_base!$J$9+datos_base!$J$23,0))*parametros_manuales!$F$95+parametros_manuales!$E$40*(datos_base!$J$3+datos_base!$J$19+IF(parametros_manuales!$H$40="Todos",datos_base!$J$10+datos_base!$J$24,0))*parametros_manuales!$F$100+parametros_manuales!$F$40*(datos_base!$J$4+datos_base!$J$20+IF(parametros_manuales!$H$40="Todos",datos_base!$J$11+datos_base!$J$25,0))*parametros_manuales!$F$105+parametros_manuales!$G$40*(datos_base!$J$5+datos_base!$J$21+IF(parametros_manuales!$H$40="Todos",datos_base!$J$12+datos_base!$J$26,0))*parametros_manuales!$F$110)*parametros_manuales!$I$40*parametros_manuales!$J$40</f>
        <v>4789.67439756</v>
      </c>
      <c r="G239" s="9" t="n">
        <f aca="false">(parametros_manuales!$D$40*(datos_base!$J$2+datos_base!$J$18+IF(parametros_manuales!$H$40="Todos",datos_base!$J$9+datos_base!$J$23,0))*parametros_manuales!$G$95+parametros_manuales!$E$40*(datos_base!$J$3+datos_base!$J$19+IF(parametros_manuales!$H$40="Todos",datos_base!$J$10+datos_base!$J$24,0))*parametros_manuales!$G$100+parametros_manuales!$F$40*(datos_base!$J$4+datos_base!$J$20+IF(parametros_manuales!$H$40="Todos",datos_base!$J$11+datos_base!$J$25,0))*parametros_manuales!$G$105+parametros_manuales!$G$40*(datos_base!$J$5+datos_base!$J$21+IF(parametros_manuales!$H$40="Todos",datos_base!$J$12+datos_base!$J$26,0))*parametros_manuales!$G$110)*parametros_manuales!$I$40*parametros_manuales!$J$40</f>
        <v>4615.328093325</v>
      </c>
      <c r="H239" s="9" t="n">
        <f aca="false">(parametros_manuales!$D$40*(datos_base!$J$2+datos_base!$J$18+IF(parametros_manuales!$H$40="Todos",datos_base!$J$9+datos_base!$J$23,0))*parametros_manuales!$H$95+parametros_manuales!$E$40*(datos_base!$J$3+datos_base!$J$19+IF(parametros_manuales!$H$40="Todos",datos_base!$J$10+datos_base!$J$24,0))*parametros_manuales!$H$100+parametros_manuales!$F$40*(datos_base!$J$4+datos_base!$J$20+IF(parametros_manuales!$H$40="Todos",datos_base!$J$11+datos_base!$J$25,0))*parametros_manuales!$H$105+parametros_manuales!$G$40*(datos_base!$J$5+datos_base!$J$21+IF(parametros_manuales!$H$40="Todos",datos_base!$J$12+datos_base!$J$26,0))*parametros_manuales!$H$110)*parametros_manuales!$I$40*parametros_manuales!$J$40</f>
        <v>4932.54107826</v>
      </c>
      <c r="I239" s="9" t="n">
        <f aca="false">(parametros_manuales!$D$40*(datos_base!$J$2+datos_base!$J$18+IF(parametros_manuales!$H$40="Todos",datos_base!$J$9+datos_base!$J$23,0))*parametros_manuales!$I$95+parametros_manuales!$E$40*(datos_base!$J$3+datos_base!$J$19+IF(parametros_manuales!$H$40="Todos",datos_base!$J$10+datos_base!$J$24,0))*parametros_manuales!$I$100+parametros_manuales!$F$40*(datos_base!$J$4+datos_base!$J$20+IF(parametros_manuales!$H$40="Todos",datos_base!$J$11+datos_base!$J$25,0))*parametros_manuales!$I$105+parametros_manuales!$G$40*(datos_base!$J$5+datos_base!$J$21+IF(parametros_manuales!$H$40="Todos",datos_base!$J$12+datos_base!$J$26,0))*parametros_manuales!$I$110)*parametros_manuales!$I$40*parametros_manuales!$J$40</f>
        <v>5361.14112036</v>
      </c>
      <c r="J239" s="9" t="n">
        <f aca="false">(parametros_manuales!$D$40*(datos_base!$J$2+datos_base!$J$18+IF(parametros_manuales!$H$40="Todos",datos_base!$J$9+datos_base!$J$23,0))*parametros_manuales!$J$95+parametros_manuales!$E$40*(datos_base!$J$3+datos_base!$J$19+IF(parametros_manuales!$H$40="Todos",datos_base!$J$10+datos_base!$J$24,0))*parametros_manuales!$J$100+parametros_manuales!$F$40*(datos_base!$J$4+datos_base!$J$20+IF(parametros_manuales!$H$40="Todos",datos_base!$J$11+datos_base!$J$25,0))*parametros_manuales!$J$105+parametros_manuales!$G$40*(datos_base!$J$5+datos_base!$J$21+IF(parametros_manuales!$H$40="Todos",datos_base!$J$12+datos_base!$J$26,0))*parametros_manuales!$J$110)*parametros_manuales!$I$40*parametros_manuales!$J$40</f>
        <v>5361.14112036</v>
      </c>
      <c r="K239" s="9" t="n">
        <f aca="false">(parametros_manuales!$D$40*(datos_base!$J$2+datos_base!$J$18+IF(parametros_manuales!$H$40="Todos",datos_base!$J$9+datos_base!$J$23,0))*parametros_manuales!$K$95+parametros_manuales!$E$40*(datos_base!$J$3+datos_base!$J$19+IF(parametros_manuales!$H$40="Todos",datos_base!$J$10+datos_base!$J$24,0))*parametros_manuales!$K$100+parametros_manuales!$F$40*(datos_base!$J$4+datos_base!$J$20+IF(parametros_manuales!$H$40="Todos",datos_base!$J$11+datos_base!$J$25,0))*parametros_manuales!$K$105+parametros_manuales!$G$40*(datos_base!$J$5+datos_base!$J$21+IF(parametros_manuales!$H$40="Todos",datos_base!$J$12+datos_base!$J$26,0))*parametros_manuales!$K$110)*parametros_manuales!$I$40*parametros_manuales!$J$40</f>
        <v>5535.487424595</v>
      </c>
      <c r="L239" s="9" t="n">
        <f aca="false">(parametros_manuales!$D$40*(datos_base!$J$2+datos_base!$J$18+IF(parametros_manuales!$H$40="Todos",datos_base!$J$9+datos_base!$J$23,0))*parametros_manuales!$L$95+parametros_manuales!$E$40*(datos_base!$J$3+datos_base!$J$19+IF(parametros_manuales!$H$40="Todos",datos_base!$J$10+datos_base!$J$24,0))*parametros_manuales!$L$100+parametros_manuales!$F$40*(datos_base!$J$4+datos_base!$J$20+IF(parametros_manuales!$H$40="Todos",datos_base!$J$11+datos_base!$J$25,0))*parametros_manuales!$L$105+parametros_manuales!$G$40*(datos_base!$J$5+datos_base!$J$21+IF(parametros_manuales!$H$40="Todos",datos_base!$J$12+datos_base!$J$26,0))*parametros_manuales!$L$110)*parametros_manuales!$I$40*parametros_manuales!$J$40</f>
        <v>5709.83372883</v>
      </c>
      <c r="M239" s="9" t="n">
        <f aca="false">(parametros_manuales!$D$40*(datos_base!$J$2+datos_base!$J$18+IF(parametros_manuales!$H$40="Todos",datos_base!$J$9+datos_base!$J$23,0))*parametros_manuales!$M$95+parametros_manuales!$E$40*(datos_base!$J$3+datos_base!$J$19+IF(parametros_manuales!$H$40="Todos",datos_base!$J$10+datos_base!$J$24,0))*parametros_manuales!$M$100+parametros_manuales!$F$40*(datos_base!$J$4+datos_base!$J$20+IF(parametros_manuales!$H$40="Todos",datos_base!$J$11+datos_base!$J$25,0))*parametros_manuales!$M$105+parametros_manuales!$G$40*(datos_base!$J$5+datos_base!$J$21+IF(parametros_manuales!$H$40="Todos",datos_base!$J$12+datos_base!$J$26,0))*parametros_manuales!$M$110)*parametros_manuales!$I$40*parametros_manuales!$J$40</f>
        <v>5709.83372883</v>
      </c>
      <c r="N239" s="9" t="n">
        <f aca="false">SUM(B239:M239)</f>
        <v>63442.596987</v>
      </c>
      <c r="O239" s="9" t="n">
        <f aca="false">MAX(B239:M239)</f>
        <v>5709.83372883</v>
      </c>
      <c r="P239" s="43" t="n">
        <f aca="false">O239/(parametros_manuales!$B$7)</f>
        <v>38.0655581922</v>
      </c>
      <c r="Q239" s="8" t="str">
        <f aca="false">IF(O239=0,"-",INDEX($B$217:$M$217,MATCH(O239,B239:M239,0)))</f>
        <v>Ene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datos_base!$J$2+datos_base!$J$18+IF(parametros_manuales!$H$41="Todos",datos_base!$J$9+datos_base!$J$23,0))*parametros_manuales!$B$95+parametros_manuales!$E$41*(datos_base!$J$3+datos_base!$J$19+IF(parametros_manuales!$H$41="Todos",datos_base!$J$10+datos_base!$J$24,0))*parametros_manuales!$B$100+parametros_manuales!$F$41*(datos_base!$J$4+datos_base!$J$20+IF(parametros_manuales!$H$41="Todos",datos_base!$J$11+datos_base!$J$25,0))*parametros_manuales!$B$105+parametros_manuales!$G$41*(datos_base!$J$5+datos_base!$J$21+IF(parametros_manuales!$H$41="Todos",datos_base!$J$12+datos_base!$J$26,0))*parametros_manuales!$B$110)*parametros_manuales!$I$41*parametros_manuales!$J$41</f>
        <v>5709.83372883</v>
      </c>
      <c r="C240" s="9" t="n">
        <f aca="false">(parametros_manuales!$D$41*(datos_base!$J$2+datos_base!$J$18+IF(parametros_manuales!$H$41="Todos",datos_base!$J$9+datos_base!$J$23,0))*parametros_manuales!$C$95+parametros_manuales!$E$41*(datos_base!$J$3+datos_base!$J$19+IF(parametros_manuales!$H$41="Todos",datos_base!$J$10+datos_base!$J$24,0))*parametros_manuales!$C$100+parametros_manuales!$F$41*(datos_base!$J$4+datos_base!$J$20+IF(parametros_manuales!$H$41="Todos",datos_base!$J$11+datos_base!$J$25,0))*parametros_manuales!$C$105+parametros_manuales!$G$41*(datos_base!$J$5+datos_base!$J$21+IF(parametros_manuales!$H$41="Todos",datos_base!$J$12+datos_base!$J$26,0))*parametros_manuales!$C$110)*parametros_manuales!$I$41*parametros_manuales!$J$41</f>
        <v>5361.14112036</v>
      </c>
      <c r="D240" s="9" t="n">
        <f aca="false">(parametros_manuales!$D$41*(datos_base!$J$2+datos_base!$J$18+IF(parametros_manuales!$H$41="Todos",datos_base!$J$9+datos_base!$J$23,0))*parametros_manuales!$D$95+parametros_manuales!$E$41*(datos_base!$J$3+datos_base!$J$19+IF(parametros_manuales!$H$41="Todos",datos_base!$J$10+datos_base!$J$24,0))*parametros_manuales!$D$100+parametros_manuales!$F$41*(datos_base!$J$4+datos_base!$J$20+IF(parametros_manuales!$H$41="Todos",datos_base!$J$11+datos_base!$J$25,0))*parametros_manuales!$D$105+parametros_manuales!$G$41*(datos_base!$J$5+datos_base!$J$21+IF(parametros_manuales!$H$41="Todos",datos_base!$J$12+datos_base!$J$26,0))*parametros_manuales!$D$110)*parametros_manuales!$I$41*parametros_manuales!$J$41</f>
        <v>5249.754063195</v>
      </c>
      <c r="E240" s="9" t="n">
        <f aca="false">(parametros_manuales!$D$41*(datos_base!$J$2+datos_base!$J$18+IF(parametros_manuales!$H$41="Todos",datos_base!$J$9+datos_base!$J$23,0))*parametros_manuales!$E$95+parametros_manuales!$E$41*(datos_base!$J$3+datos_base!$J$19+IF(parametros_manuales!$H$41="Todos",datos_base!$J$10+datos_base!$J$24,0))*parametros_manuales!$E$100+parametros_manuales!$F$41*(datos_base!$J$4+datos_base!$J$20+IF(parametros_manuales!$H$41="Todos",datos_base!$J$11+datos_base!$J$25,0))*parametros_manuales!$E$105+parametros_manuales!$G$41*(datos_base!$J$5+datos_base!$J$21+IF(parametros_manuales!$H$41="Todos",datos_base!$J$12+datos_base!$J$26,0))*parametros_manuales!$E$110)*parametros_manuales!$I$41*parametros_manuales!$J$41</f>
        <v>5106.887382495</v>
      </c>
      <c r="F240" s="9" t="n">
        <f aca="false">(parametros_manuales!$D$41*(datos_base!$J$2+datos_base!$J$18+IF(parametros_manuales!$H$41="Todos",datos_base!$J$9+datos_base!$J$23,0))*parametros_manuales!$F$95+parametros_manuales!$E$41*(datos_base!$J$3+datos_base!$J$19+IF(parametros_manuales!$H$41="Todos",datos_base!$J$10+datos_base!$J$24,0))*parametros_manuales!$F$100+parametros_manuales!$F$41*(datos_base!$J$4+datos_base!$J$20+IF(parametros_manuales!$H$41="Todos",datos_base!$J$11+datos_base!$J$25,0))*parametros_manuales!$F$105+parametros_manuales!$G$41*(datos_base!$J$5+datos_base!$J$21+IF(parametros_manuales!$H$41="Todos",datos_base!$J$12+datos_base!$J$26,0))*parametros_manuales!$F$110)*parametros_manuales!$I$41*parametros_manuales!$J$41</f>
        <v>4789.67439756</v>
      </c>
      <c r="G240" s="9" t="n">
        <f aca="false">(parametros_manuales!$D$41*(datos_base!$J$2+datos_base!$J$18+IF(parametros_manuales!$H$41="Todos",datos_base!$J$9+datos_base!$J$23,0))*parametros_manuales!$G$95+parametros_manuales!$E$41*(datos_base!$J$3+datos_base!$J$19+IF(parametros_manuales!$H$41="Todos",datos_base!$J$10+datos_base!$J$24,0))*parametros_manuales!$G$100+parametros_manuales!$F$41*(datos_base!$J$4+datos_base!$J$20+IF(parametros_manuales!$H$41="Todos",datos_base!$J$11+datos_base!$J$25,0))*parametros_manuales!$G$105+parametros_manuales!$G$41*(datos_base!$J$5+datos_base!$J$21+IF(parametros_manuales!$H$41="Todos",datos_base!$J$12+datos_base!$J$26,0))*parametros_manuales!$G$110)*parametros_manuales!$I$41*parametros_manuales!$J$41</f>
        <v>4615.328093325</v>
      </c>
      <c r="H240" s="9" t="n">
        <f aca="false">(parametros_manuales!$D$41*(datos_base!$J$2+datos_base!$J$18+IF(parametros_manuales!$H$41="Todos",datos_base!$J$9+datos_base!$J$23,0))*parametros_manuales!$H$95+parametros_manuales!$E$41*(datos_base!$J$3+datos_base!$J$19+IF(parametros_manuales!$H$41="Todos",datos_base!$J$10+datos_base!$J$24,0))*parametros_manuales!$H$100+parametros_manuales!$F$41*(datos_base!$J$4+datos_base!$J$20+IF(parametros_manuales!$H$41="Todos",datos_base!$J$11+datos_base!$J$25,0))*parametros_manuales!$H$105+parametros_manuales!$G$41*(datos_base!$J$5+datos_base!$J$21+IF(parametros_manuales!$H$41="Todos",datos_base!$J$12+datos_base!$J$26,0))*parametros_manuales!$H$110)*parametros_manuales!$I$41*parametros_manuales!$J$41</f>
        <v>4932.54107826</v>
      </c>
      <c r="I240" s="9" t="n">
        <f aca="false">(parametros_manuales!$D$41*(datos_base!$J$2+datos_base!$J$18+IF(parametros_manuales!$H$41="Todos",datos_base!$J$9+datos_base!$J$23,0))*parametros_manuales!$I$95+parametros_manuales!$E$41*(datos_base!$J$3+datos_base!$J$19+IF(parametros_manuales!$H$41="Todos",datos_base!$J$10+datos_base!$J$24,0))*parametros_manuales!$I$100+parametros_manuales!$F$41*(datos_base!$J$4+datos_base!$J$20+IF(parametros_manuales!$H$41="Todos",datos_base!$J$11+datos_base!$J$25,0))*parametros_manuales!$I$105+parametros_manuales!$G$41*(datos_base!$J$5+datos_base!$J$21+IF(parametros_manuales!$H$41="Todos",datos_base!$J$12+datos_base!$J$26,0))*parametros_manuales!$I$110)*parametros_manuales!$I$41*parametros_manuales!$J$41</f>
        <v>5361.14112036</v>
      </c>
      <c r="J240" s="9" t="n">
        <f aca="false">(parametros_manuales!$D$41*(datos_base!$J$2+datos_base!$J$18+IF(parametros_manuales!$H$41="Todos",datos_base!$J$9+datos_base!$J$23,0))*parametros_manuales!$J$95+parametros_manuales!$E$41*(datos_base!$J$3+datos_base!$J$19+IF(parametros_manuales!$H$41="Todos",datos_base!$J$10+datos_base!$J$24,0))*parametros_manuales!$J$100+parametros_manuales!$F$41*(datos_base!$J$4+datos_base!$J$20+IF(parametros_manuales!$H$41="Todos",datos_base!$J$11+datos_base!$J$25,0))*parametros_manuales!$J$105+parametros_manuales!$G$41*(datos_base!$J$5+datos_base!$J$21+IF(parametros_manuales!$H$41="Todos",datos_base!$J$12+datos_base!$J$26,0))*parametros_manuales!$J$110)*parametros_manuales!$I$41*parametros_manuales!$J$41</f>
        <v>5361.14112036</v>
      </c>
      <c r="K240" s="9" t="n">
        <f aca="false">(parametros_manuales!$D$41*(datos_base!$J$2+datos_base!$J$18+IF(parametros_manuales!$H$41="Todos",datos_base!$J$9+datos_base!$J$23,0))*parametros_manuales!$K$95+parametros_manuales!$E$41*(datos_base!$J$3+datos_base!$J$19+IF(parametros_manuales!$H$41="Todos",datos_base!$J$10+datos_base!$J$24,0))*parametros_manuales!$K$100+parametros_manuales!$F$41*(datos_base!$J$4+datos_base!$J$20+IF(parametros_manuales!$H$41="Todos",datos_base!$J$11+datos_base!$J$25,0))*parametros_manuales!$K$105+parametros_manuales!$G$41*(datos_base!$J$5+datos_base!$J$21+IF(parametros_manuales!$H$41="Todos",datos_base!$J$12+datos_base!$J$26,0))*parametros_manuales!$K$110)*parametros_manuales!$I$41*parametros_manuales!$J$41</f>
        <v>5535.487424595</v>
      </c>
      <c r="L240" s="9" t="n">
        <f aca="false">(parametros_manuales!$D$41*(datos_base!$J$2+datos_base!$J$18+IF(parametros_manuales!$H$41="Todos",datos_base!$J$9+datos_base!$J$23,0))*parametros_manuales!$L$95+parametros_manuales!$E$41*(datos_base!$J$3+datos_base!$J$19+IF(parametros_manuales!$H$41="Todos",datos_base!$J$10+datos_base!$J$24,0))*parametros_manuales!$L$100+parametros_manuales!$F$41*(datos_base!$J$4+datos_base!$J$20+IF(parametros_manuales!$H$41="Todos",datos_base!$J$11+datos_base!$J$25,0))*parametros_manuales!$L$105+parametros_manuales!$G$41*(datos_base!$J$5+datos_base!$J$21+IF(parametros_manuales!$H$41="Todos",datos_base!$J$12+datos_base!$J$26,0))*parametros_manuales!$L$110)*parametros_manuales!$I$41*parametros_manuales!$J$41</f>
        <v>5709.83372883</v>
      </c>
      <c r="M240" s="9" t="n">
        <f aca="false">(parametros_manuales!$D$41*(datos_base!$J$2+datos_base!$J$18+IF(parametros_manuales!$H$41="Todos",datos_base!$J$9+datos_base!$J$23,0))*parametros_manuales!$M$95+parametros_manuales!$E$41*(datos_base!$J$3+datos_base!$J$19+IF(parametros_manuales!$H$41="Todos",datos_base!$J$10+datos_base!$J$24,0))*parametros_manuales!$M$100+parametros_manuales!$F$41*(datos_base!$J$4+datos_base!$J$20+IF(parametros_manuales!$H$41="Todos",datos_base!$J$11+datos_base!$J$25,0))*parametros_manuales!$M$105+parametros_manuales!$G$41*(datos_base!$J$5+datos_base!$J$21+IF(parametros_manuales!$H$41="Todos",datos_base!$J$12+datos_base!$J$26,0))*parametros_manuales!$M$110)*parametros_manuales!$I$41*parametros_manuales!$J$41</f>
        <v>5709.83372883</v>
      </c>
      <c r="N240" s="9" t="n">
        <f aca="false">SUM(B240:M240)</f>
        <v>63442.596987</v>
      </c>
      <c r="O240" s="9" t="n">
        <f aca="false">MAX(B240:M240)</f>
        <v>5709.83372883</v>
      </c>
      <c r="P240" s="43" t="n">
        <f aca="false">O240/(parametros_manuales!$B$7)</f>
        <v>38.0655581922</v>
      </c>
      <c r="Q240" s="8" t="str">
        <f aca="false">IF(O240=0,"-",INDEX($B$217:$M$217,MATCH(O240,B240:M240,0)))</f>
        <v>Ene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datos_base!$J$2+datos_base!$J$18+IF(parametros_manuales!$H$42="Todos",datos_base!$J$9+datos_base!$J$23,0))*parametros_manuales!$B$95+parametros_manuales!$E$42*(datos_base!$J$3+datos_base!$J$19+IF(parametros_manuales!$H$42="Todos",datos_base!$J$10+datos_base!$J$24,0))*parametros_manuales!$B$100+parametros_manuales!$F$42*(datos_base!$J$4+datos_base!$J$20+IF(parametros_manuales!$H$42="Todos",datos_base!$J$11+datos_base!$J$25,0))*parametros_manuales!$B$105+parametros_manuales!$G$42*(datos_base!$J$5+datos_base!$J$21+IF(parametros_manuales!$H$42="Todos",datos_base!$J$12+datos_base!$J$26,0))*parametros_manuales!$B$110)*parametros_manuales!$I$42*parametros_manuales!$J$42</f>
        <v>5709.83372883</v>
      </c>
      <c r="C241" s="9" t="n">
        <f aca="false">(parametros_manuales!$D$42*(datos_base!$J$2+datos_base!$J$18+IF(parametros_manuales!$H$42="Todos",datos_base!$J$9+datos_base!$J$23,0))*parametros_manuales!$C$95+parametros_manuales!$E$42*(datos_base!$J$3+datos_base!$J$19+IF(parametros_manuales!$H$42="Todos",datos_base!$J$10+datos_base!$J$24,0))*parametros_manuales!$C$100+parametros_manuales!$F$42*(datos_base!$J$4+datos_base!$J$20+IF(parametros_manuales!$H$42="Todos",datos_base!$J$11+datos_base!$J$25,0))*parametros_manuales!$C$105+parametros_manuales!$G$42*(datos_base!$J$5+datos_base!$J$21+IF(parametros_manuales!$H$42="Todos",datos_base!$J$12+datos_base!$J$26,0))*parametros_manuales!$C$110)*parametros_manuales!$I$42*parametros_manuales!$J$42</f>
        <v>5361.14112036</v>
      </c>
      <c r="D241" s="9" t="n">
        <f aca="false">(parametros_manuales!$D$42*(datos_base!$J$2+datos_base!$J$18+IF(parametros_manuales!$H$42="Todos",datos_base!$J$9+datos_base!$J$23,0))*parametros_manuales!$D$95+parametros_manuales!$E$42*(datos_base!$J$3+datos_base!$J$19+IF(parametros_manuales!$H$42="Todos",datos_base!$J$10+datos_base!$J$24,0))*parametros_manuales!$D$100+parametros_manuales!$F$42*(datos_base!$J$4+datos_base!$J$20+IF(parametros_manuales!$H$42="Todos",datos_base!$J$11+datos_base!$J$25,0))*parametros_manuales!$D$105+parametros_manuales!$G$42*(datos_base!$J$5+datos_base!$J$21+IF(parametros_manuales!$H$42="Todos",datos_base!$J$12+datos_base!$J$26,0))*parametros_manuales!$D$110)*parametros_manuales!$I$42*parametros_manuales!$J$42</f>
        <v>5249.754063195</v>
      </c>
      <c r="E241" s="9" t="n">
        <f aca="false">(parametros_manuales!$D$42*(datos_base!$J$2+datos_base!$J$18+IF(parametros_manuales!$H$42="Todos",datos_base!$J$9+datos_base!$J$23,0))*parametros_manuales!$E$95+parametros_manuales!$E$42*(datos_base!$J$3+datos_base!$J$19+IF(parametros_manuales!$H$42="Todos",datos_base!$J$10+datos_base!$J$24,0))*parametros_manuales!$E$100+parametros_manuales!$F$42*(datos_base!$J$4+datos_base!$J$20+IF(parametros_manuales!$H$42="Todos",datos_base!$J$11+datos_base!$J$25,0))*parametros_manuales!$E$105+parametros_manuales!$G$42*(datos_base!$J$5+datos_base!$J$21+IF(parametros_manuales!$H$42="Todos",datos_base!$J$12+datos_base!$J$26,0))*parametros_manuales!$E$110)*parametros_manuales!$I$42*parametros_manuales!$J$42</f>
        <v>5106.887382495</v>
      </c>
      <c r="F241" s="9" t="n">
        <f aca="false">(parametros_manuales!$D$42*(datos_base!$J$2+datos_base!$J$18+IF(parametros_manuales!$H$42="Todos",datos_base!$J$9+datos_base!$J$23,0))*parametros_manuales!$F$95+parametros_manuales!$E$42*(datos_base!$J$3+datos_base!$J$19+IF(parametros_manuales!$H$42="Todos",datos_base!$J$10+datos_base!$J$24,0))*parametros_manuales!$F$100+parametros_manuales!$F$42*(datos_base!$J$4+datos_base!$J$20+IF(parametros_manuales!$H$42="Todos",datos_base!$J$11+datos_base!$J$25,0))*parametros_manuales!$F$105+parametros_manuales!$G$42*(datos_base!$J$5+datos_base!$J$21+IF(parametros_manuales!$H$42="Todos",datos_base!$J$12+datos_base!$J$26,0))*parametros_manuales!$F$110)*parametros_manuales!$I$42*parametros_manuales!$J$42</f>
        <v>4789.67439756</v>
      </c>
      <c r="G241" s="9" t="n">
        <f aca="false">(parametros_manuales!$D$42*(datos_base!$J$2+datos_base!$J$18+IF(parametros_manuales!$H$42="Todos",datos_base!$J$9+datos_base!$J$23,0))*parametros_manuales!$G$95+parametros_manuales!$E$42*(datos_base!$J$3+datos_base!$J$19+IF(parametros_manuales!$H$42="Todos",datos_base!$J$10+datos_base!$J$24,0))*parametros_manuales!$G$100+parametros_manuales!$F$42*(datos_base!$J$4+datos_base!$J$20+IF(parametros_manuales!$H$42="Todos",datos_base!$J$11+datos_base!$J$25,0))*parametros_manuales!$G$105+parametros_manuales!$G$42*(datos_base!$J$5+datos_base!$J$21+IF(parametros_manuales!$H$42="Todos",datos_base!$J$12+datos_base!$J$26,0))*parametros_manuales!$G$110)*parametros_manuales!$I$42*parametros_manuales!$J$42</f>
        <v>4615.328093325</v>
      </c>
      <c r="H241" s="9" t="n">
        <f aca="false">(parametros_manuales!$D$42*(datos_base!$J$2+datos_base!$J$18+IF(parametros_manuales!$H$42="Todos",datos_base!$J$9+datos_base!$J$23,0))*parametros_manuales!$H$95+parametros_manuales!$E$42*(datos_base!$J$3+datos_base!$J$19+IF(parametros_manuales!$H$42="Todos",datos_base!$J$10+datos_base!$J$24,0))*parametros_manuales!$H$100+parametros_manuales!$F$42*(datos_base!$J$4+datos_base!$J$20+IF(parametros_manuales!$H$42="Todos",datos_base!$J$11+datos_base!$J$25,0))*parametros_manuales!$H$105+parametros_manuales!$G$42*(datos_base!$J$5+datos_base!$J$21+IF(parametros_manuales!$H$42="Todos",datos_base!$J$12+datos_base!$J$26,0))*parametros_manuales!$H$110)*parametros_manuales!$I$42*parametros_manuales!$J$42</f>
        <v>4932.54107826</v>
      </c>
      <c r="I241" s="9" t="n">
        <f aca="false">(parametros_manuales!$D$42*(datos_base!$J$2+datos_base!$J$18+IF(parametros_manuales!$H$42="Todos",datos_base!$J$9+datos_base!$J$23,0))*parametros_manuales!$I$95+parametros_manuales!$E$42*(datos_base!$J$3+datos_base!$J$19+IF(parametros_manuales!$H$42="Todos",datos_base!$J$10+datos_base!$J$24,0))*parametros_manuales!$I$100+parametros_manuales!$F$42*(datos_base!$J$4+datos_base!$J$20+IF(parametros_manuales!$H$42="Todos",datos_base!$J$11+datos_base!$J$25,0))*parametros_manuales!$I$105+parametros_manuales!$G$42*(datos_base!$J$5+datos_base!$J$21+IF(parametros_manuales!$H$42="Todos",datos_base!$J$12+datos_base!$J$26,0))*parametros_manuales!$I$110)*parametros_manuales!$I$42*parametros_manuales!$J$42</f>
        <v>5361.14112036</v>
      </c>
      <c r="J241" s="9" t="n">
        <f aca="false">(parametros_manuales!$D$42*(datos_base!$J$2+datos_base!$J$18+IF(parametros_manuales!$H$42="Todos",datos_base!$J$9+datos_base!$J$23,0))*parametros_manuales!$J$95+parametros_manuales!$E$42*(datos_base!$J$3+datos_base!$J$19+IF(parametros_manuales!$H$42="Todos",datos_base!$J$10+datos_base!$J$24,0))*parametros_manuales!$J$100+parametros_manuales!$F$42*(datos_base!$J$4+datos_base!$J$20+IF(parametros_manuales!$H$42="Todos",datos_base!$J$11+datos_base!$J$25,0))*parametros_manuales!$J$105+parametros_manuales!$G$42*(datos_base!$J$5+datos_base!$J$21+IF(parametros_manuales!$H$42="Todos",datos_base!$J$12+datos_base!$J$26,0))*parametros_manuales!$J$110)*parametros_manuales!$I$42*parametros_manuales!$J$42</f>
        <v>5361.14112036</v>
      </c>
      <c r="K241" s="9" t="n">
        <f aca="false">(parametros_manuales!$D$42*(datos_base!$J$2+datos_base!$J$18+IF(parametros_manuales!$H$42="Todos",datos_base!$J$9+datos_base!$J$23,0))*parametros_manuales!$K$95+parametros_manuales!$E$42*(datos_base!$J$3+datos_base!$J$19+IF(parametros_manuales!$H$42="Todos",datos_base!$J$10+datos_base!$J$24,0))*parametros_manuales!$K$100+parametros_manuales!$F$42*(datos_base!$J$4+datos_base!$J$20+IF(parametros_manuales!$H$42="Todos",datos_base!$J$11+datos_base!$J$25,0))*parametros_manuales!$K$105+parametros_manuales!$G$42*(datos_base!$J$5+datos_base!$J$21+IF(parametros_manuales!$H$42="Todos",datos_base!$J$12+datos_base!$J$26,0))*parametros_manuales!$K$110)*parametros_manuales!$I$42*parametros_manuales!$J$42</f>
        <v>5535.487424595</v>
      </c>
      <c r="L241" s="9" t="n">
        <f aca="false">(parametros_manuales!$D$42*(datos_base!$J$2+datos_base!$J$18+IF(parametros_manuales!$H$42="Todos",datos_base!$J$9+datos_base!$J$23,0))*parametros_manuales!$L$95+parametros_manuales!$E$42*(datos_base!$J$3+datos_base!$J$19+IF(parametros_manuales!$H$42="Todos",datos_base!$J$10+datos_base!$J$24,0))*parametros_manuales!$L$100+parametros_manuales!$F$42*(datos_base!$J$4+datos_base!$J$20+IF(parametros_manuales!$H$42="Todos",datos_base!$J$11+datos_base!$J$25,0))*parametros_manuales!$L$105+parametros_manuales!$G$42*(datos_base!$J$5+datos_base!$J$21+IF(parametros_manuales!$H$42="Todos",datos_base!$J$12+datos_base!$J$26,0))*parametros_manuales!$L$110)*parametros_manuales!$I$42*parametros_manuales!$J$42</f>
        <v>5709.83372883</v>
      </c>
      <c r="M241" s="9" t="n">
        <f aca="false">(parametros_manuales!$D$42*(datos_base!$J$2+datos_base!$J$18+IF(parametros_manuales!$H$42="Todos",datos_base!$J$9+datos_base!$J$23,0))*parametros_manuales!$M$95+parametros_manuales!$E$42*(datos_base!$J$3+datos_base!$J$19+IF(parametros_manuales!$H$42="Todos",datos_base!$J$10+datos_base!$J$24,0))*parametros_manuales!$M$100+parametros_manuales!$F$42*(datos_base!$J$4+datos_base!$J$20+IF(parametros_manuales!$H$42="Todos",datos_base!$J$11+datos_base!$J$25,0))*parametros_manuales!$M$105+parametros_manuales!$G$42*(datos_base!$J$5+datos_base!$J$21+IF(parametros_manuales!$H$42="Todos",datos_base!$J$12+datos_base!$J$26,0))*parametros_manuales!$M$110)*parametros_manuales!$I$42*parametros_manuales!$J$42</f>
        <v>5709.83372883</v>
      </c>
      <c r="N241" s="9" t="n">
        <f aca="false">SUM(B241:M241)</f>
        <v>63442.596987</v>
      </c>
      <c r="O241" s="9" t="n">
        <f aca="false">MAX(B241:M241)</f>
        <v>5709.83372883</v>
      </c>
      <c r="P241" s="43" t="n">
        <f aca="false">O241/(parametros_manuales!$B$7)</f>
        <v>38.0655581922</v>
      </c>
      <c r="Q241" s="8" t="str">
        <f aca="false">IF(O241=0,"-",INDEX($B$217:$M$217,MATCH(O241,B241:M241,0)))</f>
        <v>Ene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datos_base!$J$2+datos_base!$J$18+IF(parametros_manuales!$H$43="Todos",datos_base!$J$9+datos_base!$J$23,0))*parametros_manuales!$B$95+parametros_manuales!$E$43*(datos_base!$J$3+datos_base!$J$19+IF(parametros_manuales!$H$43="Todos",datos_base!$J$10+datos_base!$J$24,0))*parametros_manuales!$B$100+parametros_manuales!$F$43*(datos_base!$J$4+datos_base!$J$20+IF(parametros_manuales!$H$43="Todos",datos_base!$J$11+datos_base!$J$25,0))*parametros_manuales!$B$105+parametros_manuales!$G$43*(datos_base!$J$5+datos_base!$J$21+IF(parametros_manuales!$H$43="Todos",datos_base!$J$12+datos_base!$J$26,0))*parametros_manuales!$B$110)*parametros_manuales!$I$43*parametros_manuales!$J$43</f>
        <v>22162.09652883</v>
      </c>
      <c r="C242" s="9" t="n">
        <f aca="false">(parametros_manuales!$D$43*(datos_base!$J$2+datos_base!$J$18+IF(parametros_manuales!$H$43="Todos",datos_base!$J$9+datos_base!$J$23,0))*parametros_manuales!$C$95+parametros_manuales!$E$43*(datos_base!$J$3+datos_base!$J$19+IF(parametros_manuales!$H$43="Todos",datos_base!$J$10+datos_base!$J$24,0))*parametros_manuales!$C$100+parametros_manuales!$F$43*(datos_base!$J$4+datos_base!$J$20+IF(parametros_manuales!$H$43="Todos",datos_base!$J$11+datos_base!$J$25,0))*parametros_manuales!$C$105+parametros_manuales!$G$43*(datos_base!$J$5+datos_base!$J$21+IF(parametros_manuales!$H$43="Todos",datos_base!$J$12+datos_base!$J$26,0))*parametros_manuales!$C$110)*parametros_manuales!$I$43*parametros_manuales!$J$43</f>
        <v>21453.57272036</v>
      </c>
      <c r="D242" s="9" t="n">
        <f aca="false">(parametros_manuales!$D$43*(datos_base!$J$2+datos_base!$J$18+IF(parametros_manuales!$H$43="Todos",datos_base!$J$9+datos_base!$J$23,0))*parametros_manuales!$D$95+parametros_manuales!$E$43*(datos_base!$J$3+datos_base!$J$19+IF(parametros_manuales!$H$43="Todos",datos_base!$J$10+datos_base!$J$24,0))*parametros_manuales!$D$100+parametros_manuales!$F$43*(datos_base!$J$4+datos_base!$J$20+IF(parametros_manuales!$H$43="Todos",datos_base!$J$11+datos_base!$J$25,0))*parametros_manuales!$D$105+parametros_manuales!$G$43*(datos_base!$J$5+datos_base!$J$21+IF(parametros_manuales!$H$43="Todos",datos_base!$J$12+datos_base!$J$26,0))*parametros_manuales!$D$110)*parametros_manuales!$I$43*parametros_manuales!$J$43</f>
        <v>20053.903263195</v>
      </c>
      <c r="E242" s="9" t="n">
        <f aca="false">(parametros_manuales!$D$43*(datos_base!$J$2+datos_base!$J$18+IF(parametros_manuales!$H$43="Todos",datos_base!$J$9+datos_base!$J$23,0))*parametros_manuales!$E$95+parametros_manuales!$E$43*(datos_base!$J$3+datos_base!$J$19+IF(parametros_manuales!$H$43="Todos",datos_base!$J$10+datos_base!$J$24,0))*parametros_manuales!$E$100+parametros_manuales!$F$43*(datos_base!$J$4+datos_base!$J$20+IF(parametros_manuales!$H$43="Todos",datos_base!$J$11+datos_base!$J$25,0))*parametros_manuales!$E$105+parametros_manuales!$G$43*(datos_base!$J$5+datos_base!$J$21+IF(parametros_manuales!$H$43="Todos",datos_base!$J$12+datos_base!$J$26,0))*parametros_manuales!$E$110)*parametros_manuales!$I$43*parametros_manuales!$J$43</f>
        <v>19176.937582495</v>
      </c>
      <c r="F242" s="9" t="n">
        <f aca="false">(parametros_manuales!$D$43*(datos_base!$J$2+datos_base!$J$18+IF(parametros_manuales!$H$43="Todos",datos_base!$J$9+datos_base!$J$23,0))*parametros_manuales!$F$95+parametros_manuales!$E$43*(datos_base!$J$3+datos_base!$J$19+IF(parametros_manuales!$H$43="Todos",datos_base!$J$10+datos_base!$J$24,0))*parametros_manuales!$F$100+parametros_manuales!$F$43*(datos_base!$J$4+datos_base!$J$20+IF(parametros_manuales!$H$43="Todos",datos_base!$J$11+datos_base!$J$25,0))*parametros_manuales!$F$105+parametros_manuales!$G$43*(datos_base!$J$5+datos_base!$J$21+IF(parametros_manuales!$H$43="Todos",datos_base!$J$12+datos_base!$J$26,0))*parametros_manuales!$F$110)*parametros_manuales!$I$43*parametros_manuales!$J$43</f>
        <v>17945.70999756</v>
      </c>
      <c r="G242" s="9" t="n">
        <f aca="false">(parametros_manuales!$D$43*(datos_base!$J$2+datos_base!$J$18+IF(parametros_manuales!$H$43="Todos",datos_base!$J$9+datos_base!$J$23,0))*parametros_manuales!$G$95+parametros_manuales!$E$43*(datos_base!$J$3+datos_base!$J$19+IF(parametros_manuales!$H$43="Todos",datos_base!$J$10+datos_base!$J$24,0))*parametros_manuales!$G$100+parametros_manuales!$F$43*(datos_base!$J$4+datos_base!$J$20+IF(parametros_manuales!$H$43="Todos",datos_base!$J$11+datos_base!$J$25,0))*parametros_manuales!$G$105+parametros_manuales!$G$43*(datos_base!$J$5+datos_base!$J$21+IF(parametros_manuales!$H$43="Todos",datos_base!$J$12+datos_base!$J$26,0))*parametros_manuales!$G$110)*parametros_manuales!$I$43*parametros_manuales!$J$43</f>
        <v>17591.448093325</v>
      </c>
      <c r="H242" s="9" t="n">
        <f aca="false">(parametros_manuales!$D$43*(datos_base!$J$2+datos_base!$J$18+IF(parametros_manuales!$H$43="Todos",datos_base!$J$9+datos_base!$J$23,0))*parametros_manuales!$H$95+parametros_manuales!$E$43*(datos_base!$J$3+datos_base!$J$19+IF(parametros_manuales!$H$43="Todos",datos_base!$J$10+datos_base!$J$24,0))*parametros_manuales!$H$100+parametros_manuales!$F$43*(datos_base!$J$4+datos_base!$J$20+IF(parametros_manuales!$H$43="Todos",datos_base!$J$11+datos_base!$J$25,0))*parametros_manuales!$H$105+parametros_manuales!$G$43*(datos_base!$J$5+datos_base!$J$21+IF(parametros_manuales!$H$43="Todos",datos_base!$J$12+datos_base!$J$26,0))*parametros_manuales!$H$110)*parametros_manuales!$I$43*parametros_manuales!$J$43</f>
        <v>18822.67567826</v>
      </c>
      <c r="I242" s="9" t="n">
        <f aca="false">(parametros_manuales!$D$43*(datos_base!$J$2+datos_base!$J$18+IF(parametros_manuales!$H$43="Todos",datos_base!$J$9+datos_base!$J$23,0))*parametros_manuales!$I$95+parametros_manuales!$E$43*(datos_base!$J$3+datos_base!$J$19+IF(parametros_manuales!$H$43="Todos",datos_base!$J$10+datos_base!$J$24,0))*parametros_manuales!$I$100+parametros_manuales!$F$43*(datos_base!$J$4+datos_base!$J$20+IF(parametros_manuales!$H$43="Todos",datos_base!$J$11+datos_base!$J$25,0))*parametros_manuales!$I$105+parametros_manuales!$G$43*(datos_base!$J$5+datos_base!$J$21+IF(parametros_manuales!$H$43="Todos",datos_base!$J$12+datos_base!$J$26,0))*parametros_manuales!$I$110)*parametros_manuales!$I$43*parametros_manuales!$J$43</f>
        <v>21453.57272036</v>
      </c>
      <c r="J242" s="9" t="n">
        <f aca="false">(parametros_manuales!$D$43*(datos_base!$J$2+datos_base!$J$18+IF(parametros_manuales!$H$43="Todos",datos_base!$J$9+datos_base!$J$23,0))*parametros_manuales!$J$95+parametros_manuales!$E$43*(datos_base!$J$3+datos_base!$J$19+IF(parametros_manuales!$H$43="Todos",datos_base!$J$10+datos_base!$J$24,0))*parametros_manuales!$J$100+parametros_manuales!$F$43*(datos_base!$J$4+datos_base!$J$20+IF(parametros_manuales!$H$43="Todos",datos_base!$J$11+datos_base!$J$25,0))*parametros_manuales!$J$105+parametros_manuales!$G$43*(datos_base!$J$5+datos_base!$J$21+IF(parametros_manuales!$H$43="Todos",datos_base!$J$12+datos_base!$J$26,0))*parametros_manuales!$J$110)*parametros_manuales!$I$43*parametros_manuales!$J$43</f>
        <v>21453.57272036</v>
      </c>
      <c r="K242" s="9" t="n">
        <f aca="false">(parametros_manuales!$D$43*(datos_base!$J$2+datos_base!$J$18+IF(parametros_manuales!$H$43="Todos",datos_base!$J$9+datos_base!$J$23,0))*parametros_manuales!$K$95+parametros_manuales!$E$43*(datos_base!$J$3+datos_base!$J$19+IF(parametros_manuales!$H$43="Todos",datos_base!$J$10+datos_base!$J$24,0))*parametros_manuales!$K$100+parametros_manuales!$F$43*(datos_base!$J$4+datos_base!$J$20+IF(parametros_manuales!$H$43="Todos",datos_base!$J$11+datos_base!$J$25,0))*parametros_manuales!$K$105+parametros_manuales!$G$43*(datos_base!$J$5+datos_base!$J$21+IF(parametros_manuales!$H$43="Todos",datos_base!$J$12+datos_base!$J$26,0))*parametros_manuales!$K$110)*parametros_manuales!$I$43*parametros_manuales!$J$43</f>
        <v>21807.834624595</v>
      </c>
      <c r="L242" s="9" t="n">
        <f aca="false">(parametros_manuales!$D$43*(datos_base!$J$2+datos_base!$J$18+IF(parametros_manuales!$H$43="Todos",datos_base!$J$9+datos_base!$J$23,0))*parametros_manuales!$L$95+parametros_manuales!$E$43*(datos_base!$J$3+datos_base!$J$19+IF(parametros_manuales!$H$43="Todos",datos_base!$J$10+datos_base!$J$24,0))*parametros_manuales!$L$100+parametros_manuales!$F$43*(datos_base!$J$4+datos_base!$J$20+IF(parametros_manuales!$H$43="Todos",datos_base!$J$11+datos_base!$J$25,0))*parametros_manuales!$L$105+parametros_manuales!$G$43*(datos_base!$J$5+datos_base!$J$21+IF(parametros_manuales!$H$43="Todos",datos_base!$J$12+datos_base!$J$26,0))*parametros_manuales!$L$110)*parametros_manuales!$I$43*parametros_manuales!$J$43</f>
        <v>22162.09652883</v>
      </c>
      <c r="M242" s="9" t="n">
        <f aca="false">(parametros_manuales!$D$43*(datos_base!$J$2+datos_base!$J$18+IF(parametros_manuales!$H$43="Todos",datos_base!$J$9+datos_base!$J$23,0))*parametros_manuales!$M$95+parametros_manuales!$E$43*(datos_base!$J$3+datos_base!$J$19+IF(parametros_manuales!$H$43="Todos",datos_base!$J$10+datos_base!$J$24,0))*parametros_manuales!$M$100+parametros_manuales!$F$43*(datos_base!$J$4+datos_base!$J$20+IF(parametros_manuales!$H$43="Todos",datos_base!$J$11+datos_base!$J$25,0))*parametros_manuales!$M$105+parametros_manuales!$G$43*(datos_base!$J$5+datos_base!$J$21+IF(parametros_manuales!$H$43="Todos",datos_base!$J$12+datos_base!$J$26,0))*parametros_manuales!$M$110)*parametros_manuales!$I$43*parametros_manuales!$J$43</f>
        <v>22162.09652883</v>
      </c>
      <c r="N242" s="9" t="n">
        <f aca="false">SUM(B242:M242)</f>
        <v>246245.516987</v>
      </c>
      <c r="O242" s="9" t="n">
        <f aca="false">MAX(B242:M242)</f>
        <v>22162.09652883</v>
      </c>
      <c r="P242" s="43" t="n">
        <f aca="false">O242/(parametros_manuales!$B$7)</f>
        <v>147.7473101922</v>
      </c>
      <c r="Q242" s="8" t="str">
        <f aca="false">IF(O242=0,"-",INDEX($B$217:$M$217,MATCH(O242,B242:M242,0)))</f>
        <v>Ene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199</v>
      </c>
      <c r="B244" s="7" t="s">
        <v>61</v>
      </c>
      <c r="C244" s="7" t="s">
        <v>62</v>
      </c>
      <c r="D244" s="7" t="s">
        <v>63</v>
      </c>
      <c r="E244" s="7" t="s">
        <v>64</v>
      </c>
      <c r="F244" s="7" t="s">
        <v>65</v>
      </c>
      <c r="G244" s="7" t="s">
        <v>66</v>
      </c>
      <c r="H244" s="7" t="s">
        <v>67</v>
      </c>
      <c r="I244" s="7" t="s">
        <v>68</v>
      </c>
      <c r="J244" s="7" t="s">
        <v>69</v>
      </c>
      <c r="K244" s="7" t="s">
        <v>70</v>
      </c>
      <c r="L244" s="7" t="s">
        <v>71</v>
      </c>
      <c r="M244" s="7" t="s">
        <v>72</v>
      </c>
      <c r="N244" s="7" t="s">
        <v>183</v>
      </c>
      <c r="O244" s="7" t="s">
        <v>188</v>
      </c>
      <c r="P244" s="7" t="s">
        <v>189</v>
      </c>
      <c r="Q244" s="7" t="s">
        <v>190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datos_base!$K$2+datos_base!$K$18+IF(parametros_manuales!$H$19="Todos",datos_base!$K$9+datos_base!$K$23,0))*parametros_manuales!$B$95+parametros_manuales!$E$19*(datos_base!$K$3+datos_base!$K$19+IF(parametros_manuales!$H$19="Todos",datos_base!$K$10+datos_base!$K$24,0))*parametros_manuales!$B$100+parametros_manuales!$F$19*(datos_base!$K$4+datos_base!$K$20+IF(parametros_manuales!$H$19="Todos",datos_base!$K$11+datos_base!$K$25,0))*parametros_manuales!$B$105+parametros_manuales!$G$19*(datos_base!$K$5+datos_base!$K$21+IF(parametros_manuales!$H$19="Todos",datos_base!$K$12+datos_base!$K$26,0))*parametros_manuales!$B$110)*parametros_manuales!$I$19*parametros_manuales!$J$19</f>
        <v>25606.19559357</v>
      </c>
      <c r="C245" s="9" t="n">
        <f aca="false">(parametros_manuales!$D$19*(datos_base!$K$2+datos_base!$K$18+IF(parametros_manuales!$H$19="Todos",datos_base!$K$9+datos_base!$K$23,0))*parametros_manuales!$C$95+parametros_manuales!$E$19*(datos_base!$K$3+datos_base!$K$19+IF(parametros_manuales!$H$19="Todos",datos_base!$K$10+datos_base!$K$24,0))*parametros_manuales!$C$100+parametros_manuales!$F$19*(datos_base!$K$4+datos_base!$K$20+IF(parametros_manuales!$H$19="Todos",datos_base!$K$11+datos_base!$K$25,0))*parametros_manuales!$C$105+parametros_manuales!$G$19*(datos_base!$K$5+datos_base!$K$21+IF(parametros_manuales!$H$19="Todos",datos_base!$K$12+datos_base!$K$26,0))*parametros_manuales!$C$110)*parametros_manuales!$I$19*parametros_manuales!$J$19</f>
        <v>24787.26914114</v>
      </c>
      <c r="D245" s="9" t="n">
        <f aca="false">(parametros_manuales!$D$19*(datos_base!$K$2+datos_base!$K$18+IF(parametros_manuales!$H$19="Todos",datos_base!$K$9+datos_base!$K$23,0))*parametros_manuales!$D$95+parametros_manuales!$E$19*(datos_base!$K$3+datos_base!$K$19+IF(parametros_manuales!$H$19="Todos",datos_base!$K$10+datos_base!$K$24,0))*parametros_manuales!$D$100+parametros_manuales!$F$19*(datos_base!$K$4+datos_base!$K$20+IF(parametros_manuales!$H$19="Todos",datos_base!$K$11+datos_base!$K$25,0))*parametros_manuales!$D$105+parametros_manuales!$G$19*(datos_base!$K$5+datos_base!$K$21+IF(parametros_manuales!$H$19="Todos",datos_base!$K$12+datos_base!$K$26,0))*parametros_manuales!$D$110)*parametros_manuales!$I$19*parametros_manuales!$J$19</f>
        <v>23170.525976055</v>
      </c>
      <c r="E245" s="9" t="n">
        <f aca="false">(parametros_manuales!$D$19*(datos_base!$K$2+datos_base!$K$18+IF(parametros_manuales!$H$19="Todos",datos_base!$K$9+datos_base!$K$23,0))*parametros_manuales!$E$95+parametros_manuales!$E$19*(datos_base!$K$3+datos_base!$K$19+IF(parametros_manuales!$H$19="Todos",datos_base!$K$10+datos_base!$K$24,0))*parametros_manuales!$E$100+parametros_manuales!$F$19*(datos_base!$K$4+datos_base!$K$20+IF(parametros_manuales!$H$19="Todos",datos_base!$K$11+datos_base!$K$25,0))*parametros_manuales!$E$105+parametros_manuales!$G$19*(datos_base!$K$5+datos_base!$K$21+IF(parametros_manuales!$H$19="Todos",datos_base!$K$12+datos_base!$K$26,0))*parametros_manuales!$E$110)*parametros_manuales!$I$19*parametros_manuales!$J$19</f>
        <v>22157.422780405</v>
      </c>
      <c r="F245" s="9" t="n">
        <f aca="false">(parametros_manuales!$D$19*(datos_base!$K$2+datos_base!$K$18+IF(parametros_manuales!$H$19="Todos",datos_base!$K$9+datos_base!$K$23,0))*parametros_manuales!$F$95+parametros_manuales!$E$19*(datos_base!$K$3+datos_base!$K$19+IF(parametros_manuales!$H$19="Todos",datos_base!$K$10+datos_base!$K$24,0))*parametros_manuales!$F$100+parametros_manuales!$F$19*(datos_base!$K$4+datos_base!$K$20+IF(parametros_manuales!$H$19="Todos",datos_base!$K$11+datos_base!$K$25,0))*parametros_manuales!$F$105+parametros_manuales!$G$19*(datos_base!$K$5+datos_base!$K$21+IF(parametros_manuales!$H$19="Todos",datos_base!$K$12+datos_base!$K$26,0))*parametros_manuales!$F$110)*parametros_manuales!$I$19*parametros_manuales!$J$19</f>
        <v>20734.85635854</v>
      </c>
      <c r="G245" s="9" t="n">
        <f aca="false">(parametros_manuales!$D$19*(datos_base!$K$2+datos_base!$K$18+IF(parametros_manuales!$H$19="Todos",datos_base!$K$9+datos_base!$K$23,0))*parametros_manuales!$G$95+parametros_manuales!$E$19*(datos_base!$K$3+datos_base!$K$19+IF(parametros_manuales!$H$19="Todos",datos_base!$K$10+datos_base!$K$24,0))*parametros_manuales!$G$100+parametros_manuales!$F$19*(datos_base!$K$4+datos_base!$K$20+IF(parametros_manuales!$H$19="Todos",datos_base!$K$11+datos_base!$K$25,0))*parametros_manuales!$G$105+parametros_manuales!$G$19*(datos_base!$K$5+datos_base!$K$21+IF(parametros_manuales!$H$19="Todos",datos_base!$K$12+datos_base!$K$26,0))*parametros_manuales!$G$110)*parametros_manuales!$I$19*parametros_manuales!$J$19</f>
        <v>20325.393132325</v>
      </c>
      <c r="H245" s="9" t="n">
        <f aca="false">(parametros_manuales!$D$19*(datos_base!$K$2+datos_base!$K$18+IF(parametros_manuales!$H$19="Todos",datos_base!$K$9+datos_base!$K$23,0))*parametros_manuales!$H$95+parametros_manuales!$E$19*(datos_base!$K$3+datos_base!$K$19+IF(parametros_manuales!$H$19="Todos",datos_base!$K$10+datos_base!$K$24,0))*parametros_manuales!$H$100+parametros_manuales!$F$19*(datos_base!$K$4+datos_base!$K$20+IF(parametros_manuales!$H$19="Todos",datos_base!$K$11+datos_base!$K$25,0))*parametros_manuales!$H$105+parametros_manuales!$G$19*(datos_base!$K$5+datos_base!$K$21+IF(parametros_manuales!$H$19="Todos",datos_base!$K$12+datos_base!$K$26,0))*parametros_manuales!$H$110)*parametros_manuales!$I$19*parametros_manuales!$J$19</f>
        <v>21747.95955419</v>
      </c>
      <c r="I245" s="9" t="n">
        <f aca="false">(parametros_manuales!$D$19*(datos_base!$K$2+datos_base!$K$18+IF(parametros_manuales!$H$19="Todos",datos_base!$K$9+datos_base!$K$23,0))*parametros_manuales!$I$95+parametros_manuales!$E$19*(datos_base!$K$3+datos_base!$K$19+IF(parametros_manuales!$H$19="Todos",datos_base!$K$10+datos_base!$K$24,0))*parametros_manuales!$I$100+parametros_manuales!$F$19*(datos_base!$K$4+datos_base!$K$20+IF(parametros_manuales!$H$19="Todos",datos_base!$K$11+datos_base!$K$25,0))*parametros_manuales!$I$105+parametros_manuales!$G$19*(datos_base!$K$5+datos_base!$K$21+IF(parametros_manuales!$H$19="Todos",datos_base!$K$12+datos_base!$K$26,0))*parametros_manuales!$I$110)*parametros_manuales!$I$19*parametros_manuales!$J$19</f>
        <v>24787.26914114</v>
      </c>
      <c r="J245" s="9" t="n">
        <f aca="false">(parametros_manuales!$D$19*(datos_base!$K$2+datos_base!$K$18+IF(parametros_manuales!$H$19="Todos",datos_base!$K$9+datos_base!$K$23,0))*parametros_manuales!$J$95+parametros_manuales!$E$19*(datos_base!$K$3+datos_base!$K$19+IF(parametros_manuales!$H$19="Todos",datos_base!$K$10+datos_base!$K$24,0))*parametros_manuales!$J$100+parametros_manuales!$F$19*(datos_base!$K$4+datos_base!$K$20+IF(parametros_manuales!$H$19="Todos",datos_base!$K$11+datos_base!$K$25,0))*parametros_manuales!$J$105+parametros_manuales!$G$19*(datos_base!$K$5+datos_base!$K$21+IF(parametros_manuales!$H$19="Todos",datos_base!$K$12+datos_base!$K$26,0))*parametros_manuales!$J$110)*parametros_manuales!$I$19*parametros_manuales!$J$19</f>
        <v>24787.26914114</v>
      </c>
      <c r="K245" s="9" t="n">
        <f aca="false">(parametros_manuales!$D$19*(datos_base!$K$2+datos_base!$K$18+IF(parametros_manuales!$H$19="Todos",datos_base!$K$9+datos_base!$K$23,0))*parametros_manuales!$K$95+parametros_manuales!$E$19*(datos_base!$K$3+datos_base!$K$19+IF(parametros_manuales!$H$19="Todos",datos_base!$K$10+datos_base!$K$24,0))*parametros_manuales!$K$100+parametros_manuales!$F$19*(datos_base!$K$4+datos_base!$K$20+IF(parametros_manuales!$H$19="Todos",datos_base!$K$11+datos_base!$K$25,0))*parametros_manuales!$K$105+parametros_manuales!$G$19*(datos_base!$K$5+datos_base!$K$21+IF(parametros_manuales!$H$19="Todos",datos_base!$K$12+datos_base!$K$26,0))*parametros_manuales!$K$110)*parametros_manuales!$I$19*parametros_manuales!$J$19</f>
        <v>25196.732367355</v>
      </c>
      <c r="L245" s="9" t="n">
        <f aca="false">(parametros_manuales!$D$19*(datos_base!$K$2+datos_base!$K$18+IF(parametros_manuales!$H$19="Todos",datos_base!$K$9+datos_base!$K$23,0))*parametros_manuales!$L$95+parametros_manuales!$E$19*(datos_base!$K$3+datos_base!$K$19+IF(parametros_manuales!$H$19="Todos",datos_base!$K$10+datos_base!$K$24,0))*parametros_manuales!$L$100+parametros_manuales!$F$19*(datos_base!$K$4+datos_base!$K$20+IF(parametros_manuales!$H$19="Todos",datos_base!$K$11+datos_base!$K$25,0))*parametros_manuales!$L$105+parametros_manuales!$G$19*(datos_base!$K$5+datos_base!$K$21+IF(parametros_manuales!$H$19="Todos",datos_base!$K$12+datos_base!$K$26,0))*parametros_manuales!$L$110)*parametros_manuales!$I$19*parametros_manuales!$J$19</f>
        <v>25606.19559357</v>
      </c>
      <c r="M245" s="9" t="n">
        <f aca="false">(parametros_manuales!$D$19*(datos_base!$K$2+datos_base!$K$18+IF(parametros_manuales!$H$19="Todos",datos_base!$K$9+datos_base!$K$23,0))*parametros_manuales!$M$95+parametros_manuales!$E$19*(datos_base!$K$3+datos_base!$K$19+IF(parametros_manuales!$H$19="Todos",datos_base!$K$10+datos_base!$K$24,0))*parametros_manuales!$M$100+parametros_manuales!$F$19*(datos_base!$K$4+datos_base!$K$20+IF(parametros_manuales!$H$19="Todos",datos_base!$K$11+datos_base!$K$25,0))*parametros_manuales!$M$105+parametros_manuales!$G$19*(datos_base!$K$5+datos_base!$K$21+IF(parametros_manuales!$H$19="Todos",datos_base!$K$12+datos_base!$K$26,0))*parametros_manuales!$M$110)*parametros_manuales!$I$19*parametros_manuales!$J$19</f>
        <v>25606.19559357</v>
      </c>
      <c r="N245" s="9" t="n">
        <f aca="false">SUM(B245:M245)</f>
        <v>284513.284373</v>
      </c>
      <c r="O245" s="9" t="n">
        <f aca="false">MAX(B245:M245)</f>
        <v>25606.19559357</v>
      </c>
      <c r="P245" s="43" t="n">
        <f aca="false">O245/(parametros_manuales!$B$7)</f>
        <v>170.7079706238</v>
      </c>
      <c r="Q245" s="8" t="str">
        <f aca="false">IF(O245=0,"-",INDEX($B$244:$M$244,MATCH(O245,B245:M245,0)))</f>
        <v>Ene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datos_base!$K$2+datos_base!$K$18+IF(parametros_manuales!$H$20="Todos",datos_base!$K$9+datos_base!$K$23,0))*parametros_manuales!$B$95+parametros_manuales!$E$20*(datos_base!$K$3+datos_base!$K$19+IF(parametros_manuales!$H$20="Todos",datos_base!$K$10+datos_base!$K$24,0))*parametros_manuales!$B$100+parametros_manuales!$F$20*(datos_base!$K$4+datos_base!$K$20+IF(parametros_manuales!$H$20="Todos",datos_base!$K$11+datos_base!$K$25,0))*parametros_manuales!$B$105+parametros_manuales!$G$20*(datos_base!$K$5+datos_base!$K$21+IF(parametros_manuales!$H$20="Todos",datos_base!$K$12+datos_base!$K$26,0))*parametros_manuales!$B$110)*parametros_manuales!$I$20*parametros_manuales!$J$20</f>
        <v>7370.33807187</v>
      </c>
      <c r="C246" s="9" t="n">
        <f aca="false">(parametros_manuales!$D$20*(datos_base!$K$2+datos_base!$K$18+IF(parametros_manuales!$H$20="Todos",datos_base!$K$9+datos_base!$K$23,0))*parametros_manuales!$C$95+parametros_manuales!$E$20*(datos_base!$K$3+datos_base!$K$19+IF(parametros_manuales!$H$20="Todos",datos_base!$K$10+datos_base!$K$24,0))*parametros_manuales!$C$100+parametros_manuales!$F$20*(datos_base!$K$4+datos_base!$K$20+IF(parametros_manuales!$H$20="Todos",datos_base!$K$11+datos_base!$K$25,0))*parametros_manuales!$C$105+parametros_manuales!$G$20*(datos_base!$K$5+datos_base!$K$21+IF(parametros_manuales!$H$20="Todos",datos_base!$K$12+datos_base!$K$26,0))*parametros_manuales!$C$110)*parametros_manuales!$I$20*parametros_manuales!$J$20</f>
        <v>6551.41161944</v>
      </c>
      <c r="D246" s="9" t="n">
        <f aca="false">(parametros_manuales!$D$20*(datos_base!$K$2+datos_base!$K$18+IF(parametros_manuales!$H$20="Todos",datos_base!$K$9+datos_base!$K$23,0))*parametros_manuales!$D$95+parametros_manuales!$E$20*(datos_base!$K$3+datos_base!$K$19+IF(parametros_manuales!$H$20="Todos",datos_base!$K$10+datos_base!$K$24,0))*parametros_manuales!$D$100+parametros_manuales!$F$20*(datos_base!$K$4+datos_base!$K$20+IF(parametros_manuales!$H$20="Todos",datos_base!$K$11+datos_base!$K$25,0))*parametros_manuales!$D$105+parametros_manuales!$G$20*(datos_base!$K$5+datos_base!$K$21+IF(parametros_manuales!$H$20="Todos",datos_base!$K$12+datos_base!$K$26,0))*parametros_manuales!$D$110)*parametros_manuales!$I$20*parametros_manuales!$J$20</f>
        <v>6960.874845655</v>
      </c>
      <c r="E246" s="9" t="n">
        <f aca="false">(parametros_manuales!$D$20*(datos_base!$K$2+datos_base!$K$18+IF(parametros_manuales!$H$20="Todos",datos_base!$K$9+datos_base!$K$23,0))*parametros_manuales!$E$95+parametros_manuales!$E$20*(datos_base!$K$3+datos_base!$K$19+IF(parametros_manuales!$H$20="Todos",datos_base!$K$10+datos_base!$K$24,0))*parametros_manuales!$E$100+parametros_manuales!$F$20*(datos_base!$K$4+datos_base!$K$20+IF(parametros_manuales!$H$20="Todos",datos_base!$K$11+datos_base!$K$25,0))*parametros_manuales!$E$105+parametros_manuales!$G$20*(datos_base!$K$5+datos_base!$K$21+IF(parametros_manuales!$H$20="Todos",datos_base!$K$12+datos_base!$K$26,0))*parametros_manuales!$E$110)*parametros_manuales!$I$20*parametros_manuales!$J$20</f>
        <v>6960.874845655</v>
      </c>
      <c r="F246" s="9" t="n">
        <f aca="false">(parametros_manuales!$D$20*(datos_base!$K$2+datos_base!$K$18+IF(parametros_manuales!$H$20="Todos",datos_base!$K$9+datos_base!$K$23,0))*parametros_manuales!$F$95+parametros_manuales!$E$20*(datos_base!$K$3+datos_base!$K$19+IF(parametros_manuales!$H$20="Todos",datos_base!$K$10+datos_base!$K$24,0))*parametros_manuales!$F$100+parametros_manuales!$F$20*(datos_base!$K$4+datos_base!$K$20+IF(parametros_manuales!$H$20="Todos",datos_base!$K$11+datos_base!$K$25,0))*parametros_manuales!$F$105+parametros_manuales!$G$20*(datos_base!$K$5+datos_base!$K$21+IF(parametros_manuales!$H$20="Todos",datos_base!$K$12+datos_base!$K$26,0))*parametros_manuales!$F$110)*parametros_manuales!$I$20*parametros_manuales!$J$20</f>
        <v>6551.41161944</v>
      </c>
      <c r="G246" s="9" t="n">
        <f aca="false">(parametros_manuales!$D$20*(datos_base!$K$2+datos_base!$K$18+IF(parametros_manuales!$H$20="Todos",datos_base!$K$9+datos_base!$K$23,0))*parametros_manuales!$G$95+parametros_manuales!$E$20*(datos_base!$K$3+datos_base!$K$19+IF(parametros_manuales!$H$20="Todos",datos_base!$K$10+datos_base!$K$24,0))*parametros_manuales!$G$100+parametros_manuales!$F$20*(datos_base!$K$4+datos_base!$K$20+IF(parametros_manuales!$H$20="Todos",datos_base!$K$11+datos_base!$K$25,0))*parametros_manuales!$G$105+parametros_manuales!$G$20*(datos_base!$K$5+datos_base!$K$21+IF(parametros_manuales!$H$20="Todos",datos_base!$K$12+datos_base!$K$26,0))*parametros_manuales!$G$110)*parametros_manuales!$I$20*parametros_manuales!$J$20</f>
        <v>6141.948393225</v>
      </c>
      <c r="H246" s="9" t="n">
        <f aca="false">(parametros_manuales!$D$20*(datos_base!$K$2+datos_base!$K$18+IF(parametros_manuales!$H$20="Todos",datos_base!$K$9+datos_base!$K$23,0))*parametros_manuales!$H$95+parametros_manuales!$E$20*(datos_base!$K$3+datos_base!$K$19+IF(parametros_manuales!$H$20="Todos",datos_base!$K$10+datos_base!$K$24,0))*parametros_manuales!$H$100+parametros_manuales!$F$20*(datos_base!$K$4+datos_base!$K$20+IF(parametros_manuales!$H$20="Todos",datos_base!$K$11+datos_base!$K$25,0))*parametros_manuales!$H$105+parametros_manuales!$G$20*(datos_base!$K$5+datos_base!$K$21+IF(parametros_manuales!$H$20="Todos",datos_base!$K$12+datos_base!$K$26,0))*parametros_manuales!$H$110)*parametros_manuales!$I$20*parametros_manuales!$J$20</f>
        <v>6551.41161944</v>
      </c>
      <c r="I246" s="9" t="n">
        <f aca="false">(parametros_manuales!$D$20*(datos_base!$K$2+datos_base!$K$18+IF(parametros_manuales!$H$20="Todos",datos_base!$K$9+datos_base!$K$23,0))*parametros_manuales!$I$95+parametros_manuales!$E$20*(datos_base!$K$3+datos_base!$K$19+IF(parametros_manuales!$H$20="Todos",datos_base!$K$10+datos_base!$K$24,0))*parametros_manuales!$I$100+parametros_manuales!$F$20*(datos_base!$K$4+datos_base!$K$20+IF(parametros_manuales!$H$20="Todos",datos_base!$K$11+datos_base!$K$25,0))*parametros_manuales!$I$105+parametros_manuales!$G$20*(datos_base!$K$5+datos_base!$K$21+IF(parametros_manuales!$H$20="Todos",datos_base!$K$12+datos_base!$K$26,0))*parametros_manuales!$I$110)*parametros_manuales!$I$20*parametros_manuales!$J$20</f>
        <v>6551.41161944</v>
      </c>
      <c r="J246" s="9" t="n">
        <f aca="false">(parametros_manuales!$D$20*(datos_base!$K$2+datos_base!$K$18+IF(parametros_manuales!$H$20="Todos",datos_base!$K$9+datos_base!$K$23,0))*parametros_manuales!$J$95+parametros_manuales!$E$20*(datos_base!$K$3+datos_base!$K$19+IF(parametros_manuales!$H$20="Todos",datos_base!$K$10+datos_base!$K$24,0))*parametros_manuales!$J$100+parametros_manuales!$F$20*(datos_base!$K$4+datos_base!$K$20+IF(parametros_manuales!$H$20="Todos",datos_base!$K$11+datos_base!$K$25,0))*parametros_manuales!$J$105+parametros_manuales!$G$20*(datos_base!$K$5+datos_base!$K$21+IF(parametros_manuales!$H$20="Todos",datos_base!$K$12+datos_base!$K$26,0))*parametros_manuales!$J$110)*parametros_manuales!$I$20*parametros_manuales!$J$20</f>
        <v>6551.41161944</v>
      </c>
      <c r="K246" s="9" t="n">
        <f aca="false">(parametros_manuales!$D$20*(datos_base!$K$2+datos_base!$K$18+IF(parametros_manuales!$H$20="Todos",datos_base!$K$9+datos_base!$K$23,0))*parametros_manuales!$K$95+parametros_manuales!$E$20*(datos_base!$K$3+datos_base!$K$19+IF(parametros_manuales!$H$20="Todos",datos_base!$K$10+datos_base!$K$24,0))*parametros_manuales!$K$100+parametros_manuales!$F$20*(datos_base!$K$4+datos_base!$K$20+IF(parametros_manuales!$H$20="Todos",datos_base!$K$11+datos_base!$K$25,0))*parametros_manuales!$K$105+parametros_manuales!$G$20*(datos_base!$K$5+datos_base!$K$21+IF(parametros_manuales!$H$20="Todos",datos_base!$K$12+datos_base!$K$26,0))*parametros_manuales!$K$110)*parametros_manuales!$I$20*parametros_manuales!$J$20</f>
        <v>6960.874845655</v>
      </c>
      <c r="L246" s="9" t="n">
        <f aca="false">(parametros_manuales!$D$20*(datos_base!$K$2+datos_base!$K$18+IF(parametros_manuales!$H$20="Todos",datos_base!$K$9+datos_base!$K$23,0))*parametros_manuales!$L$95+parametros_manuales!$E$20*(datos_base!$K$3+datos_base!$K$19+IF(parametros_manuales!$H$20="Todos",datos_base!$K$10+datos_base!$K$24,0))*parametros_manuales!$L$100+parametros_manuales!$F$20*(datos_base!$K$4+datos_base!$K$20+IF(parametros_manuales!$H$20="Todos",datos_base!$K$11+datos_base!$K$25,0))*parametros_manuales!$L$105+parametros_manuales!$G$20*(datos_base!$K$5+datos_base!$K$21+IF(parametros_manuales!$H$20="Todos",datos_base!$K$12+datos_base!$K$26,0))*parametros_manuales!$L$110)*parametros_manuales!$I$20*parametros_manuales!$J$20</f>
        <v>7370.33807187</v>
      </c>
      <c r="M246" s="9" t="n">
        <f aca="false">(parametros_manuales!$D$20*(datos_base!$K$2+datos_base!$K$18+IF(parametros_manuales!$H$20="Todos",datos_base!$K$9+datos_base!$K$23,0))*parametros_manuales!$M$95+parametros_manuales!$E$20*(datos_base!$K$3+datos_base!$K$19+IF(parametros_manuales!$H$20="Todos",datos_base!$K$10+datos_base!$K$24,0))*parametros_manuales!$M$100+parametros_manuales!$F$20*(datos_base!$K$4+datos_base!$K$20+IF(parametros_manuales!$H$20="Todos",datos_base!$K$11+datos_base!$K$25,0))*parametros_manuales!$M$105+parametros_manuales!$G$20*(datos_base!$K$5+datos_base!$K$21+IF(parametros_manuales!$H$20="Todos",datos_base!$K$12+datos_base!$K$26,0))*parametros_manuales!$M$110)*parametros_manuales!$I$20*parametros_manuales!$J$20</f>
        <v>7370.33807187</v>
      </c>
      <c r="N246" s="9" t="n">
        <f aca="false">SUM(B246:M246)</f>
        <v>81892.645243</v>
      </c>
      <c r="O246" s="9" t="n">
        <f aca="false">MAX(B246:M246)</f>
        <v>7370.33807187</v>
      </c>
      <c r="P246" s="43" t="n">
        <f aca="false">O246/(parametros_manuales!$B$7)</f>
        <v>49.1355871458</v>
      </c>
      <c r="Q246" s="8" t="str">
        <f aca="false">IF(O246=0,"-",INDEX($B$244:$M$244,MATCH(O246,B246:M246,0)))</f>
        <v>Ene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datos_base!$K$2+datos_base!$K$18+IF(parametros_manuales!$H$21="Todos",datos_base!$K$9+datos_base!$K$23,0))*parametros_manuales!$B$95+parametros_manuales!$E$21*(datos_base!$K$3+datos_base!$K$19+IF(parametros_manuales!$H$21="Todos",datos_base!$K$10+datos_base!$K$24,0))*parametros_manuales!$B$100+parametros_manuales!$F$21*(datos_base!$K$4+datos_base!$K$20+IF(parametros_manuales!$H$21="Todos",datos_base!$K$11+datos_base!$K$25,0))*parametros_manuales!$B$105+parametros_manuales!$G$21*(datos_base!$K$5+datos_base!$K$21+IF(parametros_manuales!$H$21="Todos",datos_base!$K$12+datos_base!$K$26,0))*parametros_manuales!$B$110)*parametros_manuales!$I$21*parametros_manuales!$J$21</f>
        <v>18235.8575217</v>
      </c>
      <c r="C247" s="9" t="n">
        <f aca="false">(parametros_manuales!$D$21*(datos_base!$K$2+datos_base!$K$18+IF(parametros_manuales!$H$21="Todos",datos_base!$K$9+datos_base!$K$23,0))*parametros_manuales!$C$95+parametros_manuales!$E$21*(datos_base!$K$3+datos_base!$K$19+IF(parametros_manuales!$H$21="Todos",datos_base!$K$10+datos_base!$K$24,0))*parametros_manuales!$C$100+parametros_manuales!$F$21*(datos_base!$K$4+datos_base!$K$20+IF(parametros_manuales!$H$21="Todos",datos_base!$K$11+datos_base!$K$25,0))*parametros_manuales!$C$105+parametros_manuales!$G$21*(datos_base!$K$5+datos_base!$K$21+IF(parametros_manuales!$H$21="Todos",datos_base!$K$12+datos_base!$K$26,0))*parametros_manuales!$C$110)*parametros_manuales!$I$21*parametros_manuales!$J$21</f>
        <v>18235.8575217</v>
      </c>
      <c r="D247" s="9" t="n">
        <f aca="false">(parametros_manuales!$D$21*(datos_base!$K$2+datos_base!$K$18+IF(parametros_manuales!$H$21="Todos",datos_base!$K$9+datos_base!$K$23,0))*parametros_manuales!$D$95+parametros_manuales!$E$21*(datos_base!$K$3+datos_base!$K$19+IF(parametros_manuales!$H$21="Todos",datos_base!$K$10+datos_base!$K$24,0))*parametros_manuales!$D$100+parametros_manuales!$F$21*(datos_base!$K$4+datos_base!$K$20+IF(parametros_manuales!$H$21="Todos",datos_base!$K$11+datos_base!$K$25,0))*parametros_manuales!$D$105+parametros_manuales!$G$21*(datos_base!$K$5+datos_base!$K$21+IF(parametros_manuales!$H$21="Todos",datos_base!$K$12+datos_base!$K$26,0))*parametros_manuales!$D$110)*parametros_manuales!$I$21*parametros_manuales!$J$21</f>
        <v>16209.6511304</v>
      </c>
      <c r="E247" s="9" t="n">
        <f aca="false">(parametros_manuales!$D$21*(datos_base!$K$2+datos_base!$K$18+IF(parametros_manuales!$H$21="Todos",datos_base!$K$9+datos_base!$K$23,0))*parametros_manuales!$E$95+parametros_manuales!$E$21*(datos_base!$K$3+datos_base!$K$19+IF(parametros_manuales!$H$21="Todos",datos_base!$K$10+datos_base!$K$24,0))*parametros_manuales!$E$100+parametros_manuales!$F$21*(datos_base!$K$4+datos_base!$K$20+IF(parametros_manuales!$H$21="Todos",datos_base!$K$11+datos_base!$K$25,0))*parametros_manuales!$E$105+parametros_manuales!$G$21*(datos_base!$K$5+datos_base!$K$21+IF(parametros_manuales!$H$21="Todos",datos_base!$K$12+datos_base!$K$26,0))*parametros_manuales!$E$110)*parametros_manuales!$I$21*parametros_manuales!$J$21</f>
        <v>15196.54793475</v>
      </c>
      <c r="F247" s="9" t="n">
        <f aca="false">(parametros_manuales!$D$21*(datos_base!$K$2+datos_base!$K$18+IF(parametros_manuales!$H$21="Todos",datos_base!$K$9+datos_base!$K$23,0))*parametros_manuales!$F$95+parametros_manuales!$E$21*(datos_base!$K$3+datos_base!$K$19+IF(parametros_manuales!$H$21="Todos",datos_base!$K$10+datos_base!$K$24,0))*parametros_manuales!$F$100+parametros_manuales!$F$21*(datos_base!$K$4+datos_base!$K$20+IF(parametros_manuales!$H$21="Todos",datos_base!$K$11+datos_base!$K$25,0))*parametros_manuales!$F$105+parametros_manuales!$G$21*(datos_base!$K$5+datos_base!$K$21+IF(parametros_manuales!$H$21="Todos",datos_base!$K$12+datos_base!$K$26,0))*parametros_manuales!$F$110)*parametros_manuales!$I$21*parametros_manuales!$J$21</f>
        <v>14183.4447391</v>
      </c>
      <c r="G247" s="9" t="n">
        <f aca="false">(parametros_manuales!$D$21*(datos_base!$K$2+datos_base!$K$18+IF(parametros_manuales!$H$21="Todos",datos_base!$K$9+datos_base!$K$23,0))*parametros_manuales!$G$95+parametros_manuales!$E$21*(datos_base!$K$3+datos_base!$K$19+IF(parametros_manuales!$H$21="Todos",datos_base!$K$10+datos_base!$K$24,0))*parametros_manuales!$G$100+parametros_manuales!$F$21*(datos_base!$K$4+datos_base!$K$20+IF(parametros_manuales!$H$21="Todos",datos_base!$K$11+datos_base!$K$25,0))*parametros_manuales!$G$105+parametros_manuales!$G$21*(datos_base!$K$5+datos_base!$K$21+IF(parametros_manuales!$H$21="Todos",datos_base!$K$12+datos_base!$K$26,0))*parametros_manuales!$G$110)*parametros_manuales!$I$21*parametros_manuales!$J$21</f>
        <v>14183.4447391</v>
      </c>
      <c r="H247" s="9" t="n">
        <f aca="false">(parametros_manuales!$D$21*(datos_base!$K$2+datos_base!$K$18+IF(parametros_manuales!$H$21="Todos",datos_base!$K$9+datos_base!$K$23,0))*parametros_manuales!$H$95+parametros_manuales!$E$21*(datos_base!$K$3+datos_base!$K$19+IF(parametros_manuales!$H$21="Todos",datos_base!$K$10+datos_base!$K$24,0))*parametros_manuales!$H$100+parametros_manuales!$F$21*(datos_base!$K$4+datos_base!$K$20+IF(parametros_manuales!$H$21="Todos",datos_base!$K$11+datos_base!$K$25,0))*parametros_manuales!$H$105+parametros_manuales!$G$21*(datos_base!$K$5+datos_base!$K$21+IF(parametros_manuales!$H$21="Todos",datos_base!$K$12+datos_base!$K$26,0))*parametros_manuales!$H$110)*parametros_manuales!$I$21*parametros_manuales!$J$21</f>
        <v>15196.54793475</v>
      </c>
      <c r="I247" s="9" t="n">
        <f aca="false">(parametros_manuales!$D$21*(datos_base!$K$2+datos_base!$K$18+IF(parametros_manuales!$H$21="Todos",datos_base!$K$9+datos_base!$K$23,0))*parametros_manuales!$I$95+parametros_manuales!$E$21*(datos_base!$K$3+datos_base!$K$19+IF(parametros_manuales!$H$21="Todos",datos_base!$K$10+datos_base!$K$24,0))*parametros_manuales!$I$100+parametros_manuales!$F$21*(datos_base!$K$4+datos_base!$K$20+IF(parametros_manuales!$H$21="Todos",datos_base!$K$11+datos_base!$K$25,0))*parametros_manuales!$I$105+parametros_manuales!$G$21*(datos_base!$K$5+datos_base!$K$21+IF(parametros_manuales!$H$21="Todos",datos_base!$K$12+datos_base!$K$26,0))*parametros_manuales!$I$110)*parametros_manuales!$I$21*parametros_manuales!$J$21</f>
        <v>18235.8575217</v>
      </c>
      <c r="J247" s="9" t="n">
        <f aca="false">(parametros_manuales!$D$21*(datos_base!$K$2+datos_base!$K$18+IF(parametros_manuales!$H$21="Todos",datos_base!$K$9+datos_base!$K$23,0))*parametros_manuales!$J$95+parametros_manuales!$E$21*(datos_base!$K$3+datos_base!$K$19+IF(parametros_manuales!$H$21="Todos",datos_base!$K$10+datos_base!$K$24,0))*parametros_manuales!$J$100+parametros_manuales!$F$21*(datos_base!$K$4+datos_base!$K$20+IF(parametros_manuales!$H$21="Todos",datos_base!$K$11+datos_base!$K$25,0))*parametros_manuales!$J$105+parametros_manuales!$G$21*(datos_base!$K$5+datos_base!$K$21+IF(parametros_manuales!$H$21="Todos",datos_base!$K$12+datos_base!$K$26,0))*parametros_manuales!$J$110)*parametros_manuales!$I$21*parametros_manuales!$J$21</f>
        <v>18235.8575217</v>
      </c>
      <c r="K247" s="9" t="n">
        <f aca="false">(parametros_manuales!$D$21*(datos_base!$K$2+datos_base!$K$18+IF(parametros_manuales!$H$21="Todos",datos_base!$K$9+datos_base!$K$23,0))*parametros_manuales!$K$95+parametros_manuales!$E$21*(datos_base!$K$3+datos_base!$K$19+IF(parametros_manuales!$H$21="Todos",datos_base!$K$10+datos_base!$K$24,0))*parametros_manuales!$K$100+parametros_manuales!$F$21*(datos_base!$K$4+datos_base!$K$20+IF(parametros_manuales!$H$21="Todos",datos_base!$K$11+datos_base!$K$25,0))*parametros_manuales!$K$105+parametros_manuales!$G$21*(datos_base!$K$5+datos_base!$K$21+IF(parametros_manuales!$H$21="Todos",datos_base!$K$12+datos_base!$K$26,0))*parametros_manuales!$K$110)*parametros_manuales!$I$21*parametros_manuales!$J$21</f>
        <v>18235.8575217</v>
      </c>
      <c r="L247" s="9" t="n">
        <f aca="false">(parametros_manuales!$D$21*(datos_base!$K$2+datos_base!$K$18+IF(parametros_manuales!$H$21="Todos",datos_base!$K$9+datos_base!$K$23,0))*parametros_manuales!$L$95+parametros_manuales!$E$21*(datos_base!$K$3+datos_base!$K$19+IF(parametros_manuales!$H$21="Todos",datos_base!$K$10+datos_base!$K$24,0))*parametros_manuales!$L$100+parametros_manuales!$F$21*(datos_base!$K$4+datos_base!$K$20+IF(parametros_manuales!$H$21="Todos",datos_base!$K$11+datos_base!$K$25,0))*parametros_manuales!$L$105+parametros_manuales!$G$21*(datos_base!$K$5+datos_base!$K$21+IF(parametros_manuales!$H$21="Todos",datos_base!$K$12+datos_base!$K$26,0))*parametros_manuales!$L$110)*parametros_manuales!$I$21*parametros_manuales!$J$21</f>
        <v>18235.8575217</v>
      </c>
      <c r="M247" s="9" t="n">
        <f aca="false">(parametros_manuales!$D$21*(datos_base!$K$2+datos_base!$K$18+IF(parametros_manuales!$H$21="Todos",datos_base!$K$9+datos_base!$K$23,0))*parametros_manuales!$M$95+parametros_manuales!$E$21*(datos_base!$K$3+datos_base!$K$19+IF(parametros_manuales!$H$21="Todos",datos_base!$K$10+datos_base!$K$24,0))*parametros_manuales!$M$100+parametros_manuales!$F$21*(datos_base!$K$4+datos_base!$K$20+IF(parametros_manuales!$H$21="Todos",datos_base!$K$11+datos_base!$K$25,0))*parametros_manuales!$M$105+parametros_manuales!$G$21*(datos_base!$K$5+datos_base!$K$21+IF(parametros_manuales!$H$21="Todos",datos_base!$K$12+datos_base!$K$26,0))*parametros_manuales!$M$110)*parametros_manuales!$I$21*parametros_manuales!$J$21</f>
        <v>18235.8575217</v>
      </c>
      <c r="N247" s="9" t="n">
        <f aca="false">SUM(B247:M247)</f>
        <v>202620.63913</v>
      </c>
      <c r="O247" s="9" t="n">
        <f aca="false">MAX(B247:M247)</f>
        <v>18235.8575217</v>
      </c>
      <c r="P247" s="43" t="n">
        <f aca="false">O247/(parametros_manuales!$B$7)</f>
        <v>121.572383478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datos_base!$K$2+datos_base!$K$18+IF(parametros_manuales!$H$22="Todos",datos_base!$K$9+datos_base!$K$23,0))*parametros_manuales!$B$95+parametros_manuales!$E$22*(datos_base!$K$3+datos_base!$K$19+IF(parametros_manuales!$H$22="Todos",datos_base!$K$10+datos_base!$K$24,0))*parametros_manuales!$B$100+parametros_manuales!$F$22*(datos_base!$K$4+datos_base!$K$20+IF(parametros_manuales!$H$22="Todos",datos_base!$K$11+datos_base!$K$25,0))*parametros_manuales!$B$105+parametros_manuales!$G$22*(datos_base!$K$5+datos_base!$K$21+IF(parametros_manuales!$H$22="Todos",datos_base!$K$12+datos_base!$K$26,0))*parametros_manuales!$B$110)*parametros_manuales!$I$22*parametros_manuales!$J$22</f>
        <v>51212.39118714</v>
      </c>
      <c r="C248" s="9" t="n">
        <f aca="false">(parametros_manuales!$D$22*(datos_base!$K$2+datos_base!$K$18+IF(parametros_manuales!$H$22="Todos",datos_base!$K$9+datos_base!$K$23,0))*parametros_manuales!$C$95+parametros_manuales!$E$22*(datos_base!$K$3+datos_base!$K$19+IF(parametros_manuales!$H$22="Todos",datos_base!$K$10+datos_base!$K$24,0))*parametros_manuales!$C$100+parametros_manuales!$F$22*(datos_base!$K$4+datos_base!$K$20+IF(parametros_manuales!$H$22="Todos",datos_base!$K$11+datos_base!$K$25,0))*parametros_manuales!$C$105+parametros_manuales!$G$22*(datos_base!$K$5+datos_base!$K$21+IF(parametros_manuales!$H$22="Todos",datos_base!$K$12+datos_base!$K$26,0))*parametros_manuales!$C$110)*parametros_manuales!$I$22*parametros_manuales!$J$22</f>
        <v>49574.53828228</v>
      </c>
      <c r="D248" s="9" t="n">
        <f aca="false">(parametros_manuales!$D$22*(datos_base!$K$2+datos_base!$K$18+IF(parametros_manuales!$H$22="Todos",datos_base!$K$9+datos_base!$K$23,0))*parametros_manuales!$D$95+parametros_manuales!$E$22*(datos_base!$K$3+datos_base!$K$19+IF(parametros_manuales!$H$22="Todos",datos_base!$K$10+datos_base!$K$24,0))*parametros_manuales!$D$100+parametros_manuales!$F$22*(datos_base!$K$4+datos_base!$K$20+IF(parametros_manuales!$H$22="Todos",datos_base!$K$11+datos_base!$K$25,0))*parametros_manuales!$D$105+parametros_manuales!$G$22*(datos_base!$K$5+datos_base!$K$21+IF(parametros_manuales!$H$22="Todos",datos_base!$K$12+datos_base!$K$26,0))*parametros_manuales!$D$110)*parametros_manuales!$I$22*parametros_manuales!$J$22</f>
        <v>46341.05195211</v>
      </c>
      <c r="E248" s="9" t="n">
        <f aca="false">(parametros_manuales!$D$22*(datos_base!$K$2+datos_base!$K$18+IF(parametros_manuales!$H$22="Todos",datos_base!$K$9+datos_base!$K$23,0))*parametros_manuales!$E$95+parametros_manuales!$E$22*(datos_base!$K$3+datos_base!$K$19+IF(parametros_manuales!$H$22="Todos",datos_base!$K$10+datos_base!$K$24,0))*parametros_manuales!$E$100+parametros_manuales!$F$22*(datos_base!$K$4+datos_base!$K$20+IF(parametros_manuales!$H$22="Todos",datos_base!$K$11+datos_base!$K$25,0))*parametros_manuales!$E$105+parametros_manuales!$G$22*(datos_base!$K$5+datos_base!$K$21+IF(parametros_manuales!$H$22="Todos",datos_base!$K$12+datos_base!$K$26,0))*parametros_manuales!$E$110)*parametros_manuales!$I$22*parametros_manuales!$J$22</f>
        <v>44314.84556081</v>
      </c>
      <c r="F248" s="9" t="n">
        <f aca="false">(parametros_manuales!$D$22*(datos_base!$K$2+datos_base!$K$18+IF(parametros_manuales!$H$22="Todos",datos_base!$K$9+datos_base!$K$23,0))*parametros_manuales!$F$95+parametros_manuales!$E$22*(datos_base!$K$3+datos_base!$K$19+IF(parametros_manuales!$H$22="Todos",datos_base!$K$10+datos_base!$K$24,0))*parametros_manuales!$F$100+parametros_manuales!$F$22*(datos_base!$K$4+datos_base!$K$20+IF(parametros_manuales!$H$22="Todos",datos_base!$K$11+datos_base!$K$25,0))*parametros_manuales!$F$105+parametros_manuales!$G$22*(datos_base!$K$5+datos_base!$K$21+IF(parametros_manuales!$H$22="Todos",datos_base!$K$12+datos_base!$K$26,0))*parametros_manuales!$F$110)*parametros_manuales!$I$22*parametros_manuales!$J$22</f>
        <v>41469.71271708</v>
      </c>
      <c r="G248" s="9" t="n">
        <f aca="false">(parametros_manuales!$D$22*(datos_base!$K$2+datos_base!$K$18+IF(parametros_manuales!$H$22="Todos",datos_base!$K$9+datos_base!$K$23,0))*parametros_manuales!$G$95+parametros_manuales!$E$22*(datos_base!$K$3+datos_base!$K$19+IF(parametros_manuales!$H$22="Todos",datos_base!$K$10+datos_base!$K$24,0))*parametros_manuales!$G$100+parametros_manuales!$F$22*(datos_base!$K$4+datos_base!$K$20+IF(parametros_manuales!$H$22="Todos",datos_base!$K$11+datos_base!$K$25,0))*parametros_manuales!$G$105+parametros_manuales!$G$22*(datos_base!$K$5+datos_base!$K$21+IF(parametros_manuales!$H$22="Todos",datos_base!$K$12+datos_base!$K$26,0))*parametros_manuales!$G$110)*parametros_manuales!$I$22*parametros_manuales!$J$22</f>
        <v>40650.78626465</v>
      </c>
      <c r="H248" s="9" t="n">
        <f aca="false">(parametros_manuales!$D$22*(datos_base!$K$2+datos_base!$K$18+IF(parametros_manuales!$H$22="Todos",datos_base!$K$9+datos_base!$K$23,0))*parametros_manuales!$H$95+parametros_manuales!$E$22*(datos_base!$K$3+datos_base!$K$19+IF(parametros_manuales!$H$22="Todos",datos_base!$K$10+datos_base!$K$24,0))*parametros_manuales!$H$100+parametros_manuales!$F$22*(datos_base!$K$4+datos_base!$K$20+IF(parametros_manuales!$H$22="Todos",datos_base!$K$11+datos_base!$K$25,0))*parametros_manuales!$H$105+parametros_manuales!$G$22*(datos_base!$K$5+datos_base!$K$21+IF(parametros_manuales!$H$22="Todos",datos_base!$K$12+datos_base!$K$26,0))*parametros_manuales!$H$110)*parametros_manuales!$I$22*parametros_manuales!$J$22</f>
        <v>43495.91910838</v>
      </c>
      <c r="I248" s="9" t="n">
        <f aca="false">(parametros_manuales!$D$22*(datos_base!$K$2+datos_base!$K$18+IF(parametros_manuales!$H$22="Todos",datos_base!$K$9+datos_base!$K$23,0))*parametros_manuales!$I$95+parametros_manuales!$E$22*(datos_base!$K$3+datos_base!$K$19+IF(parametros_manuales!$H$22="Todos",datos_base!$K$10+datos_base!$K$24,0))*parametros_manuales!$I$100+parametros_manuales!$F$22*(datos_base!$K$4+datos_base!$K$20+IF(parametros_manuales!$H$22="Todos",datos_base!$K$11+datos_base!$K$25,0))*parametros_manuales!$I$105+parametros_manuales!$G$22*(datos_base!$K$5+datos_base!$K$21+IF(parametros_manuales!$H$22="Todos",datos_base!$K$12+datos_base!$K$26,0))*parametros_manuales!$I$110)*parametros_manuales!$I$22*parametros_manuales!$J$22</f>
        <v>49574.53828228</v>
      </c>
      <c r="J248" s="9" t="n">
        <f aca="false">(parametros_manuales!$D$22*(datos_base!$K$2+datos_base!$K$18+IF(parametros_manuales!$H$22="Todos",datos_base!$K$9+datos_base!$K$23,0))*parametros_manuales!$J$95+parametros_manuales!$E$22*(datos_base!$K$3+datos_base!$K$19+IF(parametros_manuales!$H$22="Todos",datos_base!$K$10+datos_base!$K$24,0))*parametros_manuales!$J$100+parametros_manuales!$F$22*(datos_base!$K$4+datos_base!$K$20+IF(parametros_manuales!$H$22="Todos",datos_base!$K$11+datos_base!$K$25,0))*parametros_manuales!$J$105+parametros_manuales!$G$22*(datos_base!$K$5+datos_base!$K$21+IF(parametros_manuales!$H$22="Todos",datos_base!$K$12+datos_base!$K$26,0))*parametros_manuales!$J$110)*parametros_manuales!$I$22*parametros_manuales!$J$22</f>
        <v>49574.53828228</v>
      </c>
      <c r="K248" s="9" t="n">
        <f aca="false">(parametros_manuales!$D$22*(datos_base!$K$2+datos_base!$K$18+IF(parametros_manuales!$H$22="Todos",datos_base!$K$9+datos_base!$K$23,0))*parametros_manuales!$K$95+parametros_manuales!$E$22*(datos_base!$K$3+datos_base!$K$19+IF(parametros_manuales!$H$22="Todos",datos_base!$K$10+datos_base!$K$24,0))*parametros_manuales!$K$100+parametros_manuales!$F$22*(datos_base!$K$4+datos_base!$K$20+IF(parametros_manuales!$H$22="Todos",datos_base!$K$11+datos_base!$K$25,0))*parametros_manuales!$K$105+parametros_manuales!$G$22*(datos_base!$K$5+datos_base!$K$21+IF(parametros_manuales!$H$22="Todos",datos_base!$K$12+datos_base!$K$26,0))*parametros_manuales!$K$110)*parametros_manuales!$I$22*parametros_manuales!$J$22</f>
        <v>50393.46473471</v>
      </c>
      <c r="L248" s="9" t="n">
        <f aca="false">(parametros_manuales!$D$22*(datos_base!$K$2+datos_base!$K$18+IF(parametros_manuales!$H$22="Todos",datos_base!$K$9+datos_base!$K$23,0))*parametros_manuales!$L$95+parametros_manuales!$E$22*(datos_base!$K$3+datos_base!$K$19+IF(parametros_manuales!$H$22="Todos",datos_base!$K$10+datos_base!$K$24,0))*parametros_manuales!$L$100+parametros_manuales!$F$22*(datos_base!$K$4+datos_base!$K$20+IF(parametros_manuales!$H$22="Todos",datos_base!$K$11+datos_base!$K$25,0))*parametros_manuales!$L$105+parametros_manuales!$G$22*(datos_base!$K$5+datos_base!$K$21+IF(parametros_manuales!$H$22="Todos",datos_base!$K$12+datos_base!$K$26,0))*parametros_manuales!$L$110)*parametros_manuales!$I$22*parametros_manuales!$J$22</f>
        <v>51212.39118714</v>
      </c>
      <c r="M248" s="9" t="n">
        <f aca="false">(parametros_manuales!$D$22*(datos_base!$K$2+datos_base!$K$18+IF(parametros_manuales!$H$22="Todos",datos_base!$K$9+datos_base!$K$23,0))*parametros_manuales!$M$95+parametros_manuales!$E$22*(datos_base!$K$3+datos_base!$K$19+IF(parametros_manuales!$H$22="Todos",datos_base!$K$10+datos_base!$K$24,0))*parametros_manuales!$M$100+parametros_manuales!$F$22*(datos_base!$K$4+datos_base!$K$20+IF(parametros_manuales!$H$22="Todos",datos_base!$K$11+datos_base!$K$25,0))*parametros_manuales!$M$105+parametros_manuales!$G$22*(datos_base!$K$5+datos_base!$K$21+IF(parametros_manuales!$H$22="Todos",datos_base!$K$12+datos_base!$K$26,0))*parametros_manuales!$M$110)*parametros_manuales!$I$22*parametros_manuales!$J$22</f>
        <v>51212.39118714</v>
      </c>
      <c r="N248" s="9" t="n">
        <f aca="false">SUM(B248:M248)</f>
        <v>569026.568746</v>
      </c>
      <c r="O248" s="9" t="n">
        <f aca="false">MAX(B248:M248)</f>
        <v>51212.39118714</v>
      </c>
      <c r="P248" s="43" t="n">
        <f aca="false">O248/(parametros_manuales!$B$7)</f>
        <v>341.4159412476</v>
      </c>
      <c r="Q248" s="8" t="str">
        <f aca="false">IF(O248=0,"-",INDEX($B$244:$M$244,MATCH(O248,B248:M248,0)))</f>
        <v>Ene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datos_base!$K$2+datos_base!$K$18+IF(parametros_manuales!$H$23="Todos",datos_base!$K$9+datos_base!$K$23,0))*parametros_manuales!$B$95+parametros_manuales!$E$23*(datos_base!$K$3+datos_base!$K$19+IF(parametros_manuales!$H$23="Todos",datos_base!$K$10+datos_base!$K$24,0))*parametros_manuales!$B$100+parametros_manuales!$F$23*(datos_base!$K$4+datos_base!$K$20+IF(parametros_manuales!$H$23="Todos",datos_base!$K$11+datos_base!$K$25,0))*parametros_manuales!$B$105+parametros_manuales!$G$23*(datos_base!$K$5+datos_base!$K$21+IF(parametros_manuales!$H$23="Todos",datos_base!$K$12+datos_base!$K$26,0))*parametros_manuales!$B$110)*parametros_manuales!$I$23*parametros_manuales!$J$23</f>
        <v>25606.19559357</v>
      </c>
      <c r="C249" s="9" t="n">
        <f aca="false">(parametros_manuales!$D$23*(datos_base!$K$2+datos_base!$K$18+IF(parametros_manuales!$H$23="Todos",datos_base!$K$9+datos_base!$K$23,0))*parametros_manuales!$C$95+parametros_manuales!$E$23*(datos_base!$K$3+datos_base!$K$19+IF(parametros_manuales!$H$23="Todos",datos_base!$K$10+datos_base!$K$24,0))*parametros_manuales!$C$100+parametros_manuales!$F$23*(datos_base!$K$4+datos_base!$K$20+IF(parametros_manuales!$H$23="Todos",datos_base!$K$11+datos_base!$K$25,0))*parametros_manuales!$C$105+parametros_manuales!$G$23*(datos_base!$K$5+datos_base!$K$21+IF(parametros_manuales!$H$23="Todos",datos_base!$K$12+datos_base!$K$26,0))*parametros_manuales!$C$110)*parametros_manuales!$I$23*parametros_manuales!$J$23</f>
        <v>24787.26914114</v>
      </c>
      <c r="D249" s="9" t="n">
        <f aca="false">(parametros_manuales!$D$23*(datos_base!$K$2+datos_base!$K$18+IF(parametros_manuales!$H$23="Todos",datos_base!$K$9+datos_base!$K$23,0))*parametros_manuales!$D$95+parametros_manuales!$E$23*(datos_base!$K$3+datos_base!$K$19+IF(parametros_manuales!$H$23="Todos",datos_base!$K$10+datos_base!$K$24,0))*parametros_manuales!$D$100+parametros_manuales!$F$23*(datos_base!$K$4+datos_base!$K$20+IF(parametros_manuales!$H$23="Todos",datos_base!$K$11+datos_base!$K$25,0))*parametros_manuales!$D$105+parametros_manuales!$G$23*(datos_base!$K$5+datos_base!$K$21+IF(parametros_manuales!$H$23="Todos",datos_base!$K$12+datos_base!$K$26,0))*parametros_manuales!$D$110)*parametros_manuales!$I$23*parametros_manuales!$J$23</f>
        <v>23170.525976055</v>
      </c>
      <c r="E249" s="9" t="n">
        <f aca="false">(parametros_manuales!$D$23*(datos_base!$K$2+datos_base!$K$18+IF(parametros_manuales!$H$23="Todos",datos_base!$K$9+datos_base!$K$23,0))*parametros_manuales!$E$95+parametros_manuales!$E$23*(datos_base!$K$3+datos_base!$K$19+IF(parametros_manuales!$H$23="Todos",datos_base!$K$10+datos_base!$K$24,0))*parametros_manuales!$E$100+parametros_manuales!$F$23*(datos_base!$K$4+datos_base!$K$20+IF(parametros_manuales!$H$23="Todos",datos_base!$K$11+datos_base!$K$25,0))*parametros_manuales!$E$105+parametros_manuales!$G$23*(datos_base!$K$5+datos_base!$K$21+IF(parametros_manuales!$H$23="Todos",datos_base!$K$12+datos_base!$K$26,0))*parametros_manuales!$E$110)*parametros_manuales!$I$23*parametros_manuales!$J$23</f>
        <v>22157.422780405</v>
      </c>
      <c r="F249" s="9" t="n">
        <f aca="false">(parametros_manuales!$D$23*(datos_base!$K$2+datos_base!$K$18+IF(parametros_manuales!$H$23="Todos",datos_base!$K$9+datos_base!$K$23,0))*parametros_manuales!$F$95+parametros_manuales!$E$23*(datos_base!$K$3+datos_base!$K$19+IF(parametros_manuales!$H$23="Todos",datos_base!$K$10+datos_base!$K$24,0))*parametros_manuales!$F$100+parametros_manuales!$F$23*(datos_base!$K$4+datos_base!$K$20+IF(parametros_manuales!$H$23="Todos",datos_base!$K$11+datos_base!$K$25,0))*parametros_manuales!$F$105+parametros_manuales!$G$23*(datos_base!$K$5+datos_base!$K$21+IF(parametros_manuales!$H$23="Todos",datos_base!$K$12+datos_base!$K$26,0))*parametros_manuales!$F$110)*parametros_manuales!$I$23*parametros_manuales!$J$23</f>
        <v>20734.85635854</v>
      </c>
      <c r="G249" s="9" t="n">
        <f aca="false">(parametros_manuales!$D$23*(datos_base!$K$2+datos_base!$K$18+IF(parametros_manuales!$H$23="Todos",datos_base!$K$9+datos_base!$K$23,0))*parametros_manuales!$G$95+parametros_manuales!$E$23*(datos_base!$K$3+datos_base!$K$19+IF(parametros_manuales!$H$23="Todos",datos_base!$K$10+datos_base!$K$24,0))*parametros_manuales!$G$100+parametros_manuales!$F$23*(datos_base!$K$4+datos_base!$K$20+IF(parametros_manuales!$H$23="Todos",datos_base!$K$11+datos_base!$K$25,0))*parametros_manuales!$G$105+parametros_manuales!$G$23*(datos_base!$K$5+datos_base!$K$21+IF(parametros_manuales!$H$23="Todos",datos_base!$K$12+datos_base!$K$26,0))*parametros_manuales!$G$110)*parametros_manuales!$I$23*parametros_manuales!$J$23</f>
        <v>20325.393132325</v>
      </c>
      <c r="H249" s="9" t="n">
        <f aca="false">(parametros_manuales!$D$23*(datos_base!$K$2+datos_base!$K$18+IF(parametros_manuales!$H$23="Todos",datos_base!$K$9+datos_base!$K$23,0))*parametros_manuales!$H$95+parametros_manuales!$E$23*(datos_base!$K$3+datos_base!$K$19+IF(parametros_manuales!$H$23="Todos",datos_base!$K$10+datos_base!$K$24,0))*parametros_manuales!$H$100+parametros_manuales!$F$23*(datos_base!$K$4+datos_base!$K$20+IF(parametros_manuales!$H$23="Todos",datos_base!$K$11+datos_base!$K$25,0))*parametros_manuales!$H$105+parametros_manuales!$G$23*(datos_base!$K$5+datos_base!$K$21+IF(parametros_manuales!$H$23="Todos",datos_base!$K$12+datos_base!$K$26,0))*parametros_manuales!$H$110)*parametros_manuales!$I$23*parametros_manuales!$J$23</f>
        <v>21747.95955419</v>
      </c>
      <c r="I249" s="9" t="n">
        <f aca="false">(parametros_manuales!$D$23*(datos_base!$K$2+datos_base!$K$18+IF(parametros_manuales!$H$23="Todos",datos_base!$K$9+datos_base!$K$23,0))*parametros_manuales!$I$95+parametros_manuales!$E$23*(datos_base!$K$3+datos_base!$K$19+IF(parametros_manuales!$H$23="Todos",datos_base!$K$10+datos_base!$K$24,0))*parametros_manuales!$I$100+parametros_manuales!$F$23*(datos_base!$K$4+datos_base!$K$20+IF(parametros_manuales!$H$23="Todos",datos_base!$K$11+datos_base!$K$25,0))*parametros_manuales!$I$105+parametros_manuales!$G$23*(datos_base!$K$5+datos_base!$K$21+IF(parametros_manuales!$H$23="Todos",datos_base!$K$12+datos_base!$K$26,0))*parametros_manuales!$I$110)*parametros_manuales!$I$23*parametros_manuales!$J$23</f>
        <v>24787.26914114</v>
      </c>
      <c r="J249" s="9" t="n">
        <f aca="false">(parametros_manuales!$D$23*(datos_base!$K$2+datos_base!$K$18+IF(parametros_manuales!$H$23="Todos",datos_base!$K$9+datos_base!$K$23,0))*parametros_manuales!$J$95+parametros_manuales!$E$23*(datos_base!$K$3+datos_base!$K$19+IF(parametros_manuales!$H$23="Todos",datos_base!$K$10+datos_base!$K$24,0))*parametros_manuales!$J$100+parametros_manuales!$F$23*(datos_base!$K$4+datos_base!$K$20+IF(parametros_manuales!$H$23="Todos",datos_base!$K$11+datos_base!$K$25,0))*parametros_manuales!$J$105+parametros_manuales!$G$23*(datos_base!$K$5+datos_base!$K$21+IF(parametros_manuales!$H$23="Todos",datos_base!$K$12+datos_base!$K$26,0))*parametros_manuales!$J$110)*parametros_manuales!$I$23*parametros_manuales!$J$23</f>
        <v>24787.26914114</v>
      </c>
      <c r="K249" s="9" t="n">
        <f aca="false">(parametros_manuales!$D$23*(datos_base!$K$2+datos_base!$K$18+IF(parametros_manuales!$H$23="Todos",datos_base!$K$9+datos_base!$K$23,0))*parametros_manuales!$K$95+parametros_manuales!$E$23*(datos_base!$K$3+datos_base!$K$19+IF(parametros_manuales!$H$23="Todos",datos_base!$K$10+datos_base!$K$24,0))*parametros_manuales!$K$100+parametros_manuales!$F$23*(datos_base!$K$4+datos_base!$K$20+IF(parametros_manuales!$H$23="Todos",datos_base!$K$11+datos_base!$K$25,0))*parametros_manuales!$K$105+parametros_manuales!$G$23*(datos_base!$K$5+datos_base!$K$21+IF(parametros_manuales!$H$23="Todos",datos_base!$K$12+datos_base!$K$26,0))*parametros_manuales!$K$110)*parametros_manuales!$I$23*parametros_manuales!$J$23</f>
        <v>25196.732367355</v>
      </c>
      <c r="L249" s="9" t="n">
        <f aca="false">(parametros_manuales!$D$23*(datos_base!$K$2+datos_base!$K$18+IF(parametros_manuales!$H$23="Todos",datos_base!$K$9+datos_base!$K$23,0))*parametros_manuales!$L$95+parametros_manuales!$E$23*(datos_base!$K$3+datos_base!$K$19+IF(parametros_manuales!$H$23="Todos",datos_base!$K$10+datos_base!$K$24,0))*parametros_manuales!$L$100+parametros_manuales!$F$23*(datos_base!$K$4+datos_base!$K$20+IF(parametros_manuales!$H$23="Todos",datos_base!$K$11+datos_base!$K$25,0))*parametros_manuales!$L$105+parametros_manuales!$G$23*(datos_base!$K$5+datos_base!$K$21+IF(parametros_manuales!$H$23="Todos",datos_base!$K$12+datos_base!$K$26,0))*parametros_manuales!$L$110)*parametros_manuales!$I$23*parametros_manuales!$J$23</f>
        <v>25606.19559357</v>
      </c>
      <c r="M249" s="9" t="n">
        <f aca="false">(parametros_manuales!$D$23*(datos_base!$K$2+datos_base!$K$18+IF(parametros_manuales!$H$23="Todos",datos_base!$K$9+datos_base!$K$23,0))*parametros_manuales!$M$95+parametros_manuales!$E$23*(datos_base!$K$3+datos_base!$K$19+IF(parametros_manuales!$H$23="Todos",datos_base!$K$10+datos_base!$K$24,0))*parametros_manuales!$M$100+parametros_manuales!$F$23*(datos_base!$K$4+datos_base!$K$20+IF(parametros_manuales!$H$23="Todos",datos_base!$K$11+datos_base!$K$25,0))*parametros_manuales!$M$105+parametros_manuales!$G$23*(datos_base!$K$5+datos_base!$K$21+IF(parametros_manuales!$H$23="Todos",datos_base!$K$12+datos_base!$K$26,0))*parametros_manuales!$M$110)*parametros_manuales!$I$23*parametros_manuales!$J$23</f>
        <v>25606.19559357</v>
      </c>
      <c r="N249" s="9" t="n">
        <f aca="false">SUM(B249:M249)</f>
        <v>284513.284373</v>
      </c>
      <c r="O249" s="9" t="n">
        <f aca="false">MAX(B249:M249)</f>
        <v>25606.19559357</v>
      </c>
      <c r="P249" s="43" t="n">
        <f aca="false">O249/(parametros_manuales!$B$7)</f>
        <v>170.7079706238</v>
      </c>
      <c r="Q249" s="8" t="str">
        <f aca="false">IF(O249=0,"-",INDEX($B$244:$M$244,MATCH(O249,B249:M249,0)))</f>
        <v>Ene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datos_base!$K$2+datos_base!$K$18+IF(parametros_manuales!$H$24="Todos",datos_base!$K$9+datos_base!$K$23,0))*parametros_manuales!$B$95+parametros_manuales!$E$24*(datos_base!$K$3+datos_base!$K$19+IF(parametros_manuales!$H$24="Todos",datos_base!$K$10+datos_base!$K$24,0))*parametros_manuales!$B$100+parametros_manuales!$F$24*(datos_base!$K$4+datos_base!$K$20+IF(parametros_manuales!$H$24="Todos",datos_base!$K$11+datos_base!$K$25,0))*parametros_manuales!$B$105+parametros_manuales!$G$24*(datos_base!$K$5+datos_base!$K$21+IF(parametros_manuales!$H$24="Todos",datos_base!$K$12+datos_base!$K$26,0))*parametros_manuales!$B$110)*parametros_manuales!$I$24*parametros_manuales!$J$24</f>
        <v>25606.19559357</v>
      </c>
      <c r="C250" s="9" t="n">
        <f aca="false">(parametros_manuales!$D$24*(datos_base!$K$2+datos_base!$K$18+IF(parametros_manuales!$H$24="Todos",datos_base!$K$9+datos_base!$K$23,0))*parametros_manuales!$C$95+parametros_manuales!$E$24*(datos_base!$K$3+datos_base!$K$19+IF(parametros_manuales!$H$24="Todos",datos_base!$K$10+datos_base!$K$24,0))*parametros_manuales!$C$100+parametros_manuales!$F$24*(datos_base!$K$4+datos_base!$K$20+IF(parametros_manuales!$H$24="Todos",datos_base!$K$11+datos_base!$K$25,0))*parametros_manuales!$C$105+parametros_manuales!$G$24*(datos_base!$K$5+datos_base!$K$21+IF(parametros_manuales!$H$24="Todos",datos_base!$K$12+datos_base!$K$26,0))*parametros_manuales!$C$110)*parametros_manuales!$I$24*parametros_manuales!$J$24</f>
        <v>24787.26914114</v>
      </c>
      <c r="D250" s="9" t="n">
        <f aca="false">(parametros_manuales!$D$24*(datos_base!$K$2+datos_base!$K$18+IF(parametros_manuales!$H$24="Todos",datos_base!$K$9+datos_base!$K$23,0))*parametros_manuales!$D$95+parametros_manuales!$E$24*(datos_base!$K$3+datos_base!$K$19+IF(parametros_manuales!$H$24="Todos",datos_base!$K$10+datos_base!$K$24,0))*parametros_manuales!$D$100+parametros_manuales!$F$24*(datos_base!$K$4+datos_base!$K$20+IF(parametros_manuales!$H$24="Todos",datos_base!$K$11+datos_base!$K$25,0))*parametros_manuales!$D$105+parametros_manuales!$G$24*(datos_base!$K$5+datos_base!$K$21+IF(parametros_manuales!$H$24="Todos",datos_base!$K$12+datos_base!$K$26,0))*parametros_manuales!$D$110)*parametros_manuales!$I$24*parametros_manuales!$J$24</f>
        <v>23170.525976055</v>
      </c>
      <c r="E250" s="9" t="n">
        <f aca="false">(parametros_manuales!$D$24*(datos_base!$K$2+datos_base!$K$18+IF(parametros_manuales!$H$24="Todos",datos_base!$K$9+datos_base!$K$23,0))*parametros_manuales!$E$95+parametros_manuales!$E$24*(datos_base!$K$3+datos_base!$K$19+IF(parametros_manuales!$H$24="Todos",datos_base!$K$10+datos_base!$K$24,0))*parametros_manuales!$E$100+parametros_manuales!$F$24*(datos_base!$K$4+datos_base!$K$20+IF(parametros_manuales!$H$24="Todos",datos_base!$K$11+datos_base!$K$25,0))*parametros_manuales!$E$105+parametros_manuales!$G$24*(datos_base!$K$5+datos_base!$K$21+IF(parametros_manuales!$H$24="Todos",datos_base!$K$12+datos_base!$K$26,0))*parametros_manuales!$E$110)*parametros_manuales!$I$24*parametros_manuales!$J$24</f>
        <v>22157.422780405</v>
      </c>
      <c r="F250" s="9" t="n">
        <f aca="false">(parametros_manuales!$D$24*(datos_base!$K$2+datos_base!$K$18+IF(parametros_manuales!$H$24="Todos",datos_base!$K$9+datos_base!$K$23,0))*parametros_manuales!$F$95+parametros_manuales!$E$24*(datos_base!$K$3+datos_base!$K$19+IF(parametros_manuales!$H$24="Todos",datos_base!$K$10+datos_base!$K$24,0))*parametros_manuales!$F$100+parametros_manuales!$F$24*(datos_base!$K$4+datos_base!$K$20+IF(parametros_manuales!$H$24="Todos",datos_base!$K$11+datos_base!$K$25,0))*parametros_manuales!$F$105+parametros_manuales!$G$24*(datos_base!$K$5+datos_base!$K$21+IF(parametros_manuales!$H$24="Todos",datos_base!$K$12+datos_base!$K$26,0))*parametros_manuales!$F$110)*parametros_manuales!$I$24*parametros_manuales!$J$24</f>
        <v>20734.85635854</v>
      </c>
      <c r="G250" s="9" t="n">
        <f aca="false">(parametros_manuales!$D$24*(datos_base!$K$2+datos_base!$K$18+IF(parametros_manuales!$H$24="Todos",datos_base!$K$9+datos_base!$K$23,0))*parametros_manuales!$G$95+parametros_manuales!$E$24*(datos_base!$K$3+datos_base!$K$19+IF(parametros_manuales!$H$24="Todos",datos_base!$K$10+datos_base!$K$24,0))*parametros_manuales!$G$100+parametros_manuales!$F$24*(datos_base!$K$4+datos_base!$K$20+IF(parametros_manuales!$H$24="Todos",datos_base!$K$11+datos_base!$K$25,0))*parametros_manuales!$G$105+parametros_manuales!$G$24*(datos_base!$K$5+datos_base!$K$21+IF(parametros_manuales!$H$24="Todos",datos_base!$K$12+datos_base!$K$26,0))*parametros_manuales!$G$110)*parametros_manuales!$I$24*parametros_manuales!$J$24</f>
        <v>20325.393132325</v>
      </c>
      <c r="H250" s="9" t="n">
        <f aca="false">(parametros_manuales!$D$24*(datos_base!$K$2+datos_base!$K$18+IF(parametros_manuales!$H$24="Todos",datos_base!$K$9+datos_base!$K$23,0))*parametros_manuales!$H$95+parametros_manuales!$E$24*(datos_base!$K$3+datos_base!$K$19+IF(parametros_manuales!$H$24="Todos",datos_base!$K$10+datos_base!$K$24,0))*parametros_manuales!$H$100+parametros_manuales!$F$24*(datos_base!$K$4+datos_base!$K$20+IF(parametros_manuales!$H$24="Todos",datos_base!$K$11+datos_base!$K$25,0))*parametros_manuales!$H$105+parametros_manuales!$G$24*(datos_base!$K$5+datos_base!$K$21+IF(parametros_manuales!$H$24="Todos",datos_base!$K$12+datos_base!$K$26,0))*parametros_manuales!$H$110)*parametros_manuales!$I$24*parametros_manuales!$J$24</f>
        <v>21747.95955419</v>
      </c>
      <c r="I250" s="9" t="n">
        <f aca="false">(parametros_manuales!$D$24*(datos_base!$K$2+datos_base!$K$18+IF(parametros_manuales!$H$24="Todos",datos_base!$K$9+datos_base!$K$23,0))*parametros_manuales!$I$95+parametros_manuales!$E$24*(datos_base!$K$3+datos_base!$K$19+IF(parametros_manuales!$H$24="Todos",datos_base!$K$10+datos_base!$K$24,0))*parametros_manuales!$I$100+parametros_manuales!$F$24*(datos_base!$K$4+datos_base!$K$20+IF(parametros_manuales!$H$24="Todos",datos_base!$K$11+datos_base!$K$25,0))*parametros_manuales!$I$105+parametros_manuales!$G$24*(datos_base!$K$5+datos_base!$K$21+IF(parametros_manuales!$H$24="Todos",datos_base!$K$12+datos_base!$K$26,0))*parametros_manuales!$I$110)*parametros_manuales!$I$24*parametros_manuales!$J$24</f>
        <v>24787.26914114</v>
      </c>
      <c r="J250" s="9" t="n">
        <f aca="false">(parametros_manuales!$D$24*(datos_base!$K$2+datos_base!$K$18+IF(parametros_manuales!$H$24="Todos",datos_base!$K$9+datos_base!$K$23,0))*parametros_manuales!$J$95+parametros_manuales!$E$24*(datos_base!$K$3+datos_base!$K$19+IF(parametros_manuales!$H$24="Todos",datos_base!$K$10+datos_base!$K$24,0))*parametros_manuales!$J$100+parametros_manuales!$F$24*(datos_base!$K$4+datos_base!$K$20+IF(parametros_manuales!$H$24="Todos",datos_base!$K$11+datos_base!$K$25,0))*parametros_manuales!$J$105+parametros_manuales!$G$24*(datos_base!$K$5+datos_base!$K$21+IF(parametros_manuales!$H$24="Todos",datos_base!$K$12+datos_base!$K$26,0))*parametros_manuales!$J$110)*parametros_manuales!$I$24*parametros_manuales!$J$24</f>
        <v>24787.26914114</v>
      </c>
      <c r="K250" s="9" t="n">
        <f aca="false">(parametros_manuales!$D$24*(datos_base!$K$2+datos_base!$K$18+IF(parametros_manuales!$H$24="Todos",datos_base!$K$9+datos_base!$K$23,0))*parametros_manuales!$K$95+parametros_manuales!$E$24*(datos_base!$K$3+datos_base!$K$19+IF(parametros_manuales!$H$24="Todos",datos_base!$K$10+datos_base!$K$24,0))*parametros_manuales!$K$100+parametros_manuales!$F$24*(datos_base!$K$4+datos_base!$K$20+IF(parametros_manuales!$H$24="Todos",datos_base!$K$11+datos_base!$K$25,0))*parametros_manuales!$K$105+parametros_manuales!$G$24*(datos_base!$K$5+datos_base!$K$21+IF(parametros_manuales!$H$24="Todos",datos_base!$K$12+datos_base!$K$26,0))*parametros_manuales!$K$110)*parametros_manuales!$I$24*parametros_manuales!$J$24</f>
        <v>25196.732367355</v>
      </c>
      <c r="L250" s="9" t="n">
        <f aca="false">(parametros_manuales!$D$24*(datos_base!$K$2+datos_base!$K$18+IF(parametros_manuales!$H$24="Todos",datos_base!$K$9+datos_base!$K$23,0))*parametros_manuales!$L$95+parametros_manuales!$E$24*(datos_base!$K$3+datos_base!$K$19+IF(parametros_manuales!$H$24="Todos",datos_base!$K$10+datos_base!$K$24,0))*parametros_manuales!$L$100+parametros_manuales!$F$24*(datos_base!$K$4+datos_base!$K$20+IF(parametros_manuales!$H$24="Todos",datos_base!$K$11+datos_base!$K$25,0))*parametros_manuales!$L$105+parametros_manuales!$G$24*(datos_base!$K$5+datos_base!$K$21+IF(parametros_manuales!$H$24="Todos",datos_base!$K$12+datos_base!$K$26,0))*parametros_manuales!$L$110)*parametros_manuales!$I$24*parametros_manuales!$J$24</f>
        <v>25606.19559357</v>
      </c>
      <c r="M250" s="9" t="n">
        <f aca="false">(parametros_manuales!$D$24*(datos_base!$K$2+datos_base!$K$18+IF(parametros_manuales!$H$24="Todos",datos_base!$K$9+datos_base!$K$23,0))*parametros_manuales!$M$95+parametros_manuales!$E$24*(datos_base!$K$3+datos_base!$K$19+IF(parametros_manuales!$H$24="Todos",datos_base!$K$10+datos_base!$K$24,0))*parametros_manuales!$M$100+parametros_manuales!$F$24*(datos_base!$K$4+datos_base!$K$20+IF(parametros_manuales!$H$24="Todos",datos_base!$K$11+datos_base!$K$25,0))*parametros_manuales!$M$105+parametros_manuales!$G$24*(datos_base!$K$5+datos_base!$K$21+IF(parametros_manuales!$H$24="Todos",datos_base!$K$12+datos_base!$K$26,0))*parametros_manuales!$M$110)*parametros_manuales!$I$24*parametros_manuales!$J$24</f>
        <v>25606.19559357</v>
      </c>
      <c r="N250" s="9" t="n">
        <f aca="false">SUM(B250:M250)</f>
        <v>284513.284373</v>
      </c>
      <c r="O250" s="9" t="n">
        <f aca="false">MAX(B250:M250)</f>
        <v>25606.19559357</v>
      </c>
      <c r="P250" s="43" t="n">
        <f aca="false">O250/(parametros_manuales!$B$7)</f>
        <v>170.7079706238</v>
      </c>
      <c r="Q250" s="8" t="str">
        <f aca="false">IF(O250=0,"-",INDEX($B$244:$M$244,MATCH(O250,B250:M250,0)))</f>
        <v>Ene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datos_base!$K$2+datos_base!$K$18+IF(parametros_manuales!$H$25="Todos",datos_base!$K$9+datos_base!$K$23,0))*parametros_manuales!$B$95+parametros_manuales!$E$25*(datos_base!$K$3+datos_base!$K$19+IF(parametros_manuales!$H$25="Todos",datos_base!$K$10+datos_base!$K$24,0))*parametros_manuales!$B$100+parametros_manuales!$F$25*(datos_base!$K$4+datos_base!$K$20+IF(parametros_manuales!$H$25="Todos",datos_base!$K$11+datos_base!$K$25,0))*parametros_manuales!$B$105+parametros_manuales!$G$25*(datos_base!$K$5+datos_base!$K$21+IF(parametros_manuales!$H$25="Todos",datos_base!$K$12+datos_base!$K$26,0))*parametros_manuales!$B$110)*parametros_manuales!$I$25*parametros_manuales!$J$25</f>
        <v>25606.19559357</v>
      </c>
      <c r="C251" s="9" t="n">
        <f aca="false">(parametros_manuales!$D$25*(datos_base!$K$2+datos_base!$K$18+IF(parametros_manuales!$H$25="Todos",datos_base!$K$9+datos_base!$K$23,0))*parametros_manuales!$C$95+parametros_manuales!$E$25*(datos_base!$K$3+datos_base!$K$19+IF(parametros_manuales!$H$25="Todos",datos_base!$K$10+datos_base!$K$24,0))*parametros_manuales!$C$100+parametros_manuales!$F$25*(datos_base!$K$4+datos_base!$K$20+IF(parametros_manuales!$H$25="Todos",datos_base!$K$11+datos_base!$K$25,0))*parametros_manuales!$C$105+parametros_manuales!$G$25*(datos_base!$K$5+datos_base!$K$21+IF(parametros_manuales!$H$25="Todos",datos_base!$K$12+datos_base!$K$26,0))*parametros_manuales!$C$110)*parametros_manuales!$I$25*parametros_manuales!$J$25</f>
        <v>24787.26914114</v>
      </c>
      <c r="D251" s="9" t="n">
        <f aca="false">(parametros_manuales!$D$25*(datos_base!$K$2+datos_base!$K$18+IF(parametros_manuales!$H$25="Todos",datos_base!$K$9+datos_base!$K$23,0))*parametros_manuales!$D$95+parametros_manuales!$E$25*(datos_base!$K$3+datos_base!$K$19+IF(parametros_manuales!$H$25="Todos",datos_base!$K$10+datos_base!$K$24,0))*parametros_manuales!$D$100+parametros_manuales!$F$25*(datos_base!$K$4+datos_base!$K$20+IF(parametros_manuales!$H$25="Todos",datos_base!$K$11+datos_base!$K$25,0))*parametros_manuales!$D$105+parametros_manuales!$G$25*(datos_base!$K$5+datos_base!$K$21+IF(parametros_manuales!$H$25="Todos",datos_base!$K$12+datos_base!$K$26,0))*parametros_manuales!$D$110)*parametros_manuales!$I$25*parametros_manuales!$J$25</f>
        <v>23170.525976055</v>
      </c>
      <c r="E251" s="9" t="n">
        <f aca="false">(parametros_manuales!$D$25*(datos_base!$K$2+datos_base!$K$18+IF(parametros_manuales!$H$25="Todos",datos_base!$K$9+datos_base!$K$23,0))*parametros_manuales!$E$95+parametros_manuales!$E$25*(datos_base!$K$3+datos_base!$K$19+IF(parametros_manuales!$H$25="Todos",datos_base!$K$10+datos_base!$K$24,0))*parametros_manuales!$E$100+parametros_manuales!$F$25*(datos_base!$K$4+datos_base!$K$20+IF(parametros_manuales!$H$25="Todos",datos_base!$K$11+datos_base!$K$25,0))*parametros_manuales!$E$105+parametros_manuales!$G$25*(datos_base!$K$5+datos_base!$K$21+IF(parametros_manuales!$H$25="Todos",datos_base!$K$12+datos_base!$K$26,0))*parametros_manuales!$E$110)*parametros_manuales!$I$25*parametros_manuales!$J$25</f>
        <v>22157.422780405</v>
      </c>
      <c r="F251" s="9" t="n">
        <f aca="false">(parametros_manuales!$D$25*(datos_base!$K$2+datos_base!$K$18+IF(parametros_manuales!$H$25="Todos",datos_base!$K$9+datos_base!$K$23,0))*parametros_manuales!$F$95+parametros_manuales!$E$25*(datos_base!$K$3+datos_base!$K$19+IF(parametros_manuales!$H$25="Todos",datos_base!$K$10+datos_base!$K$24,0))*parametros_manuales!$F$100+parametros_manuales!$F$25*(datos_base!$K$4+datos_base!$K$20+IF(parametros_manuales!$H$25="Todos",datos_base!$K$11+datos_base!$K$25,0))*parametros_manuales!$F$105+parametros_manuales!$G$25*(datos_base!$K$5+datos_base!$K$21+IF(parametros_manuales!$H$25="Todos",datos_base!$K$12+datos_base!$K$26,0))*parametros_manuales!$F$110)*parametros_manuales!$I$25*parametros_manuales!$J$25</f>
        <v>20734.85635854</v>
      </c>
      <c r="G251" s="9" t="n">
        <f aca="false">(parametros_manuales!$D$25*(datos_base!$K$2+datos_base!$K$18+IF(parametros_manuales!$H$25="Todos",datos_base!$K$9+datos_base!$K$23,0))*parametros_manuales!$G$95+parametros_manuales!$E$25*(datos_base!$K$3+datos_base!$K$19+IF(parametros_manuales!$H$25="Todos",datos_base!$K$10+datos_base!$K$24,0))*parametros_manuales!$G$100+parametros_manuales!$F$25*(datos_base!$K$4+datos_base!$K$20+IF(parametros_manuales!$H$25="Todos",datos_base!$K$11+datos_base!$K$25,0))*parametros_manuales!$G$105+parametros_manuales!$G$25*(datos_base!$K$5+datos_base!$K$21+IF(parametros_manuales!$H$25="Todos",datos_base!$K$12+datos_base!$K$26,0))*parametros_manuales!$G$110)*parametros_manuales!$I$25*parametros_manuales!$J$25</f>
        <v>20325.393132325</v>
      </c>
      <c r="H251" s="9" t="n">
        <f aca="false">(parametros_manuales!$D$25*(datos_base!$K$2+datos_base!$K$18+IF(parametros_manuales!$H$25="Todos",datos_base!$K$9+datos_base!$K$23,0))*parametros_manuales!$H$95+parametros_manuales!$E$25*(datos_base!$K$3+datos_base!$K$19+IF(parametros_manuales!$H$25="Todos",datos_base!$K$10+datos_base!$K$24,0))*parametros_manuales!$H$100+parametros_manuales!$F$25*(datos_base!$K$4+datos_base!$K$20+IF(parametros_manuales!$H$25="Todos",datos_base!$K$11+datos_base!$K$25,0))*parametros_manuales!$H$105+parametros_manuales!$G$25*(datos_base!$K$5+datos_base!$K$21+IF(parametros_manuales!$H$25="Todos",datos_base!$K$12+datos_base!$K$26,0))*parametros_manuales!$H$110)*parametros_manuales!$I$25*parametros_manuales!$J$25</f>
        <v>21747.95955419</v>
      </c>
      <c r="I251" s="9" t="n">
        <f aca="false">(parametros_manuales!$D$25*(datos_base!$K$2+datos_base!$K$18+IF(parametros_manuales!$H$25="Todos",datos_base!$K$9+datos_base!$K$23,0))*parametros_manuales!$I$95+parametros_manuales!$E$25*(datos_base!$K$3+datos_base!$K$19+IF(parametros_manuales!$H$25="Todos",datos_base!$K$10+datos_base!$K$24,0))*parametros_manuales!$I$100+parametros_manuales!$F$25*(datos_base!$K$4+datos_base!$K$20+IF(parametros_manuales!$H$25="Todos",datos_base!$K$11+datos_base!$K$25,0))*parametros_manuales!$I$105+parametros_manuales!$G$25*(datos_base!$K$5+datos_base!$K$21+IF(parametros_manuales!$H$25="Todos",datos_base!$K$12+datos_base!$K$26,0))*parametros_manuales!$I$110)*parametros_manuales!$I$25*parametros_manuales!$J$25</f>
        <v>24787.26914114</v>
      </c>
      <c r="J251" s="9" t="n">
        <f aca="false">(parametros_manuales!$D$25*(datos_base!$K$2+datos_base!$K$18+IF(parametros_manuales!$H$25="Todos",datos_base!$K$9+datos_base!$K$23,0))*parametros_manuales!$J$95+parametros_manuales!$E$25*(datos_base!$K$3+datos_base!$K$19+IF(parametros_manuales!$H$25="Todos",datos_base!$K$10+datos_base!$K$24,0))*parametros_manuales!$J$100+parametros_manuales!$F$25*(datos_base!$K$4+datos_base!$K$20+IF(parametros_manuales!$H$25="Todos",datos_base!$K$11+datos_base!$K$25,0))*parametros_manuales!$J$105+parametros_manuales!$G$25*(datos_base!$K$5+datos_base!$K$21+IF(parametros_manuales!$H$25="Todos",datos_base!$K$12+datos_base!$K$26,0))*parametros_manuales!$J$110)*parametros_manuales!$I$25*parametros_manuales!$J$25</f>
        <v>24787.26914114</v>
      </c>
      <c r="K251" s="9" t="n">
        <f aca="false">(parametros_manuales!$D$25*(datos_base!$K$2+datos_base!$K$18+IF(parametros_manuales!$H$25="Todos",datos_base!$K$9+datos_base!$K$23,0))*parametros_manuales!$K$95+parametros_manuales!$E$25*(datos_base!$K$3+datos_base!$K$19+IF(parametros_manuales!$H$25="Todos",datos_base!$K$10+datos_base!$K$24,0))*parametros_manuales!$K$100+parametros_manuales!$F$25*(datos_base!$K$4+datos_base!$K$20+IF(parametros_manuales!$H$25="Todos",datos_base!$K$11+datos_base!$K$25,0))*parametros_manuales!$K$105+parametros_manuales!$G$25*(datos_base!$K$5+datos_base!$K$21+IF(parametros_manuales!$H$25="Todos",datos_base!$K$12+datos_base!$K$26,0))*parametros_manuales!$K$110)*parametros_manuales!$I$25*parametros_manuales!$J$25</f>
        <v>25196.732367355</v>
      </c>
      <c r="L251" s="9" t="n">
        <f aca="false">(parametros_manuales!$D$25*(datos_base!$K$2+datos_base!$K$18+IF(parametros_manuales!$H$25="Todos",datos_base!$K$9+datos_base!$K$23,0))*parametros_manuales!$L$95+parametros_manuales!$E$25*(datos_base!$K$3+datos_base!$K$19+IF(parametros_manuales!$H$25="Todos",datos_base!$K$10+datos_base!$K$24,0))*parametros_manuales!$L$100+parametros_manuales!$F$25*(datos_base!$K$4+datos_base!$K$20+IF(parametros_manuales!$H$25="Todos",datos_base!$K$11+datos_base!$K$25,0))*parametros_manuales!$L$105+parametros_manuales!$G$25*(datos_base!$K$5+datos_base!$K$21+IF(parametros_manuales!$H$25="Todos",datos_base!$K$12+datos_base!$K$26,0))*parametros_manuales!$L$110)*parametros_manuales!$I$25*parametros_manuales!$J$25</f>
        <v>25606.19559357</v>
      </c>
      <c r="M251" s="9" t="n">
        <f aca="false">(parametros_manuales!$D$25*(datos_base!$K$2+datos_base!$K$18+IF(parametros_manuales!$H$25="Todos",datos_base!$K$9+datos_base!$K$23,0))*parametros_manuales!$M$95+parametros_manuales!$E$25*(datos_base!$K$3+datos_base!$K$19+IF(parametros_manuales!$H$25="Todos",datos_base!$K$10+datos_base!$K$24,0))*parametros_manuales!$M$100+parametros_manuales!$F$25*(datos_base!$K$4+datos_base!$K$20+IF(parametros_manuales!$H$25="Todos",datos_base!$K$11+datos_base!$K$25,0))*parametros_manuales!$M$105+parametros_manuales!$G$25*(datos_base!$K$5+datos_base!$K$21+IF(parametros_manuales!$H$25="Todos",datos_base!$K$12+datos_base!$K$26,0))*parametros_manuales!$M$110)*parametros_manuales!$I$25*parametros_manuales!$J$25</f>
        <v>25606.19559357</v>
      </c>
      <c r="N251" s="9" t="n">
        <f aca="false">SUM(B251:M251)</f>
        <v>284513.284373</v>
      </c>
      <c r="O251" s="9" t="n">
        <f aca="false">MAX(B251:M251)</f>
        <v>25606.19559357</v>
      </c>
      <c r="P251" s="43" t="n">
        <f aca="false">O251/(parametros_manuales!$B$7)</f>
        <v>170.7079706238</v>
      </c>
      <c r="Q251" s="8" t="str">
        <f aca="false">IF(O251=0,"-",INDEX($B$244:$M$244,MATCH(O251,B251:M251,0)))</f>
        <v>Ene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datos_base!$K$2+datos_base!$K$18+IF(parametros_manuales!$H$26="Todos",datos_base!$K$9+datos_base!$K$23,0))*parametros_manuales!$B$95+parametros_manuales!$E$26*(datos_base!$K$3+datos_base!$K$19+IF(parametros_manuales!$H$26="Todos",datos_base!$K$10+datos_base!$K$24,0))*parametros_manuales!$B$100+parametros_manuales!$F$26*(datos_base!$K$4+datos_base!$K$20+IF(parametros_manuales!$H$26="Todos",datos_base!$K$11+datos_base!$K$25,0))*parametros_manuales!$B$105+parametros_manuales!$G$26*(datos_base!$K$5+datos_base!$K$21+IF(parametros_manuales!$H$26="Todos",datos_base!$K$12+datos_base!$K$26,0))*parametros_manuales!$B$110)*parametros_manuales!$I$26*parametros_manuales!$J$26</f>
        <v>7370.33807187</v>
      </c>
      <c r="C252" s="9" t="n">
        <f aca="false">(parametros_manuales!$D$26*(datos_base!$K$2+datos_base!$K$18+IF(parametros_manuales!$H$26="Todos",datos_base!$K$9+datos_base!$K$23,0))*parametros_manuales!$C$95+parametros_manuales!$E$26*(datos_base!$K$3+datos_base!$K$19+IF(parametros_manuales!$H$26="Todos",datos_base!$K$10+datos_base!$K$24,0))*parametros_manuales!$C$100+parametros_manuales!$F$26*(datos_base!$K$4+datos_base!$K$20+IF(parametros_manuales!$H$26="Todos",datos_base!$K$11+datos_base!$K$25,0))*parametros_manuales!$C$105+parametros_manuales!$G$26*(datos_base!$K$5+datos_base!$K$21+IF(parametros_manuales!$H$26="Todos",datos_base!$K$12+datos_base!$K$26,0))*parametros_manuales!$C$110)*parametros_manuales!$I$26*parametros_manuales!$J$26</f>
        <v>6551.41161944</v>
      </c>
      <c r="D252" s="9" t="n">
        <f aca="false">(parametros_manuales!$D$26*(datos_base!$K$2+datos_base!$K$18+IF(parametros_manuales!$H$26="Todos",datos_base!$K$9+datos_base!$K$23,0))*parametros_manuales!$D$95+parametros_manuales!$E$26*(datos_base!$K$3+datos_base!$K$19+IF(parametros_manuales!$H$26="Todos",datos_base!$K$10+datos_base!$K$24,0))*parametros_manuales!$D$100+parametros_manuales!$F$26*(datos_base!$K$4+datos_base!$K$20+IF(parametros_manuales!$H$26="Todos",datos_base!$K$11+datos_base!$K$25,0))*parametros_manuales!$D$105+parametros_manuales!$G$26*(datos_base!$K$5+datos_base!$K$21+IF(parametros_manuales!$H$26="Todos",datos_base!$K$12+datos_base!$K$26,0))*parametros_manuales!$D$110)*parametros_manuales!$I$26*parametros_manuales!$J$26</f>
        <v>6960.874845655</v>
      </c>
      <c r="E252" s="9" t="n">
        <f aca="false">(parametros_manuales!$D$26*(datos_base!$K$2+datos_base!$K$18+IF(parametros_manuales!$H$26="Todos",datos_base!$K$9+datos_base!$K$23,0))*parametros_manuales!$E$95+parametros_manuales!$E$26*(datos_base!$K$3+datos_base!$K$19+IF(parametros_manuales!$H$26="Todos",datos_base!$K$10+datos_base!$K$24,0))*parametros_manuales!$E$100+parametros_manuales!$F$26*(datos_base!$K$4+datos_base!$K$20+IF(parametros_manuales!$H$26="Todos",datos_base!$K$11+datos_base!$K$25,0))*parametros_manuales!$E$105+parametros_manuales!$G$26*(datos_base!$K$5+datos_base!$K$21+IF(parametros_manuales!$H$26="Todos",datos_base!$K$12+datos_base!$K$26,0))*parametros_manuales!$E$110)*parametros_manuales!$I$26*parametros_manuales!$J$26</f>
        <v>6960.874845655</v>
      </c>
      <c r="F252" s="9" t="n">
        <f aca="false">(parametros_manuales!$D$26*(datos_base!$K$2+datos_base!$K$18+IF(parametros_manuales!$H$26="Todos",datos_base!$K$9+datos_base!$K$23,0))*parametros_manuales!$F$95+parametros_manuales!$E$26*(datos_base!$K$3+datos_base!$K$19+IF(parametros_manuales!$H$26="Todos",datos_base!$K$10+datos_base!$K$24,0))*parametros_manuales!$F$100+parametros_manuales!$F$26*(datos_base!$K$4+datos_base!$K$20+IF(parametros_manuales!$H$26="Todos",datos_base!$K$11+datos_base!$K$25,0))*parametros_manuales!$F$105+parametros_manuales!$G$26*(datos_base!$K$5+datos_base!$K$21+IF(parametros_manuales!$H$26="Todos",datos_base!$K$12+datos_base!$K$26,0))*parametros_manuales!$F$110)*parametros_manuales!$I$26*parametros_manuales!$J$26</f>
        <v>6551.41161944</v>
      </c>
      <c r="G252" s="9" t="n">
        <f aca="false">(parametros_manuales!$D$26*(datos_base!$K$2+datos_base!$K$18+IF(parametros_manuales!$H$26="Todos",datos_base!$K$9+datos_base!$K$23,0))*parametros_manuales!$G$95+parametros_manuales!$E$26*(datos_base!$K$3+datos_base!$K$19+IF(parametros_manuales!$H$26="Todos",datos_base!$K$10+datos_base!$K$24,0))*parametros_manuales!$G$100+parametros_manuales!$F$26*(datos_base!$K$4+datos_base!$K$20+IF(parametros_manuales!$H$26="Todos",datos_base!$K$11+datos_base!$K$25,0))*parametros_manuales!$G$105+parametros_manuales!$G$26*(datos_base!$K$5+datos_base!$K$21+IF(parametros_manuales!$H$26="Todos",datos_base!$K$12+datos_base!$K$26,0))*parametros_manuales!$G$110)*parametros_manuales!$I$26*parametros_manuales!$J$26</f>
        <v>6141.948393225</v>
      </c>
      <c r="H252" s="9" t="n">
        <f aca="false">(parametros_manuales!$D$26*(datos_base!$K$2+datos_base!$K$18+IF(parametros_manuales!$H$26="Todos",datos_base!$K$9+datos_base!$K$23,0))*parametros_manuales!$H$95+parametros_manuales!$E$26*(datos_base!$K$3+datos_base!$K$19+IF(parametros_manuales!$H$26="Todos",datos_base!$K$10+datos_base!$K$24,0))*parametros_manuales!$H$100+parametros_manuales!$F$26*(datos_base!$K$4+datos_base!$K$20+IF(parametros_manuales!$H$26="Todos",datos_base!$K$11+datos_base!$K$25,0))*parametros_manuales!$H$105+parametros_manuales!$G$26*(datos_base!$K$5+datos_base!$K$21+IF(parametros_manuales!$H$26="Todos",datos_base!$K$12+datos_base!$K$26,0))*parametros_manuales!$H$110)*parametros_manuales!$I$26*parametros_manuales!$J$26</f>
        <v>6551.41161944</v>
      </c>
      <c r="I252" s="9" t="n">
        <f aca="false">(parametros_manuales!$D$26*(datos_base!$K$2+datos_base!$K$18+IF(parametros_manuales!$H$26="Todos",datos_base!$K$9+datos_base!$K$23,0))*parametros_manuales!$I$95+parametros_manuales!$E$26*(datos_base!$K$3+datos_base!$K$19+IF(parametros_manuales!$H$26="Todos",datos_base!$K$10+datos_base!$K$24,0))*parametros_manuales!$I$100+parametros_manuales!$F$26*(datos_base!$K$4+datos_base!$K$20+IF(parametros_manuales!$H$26="Todos",datos_base!$K$11+datos_base!$K$25,0))*parametros_manuales!$I$105+parametros_manuales!$G$26*(datos_base!$K$5+datos_base!$K$21+IF(parametros_manuales!$H$26="Todos",datos_base!$K$12+datos_base!$K$26,0))*parametros_manuales!$I$110)*parametros_manuales!$I$26*parametros_manuales!$J$26</f>
        <v>6551.41161944</v>
      </c>
      <c r="J252" s="9" t="n">
        <f aca="false">(parametros_manuales!$D$26*(datos_base!$K$2+datos_base!$K$18+IF(parametros_manuales!$H$26="Todos",datos_base!$K$9+datos_base!$K$23,0))*parametros_manuales!$J$95+parametros_manuales!$E$26*(datos_base!$K$3+datos_base!$K$19+IF(parametros_manuales!$H$26="Todos",datos_base!$K$10+datos_base!$K$24,0))*parametros_manuales!$J$100+parametros_manuales!$F$26*(datos_base!$K$4+datos_base!$K$20+IF(parametros_manuales!$H$26="Todos",datos_base!$K$11+datos_base!$K$25,0))*parametros_manuales!$J$105+parametros_manuales!$G$26*(datos_base!$K$5+datos_base!$K$21+IF(parametros_manuales!$H$26="Todos",datos_base!$K$12+datos_base!$K$26,0))*parametros_manuales!$J$110)*parametros_manuales!$I$26*parametros_manuales!$J$26</f>
        <v>6551.41161944</v>
      </c>
      <c r="K252" s="9" t="n">
        <f aca="false">(parametros_manuales!$D$26*(datos_base!$K$2+datos_base!$K$18+IF(parametros_manuales!$H$26="Todos",datos_base!$K$9+datos_base!$K$23,0))*parametros_manuales!$K$95+parametros_manuales!$E$26*(datos_base!$K$3+datos_base!$K$19+IF(parametros_manuales!$H$26="Todos",datos_base!$K$10+datos_base!$K$24,0))*parametros_manuales!$K$100+parametros_manuales!$F$26*(datos_base!$K$4+datos_base!$K$20+IF(parametros_manuales!$H$26="Todos",datos_base!$K$11+datos_base!$K$25,0))*parametros_manuales!$K$105+parametros_manuales!$G$26*(datos_base!$K$5+datos_base!$K$21+IF(parametros_manuales!$H$26="Todos",datos_base!$K$12+datos_base!$K$26,0))*parametros_manuales!$K$110)*parametros_manuales!$I$26*parametros_manuales!$J$26</f>
        <v>6960.874845655</v>
      </c>
      <c r="L252" s="9" t="n">
        <f aca="false">(parametros_manuales!$D$26*(datos_base!$K$2+datos_base!$K$18+IF(parametros_manuales!$H$26="Todos",datos_base!$K$9+datos_base!$K$23,0))*parametros_manuales!$L$95+parametros_manuales!$E$26*(datos_base!$K$3+datos_base!$K$19+IF(parametros_manuales!$H$26="Todos",datos_base!$K$10+datos_base!$K$24,0))*parametros_manuales!$L$100+parametros_manuales!$F$26*(datos_base!$K$4+datos_base!$K$20+IF(parametros_manuales!$H$26="Todos",datos_base!$K$11+datos_base!$K$25,0))*parametros_manuales!$L$105+parametros_manuales!$G$26*(datos_base!$K$5+datos_base!$K$21+IF(parametros_manuales!$H$26="Todos",datos_base!$K$12+datos_base!$K$26,0))*parametros_manuales!$L$110)*parametros_manuales!$I$26*parametros_manuales!$J$26</f>
        <v>7370.33807187</v>
      </c>
      <c r="M252" s="9" t="n">
        <f aca="false">(parametros_manuales!$D$26*(datos_base!$K$2+datos_base!$K$18+IF(parametros_manuales!$H$26="Todos",datos_base!$K$9+datos_base!$K$23,0))*parametros_manuales!$M$95+parametros_manuales!$E$26*(datos_base!$K$3+datos_base!$K$19+IF(parametros_manuales!$H$26="Todos",datos_base!$K$10+datos_base!$K$24,0))*parametros_manuales!$M$100+parametros_manuales!$F$26*(datos_base!$K$4+datos_base!$K$20+IF(parametros_manuales!$H$26="Todos",datos_base!$K$11+datos_base!$K$25,0))*parametros_manuales!$M$105+parametros_manuales!$G$26*(datos_base!$K$5+datos_base!$K$21+IF(parametros_manuales!$H$26="Todos",datos_base!$K$12+datos_base!$K$26,0))*parametros_manuales!$M$110)*parametros_manuales!$I$26*parametros_manuales!$J$26</f>
        <v>7370.33807187</v>
      </c>
      <c r="N252" s="9" t="n">
        <f aca="false">SUM(B252:M252)</f>
        <v>81892.645243</v>
      </c>
      <c r="O252" s="9" t="n">
        <f aca="false">MAX(B252:M252)</f>
        <v>7370.33807187</v>
      </c>
      <c r="P252" s="43" t="n">
        <f aca="false">O252/(parametros_manuales!$B$7)</f>
        <v>49.1355871458</v>
      </c>
      <c r="Q252" s="8" t="str">
        <f aca="false">IF(O252=0,"-",INDEX($B$244:$M$244,MATCH(O252,B252:M252,0)))</f>
        <v>Ene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datos_base!$K$2+datos_base!$K$18+IF(parametros_manuales!$H$27="Todos",datos_base!$K$9+datos_base!$K$23,0))*parametros_manuales!$B$95+parametros_manuales!$E$27*(datos_base!$K$3+datos_base!$K$19+IF(parametros_manuales!$H$27="Todos",datos_base!$K$10+datos_base!$K$24,0))*parametros_manuales!$B$100+parametros_manuales!$F$27*(datos_base!$K$4+datos_base!$K$20+IF(parametros_manuales!$H$27="Todos",datos_base!$K$11+datos_base!$K$25,0))*parametros_manuales!$B$105+parametros_manuales!$G$27*(datos_base!$K$5+datos_base!$K$21+IF(parametros_manuales!$H$27="Todos",datos_base!$K$12+datos_base!$K$26,0))*parametros_manuales!$B$110)*parametros_manuales!$I$27*parametros_manuales!$J$27</f>
        <v>7370.33807187</v>
      </c>
      <c r="C253" s="9" t="n">
        <f aca="false">(parametros_manuales!$D$27*(datos_base!$K$2+datos_base!$K$18+IF(parametros_manuales!$H$27="Todos",datos_base!$K$9+datos_base!$K$23,0))*parametros_manuales!$C$95+parametros_manuales!$E$27*(datos_base!$K$3+datos_base!$K$19+IF(parametros_manuales!$H$27="Todos",datos_base!$K$10+datos_base!$K$24,0))*parametros_manuales!$C$100+parametros_manuales!$F$27*(datos_base!$K$4+datos_base!$K$20+IF(parametros_manuales!$H$27="Todos",datos_base!$K$11+datos_base!$K$25,0))*parametros_manuales!$C$105+parametros_manuales!$G$27*(datos_base!$K$5+datos_base!$K$21+IF(parametros_manuales!$H$27="Todos",datos_base!$K$12+datos_base!$K$26,0))*parametros_manuales!$C$110)*parametros_manuales!$I$27*parametros_manuales!$J$27</f>
        <v>6551.41161944</v>
      </c>
      <c r="D253" s="9" t="n">
        <f aca="false">(parametros_manuales!$D$27*(datos_base!$K$2+datos_base!$K$18+IF(parametros_manuales!$H$27="Todos",datos_base!$K$9+datos_base!$K$23,0))*parametros_manuales!$D$95+parametros_manuales!$E$27*(datos_base!$K$3+datos_base!$K$19+IF(parametros_manuales!$H$27="Todos",datos_base!$K$10+datos_base!$K$24,0))*parametros_manuales!$D$100+parametros_manuales!$F$27*(datos_base!$K$4+datos_base!$K$20+IF(parametros_manuales!$H$27="Todos",datos_base!$K$11+datos_base!$K$25,0))*parametros_manuales!$D$105+parametros_manuales!$G$27*(datos_base!$K$5+datos_base!$K$21+IF(parametros_manuales!$H$27="Todos",datos_base!$K$12+datos_base!$K$26,0))*parametros_manuales!$D$110)*parametros_manuales!$I$27*parametros_manuales!$J$27</f>
        <v>6960.874845655</v>
      </c>
      <c r="E253" s="9" t="n">
        <f aca="false">(parametros_manuales!$D$27*(datos_base!$K$2+datos_base!$K$18+IF(parametros_manuales!$H$27="Todos",datos_base!$K$9+datos_base!$K$23,0))*parametros_manuales!$E$95+parametros_manuales!$E$27*(datos_base!$K$3+datos_base!$K$19+IF(parametros_manuales!$H$27="Todos",datos_base!$K$10+datos_base!$K$24,0))*parametros_manuales!$E$100+parametros_manuales!$F$27*(datos_base!$K$4+datos_base!$K$20+IF(parametros_manuales!$H$27="Todos",datos_base!$K$11+datos_base!$K$25,0))*parametros_manuales!$E$105+parametros_manuales!$G$27*(datos_base!$K$5+datos_base!$K$21+IF(parametros_manuales!$H$27="Todos",datos_base!$K$12+datos_base!$K$26,0))*parametros_manuales!$E$110)*parametros_manuales!$I$27*parametros_manuales!$J$27</f>
        <v>6960.874845655</v>
      </c>
      <c r="F253" s="9" t="n">
        <f aca="false">(parametros_manuales!$D$27*(datos_base!$K$2+datos_base!$K$18+IF(parametros_manuales!$H$27="Todos",datos_base!$K$9+datos_base!$K$23,0))*parametros_manuales!$F$95+parametros_manuales!$E$27*(datos_base!$K$3+datos_base!$K$19+IF(parametros_manuales!$H$27="Todos",datos_base!$K$10+datos_base!$K$24,0))*parametros_manuales!$F$100+parametros_manuales!$F$27*(datos_base!$K$4+datos_base!$K$20+IF(parametros_manuales!$H$27="Todos",datos_base!$K$11+datos_base!$K$25,0))*parametros_manuales!$F$105+parametros_manuales!$G$27*(datos_base!$K$5+datos_base!$K$21+IF(parametros_manuales!$H$27="Todos",datos_base!$K$12+datos_base!$K$26,0))*parametros_manuales!$F$110)*parametros_manuales!$I$27*parametros_manuales!$J$27</f>
        <v>6551.41161944</v>
      </c>
      <c r="G253" s="9" t="n">
        <f aca="false">(parametros_manuales!$D$27*(datos_base!$K$2+datos_base!$K$18+IF(parametros_manuales!$H$27="Todos",datos_base!$K$9+datos_base!$K$23,0))*parametros_manuales!$G$95+parametros_manuales!$E$27*(datos_base!$K$3+datos_base!$K$19+IF(parametros_manuales!$H$27="Todos",datos_base!$K$10+datos_base!$K$24,0))*parametros_manuales!$G$100+parametros_manuales!$F$27*(datos_base!$K$4+datos_base!$K$20+IF(parametros_manuales!$H$27="Todos",datos_base!$K$11+datos_base!$K$25,0))*parametros_manuales!$G$105+parametros_manuales!$G$27*(datos_base!$K$5+datos_base!$K$21+IF(parametros_manuales!$H$27="Todos",datos_base!$K$12+datos_base!$K$26,0))*parametros_manuales!$G$110)*parametros_manuales!$I$27*parametros_manuales!$J$27</f>
        <v>6141.948393225</v>
      </c>
      <c r="H253" s="9" t="n">
        <f aca="false">(parametros_manuales!$D$27*(datos_base!$K$2+datos_base!$K$18+IF(parametros_manuales!$H$27="Todos",datos_base!$K$9+datos_base!$K$23,0))*parametros_manuales!$H$95+parametros_manuales!$E$27*(datos_base!$K$3+datos_base!$K$19+IF(parametros_manuales!$H$27="Todos",datos_base!$K$10+datos_base!$K$24,0))*parametros_manuales!$H$100+parametros_manuales!$F$27*(datos_base!$K$4+datos_base!$K$20+IF(parametros_manuales!$H$27="Todos",datos_base!$K$11+datos_base!$K$25,0))*parametros_manuales!$H$105+parametros_manuales!$G$27*(datos_base!$K$5+datos_base!$K$21+IF(parametros_manuales!$H$27="Todos",datos_base!$K$12+datos_base!$K$26,0))*parametros_manuales!$H$110)*parametros_manuales!$I$27*parametros_manuales!$J$27</f>
        <v>6551.41161944</v>
      </c>
      <c r="I253" s="9" t="n">
        <f aca="false">(parametros_manuales!$D$27*(datos_base!$K$2+datos_base!$K$18+IF(parametros_manuales!$H$27="Todos",datos_base!$K$9+datos_base!$K$23,0))*parametros_manuales!$I$95+parametros_manuales!$E$27*(datos_base!$K$3+datos_base!$K$19+IF(parametros_manuales!$H$27="Todos",datos_base!$K$10+datos_base!$K$24,0))*parametros_manuales!$I$100+parametros_manuales!$F$27*(datos_base!$K$4+datos_base!$K$20+IF(parametros_manuales!$H$27="Todos",datos_base!$K$11+datos_base!$K$25,0))*parametros_manuales!$I$105+parametros_manuales!$G$27*(datos_base!$K$5+datos_base!$K$21+IF(parametros_manuales!$H$27="Todos",datos_base!$K$12+datos_base!$K$26,0))*parametros_manuales!$I$110)*parametros_manuales!$I$27*parametros_manuales!$J$27</f>
        <v>6551.41161944</v>
      </c>
      <c r="J253" s="9" t="n">
        <f aca="false">(parametros_manuales!$D$27*(datos_base!$K$2+datos_base!$K$18+IF(parametros_manuales!$H$27="Todos",datos_base!$K$9+datos_base!$K$23,0))*parametros_manuales!$J$95+parametros_manuales!$E$27*(datos_base!$K$3+datos_base!$K$19+IF(parametros_manuales!$H$27="Todos",datos_base!$K$10+datos_base!$K$24,0))*parametros_manuales!$J$100+parametros_manuales!$F$27*(datos_base!$K$4+datos_base!$K$20+IF(parametros_manuales!$H$27="Todos",datos_base!$K$11+datos_base!$K$25,0))*parametros_manuales!$J$105+parametros_manuales!$G$27*(datos_base!$K$5+datos_base!$K$21+IF(parametros_manuales!$H$27="Todos",datos_base!$K$12+datos_base!$K$26,0))*parametros_manuales!$J$110)*parametros_manuales!$I$27*parametros_manuales!$J$27</f>
        <v>6551.41161944</v>
      </c>
      <c r="K253" s="9" t="n">
        <f aca="false">(parametros_manuales!$D$27*(datos_base!$K$2+datos_base!$K$18+IF(parametros_manuales!$H$27="Todos",datos_base!$K$9+datos_base!$K$23,0))*parametros_manuales!$K$95+parametros_manuales!$E$27*(datos_base!$K$3+datos_base!$K$19+IF(parametros_manuales!$H$27="Todos",datos_base!$K$10+datos_base!$K$24,0))*parametros_manuales!$K$100+parametros_manuales!$F$27*(datos_base!$K$4+datos_base!$K$20+IF(parametros_manuales!$H$27="Todos",datos_base!$K$11+datos_base!$K$25,0))*parametros_manuales!$K$105+parametros_manuales!$G$27*(datos_base!$K$5+datos_base!$K$21+IF(parametros_manuales!$H$27="Todos",datos_base!$K$12+datos_base!$K$26,0))*parametros_manuales!$K$110)*parametros_manuales!$I$27*parametros_manuales!$J$27</f>
        <v>6960.874845655</v>
      </c>
      <c r="L253" s="9" t="n">
        <f aca="false">(parametros_manuales!$D$27*(datos_base!$K$2+datos_base!$K$18+IF(parametros_manuales!$H$27="Todos",datos_base!$K$9+datos_base!$K$23,0))*parametros_manuales!$L$95+parametros_manuales!$E$27*(datos_base!$K$3+datos_base!$K$19+IF(parametros_manuales!$H$27="Todos",datos_base!$K$10+datos_base!$K$24,0))*parametros_manuales!$L$100+parametros_manuales!$F$27*(datos_base!$K$4+datos_base!$K$20+IF(parametros_manuales!$H$27="Todos",datos_base!$K$11+datos_base!$K$25,0))*parametros_manuales!$L$105+parametros_manuales!$G$27*(datos_base!$K$5+datos_base!$K$21+IF(parametros_manuales!$H$27="Todos",datos_base!$K$12+datos_base!$K$26,0))*parametros_manuales!$L$110)*parametros_manuales!$I$27*parametros_manuales!$J$27</f>
        <v>7370.33807187</v>
      </c>
      <c r="M253" s="9" t="n">
        <f aca="false">(parametros_manuales!$D$27*(datos_base!$K$2+datos_base!$K$18+IF(parametros_manuales!$H$27="Todos",datos_base!$K$9+datos_base!$K$23,0))*parametros_manuales!$M$95+parametros_manuales!$E$27*(datos_base!$K$3+datos_base!$K$19+IF(parametros_manuales!$H$27="Todos",datos_base!$K$10+datos_base!$K$24,0))*parametros_manuales!$M$100+parametros_manuales!$F$27*(datos_base!$K$4+datos_base!$K$20+IF(parametros_manuales!$H$27="Todos",datos_base!$K$11+datos_base!$K$25,0))*parametros_manuales!$M$105+parametros_manuales!$G$27*(datos_base!$K$5+datos_base!$K$21+IF(parametros_manuales!$H$27="Todos",datos_base!$K$12+datos_base!$K$26,0))*parametros_manuales!$M$110)*parametros_manuales!$I$27*parametros_manuales!$J$27</f>
        <v>7370.33807187</v>
      </c>
      <c r="N253" s="9" t="n">
        <f aca="false">SUM(B253:M253)</f>
        <v>81892.645243</v>
      </c>
      <c r="O253" s="9" t="n">
        <f aca="false">MAX(B253:M253)</f>
        <v>7370.33807187</v>
      </c>
      <c r="P253" s="43" t="n">
        <f aca="false">O253/(parametros_manuales!$B$7)</f>
        <v>49.1355871458</v>
      </c>
      <c r="Q253" s="8" t="str">
        <f aca="false">IF(O253=0,"-",INDEX($B$244:$M$244,MATCH(O253,B253:M253,0)))</f>
        <v>Ene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datos_base!$K$2+datos_base!$K$18+IF(parametros_manuales!$H$28="Todos",datos_base!$K$9+datos_base!$K$23,0))*parametros_manuales!$B$95+parametros_manuales!$E$28*(datos_base!$K$3+datos_base!$K$19+IF(parametros_manuales!$H$28="Todos",datos_base!$K$10+datos_base!$K$24,0))*parametros_manuales!$B$100+parametros_manuales!$F$28*(datos_base!$K$4+datos_base!$K$20+IF(parametros_manuales!$H$28="Todos",datos_base!$K$11+datos_base!$K$25,0))*parametros_manuales!$B$105+parametros_manuales!$G$28*(datos_base!$K$5+datos_base!$K$21+IF(parametros_manuales!$H$28="Todos",datos_base!$K$12+datos_base!$K$26,0))*parametros_manuales!$B$110)*parametros_manuales!$I$28*parametros_manuales!$J$28</f>
        <v>25606.19559357</v>
      </c>
      <c r="C254" s="9" t="n">
        <f aca="false">(parametros_manuales!$D$28*(datos_base!$K$2+datos_base!$K$18+IF(parametros_manuales!$H$28="Todos",datos_base!$K$9+datos_base!$K$23,0))*parametros_manuales!$C$95+parametros_manuales!$E$28*(datos_base!$K$3+datos_base!$K$19+IF(parametros_manuales!$H$28="Todos",datos_base!$K$10+datos_base!$K$24,0))*parametros_manuales!$C$100+parametros_manuales!$F$28*(datos_base!$K$4+datos_base!$K$20+IF(parametros_manuales!$H$28="Todos",datos_base!$K$11+datos_base!$K$25,0))*parametros_manuales!$C$105+parametros_manuales!$G$28*(datos_base!$K$5+datos_base!$K$21+IF(parametros_manuales!$H$28="Todos",datos_base!$K$12+datos_base!$K$26,0))*parametros_manuales!$C$110)*parametros_manuales!$I$28*parametros_manuales!$J$28</f>
        <v>24787.26914114</v>
      </c>
      <c r="D254" s="9" t="n">
        <f aca="false">(parametros_manuales!$D$28*(datos_base!$K$2+datos_base!$K$18+IF(parametros_manuales!$H$28="Todos",datos_base!$K$9+datos_base!$K$23,0))*parametros_manuales!$D$95+parametros_manuales!$E$28*(datos_base!$K$3+datos_base!$K$19+IF(parametros_manuales!$H$28="Todos",datos_base!$K$10+datos_base!$K$24,0))*parametros_manuales!$D$100+parametros_manuales!$F$28*(datos_base!$K$4+datos_base!$K$20+IF(parametros_manuales!$H$28="Todos",datos_base!$K$11+datos_base!$K$25,0))*parametros_manuales!$D$105+parametros_manuales!$G$28*(datos_base!$K$5+datos_base!$K$21+IF(parametros_manuales!$H$28="Todos",datos_base!$K$12+datos_base!$K$26,0))*parametros_manuales!$D$110)*parametros_manuales!$I$28*parametros_manuales!$J$28</f>
        <v>23170.525976055</v>
      </c>
      <c r="E254" s="9" t="n">
        <f aca="false">(parametros_manuales!$D$28*(datos_base!$K$2+datos_base!$K$18+IF(parametros_manuales!$H$28="Todos",datos_base!$K$9+datos_base!$K$23,0))*parametros_manuales!$E$95+parametros_manuales!$E$28*(datos_base!$K$3+datos_base!$K$19+IF(parametros_manuales!$H$28="Todos",datos_base!$K$10+datos_base!$K$24,0))*parametros_manuales!$E$100+parametros_manuales!$F$28*(datos_base!$K$4+datos_base!$K$20+IF(parametros_manuales!$H$28="Todos",datos_base!$K$11+datos_base!$K$25,0))*parametros_manuales!$E$105+parametros_manuales!$G$28*(datos_base!$K$5+datos_base!$K$21+IF(parametros_manuales!$H$28="Todos",datos_base!$K$12+datos_base!$K$26,0))*parametros_manuales!$E$110)*parametros_manuales!$I$28*parametros_manuales!$J$28</f>
        <v>22157.422780405</v>
      </c>
      <c r="F254" s="9" t="n">
        <f aca="false">(parametros_manuales!$D$28*(datos_base!$K$2+datos_base!$K$18+IF(parametros_manuales!$H$28="Todos",datos_base!$K$9+datos_base!$K$23,0))*parametros_manuales!$F$95+parametros_manuales!$E$28*(datos_base!$K$3+datos_base!$K$19+IF(parametros_manuales!$H$28="Todos",datos_base!$K$10+datos_base!$K$24,0))*parametros_manuales!$F$100+parametros_manuales!$F$28*(datos_base!$K$4+datos_base!$K$20+IF(parametros_manuales!$H$28="Todos",datos_base!$K$11+datos_base!$K$25,0))*parametros_manuales!$F$105+parametros_manuales!$G$28*(datos_base!$K$5+datos_base!$K$21+IF(parametros_manuales!$H$28="Todos",datos_base!$K$12+datos_base!$K$26,0))*parametros_manuales!$F$110)*parametros_manuales!$I$28*parametros_manuales!$J$28</f>
        <v>20734.85635854</v>
      </c>
      <c r="G254" s="9" t="n">
        <f aca="false">(parametros_manuales!$D$28*(datos_base!$K$2+datos_base!$K$18+IF(parametros_manuales!$H$28="Todos",datos_base!$K$9+datos_base!$K$23,0))*parametros_manuales!$G$95+parametros_manuales!$E$28*(datos_base!$K$3+datos_base!$K$19+IF(parametros_manuales!$H$28="Todos",datos_base!$K$10+datos_base!$K$24,0))*parametros_manuales!$G$100+parametros_manuales!$F$28*(datos_base!$K$4+datos_base!$K$20+IF(parametros_manuales!$H$28="Todos",datos_base!$K$11+datos_base!$K$25,0))*parametros_manuales!$G$105+parametros_manuales!$G$28*(datos_base!$K$5+datos_base!$K$21+IF(parametros_manuales!$H$28="Todos",datos_base!$K$12+datos_base!$K$26,0))*parametros_manuales!$G$110)*parametros_manuales!$I$28*parametros_manuales!$J$28</f>
        <v>20325.393132325</v>
      </c>
      <c r="H254" s="9" t="n">
        <f aca="false">(parametros_manuales!$D$28*(datos_base!$K$2+datos_base!$K$18+IF(parametros_manuales!$H$28="Todos",datos_base!$K$9+datos_base!$K$23,0))*parametros_manuales!$H$95+parametros_manuales!$E$28*(datos_base!$K$3+datos_base!$K$19+IF(parametros_manuales!$H$28="Todos",datos_base!$K$10+datos_base!$K$24,0))*parametros_manuales!$H$100+parametros_manuales!$F$28*(datos_base!$K$4+datos_base!$K$20+IF(parametros_manuales!$H$28="Todos",datos_base!$K$11+datos_base!$K$25,0))*parametros_manuales!$H$105+parametros_manuales!$G$28*(datos_base!$K$5+datos_base!$K$21+IF(parametros_manuales!$H$28="Todos",datos_base!$K$12+datos_base!$K$26,0))*parametros_manuales!$H$110)*parametros_manuales!$I$28*parametros_manuales!$J$28</f>
        <v>21747.95955419</v>
      </c>
      <c r="I254" s="9" t="n">
        <f aca="false">(parametros_manuales!$D$28*(datos_base!$K$2+datos_base!$K$18+IF(parametros_manuales!$H$28="Todos",datos_base!$K$9+datos_base!$K$23,0))*parametros_manuales!$I$95+parametros_manuales!$E$28*(datos_base!$K$3+datos_base!$K$19+IF(parametros_manuales!$H$28="Todos",datos_base!$K$10+datos_base!$K$24,0))*parametros_manuales!$I$100+parametros_manuales!$F$28*(datos_base!$K$4+datos_base!$K$20+IF(parametros_manuales!$H$28="Todos",datos_base!$K$11+datos_base!$K$25,0))*parametros_manuales!$I$105+parametros_manuales!$G$28*(datos_base!$K$5+datos_base!$K$21+IF(parametros_manuales!$H$28="Todos",datos_base!$K$12+datos_base!$K$26,0))*parametros_manuales!$I$110)*parametros_manuales!$I$28*parametros_manuales!$J$28</f>
        <v>24787.26914114</v>
      </c>
      <c r="J254" s="9" t="n">
        <f aca="false">(parametros_manuales!$D$28*(datos_base!$K$2+datos_base!$K$18+IF(parametros_manuales!$H$28="Todos",datos_base!$K$9+datos_base!$K$23,0))*parametros_manuales!$J$95+parametros_manuales!$E$28*(datos_base!$K$3+datos_base!$K$19+IF(parametros_manuales!$H$28="Todos",datos_base!$K$10+datos_base!$K$24,0))*parametros_manuales!$J$100+parametros_manuales!$F$28*(datos_base!$K$4+datos_base!$K$20+IF(parametros_manuales!$H$28="Todos",datos_base!$K$11+datos_base!$K$25,0))*parametros_manuales!$J$105+parametros_manuales!$G$28*(datos_base!$K$5+datos_base!$K$21+IF(parametros_manuales!$H$28="Todos",datos_base!$K$12+datos_base!$K$26,0))*parametros_manuales!$J$110)*parametros_manuales!$I$28*parametros_manuales!$J$28</f>
        <v>24787.26914114</v>
      </c>
      <c r="K254" s="9" t="n">
        <f aca="false">(parametros_manuales!$D$28*(datos_base!$K$2+datos_base!$K$18+IF(parametros_manuales!$H$28="Todos",datos_base!$K$9+datos_base!$K$23,0))*parametros_manuales!$K$95+parametros_manuales!$E$28*(datos_base!$K$3+datos_base!$K$19+IF(parametros_manuales!$H$28="Todos",datos_base!$K$10+datos_base!$K$24,0))*parametros_manuales!$K$100+parametros_manuales!$F$28*(datos_base!$K$4+datos_base!$K$20+IF(parametros_manuales!$H$28="Todos",datos_base!$K$11+datos_base!$K$25,0))*parametros_manuales!$K$105+parametros_manuales!$G$28*(datos_base!$K$5+datos_base!$K$21+IF(parametros_manuales!$H$28="Todos",datos_base!$K$12+datos_base!$K$26,0))*parametros_manuales!$K$110)*parametros_manuales!$I$28*parametros_manuales!$J$28</f>
        <v>25196.732367355</v>
      </c>
      <c r="L254" s="9" t="n">
        <f aca="false">(parametros_manuales!$D$28*(datos_base!$K$2+datos_base!$K$18+IF(parametros_manuales!$H$28="Todos",datos_base!$K$9+datos_base!$K$23,0))*parametros_manuales!$L$95+parametros_manuales!$E$28*(datos_base!$K$3+datos_base!$K$19+IF(parametros_manuales!$H$28="Todos",datos_base!$K$10+datos_base!$K$24,0))*parametros_manuales!$L$100+parametros_manuales!$F$28*(datos_base!$K$4+datos_base!$K$20+IF(parametros_manuales!$H$28="Todos",datos_base!$K$11+datos_base!$K$25,0))*parametros_manuales!$L$105+parametros_manuales!$G$28*(datos_base!$K$5+datos_base!$K$21+IF(parametros_manuales!$H$28="Todos",datos_base!$K$12+datos_base!$K$26,0))*parametros_manuales!$L$110)*parametros_manuales!$I$28*parametros_manuales!$J$28</f>
        <v>25606.19559357</v>
      </c>
      <c r="M254" s="9" t="n">
        <f aca="false">(parametros_manuales!$D$28*(datos_base!$K$2+datos_base!$K$18+IF(parametros_manuales!$H$28="Todos",datos_base!$K$9+datos_base!$K$23,0))*parametros_manuales!$M$95+parametros_manuales!$E$28*(datos_base!$K$3+datos_base!$K$19+IF(parametros_manuales!$H$28="Todos",datos_base!$K$10+datos_base!$K$24,0))*parametros_manuales!$M$100+parametros_manuales!$F$28*(datos_base!$K$4+datos_base!$K$20+IF(parametros_manuales!$H$28="Todos",datos_base!$K$11+datos_base!$K$25,0))*parametros_manuales!$M$105+parametros_manuales!$G$28*(datos_base!$K$5+datos_base!$K$21+IF(parametros_manuales!$H$28="Todos",datos_base!$K$12+datos_base!$K$26,0))*parametros_manuales!$M$110)*parametros_manuales!$I$28*parametros_manuales!$J$28</f>
        <v>25606.19559357</v>
      </c>
      <c r="N254" s="9" t="n">
        <f aca="false">SUM(B254:M254)</f>
        <v>284513.284373</v>
      </c>
      <c r="O254" s="9" t="n">
        <f aca="false">MAX(B254:M254)</f>
        <v>25606.19559357</v>
      </c>
      <c r="P254" s="43" t="n">
        <f aca="false">O254/(parametros_manuales!$B$7)</f>
        <v>170.7079706238</v>
      </c>
      <c r="Q254" s="8" t="str">
        <f aca="false">IF(O254=0,"-",INDEX($B$244:$M$244,MATCH(O254,B254:M254,0)))</f>
        <v>Ene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datos_base!$K$2+datos_base!$K$18+IF(parametros_manuales!$H$29="Todos",datos_base!$K$9+datos_base!$K$23,0))*parametros_manuales!$B$95+parametros_manuales!$E$29*(datos_base!$K$3+datos_base!$K$19+IF(parametros_manuales!$H$29="Todos",datos_base!$K$10+datos_base!$K$24,0))*parametros_manuales!$B$100+parametros_manuales!$F$29*(datos_base!$K$4+datos_base!$K$20+IF(parametros_manuales!$H$29="Todos",datos_base!$K$11+datos_base!$K$25,0))*parametros_manuales!$B$105+parametros_manuales!$G$29*(datos_base!$K$5+datos_base!$K$21+IF(parametros_manuales!$H$29="Todos",datos_base!$K$12+datos_base!$K$26,0))*parametros_manuales!$B$110)*parametros_manuales!$I$29*parametros_manuales!$J$29</f>
        <v>25606.19559357</v>
      </c>
      <c r="C255" s="9" t="n">
        <f aca="false">(parametros_manuales!$D$29*(datos_base!$K$2+datos_base!$K$18+IF(parametros_manuales!$H$29="Todos",datos_base!$K$9+datos_base!$K$23,0))*parametros_manuales!$C$95+parametros_manuales!$E$29*(datos_base!$K$3+datos_base!$K$19+IF(parametros_manuales!$H$29="Todos",datos_base!$K$10+datos_base!$K$24,0))*parametros_manuales!$C$100+parametros_manuales!$F$29*(datos_base!$K$4+datos_base!$K$20+IF(parametros_manuales!$H$29="Todos",datos_base!$K$11+datos_base!$K$25,0))*parametros_manuales!$C$105+parametros_manuales!$G$29*(datos_base!$K$5+datos_base!$K$21+IF(parametros_manuales!$H$29="Todos",datos_base!$K$12+datos_base!$K$26,0))*parametros_manuales!$C$110)*parametros_manuales!$I$29*parametros_manuales!$J$29</f>
        <v>24787.26914114</v>
      </c>
      <c r="D255" s="9" t="n">
        <f aca="false">(parametros_manuales!$D$29*(datos_base!$K$2+datos_base!$K$18+IF(parametros_manuales!$H$29="Todos",datos_base!$K$9+datos_base!$K$23,0))*parametros_manuales!$D$95+parametros_manuales!$E$29*(datos_base!$K$3+datos_base!$K$19+IF(parametros_manuales!$H$29="Todos",datos_base!$K$10+datos_base!$K$24,0))*parametros_manuales!$D$100+parametros_manuales!$F$29*(datos_base!$K$4+datos_base!$K$20+IF(parametros_manuales!$H$29="Todos",datos_base!$K$11+datos_base!$K$25,0))*parametros_manuales!$D$105+parametros_manuales!$G$29*(datos_base!$K$5+datos_base!$K$21+IF(parametros_manuales!$H$29="Todos",datos_base!$K$12+datos_base!$K$26,0))*parametros_manuales!$D$110)*parametros_manuales!$I$29*parametros_manuales!$J$29</f>
        <v>23170.525976055</v>
      </c>
      <c r="E255" s="9" t="n">
        <f aca="false">(parametros_manuales!$D$29*(datos_base!$K$2+datos_base!$K$18+IF(parametros_manuales!$H$29="Todos",datos_base!$K$9+datos_base!$K$23,0))*parametros_manuales!$E$95+parametros_manuales!$E$29*(datos_base!$K$3+datos_base!$K$19+IF(parametros_manuales!$H$29="Todos",datos_base!$K$10+datos_base!$K$24,0))*parametros_manuales!$E$100+parametros_manuales!$F$29*(datos_base!$K$4+datos_base!$K$20+IF(parametros_manuales!$H$29="Todos",datos_base!$K$11+datos_base!$K$25,0))*parametros_manuales!$E$105+parametros_manuales!$G$29*(datos_base!$K$5+datos_base!$K$21+IF(parametros_manuales!$H$29="Todos",datos_base!$K$12+datos_base!$K$26,0))*parametros_manuales!$E$110)*parametros_manuales!$I$29*parametros_manuales!$J$29</f>
        <v>22157.422780405</v>
      </c>
      <c r="F255" s="9" t="n">
        <f aca="false">(parametros_manuales!$D$29*(datos_base!$K$2+datos_base!$K$18+IF(parametros_manuales!$H$29="Todos",datos_base!$K$9+datos_base!$K$23,0))*parametros_manuales!$F$95+parametros_manuales!$E$29*(datos_base!$K$3+datos_base!$K$19+IF(parametros_manuales!$H$29="Todos",datos_base!$K$10+datos_base!$K$24,0))*parametros_manuales!$F$100+parametros_manuales!$F$29*(datos_base!$K$4+datos_base!$K$20+IF(parametros_manuales!$H$29="Todos",datos_base!$K$11+datos_base!$K$25,0))*parametros_manuales!$F$105+parametros_manuales!$G$29*(datos_base!$K$5+datos_base!$K$21+IF(parametros_manuales!$H$29="Todos",datos_base!$K$12+datos_base!$K$26,0))*parametros_manuales!$F$110)*parametros_manuales!$I$29*parametros_manuales!$J$29</f>
        <v>20734.85635854</v>
      </c>
      <c r="G255" s="9" t="n">
        <f aca="false">(parametros_manuales!$D$29*(datos_base!$K$2+datos_base!$K$18+IF(parametros_manuales!$H$29="Todos",datos_base!$K$9+datos_base!$K$23,0))*parametros_manuales!$G$95+parametros_manuales!$E$29*(datos_base!$K$3+datos_base!$K$19+IF(parametros_manuales!$H$29="Todos",datos_base!$K$10+datos_base!$K$24,0))*parametros_manuales!$G$100+parametros_manuales!$F$29*(datos_base!$K$4+datos_base!$K$20+IF(parametros_manuales!$H$29="Todos",datos_base!$K$11+datos_base!$K$25,0))*parametros_manuales!$G$105+parametros_manuales!$G$29*(datos_base!$K$5+datos_base!$K$21+IF(parametros_manuales!$H$29="Todos",datos_base!$K$12+datos_base!$K$26,0))*parametros_manuales!$G$110)*parametros_manuales!$I$29*parametros_manuales!$J$29</f>
        <v>20325.393132325</v>
      </c>
      <c r="H255" s="9" t="n">
        <f aca="false">(parametros_manuales!$D$29*(datos_base!$K$2+datos_base!$K$18+IF(parametros_manuales!$H$29="Todos",datos_base!$K$9+datos_base!$K$23,0))*parametros_manuales!$H$95+parametros_manuales!$E$29*(datos_base!$K$3+datos_base!$K$19+IF(parametros_manuales!$H$29="Todos",datos_base!$K$10+datos_base!$K$24,0))*parametros_manuales!$H$100+parametros_manuales!$F$29*(datos_base!$K$4+datos_base!$K$20+IF(parametros_manuales!$H$29="Todos",datos_base!$K$11+datos_base!$K$25,0))*parametros_manuales!$H$105+parametros_manuales!$G$29*(datos_base!$K$5+datos_base!$K$21+IF(parametros_manuales!$H$29="Todos",datos_base!$K$12+datos_base!$K$26,0))*parametros_manuales!$H$110)*parametros_manuales!$I$29*parametros_manuales!$J$29</f>
        <v>21747.95955419</v>
      </c>
      <c r="I255" s="9" t="n">
        <f aca="false">(parametros_manuales!$D$29*(datos_base!$K$2+datos_base!$K$18+IF(parametros_manuales!$H$29="Todos",datos_base!$K$9+datos_base!$K$23,0))*parametros_manuales!$I$95+parametros_manuales!$E$29*(datos_base!$K$3+datos_base!$K$19+IF(parametros_manuales!$H$29="Todos",datos_base!$K$10+datos_base!$K$24,0))*parametros_manuales!$I$100+parametros_manuales!$F$29*(datos_base!$K$4+datos_base!$K$20+IF(parametros_manuales!$H$29="Todos",datos_base!$K$11+datos_base!$K$25,0))*parametros_manuales!$I$105+parametros_manuales!$G$29*(datos_base!$K$5+datos_base!$K$21+IF(parametros_manuales!$H$29="Todos",datos_base!$K$12+datos_base!$K$26,0))*parametros_manuales!$I$110)*parametros_manuales!$I$29*parametros_manuales!$J$29</f>
        <v>24787.26914114</v>
      </c>
      <c r="J255" s="9" t="n">
        <f aca="false">(parametros_manuales!$D$29*(datos_base!$K$2+datos_base!$K$18+IF(parametros_manuales!$H$29="Todos",datos_base!$K$9+datos_base!$K$23,0))*parametros_manuales!$J$95+parametros_manuales!$E$29*(datos_base!$K$3+datos_base!$K$19+IF(parametros_manuales!$H$29="Todos",datos_base!$K$10+datos_base!$K$24,0))*parametros_manuales!$J$100+parametros_manuales!$F$29*(datos_base!$K$4+datos_base!$K$20+IF(parametros_manuales!$H$29="Todos",datos_base!$K$11+datos_base!$K$25,0))*parametros_manuales!$J$105+parametros_manuales!$G$29*(datos_base!$K$5+datos_base!$K$21+IF(parametros_manuales!$H$29="Todos",datos_base!$K$12+datos_base!$K$26,0))*parametros_manuales!$J$110)*parametros_manuales!$I$29*parametros_manuales!$J$29</f>
        <v>24787.26914114</v>
      </c>
      <c r="K255" s="9" t="n">
        <f aca="false">(parametros_manuales!$D$29*(datos_base!$K$2+datos_base!$K$18+IF(parametros_manuales!$H$29="Todos",datos_base!$K$9+datos_base!$K$23,0))*parametros_manuales!$K$95+parametros_manuales!$E$29*(datos_base!$K$3+datos_base!$K$19+IF(parametros_manuales!$H$29="Todos",datos_base!$K$10+datos_base!$K$24,0))*parametros_manuales!$K$100+parametros_manuales!$F$29*(datos_base!$K$4+datos_base!$K$20+IF(parametros_manuales!$H$29="Todos",datos_base!$K$11+datos_base!$K$25,0))*parametros_manuales!$K$105+parametros_manuales!$G$29*(datos_base!$K$5+datos_base!$K$21+IF(parametros_manuales!$H$29="Todos",datos_base!$K$12+datos_base!$K$26,0))*parametros_manuales!$K$110)*parametros_manuales!$I$29*parametros_manuales!$J$29</f>
        <v>25196.732367355</v>
      </c>
      <c r="L255" s="9" t="n">
        <f aca="false">(parametros_manuales!$D$29*(datos_base!$K$2+datos_base!$K$18+IF(parametros_manuales!$H$29="Todos",datos_base!$K$9+datos_base!$K$23,0))*parametros_manuales!$L$95+parametros_manuales!$E$29*(datos_base!$K$3+datos_base!$K$19+IF(parametros_manuales!$H$29="Todos",datos_base!$K$10+datos_base!$K$24,0))*parametros_manuales!$L$100+parametros_manuales!$F$29*(datos_base!$K$4+datos_base!$K$20+IF(parametros_manuales!$H$29="Todos",datos_base!$K$11+datos_base!$K$25,0))*parametros_manuales!$L$105+parametros_manuales!$G$29*(datos_base!$K$5+datos_base!$K$21+IF(parametros_manuales!$H$29="Todos",datos_base!$K$12+datos_base!$K$26,0))*parametros_manuales!$L$110)*parametros_manuales!$I$29*parametros_manuales!$J$29</f>
        <v>25606.19559357</v>
      </c>
      <c r="M255" s="9" t="n">
        <f aca="false">(parametros_manuales!$D$29*(datos_base!$K$2+datos_base!$K$18+IF(parametros_manuales!$H$29="Todos",datos_base!$K$9+datos_base!$K$23,0))*parametros_manuales!$M$95+parametros_manuales!$E$29*(datos_base!$K$3+datos_base!$K$19+IF(parametros_manuales!$H$29="Todos",datos_base!$K$10+datos_base!$K$24,0))*parametros_manuales!$M$100+parametros_manuales!$F$29*(datos_base!$K$4+datos_base!$K$20+IF(parametros_manuales!$H$29="Todos",datos_base!$K$11+datos_base!$K$25,0))*parametros_manuales!$M$105+parametros_manuales!$G$29*(datos_base!$K$5+datos_base!$K$21+IF(parametros_manuales!$H$29="Todos",datos_base!$K$12+datos_base!$K$26,0))*parametros_manuales!$M$110)*parametros_manuales!$I$29*parametros_manuales!$J$29</f>
        <v>25606.19559357</v>
      </c>
      <c r="N255" s="9" t="n">
        <f aca="false">SUM(B255:M255)</f>
        <v>284513.284373</v>
      </c>
      <c r="O255" s="9" t="n">
        <f aca="false">MAX(B255:M255)</f>
        <v>25606.19559357</v>
      </c>
      <c r="P255" s="43" t="n">
        <f aca="false">O255/(parametros_manuales!$B$7)</f>
        <v>170.7079706238</v>
      </c>
      <c r="Q255" s="8" t="str">
        <f aca="false">IF(O255=0,"-",INDEX($B$244:$M$244,MATCH(O255,B255:M255,0)))</f>
        <v>Ene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datos_base!$K$2+datos_base!$K$18+IF(parametros_manuales!$H$30="Todos",datos_base!$K$9+datos_base!$K$23,0))*parametros_manuales!$B$95+parametros_manuales!$E$30*(datos_base!$K$3+datos_base!$K$19+IF(parametros_manuales!$H$30="Todos",datos_base!$K$10+datos_base!$K$24,0))*parametros_manuales!$B$100+parametros_manuales!$F$30*(datos_base!$K$4+datos_base!$K$20+IF(parametros_manuales!$H$30="Todos",datos_base!$K$11+datos_base!$K$25,0))*parametros_manuales!$B$105+parametros_manuales!$G$30*(datos_base!$K$5+datos_base!$K$21+IF(parametros_manuales!$H$30="Todos",datos_base!$K$12+datos_base!$K$26,0))*parametros_manuales!$B$110)*parametros_manuales!$I$30*parametros_manuales!$J$30</f>
        <v>25606.19559357</v>
      </c>
      <c r="C256" s="9" t="n">
        <f aca="false">(parametros_manuales!$D$30*(datos_base!$K$2+datos_base!$K$18+IF(parametros_manuales!$H$30="Todos",datos_base!$K$9+datos_base!$K$23,0))*parametros_manuales!$C$95+parametros_manuales!$E$30*(datos_base!$K$3+datos_base!$K$19+IF(parametros_manuales!$H$30="Todos",datos_base!$K$10+datos_base!$K$24,0))*parametros_manuales!$C$100+parametros_manuales!$F$30*(datos_base!$K$4+datos_base!$K$20+IF(parametros_manuales!$H$30="Todos",datos_base!$K$11+datos_base!$K$25,0))*parametros_manuales!$C$105+parametros_manuales!$G$30*(datos_base!$K$5+datos_base!$K$21+IF(parametros_manuales!$H$30="Todos",datos_base!$K$12+datos_base!$K$26,0))*parametros_manuales!$C$110)*parametros_manuales!$I$30*parametros_manuales!$J$30</f>
        <v>24787.26914114</v>
      </c>
      <c r="D256" s="9" t="n">
        <f aca="false">(parametros_manuales!$D$30*(datos_base!$K$2+datos_base!$K$18+IF(parametros_manuales!$H$30="Todos",datos_base!$K$9+datos_base!$K$23,0))*parametros_manuales!$D$95+parametros_manuales!$E$30*(datos_base!$K$3+datos_base!$K$19+IF(parametros_manuales!$H$30="Todos",datos_base!$K$10+datos_base!$K$24,0))*parametros_manuales!$D$100+parametros_manuales!$F$30*(datos_base!$K$4+datos_base!$K$20+IF(parametros_manuales!$H$30="Todos",datos_base!$K$11+datos_base!$K$25,0))*parametros_manuales!$D$105+parametros_manuales!$G$30*(datos_base!$K$5+datos_base!$K$21+IF(parametros_manuales!$H$30="Todos",datos_base!$K$12+datos_base!$K$26,0))*parametros_manuales!$D$110)*parametros_manuales!$I$30*parametros_manuales!$J$30</f>
        <v>23170.525976055</v>
      </c>
      <c r="E256" s="9" t="n">
        <f aca="false">(parametros_manuales!$D$30*(datos_base!$K$2+datos_base!$K$18+IF(parametros_manuales!$H$30="Todos",datos_base!$K$9+datos_base!$K$23,0))*parametros_manuales!$E$95+parametros_manuales!$E$30*(datos_base!$K$3+datos_base!$K$19+IF(parametros_manuales!$H$30="Todos",datos_base!$K$10+datos_base!$K$24,0))*parametros_manuales!$E$100+parametros_manuales!$F$30*(datos_base!$K$4+datos_base!$K$20+IF(parametros_manuales!$H$30="Todos",datos_base!$K$11+datos_base!$K$25,0))*parametros_manuales!$E$105+parametros_manuales!$G$30*(datos_base!$K$5+datos_base!$K$21+IF(parametros_manuales!$H$30="Todos",datos_base!$K$12+datos_base!$K$26,0))*parametros_manuales!$E$110)*parametros_manuales!$I$30*parametros_manuales!$J$30</f>
        <v>22157.422780405</v>
      </c>
      <c r="F256" s="9" t="n">
        <f aca="false">(parametros_manuales!$D$30*(datos_base!$K$2+datos_base!$K$18+IF(parametros_manuales!$H$30="Todos",datos_base!$K$9+datos_base!$K$23,0))*parametros_manuales!$F$95+parametros_manuales!$E$30*(datos_base!$K$3+datos_base!$K$19+IF(parametros_manuales!$H$30="Todos",datos_base!$K$10+datos_base!$K$24,0))*parametros_manuales!$F$100+parametros_manuales!$F$30*(datos_base!$K$4+datos_base!$K$20+IF(parametros_manuales!$H$30="Todos",datos_base!$K$11+datos_base!$K$25,0))*parametros_manuales!$F$105+parametros_manuales!$G$30*(datos_base!$K$5+datos_base!$K$21+IF(parametros_manuales!$H$30="Todos",datos_base!$K$12+datos_base!$K$26,0))*parametros_manuales!$F$110)*parametros_manuales!$I$30*parametros_manuales!$J$30</f>
        <v>20734.85635854</v>
      </c>
      <c r="G256" s="9" t="n">
        <f aca="false">(parametros_manuales!$D$30*(datos_base!$K$2+datos_base!$K$18+IF(parametros_manuales!$H$30="Todos",datos_base!$K$9+datos_base!$K$23,0))*parametros_manuales!$G$95+parametros_manuales!$E$30*(datos_base!$K$3+datos_base!$K$19+IF(parametros_manuales!$H$30="Todos",datos_base!$K$10+datos_base!$K$24,0))*parametros_manuales!$G$100+parametros_manuales!$F$30*(datos_base!$K$4+datos_base!$K$20+IF(parametros_manuales!$H$30="Todos",datos_base!$K$11+datos_base!$K$25,0))*parametros_manuales!$G$105+parametros_manuales!$G$30*(datos_base!$K$5+datos_base!$K$21+IF(parametros_manuales!$H$30="Todos",datos_base!$K$12+datos_base!$K$26,0))*parametros_manuales!$G$110)*parametros_manuales!$I$30*parametros_manuales!$J$30</f>
        <v>20325.393132325</v>
      </c>
      <c r="H256" s="9" t="n">
        <f aca="false">(parametros_manuales!$D$30*(datos_base!$K$2+datos_base!$K$18+IF(parametros_manuales!$H$30="Todos",datos_base!$K$9+datos_base!$K$23,0))*parametros_manuales!$H$95+parametros_manuales!$E$30*(datos_base!$K$3+datos_base!$K$19+IF(parametros_manuales!$H$30="Todos",datos_base!$K$10+datos_base!$K$24,0))*parametros_manuales!$H$100+parametros_manuales!$F$30*(datos_base!$K$4+datos_base!$K$20+IF(parametros_manuales!$H$30="Todos",datos_base!$K$11+datos_base!$K$25,0))*parametros_manuales!$H$105+parametros_manuales!$G$30*(datos_base!$K$5+datos_base!$K$21+IF(parametros_manuales!$H$30="Todos",datos_base!$K$12+datos_base!$K$26,0))*parametros_manuales!$H$110)*parametros_manuales!$I$30*parametros_manuales!$J$30</f>
        <v>21747.95955419</v>
      </c>
      <c r="I256" s="9" t="n">
        <f aca="false">(parametros_manuales!$D$30*(datos_base!$K$2+datos_base!$K$18+IF(parametros_manuales!$H$30="Todos",datos_base!$K$9+datos_base!$K$23,0))*parametros_manuales!$I$95+parametros_manuales!$E$30*(datos_base!$K$3+datos_base!$K$19+IF(parametros_manuales!$H$30="Todos",datos_base!$K$10+datos_base!$K$24,0))*parametros_manuales!$I$100+parametros_manuales!$F$30*(datos_base!$K$4+datos_base!$K$20+IF(parametros_manuales!$H$30="Todos",datos_base!$K$11+datos_base!$K$25,0))*parametros_manuales!$I$105+parametros_manuales!$G$30*(datos_base!$K$5+datos_base!$K$21+IF(parametros_manuales!$H$30="Todos",datos_base!$K$12+datos_base!$K$26,0))*parametros_manuales!$I$110)*parametros_manuales!$I$30*parametros_manuales!$J$30</f>
        <v>24787.26914114</v>
      </c>
      <c r="J256" s="9" t="n">
        <f aca="false">(parametros_manuales!$D$30*(datos_base!$K$2+datos_base!$K$18+IF(parametros_manuales!$H$30="Todos",datos_base!$K$9+datos_base!$K$23,0))*parametros_manuales!$J$95+parametros_manuales!$E$30*(datos_base!$K$3+datos_base!$K$19+IF(parametros_manuales!$H$30="Todos",datos_base!$K$10+datos_base!$K$24,0))*parametros_manuales!$J$100+parametros_manuales!$F$30*(datos_base!$K$4+datos_base!$K$20+IF(parametros_manuales!$H$30="Todos",datos_base!$K$11+datos_base!$K$25,0))*parametros_manuales!$J$105+parametros_manuales!$G$30*(datos_base!$K$5+datos_base!$K$21+IF(parametros_manuales!$H$30="Todos",datos_base!$K$12+datos_base!$K$26,0))*parametros_manuales!$J$110)*parametros_manuales!$I$30*parametros_manuales!$J$30</f>
        <v>24787.26914114</v>
      </c>
      <c r="K256" s="9" t="n">
        <f aca="false">(parametros_manuales!$D$30*(datos_base!$K$2+datos_base!$K$18+IF(parametros_manuales!$H$30="Todos",datos_base!$K$9+datos_base!$K$23,0))*parametros_manuales!$K$95+parametros_manuales!$E$30*(datos_base!$K$3+datos_base!$K$19+IF(parametros_manuales!$H$30="Todos",datos_base!$K$10+datos_base!$K$24,0))*parametros_manuales!$K$100+parametros_manuales!$F$30*(datos_base!$K$4+datos_base!$K$20+IF(parametros_manuales!$H$30="Todos",datos_base!$K$11+datos_base!$K$25,0))*parametros_manuales!$K$105+parametros_manuales!$G$30*(datos_base!$K$5+datos_base!$K$21+IF(parametros_manuales!$H$30="Todos",datos_base!$K$12+datos_base!$K$26,0))*parametros_manuales!$K$110)*parametros_manuales!$I$30*parametros_manuales!$J$30</f>
        <v>25196.732367355</v>
      </c>
      <c r="L256" s="9" t="n">
        <f aca="false">(parametros_manuales!$D$30*(datos_base!$K$2+datos_base!$K$18+IF(parametros_manuales!$H$30="Todos",datos_base!$K$9+datos_base!$K$23,0))*parametros_manuales!$L$95+parametros_manuales!$E$30*(datos_base!$K$3+datos_base!$K$19+IF(parametros_manuales!$H$30="Todos",datos_base!$K$10+datos_base!$K$24,0))*parametros_manuales!$L$100+parametros_manuales!$F$30*(datos_base!$K$4+datos_base!$K$20+IF(parametros_manuales!$H$30="Todos",datos_base!$K$11+datos_base!$K$25,0))*parametros_manuales!$L$105+parametros_manuales!$G$30*(datos_base!$K$5+datos_base!$K$21+IF(parametros_manuales!$H$30="Todos",datos_base!$K$12+datos_base!$K$26,0))*parametros_manuales!$L$110)*parametros_manuales!$I$30*parametros_manuales!$J$30</f>
        <v>25606.19559357</v>
      </c>
      <c r="M256" s="9" t="n">
        <f aca="false">(parametros_manuales!$D$30*(datos_base!$K$2+datos_base!$K$18+IF(parametros_manuales!$H$30="Todos",datos_base!$K$9+datos_base!$K$23,0))*parametros_manuales!$M$95+parametros_manuales!$E$30*(datos_base!$K$3+datos_base!$K$19+IF(parametros_manuales!$H$30="Todos",datos_base!$K$10+datos_base!$K$24,0))*parametros_manuales!$M$100+parametros_manuales!$F$30*(datos_base!$K$4+datos_base!$K$20+IF(parametros_manuales!$H$30="Todos",datos_base!$K$11+datos_base!$K$25,0))*parametros_manuales!$M$105+parametros_manuales!$G$30*(datos_base!$K$5+datos_base!$K$21+IF(parametros_manuales!$H$30="Todos",datos_base!$K$12+datos_base!$K$26,0))*parametros_manuales!$M$110)*parametros_manuales!$I$30*parametros_manuales!$J$30</f>
        <v>25606.19559357</v>
      </c>
      <c r="N256" s="9" t="n">
        <f aca="false">SUM(B256:M256)</f>
        <v>284513.284373</v>
      </c>
      <c r="O256" s="9" t="n">
        <f aca="false">MAX(B256:M256)</f>
        <v>25606.19559357</v>
      </c>
      <c r="P256" s="43" t="n">
        <f aca="false">O256/(parametros_manuales!$B$7)</f>
        <v>170.7079706238</v>
      </c>
      <c r="Q256" s="8" t="str">
        <f aca="false">IF(O256=0,"-",INDEX($B$244:$M$244,MATCH(O256,B256:M256,0)))</f>
        <v>Ene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datos_base!$K$2+datos_base!$K$18+IF(parametros_manuales!$H$31="Todos",datos_base!$K$9+datos_base!$K$23,0))*parametros_manuales!$B$95+parametros_manuales!$E$31*(datos_base!$K$3+datos_base!$K$19+IF(parametros_manuales!$H$31="Todos",datos_base!$K$10+datos_base!$K$24,0))*parametros_manuales!$B$100+parametros_manuales!$F$31*(datos_base!$K$4+datos_base!$K$20+IF(parametros_manuales!$H$31="Todos",datos_base!$K$11+datos_base!$K$25,0))*parametros_manuales!$B$105+parametros_manuales!$G$31*(datos_base!$K$5+datos_base!$K$21+IF(parametros_manuales!$H$31="Todos",datos_base!$K$12+datos_base!$K$26,0))*parametros_manuales!$B$110)*parametros_manuales!$I$31*parametros_manuales!$J$31</f>
        <v>512.1239118714</v>
      </c>
      <c r="C257" s="9" t="n">
        <f aca="false">(parametros_manuales!$D$31*(datos_base!$K$2+datos_base!$K$18+IF(parametros_manuales!$H$31="Todos",datos_base!$K$9+datos_base!$K$23,0))*parametros_manuales!$C$95+parametros_manuales!$E$31*(datos_base!$K$3+datos_base!$K$19+IF(parametros_manuales!$H$31="Todos",datos_base!$K$10+datos_base!$K$24,0))*parametros_manuales!$C$100+parametros_manuales!$F$31*(datos_base!$K$4+datos_base!$K$20+IF(parametros_manuales!$H$31="Todos",datos_base!$K$11+datos_base!$K$25,0))*parametros_manuales!$C$105+parametros_manuales!$G$31*(datos_base!$K$5+datos_base!$K$21+IF(parametros_manuales!$H$31="Todos",datos_base!$K$12+datos_base!$K$26,0))*parametros_manuales!$C$110)*parametros_manuales!$I$31*parametros_manuales!$J$31</f>
        <v>495.7453828228</v>
      </c>
      <c r="D257" s="9" t="n">
        <f aca="false">(parametros_manuales!$D$31*(datos_base!$K$2+datos_base!$K$18+IF(parametros_manuales!$H$31="Todos",datos_base!$K$9+datos_base!$K$23,0))*parametros_manuales!$D$95+parametros_manuales!$E$31*(datos_base!$K$3+datos_base!$K$19+IF(parametros_manuales!$H$31="Todos",datos_base!$K$10+datos_base!$K$24,0))*parametros_manuales!$D$100+parametros_manuales!$F$31*(datos_base!$K$4+datos_base!$K$20+IF(parametros_manuales!$H$31="Todos",datos_base!$K$11+datos_base!$K$25,0))*parametros_manuales!$D$105+parametros_manuales!$G$31*(datos_base!$K$5+datos_base!$K$21+IF(parametros_manuales!$H$31="Todos",datos_base!$K$12+datos_base!$K$26,0))*parametros_manuales!$D$110)*parametros_manuales!$I$31*parametros_manuales!$J$31</f>
        <v>463.4105195211</v>
      </c>
      <c r="E257" s="9" t="n">
        <f aca="false">(parametros_manuales!$D$31*(datos_base!$K$2+datos_base!$K$18+IF(parametros_manuales!$H$31="Todos",datos_base!$K$9+datos_base!$K$23,0))*parametros_manuales!$E$95+parametros_manuales!$E$31*(datos_base!$K$3+datos_base!$K$19+IF(parametros_manuales!$H$31="Todos",datos_base!$K$10+datos_base!$K$24,0))*parametros_manuales!$E$100+parametros_manuales!$F$31*(datos_base!$K$4+datos_base!$K$20+IF(parametros_manuales!$H$31="Todos",datos_base!$K$11+datos_base!$K$25,0))*parametros_manuales!$E$105+parametros_manuales!$G$31*(datos_base!$K$5+datos_base!$K$21+IF(parametros_manuales!$H$31="Todos",datos_base!$K$12+datos_base!$K$26,0))*parametros_manuales!$E$110)*parametros_manuales!$I$31*parametros_manuales!$J$31</f>
        <v>443.1484556081</v>
      </c>
      <c r="F257" s="9" t="n">
        <f aca="false">(parametros_manuales!$D$31*(datos_base!$K$2+datos_base!$K$18+IF(parametros_manuales!$H$31="Todos",datos_base!$K$9+datos_base!$K$23,0))*parametros_manuales!$F$95+parametros_manuales!$E$31*(datos_base!$K$3+datos_base!$K$19+IF(parametros_manuales!$H$31="Todos",datos_base!$K$10+datos_base!$K$24,0))*parametros_manuales!$F$100+parametros_manuales!$F$31*(datos_base!$K$4+datos_base!$K$20+IF(parametros_manuales!$H$31="Todos",datos_base!$K$11+datos_base!$K$25,0))*parametros_manuales!$F$105+parametros_manuales!$G$31*(datos_base!$K$5+datos_base!$K$21+IF(parametros_manuales!$H$31="Todos",datos_base!$K$12+datos_base!$K$26,0))*parametros_manuales!$F$110)*parametros_manuales!$I$31*parametros_manuales!$J$31</f>
        <v>414.6971271708</v>
      </c>
      <c r="G257" s="9" t="n">
        <f aca="false">(parametros_manuales!$D$31*(datos_base!$K$2+datos_base!$K$18+IF(parametros_manuales!$H$31="Todos",datos_base!$K$9+datos_base!$K$23,0))*parametros_manuales!$G$95+parametros_manuales!$E$31*(datos_base!$K$3+datos_base!$K$19+IF(parametros_manuales!$H$31="Todos",datos_base!$K$10+datos_base!$K$24,0))*parametros_manuales!$G$100+parametros_manuales!$F$31*(datos_base!$K$4+datos_base!$K$20+IF(parametros_manuales!$H$31="Todos",datos_base!$K$11+datos_base!$K$25,0))*parametros_manuales!$G$105+parametros_manuales!$G$31*(datos_base!$K$5+datos_base!$K$21+IF(parametros_manuales!$H$31="Todos",datos_base!$K$12+datos_base!$K$26,0))*parametros_manuales!$G$110)*parametros_manuales!$I$31*parametros_manuales!$J$31</f>
        <v>406.5078626465</v>
      </c>
      <c r="H257" s="9" t="n">
        <f aca="false">(parametros_manuales!$D$31*(datos_base!$K$2+datos_base!$K$18+IF(parametros_manuales!$H$31="Todos",datos_base!$K$9+datos_base!$K$23,0))*parametros_manuales!$H$95+parametros_manuales!$E$31*(datos_base!$K$3+datos_base!$K$19+IF(parametros_manuales!$H$31="Todos",datos_base!$K$10+datos_base!$K$24,0))*parametros_manuales!$H$100+parametros_manuales!$F$31*(datos_base!$K$4+datos_base!$K$20+IF(parametros_manuales!$H$31="Todos",datos_base!$K$11+datos_base!$K$25,0))*parametros_manuales!$H$105+parametros_manuales!$G$31*(datos_base!$K$5+datos_base!$K$21+IF(parametros_manuales!$H$31="Todos",datos_base!$K$12+datos_base!$K$26,0))*parametros_manuales!$H$110)*parametros_manuales!$I$31*parametros_manuales!$J$31</f>
        <v>434.9591910838</v>
      </c>
      <c r="I257" s="9" t="n">
        <f aca="false">(parametros_manuales!$D$31*(datos_base!$K$2+datos_base!$K$18+IF(parametros_manuales!$H$31="Todos",datos_base!$K$9+datos_base!$K$23,0))*parametros_manuales!$I$95+parametros_manuales!$E$31*(datos_base!$K$3+datos_base!$K$19+IF(parametros_manuales!$H$31="Todos",datos_base!$K$10+datos_base!$K$24,0))*parametros_manuales!$I$100+parametros_manuales!$F$31*(datos_base!$K$4+datos_base!$K$20+IF(parametros_manuales!$H$31="Todos",datos_base!$K$11+datos_base!$K$25,0))*parametros_manuales!$I$105+parametros_manuales!$G$31*(datos_base!$K$5+datos_base!$K$21+IF(parametros_manuales!$H$31="Todos",datos_base!$K$12+datos_base!$K$26,0))*parametros_manuales!$I$110)*parametros_manuales!$I$31*parametros_manuales!$J$31</f>
        <v>495.7453828228</v>
      </c>
      <c r="J257" s="9" t="n">
        <f aca="false">(parametros_manuales!$D$31*(datos_base!$K$2+datos_base!$K$18+IF(parametros_manuales!$H$31="Todos",datos_base!$K$9+datos_base!$K$23,0))*parametros_manuales!$J$95+parametros_manuales!$E$31*(datos_base!$K$3+datos_base!$K$19+IF(parametros_manuales!$H$31="Todos",datos_base!$K$10+datos_base!$K$24,0))*parametros_manuales!$J$100+parametros_manuales!$F$31*(datos_base!$K$4+datos_base!$K$20+IF(parametros_manuales!$H$31="Todos",datos_base!$K$11+datos_base!$K$25,0))*parametros_manuales!$J$105+parametros_manuales!$G$31*(datos_base!$K$5+datos_base!$K$21+IF(parametros_manuales!$H$31="Todos",datos_base!$K$12+datos_base!$K$26,0))*parametros_manuales!$J$110)*parametros_manuales!$I$31*parametros_manuales!$J$31</f>
        <v>495.7453828228</v>
      </c>
      <c r="K257" s="9" t="n">
        <f aca="false">(parametros_manuales!$D$31*(datos_base!$K$2+datos_base!$K$18+IF(parametros_manuales!$H$31="Todos",datos_base!$K$9+datos_base!$K$23,0))*parametros_manuales!$K$95+parametros_manuales!$E$31*(datos_base!$K$3+datos_base!$K$19+IF(parametros_manuales!$H$31="Todos",datos_base!$K$10+datos_base!$K$24,0))*parametros_manuales!$K$100+parametros_manuales!$F$31*(datos_base!$K$4+datos_base!$K$20+IF(parametros_manuales!$H$31="Todos",datos_base!$K$11+datos_base!$K$25,0))*parametros_manuales!$K$105+parametros_manuales!$G$31*(datos_base!$K$5+datos_base!$K$21+IF(parametros_manuales!$H$31="Todos",datos_base!$K$12+datos_base!$K$26,0))*parametros_manuales!$K$110)*parametros_manuales!$I$31*parametros_manuales!$J$31</f>
        <v>503.9346473471</v>
      </c>
      <c r="L257" s="9" t="n">
        <f aca="false">(parametros_manuales!$D$31*(datos_base!$K$2+datos_base!$K$18+IF(parametros_manuales!$H$31="Todos",datos_base!$K$9+datos_base!$K$23,0))*parametros_manuales!$L$95+parametros_manuales!$E$31*(datos_base!$K$3+datos_base!$K$19+IF(parametros_manuales!$H$31="Todos",datos_base!$K$10+datos_base!$K$24,0))*parametros_manuales!$L$100+parametros_manuales!$F$31*(datos_base!$K$4+datos_base!$K$20+IF(parametros_manuales!$H$31="Todos",datos_base!$K$11+datos_base!$K$25,0))*parametros_manuales!$L$105+parametros_manuales!$G$31*(datos_base!$K$5+datos_base!$K$21+IF(parametros_manuales!$H$31="Todos",datos_base!$K$12+datos_base!$K$26,0))*parametros_manuales!$L$110)*parametros_manuales!$I$31*parametros_manuales!$J$31</f>
        <v>512.1239118714</v>
      </c>
      <c r="M257" s="9" t="n">
        <f aca="false">(parametros_manuales!$D$31*(datos_base!$K$2+datos_base!$K$18+IF(parametros_manuales!$H$31="Todos",datos_base!$K$9+datos_base!$K$23,0))*parametros_manuales!$M$95+parametros_manuales!$E$31*(datos_base!$K$3+datos_base!$K$19+IF(parametros_manuales!$H$31="Todos",datos_base!$K$10+datos_base!$K$24,0))*parametros_manuales!$M$100+parametros_manuales!$F$31*(datos_base!$K$4+datos_base!$K$20+IF(parametros_manuales!$H$31="Todos",datos_base!$K$11+datos_base!$K$25,0))*parametros_manuales!$M$105+parametros_manuales!$G$31*(datos_base!$K$5+datos_base!$K$21+IF(parametros_manuales!$H$31="Todos",datos_base!$K$12+datos_base!$K$26,0))*parametros_manuales!$M$110)*parametros_manuales!$I$31*parametros_manuales!$J$31</f>
        <v>512.1239118714</v>
      </c>
      <c r="N257" s="9" t="n">
        <f aca="false">SUM(B257:M257)</f>
        <v>5690.26568746</v>
      </c>
      <c r="O257" s="9" t="n">
        <f aca="false">MAX(B257:M257)</f>
        <v>512.1239118714</v>
      </c>
      <c r="P257" s="43" t="n">
        <f aca="false">O257/(parametros_manuales!$B$7)</f>
        <v>3.414159412476</v>
      </c>
      <c r="Q257" s="8" t="str">
        <f aca="false">IF(O257=0,"-",INDEX($B$244:$M$244,MATCH(O257,B257:M257,0)))</f>
        <v>Ene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datos_base!$K$2+datos_base!$K$18+IF(parametros_manuales!$H$32="Todos",datos_base!$K$9+datos_base!$K$23,0))*parametros_manuales!$B$95+parametros_manuales!$E$32*(datos_base!$K$3+datos_base!$K$19+IF(parametros_manuales!$H$32="Todos",datos_base!$K$10+datos_base!$K$24,0))*parametros_manuales!$B$100+parametros_manuales!$F$32*(datos_base!$K$4+datos_base!$K$20+IF(parametros_manuales!$H$32="Todos",datos_base!$K$11+datos_base!$K$25,0))*parametros_manuales!$B$105+parametros_manuales!$G$32*(datos_base!$K$5+datos_base!$K$21+IF(parametros_manuales!$H$32="Todos",datos_base!$K$12+datos_base!$K$26,0))*parametros_manuales!$B$110)*parametros_manuales!$I$32*parametros_manuales!$J$32</f>
        <v>25606.19559357</v>
      </c>
      <c r="C258" s="9" t="n">
        <f aca="false">(parametros_manuales!$D$32*(datos_base!$K$2+datos_base!$K$18+IF(parametros_manuales!$H$32="Todos",datos_base!$K$9+datos_base!$K$23,0))*parametros_manuales!$C$95+parametros_manuales!$E$32*(datos_base!$K$3+datos_base!$K$19+IF(parametros_manuales!$H$32="Todos",datos_base!$K$10+datos_base!$K$24,0))*parametros_manuales!$C$100+parametros_manuales!$F$32*(datos_base!$K$4+datos_base!$K$20+IF(parametros_manuales!$H$32="Todos",datos_base!$K$11+datos_base!$K$25,0))*parametros_manuales!$C$105+parametros_manuales!$G$32*(datos_base!$K$5+datos_base!$K$21+IF(parametros_manuales!$H$32="Todos",datos_base!$K$12+datos_base!$K$26,0))*parametros_manuales!$C$110)*parametros_manuales!$I$32*parametros_manuales!$J$32</f>
        <v>24787.26914114</v>
      </c>
      <c r="D258" s="9" t="n">
        <f aca="false">(parametros_manuales!$D$32*(datos_base!$K$2+datos_base!$K$18+IF(parametros_manuales!$H$32="Todos",datos_base!$K$9+datos_base!$K$23,0))*parametros_manuales!$D$95+parametros_manuales!$E$32*(datos_base!$K$3+datos_base!$K$19+IF(parametros_manuales!$H$32="Todos",datos_base!$K$10+datos_base!$K$24,0))*parametros_manuales!$D$100+parametros_manuales!$F$32*(datos_base!$K$4+datos_base!$K$20+IF(parametros_manuales!$H$32="Todos",datos_base!$K$11+datos_base!$K$25,0))*parametros_manuales!$D$105+parametros_manuales!$G$32*(datos_base!$K$5+datos_base!$K$21+IF(parametros_manuales!$H$32="Todos",datos_base!$K$12+datos_base!$K$26,0))*parametros_manuales!$D$110)*parametros_manuales!$I$32*parametros_manuales!$J$32</f>
        <v>23170.525976055</v>
      </c>
      <c r="E258" s="9" t="n">
        <f aca="false">(parametros_manuales!$D$32*(datos_base!$K$2+datos_base!$K$18+IF(parametros_manuales!$H$32="Todos",datos_base!$K$9+datos_base!$K$23,0))*parametros_manuales!$E$95+parametros_manuales!$E$32*(datos_base!$K$3+datos_base!$K$19+IF(parametros_manuales!$H$32="Todos",datos_base!$K$10+datos_base!$K$24,0))*parametros_manuales!$E$100+parametros_manuales!$F$32*(datos_base!$K$4+datos_base!$K$20+IF(parametros_manuales!$H$32="Todos",datos_base!$K$11+datos_base!$K$25,0))*parametros_manuales!$E$105+parametros_manuales!$G$32*(datos_base!$K$5+datos_base!$K$21+IF(parametros_manuales!$H$32="Todos",datos_base!$K$12+datos_base!$K$26,0))*parametros_manuales!$E$110)*parametros_manuales!$I$32*parametros_manuales!$J$32</f>
        <v>22157.422780405</v>
      </c>
      <c r="F258" s="9" t="n">
        <f aca="false">(parametros_manuales!$D$32*(datos_base!$K$2+datos_base!$K$18+IF(parametros_manuales!$H$32="Todos",datos_base!$K$9+datos_base!$K$23,0))*parametros_manuales!$F$95+parametros_manuales!$E$32*(datos_base!$K$3+datos_base!$K$19+IF(parametros_manuales!$H$32="Todos",datos_base!$K$10+datos_base!$K$24,0))*parametros_manuales!$F$100+parametros_manuales!$F$32*(datos_base!$K$4+datos_base!$K$20+IF(parametros_manuales!$H$32="Todos",datos_base!$K$11+datos_base!$K$25,0))*parametros_manuales!$F$105+parametros_manuales!$G$32*(datos_base!$K$5+datos_base!$K$21+IF(parametros_manuales!$H$32="Todos",datos_base!$K$12+datos_base!$K$26,0))*parametros_manuales!$F$110)*parametros_manuales!$I$32*parametros_manuales!$J$32</f>
        <v>20734.85635854</v>
      </c>
      <c r="G258" s="9" t="n">
        <f aca="false">(parametros_manuales!$D$32*(datos_base!$K$2+datos_base!$K$18+IF(parametros_manuales!$H$32="Todos",datos_base!$K$9+datos_base!$K$23,0))*parametros_manuales!$G$95+parametros_manuales!$E$32*(datos_base!$K$3+datos_base!$K$19+IF(parametros_manuales!$H$32="Todos",datos_base!$K$10+datos_base!$K$24,0))*parametros_manuales!$G$100+parametros_manuales!$F$32*(datos_base!$K$4+datos_base!$K$20+IF(parametros_manuales!$H$32="Todos",datos_base!$K$11+datos_base!$K$25,0))*parametros_manuales!$G$105+parametros_manuales!$G$32*(datos_base!$K$5+datos_base!$K$21+IF(parametros_manuales!$H$32="Todos",datos_base!$K$12+datos_base!$K$26,0))*parametros_manuales!$G$110)*parametros_manuales!$I$32*parametros_manuales!$J$32</f>
        <v>20325.393132325</v>
      </c>
      <c r="H258" s="9" t="n">
        <f aca="false">(parametros_manuales!$D$32*(datos_base!$K$2+datos_base!$K$18+IF(parametros_manuales!$H$32="Todos",datos_base!$K$9+datos_base!$K$23,0))*parametros_manuales!$H$95+parametros_manuales!$E$32*(datos_base!$K$3+datos_base!$K$19+IF(parametros_manuales!$H$32="Todos",datos_base!$K$10+datos_base!$K$24,0))*parametros_manuales!$H$100+parametros_manuales!$F$32*(datos_base!$K$4+datos_base!$K$20+IF(parametros_manuales!$H$32="Todos",datos_base!$K$11+datos_base!$K$25,0))*parametros_manuales!$H$105+parametros_manuales!$G$32*(datos_base!$K$5+datos_base!$K$21+IF(parametros_manuales!$H$32="Todos",datos_base!$K$12+datos_base!$K$26,0))*parametros_manuales!$H$110)*parametros_manuales!$I$32*parametros_manuales!$J$32</f>
        <v>21747.95955419</v>
      </c>
      <c r="I258" s="9" t="n">
        <f aca="false">(parametros_manuales!$D$32*(datos_base!$K$2+datos_base!$K$18+IF(parametros_manuales!$H$32="Todos",datos_base!$K$9+datos_base!$K$23,0))*parametros_manuales!$I$95+parametros_manuales!$E$32*(datos_base!$K$3+datos_base!$K$19+IF(parametros_manuales!$H$32="Todos",datos_base!$K$10+datos_base!$K$24,0))*parametros_manuales!$I$100+parametros_manuales!$F$32*(datos_base!$K$4+datos_base!$K$20+IF(parametros_manuales!$H$32="Todos",datos_base!$K$11+datos_base!$K$25,0))*parametros_manuales!$I$105+parametros_manuales!$G$32*(datos_base!$K$5+datos_base!$K$21+IF(parametros_manuales!$H$32="Todos",datos_base!$K$12+datos_base!$K$26,0))*parametros_manuales!$I$110)*parametros_manuales!$I$32*parametros_manuales!$J$32</f>
        <v>24787.26914114</v>
      </c>
      <c r="J258" s="9" t="n">
        <f aca="false">(parametros_manuales!$D$32*(datos_base!$K$2+datos_base!$K$18+IF(parametros_manuales!$H$32="Todos",datos_base!$K$9+datos_base!$K$23,0))*parametros_manuales!$J$95+parametros_manuales!$E$32*(datos_base!$K$3+datos_base!$K$19+IF(parametros_manuales!$H$32="Todos",datos_base!$K$10+datos_base!$K$24,0))*parametros_manuales!$J$100+parametros_manuales!$F$32*(datos_base!$K$4+datos_base!$K$20+IF(parametros_manuales!$H$32="Todos",datos_base!$K$11+datos_base!$K$25,0))*parametros_manuales!$J$105+parametros_manuales!$G$32*(datos_base!$K$5+datos_base!$K$21+IF(parametros_manuales!$H$32="Todos",datos_base!$K$12+datos_base!$K$26,0))*parametros_manuales!$J$110)*parametros_manuales!$I$32*parametros_manuales!$J$32</f>
        <v>24787.26914114</v>
      </c>
      <c r="K258" s="9" t="n">
        <f aca="false">(parametros_manuales!$D$32*(datos_base!$K$2+datos_base!$K$18+IF(parametros_manuales!$H$32="Todos",datos_base!$K$9+datos_base!$K$23,0))*parametros_manuales!$K$95+parametros_manuales!$E$32*(datos_base!$K$3+datos_base!$K$19+IF(parametros_manuales!$H$32="Todos",datos_base!$K$10+datos_base!$K$24,0))*parametros_manuales!$K$100+parametros_manuales!$F$32*(datos_base!$K$4+datos_base!$K$20+IF(parametros_manuales!$H$32="Todos",datos_base!$K$11+datos_base!$K$25,0))*parametros_manuales!$K$105+parametros_manuales!$G$32*(datos_base!$K$5+datos_base!$K$21+IF(parametros_manuales!$H$32="Todos",datos_base!$K$12+datos_base!$K$26,0))*parametros_manuales!$K$110)*parametros_manuales!$I$32*parametros_manuales!$J$32</f>
        <v>25196.732367355</v>
      </c>
      <c r="L258" s="9" t="n">
        <f aca="false">(parametros_manuales!$D$32*(datos_base!$K$2+datos_base!$K$18+IF(parametros_manuales!$H$32="Todos",datos_base!$K$9+datos_base!$K$23,0))*parametros_manuales!$L$95+parametros_manuales!$E$32*(datos_base!$K$3+datos_base!$K$19+IF(parametros_manuales!$H$32="Todos",datos_base!$K$10+datos_base!$K$24,0))*parametros_manuales!$L$100+parametros_manuales!$F$32*(datos_base!$K$4+datos_base!$K$20+IF(parametros_manuales!$H$32="Todos",datos_base!$K$11+datos_base!$K$25,0))*parametros_manuales!$L$105+parametros_manuales!$G$32*(datos_base!$K$5+datos_base!$K$21+IF(parametros_manuales!$H$32="Todos",datos_base!$K$12+datos_base!$K$26,0))*parametros_manuales!$L$110)*parametros_manuales!$I$32*parametros_manuales!$J$32</f>
        <v>25606.19559357</v>
      </c>
      <c r="M258" s="9" t="n">
        <f aca="false">(parametros_manuales!$D$32*(datos_base!$K$2+datos_base!$K$18+IF(parametros_manuales!$H$32="Todos",datos_base!$K$9+datos_base!$K$23,0))*parametros_manuales!$M$95+parametros_manuales!$E$32*(datos_base!$K$3+datos_base!$K$19+IF(parametros_manuales!$H$32="Todos",datos_base!$K$10+datos_base!$K$24,0))*parametros_manuales!$M$100+parametros_manuales!$F$32*(datos_base!$K$4+datos_base!$K$20+IF(parametros_manuales!$H$32="Todos",datos_base!$K$11+datos_base!$K$25,0))*parametros_manuales!$M$105+parametros_manuales!$G$32*(datos_base!$K$5+datos_base!$K$21+IF(parametros_manuales!$H$32="Todos",datos_base!$K$12+datos_base!$K$26,0))*parametros_manuales!$M$110)*parametros_manuales!$I$32*parametros_manuales!$J$32</f>
        <v>25606.19559357</v>
      </c>
      <c r="N258" s="9" t="n">
        <f aca="false">SUM(B258:M258)</f>
        <v>284513.284373</v>
      </c>
      <c r="O258" s="9" t="n">
        <f aca="false">MAX(B258:M258)</f>
        <v>25606.19559357</v>
      </c>
      <c r="P258" s="43" t="n">
        <f aca="false">O258/(parametros_manuales!$B$7)</f>
        <v>170.7079706238</v>
      </c>
      <c r="Q258" s="8" t="str">
        <f aca="false">IF(O258=0,"-",INDEX($B$244:$M$244,MATCH(O258,B258:M258,0)))</f>
        <v>Ene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datos_base!$K$2+datos_base!$K$18+IF(parametros_manuales!$H$33="Todos",datos_base!$K$9+datos_base!$K$23,0))*parametros_manuales!$B$95+parametros_manuales!$E$33*(datos_base!$K$3+datos_base!$K$19+IF(parametros_manuales!$H$33="Todos",datos_base!$K$10+datos_base!$K$24,0))*parametros_manuales!$B$100+parametros_manuales!$F$33*(datos_base!$K$4+datos_base!$K$20+IF(parametros_manuales!$H$33="Todos",datos_base!$K$11+datos_base!$K$25,0))*parametros_manuales!$B$105+parametros_manuales!$G$33*(datos_base!$K$5+datos_base!$K$21+IF(parametros_manuales!$H$33="Todos",datos_base!$K$12+datos_base!$K$26,0))*parametros_manuales!$B$110)*parametros_manuales!$I$33*parametros_manuales!$J$33</f>
        <v>25606.19559357</v>
      </c>
      <c r="C259" s="9" t="n">
        <f aca="false">(parametros_manuales!$D$33*(datos_base!$K$2+datos_base!$K$18+IF(parametros_manuales!$H$33="Todos",datos_base!$K$9+datos_base!$K$23,0))*parametros_manuales!$C$95+parametros_manuales!$E$33*(datos_base!$K$3+datos_base!$K$19+IF(parametros_manuales!$H$33="Todos",datos_base!$K$10+datos_base!$K$24,0))*parametros_manuales!$C$100+parametros_manuales!$F$33*(datos_base!$K$4+datos_base!$K$20+IF(parametros_manuales!$H$33="Todos",datos_base!$K$11+datos_base!$K$25,0))*parametros_manuales!$C$105+parametros_manuales!$G$33*(datos_base!$K$5+datos_base!$K$21+IF(parametros_manuales!$H$33="Todos",datos_base!$K$12+datos_base!$K$26,0))*parametros_manuales!$C$110)*parametros_manuales!$I$33*parametros_manuales!$J$33</f>
        <v>24787.26914114</v>
      </c>
      <c r="D259" s="9" t="n">
        <f aca="false">(parametros_manuales!$D$33*(datos_base!$K$2+datos_base!$K$18+IF(parametros_manuales!$H$33="Todos",datos_base!$K$9+datos_base!$K$23,0))*parametros_manuales!$D$95+parametros_manuales!$E$33*(datos_base!$K$3+datos_base!$K$19+IF(parametros_manuales!$H$33="Todos",datos_base!$K$10+datos_base!$K$24,0))*parametros_manuales!$D$100+parametros_manuales!$F$33*(datos_base!$K$4+datos_base!$K$20+IF(parametros_manuales!$H$33="Todos",datos_base!$K$11+datos_base!$K$25,0))*parametros_manuales!$D$105+parametros_manuales!$G$33*(datos_base!$K$5+datos_base!$K$21+IF(parametros_manuales!$H$33="Todos",datos_base!$K$12+datos_base!$K$26,0))*parametros_manuales!$D$110)*parametros_manuales!$I$33*parametros_manuales!$J$33</f>
        <v>23170.525976055</v>
      </c>
      <c r="E259" s="9" t="n">
        <f aca="false">(parametros_manuales!$D$33*(datos_base!$K$2+datos_base!$K$18+IF(parametros_manuales!$H$33="Todos",datos_base!$K$9+datos_base!$K$23,0))*parametros_manuales!$E$95+parametros_manuales!$E$33*(datos_base!$K$3+datos_base!$K$19+IF(parametros_manuales!$H$33="Todos",datos_base!$K$10+datos_base!$K$24,0))*parametros_manuales!$E$100+parametros_manuales!$F$33*(datos_base!$K$4+datos_base!$K$20+IF(parametros_manuales!$H$33="Todos",datos_base!$K$11+datos_base!$K$25,0))*parametros_manuales!$E$105+parametros_manuales!$G$33*(datos_base!$K$5+datos_base!$K$21+IF(parametros_manuales!$H$33="Todos",datos_base!$K$12+datos_base!$K$26,0))*parametros_manuales!$E$110)*parametros_manuales!$I$33*parametros_manuales!$J$33</f>
        <v>22157.422780405</v>
      </c>
      <c r="F259" s="9" t="n">
        <f aca="false">(parametros_manuales!$D$33*(datos_base!$K$2+datos_base!$K$18+IF(parametros_manuales!$H$33="Todos",datos_base!$K$9+datos_base!$K$23,0))*parametros_manuales!$F$95+parametros_manuales!$E$33*(datos_base!$K$3+datos_base!$K$19+IF(parametros_manuales!$H$33="Todos",datos_base!$K$10+datos_base!$K$24,0))*parametros_manuales!$F$100+parametros_manuales!$F$33*(datos_base!$K$4+datos_base!$K$20+IF(parametros_manuales!$H$33="Todos",datos_base!$K$11+datos_base!$K$25,0))*parametros_manuales!$F$105+parametros_manuales!$G$33*(datos_base!$K$5+datos_base!$K$21+IF(parametros_manuales!$H$33="Todos",datos_base!$K$12+datos_base!$K$26,0))*parametros_manuales!$F$110)*parametros_manuales!$I$33*parametros_manuales!$J$33</f>
        <v>20734.85635854</v>
      </c>
      <c r="G259" s="9" t="n">
        <f aca="false">(parametros_manuales!$D$33*(datos_base!$K$2+datos_base!$K$18+IF(parametros_manuales!$H$33="Todos",datos_base!$K$9+datos_base!$K$23,0))*parametros_manuales!$G$95+parametros_manuales!$E$33*(datos_base!$K$3+datos_base!$K$19+IF(parametros_manuales!$H$33="Todos",datos_base!$K$10+datos_base!$K$24,0))*parametros_manuales!$G$100+parametros_manuales!$F$33*(datos_base!$K$4+datos_base!$K$20+IF(parametros_manuales!$H$33="Todos",datos_base!$K$11+datos_base!$K$25,0))*parametros_manuales!$G$105+parametros_manuales!$G$33*(datos_base!$K$5+datos_base!$K$21+IF(parametros_manuales!$H$33="Todos",datos_base!$K$12+datos_base!$K$26,0))*parametros_manuales!$G$110)*parametros_manuales!$I$33*parametros_manuales!$J$33</f>
        <v>20325.393132325</v>
      </c>
      <c r="H259" s="9" t="n">
        <f aca="false">(parametros_manuales!$D$33*(datos_base!$K$2+datos_base!$K$18+IF(parametros_manuales!$H$33="Todos",datos_base!$K$9+datos_base!$K$23,0))*parametros_manuales!$H$95+parametros_manuales!$E$33*(datos_base!$K$3+datos_base!$K$19+IF(parametros_manuales!$H$33="Todos",datos_base!$K$10+datos_base!$K$24,0))*parametros_manuales!$H$100+parametros_manuales!$F$33*(datos_base!$K$4+datos_base!$K$20+IF(parametros_manuales!$H$33="Todos",datos_base!$K$11+datos_base!$K$25,0))*parametros_manuales!$H$105+parametros_manuales!$G$33*(datos_base!$K$5+datos_base!$K$21+IF(parametros_manuales!$H$33="Todos",datos_base!$K$12+datos_base!$K$26,0))*parametros_manuales!$H$110)*parametros_manuales!$I$33*parametros_manuales!$J$33</f>
        <v>21747.95955419</v>
      </c>
      <c r="I259" s="9" t="n">
        <f aca="false">(parametros_manuales!$D$33*(datos_base!$K$2+datos_base!$K$18+IF(parametros_manuales!$H$33="Todos",datos_base!$K$9+datos_base!$K$23,0))*parametros_manuales!$I$95+parametros_manuales!$E$33*(datos_base!$K$3+datos_base!$K$19+IF(parametros_manuales!$H$33="Todos",datos_base!$K$10+datos_base!$K$24,0))*parametros_manuales!$I$100+parametros_manuales!$F$33*(datos_base!$K$4+datos_base!$K$20+IF(parametros_manuales!$H$33="Todos",datos_base!$K$11+datos_base!$K$25,0))*parametros_manuales!$I$105+parametros_manuales!$G$33*(datos_base!$K$5+datos_base!$K$21+IF(parametros_manuales!$H$33="Todos",datos_base!$K$12+datos_base!$K$26,0))*parametros_manuales!$I$110)*parametros_manuales!$I$33*parametros_manuales!$J$33</f>
        <v>24787.26914114</v>
      </c>
      <c r="J259" s="9" t="n">
        <f aca="false">(parametros_manuales!$D$33*(datos_base!$K$2+datos_base!$K$18+IF(parametros_manuales!$H$33="Todos",datos_base!$K$9+datos_base!$K$23,0))*parametros_manuales!$J$95+parametros_manuales!$E$33*(datos_base!$K$3+datos_base!$K$19+IF(parametros_manuales!$H$33="Todos",datos_base!$K$10+datos_base!$K$24,0))*parametros_manuales!$J$100+parametros_manuales!$F$33*(datos_base!$K$4+datos_base!$K$20+IF(parametros_manuales!$H$33="Todos",datos_base!$K$11+datos_base!$K$25,0))*parametros_manuales!$J$105+parametros_manuales!$G$33*(datos_base!$K$5+datos_base!$K$21+IF(parametros_manuales!$H$33="Todos",datos_base!$K$12+datos_base!$K$26,0))*parametros_manuales!$J$110)*parametros_manuales!$I$33*parametros_manuales!$J$33</f>
        <v>24787.26914114</v>
      </c>
      <c r="K259" s="9" t="n">
        <f aca="false">(parametros_manuales!$D$33*(datos_base!$K$2+datos_base!$K$18+IF(parametros_manuales!$H$33="Todos",datos_base!$K$9+datos_base!$K$23,0))*parametros_manuales!$K$95+parametros_manuales!$E$33*(datos_base!$K$3+datos_base!$K$19+IF(parametros_manuales!$H$33="Todos",datos_base!$K$10+datos_base!$K$24,0))*parametros_manuales!$K$100+parametros_manuales!$F$33*(datos_base!$K$4+datos_base!$K$20+IF(parametros_manuales!$H$33="Todos",datos_base!$K$11+datos_base!$K$25,0))*parametros_manuales!$K$105+parametros_manuales!$G$33*(datos_base!$K$5+datos_base!$K$21+IF(parametros_manuales!$H$33="Todos",datos_base!$K$12+datos_base!$K$26,0))*parametros_manuales!$K$110)*parametros_manuales!$I$33*parametros_manuales!$J$33</f>
        <v>25196.732367355</v>
      </c>
      <c r="L259" s="9" t="n">
        <f aca="false">(parametros_manuales!$D$33*(datos_base!$K$2+datos_base!$K$18+IF(parametros_manuales!$H$33="Todos",datos_base!$K$9+datos_base!$K$23,0))*parametros_manuales!$L$95+parametros_manuales!$E$33*(datos_base!$K$3+datos_base!$K$19+IF(parametros_manuales!$H$33="Todos",datos_base!$K$10+datos_base!$K$24,0))*parametros_manuales!$L$100+parametros_manuales!$F$33*(datos_base!$K$4+datos_base!$K$20+IF(parametros_manuales!$H$33="Todos",datos_base!$K$11+datos_base!$K$25,0))*parametros_manuales!$L$105+parametros_manuales!$G$33*(datos_base!$K$5+datos_base!$K$21+IF(parametros_manuales!$H$33="Todos",datos_base!$K$12+datos_base!$K$26,0))*parametros_manuales!$L$110)*parametros_manuales!$I$33*parametros_manuales!$J$33</f>
        <v>25606.19559357</v>
      </c>
      <c r="M259" s="9" t="n">
        <f aca="false">(parametros_manuales!$D$33*(datos_base!$K$2+datos_base!$K$18+IF(parametros_manuales!$H$33="Todos",datos_base!$K$9+datos_base!$K$23,0))*parametros_manuales!$M$95+parametros_manuales!$E$33*(datos_base!$K$3+datos_base!$K$19+IF(parametros_manuales!$H$33="Todos",datos_base!$K$10+datos_base!$K$24,0))*parametros_manuales!$M$100+parametros_manuales!$F$33*(datos_base!$K$4+datos_base!$K$20+IF(parametros_manuales!$H$33="Todos",datos_base!$K$11+datos_base!$K$25,0))*parametros_manuales!$M$105+parametros_manuales!$G$33*(datos_base!$K$5+datos_base!$K$21+IF(parametros_manuales!$H$33="Todos",datos_base!$K$12+datos_base!$K$26,0))*parametros_manuales!$M$110)*parametros_manuales!$I$33*parametros_manuales!$J$33</f>
        <v>25606.19559357</v>
      </c>
      <c r="N259" s="9" t="n">
        <f aca="false">SUM(B259:M259)</f>
        <v>284513.284373</v>
      </c>
      <c r="O259" s="9" t="n">
        <f aca="false">MAX(B259:M259)</f>
        <v>25606.19559357</v>
      </c>
      <c r="P259" s="43" t="n">
        <f aca="false">O259/(parametros_manuales!$B$7)</f>
        <v>170.7079706238</v>
      </c>
      <c r="Q259" s="8" t="str">
        <f aca="false">IF(O259=0,"-",INDEX($B$244:$M$244,MATCH(O259,B259:M259,0)))</f>
        <v>Ene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datos_base!$K$2+datos_base!$K$18+IF(parametros_manuales!$H$34="Todos",datos_base!$K$9+datos_base!$K$23,0))*parametros_manuales!$B$95+parametros_manuales!$E$34*(datos_base!$K$3+datos_base!$K$19+IF(parametros_manuales!$H$34="Todos",datos_base!$K$10+datos_base!$K$24,0))*parametros_manuales!$B$100+parametros_manuales!$F$34*(datos_base!$K$4+datos_base!$K$20+IF(parametros_manuales!$H$34="Todos",datos_base!$K$11+datos_base!$K$25,0))*parametros_manuales!$B$105+parametros_manuales!$G$34*(datos_base!$K$5+datos_base!$K$21+IF(parametros_manuales!$H$34="Todos",datos_base!$K$12+datos_base!$K$26,0))*parametros_manuales!$B$110)*parametros_manuales!$I$34*parametros_manuales!$J$34</f>
        <v>25606.19559357</v>
      </c>
      <c r="C260" s="9" t="n">
        <f aca="false">(parametros_manuales!$D$34*(datos_base!$K$2+datos_base!$K$18+IF(parametros_manuales!$H$34="Todos",datos_base!$K$9+datos_base!$K$23,0))*parametros_manuales!$C$95+parametros_manuales!$E$34*(datos_base!$K$3+datos_base!$K$19+IF(parametros_manuales!$H$34="Todos",datos_base!$K$10+datos_base!$K$24,0))*parametros_manuales!$C$100+parametros_manuales!$F$34*(datos_base!$K$4+datos_base!$K$20+IF(parametros_manuales!$H$34="Todos",datos_base!$K$11+datos_base!$K$25,0))*parametros_manuales!$C$105+parametros_manuales!$G$34*(datos_base!$K$5+datos_base!$K$21+IF(parametros_manuales!$H$34="Todos",datos_base!$K$12+datos_base!$K$26,0))*parametros_manuales!$C$110)*parametros_manuales!$I$34*parametros_manuales!$J$34</f>
        <v>24787.26914114</v>
      </c>
      <c r="D260" s="9" t="n">
        <f aca="false">(parametros_manuales!$D$34*(datos_base!$K$2+datos_base!$K$18+IF(parametros_manuales!$H$34="Todos",datos_base!$K$9+datos_base!$K$23,0))*parametros_manuales!$D$95+parametros_manuales!$E$34*(datos_base!$K$3+datos_base!$K$19+IF(parametros_manuales!$H$34="Todos",datos_base!$K$10+datos_base!$K$24,0))*parametros_manuales!$D$100+parametros_manuales!$F$34*(datos_base!$K$4+datos_base!$K$20+IF(parametros_manuales!$H$34="Todos",datos_base!$K$11+datos_base!$K$25,0))*parametros_manuales!$D$105+parametros_manuales!$G$34*(datos_base!$K$5+datos_base!$K$21+IF(parametros_manuales!$H$34="Todos",datos_base!$K$12+datos_base!$K$26,0))*parametros_manuales!$D$110)*parametros_manuales!$I$34*parametros_manuales!$J$34</f>
        <v>23170.525976055</v>
      </c>
      <c r="E260" s="9" t="n">
        <f aca="false">(parametros_manuales!$D$34*(datos_base!$K$2+datos_base!$K$18+IF(parametros_manuales!$H$34="Todos",datos_base!$K$9+datos_base!$K$23,0))*parametros_manuales!$E$95+parametros_manuales!$E$34*(datos_base!$K$3+datos_base!$K$19+IF(parametros_manuales!$H$34="Todos",datos_base!$K$10+datos_base!$K$24,0))*parametros_manuales!$E$100+parametros_manuales!$F$34*(datos_base!$K$4+datos_base!$K$20+IF(parametros_manuales!$H$34="Todos",datos_base!$K$11+datos_base!$K$25,0))*parametros_manuales!$E$105+parametros_manuales!$G$34*(datos_base!$K$5+datos_base!$K$21+IF(parametros_manuales!$H$34="Todos",datos_base!$K$12+datos_base!$K$26,0))*parametros_manuales!$E$110)*parametros_manuales!$I$34*parametros_manuales!$J$34</f>
        <v>22157.422780405</v>
      </c>
      <c r="F260" s="9" t="n">
        <f aca="false">(parametros_manuales!$D$34*(datos_base!$K$2+datos_base!$K$18+IF(parametros_manuales!$H$34="Todos",datos_base!$K$9+datos_base!$K$23,0))*parametros_manuales!$F$95+parametros_manuales!$E$34*(datos_base!$K$3+datos_base!$K$19+IF(parametros_manuales!$H$34="Todos",datos_base!$K$10+datos_base!$K$24,0))*parametros_manuales!$F$100+parametros_manuales!$F$34*(datos_base!$K$4+datos_base!$K$20+IF(parametros_manuales!$H$34="Todos",datos_base!$K$11+datos_base!$K$25,0))*parametros_manuales!$F$105+parametros_manuales!$G$34*(datos_base!$K$5+datos_base!$K$21+IF(parametros_manuales!$H$34="Todos",datos_base!$K$12+datos_base!$K$26,0))*parametros_manuales!$F$110)*parametros_manuales!$I$34*parametros_manuales!$J$34</f>
        <v>20734.85635854</v>
      </c>
      <c r="G260" s="9" t="n">
        <f aca="false">(parametros_manuales!$D$34*(datos_base!$K$2+datos_base!$K$18+IF(parametros_manuales!$H$34="Todos",datos_base!$K$9+datos_base!$K$23,0))*parametros_manuales!$G$95+parametros_manuales!$E$34*(datos_base!$K$3+datos_base!$K$19+IF(parametros_manuales!$H$34="Todos",datos_base!$K$10+datos_base!$K$24,0))*parametros_manuales!$G$100+parametros_manuales!$F$34*(datos_base!$K$4+datos_base!$K$20+IF(parametros_manuales!$H$34="Todos",datos_base!$K$11+datos_base!$K$25,0))*parametros_manuales!$G$105+parametros_manuales!$G$34*(datos_base!$K$5+datos_base!$K$21+IF(parametros_manuales!$H$34="Todos",datos_base!$K$12+datos_base!$K$26,0))*parametros_manuales!$G$110)*parametros_manuales!$I$34*parametros_manuales!$J$34</f>
        <v>20325.393132325</v>
      </c>
      <c r="H260" s="9" t="n">
        <f aca="false">(parametros_manuales!$D$34*(datos_base!$K$2+datos_base!$K$18+IF(parametros_manuales!$H$34="Todos",datos_base!$K$9+datos_base!$K$23,0))*parametros_manuales!$H$95+parametros_manuales!$E$34*(datos_base!$K$3+datos_base!$K$19+IF(parametros_manuales!$H$34="Todos",datos_base!$K$10+datos_base!$K$24,0))*parametros_manuales!$H$100+parametros_manuales!$F$34*(datos_base!$K$4+datos_base!$K$20+IF(parametros_manuales!$H$34="Todos",datos_base!$K$11+datos_base!$K$25,0))*parametros_manuales!$H$105+parametros_manuales!$G$34*(datos_base!$K$5+datos_base!$K$21+IF(parametros_manuales!$H$34="Todos",datos_base!$K$12+datos_base!$K$26,0))*parametros_manuales!$H$110)*parametros_manuales!$I$34*parametros_manuales!$J$34</f>
        <v>21747.95955419</v>
      </c>
      <c r="I260" s="9" t="n">
        <f aca="false">(parametros_manuales!$D$34*(datos_base!$K$2+datos_base!$K$18+IF(parametros_manuales!$H$34="Todos",datos_base!$K$9+datos_base!$K$23,0))*parametros_manuales!$I$95+parametros_manuales!$E$34*(datos_base!$K$3+datos_base!$K$19+IF(parametros_manuales!$H$34="Todos",datos_base!$K$10+datos_base!$K$24,0))*parametros_manuales!$I$100+parametros_manuales!$F$34*(datos_base!$K$4+datos_base!$K$20+IF(parametros_manuales!$H$34="Todos",datos_base!$K$11+datos_base!$K$25,0))*parametros_manuales!$I$105+parametros_manuales!$G$34*(datos_base!$K$5+datos_base!$K$21+IF(parametros_manuales!$H$34="Todos",datos_base!$K$12+datos_base!$K$26,0))*parametros_manuales!$I$110)*parametros_manuales!$I$34*parametros_manuales!$J$34</f>
        <v>24787.26914114</v>
      </c>
      <c r="J260" s="9" t="n">
        <f aca="false">(parametros_manuales!$D$34*(datos_base!$K$2+datos_base!$K$18+IF(parametros_manuales!$H$34="Todos",datos_base!$K$9+datos_base!$K$23,0))*parametros_manuales!$J$95+parametros_manuales!$E$34*(datos_base!$K$3+datos_base!$K$19+IF(parametros_manuales!$H$34="Todos",datos_base!$K$10+datos_base!$K$24,0))*parametros_manuales!$J$100+parametros_manuales!$F$34*(datos_base!$K$4+datos_base!$K$20+IF(parametros_manuales!$H$34="Todos",datos_base!$K$11+datos_base!$K$25,0))*parametros_manuales!$J$105+parametros_manuales!$G$34*(datos_base!$K$5+datos_base!$K$21+IF(parametros_manuales!$H$34="Todos",datos_base!$K$12+datos_base!$K$26,0))*parametros_manuales!$J$110)*parametros_manuales!$I$34*parametros_manuales!$J$34</f>
        <v>24787.26914114</v>
      </c>
      <c r="K260" s="9" t="n">
        <f aca="false">(parametros_manuales!$D$34*(datos_base!$K$2+datos_base!$K$18+IF(parametros_manuales!$H$34="Todos",datos_base!$K$9+datos_base!$K$23,0))*parametros_manuales!$K$95+parametros_manuales!$E$34*(datos_base!$K$3+datos_base!$K$19+IF(parametros_manuales!$H$34="Todos",datos_base!$K$10+datos_base!$K$24,0))*parametros_manuales!$K$100+parametros_manuales!$F$34*(datos_base!$K$4+datos_base!$K$20+IF(parametros_manuales!$H$34="Todos",datos_base!$K$11+datos_base!$K$25,0))*parametros_manuales!$K$105+parametros_manuales!$G$34*(datos_base!$K$5+datos_base!$K$21+IF(parametros_manuales!$H$34="Todos",datos_base!$K$12+datos_base!$K$26,0))*parametros_manuales!$K$110)*parametros_manuales!$I$34*parametros_manuales!$J$34</f>
        <v>25196.732367355</v>
      </c>
      <c r="L260" s="9" t="n">
        <f aca="false">(parametros_manuales!$D$34*(datos_base!$K$2+datos_base!$K$18+IF(parametros_manuales!$H$34="Todos",datos_base!$K$9+datos_base!$K$23,0))*parametros_manuales!$L$95+parametros_manuales!$E$34*(datos_base!$K$3+datos_base!$K$19+IF(parametros_manuales!$H$34="Todos",datos_base!$K$10+datos_base!$K$24,0))*parametros_manuales!$L$100+parametros_manuales!$F$34*(datos_base!$K$4+datos_base!$K$20+IF(parametros_manuales!$H$34="Todos",datos_base!$K$11+datos_base!$K$25,0))*parametros_manuales!$L$105+parametros_manuales!$G$34*(datos_base!$K$5+datos_base!$K$21+IF(parametros_manuales!$H$34="Todos",datos_base!$K$12+datos_base!$K$26,0))*parametros_manuales!$L$110)*parametros_manuales!$I$34*parametros_manuales!$J$34</f>
        <v>25606.19559357</v>
      </c>
      <c r="M260" s="9" t="n">
        <f aca="false">(parametros_manuales!$D$34*(datos_base!$K$2+datos_base!$K$18+IF(parametros_manuales!$H$34="Todos",datos_base!$K$9+datos_base!$K$23,0))*parametros_manuales!$M$95+parametros_manuales!$E$34*(datos_base!$K$3+datos_base!$K$19+IF(parametros_manuales!$H$34="Todos",datos_base!$K$10+datos_base!$K$24,0))*parametros_manuales!$M$100+parametros_manuales!$F$34*(datos_base!$K$4+datos_base!$K$20+IF(parametros_manuales!$H$34="Todos",datos_base!$K$11+datos_base!$K$25,0))*parametros_manuales!$M$105+parametros_manuales!$G$34*(datos_base!$K$5+datos_base!$K$21+IF(parametros_manuales!$H$34="Todos",datos_base!$K$12+datos_base!$K$26,0))*parametros_manuales!$M$110)*parametros_manuales!$I$34*parametros_manuales!$J$34</f>
        <v>25606.19559357</v>
      </c>
      <c r="N260" s="9" t="n">
        <f aca="false">SUM(B260:M260)</f>
        <v>284513.284373</v>
      </c>
      <c r="O260" s="9" t="n">
        <f aca="false">MAX(B260:M260)</f>
        <v>25606.19559357</v>
      </c>
      <c r="P260" s="43" t="n">
        <f aca="false">O260/(parametros_manuales!$B$7)</f>
        <v>170.7079706238</v>
      </c>
      <c r="Q260" s="8" t="str">
        <f aca="false">IF(O260=0,"-",INDEX($B$244:$M$244,MATCH(O260,B260:M260,0)))</f>
        <v>Ene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datos_base!$K$2+datos_base!$K$18+IF(parametros_manuales!$H$35="Todos",datos_base!$K$9+datos_base!$K$23,0))*parametros_manuales!$B$95+parametros_manuales!$E$35*(datos_base!$K$3+datos_base!$K$19+IF(parametros_manuales!$H$35="Todos",datos_base!$K$10+datos_base!$K$24,0))*parametros_manuales!$B$100+parametros_manuales!$F$35*(datos_base!$K$4+datos_base!$K$20+IF(parametros_manuales!$H$35="Todos",datos_base!$K$11+datos_base!$K$25,0))*parametros_manuales!$B$105+parametros_manuales!$G$35*(datos_base!$K$5+datos_base!$K$21+IF(parametros_manuales!$H$35="Todos",datos_base!$K$12+datos_base!$K$26,0))*parametros_manuales!$B$110)*parametros_manuales!$I$35*parametros_manuales!$J$35</f>
        <v>25606.19559357</v>
      </c>
      <c r="C261" s="9" t="n">
        <f aca="false">(parametros_manuales!$D$35*(datos_base!$K$2+datos_base!$K$18+IF(parametros_manuales!$H$35="Todos",datos_base!$K$9+datos_base!$K$23,0))*parametros_manuales!$C$95+parametros_manuales!$E$35*(datos_base!$K$3+datos_base!$K$19+IF(parametros_manuales!$H$35="Todos",datos_base!$K$10+datos_base!$K$24,0))*parametros_manuales!$C$100+parametros_manuales!$F$35*(datos_base!$K$4+datos_base!$K$20+IF(parametros_manuales!$H$35="Todos",datos_base!$K$11+datos_base!$K$25,0))*parametros_manuales!$C$105+parametros_manuales!$G$35*(datos_base!$K$5+datos_base!$K$21+IF(parametros_manuales!$H$35="Todos",datos_base!$K$12+datos_base!$K$26,0))*parametros_manuales!$C$110)*parametros_manuales!$I$35*parametros_manuales!$J$35</f>
        <v>24787.26914114</v>
      </c>
      <c r="D261" s="9" t="n">
        <f aca="false">(parametros_manuales!$D$35*(datos_base!$K$2+datos_base!$K$18+IF(parametros_manuales!$H$35="Todos",datos_base!$K$9+datos_base!$K$23,0))*parametros_manuales!$D$95+parametros_manuales!$E$35*(datos_base!$K$3+datos_base!$K$19+IF(parametros_manuales!$H$35="Todos",datos_base!$K$10+datos_base!$K$24,0))*parametros_manuales!$D$100+parametros_manuales!$F$35*(datos_base!$K$4+datos_base!$K$20+IF(parametros_manuales!$H$35="Todos",datos_base!$K$11+datos_base!$K$25,0))*parametros_manuales!$D$105+parametros_manuales!$G$35*(datos_base!$K$5+datos_base!$K$21+IF(parametros_manuales!$H$35="Todos",datos_base!$K$12+datos_base!$K$26,0))*parametros_manuales!$D$110)*parametros_manuales!$I$35*parametros_manuales!$J$35</f>
        <v>23170.525976055</v>
      </c>
      <c r="E261" s="9" t="n">
        <f aca="false">(parametros_manuales!$D$35*(datos_base!$K$2+datos_base!$K$18+IF(parametros_manuales!$H$35="Todos",datos_base!$K$9+datos_base!$K$23,0))*parametros_manuales!$E$95+parametros_manuales!$E$35*(datos_base!$K$3+datos_base!$K$19+IF(parametros_manuales!$H$35="Todos",datos_base!$K$10+datos_base!$K$24,0))*parametros_manuales!$E$100+parametros_manuales!$F$35*(datos_base!$K$4+datos_base!$K$20+IF(parametros_manuales!$H$35="Todos",datos_base!$K$11+datos_base!$K$25,0))*parametros_manuales!$E$105+parametros_manuales!$G$35*(datos_base!$K$5+datos_base!$K$21+IF(parametros_manuales!$H$35="Todos",datos_base!$K$12+datos_base!$K$26,0))*parametros_manuales!$E$110)*parametros_manuales!$I$35*parametros_manuales!$J$35</f>
        <v>22157.422780405</v>
      </c>
      <c r="F261" s="9" t="n">
        <f aca="false">(parametros_manuales!$D$35*(datos_base!$K$2+datos_base!$K$18+IF(parametros_manuales!$H$35="Todos",datos_base!$K$9+datos_base!$K$23,0))*parametros_manuales!$F$95+parametros_manuales!$E$35*(datos_base!$K$3+datos_base!$K$19+IF(parametros_manuales!$H$35="Todos",datos_base!$K$10+datos_base!$K$24,0))*parametros_manuales!$F$100+parametros_manuales!$F$35*(datos_base!$K$4+datos_base!$K$20+IF(parametros_manuales!$H$35="Todos",datos_base!$K$11+datos_base!$K$25,0))*parametros_manuales!$F$105+parametros_manuales!$G$35*(datos_base!$K$5+datos_base!$K$21+IF(parametros_manuales!$H$35="Todos",datos_base!$K$12+datos_base!$K$26,0))*parametros_manuales!$F$110)*parametros_manuales!$I$35*parametros_manuales!$J$35</f>
        <v>20734.85635854</v>
      </c>
      <c r="G261" s="9" t="n">
        <f aca="false">(parametros_manuales!$D$35*(datos_base!$K$2+datos_base!$K$18+IF(parametros_manuales!$H$35="Todos",datos_base!$K$9+datos_base!$K$23,0))*parametros_manuales!$G$95+parametros_manuales!$E$35*(datos_base!$K$3+datos_base!$K$19+IF(parametros_manuales!$H$35="Todos",datos_base!$K$10+datos_base!$K$24,0))*parametros_manuales!$G$100+parametros_manuales!$F$35*(datos_base!$K$4+datos_base!$K$20+IF(parametros_manuales!$H$35="Todos",datos_base!$K$11+datos_base!$K$25,0))*parametros_manuales!$G$105+parametros_manuales!$G$35*(datos_base!$K$5+datos_base!$K$21+IF(parametros_manuales!$H$35="Todos",datos_base!$K$12+datos_base!$K$26,0))*parametros_manuales!$G$110)*parametros_manuales!$I$35*parametros_manuales!$J$35</f>
        <v>20325.393132325</v>
      </c>
      <c r="H261" s="9" t="n">
        <f aca="false">(parametros_manuales!$D$35*(datos_base!$K$2+datos_base!$K$18+IF(parametros_manuales!$H$35="Todos",datos_base!$K$9+datos_base!$K$23,0))*parametros_manuales!$H$95+parametros_manuales!$E$35*(datos_base!$K$3+datos_base!$K$19+IF(parametros_manuales!$H$35="Todos",datos_base!$K$10+datos_base!$K$24,0))*parametros_manuales!$H$100+parametros_manuales!$F$35*(datos_base!$K$4+datos_base!$K$20+IF(parametros_manuales!$H$35="Todos",datos_base!$K$11+datos_base!$K$25,0))*parametros_manuales!$H$105+parametros_manuales!$G$35*(datos_base!$K$5+datos_base!$K$21+IF(parametros_manuales!$H$35="Todos",datos_base!$K$12+datos_base!$K$26,0))*parametros_manuales!$H$110)*parametros_manuales!$I$35*parametros_manuales!$J$35</f>
        <v>21747.95955419</v>
      </c>
      <c r="I261" s="9" t="n">
        <f aca="false">(parametros_manuales!$D$35*(datos_base!$K$2+datos_base!$K$18+IF(parametros_manuales!$H$35="Todos",datos_base!$K$9+datos_base!$K$23,0))*parametros_manuales!$I$95+parametros_manuales!$E$35*(datos_base!$K$3+datos_base!$K$19+IF(parametros_manuales!$H$35="Todos",datos_base!$K$10+datos_base!$K$24,0))*parametros_manuales!$I$100+parametros_manuales!$F$35*(datos_base!$K$4+datos_base!$K$20+IF(parametros_manuales!$H$35="Todos",datos_base!$K$11+datos_base!$K$25,0))*parametros_manuales!$I$105+parametros_manuales!$G$35*(datos_base!$K$5+datos_base!$K$21+IF(parametros_manuales!$H$35="Todos",datos_base!$K$12+datos_base!$K$26,0))*parametros_manuales!$I$110)*parametros_manuales!$I$35*parametros_manuales!$J$35</f>
        <v>24787.26914114</v>
      </c>
      <c r="J261" s="9" t="n">
        <f aca="false">(parametros_manuales!$D$35*(datos_base!$K$2+datos_base!$K$18+IF(parametros_manuales!$H$35="Todos",datos_base!$K$9+datos_base!$K$23,0))*parametros_manuales!$J$95+parametros_manuales!$E$35*(datos_base!$K$3+datos_base!$K$19+IF(parametros_manuales!$H$35="Todos",datos_base!$K$10+datos_base!$K$24,0))*parametros_manuales!$J$100+parametros_manuales!$F$35*(datos_base!$K$4+datos_base!$K$20+IF(parametros_manuales!$H$35="Todos",datos_base!$K$11+datos_base!$K$25,0))*parametros_manuales!$J$105+parametros_manuales!$G$35*(datos_base!$K$5+datos_base!$K$21+IF(parametros_manuales!$H$35="Todos",datos_base!$K$12+datos_base!$K$26,0))*parametros_manuales!$J$110)*parametros_manuales!$I$35*parametros_manuales!$J$35</f>
        <v>24787.26914114</v>
      </c>
      <c r="K261" s="9" t="n">
        <f aca="false">(parametros_manuales!$D$35*(datos_base!$K$2+datos_base!$K$18+IF(parametros_manuales!$H$35="Todos",datos_base!$K$9+datos_base!$K$23,0))*parametros_manuales!$K$95+parametros_manuales!$E$35*(datos_base!$K$3+datos_base!$K$19+IF(parametros_manuales!$H$35="Todos",datos_base!$K$10+datos_base!$K$24,0))*parametros_manuales!$K$100+parametros_manuales!$F$35*(datos_base!$K$4+datos_base!$K$20+IF(parametros_manuales!$H$35="Todos",datos_base!$K$11+datos_base!$K$25,0))*parametros_manuales!$K$105+parametros_manuales!$G$35*(datos_base!$K$5+datos_base!$K$21+IF(parametros_manuales!$H$35="Todos",datos_base!$K$12+datos_base!$K$26,0))*parametros_manuales!$K$110)*parametros_manuales!$I$35*parametros_manuales!$J$35</f>
        <v>25196.732367355</v>
      </c>
      <c r="L261" s="9" t="n">
        <f aca="false">(parametros_manuales!$D$35*(datos_base!$K$2+datos_base!$K$18+IF(parametros_manuales!$H$35="Todos",datos_base!$K$9+datos_base!$K$23,0))*parametros_manuales!$L$95+parametros_manuales!$E$35*(datos_base!$K$3+datos_base!$K$19+IF(parametros_manuales!$H$35="Todos",datos_base!$K$10+datos_base!$K$24,0))*parametros_manuales!$L$100+parametros_manuales!$F$35*(datos_base!$K$4+datos_base!$K$20+IF(parametros_manuales!$H$35="Todos",datos_base!$K$11+datos_base!$K$25,0))*parametros_manuales!$L$105+parametros_manuales!$G$35*(datos_base!$K$5+datos_base!$K$21+IF(parametros_manuales!$H$35="Todos",datos_base!$K$12+datos_base!$K$26,0))*parametros_manuales!$L$110)*parametros_manuales!$I$35*parametros_manuales!$J$35</f>
        <v>25606.19559357</v>
      </c>
      <c r="M261" s="9" t="n">
        <f aca="false">(parametros_manuales!$D$35*(datos_base!$K$2+datos_base!$K$18+IF(parametros_manuales!$H$35="Todos",datos_base!$K$9+datos_base!$K$23,0))*parametros_manuales!$M$95+parametros_manuales!$E$35*(datos_base!$K$3+datos_base!$K$19+IF(parametros_manuales!$H$35="Todos",datos_base!$K$10+datos_base!$K$24,0))*parametros_manuales!$M$100+parametros_manuales!$F$35*(datos_base!$K$4+datos_base!$K$20+IF(parametros_manuales!$H$35="Todos",datos_base!$K$11+datos_base!$K$25,0))*parametros_manuales!$M$105+parametros_manuales!$G$35*(datos_base!$K$5+datos_base!$K$21+IF(parametros_manuales!$H$35="Todos",datos_base!$K$12+datos_base!$K$26,0))*parametros_manuales!$M$110)*parametros_manuales!$I$35*parametros_manuales!$J$35</f>
        <v>25606.19559357</v>
      </c>
      <c r="N261" s="9" t="n">
        <f aca="false">SUM(B261:M261)</f>
        <v>284513.284373</v>
      </c>
      <c r="O261" s="9" t="n">
        <f aca="false">MAX(B261:M261)</f>
        <v>25606.19559357</v>
      </c>
      <c r="P261" s="43" t="n">
        <f aca="false">O261/(parametros_manuales!$B$7)</f>
        <v>170.7079706238</v>
      </c>
      <c r="Q261" s="8" t="str">
        <f aca="false">IF(O261=0,"-",INDEX($B$244:$M$244,MATCH(O261,B261:M261,0)))</f>
        <v>Ene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datos_base!$K$2+datos_base!$K$18+IF(parametros_manuales!$H$36="Todos",datos_base!$K$9+datos_base!$K$23,0))*parametros_manuales!$B$95+parametros_manuales!$E$36*(datos_base!$K$3+datos_base!$K$19+IF(parametros_manuales!$H$36="Todos",datos_base!$K$10+datos_base!$K$24,0))*parametros_manuales!$B$100+parametros_manuales!$F$36*(datos_base!$K$4+datos_base!$K$20+IF(parametros_manuales!$H$36="Todos",datos_base!$K$11+datos_base!$K$25,0))*parametros_manuales!$B$105+parametros_manuales!$G$36*(datos_base!$K$5+datos_base!$K$21+IF(parametros_manuales!$H$36="Todos",datos_base!$K$12+datos_base!$K$26,0))*parametros_manuales!$B$110)*parametros_manuales!$I$36*parametros_manuales!$J$36</f>
        <v>1280.3097796785</v>
      </c>
      <c r="C262" s="9" t="n">
        <f aca="false">(parametros_manuales!$D$36*(datos_base!$K$2+datos_base!$K$18+IF(parametros_manuales!$H$36="Todos",datos_base!$K$9+datos_base!$K$23,0))*parametros_manuales!$C$95+parametros_manuales!$E$36*(datos_base!$K$3+datos_base!$K$19+IF(parametros_manuales!$H$36="Todos",datos_base!$K$10+datos_base!$K$24,0))*parametros_manuales!$C$100+parametros_manuales!$F$36*(datos_base!$K$4+datos_base!$K$20+IF(parametros_manuales!$H$36="Todos",datos_base!$K$11+datos_base!$K$25,0))*parametros_manuales!$C$105+parametros_manuales!$G$36*(datos_base!$K$5+datos_base!$K$21+IF(parametros_manuales!$H$36="Todos",datos_base!$K$12+datos_base!$K$26,0))*parametros_manuales!$C$110)*parametros_manuales!$I$36*parametros_manuales!$J$36</f>
        <v>1239.363457057</v>
      </c>
      <c r="D262" s="9" t="n">
        <f aca="false">(parametros_manuales!$D$36*(datos_base!$K$2+datos_base!$K$18+IF(parametros_manuales!$H$36="Todos",datos_base!$K$9+datos_base!$K$23,0))*parametros_manuales!$D$95+parametros_manuales!$E$36*(datos_base!$K$3+datos_base!$K$19+IF(parametros_manuales!$H$36="Todos",datos_base!$K$10+datos_base!$K$24,0))*parametros_manuales!$D$100+parametros_manuales!$F$36*(datos_base!$K$4+datos_base!$K$20+IF(parametros_manuales!$H$36="Todos",datos_base!$K$11+datos_base!$K$25,0))*parametros_manuales!$D$105+parametros_manuales!$G$36*(datos_base!$K$5+datos_base!$K$21+IF(parametros_manuales!$H$36="Todos",datos_base!$K$12+datos_base!$K$26,0))*parametros_manuales!$D$110)*parametros_manuales!$I$36*parametros_manuales!$J$36</f>
        <v>1158.52629880275</v>
      </c>
      <c r="E262" s="9" t="n">
        <f aca="false">(parametros_manuales!$D$36*(datos_base!$K$2+datos_base!$K$18+IF(parametros_manuales!$H$36="Todos",datos_base!$K$9+datos_base!$K$23,0))*parametros_manuales!$E$95+parametros_manuales!$E$36*(datos_base!$K$3+datos_base!$K$19+IF(parametros_manuales!$H$36="Todos",datos_base!$K$10+datos_base!$K$24,0))*parametros_manuales!$E$100+parametros_manuales!$F$36*(datos_base!$K$4+datos_base!$K$20+IF(parametros_manuales!$H$36="Todos",datos_base!$K$11+datos_base!$K$25,0))*parametros_manuales!$E$105+parametros_manuales!$G$36*(datos_base!$K$5+datos_base!$K$21+IF(parametros_manuales!$H$36="Todos",datos_base!$K$12+datos_base!$K$26,0))*parametros_manuales!$E$110)*parametros_manuales!$I$36*parametros_manuales!$J$36</f>
        <v>1107.87113902025</v>
      </c>
      <c r="F262" s="9" t="n">
        <f aca="false">(parametros_manuales!$D$36*(datos_base!$K$2+datos_base!$K$18+IF(parametros_manuales!$H$36="Todos",datos_base!$K$9+datos_base!$K$23,0))*parametros_manuales!$F$95+parametros_manuales!$E$36*(datos_base!$K$3+datos_base!$K$19+IF(parametros_manuales!$H$36="Todos",datos_base!$K$10+datos_base!$K$24,0))*parametros_manuales!$F$100+parametros_manuales!$F$36*(datos_base!$K$4+datos_base!$K$20+IF(parametros_manuales!$H$36="Todos",datos_base!$K$11+datos_base!$K$25,0))*parametros_manuales!$F$105+parametros_manuales!$G$36*(datos_base!$K$5+datos_base!$K$21+IF(parametros_manuales!$H$36="Todos",datos_base!$K$12+datos_base!$K$26,0))*parametros_manuales!$F$110)*parametros_manuales!$I$36*parametros_manuales!$J$36</f>
        <v>1036.742817927</v>
      </c>
      <c r="G262" s="9" t="n">
        <f aca="false">(parametros_manuales!$D$36*(datos_base!$K$2+datos_base!$K$18+IF(parametros_manuales!$H$36="Todos",datos_base!$K$9+datos_base!$K$23,0))*parametros_manuales!$G$95+parametros_manuales!$E$36*(datos_base!$K$3+datos_base!$K$19+IF(parametros_manuales!$H$36="Todos",datos_base!$K$10+datos_base!$K$24,0))*parametros_manuales!$G$100+parametros_manuales!$F$36*(datos_base!$K$4+datos_base!$K$20+IF(parametros_manuales!$H$36="Todos",datos_base!$K$11+datos_base!$K$25,0))*parametros_manuales!$G$105+parametros_manuales!$G$36*(datos_base!$K$5+datos_base!$K$21+IF(parametros_manuales!$H$36="Todos",datos_base!$K$12+datos_base!$K$26,0))*parametros_manuales!$G$110)*parametros_manuales!$I$36*parametros_manuales!$J$36</f>
        <v>1016.26965661625</v>
      </c>
      <c r="H262" s="9" t="n">
        <f aca="false">(parametros_manuales!$D$36*(datos_base!$K$2+datos_base!$K$18+IF(parametros_manuales!$H$36="Todos",datos_base!$K$9+datos_base!$K$23,0))*parametros_manuales!$H$95+parametros_manuales!$E$36*(datos_base!$K$3+datos_base!$K$19+IF(parametros_manuales!$H$36="Todos",datos_base!$K$10+datos_base!$K$24,0))*parametros_manuales!$H$100+parametros_manuales!$F$36*(datos_base!$K$4+datos_base!$K$20+IF(parametros_manuales!$H$36="Todos",datos_base!$K$11+datos_base!$K$25,0))*parametros_manuales!$H$105+parametros_manuales!$G$36*(datos_base!$K$5+datos_base!$K$21+IF(parametros_manuales!$H$36="Todos",datos_base!$K$12+datos_base!$K$26,0))*parametros_manuales!$H$110)*parametros_manuales!$I$36*parametros_manuales!$J$36</f>
        <v>1087.3979777095</v>
      </c>
      <c r="I262" s="9" t="n">
        <f aca="false">(parametros_manuales!$D$36*(datos_base!$K$2+datos_base!$K$18+IF(parametros_manuales!$H$36="Todos",datos_base!$K$9+datos_base!$K$23,0))*parametros_manuales!$I$95+parametros_manuales!$E$36*(datos_base!$K$3+datos_base!$K$19+IF(parametros_manuales!$H$36="Todos",datos_base!$K$10+datos_base!$K$24,0))*parametros_manuales!$I$100+parametros_manuales!$F$36*(datos_base!$K$4+datos_base!$K$20+IF(parametros_manuales!$H$36="Todos",datos_base!$K$11+datos_base!$K$25,0))*parametros_manuales!$I$105+parametros_manuales!$G$36*(datos_base!$K$5+datos_base!$K$21+IF(parametros_manuales!$H$36="Todos",datos_base!$K$12+datos_base!$K$26,0))*parametros_manuales!$I$110)*parametros_manuales!$I$36*parametros_manuales!$J$36</f>
        <v>1239.363457057</v>
      </c>
      <c r="J262" s="9" t="n">
        <f aca="false">(parametros_manuales!$D$36*(datos_base!$K$2+datos_base!$K$18+IF(parametros_manuales!$H$36="Todos",datos_base!$K$9+datos_base!$K$23,0))*parametros_manuales!$J$95+parametros_manuales!$E$36*(datos_base!$K$3+datos_base!$K$19+IF(parametros_manuales!$H$36="Todos",datos_base!$K$10+datos_base!$K$24,0))*parametros_manuales!$J$100+parametros_manuales!$F$36*(datos_base!$K$4+datos_base!$K$20+IF(parametros_manuales!$H$36="Todos",datos_base!$K$11+datos_base!$K$25,0))*parametros_manuales!$J$105+parametros_manuales!$G$36*(datos_base!$K$5+datos_base!$K$21+IF(parametros_manuales!$H$36="Todos",datos_base!$K$12+datos_base!$K$26,0))*parametros_manuales!$J$110)*parametros_manuales!$I$36*parametros_manuales!$J$36</f>
        <v>1239.363457057</v>
      </c>
      <c r="K262" s="9" t="n">
        <f aca="false">(parametros_manuales!$D$36*(datos_base!$K$2+datos_base!$K$18+IF(parametros_manuales!$H$36="Todos",datos_base!$K$9+datos_base!$K$23,0))*parametros_manuales!$K$95+parametros_manuales!$E$36*(datos_base!$K$3+datos_base!$K$19+IF(parametros_manuales!$H$36="Todos",datos_base!$K$10+datos_base!$K$24,0))*parametros_manuales!$K$100+parametros_manuales!$F$36*(datos_base!$K$4+datos_base!$K$20+IF(parametros_manuales!$H$36="Todos",datos_base!$K$11+datos_base!$K$25,0))*parametros_manuales!$K$105+parametros_manuales!$G$36*(datos_base!$K$5+datos_base!$K$21+IF(parametros_manuales!$H$36="Todos",datos_base!$K$12+datos_base!$K$26,0))*parametros_manuales!$K$110)*parametros_manuales!$I$36*parametros_manuales!$J$36</f>
        <v>1259.83661836775</v>
      </c>
      <c r="L262" s="9" t="n">
        <f aca="false">(parametros_manuales!$D$36*(datos_base!$K$2+datos_base!$K$18+IF(parametros_manuales!$H$36="Todos",datos_base!$K$9+datos_base!$K$23,0))*parametros_manuales!$L$95+parametros_manuales!$E$36*(datos_base!$K$3+datos_base!$K$19+IF(parametros_manuales!$H$36="Todos",datos_base!$K$10+datos_base!$K$24,0))*parametros_manuales!$L$100+parametros_manuales!$F$36*(datos_base!$K$4+datos_base!$K$20+IF(parametros_manuales!$H$36="Todos",datos_base!$K$11+datos_base!$K$25,0))*parametros_manuales!$L$105+parametros_manuales!$G$36*(datos_base!$K$5+datos_base!$K$21+IF(parametros_manuales!$H$36="Todos",datos_base!$K$12+datos_base!$K$26,0))*parametros_manuales!$L$110)*parametros_manuales!$I$36*parametros_manuales!$J$36</f>
        <v>1280.3097796785</v>
      </c>
      <c r="M262" s="9" t="n">
        <f aca="false">(parametros_manuales!$D$36*(datos_base!$K$2+datos_base!$K$18+IF(parametros_manuales!$H$36="Todos",datos_base!$K$9+datos_base!$K$23,0))*parametros_manuales!$M$95+parametros_manuales!$E$36*(datos_base!$K$3+datos_base!$K$19+IF(parametros_manuales!$H$36="Todos",datos_base!$K$10+datos_base!$K$24,0))*parametros_manuales!$M$100+parametros_manuales!$F$36*(datos_base!$K$4+datos_base!$K$20+IF(parametros_manuales!$H$36="Todos",datos_base!$K$11+datos_base!$K$25,0))*parametros_manuales!$M$105+parametros_manuales!$G$36*(datos_base!$K$5+datos_base!$K$21+IF(parametros_manuales!$H$36="Todos",datos_base!$K$12+datos_base!$K$26,0))*parametros_manuales!$M$110)*parametros_manuales!$I$36*parametros_manuales!$J$36</f>
        <v>1280.3097796785</v>
      </c>
      <c r="N262" s="9" t="n">
        <f aca="false">SUM(B262:M262)</f>
        <v>14225.66421865</v>
      </c>
      <c r="O262" s="9" t="n">
        <f aca="false">MAX(B262:M262)</f>
        <v>1280.3097796785</v>
      </c>
      <c r="P262" s="43" t="n">
        <f aca="false">O262/(parametros_manuales!$B$7)</f>
        <v>8.53539853119</v>
      </c>
      <c r="Q262" s="8" t="str">
        <f aca="false">IF(O262=0,"-",INDEX($B$244:$M$244,MATCH(O262,B262:M262,0)))</f>
        <v>Ene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datos_base!$K$2+datos_base!$K$18+IF(parametros_manuales!$H$37="Todos",datos_base!$K$9+datos_base!$K$23,0))*parametros_manuales!$B$95+parametros_manuales!$E$37*(datos_base!$K$3+datos_base!$K$19+IF(parametros_manuales!$H$37="Todos",datos_base!$K$10+datos_base!$K$24,0))*parametros_manuales!$B$100+parametros_manuales!$F$37*(datos_base!$K$4+datos_base!$K$20+IF(parametros_manuales!$H$37="Todos",datos_base!$K$11+datos_base!$K$25,0))*parametros_manuales!$B$105+parametros_manuales!$G$37*(datos_base!$K$5+datos_base!$K$21+IF(parametros_manuales!$H$37="Todos",datos_base!$K$12+datos_base!$K$26,0))*parametros_manuales!$B$110)*parametros_manuales!$I$37*parametros_manuales!$J$37</f>
        <v>25606.19559357</v>
      </c>
      <c r="C263" s="9" t="n">
        <f aca="false">(parametros_manuales!$D$37*(datos_base!$K$2+datos_base!$K$18+IF(parametros_manuales!$H$37="Todos",datos_base!$K$9+datos_base!$K$23,0))*parametros_manuales!$C$95+parametros_manuales!$E$37*(datos_base!$K$3+datos_base!$K$19+IF(parametros_manuales!$H$37="Todos",datos_base!$K$10+datos_base!$K$24,0))*parametros_manuales!$C$100+parametros_manuales!$F$37*(datos_base!$K$4+datos_base!$K$20+IF(parametros_manuales!$H$37="Todos",datos_base!$K$11+datos_base!$K$25,0))*parametros_manuales!$C$105+parametros_manuales!$G$37*(datos_base!$K$5+datos_base!$K$21+IF(parametros_manuales!$H$37="Todos",datos_base!$K$12+datos_base!$K$26,0))*parametros_manuales!$C$110)*parametros_manuales!$I$37*parametros_manuales!$J$37</f>
        <v>24787.26914114</v>
      </c>
      <c r="D263" s="9" t="n">
        <f aca="false">(parametros_manuales!$D$37*(datos_base!$K$2+datos_base!$K$18+IF(parametros_manuales!$H$37="Todos",datos_base!$K$9+datos_base!$K$23,0))*parametros_manuales!$D$95+parametros_manuales!$E$37*(datos_base!$K$3+datos_base!$K$19+IF(parametros_manuales!$H$37="Todos",datos_base!$K$10+datos_base!$K$24,0))*parametros_manuales!$D$100+parametros_manuales!$F$37*(datos_base!$K$4+datos_base!$K$20+IF(parametros_manuales!$H$37="Todos",datos_base!$K$11+datos_base!$K$25,0))*parametros_manuales!$D$105+parametros_manuales!$G$37*(datos_base!$K$5+datos_base!$K$21+IF(parametros_manuales!$H$37="Todos",datos_base!$K$12+datos_base!$K$26,0))*parametros_manuales!$D$110)*parametros_manuales!$I$37*parametros_manuales!$J$37</f>
        <v>23170.525976055</v>
      </c>
      <c r="E263" s="9" t="n">
        <f aca="false">(parametros_manuales!$D$37*(datos_base!$K$2+datos_base!$K$18+IF(parametros_manuales!$H$37="Todos",datos_base!$K$9+datos_base!$K$23,0))*parametros_manuales!$E$95+parametros_manuales!$E$37*(datos_base!$K$3+datos_base!$K$19+IF(parametros_manuales!$H$37="Todos",datos_base!$K$10+datos_base!$K$24,0))*parametros_manuales!$E$100+parametros_manuales!$F$37*(datos_base!$K$4+datos_base!$K$20+IF(parametros_manuales!$H$37="Todos",datos_base!$K$11+datos_base!$K$25,0))*parametros_manuales!$E$105+parametros_manuales!$G$37*(datos_base!$K$5+datos_base!$K$21+IF(parametros_manuales!$H$37="Todos",datos_base!$K$12+datos_base!$K$26,0))*parametros_manuales!$E$110)*parametros_manuales!$I$37*parametros_manuales!$J$37</f>
        <v>22157.422780405</v>
      </c>
      <c r="F263" s="9" t="n">
        <f aca="false">(parametros_manuales!$D$37*(datos_base!$K$2+datos_base!$K$18+IF(parametros_manuales!$H$37="Todos",datos_base!$K$9+datos_base!$K$23,0))*parametros_manuales!$F$95+parametros_manuales!$E$37*(datos_base!$K$3+datos_base!$K$19+IF(parametros_manuales!$H$37="Todos",datos_base!$K$10+datos_base!$K$24,0))*parametros_manuales!$F$100+parametros_manuales!$F$37*(datos_base!$K$4+datos_base!$K$20+IF(parametros_manuales!$H$37="Todos",datos_base!$K$11+datos_base!$K$25,0))*parametros_manuales!$F$105+parametros_manuales!$G$37*(datos_base!$K$5+datos_base!$K$21+IF(parametros_manuales!$H$37="Todos",datos_base!$K$12+datos_base!$K$26,0))*parametros_manuales!$F$110)*parametros_manuales!$I$37*parametros_manuales!$J$37</f>
        <v>20734.85635854</v>
      </c>
      <c r="G263" s="9" t="n">
        <f aca="false">(parametros_manuales!$D$37*(datos_base!$K$2+datos_base!$K$18+IF(parametros_manuales!$H$37="Todos",datos_base!$K$9+datos_base!$K$23,0))*parametros_manuales!$G$95+parametros_manuales!$E$37*(datos_base!$K$3+datos_base!$K$19+IF(parametros_manuales!$H$37="Todos",datos_base!$K$10+datos_base!$K$24,0))*parametros_manuales!$G$100+parametros_manuales!$F$37*(datos_base!$K$4+datos_base!$K$20+IF(parametros_manuales!$H$37="Todos",datos_base!$K$11+datos_base!$K$25,0))*parametros_manuales!$G$105+parametros_manuales!$G$37*(datos_base!$K$5+datos_base!$K$21+IF(parametros_manuales!$H$37="Todos",datos_base!$K$12+datos_base!$K$26,0))*parametros_manuales!$G$110)*parametros_manuales!$I$37*parametros_manuales!$J$37</f>
        <v>20325.393132325</v>
      </c>
      <c r="H263" s="9" t="n">
        <f aca="false">(parametros_manuales!$D$37*(datos_base!$K$2+datos_base!$K$18+IF(parametros_manuales!$H$37="Todos",datos_base!$K$9+datos_base!$K$23,0))*parametros_manuales!$H$95+parametros_manuales!$E$37*(datos_base!$K$3+datos_base!$K$19+IF(parametros_manuales!$H$37="Todos",datos_base!$K$10+datos_base!$K$24,0))*parametros_manuales!$H$100+parametros_manuales!$F$37*(datos_base!$K$4+datos_base!$K$20+IF(parametros_manuales!$H$37="Todos",datos_base!$K$11+datos_base!$K$25,0))*parametros_manuales!$H$105+parametros_manuales!$G$37*(datos_base!$K$5+datos_base!$K$21+IF(parametros_manuales!$H$37="Todos",datos_base!$K$12+datos_base!$K$26,0))*parametros_manuales!$H$110)*parametros_manuales!$I$37*parametros_manuales!$J$37</f>
        <v>21747.95955419</v>
      </c>
      <c r="I263" s="9" t="n">
        <f aca="false">(parametros_manuales!$D$37*(datos_base!$K$2+datos_base!$K$18+IF(parametros_manuales!$H$37="Todos",datos_base!$K$9+datos_base!$K$23,0))*parametros_manuales!$I$95+parametros_manuales!$E$37*(datos_base!$K$3+datos_base!$K$19+IF(parametros_manuales!$H$37="Todos",datos_base!$K$10+datos_base!$K$24,0))*parametros_manuales!$I$100+parametros_manuales!$F$37*(datos_base!$K$4+datos_base!$K$20+IF(parametros_manuales!$H$37="Todos",datos_base!$K$11+datos_base!$K$25,0))*parametros_manuales!$I$105+parametros_manuales!$G$37*(datos_base!$K$5+datos_base!$K$21+IF(parametros_manuales!$H$37="Todos",datos_base!$K$12+datos_base!$K$26,0))*parametros_manuales!$I$110)*parametros_manuales!$I$37*parametros_manuales!$J$37</f>
        <v>24787.26914114</v>
      </c>
      <c r="J263" s="9" t="n">
        <f aca="false">(parametros_manuales!$D$37*(datos_base!$K$2+datos_base!$K$18+IF(parametros_manuales!$H$37="Todos",datos_base!$K$9+datos_base!$K$23,0))*parametros_manuales!$J$95+parametros_manuales!$E$37*(datos_base!$K$3+datos_base!$K$19+IF(parametros_manuales!$H$37="Todos",datos_base!$K$10+datos_base!$K$24,0))*parametros_manuales!$J$100+parametros_manuales!$F$37*(datos_base!$K$4+datos_base!$K$20+IF(parametros_manuales!$H$37="Todos",datos_base!$K$11+datos_base!$K$25,0))*parametros_manuales!$J$105+parametros_manuales!$G$37*(datos_base!$K$5+datos_base!$K$21+IF(parametros_manuales!$H$37="Todos",datos_base!$K$12+datos_base!$K$26,0))*parametros_manuales!$J$110)*parametros_manuales!$I$37*parametros_manuales!$J$37</f>
        <v>24787.26914114</v>
      </c>
      <c r="K263" s="9" t="n">
        <f aca="false">(parametros_manuales!$D$37*(datos_base!$K$2+datos_base!$K$18+IF(parametros_manuales!$H$37="Todos",datos_base!$K$9+datos_base!$K$23,0))*parametros_manuales!$K$95+parametros_manuales!$E$37*(datos_base!$K$3+datos_base!$K$19+IF(parametros_manuales!$H$37="Todos",datos_base!$K$10+datos_base!$K$24,0))*parametros_manuales!$K$100+parametros_manuales!$F$37*(datos_base!$K$4+datos_base!$K$20+IF(parametros_manuales!$H$37="Todos",datos_base!$K$11+datos_base!$K$25,0))*parametros_manuales!$K$105+parametros_manuales!$G$37*(datos_base!$K$5+datos_base!$K$21+IF(parametros_manuales!$H$37="Todos",datos_base!$K$12+datos_base!$K$26,0))*parametros_manuales!$K$110)*parametros_manuales!$I$37*parametros_manuales!$J$37</f>
        <v>25196.732367355</v>
      </c>
      <c r="L263" s="9" t="n">
        <f aca="false">(parametros_manuales!$D$37*(datos_base!$K$2+datos_base!$K$18+IF(parametros_manuales!$H$37="Todos",datos_base!$K$9+datos_base!$K$23,0))*parametros_manuales!$L$95+parametros_manuales!$E$37*(datos_base!$K$3+datos_base!$K$19+IF(parametros_manuales!$H$37="Todos",datos_base!$K$10+datos_base!$K$24,0))*parametros_manuales!$L$100+parametros_manuales!$F$37*(datos_base!$K$4+datos_base!$K$20+IF(parametros_manuales!$H$37="Todos",datos_base!$K$11+datos_base!$K$25,0))*parametros_manuales!$L$105+parametros_manuales!$G$37*(datos_base!$K$5+datos_base!$K$21+IF(parametros_manuales!$H$37="Todos",datos_base!$K$12+datos_base!$K$26,0))*parametros_manuales!$L$110)*parametros_manuales!$I$37*parametros_manuales!$J$37</f>
        <v>25606.19559357</v>
      </c>
      <c r="M263" s="9" t="n">
        <f aca="false">(parametros_manuales!$D$37*(datos_base!$K$2+datos_base!$K$18+IF(parametros_manuales!$H$37="Todos",datos_base!$K$9+datos_base!$K$23,0))*parametros_manuales!$M$95+parametros_manuales!$E$37*(datos_base!$K$3+datos_base!$K$19+IF(parametros_manuales!$H$37="Todos",datos_base!$K$10+datos_base!$K$24,0))*parametros_manuales!$M$100+parametros_manuales!$F$37*(datos_base!$K$4+datos_base!$K$20+IF(parametros_manuales!$H$37="Todos",datos_base!$K$11+datos_base!$K$25,0))*parametros_manuales!$M$105+parametros_manuales!$G$37*(datos_base!$K$5+datos_base!$K$21+IF(parametros_manuales!$H$37="Todos",datos_base!$K$12+datos_base!$K$26,0))*parametros_manuales!$M$110)*parametros_manuales!$I$37*parametros_manuales!$J$37</f>
        <v>25606.19559357</v>
      </c>
      <c r="N263" s="9" t="n">
        <f aca="false">SUM(B263:M263)</f>
        <v>284513.284373</v>
      </c>
      <c r="O263" s="9" t="n">
        <f aca="false">MAX(B263:M263)</f>
        <v>25606.19559357</v>
      </c>
      <c r="P263" s="43" t="n">
        <f aca="false">O263/(parametros_manuales!$B$7)</f>
        <v>170.7079706238</v>
      </c>
      <c r="Q263" s="8" t="str">
        <f aca="false">IF(O263=0,"-",INDEX($B$244:$M$244,MATCH(O263,B263:M263,0)))</f>
        <v>Ene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datos_base!$K$2+datos_base!$K$18+IF(parametros_manuales!$H$38="Todos",datos_base!$K$9+datos_base!$K$23,0))*parametros_manuales!$B$95+parametros_manuales!$E$38*(datos_base!$K$3+datos_base!$K$19+IF(parametros_manuales!$H$38="Todos",datos_base!$K$10+datos_base!$K$24,0))*parametros_manuales!$B$100+parametros_manuales!$F$38*(datos_base!$K$4+datos_base!$K$20+IF(parametros_manuales!$H$38="Todos",datos_base!$K$11+datos_base!$K$25,0))*parametros_manuales!$B$105+parametros_manuales!$G$38*(datos_base!$K$5+datos_base!$K$21+IF(parametros_manuales!$H$38="Todos",datos_base!$K$12+datos_base!$K$26,0))*parametros_manuales!$B$110)*parametros_manuales!$I$38*parametros_manuales!$J$38</f>
        <v>6496.99239357</v>
      </c>
      <c r="C264" s="9" t="n">
        <f aca="false">(parametros_manuales!$D$38*(datos_base!$K$2+datos_base!$K$18+IF(parametros_manuales!$H$38="Todos",datos_base!$K$9+datos_base!$K$23,0))*parametros_manuales!$C$95+parametros_manuales!$E$38*(datos_base!$K$3+datos_base!$K$19+IF(parametros_manuales!$H$38="Todos",datos_base!$K$10+datos_base!$K$24,0))*parametros_manuales!$C$100+parametros_manuales!$F$38*(datos_base!$K$4+datos_base!$K$20+IF(parametros_manuales!$H$38="Todos",datos_base!$K$11+datos_base!$K$25,0))*parametros_manuales!$C$105+parametros_manuales!$G$38*(datos_base!$K$5+datos_base!$K$21+IF(parametros_manuales!$H$38="Todos",datos_base!$K$12+datos_base!$K$26,0))*parametros_manuales!$C$110)*parametros_manuales!$I$38*parametros_manuales!$J$38</f>
        <v>6095.83074114</v>
      </c>
      <c r="D264" s="9" t="n">
        <f aca="false">(parametros_manuales!$D$38*(datos_base!$K$2+datos_base!$K$18+IF(parametros_manuales!$H$38="Todos",datos_base!$K$9+datos_base!$K$23,0))*parametros_manuales!$D$95+parametros_manuales!$E$38*(datos_base!$K$3+datos_base!$K$19+IF(parametros_manuales!$H$38="Todos",datos_base!$K$10+datos_base!$K$24,0))*parametros_manuales!$D$100+parametros_manuales!$F$38*(datos_base!$K$4+datos_base!$K$20+IF(parametros_manuales!$H$38="Todos",datos_base!$K$11+datos_base!$K$25,0))*parametros_manuales!$D$105+parametros_manuales!$G$38*(datos_base!$K$5+datos_base!$K$21+IF(parametros_manuales!$H$38="Todos",datos_base!$K$12+datos_base!$K$26,0))*parametros_manuales!$D$110)*parametros_manuales!$I$38*parametros_manuales!$J$38</f>
        <v>5975.685176055</v>
      </c>
      <c r="E264" s="9" t="n">
        <f aca="false">(parametros_manuales!$D$38*(datos_base!$K$2+datos_base!$K$18+IF(parametros_manuales!$H$38="Todos",datos_base!$K$9+datos_base!$K$23,0))*parametros_manuales!$E$95+parametros_manuales!$E$38*(datos_base!$K$3+datos_base!$K$19+IF(parametros_manuales!$H$38="Todos",datos_base!$K$10+datos_base!$K$24,0))*parametros_manuales!$E$100+parametros_manuales!$F$38*(datos_base!$K$4+datos_base!$K$20+IF(parametros_manuales!$H$38="Todos",datos_base!$K$11+datos_base!$K$25,0))*parametros_manuales!$E$105+parametros_manuales!$G$38*(datos_base!$K$5+datos_base!$K$21+IF(parametros_manuales!$H$38="Todos",datos_base!$K$12+datos_base!$K$26,0))*parametros_manuales!$E$110)*parametros_manuales!$I$38*parametros_manuales!$J$38</f>
        <v>5815.321980405</v>
      </c>
      <c r="F264" s="9" t="n">
        <f aca="false">(parametros_manuales!$D$38*(datos_base!$K$2+datos_base!$K$18+IF(parametros_manuales!$H$38="Todos",datos_base!$K$9+datos_base!$K$23,0))*parametros_manuales!$F$95+parametros_manuales!$E$38*(datos_base!$K$3+datos_base!$K$19+IF(parametros_manuales!$H$38="Todos",datos_base!$K$10+datos_base!$K$24,0))*parametros_manuales!$F$100+parametros_manuales!$F$38*(datos_base!$K$4+datos_base!$K$20+IF(parametros_manuales!$H$38="Todos",datos_base!$K$11+datos_base!$K$25,0))*parametros_manuales!$F$105+parametros_manuales!$G$38*(datos_base!$K$5+datos_base!$K$21+IF(parametros_manuales!$H$38="Todos",datos_base!$K$12+datos_base!$K$26,0))*parametros_manuales!$F$110)*parametros_manuales!$I$38*parametros_manuales!$J$38</f>
        <v>5454.37795854</v>
      </c>
      <c r="G264" s="9" t="n">
        <f aca="false">(parametros_manuales!$D$38*(datos_base!$K$2+datos_base!$K$18+IF(parametros_manuales!$H$38="Todos",datos_base!$K$9+datos_base!$K$23,0))*parametros_manuales!$G$95+parametros_manuales!$E$38*(datos_base!$K$3+datos_base!$K$19+IF(parametros_manuales!$H$38="Todos",datos_base!$K$10+datos_base!$K$24,0))*parametros_manuales!$G$100+parametros_manuales!$F$38*(datos_base!$K$4+datos_base!$K$20+IF(parametros_manuales!$H$38="Todos",datos_base!$K$11+datos_base!$K$25,0))*parametros_manuales!$G$105+parametros_manuales!$G$38*(datos_base!$K$5+datos_base!$K$21+IF(parametros_manuales!$H$38="Todos",datos_base!$K$12+datos_base!$K$26,0))*parametros_manuales!$G$110)*parametros_manuales!$I$38*parametros_manuales!$J$38</f>
        <v>5253.797132325</v>
      </c>
      <c r="H264" s="9" t="n">
        <f aca="false">(parametros_manuales!$D$38*(datos_base!$K$2+datos_base!$K$18+IF(parametros_manuales!$H$38="Todos",datos_base!$K$9+datos_base!$K$23,0))*parametros_manuales!$H$95+parametros_manuales!$E$38*(datos_base!$K$3+datos_base!$K$19+IF(parametros_manuales!$H$38="Todos",datos_base!$K$10+datos_base!$K$24,0))*parametros_manuales!$H$100+parametros_manuales!$F$38*(datos_base!$K$4+datos_base!$K$20+IF(parametros_manuales!$H$38="Todos",datos_base!$K$11+datos_base!$K$25,0))*parametros_manuales!$H$105+parametros_manuales!$G$38*(datos_base!$K$5+datos_base!$K$21+IF(parametros_manuales!$H$38="Todos",datos_base!$K$12+datos_base!$K$26,0))*parametros_manuales!$H$110)*parametros_manuales!$I$38*parametros_manuales!$J$38</f>
        <v>5614.74115419</v>
      </c>
      <c r="I264" s="9" t="n">
        <f aca="false">(parametros_manuales!$D$38*(datos_base!$K$2+datos_base!$K$18+IF(parametros_manuales!$H$38="Todos",datos_base!$K$9+datos_base!$K$23,0))*parametros_manuales!$I$95+parametros_manuales!$E$38*(datos_base!$K$3+datos_base!$K$19+IF(parametros_manuales!$H$38="Todos",datos_base!$K$10+datos_base!$K$24,0))*parametros_manuales!$I$100+parametros_manuales!$F$38*(datos_base!$K$4+datos_base!$K$20+IF(parametros_manuales!$H$38="Todos",datos_base!$K$11+datos_base!$K$25,0))*parametros_manuales!$I$105+parametros_manuales!$G$38*(datos_base!$K$5+datos_base!$K$21+IF(parametros_manuales!$H$38="Todos",datos_base!$K$12+datos_base!$K$26,0))*parametros_manuales!$I$110)*parametros_manuales!$I$38*parametros_manuales!$J$38</f>
        <v>6095.83074114</v>
      </c>
      <c r="J264" s="9" t="n">
        <f aca="false">(parametros_manuales!$D$38*(datos_base!$K$2+datos_base!$K$18+IF(parametros_manuales!$H$38="Todos",datos_base!$K$9+datos_base!$K$23,0))*parametros_manuales!$J$95+parametros_manuales!$E$38*(datos_base!$K$3+datos_base!$K$19+IF(parametros_manuales!$H$38="Todos",datos_base!$K$10+datos_base!$K$24,0))*parametros_manuales!$J$100+parametros_manuales!$F$38*(datos_base!$K$4+datos_base!$K$20+IF(parametros_manuales!$H$38="Todos",datos_base!$K$11+datos_base!$K$25,0))*parametros_manuales!$J$105+parametros_manuales!$G$38*(datos_base!$K$5+datos_base!$K$21+IF(parametros_manuales!$H$38="Todos",datos_base!$K$12+datos_base!$K$26,0))*parametros_manuales!$J$110)*parametros_manuales!$I$38*parametros_manuales!$J$38</f>
        <v>6095.83074114</v>
      </c>
      <c r="K264" s="9" t="n">
        <f aca="false">(parametros_manuales!$D$38*(datos_base!$K$2+datos_base!$K$18+IF(parametros_manuales!$H$38="Todos",datos_base!$K$9+datos_base!$K$23,0))*parametros_manuales!$K$95+parametros_manuales!$E$38*(datos_base!$K$3+datos_base!$K$19+IF(parametros_manuales!$H$38="Todos",datos_base!$K$10+datos_base!$K$24,0))*parametros_manuales!$K$100+parametros_manuales!$F$38*(datos_base!$K$4+datos_base!$K$20+IF(parametros_manuales!$H$38="Todos",datos_base!$K$11+datos_base!$K$25,0))*parametros_manuales!$K$105+parametros_manuales!$G$38*(datos_base!$K$5+datos_base!$K$21+IF(parametros_manuales!$H$38="Todos",datos_base!$K$12+datos_base!$K$26,0))*parametros_manuales!$K$110)*parametros_manuales!$I$38*parametros_manuales!$J$38</f>
        <v>6296.411567355</v>
      </c>
      <c r="L264" s="9" t="n">
        <f aca="false">(parametros_manuales!$D$38*(datos_base!$K$2+datos_base!$K$18+IF(parametros_manuales!$H$38="Todos",datos_base!$K$9+datos_base!$K$23,0))*parametros_manuales!$L$95+parametros_manuales!$E$38*(datos_base!$K$3+datos_base!$K$19+IF(parametros_manuales!$H$38="Todos",datos_base!$K$10+datos_base!$K$24,0))*parametros_manuales!$L$100+parametros_manuales!$F$38*(datos_base!$K$4+datos_base!$K$20+IF(parametros_manuales!$H$38="Todos",datos_base!$K$11+datos_base!$K$25,0))*parametros_manuales!$L$105+parametros_manuales!$G$38*(datos_base!$K$5+datos_base!$K$21+IF(parametros_manuales!$H$38="Todos",datos_base!$K$12+datos_base!$K$26,0))*parametros_manuales!$L$110)*parametros_manuales!$I$38*parametros_manuales!$J$38</f>
        <v>6496.99239357</v>
      </c>
      <c r="M264" s="9" t="n">
        <f aca="false">(parametros_manuales!$D$38*(datos_base!$K$2+datos_base!$K$18+IF(parametros_manuales!$H$38="Todos",datos_base!$K$9+datos_base!$K$23,0))*parametros_manuales!$M$95+parametros_manuales!$E$38*(datos_base!$K$3+datos_base!$K$19+IF(parametros_manuales!$H$38="Todos",datos_base!$K$10+datos_base!$K$24,0))*parametros_manuales!$M$100+parametros_manuales!$F$38*(datos_base!$K$4+datos_base!$K$20+IF(parametros_manuales!$H$38="Todos",datos_base!$K$11+datos_base!$K$25,0))*parametros_manuales!$M$105+parametros_manuales!$G$38*(datos_base!$K$5+datos_base!$K$21+IF(parametros_manuales!$H$38="Todos",datos_base!$K$12+datos_base!$K$26,0))*parametros_manuales!$M$110)*parametros_manuales!$I$38*parametros_manuales!$J$38</f>
        <v>6496.99239357</v>
      </c>
      <c r="N264" s="9" t="n">
        <f aca="false">SUM(B264:M264)</f>
        <v>72188.804373</v>
      </c>
      <c r="O264" s="9" t="n">
        <f aca="false">MAX(B264:M264)</f>
        <v>6496.99239357</v>
      </c>
      <c r="P264" s="43" t="n">
        <f aca="false">O264/(parametros_manuales!$B$7)</f>
        <v>43.3132826238</v>
      </c>
      <c r="Q264" s="8" t="str">
        <f aca="false">IF(O264=0,"-",INDEX($B$244:$M$244,MATCH(O264,B264:M264,0)))</f>
        <v>Ene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datos_base!$K$2+datos_base!$K$18+IF(parametros_manuales!$H$39="Todos",datos_base!$K$9+datos_base!$K$23,0))*parametros_manuales!$B$95+parametros_manuales!$E$39*(datos_base!$K$3+datos_base!$K$19+IF(parametros_manuales!$H$39="Todos",datos_base!$K$10+datos_base!$K$24,0))*parametros_manuales!$B$100+parametros_manuales!$F$39*(datos_base!$K$4+datos_base!$K$20+IF(parametros_manuales!$H$39="Todos",datos_base!$K$11+datos_base!$K$25,0))*parametros_manuales!$B$105+parametros_manuales!$G$39*(datos_base!$K$5+datos_base!$K$21+IF(parametros_manuales!$H$39="Todos",datos_base!$K$12+datos_base!$K$26,0))*parametros_manuales!$B$110)*parametros_manuales!$I$39*parametros_manuales!$J$39</f>
        <v>6496.99239357</v>
      </c>
      <c r="C265" s="9" t="n">
        <f aca="false">(parametros_manuales!$D$39*(datos_base!$K$2+datos_base!$K$18+IF(parametros_manuales!$H$39="Todos",datos_base!$K$9+datos_base!$K$23,0))*parametros_manuales!$C$95+parametros_manuales!$E$39*(datos_base!$K$3+datos_base!$K$19+IF(parametros_manuales!$H$39="Todos",datos_base!$K$10+datos_base!$K$24,0))*parametros_manuales!$C$100+parametros_manuales!$F$39*(datos_base!$K$4+datos_base!$K$20+IF(parametros_manuales!$H$39="Todos",datos_base!$K$11+datos_base!$K$25,0))*parametros_manuales!$C$105+parametros_manuales!$G$39*(datos_base!$K$5+datos_base!$K$21+IF(parametros_manuales!$H$39="Todos",datos_base!$K$12+datos_base!$K$26,0))*parametros_manuales!$C$110)*parametros_manuales!$I$39*parametros_manuales!$J$39</f>
        <v>6095.83074114</v>
      </c>
      <c r="D265" s="9" t="n">
        <f aca="false">(parametros_manuales!$D$39*(datos_base!$K$2+datos_base!$K$18+IF(parametros_manuales!$H$39="Todos",datos_base!$K$9+datos_base!$K$23,0))*parametros_manuales!$D$95+parametros_manuales!$E$39*(datos_base!$K$3+datos_base!$K$19+IF(parametros_manuales!$H$39="Todos",datos_base!$K$10+datos_base!$K$24,0))*parametros_manuales!$D$100+parametros_manuales!$F$39*(datos_base!$K$4+datos_base!$K$20+IF(parametros_manuales!$H$39="Todos",datos_base!$K$11+datos_base!$K$25,0))*parametros_manuales!$D$105+parametros_manuales!$G$39*(datos_base!$K$5+datos_base!$K$21+IF(parametros_manuales!$H$39="Todos",datos_base!$K$12+datos_base!$K$26,0))*parametros_manuales!$D$110)*parametros_manuales!$I$39*parametros_manuales!$J$39</f>
        <v>5975.685176055</v>
      </c>
      <c r="E265" s="9" t="n">
        <f aca="false">(parametros_manuales!$D$39*(datos_base!$K$2+datos_base!$K$18+IF(parametros_manuales!$H$39="Todos",datos_base!$K$9+datos_base!$K$23,0))*parametros_manuales!$E$95+parametros_manuales!$E$39*(datos_base!$K$3+datos_base!$K$19+IF(parametros_manuales!$H$39="Todos",datos_base!$K$10+datos_base!$K$24,0))*parametros_manuales!$E$100+parametros_manuales!$F$39*(datos_base!$K$4+datos_base!$K$20+IF(parametros_manuales!$H$39="Todos",datos_base!$K$11+datos_base!$K$25,0))*parametros_manuales!$E$105+parametros_manuales!$G$39*(datos_base!$K$5+datos_base!$K$21+IF(parametros_manuales!$H$39="Todos",datos_base!$K$12+datos_base!$K$26,0))*parametros_manuales!$E$110)*parametros_manuales!$I$39*parametros_manuales!$J$39</f>
        <v>5815.321980405</v>
      </c>
      <c r="F265" s="9" t="n">
        <f aca="false">(parametros_manuales!$D$39*(datos_base!$K$2+datos_base!$K$18+IF(parametros_manuales!$H$39="Todos",datos_base!$K$9+datos_base!$K$23,0))*parametros_manuales!$F$95+parametros_manuales!$E$39*(datos_base!$K$3+datos_base!$K$19+IF(parametros_manuales!$H$39="Todos",datos_base!$K$10+datos_base!$K$24,0))*parametros_manuales!$F$100+parametros_manuales!$F$39*(datos_base!$K$4+datos_base!$K$20+IF(parametros_manuales!$H$39="Todos",datos_base!$K$11+datos_base!$K$25,0))*parametros_manuales!$F$105+parametros_manuales!$G$39*(datos_base!$K$5+datos_base!$K$21+IF(parametros_manuales!$H$39="Todos",datos_base!$K$12+datos_base!$K$26,0))*parametros_manuales!$F$110)*parametros_manuales!$I$39*parametros_manuales!$J$39</f>
        <v>5454.37795854</v>
      </c>
      <c r="G265" s="9" t="n">
        <f aca="false">(parametros_manuales!$D$39*(datos_base!$K$2+datos_base!$K$18+IF(parametros_manuales!$H$39="Todos",datos_base!$K$9+datos_base!$K$23,0))*parametros_manuales!$G$95+parametros_manuales!$E$39*(datos_base!$K$3+datos_base!$K$19+IF(parametros_manuales!$H$39="Todos",datos_base!$K$10+datos_base!$K$24,0))*parametros_manuales!$G$100+parametros_manuales!$F$39*(datos_base!$K$4+datos_base!$K$20+IF(parametros_manuales!$H$39="Todos",datos_base!$K$11+datos_base!$K$25,0))*parametros_manuales!$G$105+parametros_manuales!$G$39*(datos_base!$K$5+datos_base!$K$21+IF(parametros_manuales!$H$39="Todos",datos_base!$K$12+datos_base!$K$26,0))*parametros_manuales!$G$110)*parametros_manuales!$I$39*parametros_manuales!$J$39</f>
        <v>5253.797132325</v>
      </c>
      <c r="H265" s="9" t="n">
        <f aca="false">(parametros_manuales!$D$39*(datos_base!$K$2+datos_base!$K$18+IF(parametros_manuales!$H$39="Todos",datos_base!$K$9+datos_base!$K$23,0))*parametros_manuales!$H$95+parametros_manuales!$E$39*(datos_base!$K$3+datos_base!$K$19+IF(parametros_manuales!$H$39="Todos",datos_base!$K$10+datos_base!$K$24,0))*parametros_manuales!$H$100+parametros_manuales!$F$39*(datos_base!$K$4+datos_base!$K$20+IF(parametros_manuales!$H$39="Todos",datos_base!$K$11+datos_base!$K$25,0))*parametros_manuales!$H$105+parametros_manuales!$G$39*(datos_base!$K$5+datos_base!$K$21+IF(parametros_manuales!$H$39="Todos",datos_base!$K$12+datos_base!$K$26,0))*parametros_manuales!$H$110)*parametros_manuales!$I$39*parametros_manuales!$J$39</f>
        <v>5614.74115419</v>
      </c>
      <c r="I265" s="9" t="n">
        <f aca="false">(parametros_manuales!$D$39*(datos_base!$K$2+datos_base!$K$18+IF(parametros_manuales!$H$39="Todos",datos_base!$K$9+datos_base!$K$23,0))*parametros_manuales!$I$95+parametros_manuales!$E$39*(datos_base!$K$3+datos_base!$K$19+IF(parametros_manuales!$H$39="Todos",datos_base!$K$10+datos_base!$K$24,0))*parametros_manuales!$I$100+parametros_manuales!$F$39*(datos_base!$K$4+datos_base!$K$20+IF(parametros_manuales!$H$39="Todos",datos_base!$K$11+datos_base!$K$25,0))*parametros_manuales!$I$105+parametros_manuales!$G$39*(datos_base!$K$5+datos_base!$K$21+IF(parametros_manuales!$H$39="Todos",datos_base!$K$12+datos_base!$K$26,0))*parametros_manuales!$I$110)*parametros_manuales!$I$39*parametros_manuales!$J$39</f>
        <v>6095.83074114</v>
      </c>
      <c r="J265" s="9" t="n">
        <f aca="false">(parametros_manuales!$D$39*(datos_base!$K$2+datos_base!$K$18+IF(parametros_manuales!$H$39="Todos",datos_base!$K$9+datos_base!$K$23,0))*parametros_manuales!$J$95+parametros_manuales!$E$39*(datos_base!$K$3+datos_base!$K$19+IF(parametros_manuales!$H$39="Todos",datos_base!$K$10+datos_base!$K$24,0))*parametros_manuales!$J$100+parametros_manuales!$F$39*(datos_base!$K$4+datos_base!$K$20+IF(parametros_manuales!$H$39="Todos",datos_base!$K$11+datos_base!$K$25,0))*parametros_manuales!$J$105+parametros_manuales!$G$39*(datos_base!$K$5+datos_base!$K$21+IF(parametros_manuales!$H$39="Todos",datos_base!$K$12+datos_base!$K$26,0))*parametros_manuales!$J$110)*parametros_manuales!$I$39*parametros_manuales!$J$39</f>
        <v>6095.83074114</v>
      </c>
      <c r="K265" s="9" t="n">
        <f aca="false">(parametros_manuales!$D$39*(datos_base!$K$2+datos_base!$K$18+IF(parametros_manuales!$H$39="Todos",datos_base!$K$9+datos_base!$K$23,0))*parametros_manuales!$K$95+parametros_manuales!$E$39*(datos_base!$K$3+datos_base!$K$19+IF(parametros_manuales!$H$39="Todos",datos_base!$K$10+datos_base!$K$24,0))*parametros_manuales!$K$100+parametros_manuales!$F$39*(datos_base!$K$4+datos_base!$K$20+IF(parametros_manuales!$H$39="Todos",datos_base!$K$11+datos_base!$K$25,0))*parametros_manuales!$K$105+parametros_manuales!$G$39*(datos_base!$K$5+datos_base!$K$21+IF(parametros_manuales!$H$39="Todos",datos_base!$K$12+datos_base!$K$26,0))*parametros_manuales!$K$110)*parametros_manuales!$I$39*parametros_manuales!$J$39</f>
        <v>6296.411567355</v>
      </c>
      <c r="L265" s="9" t="n">
        <f aca="false">(parametros_manuales!$D$39*(datos_base!$K$2+datos_base!$K$18+IF(parametros_manuales!$H$39="Todos",datos_base!$K$9+datos_base!$K$23,0))*parametros_manuales!$L$95+parametros_manuales!$E$39*(datos_base!$K$3+datos_base!$K$19+IF(parametros_manuales!$H$39="Todos",datos_base!$K$10+datos_base!$K$24,0))*parametros_manuales!$L$100+parametros_manuales!$F$39*(datos_base!$K$4+datos_base!$K$20+IF(parametros_manuales!$H$39="Todos",datos_base!$K$11+datos_base!$K$25,0))*parametros_manuales!$L$105+parametros_manuales!$G$39*(datos_base!$K$5+datos_base!$K$21+IF(parametros_manuales!$H$39="Todos",datos_base!$K$12+datos_base!$K$26,0))*parametros_manuales!$L$110)*parametros_manuales!$I$39*parametros_manuales!$J$39</f>
        <v>6496.99239357</v>
      </c>
      <c r="M265" s="9" t="n">
        <f aca="false">(parametros_manuales!$D$39*(datos_base!$K$2+datos_base!$K$18+IF(parametros_manuales!$H$39="Todos",datos_base!$K$9+datos_base!$K$23,0))*parametros_manuales!$M$95+parametros_manuales!$E$39*(datos_base!$K$3+datos_base!$K$19+IF(parametros_manuales!$H$39="Todos",datos_base!$K$10+datos_base!$K$24,0))*parametros_manuales!$M$100+parametros_manuales!$F$39*(datos_base!$K$4+datos_base!$K$20+IF(parametros_manuales!$H$39="Todos",datos_base!$K$11+datos_base!$K$25,0))*parametros_manuales!$M$105+parametros_manuales!$G$39*(datos_base!$K$5+datos_base!$K$21+IF(parametros_manuales!$H$39="Todos",datos_base!$K$12+datos_base!$K$26,0))*parametros_manuales!$M$110)*parametros_manuales!$I$39*parametros_manuales!$J$39</f>
        <v>6496.99239357</v>
      </c>
      <c r="N265" s="9" t="n">
        <f aca="false">SUM(B265:M265)</f>
        <v>72188.804373</v>
      </c>
      <c r="O265" s="9" t="n">
        <f aca="false">MAX(B265:M265)</f>
        <v>6496.99239357</v>
      </c>
      <c r="P265" s="43" t="n">
        <f aca="false">O265/(parametros_manuales!$B$7)</f>
        <v>43.3132826238</v>
      </c>
      <c r="Q265" s="8" t="str">
        <f aca="false">IF(O265=0,"-",INDEX($B$244:$M$244,MATCH(O265,B265:M265,0)))</f>
        <v>Ene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datos_base!$K$2+datos_base!$K$18+IF(parametros_manuales!$H$40="Todos",datos_base!$K$9+datos_base!$K$23,0))*parametros_manuales!$B$95+parametros_manuales!$E$40*(datos_base!$K$3+datos_base!$K$19+IF(parametros_manuales!$H$40="Todos",datos_base!$K$10+datos_base!$K$24,0))*parametros_manuales!$B$100+parametros_manuales!$F$40*(datos_base!$K$4+datos_base!$K$20+IF(parametros_manuales!$H$40="Todos",datos_base!$K$11+datos_base!$K$25,0))*parametros_manuales!$B$105+parametros_manuales!$G$40*(datos_base!$K$5+datos_base!$K$21+IF(parametros_manuales!$H$40="Todos",datos_base!$K$12+datos_base!$K$26,0))*parametros_manuales!$B$110)*parametros_manuales!$I$40*parametros_manuales!$J$40</f>
        <v>6496.99239357</v>
      </c>
      <c r="C266" s="9" t="n">
        <f aca="false">(parametros_manuales!$D$40*(datos_base!$K$2+datos_base!$K$18+IF(parametros_manuales!$H$40="Todos",datos_base!$K$9+datos_base!$K$23,0))*parametros_manuales!$C$95+parametros_manuales!$E$40*(datos_base!$K$3+datos_base!$K$19+IF(parametros_manuales!$H$40="Todos",datos_base!$K$10+datos_base!$K$24,0))*parametros_manuales!$C$100+parametros_manuales!$F$40*(datos_base!$K$4+datos_base!$K$20+IF(parametros_manuales!$H$40="Todos",datos_base!$K$11+datos_base!$K$25,0))*parametros_manuales!$C$105+parametros_manuales!$G$40*(datos_base!$K$5+datos_base!$K$21+IF(parametros_manuales!$H$40="Todos",datos_base!$K$12+datos_base!$K$26,0))*parametros_manuales!$C$110)*parametros_manuales!$I$40*parametros_manuales!$J$40</f>
        <v>6095.83074114</v>
      </c>
      <c r="D266" s="9" t="n">
        <f aca="false">(parametros_manuales!$D$40*(datos_base!$K$2+datos_base!$K$18+IF(parametros_manuales!$H$40="Todos",datos_base!$K$9+datos_base!$K$23,0))*parametros_manuales!$D$95+parametros_manuales!$E$40*(datos_base!$K$3+datos_base!$K$19+IF(parametros_manuales!$H$40="Todos",datos_base!$K$10+datos_base!$K$24,0))*parametros_manuales!$D$100+parametros_manuales!$F$40*(datos_base!$K$4+datos_base!$K$20+IF(parametros_manuales!$H$40="Todos",datos_base!$K$11+datos_base!$K$25,0))*parametros_manuales!$D$105+parametros_manuales!$G$40*(datos_base!$K$5+datos_base!$K$21+IF(parametros_manuales!$H$40="Todos",datos_base!$K$12+datos_base!$K$26,0))*parametros_manuales!$D$110)*parametros_manuales!$I$40*parametros_manuales!$J$40</f>
        <v>5975.685176055</v>
      </c>
      <c r="E266" s="9" t="n">
        <f aca="false">(parametros_manuales!$D$40*(datos_base!$K$2+datos_base!$K$18+IF(parametros_manuales!$H$40="Todos",datos_base!$K$9+datos_base!$K$23,0))*parametros_manuales!$E$95+parametros_manuales!$E$40*(datos_base!$K$3+datos_base!$K$19+IF(parametros_manuales!$H$40="Todos",datos_base!$K$10+datos_base!$K$24,0))*parametros_manuales!$E$100+parametros_manuales!$F$40*(datos_base!$K$4+datos_base!$K$20+IF(parametros_manuales!$H$40="Todos",datos_base!$K$11+datos_base!$K$25,0))*parametros_manuales!$E$105+parametros_manuales!$G$40*(datos_base!$K$5+datos_base!$K$21+IF(parametros_manuales!$H$40="Todos",datos_base!$K$12+datos_base!$K$26,0))*parametros_manuales!$E$110)*parametros_manuales!$I$40*parametros_manuales!$J$40</f>
        <v>5815.321980405</v>
      </c>
      <c r="F266" s="9" t="n">
        <f aca="false">(parametros_manuales!$D$40*(datos_base!$K$2+datos_base!$K$18+IF(parametros_manuales!$H$40="Todos",datos_base!$K$9+datos_base!$K$23,0))*parametros_manuales!$F$95+parametros_manuales!$E$40*(datos_base!$K$3+datos_base!$K$19+IF(parametros_manuales!$H$40="Todos",datos_base!$K$10+datos_base!$K$24,0))*parametros_manuales!$F$100+parametros_manuales!$F$40*(datos_base!$K$4+datos_base!$K$20+IF(parametros_manuales!$H$40="Todos",datos_base!$K$11+datos_base!$K$25,0))*parametros_manuales!$F$105+parametros_manuales!$G$40*(datos_base!$K$5+datos_base!$K$21+IF(parametros_manuales!$H$40="Todos",datos_base!$K$12+datos_base!$K$26,0))*parametros_manuales!$F$110)*parametros_manuales!$I$40*parametros_manuales!$J$40</f>
        <v>5454.37795854</v>
      </c>
      <c r="G266" s="9" t="n">
        <f aca="false">(parametros_manuales!$D$40*(datos_base!$K$2+datos_base!$K$18+IF(parametros_manuales!$H$40="Todos",datos_base!$K$9+datos_base!$K$23,0))*parametros_manuales!$G$95+parametros_manuales!$E$40*(datos_base!$K$3+datos_base!$K$19+IF(parametros_manuales!$H$40="Todos",datos_base!$K$10+datos_base!$K$24,0))*parametros_manuales!$G$100+parametros_manuales!$F$40*(datos_base!$K$4+datos_base!$K$20+IF(parametros_manuales!$H$40="Todos",datos_base!$K$11+datos_base!$K$25,0))*parametros_manuales!$G$105+parametros_manuales!$G$40*(datos_base!$K$5+datos_base!$K$21+IF(parametros_manuales!$H$40="Todos",datos_base!$K$12+datos_base!$K$26,0))*parametros_manuales!$G$110)*parametros_manuales!$I$40*parametros_manuales!$J$40</f>
        <v>5253.797132325</v>
      </c>
      <c r="H266" s="9" t="n">
        <f aca="false">(parametros_manuales!$D$40*(datos_base!$K$2+datos_base!$K$18+IF(parametros_manuales!$H$40="Todos",datos_base!$K$9+datos_base!$K$23,0))*parametros_manuales!$H$95+parametros_manuales!$E$40*(datos_base!$K$3+datos_base!$K$19+IF(parametros_manuales!$H$40="Todos",datos_base!$K$10+datos_base!$K$24,0))*parametros_manuales!$H$100+parametros_manuales!$F$40*(datos_base!$K$4+datos_base!$K$20+IF(parametros_manuales!$H$40="Todos",datos_base!$K$11+datos_base!$K$25,0))*parametros_manuales!$H$105+parametros_manuales!$G$40*(datos_base!$K$5+datos_base!$K$21+IF(parametros_manuales!$H$40="Todos",datos_base!$K$12+datos_base!$K$26,0))*parametros_manuales!$H$110)*parametros_manuales!$I$40*parametros_manuales!$J$40</f>
        <v>5614.74115419</v>
      </c>
      <c r="I266" s="9" t="n">
        <f aca="false">(parametros_manuales!$D$40*(datos_base!$K$2+datos_base!$K$18+IF(parametros_manuales!$H$40="Todos",datos_base!$K$9+datos_base!$K$23,0))*parametros_manuales!$I$95+parametros_manuales!$E$40*(datos_base!$K$3+datos_base!$K$19+IF(parametros_manuales!$H$40="Todos",datos_base!$K$10+datos_base!$K$24,0))*parametros_manuales!$I$100+parametros_manuales!$F$40*(datos_base!$K$4+datos_base!$K$20+IF(parametros_manuales!$H$40="Todos",datos_base!$K$11+datos_base!$K$25,0))*parametros_manuales!$I$105+parametros_manuales!$G$40*(datos_base!$K$5+datos_base!$K$21+IF(parametros_manuales!$H$40="Todos",datos_base!$K$12+datos_base!$K$26,0))*parametros_manuales!$I$110)*parametros_manuales!$I$40*parametros_manuales!$J$40</f>
        <v>6095.83074114</v>
      </c>
      <c r="J266" s="9" t="n">
        <f aca="false">(parametros_manuales!$D$40*(datos_base!$K$2+datos_base!$K$18+IF(parametros_manuales!$H$40="Todos",datos_base!$K$9+datos_base!$K$23,0))*parametros_manuales!$J$95+parametros_manuales!$E$40*(datos_base!$K$3+datos_base!$K$19+IF(parametros_manuales!$H$40="Todos",datos_base!$K$10+datos_base!$K$24,0))*parametros_manuales!$J$100+parametros_manuales!$F$40*(datos_base!$K$4+datos_base!$K$20+IF(parametros_manuales!$H$40="Todos",datos_base!$K$11+datos_base!$K$25,0))*parametros_manuales!$J$105+parametros_manuales!$G$40*(datos_base!$K$5+datos_base!$K$21+IF(parametros_manuales!$H$40="Todos",datos_base!$K$12+datos_base!$K$26,0))*parametros_manuales!$J$110)*parametros_manuales!$I$40*parametros_manuales!$J$40</f>
        <v>6095.83074114</v>
      </c>
      <c r="K266" s="9" t="n">
        <f aca="false">(parametros_manuales!$D$40*(datos_base!$K$2+datos_base!$K$18+IF(parametros_manuales!$H$40="Todos",datos_base!$K$9+datos_base!$K$23,0))*parametros_manuales!$K$95+parametros_manuales!$E$40*(datos_base!$K$3+datos_base!$K$19+IF(parametros_manuales!$H$40="Todos",datos_base!$K$10+datos_base!$K$24,0))*parametros_manuales!$K$100+parametros_manuales!$F$40*(datos_base!$K$4+datos_base!$K$20+IF(parametros_manuales!$H$40="Todos",datos_base!$K$11+datos_base!$K$25,0))*parametros_manuales!$K$105+parametros_manuales!$G$40*(datos_base!$K$5+datos_base!$K$21+IF(parametros_manuales!$H$40="Todos",datos_base!$K$12+datos_base!$K$26,0))*parametros_manuales!$K$110)*parametros_manuales!$I$40*parametros_manuales!$J$40</f>
        <v>6296.411567355</v>
      </c>
      <c r="L266" s="9" t="n">
        <f aca="false">(parametros_manuales!$D$40*(datos_base!$K$2+datos_base!$K$18+IF(parametros_manuales!$H$40="Todos",datos_base!$K$9+datos_base!$K$23,0))*parametros_manuales!$L$95+parametros_manuales!$E$40*(datos_base!$K$3+datos_base!$K$19+IF(parametros_manuales!$H$40="Todos",datos_base!$K$10+datos_base!$K$24,0))*parametros_manuales!$L$100+parametros_manuales!$F$40*(datos_base!$K$4+datos_base!$K$20+IF(parametros_manuales!$H$40="Todos",datos_base!$K$11+datos_base!$K$25,0))*parametros_manuales!$L$105+parametros_manuales!$G$40*(datos_base!$K$5+datos_base!$K$21+IF(parametros_manuales!$H$40="Todos",datos_base!$K$12+datos_base!$K$26,0))*parametros_manuales!$L$110)*parametros_manuales!$I$40*parametros_manuales!$J$40</f>
        <v>6496.99239357</v>
      </c>
      <c r="M266" s="9" t="n">
        <f aca="false">(parametros_manuales!$D$40*(datos_base!$K$2+datos_base!$K$18+IF(parametros_manuales!$H$40="Todos",datos_base!$K$9+datos_base!$K$23,0))*parametros_manuales!$M$95+parametros_manuales!$E$40*(datos_base!$K$3+datos_base!$K$19+IF(parametros_manuales!$H$40="Todos",datos_base!$K$10+datos_base!$K$24,0))*parametros_manuales!$M$100+parametros_manuales!$F$40*(datos_base!$K$4+datos_base!$K$20+IF(parametros_manuales!$H$40="Todos",datos_base!$K$11+datos_base!$K$25,0))*parametros_manuales!$M$105+parametros_manuales!$G$40*(datos_base!$K$5+datos_base!$K$21+IF(parametros_manuales!$H$40="Todos",datos_base!$K$12+datos_base!$K$26,0))*parametros_manuales!$M$110)*parametros_manuales!$I$40*parametros_manuales!$J$40</f>
        <v>6496.99239357</v>
      </c>
      <c r="N266" s="9" t="n">
        <f aca="false">SUM(B266:M266)</f>
        <v>72188.804373</v>
      </c>
      <c r="O266" s="9" t="n">
        <f aca="false">MAX(B266:M266)</f>
        <v>6496.99239357</v>
      </c>
      <c r="P266" s="43" t="n">
        <f aca="false">O266/(parametros_manuales!$B$7)</f>
        <v>43.3132826238</v>
      </c>
      <c r="Q266" s="8" t="str">
        <f aca="false">IF(O266=0,"-",INDEX($B$244:$M$244,MATCH(O266,B266:M266,0)))</f>
        <v>Ene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datos_base!$K$2+datos_base!$K$18+IF(parametros_manuales!$H$41="Todos",datos_base!$K$9+datos_base!$K$23,0))*parametros_manuales!$B$95+parametros_manuales!$E$41*(datos_base!$K$3+datos_base!$K$19+IF(parametros_manuales!$H$41="Todos",datos_base!$K$10+datos_base!$K$24,0))*parametros_manuales!$B$100+parametros_manuales!$F$41*(datos_base!$K$4+datos_base!$K$20+IF(parametros_manuales!$H$41="Todos",datos_base!$K$11+datos_base!$K$25,0))*parametros_manuales!$B$105+parametros_manuales!$G$41*(datos_base!$K$5+datos_base!$K$21+IF(parametros_manuales!$H$41="Todos",datos_base!$K$12+datos_base!$K$26,0))*parametros_manuales!$B$110)*parametros_manuales!$I$41*parametros_manuales!$J$41</f>
        <v>6496.99239357</v>
      </c>
      <c r="C267" s="9" t="n">
        <f aca="false">(parametros_manuales!$D$41*(datos_base!$K$2+datos_base!$K$18+IF(parametros_manuales!$H$41="Todos",datos_base!$K$9+datos_base!$K$23,0))*parametros_manuales!$C$95+parametros_manuales!$E$41*(datos_base!$K$3+datos_base!$K$19+IF(parametros_manuales!$H$41="Todos",datos_base!$K$10+datos_base!$K$24,0))*parametros_manuales!$C$100+parametros_manuales!$F$41*(datos_base!$K$4+datos_base!$K$20+IF(parametros_manuales!$H$41="Todos",datos_base!$K$11+datos_base!$K$25,0))*parametros_manuales!$C$105+parametros_manuales!$G$41*(datos_base!$K$5+datos_base!$K$21+IF(parametros_manuales!$H$41="Todos",datos_base!$K$12+datos_base!$K$26,0))*parametros_manuales!$C$110)*parametros_manuales!$I$41*parametros_manuales!$J$41</f>
        <v>6095.83074114</v>
      </c>
      <c r="D267" s="9" t="n">
        <f aca="false">(parametros_manuales!$D$41*(datos_base!$K$2+datos_base!$K$18+IF(parametros_manuales!$H$41="Todos",datos_base!$K$9+datos_base!$K$23,0))*parametros_manuales!$D$95+parametros_manuales!$E$41*(datos_base!$K$3+datos_base!$K$19+IF(parametros_manuales!$H$41="Todos",datos_base!$K$10+datos_base!$K$24,0))*parametros_manuales!$D$100+parametros_manuales!$F$41*(datos_base!$K$4+datos_base!$K$20+IF(parametros_manuales!$H$41="Todos",datos_base!$K$11+datos_base!$K$25,0))*parametros_manuales!$D$105+parametros_manuales!$G$41*(datos_base!$K$5+datos_base!$K$21+IF(parametros_manuales!$H$41="Todos",datos_base!$K$12+datos_base!$K$26,0))*parametros_manuales!$D$110)*parametros_manuales!$I$41*parametros_manuales!$J$41</f>
        <v>5975.685176055</v>
      </c>
      <c r="E267" s="9" t="n">
        <f aca="false">(parametros_manuales!$D$41*(datos_base!$K$2+datos_base!$K$18+IF(parametros_manuales!$H$41="Todos",datos_base!$K$9+datos_base!$K$23,0))*parametros_manuales!$E$95+parametros_manuales!$E$41*(datos_base!$K$3+datos_base!$K$19+IF(parametros_manuales!$H$41="Todos",datos_base!$K$10+datos_base!$K$24,0))*parametros_manuales!$E$100+parametros_manuales!$F$41*(datos_base!$K$4+datos_base!$K$20+IF(parametros_manuales!$H$41="Todos",datos_base!$K$11+datos_base!$K$25,0))*parametros_manuales!$E$105+parametros_manuales!$G$41*(datos_base!$K$5+datos_base!$K$21+IF(parametros_manuales!$H$41="Todos",datos_base!$K$12+datos_base!$K$26,0))*parametros_manuales!$E$110)*parametros_manuales!$I$41*parametros_manuales!$J$41</f>
        <v>5815.321980405</v>
      </c>
      <c r="F267" s="9" t="n">
        <f aca="false">(parametros_manuales!$D$41*(datos_base!$K$2+datos_base!$K$18+IF(parametros_manuales!$H$41="Todos",datos_base!$K$9+datos_base!$K$23,0))*parametros_manuales!$F$95+parametros_manuales!$E$41*(datos_base!$K$3+datos_base!$K$19+IF(parametros_manuales!$H$41="Todos",datos_base!$K$10+datos_base!$K$24,0))*parametros_manuales!$F$100+parametros_manuales!$F$41*(datos_base!$K$4+datos_base!$K$20+IF(parametros_manuales!$H$41="Todos",datos_base!$K$11+datos_base!$K$25,0))*parametros_manuales!$F$105+parametros_manuales!$G$41*(datos_base!$K$5+datos_base!$K$21+IF(parametros_manuales!$H$41="Todos",datos_base!$K$12+datos_base!$K$26,0))*parametros_manuales!$F$110)*parametros_manuales!$I$41*parametros_manuales!$J$41</f>
        <v>5454.37795854</v>
      </c>
      <c r="G267" s="9" t="n">
        <f aca="false">(parametros_manuales!$D$41*(datos_base!$K$2+datos_base!$K$18+IF(parametros_manuales!$H$41="Todos",datos_base!$K$9+datos_base!$K$23,0))*parametros_manuales!$G$95+parametros_manuales!$E$41*(datos_base!$K$3+datos_base!$K$19+IF(parametros_manuales!$H$41="Todos",datos_base!$K$10+datos_base!$K$24,0))*parametros_manuales!$G$100+parametros_manuales!$F$41*(datos_base!$K$4+datos_base!$K$20+IF(parametros_manuales!$H$41="Todos",datos_base!$K$11+datos_base!$K$25,0))*parametros_manuales!$G$105+parametros_manuales!$G$41*(datos_base!$K$5+datos_base!$K$21+IF(parametros_manuales!$H$41="Todos",datos_base!$K$12+datos_base!$K$26,0))*parametros_manuales!$G$110)*parametros_manuales!$I$41*parametros_manuales!$J$41</f>
        <v>5253.797132325</v>
      </c>
      <c r="H267" s="9" t="n">
        <f aca="false">(parametros_manuales!$D$41*(datos_base!$K$2+datos_base!$K$18+IF(parametros_manuales!$H$41="Todos",datos_base!$K$9+datos_base!$K$23,0))*parametros_manuales!$H$95+parametros_manuales!$E$41*(datos_base!$K$3+datos_base!$K$19+IF(parametros_manuales!$H$41="Todos",datos_base!$K$10+datos_base!$K$24,0))*parametros_manuales!$H$100+parametros_manuales!$F$41*(datos_base!$K$4+datos_base!$K$20+IF(parametros_manuales!$H$41="Todos",datos_base!$K$11+datos_base!$K$25,0))*parametros_manuales!$H$105+parametros_manuales!$G$41*(datos_base!$K$5+datos_base!$K$21+IF(parametros_manuales!$H$41="Todos",datos_base!$K$12+datos_base!$K$26,0))*parametros_manuales!$H$110)*parametros_manuales!$I$41*parametros_manuales!$J$41</f>
        <v>5614.74115419</v>
      </c>
      <c r="I267" s="9" t="n">
        <f aca="false">(parametros_manuales!$D$41*(datos_base!$K$2+datos_base!$K$18+IF(parametros_manuales!$H$41="Todos",datos_base!$K$9+datos_base!$K$23,0))*parametros_manuales!$I$95+parametros_manuales!$E$41*(datos_base!$K$3+datos_base!$K$19+IF(parametros_manuales!$H$41="Todos",datos_base!$K$10+datos_base!$K$24,0))*parametros_manuales!$I$100+parametros_manuales!$F$41*(datos_base!$K$4+datos_base!$K$20+IF(parametros_manuales!$H$41="Todos",datos_base!$K$11+datos_base!$K$25,0))*parametros_manuales!$I$105+parametros_manuales!$G$41*(datos_base!$K$5+datos_base!$K$21+IF(parametros_manuales!$H$41="Todos",datos_base!$K$12+datos_base!$K$26,0))*parametros_manuales!$I$110)*parametros_manuales!$I$41*parametros_manuales!$J$41</f>
        <v>6095.83074114</v>
      </c>
      <c r="J267" s="9" t="n">
        <f aca="false">(parametros_manuales!$D$41*(datos_base!$K$2+datos_base!$K$18+IF(parametros_manuales!$H$41="Todos",datos_base!$K$9+datos_base!$K$23,0))*parametros_manuales!$J$95+parametros_manuales!$E$41*(datos_base!$K$3+datos_base!$K$19+IF(parametros_manuales!$H$41="Todos",datos_base!$K$10+datos_base!$K$24,0))*parametros_manuales!$J$100+parametros_manuales!$F$41*(datos_base!$K$4+datos_base!$K$20+IF(parametros_manuales!$H$41="Todos",datos_base!$K$11+datos_base!$K$25,0))*parametros_manuales!$J$105+parametros_manuales!$G$41*(datos_base!$K$5+datos_base!$K$21+IF(parametros_manuales!$H$41="Todos",datos_base!$K$12+datos_base!$K$26,0))*parametros_manuales!$J$110)*parametros_manuales!$I$41*parametros_manuales!$J$41</f>
        <v>6095.83074114</v>
      </c>
      <c r="K267" s="9" t="n">
        <f aca="false">(parametros_manuales!$D$41*(datos_base!$K$2+datos_base!$K$18+IF(parametros_manuales!$H$41="Todos",datos_base!$K$9+datos_base!$K$23,0))*parametros_manuales!$K$95+parametros_manuales!$E$41*(datos_base!$K$3+datos_base!$K$19+IF(parametros_manuales!$H$41="Todos",datos_base!$K$10+datos_base!$K$24,0))*parametros_manuales!$K$100+parametros_manuales!$F$41*(datos_base!$K$4+datos_base!$K$20+IF(parametros_manuales!$H$41="Todos",datos_base!$K$11+datos_base!$K$25,0))*parametros_manuales!$K$105+parametros_manuales!$G$41*(datos_base!$K$5+datos_base!$K$21+IF(parametros_manuales!$H$41="Todos",datos_base!$K$12+datos_base!$K$26,0))*parametros_manuales!$K$110)*parametros_manuales!$I$41*parametros_manuales!$J$41</f>
        <v>6296.411567355</v>
      </c>
      <c r="L267" s="9" t="n">
        <f aca="false">(parametros_manuales!$D$41*(datos_base!$K$2+datos_base!$K$18+IF(parametros_manuales!$H$41="Todos",datos_base!$K$9+datos_base!$K$23,0))*parametros_manuales!$L$95+parametros_manuales!$E$41*(datos_base!$K$3+datos_base!$K$19+IF(parametros_manuales!$H$41="Todos",datos_base!$K$10+datos_base!$K$24,0))*parametros_manuales!$L$100+parametros_manuales!$F$41*(datos_base!$K$4+datos_base!$K$20+IF(parametros_manuales!$H$41="Todos",datos_base!$K$11+datos_base!$K$25,0))*parametros_manuales!$L$105+parametros_manuales!$G$41*(datos_base!$K$5+datos_base!$K$21+IF(parametros_manuales!$H$41="Todos",datos_base!$K$12+datos_base!$K$26,0))*parametros_manuales!$L$110)*parametros_manuales!$I$41*parametros_manuales!$J$41</f>
        <v>6496.99239357</v>
      </c>
      <c r="M267" s="9" t="n">
        <f aca="false">(parametros_manuales!$D$41*(datos_base!$K$2+datos_base!$K$18+IF(parametros_manuales!$H$41="Todos",datos_base!$K$9+datos_base!$K$23,0))*parametros_manuales!$M$95+parametros_manuales!$E$41*(datos_base!$K$3+datos_base!$K$19+IF(parametros_manuales!$H$41="Todos",datos_base!$K$10+datos_base!$K$24,0))*parametros_manuales!$M$100+parametros_manuales!$F$41*(datos_base!$K$4+datos_base!$K$20+IF(parametros_manuales!$H$41="Todos",datos_base!$K$11+datos_base!$K$25,0))*parametros_manuales!$M$105+parametros_manuales!$G$41*(datos_base!$K$5+datos_base!$K$21+IF(parametros_manuales!$H$41="Todos",datos_base!$K$12+datos_base!$K$26,0))*parametros_manuales!$M$110)*parametros_manuales!$I$41*parametros_manuales!$J$41</f>
        <v>6496.99239357</v>
      </c>
      <c r="N267" s="9" t="n">
        <f aca="false">SUM(B267:M267)</f>
        <v>72188.804373</v>
      </c>
      <c r="O267" s="9" t="n">
        <f aca="false">MAX(B267:M267)</f>
        <v>6496.99239357</v>
      </c>
      <c r="P267" s="43" t="n">
        <f aca="false">O267/(parametros_manuales!$B$7)</f>
        <v>43.3132826238</v>
      </c>
      <c r="Q267" s="8" t="str">
        <f aca="false">IF(O267=0,"-",INDEX($B$244:$M$244,MATCH(O267,B267:M267,0)))</f>
        <v>Ene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datos_base!$K$2+datos_base!$K$18+IF(parametros_manuales!$H$42="Todos",datos_base!$K$9+datos_base!$K$23,0))*parametros_manuales!$B$95+parametros_manuales!$E$42*(datos_base!$K$3+datos_base!$K$19+IF(parametros_manuales!$H$42="Todos",datos_base!$K$10+datos_base!$K$24,0))*parametros_manuales!$B$100+parametros_manuales!$F$42*(datos_base!$K$4+datos_base!$K$20+IF(parametros_manuales!$H$42="Todos",datos_base!$K$11+datos_base!$K$25,0))*parametros_manuales!$B$105+parametros_manuales!$G$42*(datos_base!$K$5+datos_base!$K$21+IF(parametros_manuales!$H$42="Todos",datos_base!$K$12+datos_base!$K$26,0))*parametros_manuales!$B$110)*parametros_manuales!$I$42*parametros_manuales!$J$42</f>
        <v>6496.99239357</v>
      </c>
      <c r="C268" s="9" t="n">
        <f aca="false">(parametros_manuales!$D$42*(datos_base!$K$2+datos_base!$K$18+IF(parametros_manuales!$H$42="Todos",datos_base!$K$9+datos_base!$K$23,0))*parametros_manuales!$C$95+parametros_manuales!$E$42*(datos_base!$K$3+datos_base!$K$19+IF(parametros_manuales!$H$42="Todos",datos_base!$K$10+datos_base!$K$24,0))*parametros_manuales!$C$100+parametros_manuales!$F$42*(datos_base!$K$4+datos_base!$K$20+IF(parametros_manuales!$H$42="Todos",datos_base!$K$11+datos_base!$K$25,0))*parametros_manuales!$C$105+parametros_manuales!$G$42*(datos_base!$K$5+datos_base!$K$21+IF(parametros_manuales!$H$42="Todos",datos_base!$K$12+datos_base!$K$26,0))*parametros_manuales!$C$110)*parametros_manuales!$I$42*parametros_manuales!$J$42</f>
        <v>6095.83074114</v>
      </c>
      <c r="D268" s="9" t="n">
        <f aca="false">(parametros_manuales!$D$42*(datos_base!$K$2+datos_base!$K$18+IF(parametros_manuales!$H$42="Todos",datos_base!$K$9+datos_base!$K$23,0))*parametros_manuales!$D$95+parametros_manuales!$E$42*(datos_base!$K$3+datos_base!$K$19+IF(parametros_manuales!$H$42="Todos",datos_base!$K$10+datos_base!$K$24,0))*parametros_manuales!$D$100+parametros_manuales!$F$42*(datos_base!$K$4+datos_base!$K$20+IF(parametros_manuales!$H$42="Todos",datos_base!$K$11+datos_base!$K$25,0))*parametros_manuales!$D$105+parametros_manuales!$G$42*(datos_base!$K$5+datos_base!$K$21+IF(parametros_manuales!$H$42="Todos",datos_base!$K$12+datos_base!$K$26,0))*parametros_manuales!$D$110)*parametros_manuales!$I$42*parametros_manuales!$J$42</f>
        <v>5975.685176055</v>
      </c>
      <c r="E268" s="9" t="n">
        <f aca="false">(parametros_manuales!$D$42*(datos_base!$K$2+datos_base!$K$18+IF(parametros_manuales!$H$42="Todos",datos_base!$K$9+datos_base!$K$23,0))*parametros_manuales!$E$95+parametros_manuales!$E$42*(datos_base!$K$3+datos_base!$K$19+IF(parametros_manuales!$H$42="Todos",datos_base!$K$10+datos_base!$K$24,0))*parametros_manuales!$E$100+parametros_manuales!$F$42*(datos_base!$K$4+datos_base!$K$20+IF(parametros_manuales!$H$42="Todos",datos_base!$K$11+datos_base!$K$25,0))*parametros_manuales!$E$105+parametros_manuales!$G$42*(datos_base!$K$5+datos_base!$K$21+IF(parametros_manuales!$H$42="Todos",datos_base!$K$12+datos_base!$K$26,0))*parametros_manuales!$E$110)*parametros_manuales!$I$42*parametros_manuales!$J$42</f>
        <v>5815.321980405</v>
      </c>
      <c r="F268" s="9" t="n">
        <f aca="false">(parametros_manuales!$D$42*(datos_base!$K$2+datos_base!$K$18+IF(parametros_manuales!$H$42="Todos",datos_base!$K$9+datos_base!$K$23,0))*parametros_manuales!$F$95+parametros_manuales!$E$42*(datos_base!$K$3+datos_base!$K$19+IF(parametros_manuales!$H$42="Todos",datos_base!$K$10+datos_base!$K$24,0))*parametros_manuales!$F$100+parametros_manuales!$F$42*(datos_base!$K$4+datos_base!$K$20+IF(parametros_manuales!$H$42="Todos",datos_base!$K$11+datos_base!$K$25,0))*parametros_manuales!$F$105+parametros_manuales!$G$42*(datos_base!$K$5+datos_base!$K$21+IF(parametros_manuales!$H$42="Todos",datos_base!$K$12+datos_base!$K$26,0))*parametros_manuales!$F$110)*parametros_manuales!$I$42*parametros_manuales!$J$42</f>
        <v>5454.37795854</v>
      </c>
      <c r="G268" s="9" t="n">
        <f aca="false">(parametros_manuales!$D$42*(datos_base!$K$2+datos_base!$K$18+IF(parametros_manuales!$H$42="Todos",datos_base!$K$9+datos_base!$K$23,0))*parametros_manuales!$G$95+parametros_manuales!$E$42*(datos_base!$K$3+datos_base!$K$19+IF(parametros_manuales!$H$42="Todos",datos_base!$K$10+datos_base!$K$24,0))*parametros_manuales!$G$100+parametros_manuales!$F$42*(datos_base!$K$4+datos_base!$K$20+IF(parametros_manuales!$H$42="Todos",datos_base!$K$11+datos_base!$K$25,0))*parametros_manuales!$G$105+parametros_manuales!$G$42*(datos_base!$K$5+datos_base!$K$21+IF(parametros_manuales!$H$42="Todos",datos_base!$K$12+datos_base!$K$26,0))*parametros_manuales!$G$110)*parametros_manuales!$I$42*parametros_manuales!$J$42</f>
        <v>5253.797132325</v>
      </c>
      <c r="H268" s="9" t="n">
        <f aca="false">(parametros_manuales!$D$42*(datos_base!$K$2+datos_base!$K$18+IF(parametros_manuales!$H$42="Todos",datos_base!$K$9+datos_base!$K$23,0))*parametros_manuales!$H$95+parametros_manuales!$E$42*(datos_base!$K$3+datos_base!$K$19+IF(parametros_manuales!$H$42="Todos",datos_base!$K$10+datos_base!$K$24,0))*parametros_manuales!$H$100+parametros_manuales!$F$42*(datos_base!$K$4+datos_base!$K$20+IF(parametros_manuales!$H$42="Todos",datos_base!$K$11+datos_base!$K$25,0))*parametros_manuales!$H$105+parametros_manuales!$G$42*(datos_base!$K$5+datos_base!$K$21+IF(parametros_manuales!$H$42="Todos",datos_base!$K$12+datos_base!$K$26,0))*parametros_manuales!$H$110)*parametros_manuales!$I$42*parametros_manuales!$J$42</f>
        <v>5614.74115419</v>
      </c>
      <c r="I268" s="9" t="n">
        <f aca="false">(parametros_manuales!$D$42*(datos_base!$K$2+datos_base!$K$18+IF(parametros_manuales!$H$42="Todos",datos_base!$K$9+datos_base!$K$23,0))*parametros_manuales!$I$95+parametros_manuales!$E$42*(datos_base!$K$3+datos_base!$K$19+IF(parametros_manuales!$H$42="Todos",datos_base!$K$10+datos_base!$K$24,0))*parametros_manuales!$I$100+parametros_manuales!$F$42*(datos_base!$K$4+datos_base!$K$20+IF(parametros_manuales!$H$42="Todos",datos_base!$K$11+datos_base!$K$25,0))*parametros_manuales!$I$105+parametros_manuales!$G$42*(datos_base!$K$5+datos_base!$K$21+IF(parametros_manuales!$H$42="Todos",datos_base!$K$12+datos_base!$K$26,0))*parametros_manuales!$I$110)*parametros_manuales!$I$42*parametros_manuales!$J$42</f>
        <v>6095.83074114</v>
      </c>
      <c r="J268" s="9" t="n">
        <f aca="false">(parametros_manuales!$D$42*(datos_base!$K$2+datos_base!$K$18+IF(parametros_manuales!$H$42="Todos",datos_base!$K$9+datos_base!$K$23,0))*parametros_manuales!$J$95+parametros_manuales!$E$42*(datos_base!$K$3+datos_base!$K$19+IF(parametros_manuales!$H$42="Todos",datos_base!$K$10+datos_base!$K$24,0))*parametros_manuales!$J$100+parametros_manuales!$F$42*(datos_base!$K$4+datos_base!$K$20+IF(parametros_manuales!$H$42="Todos",datos_base!$K$11+datos_base!$K$25,0))*parametros_manuales!$J$105+parametros_manuales!$G$42*(datos_base!$K$5+datos_base!$K$21+IF(parametros_manuales!$H$42="Todos",datos_base!$K$12+datos_base!$K$26,0))*parametros_manuales!$J$110)*parametros_manuales!$I$42*parametros_manuales!$J$42</f>
        <v>6095.83074114</v>
      </c>
      <c r="K268" s="9" t="n">
        <f aca="false">(parametros_manuales!$D$42*(datos_base!$K$2+datos_base!$K$18+IF(parametros_manuales!$H$42="Todos",datos_base!$K$9+datos_base!$K$23,0))*parametros_manuales!$K$95+parametros_manuales!$E$42*(datos_base!$K$3+datos_base!$K$19+IF(parametros_manuales!$H$42="Todos",datos_base!$K$10+datos_base!$K$24,0))*parametros_manuales!$K$100+parametros_manuales!$F$42*(datos_base!$K$4+datos_base!$K$20+IF(parametros_manuales!$H$42="Todos",datos_base!$K$11+datos_base!$K$25,0))*parametros_manuales!$K$105+parametros_manuales!$G$42*(datos_base!$K$5+datos_base!$K$21+IF(parametros_manuales!$H$42="Todos",datos_base!$K$12+datos_base!$K$26,0))*parametros_manuales!$K$110)*parametros_manuales!$I$42*parametros_manuales!$J$42</f>
        <v>6296.411567355</v>
      </c>
      <c r="L268" s="9" t="n">
        <f aca="false">(parametros_manuales!$D$42*(datos_base!$K$2+datos_base!$K$18+IF(parametros_manuales!$H$42="Todos",datos_base!$K$9+datos_base!$K$23,0))*parametros_manuales!$L$95+parametros_manuales!$E$42*(datos_base!$K$3+datos_base!$K$19+IF(parametros_manuales!$H$42="Todos",datos_base!$K$10+datos_base!$K$24,0))*parametros_manuales!$L$100+parametros_manuales!$F$42*(datos_base!$K$4+datos_base!$K$20+IF(parametros_manuales!$H$42="Todos",datos_base!$K$11+datos_base!$K$25,0))*parametros_manuales!$L$105+parametros_manuales!$G$42*(datos_base!$K$5+datos_base!$K$21+IF(parametros_manuales!$H$42="Todos",datos_base!$K$12+datos_base!$K$26,0))*parametros_manuales!$L$110)*parametros_manuales!$I$42*parametros_manuales!$J$42</f>
        <v>6496.99239357</v>
      </c>
      <c r="M268" s="9" t="n">
        <f aca="false">(parametros_manuales!$D$42*(datos_base!$K$2+datos_base!$K$18+IF(parametros_manuales!$H$42="Todos",datos_base!$K$9+datos_base!$K$23,0))*parametros_manuales!$M$95+parametros_manuales!$E$42*(datos_base!$K$3+datos_base!$K$19+IF(parametros_manuales!$H$42="Todos",datos_base!$K$10+datos_base!$K$24,0))*parametros_manuales!$M$100+parametros_manuales!$F$42*(datos_base!$K$4+datos_base!$K$20+IF(parametros_manuales!$H$42="Todos",datos_base!$K$11+datos_base!$K$25,0))*parametros_manuales!$M$105+parametros_manuales!$G$42*(datos_base!$K$5+datos_base!$K$21+IF(parametros_manuales!$H$42="Todos",datos_base!$K$12+datos_base!$K$26,0))*parametros_manuales!$M$110)*parametros_manuales!$I$42*parametros_manuales!$J$42</f>
        <v>6496.99239357</v>
      </c>
      <c r="N268" s="9" t="n">
        <f aca="false">SUM(B268:M268)</f>
        <v>72188.804373</v>
      </c>
      <c r="O268" s="9" t="n">
        <f aca="false">MAX(B268:M268)</f>
        <v>6496.99239357</v>
      </c>
      <c r="P268" s="43" t="n">
        <f aca="false">O268/(parametros_manuales!$B$7)</f>
        <v>43.3132826238</v>
      </c>
      <c r="Q268" s="8" t="str">
        <f aca="false">IF(O268=0,"-",INDEX($B$244:$M$244,MATCH(O268,B268:M268,0)))</f>
        <v>Ene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datos_base!$K$2+datos_base!$K$18+IF(parametros_manuales!$H$43="Todos",datos_base!$K$9+datos_base!$K$23,0))*parametros_manuales!$B$95+parametros_manuales!$E$43*(datos_base!$K$3+datos_base!$K$19+IF(parametros_manuales!$H$43="Todos",datos_base!$K$10+datos_base!$K$24,0))*parametros_manuales!$B$100+parametros_manuales!$F$43*(datos_base!$K$4+datos_base!$K$20+IF(parametros_manuales!$H$43="Todos",datos_base!$K$11+datos_base!$K$25,0))*parametros_manuales!$B$105+parametros_manuales!$G$43*(datos_base!$K$5+datos_base!$K$21+IF(parametros_manuales!$H$43="Todos",datos_base!$K$12+datos_base!$K$26,0))*parametros_manuales!$B$110)*parametros_manuales!$I$43*parametros_manuales!$J$43</f>
        <v>25606.19559357</v>
      </c>
      <c r="C269" s="9" t="n">
        <f aca="false">(parametros_manuales!$D$43*(datos_base!$K$2+datos_base!$K$18+IF(parametros_manuales!$H$43="Todos",datos_base!$K$9+datos_base!$K$23,0))*parametros_manuales!$C$95+parametros_manuales!$E$43*(datos_base!$K$3+datos_base!$K$19+IF(parametros_manuales!$H$43="Todos",datos_base!$K$10+datos_base!$K$24,0))*parametros_manuales!$C$100+parametros_manuales!$F$43*(datos_base!$K$4+datos_base!$K$20+IF(parametros_manuales!$H$43="Todos",datos_base!$K$11+datos_base!$K$25,0))*parametros_manuales!$C$105+parametros_manuales!$G$43*(datos_base!$K$5+datos_base!$K$21+IF(parametros_manuales!$H$43="Todos",datos_base!$K$12+datos_base!$K$26,0))*parametros_manuales!$C$110)*parametros_manuales!$I$43*parametros_manuales!$J$43</f>
        <v>24787.26914114</v>
      </c>
      <c r="D269" s="9" t="n">
        <f aca="false">(parametros_manuales!$D$43*(datos_base!$K$2+datos_base!$K$18+IF(parametros_manuales!$H$43="Todos",datos_base!$K$9+datos_base!$K$23,0))*parametros_manuales!$D$95+parametros_manuales!$E$43*(datos_base!$K$3+datos_base!$K$19+IF(parametros_manuales!$H$43="Todos",datos_base!$K$10+datos_base!$K$24,0))*parametros_manuales!$D$100+parametros_manuales!$F$43*(datos_base!$K$4+datos_base!$K$20+IF(parametros_manuales!$H$43="Todos",datos_base!$K$11+datos_base!$K$25,0))*parametros_manuales!$D$105+parametros_manuales!$G$43*(datos_base!$K$5+datos_base!$K$21+IF(parametros_manuales!$H$43="Todos",datos_base!$K$12+datos_base!$K$26,0))*parametros_manuales!$D$110)*parametros_manuales!$I$43*parametros_manuales!$J$43</f>
        <v>23170.525976055</v>
      </c>
      <c r="E269" s="9" t="n">
        <f aca="false">(parametros_manuales!$D$43*(datos_base!$K$2+datos_base!$K$18+IF(parametros_manuales!$H$43="Todos",datos_base!$K$9+datos_base!$K$23,0))*parametros_manuales!$E$95+parametros_manuales!$E$43*(datos_base!$K$3+datos_base!$K$19+IF(parametros_manuales!$H$43="Todos",datos_base!$K$10+datos_base!$K$24,0))*parametros_manuales!$E$100+parametros_manuales!$F$43*(datos_base!$K$4+datos_base!$K$20+IF(parametros_manuales!$H$43="Todos",datos_base!$K$11+datos_base!$K$25,0))*parametros_manuales!$E$105+parametros_manuales!$G$43*(datos_base!$K$5+datos_base!$K$21+IF(parametros_manuales!$H$43="Todos",datos_base!$K$12+datos_base!$K$26,0))*parametros_manuales!$E$110)*parametros_manuales!$I$43*parametros_manuales!$J$43</f>
        <v>22157.422780405</v>
      </c>
      <c r="F269" s="9" t="n">
        <f aca="false">(parametros_manuales!$D$43*(datos_base!$K$2+datos_base!$K$18+IF(parametros_manuales!$H$43="Todos",datos_base!$K$9+datos_base!$K$23,0))*parametros_manuales!$F$95+parametros_manuales!$E$43*(datos_base!$K$3+datos_base!$K$19+IF(parametros_manuales!$H$43="Todos",datos_base!$K$10+datos_base!$K$24,0))*parametros_manuales!$F$100+parametros_manuales!$F$43*(datos_base!$K$4+datos_base!$K$20+IF(parametros_manuales!$H$43="Todos",datos_base!$K$11+datos_base!$K$25,0))*parametros_manuales!$F$105+parametros_manuales!$G$43*(datos_base!$K$5+datos_base!$K$21+IF(parametros_manuales!$H$43="Todos",datos_base!$K$12+datos_base!$K$26,0))*parametros_manuales!$F$110)*parametros_manuales!$I$43*parametros_manuales!$J$43</f>
        <v>20734.85635854</v>
      </c>
      <c r="G269" s="9" t="n">
        <f aca="false">(parametros_manuales!$D$43*(datos_base!$K$2+datos_base!$K$18+IF(parametros_manuales!$H$43="Todos",datos_base!$K$9+datos_base!$K$23,0))*parametros_manuales!$G$95+parametros_manuales!$E$43*(datos_base!$K$3+datos_base!$K$19+IF(parametros_manuales!$H$43="Todos",datos_base!$K$10+datos_base!$K$24,0))*parametros_manuales!$G$100+parametros_manuales!$F$43*(datos_base!$K$4+datos_base!$K$20+IF(parametros_manuales!$H$43="Todos",datos_base!$K$11+datos_base!$K$25,0))*parametros_manuales!$G$105+parametros_manuales!$G$43*(datos_base!$K$5+datos_base!$K$21+IF(parametros_manuales!$H$43="Todos",datos_base!$K$12+datos_base!$K$26,0))*parametros_manuales!$G$110)*parametros_manuales!$I$43*parametros_manuales!$J$43</f>
        <v>20325.393132325</v>
      </c>
      <c r="H269" s="9" t="n">
        <f aca="false">(parametros_manuales!$D$43*(datos_base!$K$2+datos_base!$K$18+IF(parametros_manuales!$H$43="Todos",datos_base!$K$9+datos_base!$K$23,0))*parametros_manuales!$H$95+parametros_manuales!$E$43*(datos_base!$K$3+datos_base!$K$19+IF(parametros_manuales!$H$43="Todos",datos_base!$K$10+datos_base!$K$24,0))*parametros_manuales!$H$100+parametros_manuales!$F$43*(datos_base!$K$4+datos_base!$K$20+IF(parametros_manuales!$H$43="Todos",datos_base!$K$11+datos_base!$K$25,0))*parametros_manuales!$H$105+parametros_manuales!$G$43*(datos_base!$K$5+datos_base!$K$21+IF(parametros_manuales!$H$43="Todos",datos_base!$K$12+datos_base!$K$26,0))*parametros_manuales!$H$110)*parametros_manuales!$I$43*parametros_manuales!$J$43</f>
        <v>21747.95955419</v>
      </c>
      <c r="I269" s="9" t="n">
        <f aca="false">(parametros_manuales!$D$43*(datos_base!$K$2+datos_base!$K$18+IF(parametros_manuales!$H$43="Todos",datos_base!$K$9+datos_base!$K$23,0))*parametros_manuales!$I$95+parametros_manuales!$E$43*(datos_base!$K$3+datos_base!$K$19+IF(parametros_manuales!$H$43="Todos",datos_base!$K$10+datos_base!$K$24,0))*parametros_manuales!$I$100+parametros_manuales!$F$43*(datos_base!$K$4+datos_base!$K$20+IF(parametros_manuales!$H$43="Todos",datos_base!$K$11+datos_base!$K$25,0))*parametros_manuales!$I$105+parametros_manuales!$G$43*(datos_base!$K$5+datos_base!$K$21+IF(parametros_manuales!$H$43="Todos",datos_base!$K$12+datos_base!$K$26,0))*parametros_manuales!$I$110)*parametros_manuales!$I$43*parametros_manuales!$J$43</f>
        <v>24787.26914114</v>
      </c>
      <c r="J269" s="9" t="n">
        <f aca="false">(parametros_manuales!$D$43*(datos_base!$K$2+datos_base!$K$18+IF(parametros_manuales!$H$43="Todos",datos_base!$K$9+datos_base!$K$23,0))*parametros_manuales!$J$95+parametros_manuales!$E$43*(datos_base!$K$3+datos_base!$K$19+IF(parametros_manuales!$H$43="Todos",datos_base!$K$10+datos_base!$K$24,0))*parametros_manuales!$J$100+parametros_manuales!$F$43*(datos_base!$K$4+datos_base!$K$20+IF(parametros_manuales!$H$43="Todos",datos_base!$K$11+datos_base!$K$25,0))*parametros_manuales!$J$105+parametros_manuales!$G$43*(datos_base!$K$5+datos_base!$K$21+IF(parametros_manuales!$H$43="Todos",datos_base!$K$12+datos_base!$K$26,0))*parametros_manuales!$J$110)*parametros_manuales!$I$43*parametros_manuales!$J$43</f>
        <v>24787.26914114</v>
      </c>
      <c r="K269" s="9" t="n">
        <f aca="false">(parametros_manuales!$D$43*(datos_base!$K$2+datos_base!$K$18+IF(parametros_manuales!$H$43="Todos",datos_base!$K$9+datos_base!$K$23,0))*parametros_manuales!$K$95+parametros_manuales!$E$43*(datos_base!$K$3+datos_base!$K$19+IF(parametros_manuales!$H$43="Todos",datos_base!$K$10+datos_base!$K$24,0))*parametros_manuales!$K$100+parametros_manuales!$F$43*(datos_base!$K$4+datos_base!$K$20+IF(parametros_manuales!$H$43="Todos",datos_base!$K$11+datos_base!$K$25,0))*parametros_manuales!$K$105+parametros_manuales!$G$43*(datos_base!$K$5+datos_base!$K$21+IF(parametros_manuales!$H$43="Todos",datos_base!$K$12+datos_base!$K$26,0))*parametros_manuales!$K$110)*parametros_manuales!$I$43*parametros_manuales!$J$43</f>
        <v>25196.732367355</v>
      </c>
      <c r="L269" s="9" t="n">
        <f aca="false">(parametros_manuales!$D$43*(datos_base!$K$2+datos_base!$K$18+IF(parametros_manuales!$H$43="Todos",datos_base!$K$9+datos_base!$K$23,0))*parametros_manuales!$L$95+parametros_manuales!$E$43*(datos_base!$K$3+datos_base!$K$19+IF(parametros_manuales!$H$43="Todos",datos_base!$K$10+datos_base!$K$24,0))*parametros_manuales!$L$100+parametros_manuales!$F$43*(datos_base!$K$4+datos_base!$K$20+IF(parametros_manuales!$H$43="Todos",datos_base!$K$11+datos_base!$K$25,0))*parametros_manuales!$L$105+parametros_manuales!$G$43*(datos_base!$K$5+datos_base!$K$21+IF(parametros_manuales!$H$43="Todos",datos_base!$K$12+datos_base!$K$26,0))*parametros_manuales!$L$110)*parametros_manuales!$I$43*parametros_manuales!$J$43</f>
        <v>25606.19559357</v>
      </c>
      <c r="M269" s="9" t="n">
        <f aca="false">(parametros_manuales!$D$43*(datos_base!$K$2+datos_base!$K$18+IF(parametros_manuales!$H$43="Todos",datos_base!$K$9+datos_base!$K$23,0))*parametros_manuales!$M$95+parametros_manuales!$E$43*(datos_base!$K$3+datos_base!$K$19+IF(parametros_manuales!$H$43="Todos",datos_base!$K$10+datos_base!$K$24,0))*parametros_manuales!$M$100+parametros_manuales!$F$43*(datos_base!$K$4+datos_base!$K$20+IF(parametros_manuales!$H$43="Todos",datos_base!$K$11+datos_base!$K$25,0))*parametros_manuales!$M$105+parametros_manuales!$G$43*(datos_base!$K$5+datos_base!$K$21+IF(parametros_manuales!$H$43="Todos",datos_base!$K$12+datos_base!$K$26,0))*parametros_manuales!$M$110)*parametros_manuales!$I$43*parametros_manuales!$J$43</f>
        <v>25606.19559357</v>
      </c>
      <c r="N269" s="9" t="n">
        <f aca="false">SUM(B269:M269)</f>
        <v>284513.284373</v>
      </c>
      <c r="O269" s="9" t="n">
        <f aca="false">MAX(B269:M269)</f>
        <v>25606.19559357</v>
      </c>
      <c r="P269" s="43" t="n">
        <f aca="false">O269/(parametros_manuales!$B$7)</f>
        <v>170.7079706238</v>
      </c>
      <c r="Q269" s="8" t="str">
        <f aca="false">IF(O269=0,"-",INDEX($B$244:$M$244,MATCH(O269,B269:M269,0)))</f>
        <v>Ene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57" t="s">
        <v>200</v>
      </c>
      <c r="B1" s="57" t="n">
        <v>2026</v>
      </c>
      <c r="C1" s="57" t="n">
        <v>2027</v>
      </c>
      <c r="D1" s="57" t="n">
        <v>2028</v>
      </c>
      <c r="E1" s="57" t="n">
        <v>2029</v>
      </c>
      <c r="F1" s="57" t="n">
        <v>2030</v>
      </c>
      <c r="G1" s="57" t="n">
        <v>2031</v>
      </c>
      <c r="H1" s="57" t="n">
        <v>2032</v>
      </c>
      <c r="I1" s="57" t="n">
        <v>2033</v>
      </c>
      <c r="J1" s="57" t="n">
        <v>2034</v>
      </c>
      <c r="K1" s="57" t="n">
        <v>2035</v>
      </c>
      <c r="L1" s="57" t="s">
        <v>201</v>
      </c>
      <c r="O1" s="56" t="s">
        <v>215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45" t="n">
        <f aca="false">IF(B30*B58*parametros_manuales!$M$19*parametros_manuales!$B$6=0,0,'Demanda puesto con sobrestock'!$P$2/(parametros_manuales!$M$19*B30*B58*parametros_manuales!$B$6))</f>
        <v>0.0686537310673</v>
      </c>
      <c r="C2" s="45" t="n">
        <f aca="false">IF(C30*C58*parametros_manuales!$M$19*parametros_manuales!$B$6=0,0,'Demanda puesto con sobrestock'!$P$29/(parametros_manuales!$M$19*C30*C58*parametros_manuales!$B$6))</f>
        <v>0.10857777605</v>
      </c>
      <c r="D2" s="45" t="n">
        <f aca="false">IF(D30*D58*parametros_manuales!$M$19*parametros_manuales!$B$6=0,0,'Demanda puesto con sobrestock'!$P$56/(parametros_manuales!$M$19*D30*D58*parametros_manuales!$B$6))</f>
        <v>0.229396921864</v>
      </c>
      <c r="E2" s="45" t="n">
        <f aca="false">IF(E30*E58*parametros_manuales!$M$19*parametros_manuales!$B$6=0,0,'Demanda puesto con sobrestock'!$P$83/(parametros_manuales!$M$19*E30*E58*parametros_manuales!$B$6))</f>
        <v>0.507166695301</v>
      </c>
      <c r="F2" s="46" t="n">
        <f aca="false">IF(F30*F58*parametros_manuales!$M$19*parametros_manuales!$B$6=0,0,'Demanda puesto con sobrestock'!$P$110/(parametros_manuales!$M$19*F30*F58*parametros_manuales!$B$6))</f>
        <v>0.4413750276395</v>
      </c>
      <c r="G2" s="58" t="n">
        <f aca="false">IF(G30*G58*parametros_manuales!$M$19*parametros_manuales!$B$6=0,0,'Demanda puesto con sobrestock'!$P$137/(parametros_manuales!$M$19*G30*G58*parametros_manuales!$B$6))</f>
        <v>0.619662460495</v>
      </c>
      <c r="H2" s="46" t="n">
        <f aca="false">IF(H30*H58*parametros_manuales!$M$19*parametros_manuales!$B$6=0,0,'Demanda puesto con sobrestock'!$P$164/(parametros_manuales!$M$19*H30*H58*parametros_manuales!$B$6))</f>
        <v>0.4269421729225</v>
      </c>
      <c r="I2" s="58" t="n">
        <f aca="false">IF(I30*I58*parametros_manuales!$M$19*parametros_manuales!$B$6=0,0,'Demanda puesto con sobrestock'!$P$191/(parametros_manuales!$M$19*I30*I58*parametros_manuales!$B$6))</f>
        <v>0.5456029406225</v>
      </c>
      <c r="J2" s="45" t="n">
        <f aca="false">IF(J30*J58*parametros_manuales!$M$19*parametros_manuales!$B$6=0,0,'Demanda puesto con sobrestock'!$P$218/(parametros_manuales!$M$19*J30*J58*parametros_manuales!$B$6))</f>
        <v>0.6156137924675</v>
      </c>
      <c r="K2" s="45" t="n">
        <f aca="false">IF(K30*K58*parametros_manuales!$M$19*parametros_manuales!$B$6=0,0,'Demanda puesto con sobrestock'!$P$245/(parametros_manuales!$M$19*K30*K58*parametros_manuales!$B$6))</f>
        <v>0.7112832109325</v>
      </c>
      <c r="L2" s="8" t="s">
        <v>202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45" t="n">
        <f aca="false">IF(B31*B59*parametros_manuales!$M$20*parametros_manuales!$B$6=0,0,'Demanda puesto con sobrestock'!$P$3/(parametros_manuales!$M$20*B31*B59*parametros_manuales!$B$6))</f>
        <v>0.0405700152241107</v>
      </c>
      <c r="C3" s="45" t="n">
        <f aca="false">IF(C31*C59*parametros_manuales!$M$20*parametros_manuales!$B$6=0,0,'Demanda puesto con sobrestock'!$P$30/(parametros_manuales!$M$20*C31*C59*parametros_manuales!$B$6))</f>
        <v>0.0733964138456376</v>
      </c>
      <c r="D3" s="45" t="n">
        <f aca="false">IF(D31*D59*parametros_manuales!$M$20*parametros_manuales!$B$6=0,0,'Demanda puesto con sobrestock'!$P$57/(parametros_manuales!$M$20*D31*D59*parametros_manuales!$B$6))</f>
        <v>0.127231375596644</v>
      </c>
      <c r="E3" s="45" t="n">
        <f aca="false">IF(E31*E59*parametros_manuales!$M$20*parametros_manuales!$B$6=0,0,'Demanda puesto con sobrestock'!$P$84/(parametros_manuales!$M$20*E31*E59*parametros_manuales!$B$6))</f>
        <v>0.234886922533389</v>
      </c>
      <c r="F3" s="45" t="n">
        <f aca="false">IF(F31*F59*parametros_manuales!$M$20*parametros_manuales!$B$6=0,0,'Demanda puesto con sobrestock'!$P$111/(parametros_manuales!$M$20*F31*F59*parametros_manuales!$B$6))</f>
        <v>0.395027106310571</v>
      </c>
      <c r="G3" s="45" t="n">
        <f aca="false">IF(G31*G59*parametros_manuales!$M$20*parametros_manuales!$B$6=0,0,'Demanda puesto con sobrestock'!$P$138/(parametros_manuales!$M$20*G31*G59*parametros_manuales!$B$6))</f>
        <v>0.553168374598993</v>
      </c>
      <c r="H3" s="45" t="n">
        <f aca="false">IF(H31*H59*parametros_manuales!$M$20*parametros_manuales!$B$6=0,0,'Demanda puesto con sobrestock'!$P$165/(parametros_manuales!$M$20*H31*H59*parametros_manuales!$B$6))</f>
        <v>0.370749532869966</v>
      </c>
      <c r="I3" s="46" t="n">
        <f aca="false">IF(I31*I59*parametros_manuales!$M$20*parametros_manuales!$B$6=0,0,'Demanda puesto con sobrestock'!$P$192/(parametros_manuales!$M$20*I31*I59*parametros_manuales!$B$6))</f>
        <v>0.468936979799497</v>
      </c>
      <c r="J3" s="45" t="n">
        <f aca="false">IF(J31*J59*parametros_manuales!$M$20*parametros_manuales!$B$6=0,0,'Demanda puesto con sobrestock'!$P$219/(parametros_manuales!$M$20*J31*J59*parametros_manuales!$B$6))</f>
        <v>0.534959251361577</v>
      </c>
      <c r="K3" s="45" t="n">
        <f aca="false">IF(K31*K59*parametros_manuales!$M$20*parametros_manuales!$B$6=0,0,'Demanda puesto con sobrestock'!$P$246/(parametros_manuales!$M$20*K31*K59*parametros_manuales!$B$6))</f>
        <v>0.618316952338087</v>
      </c>
      <c r="L3" s="8" t="s">
        <v>83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45" t="n">
        <f aca="false">IF(B32*B60*parametros_manuales!$M$21*parametros_manuales!$B$6=0,0,'Demanda puesto con sobrestock'!$P$4/(parametros_manuales!$M$21*B32*B60*parametros_manuales!$B$6))</f>
        <v>0.020893682715</v>
      </c>
      <c r="C4" s="45" t="n">
        <f aca="false">IF(C32*C60*parametros_manuales!$M$21*parametros_manuales!$B$6=0,0,'Demanda puesto con sobrestock'!$P$31/(parametros_manuales!$M$21*C32*C60*parametros_manuales!$B$6))</f>
        <v>0.029986519885</v>
      </c>
      <c r="D4" s="45" t="n">
        <f aca="false">IF(D32*D60*parametros_manuales!$M$21*parametros_manuales!$B$6=0,0,'Demanda puesto con sobrestock'!$P$58/(parametros_manuales!$M$21*D32*D60*parametros_manuales!$B$6))</f>
        <v>0.07257073879</v>
      </c>
      <c r="E4" s="45" t="n">
        <f aca="false">IF(E32*E60*parametros_manuales!$M$21*parametros_manuales!$B$6=0,0,'Demanda puesto con sobrestock'!$P$85/(parametros_manuales!$M$21*E32*E60*parametros_manuales!$B$6))</f>
        <v>0.175809677745</v>
      </c>
      <c r="F4" s="45" t="n">
        <f aca="false">IF(F32*F60*parametros_manuales!$M$21*parametros_manuales!$B$6=0,0,'Demanda puesto con sobrestock'!$P$112/(parametros_manuales!$M$21*F32*F60*parametros_manuales!$B$6))</f>
        <v>0.31057716355</v>
      </c>
      <c r="G4" s="45" t="n">
        <f aca="false">IF(G32*G60*parametros_manuales!$M$21*parametros_manuales!$B$6=0,0,'Demanda puesto con sobrestock'!$P$139/(parametros_manuales!$M$21*G32*G60*parametros_manuales!$B$6))</f>
        <v>0.43650226535</v>
      </c>
      <c r="H4" s="45" t="n">
        <f aca="false">IF(H32*H60*parametros_manuales!$M$21*parametros_manuales!$B$6=0,0,'Demanda puesto con sobrestock'!$P$166/(parametros_manuales!$M$21*H32*H60*parametros_manuales!$B$6))</f>
        <v>0.30418288315</v>
      </c>
      <c r="I4" s="46" t="n">
        <f aca="false">IF(I32*I60*parametros_manuales!$M$21*parametros_manuales!$B$6=0,0,'Demanda puesto con sobrestock'!$P$193/(parametros_manuales!$M$21*I32*I60*parametros_manuales!$B$6))</f>
        <v>0.3903326962</v>
      </c>
      <c r="J4" s="45" t="n">
        <f aca="false">IF(J32*J60*parametros_manuales!$M$21*parametros_manuales!$B$6=0,0,'Demanda puesto con sobrestock'!$P$220/(parametros_manuales!$M$21*J32*J60*parametros_manuales!$B$6))</f>
        <v>0.43848284035</v>
      </c>
      <c r="K4" s="45" t="n">
        <f aca="false">IF(K32*K60*parametros_manuales!$M$21*parametros_manuales!$B$6=0,0,'Demanda puesto con sobrestock'!$P$247/(parametros_manuales!$M$21*K32*K60*parametros_manuales!$B$6))</f>
        <v>0.506551597825</v>
      </c>
      <c r="L4" s="8" t="s">
        <v>83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45" t="n">
        <f aca="false">IF(B33*B61*parametros_manuales!$M$22*parametros_manuales!$B$6=0,0,'Demanda puesto con sobrestock'!$P$5/(parametros_manuales!$M$22*B33*B61*parametros_manuales!$B$6))</f>
        <v>0.026923031791098</v>
      </c>
      <c r="C5" s="45" t="n">
        <f aca="false">IF(C33*C61*parametros_manuales!$M$22*parametros_manuales!$B$6=0,0,'Demanda puesto con sobrestock'!$P$32/(parametros_manuales!$M$22*C33*C61*parametros_manuales!$B$6))</f>
        <v>0.0425795200196078</v>
      </c>
      <c r="D5" s="45" t="n">
        <f aca="false">IF(D33*D61*parametros_manuales!$M$22*parametros_manuales!$B$6=0,0,'Demanda puesto con sobrestock'!$P$59/(parametros_manuales!$M$22*D33*D61*parametros_manuales!$B$6))</f>
        <v>0.0899595772015686</v>
      </c>
      <c r="E5" s="45" t="n">
        <f aca="false">IF(E33*E61*parametros_manuales!$M$22*parametros_manuales!$B$6=0,0,'Demanda puesto con sobrestock'!$P$86/(parametros_manuales!$M$22*E33*E61*parametros_manuales!$B$6))</f>
        <v>0.198888900118039</v>
      </c>
      <c r="F5" s="45" t="n">
        <f aca="false">IF(F33*F61*parametros_manuales!$M$22*parametros_manuales!$B$6=0,0,'Demanda puesto con sobrestock'!$P$113/(parametros_manuales!$M$22*F33*F61*parametros_manuales!$B$6))</f>
        <v>0.346176492266275</v>
      </c>
      <c r="G5" s="45" t="n">
        <f aca="false">IF(G33*G61*parametros_manuales!$M$22*parametros_manuales!$B$6=0,0,'Demanda puesto con sobrestock'!$P$140/(parametros_manuales!$M$22*G33*G61*parametros_manuales!$B$6))</f>
        <v>0.486009772937255</v>
      </c>
      <c r="H5" s="45" t="n">
        <f aca="false">IF(H33*H61*parametros_manuales!$M$22*parametros_manuales!$B$6=0,0,'Demanda puesto con sobrestock'!$P$167/(parametros_manuales!$M$22*H33*H61*parametros_manuales!$B$6))</f>
        <v>0.334856606213726</v>
      </c>
      <c r="I5" s="46" t="n">
        <f aca="false">IF(I33*I61*parametros_manuales!$M$22*parametros_manuales!$B$6=0,0,'Demanda puesto con sobrestock'!$P$194/(parametros_manuales!$M$22*I33*I61*parametros_manuales!$B$6))</f>
        <v>0.427923874998039</v>
      </c>
      <c r="J5" s="45" t="n">
        <f aca="false">IF(J33*J61*parametros_manuales!$M$22*parametros_manuales!$B$6=0,0,'Demanda puesto con sobrestock'!$P$221/(parametros_manuales!$M$22*J33*J61*parametros_manuales!$B$6))</f>
        <v>0.482834347033333</v>
      </c>
      <c r="K5" s="45" t="n">
        <f aca="false">IF(K33*K61*parametros_manuales!$M$22*parametros_manuales!$B$6=0,0,'Demanda puesto con sobrestock'!$P$248/(parametros_manuales!$M$22*K33*K61*parametros_manuales!$B$6))</f>
        <v>0.557869185045098</v>
      </c>
      <c r="L5" s="8" t="s">
        <v>83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45" t="n">
        <f aca="false">IF(B34*B62*parametros_manuales!$M$23*parametros_manuales!$B$6=0,0,'Demanda puesto con sobrestock'!$P$6/(parametros_manuales!$M$23*B34*B62*parametros_manuales!$B$6))</f>
        <v>0.0686537310673</v>
      </c>
      <c r="C6" s="45" t="n">
        <f aca="false">IF(C34*C62*parametros_manuales!$M$23*parametros_manuales!$B$6=0,0,'Demanda puesto con sobrestock'!$P$33/(parametros_manuales!$M$23*C34*C62*parametros_manuales!$B$6))</f>
        <v>0.10857777605</v>
      </c>
      <c r="D6" s="45" t="n">
        <f aca="false">IF(D34*D62*parametros_manuales!$M$23*parametros_manuales!$B$6=0,0,'Demanda puesto con sobrestock'!$P$60/(parametros_manuales!$M$23*D34*D62*parametros_manuales!$B$6))</f>
        <v>0.229396921864</v>
      </c>
      <c r="E6" s="45" t="n">
        <f aca="false">IF(E34*E62*parametros_manuales!$M$23*parametros_manuales!$B$6=0,0,'Demanda puesto con sobrestock'!$P$87/(parametros_manuales!$M$23*E34*E62*parametros_manuales!$B$6))</f>
        <v>0.507166695301</v>
      </c>
      <c r="F6" s="58" t="n">
        <f aca="false">IF(F34*F62*parametros_manuales!$M$23*parametros_manuales!$B$6=0,0,'Demanda puesto con sobrestock'!$P$114/(parametros_manuales!$M$23*F34*F62*parametros_manuales!$B$6))</f>
        <v>0.882750055279</v>
      </c>
      <c r="G6" s="46" t="n">
        <f aca="false">IF(G34*G62*parametros_manuales!$M$23*parametros_manuales!$B$6=0,0,'Demanda puesto con sobrestock'!$P$141/(parametros_manuales!$M$23*G34*G62*parametros_manuales!$B$6))</f>
        <v>0.619662460495</v>
      </c>
      <c r="H6" s="58" t="n">
        <f aca="false">IF(H34*H62*parametros_manuales!$M$23*parametros_manuales!$B$6=0,0,'Demanda puesto con sobrestock'!$P$168/(parametros_manuales!$M$23*H34*H62*parametros_manuales!$B$6))</f>
        <v>0.4269421729225</v>
      </c>
      <c r="I6" s="46" t="n">
        <f aca="false">IF(I34*I62*parametros_manuales!$M$23*parametros_manuales!$B$6=0,0,'Demanda puesto con sobrestock'!$P$195/(parametros_manuales!$M$23*I34*I62*parametros_manuales!$B$6))</f>
        <v>0.5456029406225</v>
      </c>
      <c r="J6" s="45" t="n">
        <f aca="false">IF(J34*J62*parametros_manuales!$M$23*parametros_manuales!$B$6=0,0,'Demanda puesto con sobrestock'!$P$222/(parametros_manuales!$M$23*J34*J62*parametros_manuales!$B$6))</f>
        <v>0.6156137924675</v>
      </c>
      <c r="K6" s="45" t="n">
        <f aca="false">IF(K34*K62*parametros_manuales!$M$23*parametros_manuales!$B$6=0,0,'Demanda puesto con sobrestock'!$P$249/(parametros_manuales!$M$23*K34*K62*parametros_manuales!$B$6))</f>
        <v>0.7112832109325</v>
      </c>
      <c r="L6" s="8" t="s">
        <v>83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45" t="n">
        <f aca="false">IF(B35*B63*parametros_manuales!$M$24*parametros_manuales!$B$6=0,0,'Demanda puesto con sobrestock'!$P$7/(parametros_manuales!$M$24*B35*B63*parametros_manuales!$B$6))</f>
        <v>0.0228845770224333</v>
      </c>
      <c r="C7" s="45" t="n">
        <f aca="false">IF(C35*C63*parametros_manuales!$M$24*parametros_manuales!$B$6=0,0,'Demanda puesto con sobrestock'!$P$34/(parametros_manuales!$M$24*C35*C63*parametros_manuales!$B$6))</f>
        <v>0.0361925920166667</v>
      </c>
      <c r="D7" s="45" t="n">
        <f aca="false">IF(D35*D63*parametros_manuales!$M$24*parametros_manuales!$B$6=0,0,'Demanda puesto con sobrestock'!$P$61/(parametros_manuales!$M$24*D35*D63*parametros_manuales!$B$6))</f>
        <v>0.0764656406213334</v>
      </c>
      <c r="E7" s="45" t="n">
        <f aca="false">IF(E35*E63*parametros_manuales!$M$24*parametros_manuales!$B$6=0,0,'Demanda puesto con sobrestock'!$P$88/(parametros_manuales!$M$24*E35*E63*parametros_manuales!$B$6))</f>
        <v>0.169055565100333</v>
      </c>
      <c r="F7" s="45" t="n">
        <f aca="false">IF(F35*F63*parametros_manuales!$M$24*parametros_manuales!$B$6=0,0,'Demanda puesto con sobrestock'!$P$115/(parametros_manuales!$M$24*F35*F63*parametros_manuales!$B$6))</f>
        <v>0.294250018426333</v>
      </c>
      <c r="G7" s="45" t="n">
        <f aca="false">IF(G35*G63*parametros_manuales!$M$24*parametros_manuales!$B$6=0,0,'Demanda puesto con sobrestock'!$P$142/(parametros_manuales!$M$24*G35*G63*parametros_manuales!$B$6))</f>
        <v>0.413108306996667</v>
      </c>
      <c r="H7" s="45" t="n">
        <f aca="false">IF(H35*H63*parametros_manuales!$M$24*parametros_manuales!$B$6=0,0,'Demanda puesto con sobrestock'!$P$169/(parametros_manuales!$M$24*H35*H63*parametros_manuales!$B$6))</f>
        <v>0.284628115281667</v>
      </c>
      <c r="I7" s="59" t="n">
        <f aca="false">IF(I35*I63*parametros_manuales!$M$24*parametros_manuales!$B$6=0,0,'Demanda puesto con sobrestock'!$P$196/(parametros_manuales!$M$24*I35*I63*parametros_manuales!$B$6))</f>
        <v>0.363735293748333</v>
      </c>
      <c r="J7" s="45" t="n">
        <f aca="false">IF(J35*J63*parametros_manuales!$M$24*parametros_manuales!$B$6=0,0,'Demanda puesto con sobrestock'!$P$223/(parametros_manuales!$M$24*J35*J63*parametros_manuales!$B$6))</f>
        <v>0.410409194978333</v>
      </c>
      <c r="K7" s="45" t="n">
        <f aca="false">IF(K35*K63*parametros_manuales!$M$24*parametros_manuales!$B$6=0,0,'Demanda puesto con sobrestock'!$P$250/(parametros_manuales!$M$24*K35*K63*parametros_manuales!$B$6))</f>
        <v>0.474188807288333</v>
      </c>
      <c r="L7" s="8" t="s">
        <v>83</v>
      </c>
      <c r="M7" s="47" t="s">
        <v>203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45" t="n">
        <f aca="false">IF(B36*B64*parametros_manuales!$M$25*parametros_manuales!$B$6=0,0,'Demanda puesto con sobrestock'!$P$8/(parametros_manuales!$M$25*B36*B64*parametros_manuales!$B$6))</f>
        <v>0.0293894396692209</v>
      </c>
      <c r="C8" s="45" t="n">
        <f aca="false">IF(C36*C64*parametros_manuales!$M$25*parametros_manuales!$B$6=0,0,'Demanda puesto con sobrestock'!$P$35/(parametros_manuales!$M$25*C36*C64*parametros_manuales!$B$6))</f>
        <v>0.0464802123501712</v>
      </c>
      <c r="D8" s="45" t="n">
        <f aca="false">IF(D36*D64*parametros_manuales!$M$25*parametros_manuales!$B$6=0,0,'Demanda puesto con sobrestock'!$P$62/(parametros_manuales!$M$25*D36*D64*parametros_manuales!$B$6))</f>
        <v>0.0982007370993151</v>
      </c>
      <c r="E8" s="45" t="n">
        <f aca="false">IF(E36*E64*parametros_manuales!$M$25*parametros_manuales!$B$6=0,0,'Demanda puesto con sobrestock'!$P$89/(parametros_manuales!$M$25*E36*E64*parametros_manuales!$B$6))</f>
        <v>0.217109030522688</v>
      </c>
      <c r="F8" s="45" t="n">
        <f aca="false">IF(F36*F64*parametros_manuales!$M$25*parametros_manuales!$B$6=0,0,'Demanda puesto con sobrestock'!$P$116/(parametros_manuales!$M$25*F36*F64*parametros_manuales!$B$6))</f>
        <v>0.377889578458476</v>
      </c>
      <c r="G8" s="45" t="n">
        <f aca="false">IF(G36*G64*parametros_manuales!$M$25*parametros_manuales!$B$6=0,0,'Demanda puesto con sobrestock'!$P$143/(parametros_manuales!$M$25*G36*G64*parametros_manuales!$B$6))</f>
        <v>0.530532928505993</v>
      </c>
      <c r="H8" s="58" t="n">
        <f aca="false">IF(H36*H64*parametros_manuales!$M$25*parametros_manuales!$B$6=0,0,'Demanda puesto con sobrestock'!$P$170/(parametros_manuales!$M$25*H36*H64*parametros_manuales!$B$6))</f>
        <v>0.365532682296661</v>
      </c>
      <c r="I8" s="46" t="n">
        <f aca="false">IF(I36*I64*parametros_manuales!$M$25*parametros_manuales!$B$6=0,0,'Demanda puesto con sobrestock'!$P$197/(parametros_manuales!$M$25*I36*I64*parametros_manuales!$B$6))</f>
        <v>0.467125805327483</v>
      </c>
      <c r="J8" s="45" t="n">
        <f aca="false">IF(J36*J64*parametros_manuales!$M$25*parametros_manuales!$B$6=0,0,'Demanda puesto con sobrestock'!$P$224/(parametros_manuales!$M$25*J36*J64*parametros_manuales!$B$6))</f>
        <v>0.527066603139983</v>
      </c>
      <c r="K8" s="45" t="n">
        <f aca="false">IF(K36*K64*parametros_manuales!$M$25*parametros_manuales!$B$6=0,0,'Demanda puesto con sobrestock'!$P$251/(parametros_manuales!$M$25*K36*K64*parametros_manuales!$B$6))</f>
        <v>0.608975351825771</v>
      </c>
      <c r="L8" s="8" t="s">
        <v>83</v>
      </c>
      <c r="M8" s="48" t="s">
        <v>204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45" t="n">
        <f aca="false">IF(B37*B65*parametros_manuales!$M$26*parametros_manuales!$B$6=0,0,'Demanda puesto con sobrestock'!$P$9/(parametros_manuales!$M$26*B37*B65*parametros_manuales!$B$6))</f>
        <v>0.0363058995098649</v>
      </c>
      <c r="C9" s="45" t="n">
        <f aca="false">IF(C37*C65*parametros_manuales!$M$26*parametros_manuales!$B$6=0,0,'Demanda puesto con sobrestock'!$P$36/(parametros_manuales!$M$26*C37*C65*parametros_manuales!$B$6))</f>
        <v>0.0656820760540541</v>
      </c>
      <c r="D9" s="45" t="n">
        <f aca="false">IF(D37*D65*parametros_manuales!$M$26*parametros_manuales!$B$6=0,0,'Demanda puesto con sobrestock'!$P$63/(parametros_manuales!$M$26*D37*D65*parametros_manuales!$B$6))</f>
        <v>0.113858708491892</v>
      </c>
      <c r="E9" s="45" t="n">
        <f aca="false">IF(E37*E65*parametros_manuales!$M$26*parametros_manuales!$B$6=0,0,'Demanda puesto con sobrestock'!$P$90/(parametros_manuales!$M$26*E37*E65*parametros_manuales!$B$6))</f>
        <v>0.210199107852703</v>
      </c>
      <c r="F9" s="45" t="n">
        <f aca="false">IF(F37*F65*parametros_manuales!$M$26*parametros_manuales!$B$6=0,0,'Demanda puesto con sobrestock'!$P$117/(parametros_manuales!$M$26*F37*F65*parametros_manuales!$B$6))</f>
        <v>0.353507740782433</v>
      </c>
      <c r="G9" s="45" t="n">
        <f aca="false">IF(G37*G65*parametros_manuales!$M$26*parametros_manuales!$B$6=0,0,'Demanda puesto con sobrestock'!$P$144/(parametros_manuales!$M$26*G37*G65*parametros_manuales!$B$6))</f>
        <v>0.495027554445946</v>
      </c>
      <c r="H9" s="45" t="n">
        <f aca="false">IF(H37*H65*parametros_manuales!$M$26*parametros_manuales!$B$6=0,0,'Demanda puesto con sobrestock'!$P$171/(parametros_manuales!$M$26*H37*H65*parametros_manuales!$B$6))</f>
        <v>0.33178186425</v>
      </c>
      <c r="I9" s="46" t="n">
        <f aca="false">IF(I37*I65*parametros_manuales!$M$26*parametros_manuales!$B$6=0,0,'Demanda puesto con sobrestock'!$P$198/(parametros_manuales!$M$26*I37*I65*parametros_manuales!$B$6))</f>
        <v>0.41964930925</v>
      </c>
      <c r="J9" s="45" t="n">
        <f aca="false">IF(J37*J65*parametros_manuales!$M$26*parametros_manuales!$B$6=0,0,'Demanda puesto con sobrestock'!$P$225/(parametros_manuales!$M$26*J37*J65*parametros_manuales!$B$6))</f>
        <v>0.47873230302027</v>
      </c>
      <c r="K9" s="45" t="n">
        <f aca="false">IF(K37*K65*parametros_manuales!$M$26*parametros_manuales!$B$6=0,0,'Demanda puesto con sobrestock'!$P$252/(parametros_manuales!$M$26*K37*K65*parametros_manuales!$B$6))</f>
        <v>0.553328684074324</v>
      </c>
      <c r="L9" s="8" t="s">
        <v>83</v>
      </c>
      <c r="M9" s="49" t="s">
        <v>205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45" t="n">
        <f aca="false">IF(B38*B66*parametros_manuales!$M$27*parametros_manuales!$B$6=0,0,'Demanda puesto con sobrestock'!$P$10/(parametros_manuales!$M$27*B38*B66*parametros_manuales!$B$6))</f>
        <v>0.0521897305454307</v>
      </c>
      <c r="C10" s="45" t="n">
        <f aca="false">IF(C38*C66*parametros_manuales!$M$27*parametros_manuales!$B$6=0,0,'Demanda puesto con sobrestock'!$P$37/(parametros_manuales!$M$27*C38*C66*parametros_manuales!$B$6))</f>
        <v>0.0944179843277027</v>
      </c>
      <c r="D10" s="45" t="n">
        <f aca="false">IF(D38*D66*parametros_manuales!$M$27*parametros_manuales!$B$6=0,0,'Demanda puesto con sobrestock'!$P$64/(parametros_manuales!$M$27*D38*D66*parametros_manuales!$B$6))</f>
        <v>0.163671893457095</v>
      </c>
      <c r="E10" s="45" t="n">
        <f aca="false">IF(E38*E66*parametros_manuales!$M$27*parametros_manuales!$B$6=0,0,'Demanda puesto con sobrestock'!$P$91/(parametros_manuales!$M$27*E38*E66*parametros_manuales!$B$6))</f>
        <v>0.30216121753826</v>
      </c>
      <c r="F10" s="45" t="n">
        <f aca="false">IF(F38*F66*parametros_manuales!$M$27*parametros_manuales!$B$6=0,0,'Demanda puesto con sobrestock'!$P$118/(parametros_manuales!$M$27*F38*F66*parametros_manuales!$B$6))</f>
        <v>0.508167377374747</v>
      </c>
      <c r="G10" s="45" t="n">
        <f aca="false">IF(G38*G66*parametros_manuales!$M$27*parametros_manuales!$B$6=0,0,'Demanda puesto con sobrestock'!$P$145/(parametros_manuales!$M$27*G38*G66*parametros_manuales!$B$6))</f>
        <v>0.711602109516047</v>
      </c>
      <c r="H10" s="58" t="n">
        <f aca="false">IF(H38*H66*parametros_manuales!$M$27*parametros_manuales!$B$6=0,0,'Demanda puesto con sobrestock'!$P$172/(parametros_manuales!$M$27*H38*H66*parametros_manuales!$B$6))</f>
        <v>0.476936429859375</v>
      </c>
      <c r="I10" s="46" t="n">
        <f aca="false">IF(I38*I66*parametros_manuales!$M$27*parametros_manuales!$B$6=0,0,'Demanda puesto con sobrestock'!$P$199/(parametros_manuales!$M$27*I38*I66*parametros_manuales!$B$6))</f>
        <v>0.603245882046875</v>
      </c>
      <c r="J10" s="45" t="n">
        <f aca="false">IF(J38*J66*parametros_manuales!$M$27*parametros_manuales!$B$6=0,0,'Demanda puesto con sobrestock'!$P$226/(parametros_manuales!$M$27*J38*J66*parametros_manuales!$B$6))</f>
        <v>0.688177685591638</v>
      </c>
      <c r="K10" s="45" t="n">
        <f aca="false">IF(K38*K66*parametros_manuales!$M$27*parametros_manuales!$B$6=0,0,'Demanda puesto con sobrestock'!$P$253/(parametros_manuales!$M$27*K38*K66*parametros_manuales!$B$6))</f>
        <v>0.795409983356841</v>
      </c>
      <c r="L10" s="8" t="s">
        <v>83</v>
      </c>
      <c r="M10" s="50" t="s">
        <v>206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45" t="n">
        <f aca="false">IF(B39*B67*parametros_manuales!$M$28*parametros_manuales!$B$6=0,0,'Demanda puesto con sobrestock'!$P$11/(parametros_manuales!$M$28*B39*B67*parametros_manuales!$B$6))</f>
        <v>0.0349481662672907</v>
      </c>
      <c r="C11" s="45" t="n">
        <f aca="false">IF(C39*C67*parametros_manuales!$M$28*parametros_manuales!$B$6=0,0,'Demanda puesto con sobrestock'!$P$38/(parametros_manuales!$M$28*C39*C67*parametros_manuales!$B$6))</f>
        <v>0.0552714923331448</v>
      </c>
      <c r="D11" s="45" t="n">
        <f aca="false">IF(D39*D67*parametros_manuales!$M$28*parametros_manuales!$B$6=0,0,'Demanda puesto con sobrestock'!$P$65/(parametros_manuales!$M$28*D39*D67*parametros_manuales!$B$6))</f>
        <v>0.116774451175113</v>
      </c>
      <c r="E11" s="45" t="n">
        <f aca="false">IF(E39*E67*parametros_manuales!$M$28*parametros_manuales!$B$6=0,0,'Demanda puesto con sobrestock'!$P$92/(parametros_manuales!$M$28*E39*E67*parametros_manuales!$B$6))</f>
        <v>0.258173091499378</v>
      </c>
      <c r="F11" s="45" t="n">
        <f aca="false">IF(F39*F67*parametros_manuales!$M$28*parametros_manuales!$B$6=0,0,'Demanda puesto con sobrestock'!$P$119/(parametros_manuales!$M$28*F39*F67*parametros_manuales!$B$6))</f>
        <v>0.449363715922568</v>
      </c>
      <c r="G11" s="45" t="n">
        <f aca="false">IF(G39*G67*parametros_manuales!$M$28*parametros_manuales!$B$6=0,0,'Demanda puesto con sobrestock'!$P$146/(parametros_manuales!$M$28*G39*G67*parametros_manuales!$B$6))</f>
        <v>0.630878070639706</v>
      </c>
      <c r="H11" s="58" t="n">
        <f aca="false">IF(H39*H67*parametros_manuales!$M$28*parametros_manuales!$B$6=0,0,'Demanda puesto con sobrestock'!$P$173/(parametros_manuales!$M$28*H39*H67*parametros_manuales!$B$6))</f>
        <v>0.434669633065894</v>
      </c>
      <c r="I11" s="46" t="n">
        <f aca="false">IF(I39*I67*parametros_manuales!$M$28*parametros_manuales!$B$6=0,0,'Demanda puesto con sobrestock'!$P$200/(parametros_manuales!$M$28*I39*I67*parametros_manuales!$B$6))</f>
        <v>0.555478106968609</v>
      </c>
      <c r="J11" s="45" t="n">
        <f aca="false">IF(J39*J67*parametros_manuales!$M$28*parametros_manuales!$B$6=0,0,'Demanda puesto con sobrestock'!$P$227/(parametros_manuales!$M$28*J39*J67*parametros_manuales!$B$6))</f>
        <v>0.626756123552885</v>
      </c>
      <c r="K11" s="45" t="n">
        <f aca="false">IF(K39*K67*parametros_manuales!$M$28*parametros_manuales!$B$6=0,0,'Demanda puesto con sobrestock'!$P$254/(parametros_manuales!$M$28*K39*K67*parametros_manuales!$B$6))</f>
        <v>0.724157115202772</v>
      </c>
      <c r="L11" s="8" t="s">
        <v>83</v>
      </c>
      <c r="M11" s="51" t="s">
        <v>207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45" t="n">
        <f aca="false">IF(B40*B68*parametros_manuales!$M$29*parametros_manuales!$B$6=0,0,'Demanda puesto con sobrestock'!$P$12/(parametros_manuales!$M$29*B40*B68*parametros_manuales!$B$6))</f>
        <v>0.0232987775115272</v>
      </c>
      <c r="C12" s="45" t="n">
        <f aca="false">IF(C40*C68*parametros_manuales!$M$29*parametros_manuales!$B$6=0,0,'Demanda puesto con sobrestock'!$P$39/(parametros_manuales!$M$29*C40*C68*parametros_manuales!$B$6))</f>
        <v>0.0368476615554299</v>
      </c>
      <c r="D12" s="45" t="n">
        <f aca="false">IF(D40*D68*parametros_manuales!$M$29*parametros_manuales!$B$6=0,0,'Demanda puesto con sobrestock'!$P$66/(parametros_manuales!$M$29*D40*D68*parametros_manuales!$B$6))</f>
        <v>0.0778496341167421</v>
      </c>
      <c r="E12" s="45" t="n">
        <f aca="false">IF(E40*E68*parametros_manuales!$M$29*parametros_manuales!$B$6=0,0,'Demanda puesto con sobrestock'!$P$93/(parametros_manuales!$M$29*E40*E68*parametros_manuales!$B$6))</f>
        <v>0.172115394332919</v>
      </c>
      <c r="F12" s="45" t="n">
        <f aca="false">IF(F40*F68*parametros_manuales!$M$29*parametros_manuales!$B$6=0,0,'Demanda puesto con sobrestock'!$P$120/(parametros_manuales!$M$29*F40*F68*parametros_manuales!$B$6))</f>
        <v>0.299575810615045</v>
      </c>
      <c r="G12" s="45" t="n">
        <f aca="false">IF(G40*G68*parametros_manuales!$M$29*parametros_manuales!$B$6=0,0,'Demanda puesto con sobrestock'!$P$147/(parametros_manuales!$M$29*G40*G68*parametros_manuales!$B$6))</f>
        <v>0.420585380426471</v>
      </c>
      <c r="H12" s="45" t="n">
        <f aca="false">IF(H40*H68*parametros_manuales!$M$29*parametros_manuales!$B$6=0,0,'Demanda puesto con sobrestock'!$P$174/(parametros_manuales!$M$29*H40*H68*parametros_manuales!$B$6))</f>
        <v>0.289779755377262</v>
      </c>
      <c r="I12" s="46" t="n">
        <f aca="false">IF(I40*I68*parametros_manuales!$M$29*parametros_manuales!$B$6=0,0,'Demanda puesto con sobrestock'!$P$201/(parametros_manuales!$M$29*I40*I68*parametros_manuales!$B$6))</f>
        <v>0.370318737979072</v>
      </c>
      <c r="J12" s="58" t="n">
        <f aca="false">IF(J40*J68*parametros_manuales!$M$29*parametros_manuales!$B$6=0,0,'Demanda puesto con sobrestock'!$P$228/(parametros_manuales!$M$29*J40*J68*parametros_manuales!$B$6))</f>
        <v>0.417837415701923</v>
      </c>
      <c r="K12" s="45" t="n">
        <f aca="false">IF(K40*K68*parametros_manuales!$M$29*parametros_manuales!$B$6=0,0,'Demanda puesto con sobrestock'!$P$255/(parametros_manuales!$M$29*K40*K68*parametros_manuales!$B$6))</f>
        <v>0.482771410135181</v>
      </c>
      <c r="L12" s="8" t="s">
        <v>83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45" t="n">
        <f aca="false">IF(B41*B69*parametros_manuales!$M$30*parametros_manuales!$B$6=0,0,'Demanda puesto con sobrestock'!$P$13/(parametros_manuales!$M$30*B41*B69*parametros_manuales!$B$6))</f>
        <v>0.0698963325345815</v>
      </c>
      <c r="C13" s="45" t="n">
        <f aca="false">IF(C41*C69*parametros_manuales!$M$30*parametros_manuales!$B$6=0,0,'Demanda puesto con sobrestock'!$P$40/(parametros_manuales!$M$30*C41*C69*parametros_manuales!$B$6))</f>
        <v>0.11054298466629</v>
      </c>
      <c r="D13" s="45" t="n">
        <f aca="false">IF(D41*D69*parametros_manuales!$M$30*parametros_manuales!$B$6=0,0,'Demanda puesto con sobrestock'!$P$67/(parametros_manuales!$M$30*D41*D69*parametros_manuales!$B$6))</f>
        <v>0.233548902350226</v>
      </c>
      <c r="E13" s="45" t="n">
        <f aca="false">IF(E41*E69*parametros_manuales!$M$30*parametros_manuales!$B$6=0,0,'Demanda puesto con sobrestock'!$P$94/(parametros_manuales!$M$30*E41*E69*parametros_manuales!$B$6))</f>
        <v>0.516346182998756</v>
      </c>
      <c r="F13" s="58" t="n">
        <f aca="false">IF(F41*F69*parametros_manuales!$M$30*parametros_manuales!$B$6=0,0,'Demanda puesto con sobrestock'!$P$121/(parametros_manuales!$M$30*F41*F69*parametros_manuales!$B$6))</f>
        <v>0.898727431845136</v>
      </c>
      <c r="G13" s="46" t="n">
        <f aca="false">IF(G41*G69*parametros_manuales!$M$30*parametros_manuales!$B$6=0,0,'Demanda puesto con sobrestock'!$P$148/(parametros_manuales!$M$30*G41*G69*parametros_manuales!$B$6))</f>
        <v>0.630878070639706</v>
      </c>
      <c r="H13" s="58" t="n">
        <f aca="false">IF(H41*H69*parametros_manuales!$M$30*parametros_manuales!$B$6=0,0,'Demanda puesto con sobrestock'!$P$175/(parametros_manuales!$M$30*H41*H69*parametros_manuales!$B$6))</f>
        <v>0.434669633065894</v>
      </c>
      <c r="I13" s="46" t="n">
        <f aca="false">IF(I41*I69*parametros_manuales!$M$30*parametros_manuales!$B$6=0,0,'Demanda puesto con sobrestock'!$P$202/(parametros_manuales!$M$30*I41*I69*parametros_manuales!$B$6))</f>
        <v>0.555478106968609</v>
      </c>
      <c r="J13" s="45" t="n">
        <f aca="false">IF(J41*J69*parametros_manuales!$M$30*parametros_manuales!$B$6=0,0,'Demanda puesto con sobrestock'!$P$229/(parametros_manuales!$M$30*J41*J69*parametros_manuales!$B$6))</f>
        <v>0.626756123552885</v>
      </c>
      <c r="K13" s="45" t="n">
        <f aca="false">IF(K41*K69*parametros_manuales!$M$30*parametros_manuales!$B$6=0,0,'Demanda puesto con sobrestock'!$P$256/(parametros_manuales!$M$30*K41*K69*parametros_manuales!$B$6))</f>
        <v>0.724157115202772</v>
      </c>
      <c r="L13" s="8" t="s">
        <v>83</v>
      </c>
      <c r="M13" s="52" t="s">
        <v>55</v>
      </c>
      <c r="N13" s="53" t="n">
        <f aca="false">parametros_manuales!$B$8</f>
        <v>0.9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45" t="n">
        <f aca="false">IF(B42*B70*parametros_manuales!$M$31*parametros_manuales!$B$6=0,0,'Demanda puesto con sobrestock'!$P$14/(parametros_manuales!$M$31*B42*B70*parametros_manuales!$B$6))</f>
        <v>0.002746149242692</v>
      </c>
      <c r="C14" s="45" t="n">
        <f aca="false">IF(C42*C70*parametros_manuales!$M$31*parametros_manuales!$B$6=0,0,'Demanda puesto con sobrestock'!$P$41/(parametros_manuales!$M$31*C42*C70*parametros_manuales!$B$6))</f>
        <v>0.004343111042</v>
      </c>
      <c r="D14" s="45" t="n">
        <f aca="false">IF(D42*D70*parametros_manuales!$M$31*parametros_manuales!$B$6=0,0,'Demanda puesto con sobrestock'!$P$68/(parametros_manuales!$M$31*D42*D70*parametros_manuales!$B$6))</f>
        <v>0.00917587687456</v>
      </c>
      <c r="E14" s="45" t="n">
        <f aca="false">IF(E42*E70*parametros_manuales!$M$31*parametros_manuales!$B$6=0,0,'Demanda puesto con sobrestock'!$P$95/(parametros_manuales!$M$31*E42*E70*parametros_manuales!$B$6))</f>
        <v>0.02028666781204</v>
      </c>
      <c r="F14" s="45" t="n">
        <f aca="false">IF(F42*F70*parametros_manuales!$M$31*parametros_manuales!$B$6=0,0,'Demanda puesto con sobrestock'!$P$122/(parametros_manuales!$M$31*F42*F70*parametros_manuales!$B$6))</f>
        <v>0.03531000221116</v>
      </c>
      <c r="G14" s="45" t="n">
        <f aca="false">IF(G42*G70*parametros_manuales!$M$31*parametros_manuales!$B$6=0,0,'Demanda puesto con sobrestock'!$P$149/(parametros_manuales!$M$31*G42*G70*parametros_manuales!$B$6))</f>
        <v>0.0495729968396</v>
      </c>
      <c r="H14" s="45" t="n">
        <f aca="false">IF(H42*H70*parametros_manuales!$M$31*parametros_manuales!$B$6=0,0,'Demanda puesto con sobrestock'!$P$176/(parametros_manuales!$M$31*H42*H70*parametros_manuales!$B$6))</f>
        <v>0.0683107476676</v>
      </c>
      <c r="I14" s="45" t="n">
        <f aca="false">IF(I42*I70*parametros_manuales!$M$31*parametros_manuales!$B$6=0,0,'Demanda puesto con sobrestock'!$P$203/(parametros_manuales!$M$31*I42*I70*parametros_manuales!$B$6))</f>
        <v>0.0872964704996</v>
      </c>
      <c r="J14" s="45" t="n">
        <f aca="false">IF(J42*J70*parametros_manuales!$M$31*parametros_manuales!$B$6=0,0,'Demanda puesto con sobrestock'!$P$230/(parametros_manuales!$M$31*J42*J70*parametros_manuales!$B$6))</f>
        <v>0.0984982067948</v>
      </c>
      <c r="K14" s="45" t="n">
        <f aca="false">IF(K42*K70*parametros_manuales!$M$31*parametros_manuales!$B$6=0,0,'Demanda puesto con sobrestock'!$P$257/(parametros_manuales!$M$31*K42*K70*parametros_manuales!$B$6))</f>
        <v>0.1138053137492</v>
      </c>
      <c r="L14" s="8" t="s">
        <v>202</v>
      </c>
      <c r="M14" s="12" t="s">
        <v>208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45" t="n">
        <f aca="false">IF(B43*B71*parametros_manuales!$M$32*parametros_manuales!$B$6=0,0,'Demanda puesto con sobrestock'!$P$15/(parametros_manuales!$M$32*B43*B71*parametros_manuales!$B$6))</f>
        <v>0.0698963325345815</v>
      </c>
      <c r="C15" s="45" t="n">
        <f aca="false">IF(C43*C71*parametros_manuales!$M$32*parametros_manuales!$B$6=0,0,'Demanda puesto con sobrestock'!$P$42/(parametros_manuales!$M$32*C43*C71*parametros_manuales!$B$6))</f>
        <v>0.11054298466629</v>
      </c>
      <c r="D15" s="45" t="n">
        <f aca="false">IF(D43*D71*parametros_manuales!$M$32*parametros_manuales!$B$6=0,0,'Demanda puesto con sobrestock'!$P$69/(parametros_manuales!$M$32*D43*D71*parametros_manuales!$B$6))</f>
        <v>0.233548902350226</v>
      </c>
      <c r="E15" s="45" t="n">
        <f aca="false">IF(E43*E71*parametros_manuales!$M$32*parametros_manuales!$B$6=0,0,'Demanda puesto con sobrestock'!$P$96/(parametros_manuales!$M$32*E43*E71*parametros_manuales!$B$6))</f>
        <v>0.516346182998756</v>
      </c>
      <c r="F15" s="58" t="n">
        <f aca="false">IF(F43*F71*parametros_manuales!$M$32*parametros_manuales!$B$6=0,0,'Demanda puesto con sobrestock'!$P$123/(parametros_manuales!$M$32*F43*F71*parametros_manuales!$B$6))</f>
        <v>0.898727431845136</v>
      </c>
      <c r="G15" s="46" t="n">
        <f aca="false">IF(G43*G71*parametros_manuales!$M$32*parametros_manuales!$B$6=0,0,'Demanda puesto con sobrestock'!$P$150/(parametros_manuales!$M$32*G43*G71*parametros_manuales!$B$6))</f>
        <v>0.630878070639706</v>
      </c>
      <c r="H15" s="58" t="n">
        <f aca="false">IF(H43*H71*parametros_manuales!$M$32*parametros_manuales!$B$6=0,0,'Demanda puesto con sobrestock'!$P$177/(parametros_manuales!$M$32*H43*H71*parametros_manuales!$B$6))</f>
        <v>0.434669633065894</v>
      </c>
      <c r="I15" s="46" t="n">
        <f aca="false">IF(I43*I71*parametros_manuales!$M$32*parametros_manuales!$B$6=0,0,'Demanda puesto con sobrestock'!$P$204/(parametros_manuales!$M$32*I43*I71*parametros_manuales!$B$6))</f>
        <v>0.555478106968609</v>
      </c>
      <c r="J15" s="45" t="n">
        <f aca="false">IF(J43*J71*parametros_manuales!$M$32*parametros_manuales!$B$6=0,0,'Demanda puesto con sobrestock'!$P$231/(parametros_manuales!$M$32*J43*J71*parametros_manuales!$B$6))</f>
        <v>0.626756123552885</v>
      </c>
      <c r="K15" s="45" t="n">
        <f aca="false">IF(K43*K71*parametros_manuales!$M$32*parametros_manuales!$B$6=0,0,'Demanda puesto con sobrestock'!$P$258/(parametros_manuales!$M$32*K43*K71*parametros_manuales!$B$6))</f>
        <v>0.724157115202772</v>
      </c>
      <c r="L15" s="8" t="s">
        <v>83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45" t="n">
        <f aca="false">IF(B44*B72*parametros_manuales!$M$33*parametros_manuales!$B$6=0,0,'Demanda puesto con sobrestock'!$P$16/(parametros_manuales!$M$33*B44*B72*parametros_manuales!$B$6))</f>
        <v>0.1373074621346</v>
      </c>
      <c r="C16" s="45" t="n">
        <f aca="false">IF(C44*C72*parametros_manuales!$M$33*parametros_manuales!$B$6=0,0,'Demanda puesto con sobrestock'!$P$43/(parametros_manuales!$M$33*C44*C72*parametros_manuales!$B$6))</f>
        <v>0.2171555521</v>
      </c>
      <c r="D16" s="45" t="n">
        <f aca="false">IF(D44*D72*parametros_manuales!$M$33*parametros_manuales!$B$6=0,0,'Demanda puesto con sobrestock'!$P$70/(parametros_manuales!$M$33*D44*D72*parametros_manuales!$B$6))</f>
        <v>0.458793843728</v>
      </c>
      <c r="E16" s="46" t="n">
        <f aca="false">IF(E44*E72*parametros_manuales!$M$33*parametros_manuales!$B$6=0,0,'Demanda puesto con sobrestock'!$P$97/(parametros_manuales!$M$33*E44*E72*parametros_manuales!$B$6))</f>
        <v>0.507166695301</v>
      </c>
      <c r="F16" s="58" t="n">
        <f aca="false">IF(F44*F72*parametros_manuales!$M$33*parametros_manuales!$B$6=0,0,'Demanda puesto con sobrestock'!$P$124/(parametros_manuales!$M$33*F44*F72*parametros_manuales!$B$6))</f>
        <v>0.882750055279</v>
      </c>
      <c r="G16" s="46" t="n">
        <f aca="false">IF(G44*G72*parametros_manuales!$M$33*parametros_manuales!$B$6=0,0,'Demanda puesto con sobrestock'!$P$151/(parametros_manuales!$M$33*G44*G72*parametros_manuales!$B$6))</f>
        <v>0.826216613993334</v>
      </c>
      <c r="H16" s="46" t="n">
        <f aca="false">IF(H44*H72*parametros_manuales!$M$33*parametros_manuales!$B$6=0,0,'Demanda puesto con sobrestock'!$P$178/(parametros_manuales!$M$33*H44*H72*parametros_manuales!$B$6))</f>
        <v>0.4269421729225</v>
      </c>
      <c r="I16" s="46" t="n">
        <f aca="false">IF(I44*I72*parametros_manuales!$M$33*parametros_manuales!$B$6=0,0,'Demanda puesto con sobrestock'!$P$205/(parametros_manuales!$M$33*I44*I72*parametros_manuales!$B$6))</f>
        <v>0.5456029406225</v>
      </c>
      <c r="J16" s="45" t="n">
        <f aca="false">IF(J44*J72*parametros_manuales!$M$33*parametros_manuales!$B$6=0,0,'Demanda puesto con sobrestock'!$P$232/(parametros_manuales!$M$33*J44*J72*parametros_manuales!$B$6))</f>
        <v>0.6156137924675</v>
      </c>
      <c r="K16" s="45" t="n">
        <f aca="false">IF(K44*K72*parametros_manuales!$M$33*parametros_manuales!$B$6=0,0,'Demanda puesto con sobrestock'!$P$259/(parametros_manuales!$M$33*K44*K72*parametros_manuales!$B$6))</f>
        <v>0.7112832109325</v>
      </c>
      <c r="L16" s="8" t="s">
        <v>83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45" t="n">
        <f aca="false">IF(B45*B73*parametros_manuales!$M$34*parametros_manuales!$B$6=0,0,'Demanda puesto con sobrestock'!$P$17/(parametros_manuales!$M$34*B45*B73*parametros_manuales!$B$6))</f>
        <v>0.03432686553365</v>
      </c>
      <c r="C17" s="45" t="n">
        <f aca="false">IF(C45*C73*parametros_manuales!$M$34*parametros_manuales!$B$6=0,0,'Demanda puesto con sobrestock'!$P$44/(parametros_manuales!$M$34*C45*C73*parametros_manuales!$B$6))</f>
        <v>0.054288888025</v>
      </c>
      <c r="D17" s="45" t="n">
        <f aca="false">IF(D45*D73*parametros_manuales!$M$34*parametros_manuales!$B$6=0,0,'Demanda puesto con sobrestock'!$P$71/(parametros_manuales!$M$34*D45*D73*parametros_manuales!$B$6))</f>
        <v>0.114698460932</v>
      </c>
      <c r="E17" s="45" t="n">
        <f aca="false">IF(E45*E73*parametros_manuales!$M$34*parametros_manuales!$B$6=0,0,'Demanda puesto con sobrestock'!$P$98/(parametros_manuales!$M$34*E45*E73*parametros_manuales!$B$6))</f>
        <v>0.2535833476505</v>
      </c>
      <c r="F17" s="45" t="n">
        <f aca="false">IF(F45*F73*parametros_manuales!$M$34*parametros_manuales!$B$6=0,0,'Demanda puesto con sobrestock'!$P$125/(parametros_manuales!$M$34*F45*F73*parametros_manuales!$B$6))</f>
        <v>0.4413750276395</v>
      </c>
      <c r="G17" s="45" t="n">
        <f aca="false">IF(G45*G73*parametros_manuales!$M$34*parametros_manuales!$B$6=0,0,'Demanda puesto con sobrestock'!$P$152/(parametros_manuales!$M$34*G45*G73*parametros_manuales!$B$6))</f>
        <v>0.619662460495</v>
      </c>
      <c r="H17" s="58" t="n">
        <f aca="false">IF(H45*H73*parametros_manuales!$M$34*parametros_manuales!$B$6=0,0,'Demanda puesto con sobrestock'!$P$179/(parametros_manuales!$M$34*H45*H73*parametros_manuales!$B$6))</f>
        <v>0.4269421729225</v>
      </c>
      <c r="I17" s="46" t="n">
        <f aca="false">IF(I45*I73*parametros_manuales!$M$34*parametros_manuales!$B$6=0,0,'Demanda puesto con sobrestock'!$P$206/(parametros_manuales!$M$34*I45*I73*parametros_manuales!$B$6))</f>
        <v>0.5456029406225</v>
      </c>
      <c r="J17" s="45" t="n">
        <f aca="false">IF(J45*J73*parametros_manuales!$M$34*parametros_manuales!$B$6=0,0,'Demanda puesto con sobrestock'!$P$233/(parametros_manuales!$M$34*J45*J73*parametros_manuales!$B$6))</f>
        <v>0.6156137924675</v>
      </c>
      <c r="K17" s="45" t="n">
        <f aca="false">IF(K45*K73*parametros_manuales!$M$34*parametros_manuales!$B$6=0,0,'Demanda puesto con sobrestock'!$P$260/(parametros_manuales!$M$34*K45*K73*parametros_manuales!$B$6))</f>
        <v>0.7112832109325</v>
      </c>
      <c r="L17" s="8" t="s">
        <v>83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45" t="n">
        <f aca="false">IF(B46*B74*parametros_manuales!$M$35*parametros_manuales!$B$6=0,0,'Demanda puesto con sobrestock'!$P$18/(parametros_manuales!$M$35*B46*B74*parametros_manuales!$B$6))</f>
        <v>0.0228845770224333</v>
      </c>
      <c r="C18" s="45" t="n">
        <f aca="false">IF(C46*C74*parametros_manuales!$M$35*parametros_manuales!$B$6=0,0,'Demanda puesto con sobrestock'!$P$45/(parametros_manuales!$M$35*C46*C74*parametros_manuales!$B$6))</f>
        <v>0.0361925920166667</v>
      </c>
      <c r="D18" s="45" t="n">
        <f aca="false">IF(D46*D74*parametros_manuales!$M$35*parametros_manuales!$B$6=0,0,'Demanda puesto con sobrestock'!$P$72/(parametros_manuales!$M$35*D46*D74*parametros_manuales!$B$6))</f>
        <v>0.0764656406213334</v>
      </c>
      <c r="E18" s="45" t="n">
        <f aca="false">IF(E46*E74*parametros_manuales!$M$35*parametros_manuales!$B$6=0,0,'Demanda puesto con sobrestock'!$P$99/(parametros_manuales!$M$35*E46*E74*parametros_manuales!$B$6))</f>
        <v>0.169055565100333</v>
      </c>
      <c r="F18" s="45" t="n">
        <f aca="false">IF(F46*F74*parametros_manuales!$M$35*parametros_manuales!$B$6=0,0,'Demanda puesto con sobrestock'!$P$126/(parametros_manuales!$M$35*F46*F74*parametros_manuales!$B$6))</f>
        <v>0.294250018426333</v>
      </c>
      <c r="G18" s="45" t="n">
        <f aca="false">IF(G46*G74*parametros_manuales!$M$35*parametros_manuales!$B$6=0,0,'Demanda puesto con sobrestock'!$P$153/(parametros_manuales!$M$35*G46*G74*parametros_manuales!$B$6))</f>
        <v>0.413108306996667</v>
      </c>
      <c r="H18" s="45" t="n">
        <f aca="false">IF(H46*H74*parametros_manuales!$M$35*parametros_manuales!$B$6=0,0,'Demanda puesto con sobrestock'!$P$180/(parametros_manuales!$M$35*H46*H74*parametros_manuales!$B$6))</f>
        <v>0.284628115281667</v>
      </c>
      <c r="I18" s="46" t="n">
        <f aca="false">IF(I46*I74*parametros_manuales!$M$35*parametros_manuales!$B$6=0,0,'Demanda puesto con sobrestock'!$P$207/(parametros_manuales!$M$35*I46*I74*parametros_manuales!$B$6))</f>
        <v>0.363735293748333</v>
      </c>
      <c r="J18" s="45" t="n">
        <f aca="false">IF(J46*J74*parametros_manuales!$M$35*parametros_manuales!$B$6=0,0,'Demanda puesto con sobrestock'!$P$234/(parametros_manuales!$M$35*J46*J74*parametros_manuales!$B$6))</f>
        <v>0.410409194978333</v>
      </c>
      <c r="K18" s="45" t="n">
        <f aca="false">IF(K46*K74*parametros_manuales!$M$35*parametros_manuales!$B$6=0,0,'Demanda puesto con sobrestock'!$P$261/(parametros_manuales!$M$35*K46*K74*parametros_manuales!$B$6))</f>
        <v>0.474188807288333</v>
      </c>
      <c r="L18" s="8" t="s">
        <v>202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45" t="n">
        <f aca="false">IF(B47*B75*parametros_manuales!$M$36*parametros_manuales!$B$6=0,0,'Demanda puesto con sobrestock'!$P$19/(parametros_manuales!$M$36*B47*B75*parametros_manuales!$B$6))</f>
        <v>0.010298059660095</v>
      </c>
      <c r="C19" s="45" t="n">
        <f aca="false">IF(C47*C75*parametros_manuales!$M$36*parametros_manuales!$B$6=0,0,'Demanda puesto con sobrestock'!$P$46/(parametros_manuales!$M$36*C47*C75*parametros_manuales!$B$6))</f>
        <v>0.0162866664075</v>
      </c>
      <c r="D19" s="45" t="n">
        <f aca="false">IF(D47*D75*parametros_manuales!$M$36*parametros_manuales!$B$6=0,0,'Demanda puesto con sobrestock'!$P$73/(parametros_manuales!$M$36*D47*D75*parametros_manuales!$B$6))</f>
        <v>0.0344095382796</v>
      </c>
      <c r="E19" s="45" t="n">
        <f aca="false">IF(E47*E75*parametros_manuales!$M$36*parametros_manuales!$B$6=0,0,'Demanda puesto con sobrestock'!$P$100/(parametros_manuales!$M$36*E47*E75*parametros_manuales!$B$6))</f>
        <v>0.07607500429515</v>
      </c>
      <c r="F19" s="45" t="n">
        <f aca="false">IF(F47*F75*parametros_manuales!$M$36*parametros_manuales!$B$6=0,0,'Demanda puesto con sobrestock'!$P$127/(parametros_manuales!$M$36*F47*F75*parametros_manuales!$B$6))</f>
        <v>0.13241250829185</v>
      </c>
      <c r="G19" s="45" t="n">
        <f aca="false">IF(G47*G75*parametros_manuales!$M$36*parametros_manuales!$B$6=0,0,'Demanda puesto con sobrestock'!$P$154/(parametros_manuales!$M$36*G47*G75*parametros_manuales!$B$6))</f>
        <v>0.1858987381485</v>
      </c>
      <c r="H19" s="45" t="n">
        <f aca="false">IF(H47*H75*parametros_manuales!$M$36*parametros_manuales!$B$6=0,0,'Demanda puesto con sobrestock'!$P$181/(parametros_manuales!$M$36*H47*H75*parametros_manuales!$B$6))</f>
        <v>0.2561653037535</v>
      </c>
      <c r="I19" s="45" t="n">
        <f aca="false">IF(I47*I75*parametros_manuales!$M$36*parametros_manuales!$B$6=0,0,'Demanda puesto con sobrestock'!$P$208/(parametros_manuales!$M$36*I47*I75*parametros_manuales!$B$6))</f>
        <v>0.3273617643735</v>
      </c>
      <c r="J19" s="45" t="n">
        <f aca="false">IF(J47*J75*parametros_manuales!$M$36*parametros_manuales!$B$6=0,0,'Demanda puesto con sobrestock'!$P$235/(parametros_manuales!$M$36*J47*J75*parametros_manuales!$B$6))</f>
        <v>0.3693682754805</v>
      </c>
      <c r="K19" s="45" t="n">
        <f aca="false">IF(K47*K75*parametros_manuales!$M$36*parametros_manuales!$B$6=0,0,'Demanda puesto con sobrestock'!$P$262/(parametros_manuales!$M$36*K47*K75*parametros_manuales!$B$6))</f>
        <v>0.4267699265595</v>
      </c>
      <c r="L19" s="8" t="s">
        <v>202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58" t="n">
        <f aca="false">IF(B48*B76*parametros_manuales!$M$37*parametros_manuales!$B$6=0,0,'Demanda puesto con sobrestock'!$P$20/(parametros_manuales!$M$37*B48*B76*parametros_manuales!$B$6))</f>
        <v>0.030217311209199</v>
      </c>
      <c r="C20" s="58" t="n">
        <f aca="false">IF(C48*C76*parametros_manuales!$M$37*parametros_manuales!$B$6=0,0,'Demanda puesto con sobrestock'!$P$47/(parametros_manuales!$M$37*C48*C76*parametros_manuales!$B$6))</f>
        <v>0.0477895141065141</v>
      </c>
      <c r="D20" s="58" t="n">
        <f aca="false">IF(D48*D76*parametros_manuales!$M$37*parametros_manuales!$B$6=0,0,'Demanda puesto con sobrestock'!$P$74/(parametros_manuales!$M$37*D48*D76*parametros_manuales!$B$6))</f>
        <v>0.100966955045775</v>
      </c>
      <c r="E20" s="58" t="n">
        <f aca="false">IF(E48*E76*parametros_manuales!$M$37*parametros_manuales!$B$6=0,0,'Demanda puesto con sobrestock'!$P$101/(parametros_manuales!$M$37*E48*E76*parametros_manuales!$B$6))</f>
        <v>0.223224777861356</v>
      </c>
      <c r="F20" s="45" t="n">
        <f aca="false">IF(F48*F76*parametros_manuales!$M$37*parametros_manuales!$B$6=0,0,'Demanda puesto con sobrestock'!$P$128/(parametros_manuales!$M$37*F48*F76*parametros_manuales!$B$6))</f>
        <v>0.388534355316461</v>
      </c>
      <c r="G20" s="45" t="n">
        <f aca="false">IF(G48*G76*parametros_manuales!$M$37*parametros_manuales!$B$6=0,0,'Demanda puesto con sobrestock'!$P$155/(parametros_manuales!$M$37*G48*G76*parametros_manuales!$B$6))</f>
        <v>0.545477518041374</v>
      </c>
      <c r="H20" s="58" t="n">
        <f aca="false">IF(H48*H76*parametros_manuales!$M$37*parametros_manuales!$B$6=0,0,'Demanda puesto con sobrestock'!$P$182/(parametros_manuales!$M$37*H48*H76*parametros_manuales!$B$6))</f>
        <v>0.375829377572623</v>
      </c>
      <c r="I20" s="46" t="n">
        <f aca="false">IF(I48*I76*parametros_manuales!$M$37*parametros_manuales!$B$6=0,0,'Demanda puesto con sobrestock'!$P$209/(parametros_manuales!$M$37*I48*I76*parametros_manuales!$B$6))</f>
        <v>0.48028427871699</v>
      </c>
      <c r="J20" s="45" t="n">
        <f aca="false">IF(J48*J76*parametros_manuales!$M$37*parametros_manuales!$B$6=0,0,'Demanda puesto con sobrestock'!$P$236/(parametros_manuales!$M$37*J48*J76*parametros_manuales!$B$6))</f>
        <v>0.541913549707306</v>
      </c>
      <c r="K20" s="45" t="n">
        <f aca="false">IF(K48*K76*parametros_manuales!$M$37*parametros_manuales!$B$6=0,0,'Demanda puesto con sobrestock'!$P$263/(parametros_manuales!$M$37*K48*K76*parametros_manuales!$B$6))</f>
        <v>0.626129587088468</v>
      </c>
      <c r="L20" s="8" t="s">
        <v>83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45" t="n">
        <f aca="false">IF(B49*B77*parametros_manuales!$M$38*parametros_manuales!$B$6=0,0,'Demanda puesto con sobrestock'!$P$21/(parametros_manuales!$M$38*B49*B77*parametros_manuales!$B$6))</f>
        <v>0.051280298300475</v>
      </c>
      <c r="C21" s="45" t="n">
        <f aca="false">IF(C49*C77*parametros_manuales!$M$38*parametros_manuales!$B$6=0,0,'Demanda puesto con sobrestock'!$P$48/(parametros_manuales!$M$38*C49*C77*parametros_manuales!$B$6))</f>
        <v>0.0808165320375</v>
      </c>
      <c r="D21" s="45" t="n">
        <f aca="false">IF(D49*D77*parametros_manuales!$M$38*parametros_manuales!$B$6=0,0,'Demanda puesto con sobrestock'!$P$75/(parametros_manuales!$M$38*D49*D77*parametros_manuales!$B$6))</f>
        <v>0.099478891398</v>
      </c>
      <c r="E21" s="45" t="n">
        <f aca="false">IF(E49*E77*parametros_manuales!$M$38*parametros_manuales!$B$6=0,0,'Demanda puesto con sobrestock'!$P$102/(parametros_manuales!$M$38*E49*E77*parametros_manuales!$B$6))</f>
        <v>0.12957412147575</v>
      </c>
      <c r="F21" s="45" t="n">
        <f aca="false">IF(F49*F77*parametros_manuales!$M$38*parametros_manuales!$B$6=0,0,'Demanda puesto con sobrestock'!$P$129/(parametros_manuales!$M$38*F49*F77*parametros_manuales!$B$6))</f>
        <v>0.19908214145925</v>
      </c>
      <c r="G21" s="45" t="n">
        <f aca="false">IF(G49*G77*parametros_manuales!$M$38*parametros_manuales!$B$6=0,0,'Demanda puesto con sobrestock'!$P$156/(parametros_manuales!$M$38*G49*G77*parametros_manuales!$B$6))</f>
        <v>0.2587380907425</v>
      </c>
      <c r="H21" s="45" t="n">
        <f aca="false">IF(H49*H77*parametros_manuales!$M$38*parametros_manuales!$B$6=0,0,'Demanda puesto con sobrestock'!$P$183/(parametros_manuales!$M$38*H49*H77*parametros_manuales!$B$6))</f>
        <v>0.3340571187675</v>
      </c>
      <c r="I21" s="45" t="n">
        <f aca="false">IF(I49*I77*parametros_manuales!$M$38*parametros_manuales!$B$6=0,0,'Demanda puesto con sobrestock'!$P$210/(parametros_manuales!$M$38*I49*I77*parametros_manuales!$B$6))</f>
        <v>0.4132741218675</v>
      </c>
      <c r="J21" s="45" t="n">
        <f aca="false">IF(J49*J77*parametros_manuales!$M$38*parametros_manuales!$B$6=0,0,'Demanda puesto con sobrestock'!$P$237/(parametros_manuales!$M$38*J49*J77*parametros_manuales!$B$6))</f>
        <v>0.4758194774025</v>
      </c>
      <c r="K21" s="45" t="n">
        <f aca="false">IF(K49*K77*parametros_manuales!$M$38*parametros_manuales!$B$6=0,0,'Demanda puesto con sobrestock'!$P$264/(parametros_manuales!$M$38*K49*K77*parametros_manuales!$B$6))</f>
        <v>0.5414160327975</v>
      </c>
      <c r="L21" s="8" t="s">
        <v>83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45" t="n">
        <f aca="false">IF(B50*B78*parametros_manuales!$M$39*parametros_manuales!$B$6=0,0,'Demanda puesto con sobrestock'!$P$22/(parametros_manuales!$M$39*B50*B78*parametros_manuales!$B$6))</f>
        <v>0.116018774435464</v>
      </c>
      <c r="C22" s="45" t="n">
        <f aca="false">IF(C50*C78*parametros_manuales!$M$39*parametros_manuales!$B$6=0,0,'Demanda puesto con sobrestock'!$P$49/(parametros_manuales!$M$39*C50*C78*parametros_manuales!$B$6))</f>
        <v>0.182842832664027</v>
      </c>
      <c r="D22" s="45" t="n">
        <f aca="false">IF(D50*D78*parametros_manuales!$M$39*parametros_manuales!$B$6=0,0,'Demanda puesto con sobrestock'!$P$76/(parametros_manuales!$M$39*D50*D78*parametros_manuales!$B$6))</f>
        <v>0.225065365153846</v>
      </c>
      <c r="E22" s="45" t="n">
        <f aca="false">IF(E50*E78*parametros_manuales!$M$39*parametros_manuales!$B$6=0,0,'Demanda puesto con sobrestock'!$P$103/(parametros_manuales!$M$39*E50*E78*parametros_manuales!$B$6))</f>
        <v>0.29315412098586</v>
      </c>
      <c r="F22" s="45" t="n">
        <f aca="false">IF(F50*F78*parametros_manuales!$M$39*parametros_manuales!$B$6=0,0,'Demanda puesto con sobrestock'!$P$130/(parametros_manuales!$M$39*F50*F78*parametros_manuales!$B$6))</f>
        <v>0.450412084749435</v>
      </c>
      <c r="G22" s="45" t="n">
        <f aca="false">IF(G50*G78*parametros_manuales!$M$39*parametros_manuales!$B$6=0,0,'Demanda puesto con sobrestock'!$P$157/(parametros_manuales!$M$39*G50*G78*parametros_manuales!$B$6))</f>
        <v>0.585380295797511</v>
      </c>
      <c r="H22" s="58" t="n">
        <f aca="false">IF(H50*H78*parametros_manuales!$M$39*parametros_manuales!$B$6=0,0,'Demanda puesto con sobrestock'!$P$184/(parametros_manuales!$M$39*H50*H78*parametros_manuales!$B$6))</f>
        <v>0.377892668289027</v>
      </c>
      <c r="I22" s="46" t="n">
        <f aca="false">IF(I50*I78*parametros_manuales!$M$39*parametros_manuales!$B$6=0,0,'Demanda puesto con sobrestock'!$P$211/(parametros_manuales!$M$39*I50*I78*parametros_manuales!$B$6))</f>
        <v>0.467504662746041</v>
      </c>
      <c r="J22" s="45" t="n">
        <f aca="false">IF(J50*J78*parametros_manuales!$M$39*parametros_manuales!$B$6=0,0,'Demanda puesto con sobrestock'!$P$238/(parametros_manuales!$M$39*J50*J78*parametros_manuales!$B$6))</f>
        <v>0.538257327378394</v>
      </c>
      <c r="K22" s="45" t="n">
        <f aca="false">IF(K50*K78*parametros_manuales!$M$39*parametros_manuales!$B$6=0,0,'Demanda puesto con sobrestock'!$P$265/(parametros_manuales!$M$39*K50*K78*parametros_manuales!$B$6))</f>
        <v>0.612461575562783</v>
      </c>
      <c r="L22" s="8" t="s">
        <v>202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45" t="n">
        <f aca="false">IF(B51*B79*parametros_manuales!$M$40*parametros_manuales!$B$6=0,0,'Demanda puesto con sobrestock'!$P$23/(parametros_manuales!$M$40*B51*B79*parametros_manuales!$B$6))</f>
        <v>0.03418686553365</v>
      </c>
      <c r="C23" s="45" t="n">
        <f aca="false">IF(C51*C79*parametros_manuales!$M$40*parametros_manuales!$B$6=0,0,'Demanda puesto con sobrestock'!$P$50/(parametros_manuales!$M$40*C51*C79*parametros_manuales!$B$6))</f>
        <v>0.053877688025</v>
      </c>
      <c r="D23" s="45" t="n">
        <f aca="false">IF(D51*D79*parametros_manuales!$M$40*parametros_manuales!$B$6=0,0,'Demanda puesto con sobrestock'!$P$77/(parametros_manuales!$M$40*D51*D79*parametros_manuales!$B$6))</f>
        <v>0.066319260932</v>
      </c>
      <c r="E23" s="45" t="n">
        <f aca="false">IF(E51*E79*parametros_manuales!$M$40*parametros_manuales!$B$6=0,0,'Demanda puesto con sobrestock'!$P$104/(parametros_manuales!$M$40*E51*E79*parametros_manuales!$B$6))</f>
        <v>0.0863827476505</v>
      </c>
      <c r="F23" s="45" t="n">
        <f aca="false">IF(F51*F79*parametros_manuales!$M$40*parametros_manuales!$B$6=0,0,'Demanda puesto con sobrestock'!$P$131/(parametros_manuales!$M$40*F51*F79*parametros_manuales!$B$6))</f>
        <v>0.1327214276395</v>
      </c>
      <c r="G23" s="45" t="n">
        <f aca="false">IF(G51*G79*parametros_manuales!$M$40*parametros_manuales!$B$6=0,0,'Demanda puesto con sobrestock'!$P$158/(parametros_manuales!$M$40*G51*G79*parametros_manuales!$B$6))</f>
        <v>0.172492060495</v>
      </c>
      <c r="H23" s="45" t="n">
        <f aca="false">IF(H51*H79*parametros_manuales!$M$40*parametros_manuales!$B$6=0,0,'Demanda puesto con sobrestock'!$P$185/(parametros_manuales!$M$40*H51*H79*parametros_manuales!$B$6))</f>
        <v>0.222704745845</v>
      </c>
      <c r="I23" s="45" t="n">
        <f aca="false">IF(I51*I79*parametros_manuales!$M$40*parametros_manuales!$B$6=0,0,'Demanda puesto con sobrestock'!$P$212/(parametros_manuales!$M$40*I51*I79*parametros_manuales!$B$6))</f>
        <v>0.275516081245</v>
      </c>
      <c r="J23" s="45" t="n">
        <f aca="false">IF(J51*J79*parametros_manuales!$M$40*parametros_manuales!$B$6=0,0,'Demanda puesto con sobrestock'!$P$239/(parametros_manuales!$M$40*J51*J79*parametros_manuales!$B$6))</f>
        <v>0.317212984935</v>
      </c>
      <c r="K23" s="45" t="n">
        <f aca="false">IF(K51*K79*parametros_manuales!$M$40*parametros_manuales!$B$6=0,0,'Demanda puesto con sobrestock'!$P$266/(parametros_manuales!$M$40*K51*K79*parametros_manuales!$B$6))</f>
        <v>0.360944021865</v>
      </c>
      <c r="L23" s="8" t="s">
        <v>83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45" t="n">
        <f aca="false">IF(B52*B80*parametros_manuales!$M$41*parametros_manuales!$B$6=0,0,'Demanda puesto con sobrestock'!$P$24/(parametros_manuales!$M$41*B52*B80*parametros_manuales!$B$6))</f>
        <v>0.062675920145025</v>
      </c>
      <c r="C24" s="45" t="n">
        <f aca="false">IF(C52*C80*parametros_manuales!$M$41*parametros_manuales!$B$6=0,0,'Demanda puesto con sobrestock'!$P$51/(parametros_manuales!$M$41*C52*C80*parametros_manuales!$B$6))</f>
        <v>0.0987757613791667</v>
      </c>
      <c r="D24" s="45" t="n">
        <f aca="false">IF(D52*D80*parametros_manuales!$M$41*parametros_manuales!$B$6=0,0,'Demanda puesto con sobrestock'!$P$78/(parametros_manuales!$M$41*D52*D80*parametros_manuales!$B$6))</f>
        <v>0.121585311708667</v>
      </c>
      <c r="E24" s="45" t="n">
        <f aca="false">IF(E52*E80*parametros_manuales!$M$41*parametros_manuales!$B$6=0,0,'Demanda puesto con sobrestock'!$P$105/(parametros_manuales!$M$41*E52*E80*parametros_manuales!$B$6))</f>
        <v>0.158368370692583</v>
      </c>
      <c r="F24" s="45" t="n">
        <f aca="false">IF(F52*F80*parametros_manuales!$M$41*parametros_manuales!$B$6=0,0,'Demanda puesto con sobrestock'!$P$132/(parametros_manuales!$M$41*F52*F80*parametros_manuales!$B$6))</f>
        <v>0.243322617339083</v>
      </c>
      <c r="G24" s="45" t="n">
        <f aca="false">IF(G52*G80*parametros_manuales!$M$41*parametros_manuales!$B$6=0,0,'Demanda puesto con sobrestock'!$P$159/(parametros_manuales!$M$41*G52*G80*parametros_manuales!$B$6))</f>
        <v>0.316235444240833</v>
      </c>
      <c r="H24" s="45" t="n">
        <f aca="false">IF(H52*H80*parametros_manuales!$M$41*parametros_manuales!$B$6=0,0,'Demanda puesto con sobrestock'!$P$186/(parametros_manuales!$M$41*H52*H80*parametros_manuales!$B$6))</f>
        <v>0.408292034049167</v>
      </c>
      <c r="I24" s="45" t="n">
        <f aca="false">IF(I52*I80*parametros_manuales!$M$41*parametros_manuales!$B$6=0,0,'Demanda puesto con sobrestock'!$P$213/(parametros_manuales!$M$41*I52*I80*parametros_manuales!$B$6))</f>
        <v>0.505112815615833</v>
      </c>
      <c r="J24" s="58" t="n">
        <f aca="false">IF(J52*J80*parametros_manuales!$M$41*parametros_manuales!$B$6=0,0,'Demanda puesto con sobrestock'!$P$240/(parametros_manuales!$M$41*J52*J80*parametros_manuales!$B$6))</f>
        <v>0.5815571390475</v>
      </c>
      <c r="K24" s="45" t="n">
        <f aca="false">IF(K52*K80*parametros_manuales!$M$41*parametros_manuales!$B$6=0,0,'Demanda puesto con sobrestock'!$P$267/(parametros_manuales!$M$41*K52*K80*parametros_manuales!$B$6))</f>
        <v>0.6617307067525</v>
      </c>
      <c r="L24" s="8" t="s">
        <v>83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45" t="n">
        <f aca="false">IF(B53*B81*parametros_manuales!$M$42*parametros_manuales!$B$6=0,0,'Demanda puesto con sobrestock'!$P$25/(parametros_manuales!$M$42*B53*B81*parametros_manuales!$B$6))</f>
        <v>0.0683737310673</v>
      </c>
      <c r="C25" s="45" t="n">
        <f aca="false">IF(C53*C81*parametros_manuales!$M$42*parametros_manuales!$B$6=0,0,'Demanda puesto con sobrestock'!$P$52/(parametros_manuales!$M$42*C53*C81*parametros_manuales!$B$6))</f>
        <v>0.10775537605</v>
      </c>
      <c r="D25" s="45" t="n">
        <f aca="false">IF(D53*D81*parametros_manuales!$M$42*parametros_manuales!$B$6=0,0,'Demanda puesto con sobrestock'!$P$79/(parametros_manuales!$M$42*D53*D81*parametros_manuales!$B$6))</f>
        <v>0.132638521864</v>
      </c>
      <c r="E25" s="45" t="n">
        <f aca="false">IF(E53*E81*parametros_manuales!$M$42*parametros_manuales!$B$6=0,0,'Demanda puesto con sobrestock'!$P$106/(parametros_manuales!$M$42*E53*E81*parametros_manuales!$B$6))</f>
        <v>0.172765495301</v>
      </c>
      <c r="F25" s="45" t="n">
        <f aca="false">IF(F53*F81*parametros_manuales!$M$42*parametros_manuales!$B$6=0,0,'Demanda puesto con sobrestock'!$P$133/(parametros_manuales!$M$42*F53*F81*parametros_manuales!$B$6))</f>
        <v>0.265442855279</v>
      </c>
      <c r="G25" s="45" t="n">
        <f aca="false">IF(G53*G81*parametros_manuales!$M$42*parametros_manuales!$B$6=0,0,'Demanda puesto con sobrestock'!$P$160/(parametros_manuales!$M$42*G53*G81*parametros_manuales!$B$6))</f>
        <v>0.34498412099</v>
      </c>
      <c r="H25" s="45" t="n">
        <f aca="false">IF(H53*H81*parametros_manuales!$M$42*parametros_manuales!$B$6=0,0,'Demanda puesto con sobrestock'!$P$187/(parametros_manuales!$M$42*H53*H81*parametros_manuales!$B$6))</f>
        <v>0.44540949169</v>
      </c>
      <c r="I25" s="45" t="n">
        <f aca="false">IF(I53*I81*parametros_manuales!$M$42*parametros_manuales!$B$6=0,0,'Demanda puesto con sobrestock'!$P$214/(parametros_manuales!$M$42*I53*I81*parametros_manuales!$B$6))</f>
        <v>0.55103216249</v>
      </c>
      <c r="J25" s="45" t="n">
        <f aca="false">IF(J53*J81*parametros_manuales!$M$42*parametros_manuales!$B$6=0,0,'Demanda puesto con sobrestock'!$P$241/(parametros_manuales!$M$42*J53*J81*parametros_manuales!$B$6))</f>
        <v>0.63442596987</v>
      </c>
      <c r="K25" s="45" t="n">
        <f aca="false">IF(K53*K81*parametros_manuales!$M$42*parametros_manuales!$B$6=0,0,'Demanda puesto con sobrestock'!$P$268/(parametros_manuales!$M$42*K53*K81*parametros_manuales!$B$6))</f>
        <v>0.72188804373</v>
      </c>
      <c r="L25" s="8" t="s">
        <v>83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45" t="n">
        <f aca="false">IF(B54*B82*parametros_manuales!$M$43*parametros_manuales!$B$6=0,0,'Demanda puesto con sobrestock'!$P$26/(parametros_manuales!$M$43*B54*B82*parametros_manuales!$B$6))</f>
        <v>0.0519520946977887</v>
      </c>
      <c r="C26" s="45" t="n">
        <f aca="false">IF(C54*C82*parametros_manuales!$M$43*parametros_manuales!$B$6=0,0,'Demanda puesto con sobrestock'!$P$53/(parametros_manuales!$M$43*C54*C82*parametros_manuales!$B$6))</f>
        <v>0.0821636758225897</v>
      </c>
      <c r="D26" s="45" t="n">
        <f aca="false">IF(D54*D82*parametros_manuales!$M$43*parametros_manuales!$B$6=0,0,'Demanda puesto con sobrestock'!$P$80/(parametros_manuales!$M$43*D54*D82*parametros_manuales!$B$6))</f>
        <v>0.173590720020404</v>
      </c>
      <c r="E26" s="45" t="n">
        <f aca="false">IF(E54*E82*parametros_manuales!$M$43*parametros_manuales!$B$6=0,0,'Demanda puesto con sobrestock'!$P$107/(parametros_manuales!$M$43*E54*E82*parametros_manuales!$B$6))</f>
        <v>0.383786456645936</v>
      </c>
      <c r="F26" s="45" t="n">
        <f aca="false">IF(F54*F82*parametros_manuales!$M$43*parametros_manuales!$B$6=0,0,'Demanda puesto con sobrestock'!$P$134/(parametros_manuales!$M$43*F54*F82*parametros_manuales!$B$6))</f>
        <v>0.66800032210014</v>
      </c>
      <c r="G26" s="58" t="n">
        <f aca="false">IF(G54*G82*parametros_manuales!$M$43*parametros_manuales!$B$6=0,0,'Demanda puesto con sobrestock'!$P$161/(parametros_manuales!$M$43*G54*G82*parametros_manuales!$B$6))</f>
        <v>0.468914978513593</v>
      </c>
      <c r="H26" s="46" t="n">
        <f aca="false">IF(H54*H82*parametros_manuales!$M$43*parametros_manuales!$B$6=0,0,'Demanda puesto con sobrestock'!$P$188/(parametros_manuales!$M$43*H54*H82*parametros_manuales!$B$6))</f>
        <v>0.323078438029919</v>
      </c>
      <c r="I26" s="46" t="n">
        <f aca="false">IF(I54*I82*parametros_manuales!$M$43*parametros_manuales!$B$6=0,0,'Demanda puesto con sobrestock'!$P$215/(parametros_manuales!$M$43*I54*I82*parametros_manuales!$B$6))</f>
        <v>0.412872180403798</v>
      </c>
      <c r="J26" s="45" t="n">
        <f aca="false">IF(J54*J82*parametros_manuales!$M$43*parametros_manuales!$B$6=0,0,'Demanda puesto con sobrestock'!$P$242/(parametros_manuales!$M$43*J54*J82*parametros_manuales!$B$6))</f>
        <v>0.465851244299958</v>
      </c>
      <c r="K26" s="45" t="n">
        <f aca="false">IF(K54*K82*parametros_manuales!$M$43*parametros_manuales!$B$6=0,0,'Demanda puesto con sobrestock'!$P$269/(parametros_manuales!$M$43*K54*K82*parametros_manuales!$B$6))</f>
        <v>0.53824682441641</v>
      </c>
      <c r="L26" s="8" t="s">
        <v>202</v>
      </c>
    </row>
    <row r="27" customFormat="false" ht="14.25" hidden="false" customHeight="true" outlineLevel="0" collapsed="false">
      <c r="A27" s="10" t="s">
        <v>209</v>
      </c>
      <c r="B27" s="60" t="n">
        <f aca="false">MAX(B2:B26)</f>
        <v>0.1373074621346</v>
      </c>
      <c r="C27" s="60" t="n">
        <f aca="false">MAX(C2:C26)</f>
        <v>0.2171555521</v>
      </c>
      <c r="D27" s="60" t="n">
        <f aca="false">MAX(D2:D26)</f>
        <v>0.458793843728</v>
      </c>
      <c r="E27" s="60" t="n">
        <f aca="false">MAX(E2:E26)</f>
        <v>0.516346182998756</v>
      </c>
      <c r="F27" s="60" t="n">
        <f aca="false">MAX(F2:F26)</f>
        <v>0.898727431845136</v>
      </c>
      <c r="G27" s="60" t="n">
        <f aca="false">MAX(G2:G26)</f>
        <v>0.826216613993334</v>
      </c>
      <c r="H27" s="60" t="n">
        <f aca="false">MAX(H2:H26)</f>
        <v>0.476936429859375</v>
      </c>
      <c r="I27" s="60" t="n">
        <f aca="false">MAX(I2:I26)</f>
        <v>0.603245882046875</v>
      </c>
      <c r="J27" s="60" t="n">
        <f aca="false">MAX(J2:J26)</f>
        <v>0.688177685591638</v>
      </c>
      <c r="K27" s="60" t="n">
        <f aca="false">MAX(K2:K26)</f>
        <v>0.795409983356841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57" t="s">
        <v>210</v>
      </c>
      <c r="B29" s="57" t="n">
        <v>2026</v>
      </c>
      <c r="C29" s="57" t="n">
        <v>2027</v>
      </c>
      <c r="D29" s="57" t="n">
        <v>2028</v>
      </c>
      <c r="E29" s="57" t="n">
        <v>2029</v>
      </c>
      <c r="F29" s="57" t="n">
        <v>2030</v>
      </c>
      <c r="G29" s="57" t="n">
        <v>2031</v>
      </c>
      <c r="H29" s="57" t="n">
        <v>2032</v>
      </c>
      <c r="I29" s="57" t="n">
        <v>2033</v>
      </c>
      <c r="J29" s="57" t="n">
        <v>2034</v>
      </c>
      <c r="K29" s="5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2</v>
      </c>
      <c r="H30" s="41" t="n">
        <v>2</v>
      </c>
      <c r="I30" s="41" t="n">
        <v>2</v>
      </c>
      <c r="J30" s="41" t="n">
        <v>2</v>
      </c>
      <c r="K30" s="41" t="n">
        <v>2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1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2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1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1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1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2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1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2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2</v>
      </c>
      <c r="G44" s="41" t="n">
        <v>3</v>
      </c>
      <c r="H44" s="41" t="n">
        <v>4</v>
      </c>
      <c r="I44" s="41" t="n">
        <v>4</v>
      </c>
      <c r="J44" s="41" t="n">
        <v>4</v>
      </c>
      <c r="K44" s="41" t="n">
        <v>4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1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1</v>
      </c>
      <c r="C48" s="41" t="n">
        <v>1</v>
      </c>
      <c r="D48" s="41" t="n">
        <v>1</v>
      </c>
      <c r="E48" s="41" t="n">
        <v>1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211</v>
      </c>
      <c r="B55" s="55" t="n">
        <f aca="false">SUM(B30:B54)</f>
        <v>25</v>
      </c>
      <c r="C55" s="55" t="n">
        <f aca="false">SUM(C30:C54)</f>
        <v>25</v>
      </c>
      <c r="D55" s="55" t="n">
        <f aca="false">SUM(D30:D54)</f>
        <v>25</v>
      </c>
      <c r="E55" s="55" t="n">
        <f aca="false">SUM(E30:E54)</f>
        <v>26</v>
      </c>
      <c r="F55" s="55" t="n">
        <f aca="false">SUM(F30:F54)</f>
        <v>27</v>
      </c>
      <c r="G55" s="55" t="n">
        <f aca="false">SUM(G30:G54)</f>
        <v>32</v>
      </c>
      <c r="H55" s="55" t="n">
        <f aca="false">SUM(H30:H54)</f>
        <v>33</v>
      </c>
      <c r="I55" s="55" t="n">
        <f aca="false">SUM(I30:I54)</f>
        <v>33</v>
      </c>
      <c r="J55" s="55" t="n">
        <f aca="false">SUM(J30:J54)</f>
        <v>33</v>
      </c>
      <c r="K55" s="55" t="n">
        <f aca="false">SUM(K30:K54)</f>
        <v>33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57" t="s">
        <v>212</v>
      </c>
      <c r="B57" s="57" t="n">
        <v>2026</v>
      </c>
      <c r="C57" s="57" t="n">
        <v>2027</v>
      </c>
      <c r="D57" s="57" t="n">
        <v>2028</v>
      </c>
      <c r="E57" s="57" t="n">
        <v>2029</v>
      </c>
      <c r="F57" s="57" t="n">
        <v>2030</v>
      </c>
      <c r="G57" s="57" t="n">
        <v>2031</v>
      </c>
      <c r="H57" s="57" t="n">
        <v>2032</v>
      </c>
      <c r="I57" s="57" t="n">
        <v>2033</v>
      </c>
      <c r="J57" s="57" t="n">
        <v>2034</v>
      </c>
      <c r="K57" s="5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2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2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2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2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2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2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1</v>
      </c>
      <c r="K80" s="41" t="n">
        <v>1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1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2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213</v>
      </c>
      <c r="B83" s="55" t="n">
        <f aca="false">MAX(B58:B82)</f>
        <v>1</v>
      </c>
      <c r="C83" s="55" t="n">
        <f aca="false">MAX(C58:C82)</f>
        <v>1</v>
      </c>
      <c r="D83" s="55" t="n">
        <f aca="false">MAX(D58:D82)</f>
        <v>1</v>
      </c>
      <c r="E83" s="55" t="n">
        <f aca="false">MAX(E58:E82)</f>
        <v>1</v>
      </c>
      <c r="F83" s="55" t="n">
        <f aca="false">MAX(F58:F82)</f>
        <v>1</v>
      </c>
      <c r="G83" s="55" t="n">
        <f aca="false">MAX(G58:G82)</f>
        <v>1</v>
      </c>
      <c r="H83" s="55" t="n">
        <f aca="false">MAX(H58:H82)</f>
        <v>2</v>
      </c>
      <c r="I83" s="55" t="n">
        <f aca="false">MAX(I58:I82)</f>
        <v>2</v>
      </c>
      <c r="J83" s="55" t="n">
        <f aca="false">MAX(J58:J82)</f>
        <v>2</v>
      </c>
      <c r="K83" s="55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>
      <c r="A86" s="61" t="s">
        <v>216</v>
      </c>
    </row>
    <row r="87" customFormat="false" ht="14.25" hidden="false" customHeight="true" outlineLevel="0" collapsed="false">
      <c r="A87" s="57" t="s">
        <v>209</v>
      </c>
      <c r="B87" s="57" t="n">
        <v>2026</v>
      </c>
      <c r="C87" s="57" t="n">
        <v>2027</v>
      </c>
      <c r="D87" s="57" t="n">
        <v>2028</v>
      </c>
      <c r="E87" s="57" t="n">
        <v>2029</v>
      </c>
      <c r="F87" s="57" t="n">
        <v>2030</v>
      </c>
      <c r="G87" s="57" t="n">
        <v>2031</v>
      </c>
      <c r="H87" s="57" t="n">
        <v>2032</v>
      </c>
      <c r="I87" s="57" t="n">
        <v>2033</v>
      </c>
      <c r="J87" s="57" t="n">
        <v>2034</v>
      </c>
      <c r="K87" s="57" t="n">
        <v>2035</v>
      </c>
    </row>
    <row r="88" customFormat="false" ht="14.25" hidden="false" customHeight="true" outlineLevel="0" collapsed="false">
      <c r="A88" s="8" t="s">
        <v>217</v>
      </c>
      <c r="B88" s="62" t="n">
        <f aca="false">'Resumen cap. sin sobrestock'!B27</f>
        <v>0.177106312704511</v>
      </c>
      <c r="C88" s="62" t="n">
        <f aca="false">'Resumen cap. sin sobrestock'!C27</f>
        <v>0.278739683626667</v>
      </c>
      <c r="D88" s="62" t="n">
        <f aca="false">'Resumen cap. sin sobrestock'!D27</f>
        <v>0.593001692907556</v>
      </c>
      <c r="E88" s="62" t="n">
        <f aca="false">'Resumen cap. sin sobrestock'!E27</f>
        <v>0.670865724411878</v>
      </c>
      <c r="F88" s="62" t="n">
        <f aca="false">'Resumen cap. sin sobrestock'!F27</f>
        <v>0.868671939616228</v>
      </c>
      <c r="G88" s="62" t="n">
        <f aca="false">'Resumen cap. sin sobrestock'!G27</f>
        <v>0.869735911630725</v>
      </c>
      <c r="H88" s="62" t="n">
        <f aca="false">'Resumen cap. sin sobrestock'!H27</f>
        <v>0.489098863976673</v>
      </c>
      <c r="I88" s="62" t="n">
        <f aca="false">'Resumen cap. sin sobrestock'!I27</f>
        <v>0.625192199046117</v>
      </c>
      <c r="J88" s="62" t="n">
        <f aca="false">'Resumen cap. sin sobrestock'!J27</f>
        <v>0.70522638473127</v>
      </c>
      <c r="K88" s="62" t="n">
        <f aca="false">'Resumen cap. sin sobrestock'!K27</f>
        <v>0.814814839405565</v>
      </c>
    </row>
    <row r="89" customFormat="false" ht="14.25" hidden="false" customHeight="true" outlineLevel="0" collapsed="false">
      <c r="A89" s="8" t="s">
        <v>218</v>
      </c>
      <c r="B89" s="59" t="n">
        <f aca="false">B27</f>
        <v>0.1373074621346</v>
      </c>
      <c r="C89" s="59" t="n">
        <f aca="false">C27</f>
        <v>0.2171555521</v>
      </c>
      <c r="D89" s="59" t="n">
        <f aca="false">D27</f>
        <v>0.458793843728</v>
      </c>
      <c r="E89" s="59" t="n">
        <f aca="false">E27</f>
        <v>0.516346182998756</v>
      </c>
      <c r="F89" s="59" t="n">
        <f aca="false">F27</f>
        <v>0.898727431845136</v>
      </c>
      <c r="G89" s="59" t="n">
        <f aca="false">G27</f>
        <v>0.826216613993334</v>
      </c>
      <c r="H89" s="59" t="n">
        <f aca="false">H27</f>
        <v>0.476936429859375</v>
      </c>
      <c r="I89" s="59" t="n">
        <f aca="false">I27</f>
        <v>0.603245882046875</v>
      </c>
      <c r="J89" s="59" t="n">
        <f aca="false">J27</f>
        <v>0.688177685591638</v>
      </c>
      <c r="K89" s="59" t="n">
        <f aca="false">K27</f>
        <v>0.795409983356841</v>
      </c>
    </row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2026-10-19T00:15:18Z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