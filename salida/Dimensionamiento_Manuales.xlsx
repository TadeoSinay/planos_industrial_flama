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6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nks" sheetId="1" state="visible" r:id="rId3"/>
    <sheet name="datos_base" sheetId="2" state="visible" r:id="rId4"/>
    <sheet name="parametros_manuales" sheetId="3" state="visible" r:id="rId5"/>
    <sheet name="Plan mensual" sheetId="4" state="visible" r:id="rId6"/>
    <sheet name="Demanda puesto sin sobrestock" sheetId="5" state="visible" r:id="rId7"/>
    <sheet name="Resumen cap. sin sobrestock" sheetId="6" state="visible" r:id="rId8"/>
    <sheet name="Demanda puesto con sobrestock" sheetId="7" state="visible" r:id="rId9"/>
    <sheet name="Resumen cap. con sobrestock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10" authorId="0">
      <text>
        <r>
          <rPr>
            <sz val="10"/>
            <rFont val="Arial"/>
            <family val="2"/>
          </rPr>
          <t xml:space="preserve">Esto porque la operación es manual
======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10" authorId="0">
      <text>
        <r>
          <rPr>
            <sz val="10"/>
            <rFont val="Arial"/>
            <family val="2"/>
          </rPr>
          <t xml:space="preserve">Esto porque la operación es manual
======</t>
        </r>
      </text>
    </comment>
  </commentList>
</comments>
</file>

<file path=xl/sharedStrings.xml><?xml version="1.0" encoding="utf-8"?>
<sst xmlns="http://schemas.openxmlformats.org/spreadsheetml/2006/main" count="1053" uniqueCount="219">
  <si>
    <t xml:space="preserve">Links de los IMPORTRANGE</t>
  </si>
  <si>
    <t xml:space="preserve">Pegar en la columna B el link del Google Sheet de cada archivo; todas las fórmulas IMPORTRANGE leen el link de esta hoja. Hasta que se pegue, esas celdas muestran el último valor conocido o un error de referencia.</t>
  </si>
  <si>
    <t xml:space="preserve">Archivo</t>
  </si>
  <si>
    <t xml:space="preserve">Link</t>
  </si>
  <si>
    <t xml:space="preserve">Qué se importa</t>
  </si>
  <si>
    <t xml:space="preserve">Proyecciones</t>
  </si>
  <si>
    <t xml:space="preserve">https://docs.google.com/spreadsheets/d/1xc4xDAwSYT3l-RulPYtcePxiCninrbQGzaBUsgO0YEs/edit?gid=1764491891#gid=1764491891</t>
  </si>
  <si>
    <t xml:space="preserve">Indexado Dim Técnico: recargas por tipo (B27:K43), % por zona (U61:U74), % por planta (V61 y V63)</t>
  </si>
  <si>
    <t xml:space="preserve">Dimensionamiento Recargas Planta Comercial</t>
  </si>
  <si>
    <t xml:space="preserve">PEGAR ACÁ EL LINK DEL GOOGLE SHEET</t>
  </si>
  <si>
    <t xml:space="preserve">sobrestock_sustitutos, paso 4: alta de sustitutos ABC que pide como cilindro vacío</t>
  </si>
  <si>
    <t xml:space="preserve">Dimensionamiento Recargas Planta Industrial</t>
  </si>
  <si>
    <t xml:space="preserve">sobrestock_sustitutos, paso 4: alta de sustitutos ABC que pide como matafuego terminado</t>
  </si>
  <si>
    <t xml:space="preserve">MRP (FLAMA_MRP)</t>
  </si>
  <si>
    <t xml:space="preserve">ESTACIONALIDAD C4:N5: perfiles E01 (1 kg) y E02 (2,5 a 10 kg), filas 12 a 15 de parametros_manuales</t>
  </si>
  <si>
    <t xml:space="preserve">Matafuegos terminados</t>
  </si>
  <si>
    <t xml:space="preserve">ABC 1 kg</t>
  </si>
  <si>
    <t xml:space="preserve">ABC 2,5 kg</t>
  </si>
  <si>
    <t xml:space="preserve">ABC 5 kg</t>
  </si>
  <si>
    <t xml:space="preserve">ABC 10 kg</t>
  </si>
  <si>
    <t xml:space="preserve">Total terminados</t>
  </si>
  <si>
    <t xml:space="preserve">Cilindros vendidos vacíos</t>
  </si>
  <si>
    <t xml:space="preserve">Cilindros ABC 1 kg</t>
  </si>
  <si>
    <t xml:space="preserve">Cilindros ABC 2,5 kg</t>
  </si>
  <si>
    <t xml:space="preserve">Cilindros ABC 5 kg</t>
  </si>
  <si>
    <t xml:space="preserve">Cilindros ABC 10 kg</t>
  </si>
  <si>
    <t xml:space="preserve">Total cilindros</t>
  </si>
  <si>
    <t xml:space="preserve">Total recipientes a fabricar (con sustitutos)</t>
  </si>
  <si>
    <t xml:space="preserve">Sustitutos ABC para las plantas de recargas</t>
  </si>
  <si>
    <t xml:space="preserve">ABC 1 kg — sustituto (terminado, planta industrial)</t>
  </si>
  <si>
    <t xml:space="preserve">ABC 2,5 kg — sustituto (terminado, planta industrial)</t>
  </si>
  <si>
    <t xml:space="preserve">ABC 5 kg — sustituto (terminado, planta industrial)</t>
  </si>
  <si>
    <t xml:space="preserve">ABC 10 kg — sustituto (terminado, planta industrial)</t>
  </si>
  <si>
    <t xml:space="preserve">Total sustitutos terminados</t>
  </si>
  <si>
    <t xml:space="preserve">ABC 1 kg — sustituto (cilindro vacío, planta comercial)</t>
  </si>
  <si>
    <t xml:space="preserve">ABC 2,5 kg — sustituto (cilindro vacío, planta comercial)</t>
  </si>
  <si>
    <t xml:space="preserve">ABC 5 kg — sustituto (cilindro vacío, planta comercial)</t>
  </si>
  <si>
    <t xml:space="preserve">ABC 10 kg — sustituto (cilindro vacío, planta comercial)</t>
  </si>
  <si>
    <t xml:space="preserve">Total sustitutos cilindros vacíos</t>
  </si>
  <si>
    <t xml:space="preserve">Sustitutos: paso 4 (alta) de sobrestock_sustitutos de cada Dimensionamiento de recargas. La planta industrial los fabrica terminados (proceso completo); la comercial los recibe como cilindro vacío y los carga allá.</t>
  </si>
  <si>
    <t xml:space="preserve">Parámetro</t>
  </si>
  <si>
    <t xml:space="preserve">Valor</t>
  </si>
  <si>
    <t xml:space="preserve">Nota</t>
  </si>
  <si>
    <t xml:space="preserve">Días hábiles por mes</t>
  </si>
  <si>
    <t xml:space="preserve">Excel original, Parametros B37</t>
  </si>
  <si>
    <t xml:space="preserve">Horas por día (1 turno)</t>
  </si>
  <si>
    <t xml:space="preserve">Excel original, Parametros D37</t>
  </si>
  <si>
    <t xml:space="preserve">Refrigerio (min/turno)</t>
  </si>
  <si>
    <t xml:space="preserve">Excel original, Parametros H37</t>
  </si>
  <si>
    <t xml:space="preserve">Horas productivas por turno</t>
  </si>
  <si>
    <t xml:space="preserve">Horas/día − refrigerio</t>
  </si>
  <si>
    <t xml:space="preserve">Turnos por día</t>
  </si>
  <si>
    <t xml:space="preserve">Un solo turno (editable)</t>
  </si>
  <si>
    <t xml:space="preserve">Horas productivas por mes</t>
  </si>
  <si>
    <t xml:space="preserve">Días × horas productivas × turnos</t>
  </si>
  <si>
    <t xml:space="preserve">Umbral de aprovechamiento</t>
  </si>
  <si>
    <t xml:space="preserve">Límite duro (análisis de riesgos): por encima se agrega máquina, operario o turno según el año (Resumen cap.); con 2 turnos se agrega máquina. Ningún puesto queda por encima</t>
  </si>
  <si>
    <t xml:space="preserve">Año de inicio del 2° turno (antes: más máquinas)</t>
  </si>
  <si>
    <t xml:space="preserve">Antes de ese año se agrega máquina u operario; ese año entran todos los turnos y las máquinas que hagan falta hasta 2035; después no se agrega nada (Resumen)</t>
  </si>
  <si>
    <t xml:space="preserve">ESTACIONALIDAD (% de la demanda anual por mes; IMPORTRANGE del MRP, que define los picos)</t>
  </si>
  <si>
    <t xml:space="preserve">Modelo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</si>
  <si>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</si>
  <si>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</si>
  <si>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</si>
  <si>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</si>
  <si>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</si>
  <si>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</si>
  <si>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</si>
  <si>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</si>
  <si>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</si>
  <si>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</si>
  <si>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</si>
  <si>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</si>
  <si>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Total</t>
  </si>
  <si>
    <t xml:space="preserve">1 kg</t>
  </si>
  <si>
    <t xml:space="preserve">MRP, ESTACIONALIDAD E01 automotor (1 kg) (IMPORTRANGE)</t>
  </si>
  <si>
    <t xml:space="preserve">2,5 kg</t>
  </si>
  <si>
    <t xml:space="preserve">MRP, ESTACIONALIDAD E02 manual comercial (2,5 a 10 kg) (IMPORTRANGE)</t>
  </si>
  <si>
    <t xml:space="preserve">5 kg</t>
  </si>
  <si>
    <t xml:space="preserve">10 kg</t>
  </si>
  <si>
    <t xml:space="preserve">CAPACIDAD POR PUESTO</t>
  </si>
  <si>
    <t xml:space="preserve">N°</t>
  </si>
  <si>
    <t xml:space="preserve">Puesto</t>
  </si>
  <si>
    <t xml:space="preserve">Máquina</t>
  </si>
  <si>
    <t xml:space="preserve">Alcance</t>
  </si>
  <si>
    <t xml:space="preserve">Piezas por unidad</t>
  </si>
  <si>
    <t xml:space="preserve">% que pasa</t>
  </si>
  <si>
    <t xml:space="preserve">Tiempo tipo (s/u)</t>
  </si>
  <si>
    <t xml:space="preserve">Disponibilidad</t>
  </si>
  <si>
    <t xml:space="preserve">Cap. real (u/h)</t>
  </si>
  <si>
    <t xml:space="preserve">Cap. real (u/mes)</t>
  </si>
  <si>
    <t xml:space="preserve">SUPOSICIONES</t>
  </si>
  <si>
    <t xml:space="preserve">Recepción de materia prima</t>
  </si>
  <si>
    <t xml:space="preserve">Autoelevador Heli CPCD50 + micrómetro</t>
  </si>
  <si>
    <t xml:space="preserve">Todos</t>
  </si>
  <si>
    <t xml:space="preserve">25 min x pallet de 20 hojas en carros (1,25 min x hoja)</t>
  </si>
  <si>
    <t xml:space="preserve">Corte de chapa (guillotina) — 2,5 a 10 kg</t>
  </si>
  <si>
    <t xml:space="preserve">Guillotina hidráulica Cena serie O 3.200 mm</t>
  </si>
  <si>
    <t xml:space="preserve">ref carros - 1,2/1,5 min x cuerpo (+ CORTES + TIEMPO)</t>
  </si>
  <si>
    <t xml:space="preserve">Corte de tubo — 1 kg</t>
  </si>
  <si>
    <t xml:space="preserve">Cortadora láser de tubo Leapion 1,5 kW</t>
  </si>
  <si>
    <t xml:space="preserve">10 minutos por tubo de 6m (en cada tubo entran 23 cuerpos)</t>
  </si>
  <si>
    <t xml:space="preserve">Corte de disco y embutido (cúpula y fondo)</t>
  </si>
  <si>
    <t xml:space="preserve">Prensa embutidora Sangiacomo + alimentador Cena PRE-1</t>
  </si>
  <si>
    <t xml:space="preserve">Son 10c segundos contemplando cupula y fondo</t>
  </si>
  <si>
    <t xml:space="preserve">Preparación de cuello</t>
  </si>
  <si>
    <t xml:space="preserve">Prensa de banco Pannier MarkFirst MB-21</t>
  </si>
  <si>
    <t xml:space="preserve">Numerado de cúpula</t>
  </si>
  <si>
    <t xml:space="preserve">Micropercusión Pannier ADP120160D Deep Marker</t>
  </si>
  <si>
    <t xml:space="preserve">Soldadura del cuello a la cúpula</t>
  </si>
  <si>
    <t xml:space="preserve">Firesafer FS-HFM1 (versión manual)</t>
  </si>
  <si>
    <t xml:space="preserve">Cilindrado</t>
  </si>
  <si>
    <t xml:space="preserve">Roladora Firesafer FS-RM01</t>
  </si>
  <si>
    <t xml:space="preserve">Soldadura longitudinal</t>
  </si>
  <si>
    <t xml:space="preserve">Soldadora longitudinal Firesafer</t>
  </si>
  <si>
    <t xml:space="preserve">Encastre de fondo</t>
  </si>
  <si>
    <t xml:space="preserve">Prensa hidráulica motorizada Del Fabro 30 t</t>
  </si>
  <si>
    <t xml:space="preserve">Bordoneado</t>
  </si>
  <si>
    <t xml:space="preserve">Bordoneadora motorizada Pilman SWM-400</t>
  </si>
  <si>
    <t xml:space="preserve">Soldadura circunferencial de cúpula y fondo</t>
  </si>
  <si>
    <t xml:space="preserve">Soldadora circunferencial Firesafer</t>
  </si>
  <si>
    <t xml:space="preserve">Control de calidad — Espesor</t>
  </si>
  <si>
    <t xml:space="preserve">Medidor de espesores Melisam MR017</t>
  </si>
  <si>
    <t xml:space="preserve">Prueba hidráulica</t>
  </si>
  <si>
    <t xml:space="preserve">Banco Firesafer FS-JD12A</t>
  </si>
  <si>
    <t xml:space="preserve">Secado</t>
  </si>
  <si>
    <t xml:space="preserve">Secadora de cilindros Yukon</t>
  </si>
  <si>
    <t xml:space="preserve">las 4 maquinas sirven para secado de carros</t>
  </si>
  <si>
    <t xml:space="preserve">Granallado</t>
  </si>
  <si>
    <t xml:space="preserve">Granalladora de rodillos AirBlast G-100</t>
  </si>
  <si>
    <t xml:space="preserve">Detección de defectos</t>
  </si>
  <si>
    <t xml:space="preserve">Mesa de inspección con iluminación</t>
  </si>
  <si>
    <t xml:space="preserve">Corrección de defectos</t>
  </si>
  <si>
    <t xml:space="preserve">Amoladora 115 mm + machos y calibres</t>
  </si>
  <si>
    <t xml:space="preserve">Pintura en polvo + horno</t>
  </si>
  <si>
    <t xml:space="preserve">Línea de pintura en polvo Firesafer</t>
  </si>
  <si>
    <t xml:space="preserve">Carga de polvo</t>
  </si>
  <si>
    <t xml:space="preserve">Cargadora Firesafer FS-A10 / Yukon M-000121</t>
  </si>
  <si>
    <t xml:space="preserve">Terminados</t>
  </si>
  <si>
    <t xml:space="preserve">Ensamblaje</t>
  </si>
  <si>
    <t xml:space="preserve">Puesto manual con llave dinamométrica</t>
  </si>
  <si>
    <t xml:space="preserve">Presurización</t>
  </si>
  <si>
    <t xml:space="preserve">Pinza neumática Yukon M-000150 + pack N₂</t>
  </si>
  <si>
    <t xml:space="preserve">Control de calidad — Ensayo de pérdidas</t>
  </si>
  <si>
    <t xml:space="preserve">Tanque de inmersión de acero inoxidable</t>
  </si>
  <si>
    <t xml:space="preserve">Etiquetado</t>
  </si>
  <si>
    <t xml:space="preserve">Dispensador de etiquetas + impresora Zebra ZD421</t>
  </si>
  <si>
    <t xml:space="preserve">Embalaje y paletizado</t>
  </si>
  <si>
    <t xml:space="preserve">Armadora de cajas + envolvedora EDOS PS 5</t>
  </si>
  <si>
    <t xml:space="preserve">25 seg embalaje + 20 seg paletizado (1000kg pallet/13 kg mat)=76 mat x pallet *20s = 25 min x pallet</t>
  </si>
  <si>
    <t xml:space="preserve">Alcance: "Todos" = matafuegos terminados + cilindros vacíos; "Terminados" = solo los que se cargan como matafuego.</t>
  </si>
  <si>
    <t xml:space="preserve">Tiempo tipo = tiempo PCP del Excel original ((tpr + tdl + ta) / rendimiento). Disponibilidad = descuento por cambios de matriz del Excel original.</t>
  </si>
  <si>
    <t xml:space="preserve">Cap. real (u/h) = 3600 / tiempo tipo × disponibilidad. Cap. real (u/mes) = cap. real × horas productivas del mes.</t>
  </si>
  <si>
    <t xml:space="preserve">DISPONIBILIDAD</t>
  </si>
  <si>
    <t xml:space="preserve">Cambio de matriz (min/cambio)</t>
  </si>
  <si>
    <t xml:space="preserve">N° cambios/mes (est.)</t>
  </si>
  <si>
    <t xml:space="preserve">Pérdida por cambios (h/mes)</t>
  </si>
  <si>
    <t xml:space="preserve">Disponibilidad (cambios)</t>
  </si>
  <si>
    <t xml:space="preserve">Es 32 porque contemplamos 4 cambios de cupula y 4 de fondo x semana (8*4)</t>
  </si>
  <si>
    <t xml:space="preserve">PRODUCCIÓN CON SOBRESTOCK (perfil mensual de producción, % de la demanda anual)</t>
  </si>
  <si>
    <t xml:space="preserve">Regla: el pico de diciembre y enero se cubre con stock fabricado antes. Diciembre puede salir de stock del mismo año; enero solo de stock hecho en octubre y noviembre, porque recién desde octubre se puede numerar con el año siguiente.</t>
  </si>
  <si>
    <t xml:space="preserve">Nivel máximo de producción (L): el mínimo que cumple la regla del lote. El stock de enero tiene que entrar en la capacidad libre de octubre y noviembre: (Ene − L) ≤ (L − Oct) + (L − Nov), o sea L ≥ (Ene + Oct + Nov) / 3.</t>
  </si>
  <si>
    <t xml:space="preserve">Meses de sobrestock: se fabrica lo más tarde posible, hacia atrás desde noviembre y usando toda la capacidad libre hasta L, para que sean los menos meses posibles.</t>
  </si>
  <si>
    <t xml:space="preserve">Nivel máximo de producción mensual L (% del año)</t>
  </si>
  <si>
    <t xml:space="preserve">Por defecto el mayor de los L mínimos (lo fija el 1 kg). Se puede escribir otro valor, siempre que la columna G diga OK.</t>
  </si>
  <si>
    <t xml:space="preserve">L mínimo por regla de lote</t>
  </si>
  <si>
    <t xml:space="preserve">Exceso de diciembre</t>
  </si>
  <si>
    <t xml:space="preserve">Exceso de enero (año siguiente)</t>
  </si>
  <si>
    <t xml:space="preserve">Stock a fabricar (% del año)</t>
  </si>
  <si>
    <t xml:space="preserve">Meses de sobrestock</t>
  </si>
  <si>
    <t xml:space="preserve">Stock de enero cubierto en oct–nov</t>
  </si>
  <si>
    <t xml:space="preserve">Stock máximo acumulado (% del año)</t>
  </si>
  <si>
    <t xml:space="preserve">Modelo 1 kg</t>
  </si>
  <si>
    <t xml:space="preserve">Demanda (% del año)</t>
  </si>
  <si>
    <t xml:space="preserve">Capacidad libre hasta L</t>
  </si>
  <si>
    <t xml:space="preserve">Sobrestock fabricado</t>
  </si>
  <si>
    <t xml:space="preserve">PRODUCCIÓN (% del año)</t>
  </si>
  <si>
    <t xml:space="preserve">Modelo 2,5 kg</t>
  </si>
  <si>
    <t xml:space="preserve">Modelo 5 kg</t>
  </si>
  <si>
    <t xml:space="preserve">Modelo 10 kg</t>
  </si>
  <si>
    <t xml:space="preserve">Control: la fila PRODUCCIÓN suma 100 %, porque el stock de enero que se fabrica en oct–nov reemplaza al que se recibió del año anterior. En 2026, el primer año, no hay stock previo para enero.</t>
  </si>
  <si>
    <t xml:space="preserve">Producto</t>
  </si>
  <si>
    <t xml:space="preserve">Tipo</t>
  </si>
  <si>
    <t xml:space="preserve">Total anual</t>
  </si>
  <si>
    <t xml:space="preserve">Terminado</t>
  </si>
  <si>
    <t xml:space="preserve">Cilindro</t>
  </si>
  <si>
    <t xml:space="preserve">Total recipientes</t>
  </si>
  <si>
    <t xml:space="preserve">Año 2026</t>
  </si>
  <si>
    <t xml:space="preserve">Mes pico (u/mes)</t>
  </si>
  <si>
    <t xml:space="preserve">Demanda pico (u/h)</t>
  </si>
  <si>
    <t xml:space="preserve">Mes pico</t>
  </si>
  <si>
    <t xml:space="preserve">Año 2027</t>
  </si>
  <si>
    <t xml:space="preserve">Año 2028</t>
  </si>
  <si>
    <t xml:space="preserve">Año 2029</t>
  </si>
  <si>
    <t xml:space="preserve">Año 2030</t>
  </si>
  <si>
    <t xml:space="preserve">Año 2031</t>
  </si>
  <si>
    <t xml:space="preserve">Año 2032</t>
  </si>
  <si>
    <t xml:space="preserve">Año 2033</t>
  </si>
  <si>
    <t xml:space="preserve">Año 2034</t>
  </si>
  <si>
    <t xml:space="preserve">Año 2035</t>
  </si>
  <si>
    <t xml:space="preserve">Aprovechamiento por puesto</t>
  </si>
  <si>
    <t xml:space="preserve">Recurso</t>
  </si>
  <si>
    <t xml:space="preserve">Manual</t>
  </si>
  <si>
    <t xml:space="preserve">Agrega máquina</t>
  </si>
  <si>
    <t xml:space="preserve">Agrega turno</t>
  </si>
  <si>
    <t xml:space="preserve">Agrega operario (puesto manual)</t>
  </si>
  <si>
    <t xml:space="preserve">Tercerizado</t>
  </si>
  <si>
    <t xml:space="preserve">Revisar</t>
  </si>
  <si>
    <t xml:space="preserve">Colores automáticos comparando las tablas de máquinas y turnos con el año anterior. Todos los turnos entran el mismo año (2° turno) y después no se agrega máquina; amarillo solo si se cambian las tablas a mano y se pasa el umbral.</t>
  </si>
  <si>
    <t xml:space="preserve">Aprovechamiento máximo</t>
  </si>
  <si>
    <t xml:space="preserve">Máquinas/operarios en el puesto</t>
  </si>
  <si>
    <t xml:space="preserve">TOTAL máquinas / puestos</t>
  </si>
  <si>
    <t xml:space="preserve">Cantidad de turnos </t>
  </si>
  <si>
    <t xml:space="preserve">Cantidad de turnos en el año </t>
  </si>
  <si>
    <t xml:space="preserve">Producción con sobrestock = demanda anual × perfil de producción (parametros_manuales, bloque PRODUCCIÓN CON SOBRESTOCK).</t>
  </si>
  <si>
    <t xml:space="preserve">Turnos: esta hoja divide por la tabla de turnos (filas 58 a 82), igual que la hoja sin sobrestock.</t>
  </si>
  <si>
    <t xml:space="preserve">COMPARACIÓN DE APROVECHAMIENTO MÁXIMO (cada hoja con sus propias máquinas y turnos)</t>
  </si>
  <si>
    <t xml:space="preserve">Sin sobrestock</t>
  </si>
  <si>
    <t xml:space="preserve">Con sobrestock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</si>
</sst>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"/>
    <numFmt numFmtId="167" formatCode="0.0"/>
    <numFmt numFmtId="168" formatCode="0.00"/>
    <numFmt numFmtId="169" formatCode="0%"/>
    <numFmt numFmtId="170" formatCode="0.0%"/>
    <numFmt numFmtId="171" formatCode="0.00%"/>
    <numFmt numFmtId="172" formatCode="#,##0.0"/>
  </numFmts>
  <fonts count="14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0"/>
      <name val="Arial"/>
      <family val="2"/>
    </font>
    <font>
      <sz val="11"/>
      <color rgb="FF00800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2F2F2"/>
        <bgColor rgb="FFFFFFCC"/>
      </patternFill>
    </fill>
    <fill>
      <patternFill patternType="solid">
        <fgColor rgb="FFD9EAD3"/>
        <bgColor rgb="FFD9D9D9"/>
      </patternFill>
    </fill>
    <fill>
      <patternFill patternType="solid">
        <fgColor rgb="FFD9D9D9"/>
        <bgColor rgb="FFD9EAD3"/>
      </patternFill>
    </fill>
    <fill>
      <patternFill patternType="solid">
        <fgColor rgb="FFFF00FF"/>
        <bgColor rgb="FFFF00FF"/>
      </patternFill>
    </fill>
    <fill>
      <patternFill patternType="solid">
        <fgColor rgb="FF4A86E8"/>
        <bgColor rgb="FF808080"/>
      </patternFill>
    </fill>
    <fill>
      <patternFill patternType="solid">
        <fgColor rgb="FFE06666"/>
        <bgColor rgb="FFFF6600"/>
      </patternFill>
    </fill>
    <fill>
      <patternFill patternType="solid">
        <fgColor rgb="FFFF9900"/>
        <bgColor rgb="FFFFCC00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9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9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9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70" fontId="9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9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9" fillId="3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9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8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9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8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9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8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3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FFFF00"/>
        </patternFill>
      </fill>
    </dxf>
    <dxf>
      <fill>
        <patternFill>
          <bgColor rgb="FFFF9900"/>
        </patternFill>
      </fill>
    </dxf>
    <dxf>
      <fill>
        <patternFill>
          <bgColor rgb="FF4A86E8"/>
        </patternFill>
      </fill>
    </dxf>
    <dxf>
      <fill>
        <patternFill>
          <bgColor rgb="FFFF00FF"/>
        </patternFill>
      </fill>
    </dxf>
    <dxf>
      <fill>
        <patternFill>
          <bgColor rgb="FFE06666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E06666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FCC99"/>
      <rgbColor rgb="FF4A86E8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1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70"/>
    <col collapsed="false" customWidth="true" hidden="false" outlineLevel="0" max="3" min="3" style="1" width="96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4" t="s">
        <v>3</v>
      </c>
      <c r="C3" s="4" t="s">
        <v>4</v>
      </c>
    </row>
    <row r="4" customFormat="false" ht="23.25" hidden="false" customHeight="true" outlineLevel="0" collapsed="false">
      <c r="A4" s="5" t="s">
        <v>5</v>
      </c>
      <c r="B4" s="6" t="s">
        <v>6</v>
      </c>
      <c r="C4" s="6" t="s">
        <v>7</v>
      </c>
    </row>
    <row r="5" customFormat="false" ht="23.25" hidden="false" customHeight="true" outlineLevel="0" collapsed="false">
      <c r="A5" s="5" t="s">
        <v>8</v>
      </c>
      <c r="B5" s="6" t="s">
        <v>9</v>
      </c>
      <c r="C5" s="6" t="s">
        <v>10</v>
      </c>
    </row>
    <row r="6" customFormat="false" ht="23.25" hidden="false" customHeight="true" outlineLevel="0" collapsed="false">
      <c r="A6" s="5" t="s">
        <v>11</v>
      </c>
      <c r="B6" s="6" t="s">
        <v>9</v>
      </c>
      <c r="C6" s="6" t="s">
        <v>12</v>
      </c>
    </row>
    <row r="7" customFormat="false" ht="15" hidden="false" customHeight="true" outlineLevel="0" collapsed="false">
      <c r="A7" s="5" t="s">
        <v>13</v>
      </c>
      <c r="B7" s="6" t="s">
        <v>9</v>
      </c>
      <c r="C7" s="6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11" min="2" style="1" width="11"/>
  </cols>
  <sheetData>
    <row r="1" customFormat="false" ht="14.25" hidden="false" customHeight="true" outlineLevel="0" collapsed="false">
      <c r="A1" s="7" t="s">
        <v>15</v>
      </c>
      <c r="B1" s="7" t="n">
        <v>2026</v>
      </c>
      <c r="C1" s="7" t="n">
        <v>2027</v>
      </c>
      <c r="D1" s="7" t="n">
        <v>2028</v>
      </c>
      <c r="E1" s="7" t="n">
        <v>2029</v>
      </c>
      <c r="F1" s="7" t="n">
        <v>2030</v>
      </c>
      <c r="G1" s="7" t="n">
        <v>2031</v>
      </c>
      <c r="H1" s="7" t="n">
        <v>2032</v>
      </c>
      <c r="I1" s="7" t="n">
        <v>2033</v>
      </c>
      <c r="J1" s="7" t="n">
        <v>2034</v>
      </c>
      <c r="K1" s="7" t="n">
        <v>2035</v>
      </c>
    </row>
    <row r="2" customFormat="false" ht="14.25" hidden="false" customHeight="true" outlineLevel="0" collapsed="false">
      <c r="A2" s="8" t="s">
        <v>16</v>
      </c>
      <c r="B2" s="9" t="n">
        <f aca="false">IFERROR(__xludf.DUMMYFUNCTION("IMPORTRANGE(Links!$B$4,""Indexado Dim Técnico!B3:K6"")"),4178.736543)</f>
        <v>4178.736543</v>
      </c>
      <c r="C2" s="9" t="n">
        <f aca="false">IFERROR(__xludf.DUMMYFUNCTION("""COMPUTED_VALUE"""),5997.303977)</f>
        <v>5997.303977</v>
      </c>
      <c r="D2" s="9" t="n">
        <f aca="false">IFERROR(__xludf.DUMMYFUNCTION("""COMPUTED_VALUE"""),6851.747758)</f>
        <v>6851.747758</v>
      </c>
      <c r="E2" s="9" t="n">
        <f aca="false">IFERROR(__xludf.DUMMYFUNCTION("""COMPUTED_VALUE"""),8467.135549)</f>
        <v>8467.135549</v>
      </c>
      <c r="F2" s="9" t="n">
        <f aca="false">IFERROR(__xludf.DUMMYFUNCTION("""COMPUTED_VALUE"""),12680.63271)</f>
        <v>12680.63271</v>
      </c>
      <c r="G2" s="9" t="n">
        <f aca="false">IFERROR(__xludf.DUMMYFUNCTION("""COMPUTED_VALUE"""),15620.25307)</f>
        <v>15620.25307</v>
      </c>
      <c r="H2" s="9" t="n">
        <f aca="false">IFERROR(__xludf.DUMMYFUNCTION("""COMPUTED_VALUE"""),20332.55326)</f>
        <v>20332.55326</v>
      </c>
      <c r="I2" s="9" t="n">
        <f aca="false">IFERROR(__xludf.DUMMYFUNCTION("""COMPUTED_VALUE"""),25132.07848)</f>
        <v>25132.07848</v>
      </c>
      <c r="J2" s="9" t="n">
        <f aca="false">IFERROR(__xludf.DUMMYFUNCTION("""COMPUTED_VALUE"""),28573.33614)</f>
        <v>28573.33614</v>
      </c>
      <c r="K2" s="9" t="n">
        <f aca="false">IFERROR(__xludf.DUMMYFUNCTION("""COMPUTED_VALUE"""),32072.63913)</f>
        <v>32072.63913</v>
      </c>
    </row>
    <row r="3" customFormat="false" ht="14.25" hidden="false" customHeight="true" outlineLevel="0" collapsed="false">
      <c r="A3" s="8" t="s">
        <v>17</v>
      </c>
      <c r="B3" s="9" t="n">
        <f aca="false">IFERROR(__xludf.DUMMYFUNCTION("""COMPUTED_VALUE"""),295.0303572)</f>
        <v>295.0303572</v>
      </c>
      <c r="C3" s="9" t="n">
        <f aca="false">IFERROR(__xludf.DUMMYFUNCTION("""COMPUTED_VALUE"""),709.7274503)</f>
        <v>709.7274503</v>
      </c>
      <c r="D3" s="9" t="n">
        <f aca="false">IFERROR(__xludf.DUMMYFUNCTION("""COMPUTED_VALUE"""),986.8680576)</f>
        <v>986.8680576</v>
      </c>
      <c r="E3" s="9" t="n">
        <f aca="false">IFERROR(__xludf.DUMMYFUNCTION("""COMPUTED_VALUE"""),1500.638174)</f>
        <v>1500.638174</v>
      </c>
      <c r="F3" s="9" t="n">
        <f aca="false">IFERROR(__xludf.DUMMYFUNCTION("""COMPUTED_VALUE"""),2312.627726)</f>
        <v>2312.627726</v>
      </c>
      <c r="G3" s="9" t="n">
        <f aca="false">IFERROR(__xludf.DUMMYFUNCTION("""COMPUTED_VALUE"""),3252.869887)</f>
        <v>3252.869887</v>
      </c>
      <c r="H3" s="9" t="n">
        <f aca="false">IFERROR(__xludf.DUMMYFUNCTION("""COMPUTED_VALUE"""),4102.315524)</f>
        <v>4102.315524</v>
      </c>
      <c r="I3" s="9" t="n">
        <f aca="false">IFERROR(__xludf.DUMMYFUNCTION("""COMPUTED_VALUE"""),5104.306587)</f>
        <v>5104.306587</v>
      </c>
      <c r="J3" s="9" t="n">
        <f aca="false">IFERROR(__xludf.DUMMYFUNCTION("""COMPUTED_VALUE"""),6195.186243)</f>
        <v>6195.186243</v>
      </c>
      <c r="K3" s="9" t="n">
        <f aca="false">IFERROR(__xludf.DUMMYFUNCTION("""COMPUTED_VALUE"""),7424.858444)</f>
        <v>7424.858444</v>
      </c>
    </row>
    <row r="4" customFormat="false" ht="14.25" hidden="false" customHeight="true" outlineLevel="0" collapsed="false">
      <c r="A4" s="8" t="s">
        <v>18</v>
      </c>
      <c r="B4" s="9" t="n">
        <f aca="false">IFERROR(__xludf.DUMMYFUNCTION("""COMPUTED_VALUE"""),2255.773025)</f>
        <v>2255.773025</v>
      </c>
      <c r="C4" s="9" t="n">
        <f aca="false">IFERROR(__xludf.DUMMYFUNCTION("""COMPUTED_VALUE"""),3846.978881)</f>
        <v>3846.978881</v>
      </c>
      <c r="D4" s="9" t="n">
        <f aca="false">IFERROR(__xludf.DUMMYFUNCTION("""COMPUTED_VALUE"""),5093.537591)</f>
        <v>5093.537591</v>
      </c>
      <c r="E4" s="9" t="n">
        <f aca="false">IFERROR(__xludf.DUMMYFUNCTION("""COMPUTED_VALUE"""),6823.115313)</f>
        <v>6823.115313</v>
      </c>
      <c r="F4" s="9" t="n">
        <f aca="false">IFERROR(__xludf.DUMMYFUNCTION("""COMPUTED_VALUE"""),10819.30694)</f>
        <v>10819.30694</v>
      </c>
      <c r="G4" s="9" t="n">
        <f aca="false">IFERROR(__xludf.DUMMYFUNCTION("""COMPUTED_VALUE"""),14605.96411)</f>
        <v>14605.96411</v>
      </c>
      <c r="H4" s="9" t="n">
        <f aca="false">IFERROR(__xludf.DUMMYFUNCTION("""COMPUTED_VALUE"""),18877.75984)</f>
        <v>18877.75984</v>
      </c>
      <c r="I4" s="9" t="n">
        <f aca="false">IFERROR(__xludf.DUMMYFUNCTION("""COMPUTED_VALUE"""),23368.18637)</f>
        <v>23368.18637</v>
      </c>
      <c r="J4" s="9" t="n">
        <f aca="false">IFERROR(__xludf.DUMMYFUNCTION("""COMPUTED_VALUE"""),26967.72455)</f>
        <v>26967.72455</v>
      </c>
      <c r="K4" s="9" t="n">
        <f aca="false">IFERROR(__xludf.DUMMYFUNCTION("""COMPUTED_VALUE"""),30750.77872)</f>
        <v>30750.77872</v>
      </c>
    </row>
    <row r="5" customFormat="false" ht="14.25" hidden="false" customHeight="true" outlineLevel="0" collapsed="false">
      <c r="A5" s="8" t="s">
        <v>19</v>
      </c>
      <c r="B5" s="9" t="n">
        <f aca="false">IFERROR(__xludf.DUMMYFUNCTION("""COMPUTED_VALUE"""),91.83318153)</f>
        <v>91.83318153</v>
      </c>
      <c r="C5" s="9" t="n">
        <f aca="false">IFERROR(__xludf.DUMMYFUNCTION("""COMPUTED_VALUE"""),177.2472967)</f>
        <v>177.2472967</v>
      </c>
      <c r="D5" s="9" t="n">
        <f aca="false">IFERROR(__xludf.DUMMYFUNCTION("""COMPUTED_VALUE"""),252.9787798)</f>
        <v>252.9787798</v>
      </c>
      <c r="E5" s="9" t="n">
        <f aca="false">IFERROR(__xludf.DUMMYFUNCTION("""COMPUTED_VALUE"""),358.0204941)</f>
        <v>358.0204941</v>
      </c>
      <c r="F5" s="9" t="n">
        <f aca="false">IFERROR(__xludf.DUMMYFUNCTION("""COMPUTED_VALUE"""),602.7181519)</f>
        <v>602.7181519</v>
      </c>
      <c r="G5" s="9" t="n">
        <f aca="false">IFERROR(__xludf.DUMMYFUNCTION("""COMPUTED_VALUE"""),872.605032)</f>
        <v>872.605032</v>
      </c>
      <c r="H5" s="9" t="n">
        <f aca="false">IFERROR(__xludf.DUMMYFUNCTION("""COMPUTED_VALUE"""),1127.160545)</f>
        <v>1127.160545</v>
      </c>
      <c r="I5" s="9" t="n">
        <f aca="false">IFERROR(__xludf.DUMMYFUNCTION("""COMPUTED_VALUE"""),1395.444812)</f>
        <v>1395.444812</v>
      </c>
      <c r="J5" s="9" t="n">
        <f aca="false">IFERROR(__xludf.DUMMYFUNCTION("""COMPUTED_VALUE"""),1612.350054)</f>
        <v>1612.350054</v>
      </c>
      <c r="K5" s="9" t="n">
        <f aca="false">IFERROR(__xludf.DUMMYFUNCTION("""COMPUTED_VALUE"""),1840.848079)</f>
        <v>1840.848079</v>
      </c>
    </row>
    <row r="6" customFormat="false" ht="14.25" hidden="false" customHeight="true" outlineLevel="0" collapsed="false">
      <c r="A6" s="10" t="s">
        <v>20</v>
      </c>
      <c r="B6" s="11" t="n">
        <f aca="false">SUM(B2:B5)</f>
        <v>6821.37310673</v>
      </c>
      <c r="C6" s="11" t="n">
        <f aca="false">SUM(C2:C5)</f>
        <v>10731.257605</v>
      </c>
      <c r="D6" s="11" t="n">
        <f aca="false">SUM(D2:D5)</f>
        <v>13185.1321864</v>
      </c>
      <c r="E6" s="11" t="n">
        <f aca="false">SUM(E2:E5)</f>
        <v>17148.9095301</v>
      </c>
      <c r="F6" s="11" t="n">
        <f aca="false">SUM(F2:F5)</f>
        <v>26415.2855279</v>
      </c>
      <c r="G6" s="11" t="n">
        <f aca="false">SUM(G2:G5)</f>
        <v>34351.692099</v>
      </c>
      <c r="H6" s="11" t="n">
        <f aca="false">SUM(H2:H5)</f>
        <v>44439.789169</v>
      </c>
      <c r="I6" s="11" t="n">
        <f aca="false">SUM(I2:I5)</f>
        <v>55000.016249</v>
      </c>
      <c r="J6" s="11" t="n">
        <f aca="false">SUM(J2:J5)</f>
        <v>63348.596987</v>
      </c>
      <c r="K6" s="11" t="n">
        <f aca="false">SUM(K2:K5)</f>
        <v>72089.124373</v>
      </c>
    </row>
    <row r="7" customFormat="false" ht="14.25" hidden="false" customHeight="true" outlineLevel="0" collapsed="false"/>
    <row r="8" customFormat="false" ht="14.25" hidden="false" customHeight="true" outlineLevel="0" collapsed="false">
      <c r="A8" s="7" t="s">
        <v>21</v>
      </c>
      <c r="B8" s="7" t="n">
        <v>2026</v>
      </c>
      <c r="C8" s="7" t="n">
        <v>2027</v>
      </c>
      <c r="D8" s="7" t="n">
        <v>2028</v>
      </c>
      <c r="E8" s="7" t="n">
        <v>2029</v>
      </c>
      <c r="F8" s="7" t="n">
        <v>2030</v>
      </c>
      <c r="G8" s="7" t="n">
        <v>2031</v>
      </c>
      <c r="H8" s="7" t="n">
        <v>2032</v>
      </c>
      <c r="I8" s="7" t="n">
        <v>2033</v>
      </c>
      <c r="J8" s="7" t="n">
        <v>2034</v>
      </c>
      <c r="K8" s="7" t="n">
        <v>2035</v>
      </c>
    </row>
    <row r="9" customFormat="false" ht="14.25" hidden="false" customHeight="true" outlineLevel="0" collapsed="false">
      <c r="A9" s="8" t="s">
        <v>22</v>
      </c>
      <c r="B9" s="9" t="n">
        <f aca="false">IFERROR(__xludf.DUMMYFUNCTION("IMPORTRANGE(Links!$B$4,""Indexado Dim Técnico!B15:K18"")"),0)</f>
        <v>0</v>
      </c>
      <c r="C9" s="9" t="n">
        <f aca="false">IFERROR(__xludf.DUMMYFUNCTION("""COMPUTED_VALUE"""),0)</f>
        <v>0</v>
      </c>
      <c r="D9" s="9" t="n">
        <f aca="false">IFERROR(__xludf.DUMMYFUNCTION("""COMPUTED_VALUE"""),7662.4)</f>
        <v>7662.4</v>
      </c>
      <c r="E9" s="9" t="n">
        <f aca="false">IFERROR(__xludf.DUMMYFUNCTION("""COMPUTED_VALUE"""),26694.8)</f>
        <v>26694.8</v>
      </c>
      <c r="F9" s="9" t="n">
        <f aca="false">IFERROR(__xludf.DUMMYFUNCTION("""COMPUTED_VALUE"""),49434.8)</f>
        <v>49434.8</v>
      </c>
      <c r="G9" s="9" t="n">
        <f aca="false">IFERROR(__xludf.DUMMYFUNCTION("""COMPUTED_VALUE"""),71680.2)</f>
        <v>71680.2</v>
      </c>
      <c r="H9" s="9" t="n">
        <f aca="false">IFERROR(__xludf.DUMMYFUNCTION("""COMPUTED_VALUE"""),101340.6)</f>
        <v>101340.6</v>
      </c>
      <c r="I9" s="9" t="n">
        <f aca="false">IFERROR(__xludf.DUMMYFUNCTION("""COMPUTED_VALUE"""),131001)</f>
        <v>131001</v>
      </c>
      <c r="J9" s="9" t="n">
        <f aca="false">IFERROR(__xludf.DUMMYFUNCTION("""COMPUTED_VALUE"""),146819.8)</f>
        <v>146819.8</v>
      </c>
      <c r="K9" s="9" t="n">
        <f aca="false">IFERROR(__xludf.DUMMYFUNCTION("""COMPUTED_VALUE"""),170548)</f>
        <v>170548</v>
      </c>
    </row>
    <row r="10" customFormat="false" ht="14.25" hidden="false" customHeight="true" outlineLevel="0" collapsed="false">
      <c r="A10" s="8" t="s">
        <v>23</v>
      </c>
      <c r="B10" s="9" t="n">
        <f aca="false">IFERROR(__xludf.DUMMYFUNCTION("""COMPUTED_VALUE"""),0)</f>
        <v>0</v>
      </c>
      <c r="C10" s="9" t="n">
        <f aca="false">IFERROR(__xludf.DUMMYFUNCTION("""COMPUTED_VALUE"""),0)</f>
        <v>0</v>
      </c>
      <c r="D10" s="9" t="n">
        <f aca="false">IFERROR(__xludf.DUMMYFUNCTION("""COMPUTED_VALUE"""),299.6)</f>
        <v>299.6</v>
      </c>
      <c r="E10" s="9" t="n">
        <f aca="false">IFERROR(__xludf.DUMMYFUNCTION("""COMPUTED_VALUE"""),1043.8)</f>
        <v>1043.8</v>
      </c>
      <c r="F10" s="9" t="n">
        <f aca="false">IFERROR(__xludf.DUMMYFUNCTION("""COMPUTED_VALUE"""),1933)</f>
        <v>1933</v>
      </c>
      <c r="G10" s="9" t="n">
        <f aca="false">IFERROR(__xludf.DUMMYFUNCTION("""COMPUTED_VALUE"""),2803)</f>
        <v>2803</v>
      </c>
      <c r="H10" s="9" t="n">
        <f aca="false">IFERROR(__xludf.DUMMYFUNCTION("""COMPUTED_VALUE"""),3963)</f>
        <v>3963</v>
      </c>
      <c r="I10" s="9" t="n">
        <f aca="false">IFERROR(__xludf.DUMMYFUNCTION("""COMPUTED_VALUE"""),5123)</f>
        <v>5123</v>
      </c>
      <c r="J10" s="9" t="n">
        <f aca="false">IFERROR(__xludf.DUMMYFUNCTION("""COMPUTED_VALUE"""),5741.4)</f>
        <v>5741.4</v>
      </c>
      <c r="K10" s="9" t="n">
        <f aca="false">IFERROR(__xludf.DUMMYFUNCTION("""COMPUTED_VALUE"""),6669)</f>
        <v>6669</v>
      </c>
    </row>
    <row r="11" customFormat="false" ht="14.25" hidden="false" customHeight="true" outlineLevel="0" collapsed="false">
      <c r="A11" s="8" t="s">
        <v>24</v>
      </c>
      <c r="B11" s="9" t="n">
        <f aca="false">IFERROR(__xludf.DUMMYFUNCTION("""COMPUTED_VALUE"""),0)</f>
        <v>0</v>
      </c>
      <c r="C11" s="9" t="n">
        <f aca="false">IFERROR(__xludf.DUMMYFUNCTION("""COMPUTED_VALUE"""),0)</f>
        <v>0</v>
      </c>
      <c r="D11" s="9" t="n">
        <f aca="false">IFERROR(__xludf.DUMMYFUNCTION("""COMPUTED_VALUE"""),1478.8)</f>
        <v>1478.8</v>
      </c>
      <c r="E11" s="9" t="n">
        <f aca="false">IFERROR(__xludf.DUMMYFUNCTION("""COMPUTED_VALUE"""),5152)</f>
        <v>5152</v>
      </c>
      <c r="F11" s="9" t="n">
        <f aca="false">IFERROR(__xludf.DUMMYFUNCTION("""COMPUTED_VALUE"""),9540.8)</f>
        <v>9540.8</v>
      </c>
      <c r="G11" s="9" t="n">
        <f aca="false">IFERROR(__xludf.DUMMYFUNCTION("""COMPUTED_VALUE"""),13834.2)</f>
        <v>13834.2</v>
      </c>
      <c r="H11" s="9" t="n">
        <f aca="false">IFERROR(__xludf.DUMMYFUNCTION("""COMPUTED_VALUE"""),19558.6)</f>
        <v>19558.6</v>
      </c>
      <c r="I11" s="9" t="n">
        <f aca="false">IFERROR(__xludf.DUMMYFUNCTION("""COMPUTED_VALUE"""),25283)</f>
        <v>25283</v>
      </c>
      <c r="J11" s="9" t="n">
        <f aca="false">IFERROR(__xludf.DUMMYFUNCTION("""COMPUTED_VALUE"""),28335.8)</f>
        <v>28335.8</v>
      </c>
      <c r="K11" s="9" t="n">
        <f aca="false">IFERROR(__xludf.DUMMYFUNCTION("""COMPUTED_VALUE"""),32915)</f>
        <v>32915</v>
      </c>
    </row>
    <row r="12" customFormat="false" ht="14.25" hidden="false" customHeight="true" outlineLevel="0" collapsed="false">
      <c r="A12" s="8" t="s">
        <v>25</v>
      </c>
      <c r="B12" s="9" t="n">
        <f aca="false">IFERROR(__xludf.DUMMYFUNCTION("""COMPUTED_VALUE"""),0)</f>
        <v>0</v>
      </c>
      <c r="C12" s="9" t="n">
        <f aca="false">IFERROR(__xludf.DUMMYFUNCTION("""COMPUTED_VALUE"""),0)</f>
        <v>0</v>
      </c>
      <c r="D12" s="9" t="n">
        <f aca="false">IFERROR(__xludf.DUMMYFUNCTION("""COMPUTED_VALUE"""),90.4)</f>
        <v>90.4</v>
      </c>
      <c r="E12" s="9" t="n">
        <f aca="false">IFERROR(__xludf.DUMMYFUNCTION("""COMPUTED_VALUE"""),315)</f>
        <v>315</v>
      </c>
      <c r="F12" s="9" t="n">
        <f aca="false">IFERROR(__xludf.DUMMYFUNCTION("""COMPUTED_VALUE"""),583.4)</f>
        <v>583.4</v>
      </c>
      <c r="G12" s="9" t="n">
        <f aca="false">IFERROR(__xludf.DUMMYFUNCTION("""COMPUTED_VALUE"""),845.8)</f>
        <v>845.8</v>
      </c>
      <c r="H12" s="9" t="n">
        <f aca="false">IFERROR(__xludf.DUMMYFUNCTION("""COMPUTED_VALUE"""),1195.4)</f>
        <v>1195.4</v>
      </c>
      <c r="I12" s="9" t="n">
        <f aca="false">IFERROR(__xludf.DUMMYFUNCTION("""COMPUTED_VALUE"""),1545)</f>
        <v>1545</v>
      </c>
      <c r="J12" s="9" t="n">
        <f aca="false">IFERROR(__xludf.DUMMYFUNCTION("""COMPUTED_VALUE"""),1731.4)</f>
        <v>1731.4</v>
      </c>
      <c r="K12" s="9" t="n">
        <f aca="false">IFERROR(__xludf.DUMMYFUNCTION("""COMPUTED_VALUE"""),2011)</f>
        <v>2011</v>
      </c>
    </row>
    <row r="13" customFormat="false" ht="14.25" hidden="false" customHeight="true" outlineLevel="0" collapsed="false">
      <c r="A13" s="10" t="s">
        <v>26</v>
      </c>
      <c r="B13" s="11" t="n">
        <f aca="false">SUM(B9:B12)</f>
        <v>0</v>
      </c>
      <c r="C13" s="11" t="n">
        <f aca="false">SUM(C9:C12)</f>
        <v>0</v>
      </c>
      <c r="D13" s="11" t="n">
        <f aca="false">SUM(D9:D12)</f>
        <v>9531.2</v>
      </c>
      <c r="E13" s="11" t="n">
        <f aca="false">SUM(E9:E12)</f>
        <v>33205.6</v>
      </c>
      <c r="F13" s="11" t="n">
        <f aca="false">SUM(F9:F12)</f>
        <v>61492</v>
      </c>
      <c r="G13" s="11" t="n">
        <f aca="false">SUM(G9:G12)</f>
        <v>89163.2</v>
      </c>
      <c r="H13" s="11" t="n">
        <f aca="false">SUM(H9:H12)</f>
        <v>126057.6</v>
      </c>
      <c r="I13" s="11" t="n">
        <f aca="false">SUM(I9:I12)</f>
        <v>162952</v>
      </c>
      <c r="J13" s="11" t="n">
        <f aca="false">SUM(J9:J12)</f>
        <v>182628.4</v>
      </c>
      <c r="K13" s="11" t="n">
        <f aca="false">SUM(K9:K12)</f>
        <v>212143</v>
      </c>
    </row>
    <row r="14" customFormat="false" ht="14.25" hidden="false" customHeight="true" outlineLevel="0" collapsed="false"/>
    <row r="15" customFormat="false" ht="14.25" hidden="false" customHeight="true" outlineLevel="0" collapsed="false">
      <c r="A15" s="10" t="s">
        <v>27</v>
      </c>
      <c r="B15" s="11" t="n">
        <f aca="false">B6+B13+B22+B27</f>
        <v>6865.37310673</v>
      </c>
      <c r="C15" s="11" t="n">
        <f aca="false">C6+C13+C22+C27</f>
        <v>10859.777605</v>
      </c>
      <c r="D15" s="11" t="n">
        <f aca="false">D6+D13+D22+D27</f>
        <v>22939.8521864</v>
      </c>
      <c r="E15" s="11" t="n">
        <f aca="false">E6+E13+E22+E27</f>
        <v>50717.8295301</v>
      </c>
      <c r="F15" s="11" t="n">
        <f aca="false">F6+F13+F22+F27</f>
        <v>88275.2455279</v>
      </c>
      <c r="G15" s="11" t="n">
        <f aca="false">G6+G13+G22+G27</f>
        <v>123934.732099</v>
      </c>
      <c r="H15" s="11" t="n">
        <f aca="false">H6+H13+H22+H27</f>
        <v>170778.269169</v>
      </c>
      <c r="I15" s="11" t="n">
        <f aca="false">I6+I13+I22+I27</f>
        <v>218241.656249</v>
      </c>
      <c r="J15" s="11" t="n">
        <f aca="false">J6+J13+J22+J27</f>
        <v>246246.996987</v>
      </c>
      <c r="K15" s="11" t="n">
        <f aca="false">K6+K13+K22+K27</f>
        <v>284514.844373</v>
      </c>
    </row>
    <row r="16" customFormat="false" ht="14.25" hidden="false" customHeight="true" outlineLevel="0" collapsed="false"/>
    <row r="17" customFormat="false" ht="14.25" hidden="false" customHeight="true" outlineLevel="0" collapsed="false">
      <c r="A17" s="7" t="s">
        <v>28</v>
      </c>
      <c r="B17" s="7" t="n">
        <v>2026</v>
      </c>
      <c r="C17" s="7" t="n">
        <v>2027</v>
      </c>
      <c r="D17" s="7" t="n">
        <v>2028</v>
      </c>
      <c r="E17" s="7" t="n">
        <v>2029</v>
      </c>
      <c r="F17" s="7" t="n">
        <v>2030</v>
      </c>
      <c r="G17" s="7" t="n">
        <v>2031</v>
      </c>
      <c r="H17" s="7" t="n">
        <v>2032</v>
      </c>
      <c r="I17" s="7" t="n">
        <v>2033</v>
      </c>
      <c r="J17" s="7" t="n">
        <v>2034</v>
      </c>
      <c r="K17" s="7" t="n">
        <v>2035</v>
      </c>
    </row>
    <row r="18" customFormat="false" ht="14.25" hidden="false" customHeight="true" outlineLevel="0" collapsed="false">
      <c r="A18" s="8" t="s">
        <v>29</v>
      </c>
      <c r="B18" s="9" t="n">
        <f aca="false">IFERROR(__xludf.DUMMYFUNCTION("IMPORTRANGE(Links!$B$6,""sobrestock_sustitutos!B73:K76"")"),0)</f>
        <v>0</v>
      </c>
      <c r="C18" s="9" t="n">
        <f aca="false">IFERROR(__xludf.DUMMYFUNCTION("""COMPUTED_VALUE"""),0)</f>
        <v>0</v>
      </c>
      <c r="D18" s="9" t="n">
        <f aca="false">IFERROR(__xludf.DUMMYFUNCTION("""COMPUTED_VALUE"""),0)</f>
        <v>0</v>
      </c>
      <c r="E18" s="9" t="n">
        <f aca="false">IFERROR(__xludf.DUMMYFUNCTION("""COMPUTED_VALUE"""),0)</f>
        <v>0</v>
      </c>
      <c r="F18" s="9" t="n">
        <f aca="false">IFERROR(__xludf.DUMMYFUNCTION("""COMPUTED_VALUE"""),0)</f>
        <v>0</v>
      </c>
      <c r="G18" s="9" t="n">
        <f aca="false">IFERROR(__xludf.DUMMYFUNCTION("""COMPUTED_VALUE"""),0)</f>
        <v>0</v>
      </c>
      <c r="H18" s="9" t="n">
        <f aca="false">IFERROR(__xludf.DUMMYFUNCTION("""COMPUTED_VALUE"""),0)</f>
        <v>0</v>
      </c>
      <c r="I18" s="9" t="n">
        <f aca="false">IFERROR(__xludf.DUMMYFUNCTION("""COMPUTED_VALUE"""),0)</f>
        <v>0</v>
      </c>
      <c r="J18" s="9" t="n">
        <f aca="false">IFERROR(__xludf.DUMMYFUNCTION("""COMPUTED_VALUE"""),0)</f>
        <v>0</v>
      </c>
      <c r="K18" s="9" t="n">
        <f aca="false">IFERROR(__xludf.DUMMYFUNCTION("""COMPUTED_VALUE"""),0)</f>
        <v>0</v>
      </c>
    </row>
    <row r="19" customFormat="false" ht="14.25" hidden="false" customHeight="true" outlineLevel="0" collapsed="false">
      <c r="A19" s="8" t="s">
        <v>30</v>
      </c>
      <c r="B19" s="9" t="n">
        <f aca="false">IFERROR(__xludf.DUMMYFUNCTION("""COMPUTED_VALUE"""),3)</f>
        <v>3</v>
      </c>
      <c r="C19" s="9" t="n">
        <f aca="false">IFERROR(__xludf.DUMMYFUNCTION("""COMPUTED_VALUE"""),6.24)</f>
        <v>6.24</v>
      </c>
      <c r="D19" s="9" t="n">
        <f aca="false">IFERROR(__xludf.DUMMYFUNCTION("""COMPUTED_VALUE"""),10.72)</f>
        <v>10.72</v>
      </c>
      <c r="E19" s="9" t="n">
        <f aca="false">IFERROR(__xludf.DUMMYFUNCTION("""COMPUTED_VALUE"""),17.52)</f>
        <v>17.52</v>
      </c>
      <c r="F19" s="9" t="n">
        <f aca="false">IFERROR(__xludf.DUMMYFUNCTION("""COMPUTED_VALUE"""),17.8)</f>
        <v>17.8</v>
      </c>
      <c r="G19" s="9" t="n">
        <f aca="false">IFERROR(__xludf.DUMMYFUNCTION("""COMPUTED_VALUE"""),20)</f>
        <v>20</v>
      </c>
      <c r="H19" s="9" t="n">
        <f aca="false">IFERROR(__xludf.DUMMYFUNCTION("""COMPUTED_VALUE"""),19.28)</f>
        <v>19.28</v>
      </c>
      <c r="I19" s="9" t="n">
        <f aca="false">IFERROR(__xludf.DUMMYFUNCTION("""COMPUTED_VALUE"""),15.4)</f>
        <v>15.4</v>
      </c>
      <c r="J19" s="9" t="n">
        <f aca="false">IFERROR(__xludf.DUMMYFUNCTION("""COMPUTED_VALUE"""),14.12)</f>
        <v>14.12</v>
      </c>
      <c r="K19" s="9" t="n">
        <f aca="false">IFERROR(__xludf.DUMMYFUNCTION("""COMPUTED_VALUE"""),14.68)</f>
        <v>14.68</v>
      </c>
    </row>
    <row r="20" customFormat="false" ht="14.25" hidden="false" customHeight="true" outlineLevel="0" collapsed="false">
      <c r="A20" s="8" t="s">
        <v>31</v>
      </c>
      <c r="B20" s="9" t="n">
        <f aca="false">IFERROR(__xludf.DUMMYFUNCTION("""COMPUTED_VALUE"""),12)</f>
        <v>12</v>
      </c>
      <c r="C20" s="9" t="n">
        <f aca="false">IFERROR(__xludf.DUMMYFUNCTION("""COMPUTED_VALUE"""),36.96)</f>
        <v>36.96</v>
      </c>
      <c r="D20" s="9" t="n">
        <f aca="false">IFERROR(__xludf.DUMMYFUNCTION("""COMPUTED_VALUE"""),62.84)</f>
        <v>62.84</v>
      </c>
      <c r="E20" s="9" t="n">
        <f aca="false">IFERROR(__xludf.DUMMYFUNCTION("""COMPUTED_VALUE"""),103.56)</f>
        <v>103.56</v>
      </c>
      <c r="F20" s="9" t="n">
        <f aca="false">IFERROR(__xludf.DUMMYFUNCTION("""COMPUTED_VALUE"""),104.16)</f>
        <v>104.16</v>
      </c>
      <c r="G20" s="9" t="n">
        <f aca="false">IFERROR(__xludf.DUMMYFUNCTION("""COMPUTED_VALUE"""),119.2)</f>
        <v>119.2</v>
      </c>
      <c r="H20" s="9" t="n">
        <f aca="false">IFERROR(__xludf.DUMMYFUNCTION("""COMPUTED_VALUE"""),75.88)</f>
        <v>75.88</v>
      </c>
      <c r="I20" s="9" t="n">
        <f aca="false">IFERROR(__xludf.DUMMYFUNCTION("""COMPUTED_VALUE"""),81.48)</f>
        <v>81.48</v>
      </c>
      <c r="J20" s="9" t="n">
        <f aca="false">IFERROR(__xludf.DUMMYFUNCTION("""COMPUTED_VALUE"""),76.24)</f>
        <v>76.24</v>
      </c>
      <c r="K20" s="9" t="n">
        <f aca="false">IFERROR(__xludf.DUMMYFUNCTION("""COMPUTED_VALUE"""),79.28)</f>
        <v>79.28</v>
      </c>
    </row>
    <row r="21" customFormat="false" ht="14.25" hidden="false" customHeight="true" outlineLevel="0" collapsed="false">
      <c r="A21" s="8" t="s">
        <v>32</v>
      </c>
      <c r="B21" s="9" t="n">
        <f aca="false">IFERROR(__xludf.DUMMYFUNCTION("""COMPUTED_VALUE"""),1)</f>
        <v>1</v>
      </c>
      <c r="C21" s="9" t="n">
        <f aca="false">IFERROR(__xludf.DUMMYFUNCTION("""COMPUTED_VALUE"""),2.08)</f>
        <v>2.08</v>
      </c>
      <c r="D21" s="9" t="n">
        <f aca="false">IFERROR(__xludf.DUMMYFUNCTION("""COMPUTED_VALUE"""),5.24)</f>
        <v>5.24</v>
      </c>
      <c r="E21" s="9" t="n">
        <f aca="false">IFERROR(__xludf.DUMMYFUNCTION("""COMPUTED_VALUE"""),6.64)</f>
        <v>6.64</v>
      </c>
      <c r="F21" s="9" t="n">
        <f aca="false">IFERROR(__xludf.DUMMYFUNCTION("""COMPUTED_VALUE"""),7.12)</f>
        <v>7.12</v>
      </c>
      <c r="G21" s="9" t="n">
        <f aca="false">IFERROR(__xludf.DUMMYFUNCTION("""COMPUTED_VALUE"""),8.6)</f>
        <v>8.6</v>
      </c>
      <c r="H21" s="9" t="n">
        <f aca="false">IFERROR(__xludf.DUMMYFUNCTION("""COMPUTED_VALUE"""),6.16)</f>
        <v>6.16</v>
      </c>
      <c r="I21" s="9" t="n">
        <f aca="false">IFERROR(__xludf.DUMMYFUNCTION("""COMPUTED_VALUE"""),6.48)</f>
        <v>6.48</v>
      </c>
      <c r="J21" s="9" t="n">
        <f aca="false">IFERROR(__xludf.DUMMYFUNCTION("""COMPUTED_VALUE"""),4.8)</f>
        <v>4.8</v>
      </c>
      <c r="K21" s="9" t="n">
        <f aca="false">IFERROR(__xludf.DUMMYFUNCTION("""COMPUTED_VALUE"""),5.96)</f>
        <v>5.96</v>
      </c>
    </row>
    <row r="22" customFormat="false" ht="14.25" hidden="false" customHeight="true" outlineLevel="0" collapsed="false">
      <c r="A22" s="10" t="s">
        <v>33</v>
      </c>
      <c r="B22" s="11" t="n">
        <f aca="false">SUM(B18:B21)</f>
        <v>16</v>
      </c>
      <c r="C22" s="11" t="n">
        <f aca="false">SUM(C18:C21)</f>
        <v>45.28</v>
      </c>
      <c r="D22" s="11" t="n">
        <f aca="false">SUM(D18:D21)</f>
        <v>78.8</v>
      </c>
      <c r="E22" s="11" t="n">
        <f aca="false">SUM(E18:E21)</f>
        <v>127.72</v>
      </c>
      <c r="F22" s="11" t="n">
        <f aca="false">SUM(F18:F21)</f>
        <v>129.08</v>
      </c>
      <c r="G22" s="11" t="n">
        <f aca="false">SUM(G18:G21)</f>
        <v>147.8</v>
      </c>
      <c r="H22" s="11" t="n">
        <f aca="false">SUM(H18:H21)</f>
        <v>101.32</v>
      </c>
      <c r="I22" s="11" t="n">
        <f aca="false">SUM(I18:I21)</f>
        <v>103.36</v>
      </c>
      <c r="J22" s="11" t="n">
        <f aca="false">SUM(J18:J21)</f>
        <v>95.16</v>
      </c>
      <c r="K22" s="11" t="n">
        <f aca="false">SUM(K18:K21)</f>
        <v>99.92</v>
      </c>
    </row>
    <row r="23" customFormat="false" ht="14.25" hidden="false" customHeight="true" outlineLevel="0" collapsed="false">
      <c r="A23" s="8" t="s">
        <v>34</v>
      </c>
      <c r="B23" s="9" t="n">
        <f aca="false">IFERROR(__xludf.DUMMYFUNCTION("IMPORTRANGE(Links!$B$5,""sobrestock_sustitutos!B73:K76"")"),0)</f>
        <v>0</v>
      </c>
      <c r="C23" s="9" t="n">
        <f aca="false">IFERROR(__xludf.DUMMYFUNCTION("""COMPUTED_VALUE"""),0)</f>
        <v>0</v>
      </c>
      <c r="D23" s="9" t="n">
        <f aca="false">IFERROR(__xludf.DUMMYFUNCTION("""COMPUTED_VALUE"""),0)</f>
        <v>0</v>
      </c>
      <c r="E23" s="9" t="n">
        <f aca="false">IFERROR(__xludf.DUMMYFUNCTION("""COMPUTED_VALUE"""),0)</f>
        <v>0</v>
      </c>
      <c r="F23" s="9" t="n">
        <f aca="false">IFERROR(__xludf.DUMMYFUNCTION("""COMPUTED_VALUE"""),0)</f>
        <v>0</v>
      </c>
      <c r="G23" s="9" t="n">
        <f aca="false">IFERROR(__xludf.DUMMYFUNCTION("""COMPUTED_VALUE"""),0)</f>
        <v>0</v>
      </c>
      <c r="H23" s="9" t="n">
        <f aca="false">IFERROR(__xludf.DUMMYFUNCTION("""COMPUTED_VALUE"""),0)</f>
        <v>0</v>
      </c>
      <c r="I23" s="9" t="n">
        <f aca="false">IFERROR(__xludf.DUMMYFUNCTION("""COMPUTED_VALUE"""),0)</f>
        <v>0</v>
      </c>
      <c r="J23" s="9" t="n">
        <f aca="false">IFERROR(__xludf.DUMMYFUNCTION("""COMPUTED_VALUE"""),0)</f>
        <v>0</v>
      </c>
      <c r="K23" s="9" t="n">
        <f aca="false">IFERROR(__xludf.DUMMYFUNCTION("""COMPUTED_VALUE"""),0)</f>
        <v>0</v>
      </c>
    </row>
    <row r="24" customFormat="false" ht="14.25" hidden="false" customHeight="true" outlineLevel="0" collapsed="false">
      <c r="A24" s="8" t="s">
        <v>35</v>
      </c>
      <c r="B24" s="9" t="n">
        <f aca="false">IFERROR(__xludf.DUMMYFUNCTION("""COMPUTED_VALUE"""),4)</f>
        <v>4</v>
      </c>
      <c r="C24" s="9" t="n">
        <f aca="false">IFERROR(__xludf.DUMMYFUNCTION("""COMPUTED_VALUE"""),11.32)</f>
        <v>11.32</v>
      </c>
      <c r="D24" s="9" t="n">
        <f aca="false">IFERROR(__xludf.DUMMYFUNCTION("""COMPUTED_VALUE"""),20.2)</f>
        <v>20.2</v>
      </c>
      <c r="E24" s="9" t="n">
        <f aca="false">IFERROR(__xludf.DUMMYFUNCTION("""COMPUTED_VALUE"""),30.72)</f>
        <v>30.72</v>
      </c>
      <c r="F24" s="9" t="n">
        <f aca="false">IFERROR(__xludf.DUMMYFUNCTION("""COMPUTED_VALUE"""),31.96)</f>
        <v>31.96</v>
      </c>
      <c r="G24" s="9" t="n">
        <f aca="false">IFERROR(__xludf.DUMMYFUNCTION("""COMPUTED_VALUE"""),37.12)</f>
        <v>37.12</v>
      </c>
      <c r="H24" s="9" t="n">
        <f aca="false">IFERROR(__xludf.DUMMYFUNCTION("""COMPUTED_VALUE"""),34.52)</f>
        <v>34.52</v>
      </c>
      <c r="I24" s="9" t="n">
        <f aca="false">IFERROR(__xludf.DUMMYFUNCTION("""COMPUTED_VALUE"""),27.52)</f>
        <v>27.52</v>
      </c>
      <c r="J24" s="9" t="n">
        <f aca="false">IFERROR(__xludf.DUMMYFUNCTION("""COMPUTED_VALUE"""),25.8)</f>
        <v>25.8</v>
      </c>
      <c r="K24" s="9" t="n">
        <f aca="false">IFERROR(__xludf.DUMMYFUNCTION("""COMPUTED_VALUE"""),26.84)</f>
        <v>26.84</v>
      </c>
    </row>
    <row r="25" customFormat="false" ht="14.25" hidden="false" customHeight="true" outlineLevel="0" collapsed="false">
      <c r="A25" s="8" t="s">
        <v>36</v>
      </c>
      <c r="B25" s="9" t="n">
        <f aca="false">IFERROR(__xludf.DUMMYFUNCTION("""COMPUTED_VALUE"""),22)</f>
        <v>22</v>
      </c>
      <c r="C25" s="9" t="n">
        <f aca="false">IFERROR(__xludf.DUMMYFUNCTION("""COMPUTED_VALUE"""),67.76)</f>
        <v>67.76</v>
      </c>
      <c r="D25" s="9" t="n">
        <f aca="false">IFERROR(__xludf.DUMMYFUNCTION("""COMPUTED_VALUE"""),117.04)</f>
        <v>117.04</v>
      </c>
      <c r="E25" s="9" t="n">
        <f aca="false">IFERROR(__xludf.DUMMYFUNCTION("""COMPUTED_VALUE"""),191.84)</f>
        <v>191.84</v>
      </c>
      <c r="F25" s="9" t="n">
        <f aca="false">IFERROR(__xludf.DUMMYFUNCTION("""COMPUTED_VALUE"""),193.92)</f>
        <v>193.92</v>
      </c>
      <c r="G25" s="9" t="n">
        <f aca="false">IFERROR(__xludf.DUMMYFUNCTION("""COMPUTED_VALUE"""),220.04)</f>
        <v>220.04</v>
      </c>
      <c r="H25" s="9" t="n">
        <f aca="false">IFERROR(__xludf.DUMMYFUNCTION("""COMPUTED_VALUE"""),133.2)</f>
        <v>133.2</v>
      </c>
      <c r="I25" s="9" t="n">
        <f aca="false">IFERROR(__xludf.DUMMYFUNCTION("""COMPUTED_VALUE"""),148.28)</f>
        <v>148.28</v>
      </c>
      <c r="J25" s="9" t="n">
        <f aca="false">IFERROR(__xludf.DUMMYFUNCTION("""COMPUTED_VALUE"""),139.08)</f>
        <v>139.08</v>
      </c>
      <c r="K25" s="9" t="n">
        <f aca="false">IFERROR(__xludf.DUMMYFUNCTION("""COMPUTED_VALUE"""),145.6)</f>
        <v>145.6</v>
      </c>
    </row>
    <row r="26" customFormat="false" ht="14.25" hidden="false" customHeight="true" outlineLevel="0" collapsed="false">
      <c r="A26" s="8" t="s">
        <v>37</v>
      </c>
      <c r="B26" s="9" t="n">
        <f aca="false">IFERROR(__xludf.DUMMYFUNCTION("""COMPUTED_VALUE"""),2)</f>
        <v>2</v>
      </c>
      <c r="C26" s="9" t="n">
        <f aca="false">IFERROR(__xludf.DUMMYFUNCTION("""COMPUTED_VALUE"""),4.16)</f>
        <v>4.16</v>
      </c>
      <c r="D26" s="9" t="n">
        <f aca="false">IFERROR(__xludf.DUMMYFUNCTION("""COMPUTED_VALUE"""),7.48)</f>
        <v>7.48</v>
      </c>
      <c r="E26" s="9" t="n">
        <f aca="false">IFERROR(__xludf.DUMMYFUNCTION("""COMPUTED_VALUE"""),13.04)</f>
        <v>13.04</v>
      </c>
      <c r="F26" s="9" t="n">
        <f aca="false">IFERROR(__xludf.DUMMYFUNCTION("""COMPUTED_VALUE"""),13)</f>
        <v>13</v>
      </c>
      <c r="G26" s="9" t="n">
        <f aca="false">IFERROR(__xludf.DUMMYFUNCTION("""COMPUTED_VALUE"""),14.88)</f>
        <v>14.88</v>
      </c>
      <c r="H26" s="9" t="n">
        <f aca="false">IFERROR(__xludf.DUMMYFUNCTION("""COMPUTED_VALUE"""),11.84)</f>
        <v>11.84</v>
      </c>
      <c r="I26" s="9" t="n">
        <f aca="false">IFERROR(__xludf.DUMMYFUNCTION("""COMPUTED_VALUE"""),10.48)</f>
        <v>10.48</v>
      </c>
      <c r="J26" s="9" t="n">
        <f aca="false">IFERROR(__xludf.DUMMYFUNCTION("""COMPUTED_VALUE"""),9.96)</f>
        <v>9.96</v>
      </c>
      <c r="K26" s="9" t="n">
        <f aca="false">IFERROR(__xludf.DUMMYFUNCTION("""COMPUTED_VALUE"""),10.36)</f>
        <v>10.36</v>
      </c>
    </row>
    <row r="27" customFormat="false" ht="14.25" hidden="false" customHeight="true" outlineLevel="0" collapsed="false">
      <c r="A27" s="10" t="s">
        <v>38</v>
      </c>
      <c r="B27" s="11" t="n">
        <f aca="false">SUM(B23:B26)</f>
        <v>28</v>
      </c>
      <c r="C27" s="11" t="n">
        <f aca="false">SUM(C23:C26)</f>
        <v>83.24</v>
      </c>
      <c r="D27" s="11" t="n">
        <f aca="false">SUM(D23:D26)</f>
        <v>144.72</v>
      </c>
      <c r="E27" s="11" t="n">
        <f aca="false">SUM(E23:E26)</f>
        <v>235.6</v>
      </c>
      <c r="F27" s="11" t="n">
        <f aca="false">SUM(F23:F26)</f>
        <v>238.88</v>
      </c>
      <c r="G27" s="11" t="n">
        <f aca="false">SUM(G23:G26)</f>
        <v>272.04</v>
      </c>
      <c r="H27" s="11" t="n">
        <f aca="false">SUM(H23:H26)</f>
        <v>179.56</v>
      </c>
      <c r="I27" s="11" t="n">
        <f aca="false">SUM(I23:I26)</f>
        <v>186.28</v>
      </c>
      <c r="J27" s="11" t="n">
        <f aca="false">SUM(J23:J26)</f>
        <v>174.84</v>
      </c>
      <c r="K27" s="11" t="n">
        <f aca="false">SUM(K23:K26)</f>
        <v>182.8</v>
      </c>
    </row>
    <row r="28" customFormat="false" ht="14.25" hidden="false" customHeight="true" outlineLevel="0" collapsed="false">
      <c r="A28" s="12" t="s">
        <v>39</v>
      </c>
    </row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21.14"/>
    <col collapsed="false" customWidth="true" hidden="false" outlineLevel="0" max="2" min="2" style="1" width="19.43"/>
    <col collapsed="false" customWidth="true" hidden="false" outlineLevel="0" max="3" min="3" style="1" width="40"/>
    <col collapsed="false" customWidth="true" hidden="false" outlineLevel="0" max="6" min="4" style="1" width="18"/>
    <col collapsed="false" customWidth="true" hidden="false" outlineLevel="0" max="7" min="7" style="1" width="16.71"/>
    <col collapsed="false" customWidth="true" hidden="false" outlineLevel="0" max="14" min="8" style="1" width="11"/>
    <col collapsed="false" customWidth="true" hidden="false" outlineLevel="0" max="15" min="15" style="1" width="54.86"/>
    <col collapsed="false" customWidth="true" hidden="false" outlineLevel="0" max="26" min="16" style="1" width="8.57"/>
  </cols>
  <sheetData>
    <row r="1" customFormat="false" ht="14.25" hidden="false" customHeight="true" outlineLevel="0" collapsed="false">
      <c r="A1" s="7" t="s">
        <v>40</v>
      </c>
      <c r="B1" s="7" t="s">
        <v>41</v>
      </c>
      <c r="C1" s="7" t="s">
        <v>42</v>
      </c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customFormat="false" ht="14.25" hidden="false" customHeight="true" outlineLevel="0" collapsed="false">
      <c r="A2" s="14" t="s">
        <v>43</v>
      </c>
      <c r="B2" s="15" t="n">
        <v>20</v>
      </c>
      <c r="C2" s="14" t="s">
        <v>44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 customFormat="false" ht="14.25" hidden="false" customHeight="true" outlineLevel="0" collapsed="false">
      <c r="A3" s="14" t="s">
        <v>45</v>
      </c>
      <c r="B3" s="16" t="n">
        <v>8</v>
      </c>
      <c r="C3" s="14" t="s">
        <v>46</v>
      </c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 customFormat="false" ht="14.25" hidden="false" customHeight="true" outlineLevel="0" collapsed="false">
      <c r="A4" s="14" t="s">
        <v>47</v>
      </c>
      <c r="B4" s="15" t="n">
        <v>30</v>
      </c>
      <c r="C4" s="14" t="s">
        <v>48</v>
      </c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customFormat="false" ht="14.25" hidden="false" customHeight="true" outlineLevel="0" collapsed="false">
      <c r="A5" s="14" t="s">
        <v>49</v>
      </c>
      <c r="B5" s="17" t="n">
        <f aca="false">B3-B4/60</f>
        <v>7.5</v>
      </c>
      <c r="C5" s="14" t="s">
        <v>50</v>
      </c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customFormat="false" ht="14.25" hidden="false" customHeight="true" outlineLevel="0" collapsed="false">
      <c r="A6" s="14" t="s">
        <v>51</v>
      </c>
      <c r="B6" s="15" t="n">
        <v>1</v>
      </c>
      <c r="C6" s="14" t="s">
        <v>52</v>
      </c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customFormat="false" ht="14.25" hidden="false" customHeight="true" outlineLevel="0" collapsed="false">
      <c r="A7" s="14" t="s">
        <v>53</v>
      </c>
      <c r="B7" s="16" t="n">
        <f aca="false">B2*B5*B6</f>
        <v>150</v>
      </c>
      <c r="C7" s="14" t="s">
        <v>54</v>
      </c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customFormat="false" ht="14.25" hidden="false" customHeight="true" outlineLevel="0" collapsed="false">
      <c r="A8" s="14" t="s">
        <v>55</v>
      </c>
      <c r="B8" s="18" t="n">
        <v>0.9</v>
      </c>
      <c r="C8" s="14" t="s">
        <v>56</v>
      </c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customFormat="false" ht="14.25" hidden="false" customHeight="true" outlineLevel="0" collapsed="false">
      <c r="A9" s="14" t="s">
        <v>57</v>
      </c>
      <c r="B9" s="15" t="n">
        <v>2032</v>
      </c>
      <c r="C9" s="14" t="s">
        <v>58</v>
      </c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customFormat="false" ht="14.25" hidden="false" customHeight="true" outlineLevel="0" collapsed="false">
      <c r="A10" s="19" t="s">
        <v>59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customFormat="false" ht="14.25" hidden="false" customHeight="true" outlineLevel="0" collapsed="false">
      <c r="A11" s="7" t="s">
        <v>60</v>
      </c>
      <c r="B11" s="7" t="s">
        <v>61</v>
      </c>
      <c r="C11" s="7" t="s">
        <v>62</v>
      </c>
      <c r="D11" s="7" t="s">
        <v>63</v>
      </c>
      <c r="E11" s="7" t="s">
        <v>64</v>
      </c>
      <c r="F11" s="7" t="s">
        <v>65</v>
      </c>
      <c r="G11" s="7" t="s">
        <v>66</v>
      </c>
      <c r="H11" s="7" t="s">
        <v>67</v>
      </c>
      <c r="I11" s="7" t="s">
        <v>68</v>
      </c>
      <c r="J11" s="7" t="s">
        <v>69</v>
      </c>
      <c r="K11" s="7" t="s">
        <v>70</v>
      </c>
      <c r="L11" s="7" t="s">
        <v>71</v>
      </c>
      <c r="M11" s="7" t="s">
        <v>72</v>
      </c>
      <c r="N11" s="7" t="s">
        <v>73</v>
      </c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customFormat="false" ht="14.25" hidden="false" customHeight="true" outlineLevel="0" collapsed="false">
      <c r="A12" s="14" t="s">
        <v>74</v>
      </c>
      <c r="B12" s="20" t="n">
        <f aca="false">IFERROR(__xludf.DUMMYFUNCTION("IMPORTRANGE(Links!$B$7,""ESTACIONALIDAD!C4:N4"")"),0.12)</f>
        <v>0.12</v>
      </c>
      <c r="C12" s="20" t="n">
        <f aca="false">IFERROR(__xludf.DUMMYFUNCTION("""COMPUTED_VALUE"""),0.09)</f>
        <v>0.09</v>
      </c>
      <c r="D12" s="20" t="n">
        <f aca="false">IFERROR(__xludf.DUMMYFUNCTION("""COMPUTED_VALUE"""),0.08)</f>
        <v>0.08</v>
      </c>
      <c r="E12" s="20" t="n">
        <f aca="false">IFERROR(__xludf.DUMMYFUNCTION("""COMPUTED_VALUE"""),0.075)</f>
        <v>0.075</v>
      </c>
      <c r="F12" s="20" t="n">
        <f aca="false">IFERROR(__xludf.DUMMYFUNCTION("""COMPUTED_VALUE"""),0.07)</f>
        <v>0.07</v>
      </c>
      <c r="G12" s="20" t="n">
        <f aca="false">IFERROR(__xludf.DUMMYFUNCTION("""COMPUTED_VALUE"""),0.07)</f>
        <v>0.07</v>
      </c>
      <c r="H12" s="20" t="n">
        <f aca="false">IFERROR(__xludf.DUMMYFUNCTION("""COMPUTED_VALUE"""),0.075)</f>
        <v>0.075</v>
      </c>
      <c r="I12" s="20" t="n">
        <f aca="false">IFERROR(__xludf.DUMMYFUNCTION("""COMPUTED_VALUE"""),0.075)</f>
        <v>0.075</v>
      </c>
      <c r="J12" s="20" t="n">
        <f aca="false">IFERROR(__xludf.DUMMYFUNCTION("""COMPUTED_VALUE"""),0.075)</f>
        <v>0.075</v>
      </c>
      <c r="K12" s="20" t="n">
        <f aca="false">IFERROR(__xludf.DUMMYFUNCTION("""COMPUTED_VALUE"""),0.075)</f>
        <v>0.075</v>
      </c>
      <c r="L12" s="20" t="n">
        <f aca="false">IFERROR(__xludf.DUMMYFUNCTION("""COMPUTED_VALUE"""),0.075)</f>
        <v>0.075</v>
      </c>
      <c r="M12" s="20" t="n">
        <f aca="false">IFERROR(__xludf.DUMMYFUNCTION("""COMPUTED_VALUE"""),0.12)</f>
        <v>0.12</v>
      </c>
      <c r="N12" s="20" t="n">
        <f aca="false">SUM(B12:M12)</f>
        <v>1</v>
      </c>
      <c r="O12" s="14" t="s">
        <v>75</v>
      </c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customFormat="false" ht="14.25" hidden="false" customHeight="true" outlineLevel="0" collapsed="false">
      <c r="A13" s="14" t="s">
        <v>76</v>
      </c>
      <c r="B13" s="20" t="n">
        <f aca="false">IFERROR(__xludf.DUMMYFUNCTION("IMPORTRANGE(Links!$B$7,""ESTACIONALIDAD!C5:N5"")"),0.1)</f>
        <v>0.1</v>
      </c>
      <c r="C13" s="20" t="n">
        <f aca="false">IFERROR(__xludf.DUMMYFUNCTION("""COMPUTED_VALUE"""),0.08)</f>
        <v>0.08</v>
      </c>
      <c r="D13" s="20" t="n">
        <f aca="false">IFERROR(__xludf.DUMMYFUNCTION("""COMPUTED_VALUE"""),0.085)</f>
        <v>0.085</v>
      </c>
      <c r="E13" s="20" t="n">
        <f aca="false">IFERROR(__xludf.DUMMYFUNCTION("""COMPUTED_VALUE"""),0.085)</f>
        <v>0.085</v>
      </c>
      <c r="F13" s="20" t="n">
        <f aca="false">IFERROR(__xludf.DUMMYFUNCTION("""COMPUTED_VALUE"""),0.08)</f>
        <v>0.08</v>
      </c>
      <c r="G13" s="20" t="n">
        <f aca="false">IFERROR(__xludf.DUMMYFUNCTION("""COMPUTED_VALUE"""),0.075)</f>
        <v>0.075</v>
      </c>
      <c r="H13" s="20" t="n">
        <f aca="false">IFERROR(__xludf.DUMMYFUNCTION("""COMPUTED_VALUE"""),0.08)</f>
        <v>0.08</v>
      </c>
      <c r="I13" s="20" t="n">
        <f aca="false">IFERROR(__xludf.DUMMYFUNCTION("""COMPUTED_VALUE"""),0.08)</f>
        <v>0.08</v>
      </c>
      <c r="J13" s="20" t="n">
        <f aca="false">IFERROR(__xludf.DUMMYFUNCTION("""COMPUTED_VALUE"""),0.08)</f>
        <v>0.08</v>
      </c>
      <c r="K13" s="20" t="n">
        <f aca="false">IFERROR(__xludf.DUMMYFUNCTION("""COMPUTED_VALUE"""),0.075)</f>
        <v>0.075</v>
      </c>
      <c r="L13" s="20" t="n">
        <f aca="false">IFERROR(__xludf.DUMMYFUNCTION("""COMPUTED_VALUE"""),0.07)</f>
        <v>0.07</v>
      </c>
      <c r="M13" s="20" t="n">
        <f aca="false">IFERROR(__xludf.DUMMYFUNCTION("""COMPUTED_VALUE"""),0.11)</f>
        <v>0.11</v>
      </c>
      <c r="N13" s="20" t="n">
        <f aca="false">SUM(B13:M13)</f>
        <v>1</v>
      </c>
      <c r="O13" s="14" t="s">
        <v>77</v>
      </c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customFormat="false" ht="14.25" hidden="false" customHeight="true" outlineLevel="0" collapsed="false">
      <c r="A14" s="14" t="s">
        <v>78</v>
      </c>
      <c r="B14" s="20" t="n">
        <f aca="false">IFERROR(__xludf.DUMMYFUNCTION("IMPORTRANGE(Links!$B$7,""ESTACIONALIDAD!C5:N5"")"),0.1)</f>
        <v>0.1</v>
      </c>
      <c r="C14" s="20" t="n">
        <f aca="false">IFERROR(__xludf.DUMMYFUNCTION("""COMPUTED_VALUE"""),0.08)</f>
        <v>0.08</v>
      </c>
      <c r="D14" s="20" t="n">
        <f aca="false">IFERROR(__xludf.DUMMYFUNCTION("""COMPUTED_VALUE"""),0.085)</f>
        <v>0.085</v>
      </c>
      <c r="E14" s="20" t="n">
        <f aca="false">IFERROR(__xludf.DUMMYFUNCTION("""COMPUTED_VALUE"""),0.085)</f>
        <v>0.085</v>
      </c>
      <c r="F14" s="20" t="n">
        <f aca="false">IFERROR(__xludf.DUMMYFUNCTION("""COMPUTED_VALUE"""),0.08)</f>
        <v>0.08</v>
      </c>
      <c r="G14" s="20" t="n">
        <f aca="false">IFERROR(__xludf.DUMMYFUNCTION("""COMPUTED_VALUE"""),0.075)</f>
        <v>0.075</v>
      </c>
      <c r="H14" s="20" t="n">
        <f aca="false">IFERROR(__xludf.DUMMYFUNCTION("""COMPUTED_VALUE"""),0.08)</f>
        <v>0.08</v>
      </c>
      <c r="I14" s="20" t="n">
        <f aca="false">IFERROR(__xludf.DUMMYFUNCTION("""COMPUTED_VALUE"""),0.08)</f>
        <v>0.08</v>
      </c>
      <c r="J14" s="20" t="n">
        <f aca="false">IFERROR(__xludf.DUMMYFUNCTION("""COMPUTED_VALUE"""),0.08)</f>
        <v>0.08</v>
      </c>
      <c r="K14" s="20" t="n">
        <f aca="false">IFERROR(__xludf.DUMMYFUNCTION("""COMPUTED_VALUE"""),0.075)</f>
        <v>0.075</v>
      </c>
      <c r="L14" s="20" t="n">
        <f aca="false">IFERROR(__xludf.DUMMYFUNCTION("""COMPUTED_VALUE"""),0.07)</f>
        <v>0.07</v>
      </c>
      <c r="M14" s="20" t="n">
        <f aca="false">IFERROR(__xludf.DUMMYFUNCTION("""COMPUTED_VALUE"""),0.11)</f>
        <v>0.11</v>
      </c>
      <c r="N14" s="20" t="n">
        <f aca="false">SUM(B14:M14)</f>
        <v>1</v>
      </c>
      <c r="O14" s="13" t="s">
        <v>77</v>
      </c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 customFormat="false" ht="14.25" hidden="false" customHeight="true" outlineLevel="0" collapsed="false">
      <c r="A15" s="14" t="s">
        <v>79</v>
      </c>
      <c r="B15" s="20" t="n">
        <f aca="false">IFERROR(__xludf.DUMMYFUNCTION("IMPORTRANGE(Links!$B$7,""ESTACIONALIDAD!C5:N5"")"),0.1)</f>
        <v>0.1</v>
      </c>
      <c r="C15" s="20" t="n">
        <f aca="false">IFERROR(__xludf.DUMMYFUNCTION("""COMPUTED_VALUE"""),0.08)</f>
        <v>0.08</v>
      </c>
      <c r="D15" s="20" t="n">
        <f aca="false">IFERROR(__xludf.DUMMYFUNCTION("""COMPUTED_VALUE"""),0.085)</f>
        <v>0.085</v>
      </c>
      <c r="E15" s="20" t="n">
        <f aca="false">IFERROR(__xludf.DUMMYFUNCTION("""COMPUTED_VALUE"""),0.085)</f>
        <v>0.085</v>
      </c>
      <c r="F15" s="20" t="n">
        <f aca="false">IFERROR(__xludf.DUMMYFUNCTION("""COMPUTED_VALUE"""),0.08)</f>
        <v>0.08</v>
      </c>
      <c r="G15" s="20" t="n">
        <f aca="false">IFERROR(__xludf.DUMMYFUNCTION("""COMPUTED_VALUE"""),0.075)</f>
        <v>0.075</v>
      </c>
      <c r="H15" s="20" t="n">
        <f aca="false">IFERROR(__xludf.DUMMYFUNCTION("""COMPUTED_VALUE"""),0.08)</f>
        <v>0.08</v>
      </c>
      <c r="I15" s="20" t="n">
        <f aca="false">IFERROR(__xludf.DUMMYFUNCTION("""COMPUTED_VALUE"""),0.08)</f>
        <v>0.08</v>
      </c>
      <c r="J15" s="20" t="n">
        <f aca="false">IFERROR(__xludf.DUMMYFUNCTION("""COMPUTED_VALUE"""),0.08)</f>
        <v>0.08</v>
      </c>
      <c r="K15" s="20" t="n">
        <f aca="false">IFERROR(__xludf.DUMMYFUNCTION("""COMPUTED_VALUE"""),0.075)</f>
        <v>0.075</v>
      </c>
      <c r="L15" s="20" t="n">
        <f aca="false">IFERROR(__xludf.DUMMYFUNCTION("""COMPUTED_VALUE"""),0.07)</f>
        <v>0.07</v>
      </c>
      <c r="M15" s="20" t="n">
        <f aca="false">IFERROR(__xludf.DUMMYFUNCTION("""COMPUTED_VALUE"""),0.11)</f>
        <v>0.11</v>
      </c>
      <c r="N15" s="20" t="n">
        <f aca="false">SUM(B15:M15)</f>
        <v>1</v>
      </c>
      <c r="O15" s="13" t="s">
        <v>77</v>
      </c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 customFormat="false" ht="14.25" hidden="false" customHeight="true" outlineLevel="0" collapsed="false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customFormat="false" ht="14.25" hidden="false" customHeight="true" outlineLevel="0" collapsed="false">
      <c r="A17" s="19" t="s">
        <v>80</v>
      </c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customFormat="false" ht="45" hidden="false" customHeight="true" outlineLevel="0" collapsed="false">
      <c r="A18" s="21" t="s">
        <v>81</v>
      </c>
      <c r="B18" s="21" t="s">
        <v>82</v>
      </c>
      <c r="C18" s="21" t="s">
        <v>83</v>
      </c>
      <c r="D18" s="21" t="s">
        <v>74</v>
      </c>
      <c r="E18" s="21" t="s">
        <v>76</v>
      </c>
      <c r="F18" s="21" t="s">
        <v>78</v>
      </c>
      <c r="G18" s="21" t="s">
        <v>79</v>
      </c>
      <c r="H18" s="21" t="s">
        <v>84</v>
      </c>
      <c r="I18" s="21" t="s">
        <v>85</v>
      </c>
      <c r="J18" s="21" t="s">
        <v>86</v>
      </c>
      <c r="K18" s="21" t="s">
        <v>87</v>
      </c>
      <c r="L18" s="21" t="s">
        <v>88</v>
      </c>
      <c r="M18" s="21" t="s">
        <v>89</v>
      </c>
      <c r="N18" s="21" t="s">
        <v>90</v>
      </c>
      <c r="O18" s="21" t="s">
        <v>91</v>
      </c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customFormat="false" ht="14.25" hidden="false" customHeight="true" outlineLevel="0" collapsed="false">
      <c r="A19" s="22" t="n">
        <v>1</v>
      </c>
      <c r="B19" s="23" t="s">
        <v>92</v>
      </c>
      <c r="C19" s="22" t="s">
        <v>93</v>
      </c>
      <c r="D19" s="22" t="n">
        <v>1</v>
      </c>
      <c r="E19" s="22" t="n">
        <v>1</v>
      </c>
      <c r="F19" s="22" t="n">
        <v>1</v>
      </c>
      <c r="G19" s="22" t="n">
        <v>1</v>
      </c>
      <c r="H19" s="22" t="s">
        <v>94</v>
      </c>
      <c r="I19" s="22" t="n">
        <v>1</v>
      </c>
      <c r="J19" s="24" t="n">
        <v>1</v>
      </c>
      <c r="K19" s="25" t="n">
        <v>60</v>
      </c>
      <c r="L19" s="26" t="n">
        <f aca="false">F51</f>
        <v>1</v>
      </c>
      <c r="M19" s="27" t="n">
        <f aca="false">IF(K19&gt;0,3600/K19*L19,0)</f>
        <v>60</v>
      </c>
      <c r="N19" s="28" t="n">
        <f aca="false">M19*$B$7</f>
        <v>9000</v>
      </c>
      <c r="O19" s="29" t="s">
        <v>95</v>
      </c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customFormat="false" ht="14.25" hidden="false" customHeight="true" outlineLevel="0" collapsed="false">
      <c r="A20" s="22" t="n">
        <v>2</v>
      </c>
      <c r="B20" s="23" t="s">
        <v>96</v>
      </c>
      <c r="C20" s="22" t="s">
        <v>97</v>
      </c>
      <c r="D20" s="22" t="n">
        <v>0</v>
      </c>
      <c r="E20" s="22" t="n">
        <v>1</v>
      </c>
      <c r="F20" s="22" t="n">
        <v>1</v>
      </c>
      <c r="G20" s="22" t="n">
        <v>1</v>
      </c>
      <c r="H20" s="22" t="s">
        <v>94</v>
      </c>
      <c r="I20" s="22" t="n">
        <v>1</v>
      </c>
      <c r="J20" s="24" t="n">
        <v>1</v>
      </c>
      <c r="K20" s="25" t="n">
        <v>90</v>
      </c>
      <c r="L20" s="26" t="n">
        <f aca="false">F52</f>
        <v>0.993333333333333</v>
      </c>
      <c r="M20" s="27" t="n">
        <f aca="false">IF(K20&gt;0,3600/K20*L20,0)</f>
        <v>39.7333333333333</v>
      </c>
      <c r="N20" s="28" t="n">
        <f aca="false">M20*$B$7</f>
        <v>5960</v>
      </c>
      <c r="O20" s="29" t="s">
        <v>98</v>
      </c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customFormat="false" ht="14.25" hidden="false" customHeight="true" outlineLevel="0" collapsed="false">
      <c r="A21" s="22" t="n">
        <v>3</v>
      </c>
      <c r="B21" s="23" t="s">
        <v>99</v>
      </c>
      <c r="C21" s="22" t="s">
        <v>100</v>
      </c>
      <c r="D21" s="22" t="n">
        <v>1</v>
      </c>
      <c r="E21" s="22" t="n">
        <v>0</v>
      </c>
      <c r="F21" s="22" t="n">
        <v>0</v>
      </c>
      <c r="G21" s="22" t="n">
        <v>0</v>
      </c>
      <c r="H21" s="22" t="s">
        <v>94</v>
      </c>
      <c r="I21" s="22" t="n">
        <v>1</v>
      </c>
      <c r="J21" s="24" t="n">
        <v>1</v>
      </c>
      <c r="K21" s="25" t="n">
        <v>30</v>
      </c>
      <c r="L21" s="26" t="n">
        <f aca="false">F53</f>
        <v>1</v>
      </c>
      <c r="M21" s="27" t="n">
        <f aca="false">IF(K21&gt;0,3600/K21*L21,0)</f>
        <v>120</v>
      </c>
      <c r="N21" s="28" t="n">
        <f aca="false">M21*$B$7</f>
        <v>18000</v>
      </c>
      <c r="O21" s="29" t="s">
        <v>101</v>
      </c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customFormat="false" ht="14.25" hidden="false" customHeight="true" outlineLevel="0" collapsed="false">
      <c r="A22" s="22" t="n">
        <v>4</v>
      </c>
      <c r="B22" s="23" t="s">
        <v>102</v>
      </c>
      <c r="C22" s="22" t="s">
        <v>103</v>
      </c>
      <c r="D22" s="22" t="n">
        <v>1</v>
      </c>
      <c r="E22" s="22" t="n">
        <v>1</v>
      </c>
      <c r="F22" s="22" t="n">
        <v>1</v>
      </c>
      <c r="G22" s="22" t="n">
        <v>1</v>
      </c>
      <c r="H22" s="22" t="s">
        <v>94</v>
      </c>
      <c r="I22" s="22" t="n">
        <v>2</v>
      </c>
      <c r="J22" s="24" t="n">
        <v>1</v>
      </c>
      <c r="K22" s="25" t="n">
        <v>8</v>
      </c>
      <c r="L22" s="26" t="n">
        <f aca="false">F54</f>
        <v>0.68</v>
      </c>
      <c r="M22" s="27" t="n">
        <f aca="false">IF(K22&gt;0,3600/K22*L22,0)</f>
        <v>306</v>
      </c>
      <c r="N22" s="28" t="n">
        <f aca="false">M22*$B$7</f>
        <v>45900</v>
      </c>
      <c r="O22" s="29" t="s">
        <v>104</v>
      </c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customFormat="false" ht="14.25" hidden="false" customHeight="true" outlineLevel="0" collapsed="false">
      <c r="A23" s="22" t="n">
        <v>5</v>
      </c>
      <c r="B23" s="23" t="s">
        <v>105</v>
      </c>
      <c r="C23" s="22" t="s">
        <v>106</v>
      </c>
      <c r="D23" s="22" t="n">
        <v>1</v>
      </c>
      <c r="E23" s="22" t="n">
        <v>1</v>
      </c>
      <c r="F23" s="22" t="n">
        <v>1</v>
      </c>
      <c r="G23" s="22" t="n">
        <v>1</v>
      </c>
      <c r="H23" s="22" t="s">
        <v>94</v>
      </c>
      <c r="I23" s="22" t="n">
        <v>1</v>
      </c>
      <c r="J23" s="24" t="n">
        <v>1</v>
      </c>
      <c r="K23" s="25" t="n">
        <v>60</v>
      </c>
      <c r="L23" s="26" t="n">
        <f aca="false">F55</f>
        <v>1</v>
      </c>
      <c r="M23" s="27" t="n">
        <f aca="false">IF(K23&gt;0,3600/K23*L23,0)</f>
        <v>60</v>
      </c>
      <c r="N23" s="28" t="n">
        <f aca="false">M23*$B$7</f>
        <v>9000</v>
      </c>
      <c r="O23" s="29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customFormat="false" ht="14.25" hidden="false" customHeight="true" outlineLevel="0" collapsed="false">
      <c r="A24" s="22" t="n">
        <v>6</v>
      </c>
      <c r="B24" s="23" t="s">
        <v>107</v>
      </c>
      <c r="C24" s="22" t="s">
        <v>108</v>
      </c>
      <c r="D24" s="22" t="n">
        <v>1</v>
      </c>
      <c r="E24" s="22" t="n">
        <v>1</v>
      </c>
      <c r="F24" s="22" t="n">
        <v>1</v>
      </c>
      <c r="G24" s="22" t="n">
        <v>1</v>
      </c>
      <c r="H24" s="22" t="s">
        <v>94</v>
      </c>
      <c r="I24" s="22" t="n">
        <v>1</v>
      </c>
      <c r="J24" s="24" t="n">
        <v>1</v>
      </c>
      <c r="K24" s="25" t="n">
        <v>20</v>
      </c>
      <c r="L24" s="26" t="n">
        <f aca="false">F56</f>
        <v>1</v>
      </c>
      <c r="M24" s="27" t="n">
        <f aca="false">IF(K24&gt;0,3600/K24*L24,0)</f>
        <v>180</v>
      </c>
      <c r="N24" s="28" t="n">
        <f aca="false">M24*$B$7</f>
        <v>27000</v>
      </c>
      <c r="O24" s="29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customFormat="false" ht="14.25" hidden="false" customHeight="true" outlineLevel="0" collapsed="false">
      <c r="A25" s="22" t="n">
        <v>7</v>
      </c>
      <c r="B25" s="23" t="s">
        <v>109</v>
      </c>
      <c r="C25" s="22" t="s">
        <v>110</v>
      </c>
      <c r="D25" s="22" t="n">
        <v>1</v>
      </c>
      <c r="E25" s="22" t="n">
        <v>1</v>
      </c>
      <c r="F25" s="22" t="n">
        <v>1</v>
      </c>
      <c r="G25" s="22" t="n">
        <v>1</v>
      </c>
      <c r="H25" s="22" t="s">
        <v>94</v>
      </c>
      <c r="I25" s="22" t="n">
        <v>1</v>
      </c>
      <c r="J25" s="24" t="n">
        <v>1</v>
      </c>
      <c r="K25" s="25" t="n">
        <v>25</v>
      </c>
      <c r="L25" s="26" t="n">
        <f aca="false">F57</f>
        <v>0.973333333333333</v>
      </c>
      <c r="M25" s="27" t="n">
        <f aca="false">IF(K25&gt;0,3600/K25*L25,0)</f>
        <v>140.16</v>
      </c>
      <c r="N25" s="28" t="n">
        <f aca="false">M25*$B$7</f>
        <v>21024</v>
      </c>
      <c r="O25" s="29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customFormat="false" ht="14.25" hidden="false" customHeight="true" outlineLevel="0" collapsed="false">
      <c r="A26" s="22" t="n">
        <v>8</v>
      </c>
      <c r="B26" s="23" t="s">
        <v>111</v>
      </c>
      <c r="C26" s="22" t="s">
        <v>112</v>
      </c>
      <c r="D26" s="22" t="n">
        <v>0</v>
      </c>
      <c r="E26" s="22" t="n">
        <v>1</v>
      </c>
      <c r="F26" s="22" t="n">
        <v>1</v>
      </c>
      <c r="G26" s="22" t="n">
        <v>1</v>
      </c>
      <c r="H26" s="22" t="s">
        <v>94</v>
      </c>
      <c r="I26" s="22" t="n">
        <v>1</v>
      </c>
      <c r="J26" s="24" t="n">
        <v>1</v>
      </c>
      <c r="K26" s="25" t="n">
        <v>80</v>
      </c>
      <c r="L26" s="26" t="n">
        <f aca="false">F58</f>
        <v>0.986666666666667</v>
      </c>
      <c r="M26" s="27" t="n">
        <f aca="false">IF(K26&gt;0,3600/K26*L26,0)</f>
        <v>44.4</v>
      </c>
      <c r="N26" s="28" t="n">
        <f aca="false">M26*$B$7</f>
        <v>6660</v>
      </c>
      <c r="O26" s="29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customFormat="false" ht="14.25" hidden="false" customHeight="true" outlineLevel="0" collapsed="false">
      <c r="A27" s="22" t="n">
        <v>9</v>
      </c>
      <c r="B27" s="23" t="s">
        <v>113</v>
      </c>
      <c r="C27" s="22" t="s">
        <v>114</v>
      </c>
      <c r="D27" s="22" t="n">
        <v>0</v>
      </c>
      <c r="E27" s="22" t="n">
        <v>1</v>
      </c>
      <c r="F27" s="22" t="n">
        <v>1</v>
      </c>
      <c r="G27" s="22" t="n">
        <v>1</v>
      </c>
      <c r="H27" s="22" t="s">
        <v>94</v>
      </c>
      <c r="I27" s="22" t="n">
        <v>1</v>
      </c>
      <c r="J27" s="24" t="n">
        <v>1</v>
      </c>
      <c r="K27" s="25" t="n">
        <v>115</v>
      </c>
      <c r="L27" s="26" t="n">
        <f aca="false">F59</f>
        <v>0.986666666666667</v>
      </c>
      <c r="M27" s="27" t="n">
        <f aca="false">IF(K27&gt;0,3600/K27*L27,0)</f>
        <v>30.8869565217391</v>
      </c>
      <c r="N27" s="28" t="n">
        <f aca="false">M27*$B$7</f>
        <v>4633.04347826087</v>
      </c>
      <c r="O27" s="29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customFormat="false" ht="14.25" hidden="false" customHeight="true" outlineLevel="0" collapsed="false">
      <c r="A28" s="22" t="n">
        <v>10</v>
      </c>
      <c r="B28" s="23" t="s">
        <v>115</v>
      </c>
      <c r="C28" s="22" t="s">
        <v>116</v>
      </c>
      <c r="D28" s="22" t="n">
        <v>1</v>
      </c>
      <c r="E28" s="22" t="n">
        <v>1</v>
      </c>
      <c r="F28" s="22" t="n">
        <v>1</v>
      </c>
      <c r="G28" s="22" t="n">
        <v>1</v>
      </c>
      <c r="H28" s="22" t="s">
        <v>94</v>
      </c>
      <c r="I28" s="22" t="n">
        <v>1</v>
      </c>
      <c r="J28" s="24" t="n">
        <v>1</v>
      </c>
      <c r="K28" s="25" t="n">
        <v>30</v>
      </c>
      <c r="L28" s="26" t="n">
        <f aca="false">F60</f>
        <v>0.982222222222222</v>
      </c>
      <c r="M28" s="27" t="n">
        <f aca="false">IF(K28&gt;0,3600/K28*L28,0)</f>
        <v>117.866666666667</v>
      </c>
      <c r="N28" s="28" t="n">
        <f aca="false">M28*$B$7</f>
        <v>17680</v>
      </c>
      <c r="O28" s="29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customFormat="false" ht="14.25" hidden="false" customHeight="true" outlineLevel="0" collapsed="false">
      <c r="A29" s="22" t="n">
        <v>11</v>
      </c>
      <c r="B29" s="23" t="s">
        <v>117</v>
      </c>
      <c r="C29" s="22" t="s">
        <v>118</v>
      </c>
      <c r="D29" s="22" t="n">
        <v>1</v>
      </c>
      <c r="E29" s="22" t="n">
        <v>1</v>
      </c>
      <c r="F29" s="22" t="n">
        <v>1</v>
      </c>
      <c r="G29" s="22" t="n">
        <v>1</v>
      </c>
      <c r="H29" s="22" t="s">
        <v>94</v>
      </c>
      <c r="I29" s="22" t="n">
        <v>1</v>
      </c>
      <c r="J29" s="24" t="n">
        <v>1</v>
      </c>
      <c r="K29" s="25" t="n">
        <v>20</v>
      </c>
      <c r="L29" s="26" t="n">
        <f aca="false">F61</f>
        <v>0.982222222222222</v>
      </c>
      <c r="M29" s="27" t="n">
        <f aca="false">IF(K29&gt;0,3600/K29*L29,0)</f>
        <v>176.8</v>
      </c>
      <c r="N29" s="28" t="n">
        <f aca="false">M29*$B$7</f>
        <v>26520</v>
      </c>
      <c r="O29" s="29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customFormat="false" ht="14.25" hidden="false" customHeight="true" outlineLevel="0" collapsed="false">
      <c r="A30" s="22" t="n">
        <v>12</v>
      </c>
      <c r="B30" s="23" t="s">
        <v>119</v>
      </c>
      <c r="C30" s="22" t="s">
        <v>120</v>
      </c>
      <c r="D30" s="22" t="n">
        <v>1</v>
      </c>
      <c r="E30" s="22" t="n">
        <v>1</v>
      </c>
      <c r="F30" s="22" t="n">
        <v>1</v>
      </c>
      <c r="G30" s="22" t="n">
        <v>1</v>
      </c>
      <c r="H30" s="22" t="s">
        <v>94</v>
      </c>
      <c r="I30" s="22" t="n">
        <v>1</v>
      </c>
      <c r="J30" s="24" t="n">
        <v>1</v>
      </c>
      <c r="K30" s="25" t="n">
        <v>60</v>
      </c>
      <c r="L30" s="26" t="n">
        <f aca="false">F62</f>
        <v>0.982222222222222</v>
      </c>
      <c r="M30" s="27" t="n">
        <f aca="false">IF(K30&gt;0,3600/K30*L30,0)</f>
        <v>58.9333333333333</v>
      </c>
      <c r="N30" s="28" t="n">
        <f aca="false">M30*$B$7</f>
        <v>8840</v>
      </c>
      <c r="O30" s="29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customFormat="false" ht="14.25" hidden="false" customHeight="true" outlineLevel="0" collapsed="false">
      <c r="A31" s="22" t="n">
        <v>13</v>
      </c>
      <c r="B31" s="23" t="s">
        <v>121</v>
      </c>
      <c r="C31" s="22" t="s">
        <v>122</v>
      </c>
      <c r="D31" s="22" t="n">
        <v>1</v>
      </c>
      <c r="E31" s="22" t="n">
        <v>1</v>
      </c>
      <c r="F31" s="22" t="n">
        <v>1</v>
      </c>
      <c r="G31" s="22" t="n">
        <v>1</v>
      </c>
      <c r="H31" s="22" t="s">
        <v>94</v>
      </c>
      <c r="I31" s="22" t="n">
        <v>1</v>
      </c>
      <c r="J31" s="24" t="n">
        <v>0.02</v>
      </c>
      <c r="K31" s="25" t="n">
        <v>120</v>
      </c>
      <c r="L31" s="26" t="n">
        <f aca="false">F63</f>
        <v>1</v>
      </c>
      <c r="M31" s="27" t="n">
        <f aca="false">IF(K31&gt;0,3600/K31*L31,0)</f>
        <v>30</v>
      </c>
      <c r="N31" s="28" t="n">
        <f aca="false">M31*$B$7</f>
        <v>4500</v>
      </c>
      <c r="O31" s="29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customFormat="false" ht="14.25" hidden="false" customHeight="true" outlineLevel="0" collapsed="false">
      <c r="A32" s="22" t="n">
        <v>14</v>
      </c>
      <c r="B32" s="23" t="s">
        <v>123</v>
      </c>
      <c r="C32" s="22" t="s">
        <v>124</v>
      </c>
      <c r="D32" s="22" t="n">
        <v>1</v>
      </c>
      <c r="E32" s="22" t="n">
        <v>1</v>
      </c>
      <c r="F32" s="22" t="n">
        <v>1</v>
      </c>
      <c r="G32" s="22" t="n">
        <v>1</v>
      </c>
      <c r="H32" s="22" t="s">
        <v>94</v>
      </c>
      <c r="I32" s="22" t="n">
        <v>1</v>
      </c>
      <c r="J32" s="24" t="n">
        <v>1</v>
      </c>
      <c r="K32" s="25" t="n">
        <v>60</v>
      </c>
      <c r="L32" s="26" t="n">
        <f aca="false">F64</f>
        <v>0.982222222222222</v>
      </c>
      <c r="M32" s="27" t="n">
        <f aca="false">IF(K32&gt;0,3600/K32*L32,0)</f>
        <v>58.9333333333333</v>
      </c>
      <c r="N32" s="28" t="n">
        <f aca="false">M32*$B$7</f>
        <v>8840</v>
      </c>
      <c r="O32" s="29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customFormat="false" ht="14.25" hidden="false" customHeight="true" outlineLevel="0" collapsed="false">
      <c r="A33" s="22" t="n">
        <v>15</v>
      </c>
      <c r="B33" s="23" t="s">
        <v>125</v>
      </c>
      <c r="C33" s="22" t="s">
        <v>126</v>
      </c>
      <c r="D33" s="22" t="n">
        <v>1</v>
      </c>
      <c r="E33" s="22" t="n">
        <v>1</v>
      </c>
      <c r="F33" s="22" t="n">
        <v>1</v>
      </c>
      <c r="G33" s="22" t="n">
        <v>1</v>
      </c>
      <c r="H33" s="22" t="s">
        <v>94</v>
      </c>
      <c r="I33" s="22" t="n">
        <v>1</v>
      </c>
      <c r="J33" s="24" t="n">
        <v>1</v>
      </c>
      <c r="K33" s="25" t="n">
        <v>120</v>
      </c>
      <c r="L33" s="26" t="n">
        <f aca="false">F65</f>
        <v>1</v>
      </c>
      <c r="M33" s="27" t="n">
        <f aca="false">IF(K33&gt;0,3600/K33*L33,0)</f>
        <v>30</v>
      </c>
      <c r="N33" s="28" t="n">
        <f aca="false">M33*$B$7</f>
        <v>4500</v>
      </c>
      <c r="O33" s="29" t="s">
        <v>127</v>
      </c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customFormat="false" ht="14.25" hidden="false" customHeight="true" outlineLevel="0" collapsed="false">
      <c r="A34" s="22" t="n">
        <v>16</v>
      </c>
      <c r="B34" s="23" t="s">
        <v>128</v>
      </c>
      <c r="C34" s="22" t="s">
        <v>129</v>
      </c>
      <c r="D34" s="22" t="n">
        <v>1</v>
      </c>
      <c r="E34" s="22" t="n">
        <v>1</v>
      </c>
      <c r="F34" s="22" t="n">
        <v>1</v>
      </c>
      <c r="G34" s="22" t="n">
        <v>1</v>
      </c>
      <c r="H34" s="22" t="s">
        <v>94</v>
      </c>
      <c r="I34" s="22" t="n">
        <v>1</v>
      </c>
      <c r="J34" s="24" t="n">
        <v>1</v>
      </c>
      <c r="K34" s="25" t="n">
        <v>30</v>
      </c>
      <c r="L34" s="26" t="n">
        <f aca="false">F66</f>
        <v>1</v>
      </c>
      <c r="M34" s="27" t="n">
        <f aca="false">IF(K34&gt;0,3600/K34*L34,0)</f>
        <v>120</v>
      </c>
      <c r="N34" s="28" t="n">
        <f aca="false">M34*$B$7</f>
        <v>18000</v>
      </c>
      <c r="O34" s="29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customFormat="false" ht="14.25" hidden="false" customHeight="true" outlineLevel="0" collapsed="false">
      <c r="A35" s="22" t="n">
        <v>17</v>
      </c>
      <c r="B35" s="23" t="s">
        <v>130</v>
      </c>
      <c r="C35" s="22" t="s">
        <v>131</v>
      </c>
      <c r="D35" s="22" t="n">
        <v>1</v>
      </c>
      <c r="E35" s="22" t="n">
        <v>1</v>
      </c>
      <c r="F35" s="22" t="n">
        <v>1</v>
      </c>
      <c r="G35" s="22" t="n">
        <v>1</v>
      </c>
      <c r="H35" s="22" t="s">
        <v>94</v>
      </c>
      <c r="I35" s="22" t="n">
        <v>1</v>
      </c>
      <c r="J35" s="24" t="n">
        <v>1</v>
      </c>
      <c r="K35" s="25" t="n">
        <v>20</v>
      </c>
      <c r="L35" s="26" t="n">
        <f aca="false">F67</f>
        <v>1</v>
      </c>
      <c r="M35" s="27" t="n">
        <f aca="false">IF(K35&gt;0,3600/K35*L35,0)</f>
        <v>180</v>
      </c>
      <c r="N35" s="28" t="n">
        <f aca="false">M35*$B$7</f>
        <v>27000</v>
      </c>
      <c r="O35" s="29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customFormat="false" ht="14.25" hidden="false" customHeight="true" outlineLevel="0" collapsed="false">
      <c r="A36" s="22" t="n">
        <v>18</v>
      </c>
      <c r="B36" s="23" t="s">
        <v>132</v>
      </c>
      <c r="C36" s="22" t="s">
        <v>133</v>
      </c>
      <c r="D36" s="22" t="n">
        <v>1</v>
      </c>
      <c r="E36" s="22" t="n">
        <v>1</v>
      </c>
      <c r="F36" s="22" t="n">
        <v>1</v>
      </c>
      <c r="G36" s="22" t="n">
        <v>1</v>
      </c>
      <c r="H36" s="22" t="s">
        <v>94</v>
      </c>
      <c r="I36" s="22" t="n">
        <v>1</v>
      </c>
      <c r="J36" s="24" t="n">
        <v>0.05</v>
      </c>
      <c r="K36" s="25" t="n">
        <v>180</v>
      </c>
      <c r="L36" s="26" t="n">
        <f aca="false">F68</f>
        <v>1</v>
      </c>
      <c r="M36" s="27" t="n">
        <f aca="false">IF(K36&gt;0,3600/K36*L36,0)</f>
        <v>20</v>
      </c>
      <c r="N36" s="28" t="n">
        <f aca="false">M36*$B$7</f>
        <v>3000</v>
      </c>
      <c r="O36" s="29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customFormat="false" ht="14.25" hidden="false" customHeight="true" outlineLevel="0" collapsed="false">
      <c r="A37" s="22" t="n">
        <v>19</v>
      </c>
      <c r="B37" s="23" t="s">
        <v>134</v>
      </c>
      <c r="C37" s="22" t="s">
        <v>135</v>
      </c>
      <c r="D37" s="22" t="n">
        <v>1</v>
      </c>
      <c r="E37" s="22" t="n">
        <v>1</v>
      </c>
      <c r="F37" s="22" t="n">
        <v>1</v>
      </c>
      <c r="G37" s="22" t="n">
        <v>1</v>
      </c>
      <c r="H37" s="22" t="s">
        <v>94</v>
      </c>
      <c r="I37" s="22" t="n">
        <v>1</v>
      </c>
      <c r="J37" s="24" t="n">
        <v>1</v>
      </c>
      <c r="K37" s="25" t="n">
        <v>25</v>
      </c>
      <c r="L37" s="26" t="n">
        <f aca="false">F69</f>
        <v>0.946666666666667</v>
      </c>
      <c r="M37" s="27" t="n">
        <f aca="false">IF(K37&gt;0,3600/K37*L37,0)</f>
        <v>136.32</v>
      </c>
      <c r="N37" s="28" t="n">
        <f aca="false">M37*$B$7</f>
        <v>20448</v>
      </c>
      <c r="O37" s="29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customFormat="false" ht="14.25" hidden="false" customHeight="true" outlineLevel="0" collapsed="false">
      <c r="A38" s="22" t="n">
        <v>20</v>
      </c>
      <c r="B38" s="23" t="s">
        <v>136</v>
      </c>
      <c r="C38" s="22" t="s">
        <v>137</v>
      </c>
      <c r="D38" s="22" t="n">
        <v>1</v>
      </c>
      <c r="E38" s="22" t="n">
        <v>1</v>
      </c>
      <c r="F38" s="22" t="n">
        <v>1</v>
      </c>
      <c r="G38" s="22" t="n">
        <v>1</v>
      </c>
      <c r="H38" s="22" t="s">
        <v>138</v>
      </c>
      <c r="I38" s="22" t="n">
        <v>1</v>
      </c>
      <c r="J38" s="24" t="n">
        <v>1</v>
      </c>
      <c r="K38" s="25" t="n">
        <v>45</v>
      </c>
      <c r="L38" s="26" t="n">
        <f aca="false">F70</f>
        <v>1</v>
      </c>
      <c r="M38" s="27" t="n">
        <f aca="false">IF(K38&gt;0,3600/K38*L38,0)</f>
        <v>80</v>
      </c>
      <c r="N38" s="28" t="n">
        <f aca="false">M38*$B$7</f>
        <v>12000</v>
      </c>
      <c r="O38" s="29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customFormat="false" ht="14.25" hidden="false" customHeight="true" outlineLevel="0" collapsed="false">
      <c r="A39" s="22" t="n">
        <v>21</v>
      </c>
      <c r="B39" s="23" t="s">
        <v>139</v>
      </c>
      <c r="C39" s="22" t="s">
        <v>140</v>
      </c>
      <c r="D39" s="22" t="n">
        <v>1</v>
      </c>
      <c r="E39" s="22" t="n">
        <v>1</v>
      </c>
      <c r="F39" s="22" t="n">
        <v>1</v>
      </c>
      <c r="G39" s="22" t="n">
        <v>1</v>
      </c>
      <c r="H39" s="22" t="s">
        <v>138</v>
      </c>
      <c r="I39" s="22" t="n">
        <v>1</v>
      </c>
      <c r="J39" s="24" t="n">
        <v>1</v>
      </c>
      <c r="K39" s="25" t="n">
        <v>100</v>
      </c>
      <c r="L39" s="26" t="n">
        <f aca="false">F71</f>
        <v>0.982222222222222</v>
      </c>
      <c r="M39" s="27" t="n">
        <f aca="false">IF(K39&gt;0,3600/K39*L39,0)</f>
        <v>35.36</v>
      </c>
      <c r="N39" s="28" t="n">
        <f aca="false">M39*$B$7</f>
        <v>5304</v>
      </c>
      <c r="O39" s="29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customFormat="false" ht="14.25" hidden="false" customHeight="true" outlineLevel="0" collapsed="false">
      <c r="A40" s="22" t="n">
        <v>22</v>
      </c>
      <c r="B40" s="23" t="s">
        <v>141</v>
      </c>
      <c r="C40" s="22" t="s">
        <v>142</v>
      </c>
      <c r="D40" s="22" t="n">
        <v>1</v>
      </c>
      <c r="E40" s="22" t="n">
        <v>1</v>
      </c>
      <c r="F40" s="22" t="n">
        <v>1</v>
      </c>
      <c r="G40" s="22" t="n">
        <v>1</v>
      </c>
      <c r="H40" s="22" t="s">
        <v>138</v>
      </c>
      <c r="I40" s="22" t="n">
        <v>1</v>
      </c>
      <c r="J40" s="24" t="n">
        <v>1</v>
      </c>
      <c r="K40" s="25" t="n">
        <v>30</v>
      </c>
      <c r="L40" s="26" t="n">
        <f aca="false">F72</f>
        <v>1</v>
      </c>
      <c r="M40" s="27" t="n">
        <f aca="false">IF(K40&gt;0,3600/K40*L40,0)</f>
        <v>120</v>
      </c>
      <c r="N40" s="28" t="n">
        <f aca="false">M40*$B$7</f>
        <v>18000</v>
      </c>
      <c r="O40" s="29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customFormat="false" ht="14.25" hidden="false" customHeight="true" outlineLevel="0" collapsed="false">
      <c r="A41" s="22" t="n">
        <v>23</v>
      </c>
      <c r="B41" s="23" t="s">
        <v>143</v>
      </c>
      <c r="C41" s="22" t="s">
        <v>144</v>
      </c>
      <c r="D41" s="22" t="n">
        <v>1</v>
      </c>
      <c r="E41" s="22" t="n">
        <v>1</v>
      </c>
      <c r="F41" s="22" t="n">
        <v>1</v>
      </c>
      <c r="G41" s="22" t="n">
        <v>1</v>
      </c>
      <c r="H41" s="22" t="s">
        <v>138</v>
      </c>
      <c r="I41" s="22" t="n">
        <v>1</v>
      </c>
      <c r="J41" s="24" t="n">
        <v>1</v>
      </c>
      <c r="K41" s="25" t="n">
        <v>55</v>
      </c>
      <c r="L41" s="26" t="n">
        <f aca="false">F73</f>
        <v>1</v>
      </c>
      <c r="M41" s="27" t="n">
        <f aca="false">IF(K41&gt;0,3600/K41*L41,0)</f>
        <v>65.4545454545455</v>
      </c>
      <c r="N41" s="28" t="n">
        <f aca="false">M41*$B$7</f>
        <v>9818.18181818182</v>
      </c>
      <c r="O41" s="29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customFormat="false" ht="14.25" hidden="false" customHeight="true" outlineLevel="0" collapsed="false">
      <c r="A42" s="22" t="n">
        <v>24</v>
      </c>
      <c r="B42" s="23" t="s">
        <v>145</v>
      </c>
      <c r="C42" s="22" t="s">
        <v>146</v>
      </c>
      <c r="D42" s="22" t="n">
        <v>1</v>
      </c>
      <c r="E42" s="22" t="n">
        <v>1</v>
      </c>
      <c r="F42" s="22" t="n">
        <v>1</v>
      </c>
      <c r="G42" s="22" t="n">
        <v>1</v>
      </c>
      <c r="H42" s="22" t="s">
        <v>138</v>
      </c>
      <c r="I42" s="22" t="n">
        <v>1</v>
      </c>
      <c r="J42" s="24" t="n">
        <v>1</v>
      </c>
      <c r="K42" s="25" t="n">
        <v>60</v>
      </c>
      <c r="L42" s="26" t="n">
        <f aca="false">F74</f>
        <v>1</v>
      </c>
      <c r="M42" s="27" t="n">
        <f aca="false">IF(K42&gt;0,3600/K42*L42,0)</f>
        <v>60</v>
      </c>
      <c r="N42" s="28" t="n">
        <f aca="false">M42*$B$7</f>
        <v>9000</v>
      </c>
      <c r="O42" s="29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customFormat="false" ht="14.25" hidden="false" customHeight="true" outlineLevel="0" collapsed="false">
      <c r="A43" s="22" t="n">
        <v>25</v>
      </c>
      <c r="B43" s="23" t="s">
        <v>147</v>
      </c>
      <c r="C43" s="22" t="s">
        <v>148</v>
      </c>
      <c r="D43" s="22" t="n">
        <v>1</v>
      </c>
      <c r="E43" s="22" t="n">
        <v>1</v>
      </c>
      <c r="F43" s="22" t="n">
        <v>1</v>
      </c>
      <c r="G43" s="22" t="n">
        <v>1</v>
      </c>
      <c r="H43" s="22" t="s">
        <v>94</v>
      </c>
      <c r="I43" s="22" t="n">
        <v>1</v>
      </c>
      <c r="J43" s="24" t="n">
        <v>1</v>
      </c>
      <c r="K43" s="25" t="n">
        <v>45</v>
      </c>
      <c r="L43" s="26" t="n">
        <f aca="false">F75</f>
        <v>0.991111111111111</v>
      </c>
      <c r="M43" s="27" t="n">
        <f aca="false">IF(K43&gt;0,3600/K43*L43,0)</f>
        <v>79.2888888888889</v>
      </c>
      <c r="N43" s="28" t="n">
        <f aca="false">M43*$B$7</f>
        <v>11893.3333333333</v>
      </c>
      <c r="O43" s="29" t="s">
        <v>149</v>
      </c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customFormat="false" ht="14.25" hidden="false" customHeight="true" outlineLevel="0" collapsed="false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customFormat="false" ht="14.25" hidden="false" customHeight="true" outlineLevel="0" collapsed="false">
      <c r="A45" s="30" t="s">
        <v>150</v>
      </c>
      <c r="B45" s="30"/>
      <c r="C45" s="30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customFormat="false" ht="14.25" hidden="false" customHeight="true" outlineLevel="0" collapsed="false">
      <c r="A46" s="30" t="s">
        <v>151</v>
      </c>
      <c r="B46" s="30"/>
      <c r="C46" s="30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customFormat="false" ht="14.25" hidden="false" customHeight="true" outlineLevel="0" collapsed="false">
      <c r="A47" s="30" t="s">
        <v>152</v>
      </c>
      <c r="B47" s="30"/>
      <c r="C47" s="30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customFormat="false" ht="14.25" hidden="false" customHeight="true" outlineLevel="0" collapsed="false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customFormat="false" ht="14.25" hidden="false" customHeight="true" outlineLevel="0" collapsed="false">
      <c r="A49" s="7" t="s">
        <v>153</v>
      </c>
      <c r="B49" s="7"/>
      <c r="C49" s="7"/>
      <c r="D49" s="7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customFormat="false" ht="14.25" hidden="false" customHeight="true" outlineLevel="0" collapsed="false">
      <c r="A50" s="21" t="s">
        <v>81</v>
      </c>
      <c r="B50" s="21" t="s">
        <v>82</v>
      </c>
      <c r="C50" s="31" t="s">
        <v>154</v>
      </c>
      <c r="D50" s="31" t="s">
        <v>155</v>
      </c>
      <c r="E50" s="31" t="s">
        <v>156</v>
      </c>
      <c r="F50" s="31" t="s">
        <v>157</v>
      </c>
      <c r="G50" s="31" t="s">
        <v>91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customFormat="false" ht="14.25" hidden="false" customHeight="true" outlineLevel="0" collapsed="false">
      <c r="A51" s="22" t="n">
        <v>1</v>
      </c>
      <c r="B51" s="23" t="s">
        <v>92</v>
      </c>
      <c r="C51" s="22" t="n">
        <v>0</v>
      </c>
      <c r="D51" s="22" t="n">
        <v>0</v>
      </c>
      <c r="E51" s="22" t="n">
        <f aca="false">C51*D51/60</f>
        <v>0</v>
      </c>
      <c r="F51" s="32" t="n">
        <f aca="false">MAX(0,1-E51/150)</f>
        <v>1</v>
      </c>
      <c r="G51" s="29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customFormat="false" ht="14.25" hidden="false" customHeight="true" outlineLevel="0" collapsed="false">
      <c r="A52" s="22" t="n">
        <v>2</v>
      </c>
      <c r="B52" s="23" t="s">
        <v>96</v>
      </c>
      <c r="C52" s="29" t="n">
        <v>5</v>
      </c>
      <c r="D52" s="29" t="n">
        <v>12</v>
      </c>
      <c r="E52" s="22" t="n">
        <f aca="false">C52*D52/60</f>
        <v>1</v>
      </c>
      <c r="F52" s="32" t="n">
        <f aca="false">MAX(0,1-E52/150)</f>
        <v>0.993333333333333</v>
      </c>
      <c r="G52" s="29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customFormat="false" ht="14.25" hidden="false" customHeight="true" outlineLevel="0" collapsed="false">
      <c r="A53" s="22" t="n">
        <v>3</v>
      </c>
      <c r="B53" s="23" t="s">
        <v>99</v>
      </c>
      <c r="C53" s="29" t="n">
        <v>0</v>
      </c>
      <c r="D53" s="29" t="n">
        <v>0</v>
      </c>
      <c r="E53" s="22" t="n">
        <f aca="false">C53*D53/60</f>
        <v>0</v>
      </c>
      <c r="F53" s="32" t="n">
        <f aca="false">MAX(0,1-E53/150)</f>
        <v>1</v>
      </c>
      <c r="G53" s="29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customFormat="false" ht="14.25" hidden="false" customHeight="true" outlineLevel="0" collapsed="false">
      <c r="A54" s="22" t="n">
        <v>4</v>
      </c>
      <c r="B54" s="23" t="s">
        <v>102</v>
      </c>
      <c r="C54" s="29" t="n">
        <v>90</v>
      </c>
      <c r="D54" s="29" t="n">
        <v>32</v>
      </c>
      <c r="E54" s="22" t="n">
        <f aca="false">C54*D54/60</f>
        <v>48</v>
      </c>
      <c r="F54" s="32" t="n">
        <f aca="false">MAX(0,1-E54/150)</f>
        <v>0.68</v>
      </c>
      <c r="G54" s="29" t="s">
        <v>158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customFormat="false" ht="14.25" hidden="false" customHeight="true" outlineLevel="0" collapsed="false">
      <c r="A55" s="22" t="n">
        <v>5</v>
      </c>
      <c r="B55" s="23" t="s">
        <v>105</v>
      </c>
      <c r="C55" s="29" t="n">
        <v>0</v>
      </c>
      <c r="D55" s="29" t="n">
        <v>0</v>
      </c>
      <c r="E55" s="22" t="n">
        <f aca="false">C55*D55/60</f>
        <v>0</v>
      </c>
      <c r="F55" s="32" t="n">
        <f aca="false">MAX(0,1-E55/150)</f>
        <v>1</v>
      </c>
      <c r="G55" s="29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customFormat="false" ht="14.25" hidden="false" customHeight="true" outlineLevel="0" collapsed="false">
      <c r="A56" s="22" t="n">
        <v>6</v>
      </c>
      <c r="B56" s="23" t="s">
        <v>107</v>
      </c>
      <c r="C56" s="29"/>
      <c r="D56" s="29"/>
      <c r="E56" s="22" t="n">
        <f aca="false">C56*D56/60</f>
        <v>0</v>
      </c>
      <c r="F56" s="32" t="n">
        <f aca="false">MAX(0,1-E56/150)</f>
        <v>1</v>
      </c>
      <c r="G56" s="29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customFormat="false" ht="14.25" hidden="false" customHeight="true" outlineLevel="0" collapsed="false">
      <c r="A57" s="22" t="n">
        <v>7</v>
      </c>
      <c r="B57" s="23" t="s">
        <v>109</v>
      </c>
      <c r="C57" s="29" t="n">
        <v>15</v>
      </c>
      <c r="D57" s="29" t="n">
        <v>16</v>
      </c>
      <c r="E57" s="22" t="n">
        <f aca="false">C57*D57/60</f>
        <v>4</v>
      </c>
      <c r="F57" s="32" t="n">
        <f aca="false">MAX(0,1-E57/150)</f>
        <v>0.973333333333333</v>
      </c>
      <c r="G57" s="29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customFormat="false" ht="14.25" hidden="false" customHeight="true" outlineLevel="0" collapsed="false">
      <c r="A58" s="22" t="n">
        <v>8</v>
      </c>
      <c r="B58" s="23" t="s">
        <v>111</v>
      </c>
      <c r="C58" s="29" t="n">
        <v>10</v>
      </c>
      <c r="D58" s="29" t="n">
        <v>12</v>
      </c>
      <c r="E58" s="22" t="n">
        <f aca="false">C58*D58/60</f>
        <v>2</v>
      </c>
      <c r="F58" s="32" t="n">
        <f aca="false">MAX(0,1-E58/150)</f>
        <v>0.986666666666667</v>
      </c>
      <c r="G58" s="29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customFormat="false" ht="14.25" hidden="false" customHeight="true" outlineLevel="0" collapsed="false">
      <c r="A59" s="22" t="n">
        <v>9</v>
      </c>
      <c r="B59" s="23" t="s">
        <v>113</v>
      </c>
      <c r="C59" s="29" t="n">
        <v>10</v>
      </c>
      <c r="D59" s="29" t="n">
        <v>12</v>
      </c>
      <c r="E59" s="22" t="n">
        <f aca="false">C59*D59/60</f>
        <v>2</v>
      </c>
      <c r="F59" s="32" t="n">
        <f aca="false">MAX(0,1-E59/150)</f>
        <v>0.986666666666667</v>
      </c>
      <c r="G59" s="29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customFormat="false" ht="14.25" hidden="false" customHeight="true" outlineLevel="0" collapsed="false">
      <c r="A60" s="22" t="n">
        <v>10</v>
      </c>
      <c r="B60" s="23" t="s">
        <v>115</v>
      </c>
      <c r="C60" s="29" t="n">
        <v>10</v>
      </c>
      <c r="D60" s="29" t="n">
        <v>16</v>
      </c>
      <c r="E60" s="22" t="n">
        <f aca="false">C60*D60/60</f>
        <v>2.66666666666667</v>
      </c>
      <c r="F60" s="32" t="n">
        <f aca="false">MAX(0,1-E60/150)</f>
        <v>0.982222222222222</v>
      </c>
      <c r="G60" s="29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customFormat="false" ht="14.25" hidden="false" customHeight="true" outlineLevel="0" collapsed="false">
      <c r="A61" s="22" t="n">
        <v>11</v>
      </c>
      <c r="B61" s="23" t="s">
        <v>117</v>
      </c>
      <c r="C61" s="29" t="n">
        <v>10</v>
      </c>
      <c r="D61" s="29" t="n">
        <v>16</v>
      </c>
      <c r="E61" s="22" t="n">
        <f aca="false">C61*D61/60</f>
        <v>2.66666666666667</v>
      </c>
      <c r="F61" s="32" t="n">
        <f aca="false">MAX(0,1-E61/150)</f>
        <v>0.982222222222222</v>
      </c>
      <c r="G61" s="29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customFormat="false" ht="14.25" hidden="false" customHeight="true" outlineLevel="0" collapsed="false">
      <c r="A62" s="22" t="n">
        <v>12</v>
      </c>
      <c r="B62" s="23" t="s">
        <v>119</v>
      </c>
      <c r="C62" s="29" t="n">
        <v>10</v>
      </c>
      <c r="D62" s="29" t="n">
        <v>16</v>
      </c>
      <c r="E62" s="22" t="n">
        <f aca="false">C62*D62/60</f>
        <v>2.66666666666667</v>
      </c>
      <c r="F62" s="32" t="n">
        <f aca="false">MAX(0,1-E62/150)</f>
        <v>0.982222222222222</v>
      </c>
      <c r="G62" s="29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customFormat="false" ht="14.25" hidden="false" customHeight="true" outlineLevel="0" collapsed="false">
      <c r="A63" s="22" t="n">
        <v>13</v>
      </c>
      <c r="B63" s="23" t="s">
        <v>121</v>
      </c>
      <c r="C63" s="29" t="n">
        <v>0</v>
      </c>
      <c r="D63" s="29" t="n">
        <v>0</v>
      </c>
      <c r="E63" s="22" t="n">
        <f aca="false">C63*D63/60</f>
        <v>0</v>
      </c>
      <c r="F63" s="32" t="n">
        <f aca="false">MAX(0,1-E63/150)</f>
        <v>1</v>
      </c>
      <c r="G63" s="29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customFormat="false" ht="14.25" hidden="false" customHeight="true" outlineLevel="0" collapsed="false">
      <c r="A64" s="22" t="n">
        <v>14</v>
      </c>
      <c r="B64" s="23" t="s">
        <v>123</v>
      </c>
      <c r="C64" s="29" t="n">
        <v>10</v>
      </c>
      <c r="D64" s="29" t="n">
        <v>16</v>
      </c>
      <c r="E64" s="22" t="n">
        <f aca="false">C64*D64/60</f>
        <v>2.66666666666667</v>
      </c>
      <c r="F64" s="32" t="n">
        <f aca="false">MAX(0,1-E64/150)</f>
        <v>0.982222222222222</v>
      </c>
      <c r="G64" s="29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customFormat="false" ht="14.25" hidden="false" customHeight="true" outlineLevel="0" collapsed="false">
      <c r="A65" s="22" t="n">
        <v>15</v>
      </c>
      <c r="B65" s="23" t="s">
        <v>125</v>
      </c>
      <c r="C65" s="29" t="n">
        <v>0</v>
      </c>
      <c r="D65" s="29" t="n">
        <v>0</v>
      </c>
      <c r="E65" s="22" t="n">
        <f aca="false">C65*D65/60</f>
        <v>0</v>
      </c>
      <c r="F65" s="32" t="n">
        <f aca="false">MAX(0,1-E65/150)</f>
        <v>1</v>
      </c>
      <c r="G65" s="29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customFormat="false" ht="14.25" hidden="false" customHeight="true" outlineLevel="0" collapsed="false">
      <c r="A66" s="22" t="n">
        <v>16</v>
      </c>
      <c r="B66" s="23" t="s">
        <v>128</v>
      </c>
      <c r="C66" s="29" t="n">
        <v>10</v>
      </c>
      <c r="D66" s="29" t="n">
        <v>0</v>
      </c>
      <c r="E66" s="22" t="n">
        <f aca="false">C66*D66/60</f>
        <v>0</v>
      </c>
      <c r="F66" s="32" t="n">
        <f aca="false">MAX(0,1-E66/150)</f>
        <v>1</v>
      </c>
      <c r="G66" s="29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customFormat="false" ht="14.25" hidden="false" customHeight="true" outlineLevel="0" collapsed="false">
      <c r="A67" s="22" t="n">
        <v>17</v>
      </c>
      <c r="B67" s="23" t="s">
        <v>130</v>
      </c>
      <c r="C67" s="29" t="n">
        <v>0</v>
      </c>
      <c r="D67" s="29" t="n">
        <v>0</v>
      </c>
      <c r="E67" s="22" t="n">
        <f aca="false">C67*D67/60</f>
        <v>0</v>
      </c>
      <c r="F67" s="32" t="n">
        <f aca="false">MAX(0,1-E67/150)</f>
        <v>1</v>
      </c>
      <c r="G67" s="29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customFormat="false" ht="14.25" hidden="false" customHeight="true" outlineLevel="0" collapsed="false">
      <c r="A68" s="22" t="n">
        <v>18</v>
      </c>
      <c r="B68" s="23" t="s">
        <v>132</v>
      </c>
      <c r="C68" s="29" t="n">
        <v>0</v>
      </c>
      <c r="D68" s="29" t="n">
        <v>0</v>
      </c>
      <c r="E68" s="22" t="n">
        <f aca="false">C68*D68/60</f>
        <v>0</v>
      </c>
      <c r="F68" s="32" t="n">
        <f aca="false">MAX(0,1-E68/150)</f>
        <v>1</v>
      </c>
      <c r="G68" s="29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customFormat="false" ht="14.25" hidden="false" customHeight="true" outlineLevel="0" collapsed="false">
      <c r="A69" s="22" t="n">
        <v>19</v>
      </c>
      <c r="B69" s="23" t="s">
        <v>134</v>
      </c>
      <c r="C69" s="29" t="n">
        <v>30</v>
      </c>
      <c r="D69" s="29" t="n">
        <v>16</v>
      </c>
      <c r="E69" s="22" t="n">
        <f aca="false">C69*D69/60</f>
        <v>8</v>
      </c>
      <c r="F69" s="32" t="n">
        <f aca="false">MAX(0,1-E69/150)</f>
        <v>0.946666666666667</v>
      </c>
      <c r="G69" s="29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customFormat="false" ht="14.25" hidden="false" customHeight="true" outlineLevel="0" collapsed="false">
      <c r="A70" s="22" t="n">
        <v>20</v>
      </c>
      <c r="B70" s="23" t="s">
        <v>136</v>
      </c>
      <c r="C70" s="29" t="n">
        <v>0</v>
      </c>
      <c r="D70" s="29" t="n">
        <v>0</v>
      </c>
      <c r="E70" s="22" t="n">
        <f aca="false">C70*D70/60</f>
        <v>0</v>
      </c>
      <c r="F70" s="32" t="n">
        <f aca="false">MAX(0,1-E70/150)</f>
        <v>1</v>
      </c>
      <c r="G70" s="29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customFormat="false" ht="14.25" hidden="false" customHeight="true" outlineLevel="0" collapsed="false">
      <c r="A71" s="22" t="n">
        <v>21</v>
      </c>
      <c r="B71" s="23" t="s">
        <v>139</v>
      </c>
      <c r="C71" s="29" t="n">
        <v>10</v>
      </c>
      <c r="D71" s="29" t="n">
        <v>16</v>
      </c>
      <c r="E71" s="22" t="n">
        <f aca="false">C71*D71/60</f>
        <v>2.66666666666667</v>
      </c>
      <c r="F71" s="32" t="n">
        <f aca="false">MAX(0,1-E71/150)</f>
        <v>0.982222222222222</v>
      </c>
      <c r="G71" s="29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customFormat="false" ht="14.25" hidden="false" customHeight="true" outlineLevel="0" collapsed="false">
      <c r="A72" s="22" t="n">
        <v>22</v>
      </c>
      <c r="B72" s="23" t="s">
        <v>141</v>
      </c>
      <c r="C72" s="29" t="n">
        <v>0</v>
      </c>
      <c r="D72" s="29" t="n">
        <v>0</v>
      </c>
      <c r="E72" s="22" t="n">
        <f aca="false">C72*D72/60</f>
        <v>0</v>
      </c>
      <c r="F72" s="32" t="n">
        <f aca="false">MAX(0,1-E72/150)</f>
        <v>1</v>
      </c>
      <c r="G72" s="29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customFormat="false" ht="14.25" hidden="false" customHeight="true" outlineLevel="0" collapsed="false">
      <c r="A73" s="22" t="n">
        <v>23</v>
      </c>
      <c r="B73" s="23" t="s">
        <v>143</v>
      </c>
      <c r="C73" s="29" t="n">
        <v>0</v>
      </c>
      <c r="D73" s="29" t="n">
        <v>0</v>
      </c>
      <c r="E73" s="22" t="n">
        <f aca="false">C73*D73/60</f>
        <v>0</v>
      </c>
      <c r="F73" s="32" t="n">
        <f aca="false">MAX(0,1-E73/150)</f>
        <v>1</v>
      </c>
      <c r="G73" s="29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customFormat="false" ht="14.25" hidden="false" customHeight="true" outlineLevel="0" collapsed="false">
      <c r="A74" s="22" t="n">
        <v>24</v>
      </c>
      <c r="B74" s="23" t="s">
        <v>145</v>
      </c>
      <c r="C74" s="29" t="n">
        <v>0</v>
      </c>
      <c r="D74" s="29" t="n">
        <v>0</v>
      </c>
      <c r="E74" s="22" t="n">
        <f aca="false">C74*D74/60</f>
        <v>0</v>
      </c>
      <c r="F74" s="32" t="n">
        <f aca="false">MAX(0,1-E74/150)</f>
        <v>1</v>
      </c>
      <c r="G74" s="29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customFormat="false" ht="14.25" hidden="false" customHeight="true" outlineLevel="0" collapsed="false">
      <c r="A75" s="22" t="n">
        <v>25</v>
      </c>
      <c r="B75" s="23" t="s">
        <v>147</v>
      </c>
      <c r="C75" s="29" t="n">
        <v>5</v>
      </c>
      <c r="D75" s="29" t="n">
        <v>16</v>
      </c>
      <c r="E75" s="22" t="n">
        <f aca="false">C75*D75/60</f>
        <v>1.33333333333333</v>
      </c>
      <c r="F75" s="32" t="n">
        <f aca="false">MAX(0,1-E75/150)</f>
        <v>0.991111111111111</v>
      </c>
      <c r="G75" s="29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customFormat="false" ht="14.25" hidden="false" customHeight="true" outlineLevel="0" collapsed="false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customFormat="false" ht="14.25" hidden="false" customHeight="true" outlineLevel="0" collapsed="false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customFormat="false" ht="14.25" hidden="false" customHeight="true" outlineLevel="0" collapsed="false">
      <c r="A78" s="19" t="s">
        <v>159</v>
      </c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customFormat="false" ht="14.25" hidden="false" customHeight="true" outlineLevel="0" collapsed="false">
      <c r="A79" s="33" t="s">
        <v>160</v>
      </c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customFormat="false" ht="14.25" hidden="false" customHeight="true" outlineLevel="0" collapsed="false">
      <c r="A80" s="33" t="s">
        <v>161</v>
      </c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customFormat="false" ht="14.25" hidden="false" customHeight="true" outlineLevel="0" collapsed="false">
      <c r="A81" s="33" t="s">
        <v>162</v>
      </c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customFormat="false" ht="14.25" hidden="false" customHeight="true" outlineLevel="0" collapsed="false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customFormat="false" ht="14.25" hidden="false" customHeight="true" outlineLevel="0" collapsed="false">
      <c r="A83" s="34" t="s">
        <v>163</v>
      </c>
      <c r="B83" s="35" t="n">
        <f aca="false">MAX(B86:B89)</f>
        <v>0.09</v>
      </c>
      <c r="C83" s="36" t="s">
        <v>164</v>
      </c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customFormat="false" ht="14.25" hidden="false" customHeight="true" outlineLevel="0" collapsed="false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customFormat="false" ht="45" hidden="false" customHeight="true" outlineLevel="0" collapsed="false">
      <c r="A85" s="37" t="s">
        <v>60</v>
      </c>
      <c r="B85" s="37" t="s">
        <v>165</v>
      </c>
      <c r="C85" s="37" t="s">
        <v>166</v>
      </c>
      <c r="D85" s="37" t="s">
        <v>167</v>
      </c>
      <c r="E85" s="37" t="s">
        <v>168</v>
      </c>
      <c r="F85" s="37" t="s">
        <v>169</v>
      </c>
      <c r="G85" s="37" t="s">
        <v>170</v>
      </c>
      <c r="H85" s="37" t="s">
        <v>171</v>
      </c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customFormat="false" ht="14.25" hidden="false" customHeight="true" outlineLevel="0" collapsed="false">
      <c r="A86" s="34" t="s">
        <v>74</v>
      </c>
      <c r="B86" s="38" t="n">
        <f aca="false">(B12+K12+L12)/3</f>
        <v>0.09</v>
      </c>
      <c r="C86" s="38" t="n">
        <f aca="false">MAX(0,M12-$B$83)</f>
        <v>0.03</v>
      </c>
      <c r="D86" s="38" t="n">
        <f aca="false">MAX(0,B12-$B$83)</f>
        <v>0.03</v>
      </c>
      <c r="E86" s="38" t="n">
        <f aca="false">C86+D86</f>
        <v>0.06</v>
      </c>
      <c r="F86" s="39" t="n">
        <f aca="false">COUNTIF(C94:L94,"&gt;0.000001")</f>
        <v>4</v>
      </c>
      <c r="G86" s="14" t="str">
        <f aca="false">IF(K94+L94&gt;=D86-0.000001,"OK","No alcanza: subir L")</f>
        <v>OK</v>
      </c>
      <c r="H86" s="38" t="n">
        <f aca="false">SUM(B94:L94)</f>
        <v>0.06</v>
      </c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customFormat="false" ht="14.25" hidden="false" customHeight="true" outlineLevel="0" collapsed="false">
      <c r="A87" s="34" t="s">
        <v>76</v>
      </c>
      <c r="B87" s="38" t="n">
        <f aca="false">(B13+K13+L13)/3</f>
        <v>0.0816666666666667</v>
      </c>
      <c r="C87" s="38" t="n">
        <f aca="false">MAX(0,M13-$B$83)</f>
        <v>0.02</v>
      </c>
      <c r="D87" s="38" t="n">
        <f aca="false">MAX(0,B13-$B$83)</f>
        <v>0.01</v>
      </c>
      <c r="E87" s="38" t="n">
        <f aca="false">C87+D87</f>
        <v>0.03</v>
      </c>
      <c r="F87" s="39" t="n">
        <f aca="false">COUNTIF(C99:L99,"&gt;0.000001")</f>
        <v>2</v>
      </c>
      <c r="G87" s="14" t="str">
        <f aca="false">IF(K99+L99&gt;=D87-0.000001,"OK","No alcanza: subir L")</f>
        <v>OK</v>
      </c>
      <c r="H87" s="38" t="n">
        <f aca="false">SUM(B99:L99)</f>
        <v>0.03</v>
      </c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customFormat="false" ht="14.25" hidden="false" customHeight="true" outlineLevel="0" collapsed="false">
      <c r="A88" s="34" t="s">
        <v>78</v>
      </c>
      <c r="B88" s="38" t="n">
        <f aca="false">(B14+K14+L14)/3</f>
        <v>0.0816666666666667</v>
      </c>
      <c r="C88" s="38" t="n">
        <f aca="false">MAX(0,M14-$B$83)</f>
        <v>0.02</v>
      </c>
      <c r="D88" s="38" t="n">
        <f aca="false">MAX(0,B14-$B$83)</f>
        <v>0.01</v>
      </c>
      <c r="E88" s="38" t="n">
        <f aca="false">C88+D88</f>
        <v>0.03</v>
      </c>
      <c r="F88" s="39" t="n">
        <f aca="false">COUNTIF(C104:L104,"&gt;0.000001")</f>
        <v>2</v>
      </c>
      <c r="G88" s="14" t="str">
        <f aca="false">IF(K104+L104&gt;=D88-0.000001,"OK","No alcanza: subir L")</f>
        <v>OK</v>
      </c>
      <c r="H88" s="38" t="n">
        <f aca="false">SUM(B104:L104)</f>
        <v>0.03</v>
      </c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customFormat="false" ht="14.25" hidden="false" customHeight="true" outlineLevel="0" collapsed="false">
      <c r="A89" s="34" t="s">
        <v>79</v>
      </c>
      <c r="B89" s="38" t="n">
        <f aca="false">(B15+K15+L15)/3</f>
        <v>0.0816666666666667</v>
      </c>
      <c r="C89" s="38" t="n">
        <f aca="false">MAX(0,M15-$B$83)</f>
        <v>0.02</v>
      </c>
      <c r="D89" s="38" t="n">
        <f aca="false">MAX(0,B15-$B$83)</f>
        <v>0.01</v>
      </c>
      <c r="E89" s="38" t="n">
        <f aca="false">C89+D89</f>
        <v>0.03</v>
      </c>
      <c r="F89" s="39" t="n">
        <f aca="false">COUNTIF(C109:L109,"&gt;0.000001")</f>
        <v>2</v>
      </c>
      <c r="G89" s="14" t="str">
        <f aca="false">IF(K109+L109&gt;=D89-0.000001,"OK","No alcanza: subir L")</f>
        <v>OK</v>
      </c>
      <c r="H89" s="38" t="n">
        <f aca="false">SUM(B109:L109)</f>
        <v>0.03</v>
      </c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customFormat="false" ht="14.25" hidden="false" customHeight="true" outlineLevel="0" collapsed="false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customFormat="false" ht="14.25" hidden="false" customHeight="true" outlineLevel="0" collapsed="false">
      <c r="A91" s="37" t="s">
        <v>172</v>
      </c>
      <c r="B91" s="37" t="s">
        <v>61</v>
      </c>
      <c r="C91" s="37" t="s">
        <v>62</v>
      </c>
      <c r="D91" s="37" t="s">
        <v>63</v>
      </c>
      <c r="E91" s="37" t="s">
        <v>64</v>
      </c>
      <c r="F91" s="37" t="s">
        <v>65</v>
      </c>
      <c r="G91" s="37" t="s">
        <v>66</v>
      </c>
      <c r="H91" s="37" t="s">
        <v>67</v>
      </c>
      <c r="I91" s="37" t="s">
        <v>68</v>
      </c>
      <c r="J91" s="37" t="s">
        <v>69</v>
      </c>
      <c r="K91" s="37" t="s">
        <v>70</v>
      </c>
      <c r="L91" s="37" t="s">
        <v>71</v>
      </c>
      <c r="M91" s="37" t="s">
        <v>72</v>
      </c>
      <c r="N91" s="37" t="s">
        <v>73</v>
      </c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customFormat="false" ht="14.25" hidden="false" customHeight="true" outlineLevel="0" collapsed="false">
      <c r="A92" s="14" t="s">
        <v>173</v>
      </c>
      <c r="B92" s="38" t="n">
        <f aca="false">B12</f>
        <v>0.12</v>
      </c>
      <c r="C92" s="38" t="n">
        <f aca="false">C12</f>
        <v>0.09</v>
      </c>
      <c r="D92" s="38" t="n">
        <f aca="false">D12</f>
        <v>0.08</v>
      </c>
      <c r="E92" s="38" t="n">
        <f aca="false">E12</f>
        <v>0.075</v>
      </c>
      <c r="F92" s="38" t="n">
        <f aca="false">F12</f>
        <v>0.07</v>
      </c>
      <c r="G92" s="38" t="n">
        <f aca="false">G12</f>
        <v>0.07</v>
      </c>
      <c r="H92" s="38" t="n">
        <f aca="false">H12</f>
        <v>0.075</v>
      </c>
      <c r="I92" s="38" t="n">
        <f aca="false">I12</f>
        <v>0.075</v>
      </c>
      <c r="J92" s="38" t="n">
        <f aca="false">J12</f>
        <v>0.075</v>
      </c>
      <c r="K92" s="38" t="n">
        <f aca="false">K12</f>
        <v>0.075</v>
      </c>
      <c r="L92" s="38" t="n">
        <f aca="false">L12</f>
        <v>0.075</v>
      </c>
      <c r="M92" s="38" t="n">
        <f aca="false">M12</f>
        <v>0.12</v>
      </c>
      <c r="N92" s="38" t="n">
        <f aca="false">SUM(B92:M92)</f>
        <v>1</v>
      </c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customFormat="false" ht="14.25" hidden="false" customHeight="true" outlineLevel="0" collapsed="false">
      <c r="A93" s="14" t="s">
        <v>174</v>
      </c>
      <c r="B93" s="38" t="n">
        <v>0</v>
      </c>
      <c r="C93" s="38" t="n">
        <f aca="false">MAX(0,$B$83-C92)</f>
        <v>0</v>
      </c>
      <c r="D93" s="38" t="n">
        <f aca="false">MAX(0,$B$83-D92)</f>
        <v>0.01</v>
      </c>
      <c r="E93" s="38" t="n">
        <f aca="false">MAX(0,$B$83-E92)</f>
        <v>0.015</v>
      </c>
      <c r="F93" s="38" t="n">
        <f aca="false">MAX(0,$B$83-F92)</f>
        <v>0.02</v>
      </c>
      <c r="G93" s="38" t="n">
        <f aca="false">MAX(0,$B$83-G92)</f>
        <v>0.02</v>
      </c>
      <c r="H93" s="38" t="n">
        <f aca="false">MAX(0,$B$83-H92)</f>
        <v>0.015</v>
      </c>
      <c r="I93" s="38" t="n">
        <f aca="false">MAX(0,$B$83-I92)</f>
        <v>0.015</v>
      </c>
      <c r="J93" s="38" t="n">
        <f aca="false">MAX(0,$B$83-J92)</f>
        <v>0.015</v>
      </c>
      <c r="K93" s="38" t="n">
        <f aca="false">MAX(0,$B$83-K92)</f>
        <v>0.015</v>
      </c>
      <c r="L93" s="38" t="n">
        <f aca="false">MAX(0,$B$83-L92)</f>
        <v>0.015</v>
      </c>
      <c r="M93" s="38" t="n">
        <v>0</v>
      </c>
      <c r="N93" s="38" t="n">
        <f aca="false">SUM(B93:M93)</f>
        <v>0.14</v>
      </c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customFormat="false" ht="14.25" hidden="false" customHeight="true" outlineLevel="0" collapsed="false">
      <c r="A94" s="14" t="s">
        <v>175</v>
      </c>
      <c r="B94" s="38" t="n">
        <v>0</v>
      </c>
      <c r="C94" s="38" t="n">
        <f aca="false">MIN(C93,MAX(0,$E$86-SUM(D93:L93)))</f>
        <v>0</v>
      </c>
      <c r="D94" s="38" t="n">
        <f aca="false">MIN(D93,MAX(0,$E$86-SUM(E93:L93)))</f>
        <v>0</v>
      </c>
      <c r="E94" s="38" t="n">
        <f aca="false">MIN(E93,MAX(0,$E$86-SUM(F93:L93)))</f>
        <v>0</v>
      </c>
      <c r="F94" s="38" t="n">
        <f aca="false">MIN(F93,MAX(0,$E$86-SUM(G93:L93)))</f>
        <v>0</v>
      </c>
      <c r="G94" s="38" t="n">
        <f aca="false">MIN(G93,MAX(0,$E$86-SUM(H93:L93)))</f>
        <v>0</v>
      </c>
      <c r="H94" s="38" t="n">
        <f aca="false">MIN(H93,MAX(0,$E$86-SUM(I93:L93)))</f>
        <v>0</v>
      </c>
      <c r="I94" s="38" t="n">
        <f aca="false">MIN(I93,MAX(0,$E$86-SUM(J93:L93)))</f>
        <v>0.0149999999999999</v>
      </c>
      <c r="J94" s="38" t="n">
        <f aca="false">MIN(J93,MAX(0,$E$86-SUM(K93:L93)))</f>
        <v>0.015</v>
      </c>
      <c r="K94" s="38" t="n">
        <f aca="false">MIN(K93,MAX(0,$E$86-SUM(L93)))</f>
        <v>0.015</v>
      </c>
      <c r="L94" s="38" t="n">
        <f aca="false">MIN(L93,MAX(0,$E$86-0))</f>
        <v>0.015</v>
      </c>
      <c r="M94" s="38" t="n">
        <v>0</v>
      </c>
      <c r="N94" s="38" t="n">
        <f aca="false">SUM(B94:M94)</f>
        <v>0.06</v>
      </c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customFormat="false" ht="14.25" hidden="false" customHeight="true" outlineLevel="0" collapsed="false">
      <c r="A95" s="34" t="s">
        <v>176</v>
      </c>
      <c r="B95" s="35" t="n">
        <f aca="false">MIN(B92,$B$83)</f>
        <v>0.09</v>
      </c>
      <c r="C95" s="35" t="n">
        <f aca="false">C92+C94</f>
        <v>0.09</v>
      </c>
      <c r="D95" s="35" t="n">
        <f aca="false">D92+D94</f>
        <v>0.08</v>
      </c>
      <c r="E95" s="35" t="n">
        <f aca="false">E92+E94</f>
        <v>0.075</v>
      </c>
      <c r="F95" s="35" t="n">
        <f aca="false">F92+F94</f>
        <v>0.07</v>
      </c>
      <c r="G95" s="35" t="n">
        <f aca="false">G92+G94</f>
        <v>0.07</v>
      </c>
      <c r="H95" s="35" t="n">
        <f aca="false">H92+H94</f>
        <v>0.075</v>
      </c>
      <c r="I95" s="35" t="n">
        <f aca="false">I92+I94</f>
        <v>0.0899999999999999</v>
      </c>
      <c r="J95" s="35" t="n">
        <f aca="false">J92+J94</f>
        <v>0.09</v>
      </c>
      <c r="K95" s="35" t="n">
        <f aca="false">K92+K94</f>
        <v>0.09</v>
      </c>
      <c r="L95" s="35" t="n">
        <f aca="false">L92+L94</f>
        <v>0.09</v>
      </c>
      <c r="M95" s="35" t="n">
        <f aca="false">MIN(M92,$B$83)</f>
        <v>0.09</v>
      </c>
      <c r="N95" s="40" t="n">
        <f aca="false">SUM(B95:M95)</f>
        <v>1</v>
      </c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customFormat="false" ht="14.25" hidden="false" customHeight="true" outlineLevel="0" collapsed="false">
      <c r="A96" s="37" t="s">
        <v>177</v>
      </c>
      <c r="B96" s="37" t="s">
        <v>61</v>
      </c>
      <c r="C96" s="37" t="s">
        <v>62</v>
      </c>
      <c r="D96" s="37" t="s">
        <v>63</v>
      </c>
      <c r="E96" s="37" t="s">
        <v>64</v>
      </c>
      <c r="F96" s="37" t="s">
        <v>65</v>
      </c>
      <c r="G96" s="37" t="s">
        <v>66</v>
      </c>
      <c r="H96" s="37" t="s">
        <v>67</v>
      </c>
      <c r="I96" s="37" t="s">
        <v>68</v>
      </c>
      <c r="J96" s="37" t="s">
        <v>69</v>
      </c>
      <c r="K96" s="37" t="s">
        <v>70</v>
      </c>
      <c r="L96" s="37" t="s">
        <v>71</v>
      </c>
      <c r="M96" s="37" t="s">
        <v>72</v>
      </c>
      <c r="N96" s="37" t="s">
        <v>73</v>
      </c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customFormat="false" ht="14.25" hidden="false" customHeight="true" outlineLevel="0" collapsed="false">
      <c r="A97" s="14" t="s">
        <v>173</v>
      </c>
      <c r="B97" s="38" t="n">
        <f aca="false">B13</f>
        <v>0.1</v>
      </c>
      <c r="C97" s="38" t="n">
        <f aca="false">C13</f>
        <v>0.08</v>
      </c>
      <c r="D97" s="38" t="n">
        <f aca="false">D13</f>
        <v>0.085</v>
      </c>
      <c r="E97" s="38" t="n">
        <f aca="false">E13</f>
        <v>0.085</v>
      </c>
      <c r="F97" s="38" t="n">
        <f aca="false">F13</f>
        <v>0.08</v>
      </c>
      <c r="G97" s="38" t="n">
        <f aca="false">G13</f>
        <v>0.075</v>
      </c>
      <c r="H97" s="38" t="n">
        <f aca="false">H13</f>
        <v>0.08</v>
      </c>
      <c r="I97" s="38" t="n">
        <f aca="false">I13</f>
        <v>0.08</v>
      </c>
      <c r="J97" s="38" t="n">
        <f aca="false">J13</f>
        <v>0.08</v>
      </c>
      <c r="K97" s="38" t="n">
        <f aca="false">K13</f>
        <v>0.075</v>
      </c>
      <c r="L97" s="38" t="n">
        <f aca="false">L13</f>
        <v>0.07</v>
      </c>
      <c r="M97" s="38" t="n">
        <f aca="false">M13</f>
        <v>0.11</v>
      </c>
      <c r="N97" s="38" t="n">
        <f aca="false">SUM(B97:M97)</f>
        <v>1</v>
      </c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customFormat="false" ht="14.25" hidden="false" customHeight="true" outlineLevel="0" collapsed="false">
      <c r="A98" s="14" t="s">
        <v>174</v>
      </c>
      <c r="B98" s="38" t="n">
        <v>0</v>
      </c>
      <c r="C98" s="38" t="n">
        <f aca="false">MAX(0,$B$83-C97)</f>
        <v>0.01</v>
      </c>
      <c r="D98" s="38" t="n">
        <f aca="false">MAX(0,$B$83-D97)</f>
        <v>0.005</v>
      </c>
      <c r="E98" s="38" t="n">
        <f aca="false">MAX(0,$B$83-E97)</f>
        <v>0.005</v>
      </c>
      <c r="F98" s="38" t="n">
        <f aca="false">MAX(0,$B$83-F97)</f>
        <v>0.01</v>
      </c>
      <c r="G98" s="38" t="n">
        <f aca="false">MAX(0,$B$83-G97)</f>
        <v>0.015</v>
      </c>
      <c r="H98" s="38" t="n">
        <f aca="false">MAX(0,$B$83-H97)</f>
        <v>0.01</v>
      </c>
      <c r="I98" s="38" t="n">
        <f aca="false">MAX(0,$B$83-I97)</f>
        <v>0.01</v>
      </c>
      <c r="J98" s="38" t="n">
        <f aca="false">MAX(0,$B$83-J97)</f>
        <v>0.01</v>
      </c>
      <c r="K98" s="38" t="n">
        <f aca="false">MAX(0,$B$83-K97)</f>
        <v>0.015</v>
      </c>
      <c r="L98" s="38" t="n">
        <f aca="false">MAX(0,$B$83-L97)</f>
        <v>0.02</v>
      </c>
      <c r="M98" s="38" t="n">
        <v>0</v>
      </c>
      <c r="N98" s="38" t="n">
        <f aca="false">SUM(B98:M98)</f>
        <v>0.11</v>
      </c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customFormat="false" ht="14.25" hidden="false" customHeight="true" outlineLevel="0" collapsed="false">
      <c r="A99" s="14" t="s">
        <v>175</v>
      </c>
      <c r="B99" s="38" t="n">
        <v>0</v>
      </c>
      <c r="C99" s="38" t="n">
        <f aca="false">MIN(C98,MAX(0,$E$87-SUM(D98:L98)))</f>
        <v>0</v>
      </c>
      <c r="D99" s="38" t="n">
        <f aca="false">MIN(D98,MAX(0,$E$87-SUM(E98:L98)))</f>
        <v>0</v>
      </c>
      <c r="E99" s="38" t="n">
        <f aca="false">MIN(E98,MAX(0,$E$87-SUM(F98:L98)))</f>
        <v>0</v>
      </c>
      <c r="F99" s="38" t="n">
        <f aca="false">MIN(F98,MAX(0,$E$87-SUM(G98:L98)))</f>
        <v>0</v>
      </c>
      <c r="G99" s="38" t="n">
        <f aca="false">MIN(G98,MAX(0,$E$87-SUM(H98:L98)))</f>
        <v>0</v>
      </c>
      <c r="H99" s="38" t="n">
        <f aca="false">MIN(H98,MAX(0,$E$87-SUM(I98:L98)))</f>
        <v>0</v>
      </c>
      <c r="I99" s="38" t="n">
        <f aca="false">MIN(I98,MAX(0,$E$87-SUM(J98:L98)))</f>
        <v>0</v>
      </c>
      <c r="J99" s="38" t="n">
        <f aca="false">MIN(J98,MAX(0,$E$87-SUM(K98:L98)))</f>
        <v>0</v>
      </c>
      <c r="K99" s="38" t="n">
        <f aca="false">MIN(K98,MAX(0,$E$87-SUM(L98)))</f>
        <v>0.00999999999999998</v>
      </c>
      <c r="L99" s="38" t="n">
        <f aca="false">MIN(L98,MAX(0,$E$87-0))</f>
        <v>0.02</v>
      </c>
      <c r="M99" s="38" t="n">
        <v>0</v>
      </c>
      <c r="N99" s="38" t="n">
        <f aca="false">SUM(B99:M99)</f>
        <v>0.03</v>
      </c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customFormat="false" ht="14.25" hidden="false" customHeight="true" outlineLevel="0" collapsed="false">
      <c r="A100" s="34" t="s">
        <v>176</v>
      </c>
      <c r="B100" s="35" t="n">
        <f aca="false">MIN(B97,$B$83)</f>
        <v>0.09</v>
      </c>
      <c r="C100" s="35" t="n">
        <f aca="false">C97+C99</f>
        <v>0.08</v>
      </c>
      <c r="D100" s="35" t="n">
        <f aca="false">D97+D99</f>
        <v>0.085</v>
      </c>
      <c r="E100" s="35" t="n">
        <f aca="false">E97+E99</f>
        <v>0.085</v>
      </c>
      <c r="F100" s="35" t="n">
        <f aca="false">F97+F99</f>
        <v>0.08</v>
      </c>
      <c r="G100" s="35" t="n">
        <f aca="false">G97+G99</f>
        <v>0.075</v>
      </c>
      <c r="H100" s="35" t="n">
        <f aca="false">H97+H99</f>
        <v>0.08</v>
      </c>
      <c r="I100" s="35" t="n">
        <f aca="false">I97+I99</f>
        <v>0.08</v>
      </c>
      <c r="J100" s="35" t="n">
        <f aca="false">J97+J99</f>
        <v>0.08</v>
      </c>
      <c r="K100" s="35" t="n">
        <f aca="false">K97+K99</f>
        <v>0.085</v>
      </c>
      <c r="L100" s="35" t="n">
        <f aca="false">L97+L99</f>
        <v>0.09</v>
      </c>
      <c r="M100" s="35" t="n">
        <f aca="false">MIN(M97,$B$83)</f>
        <v>0.09</v>
      </c>
      <c r="N100" s="40" t="n">
        <f aca="false">SUM(B100:M100)</f>
        <v>1</v>
      </c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customFormat="false" ht="14.25" hidden="false" customHeight="true" outlineLevel="0" collapsed="false">
      <c r="A101" s="37" t="s">
        <v>178</v>
      </c>
      <c r="B101" s="37" t="s">
        <v>61</v>
      </c>
      <c r="C101" s="37" t="s">
        <v>62</v>
      </c>
      <c r="D101" s="37" t="s">
        <v>63</v>
      </c>
      <c r="E101" s="37" t="s">
        <v>64</v>
      </c>
      <c r="F101" s="37" t="s">
        <v>65</v>
      </c>
      <c r="G101" s="37" t="s">
        <v>66</v>
      </c>
      <c r="H101" s="37" t="s">
        <v>67</v>
      </c>
      <c r="I101" s="37" t="s">
        <v>68</v>
      </c>
      <c r="J101" s="37" t="s">
        <v>69</v>
      </c>
      <c r="K101" s="37" t="s">
        <v>70</v>
      </c>
      <c r="L101" s="37" t="s">
        <v>71</v>
      </c>
      <c r="M101" s="37" t="s">
        <v>72</v>
      </c>
      <c r="N101" s="37" t="s">
        <v>73</v>
      </c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customFormat="false" ht="14.25" hidden="false" customHeight="true" outlineLevel="0" collapsed="false">
      <c r="A102" s="14" t="s">
        <v>173</v>
      </c>
      <c r="B102" s="38" t="n">
        <f aca="false">B14</f>
        <v>0.1</v>
      </c>
      <c r="C102" s="38" t="n">
        <f aca="false">C14</f>
        <v>0.08</v>
      </c>
      <c r="D102" s="38" t="n">
        <f aca="false">D14</f>
        <v>0.085</v>
      </c>
      <c r="E102" s="38" t="n">
        <f aca="false">E14</f>
        <v>0.085</v>
      </c>
      <c r="F102" s="38" t="n">
        <f aca="false">F14</f>
        <v>0.08</v>
      </c>
      <c r="G102" s="38" t="n">
        <f aca="false">G14</f>
        <v>0.075</v>
      </c>
      <c r="H102" s="38" t="n">
        <f aca="false">H14</f>
        <v>0.08</v>
      </c>
      <c r="I102" s="38" t="n">
        <f aca="false">I14</f>
        <v>0.08</v>
      </c>
      <c r="J102" s="38" t="n">
        <f aca="false">J14</f>
        <v>0.08</v>
      </c>
      <c r="K102" s="38" t="n">
        <f aca="false">K14</f>
        <v>0.075</v>
      </c>
      <c r="L102" s="38" t="n">
        <f aca="false">L14</f>
        <v>0.07</v>
      </c>
      <c r="M102" s="38" t="n">
        <f aca="false">M14</f>
        <v>0.11</v>
      </c>
      <c r="N102" s="38" t="n">
        <f aca="false">SUM(B102:M102)</f>
        <v>1</v>
      </c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customFormat="false" ht="14.25" hidden="false" customHeight="true" outlineLevel="0" collapsed="false">
      <c r="A103" s="14" t="s">
        <v>174</v>
      </c>
      <c r="B103" s="38" t="n">
        <v>0</v>
      </c>
      <c r="C103" s="38" t="n">
        <f aca="false">MAX(0,$B$83-C102)</f>
        <v>0.01</v>
      </c>
      <c r="D103" s="38" t="n">
        <f aca="false">MAX(0,$B$83-D102)</f>
        <v>0.005</v>
      </c>
      <c r="E103" s="38" t="n">
        <f aca="false">MAX(0,$B$83-E102)</f>
        <v>0.005</v>
      </c>
      <c r="F103" s="38" t="n">
        <f aca="false">MAX(0,$B$83-F102)</f>
        <v>0.01</v>
      </c>
      <c r="G103" s="38" t="n">
        <f aca="false">MAX(0,$B$83-G102)</f>
        <v>0.015</v>
      </c>
      <c r="H103" s="38" t="n">
        <f aca="false">MAX(0,$B$83-H102)</f>
        <v>0.01</v>
      </c>
      <c r="I103" s="38" t="n">
        <f aca="false">MAX(0,$B$83-I102)</f>
        <v>0.01</v>
      </c>
      <c r="J103" s="38" t="n">
        <f aca="false">MAX(0,$B$83-J102)</f>
        <v>0.01</v>
      </c>
      <c r="K103" s="38" t="n">
        <f aca="false">MAX(0,$B$83-K102)</f>
        <v>0.015</v>
      </c>
      <c r="L103" s="38" t="n">
        <f aca="false">MAX(0,$B$83-L102)</f>
        <v>0.02</v>
      </c>
      <c r="M103" s="38" t="n">
        <v>0</v>
      </c>
      <c r="N103" s="38" t="n">
        <f aca="false">SUM(B103:M103)</f>
        <v>0.11</v>
      </c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customFormat="false" ht="14.25" hidden="false" customHeight="true" outlineLevel="0" collapsed="false">
      <c r="A104" s="14" t="s">
        <v>175</v>
      </c>
      <c r="B104" s="38" t="n">
        <v>0</v>
      </c>
      <c r="C104" s="38" t="n">
        <f aca="false">MIN(C103,MAX(0,$E$88-SUM(D103:L103)))</f>
        <v>0</v>
      </c>
      <c r="D104" s="38" t="n">
        <f aca="false">MIN(D103,MAX(0,$E$88-SUM(E103:L103)))</f>
        <v>0</v>
      </c>
      <c r="E104" s="38" t="n">
        <f aca="false">MIN(E103,MAX(0,$E$88-SUM(F103:L103)))</f>
        <v>0</v>
      </c>
      <c r="F104" s="38" t="n">
        <f aca="false">MIN(F103,MAX(0,$E$88-SUM(G103:L103)))</f>
        <v>0</v>
      </c>
      <c r="G104" s="38" t="n">
        <f aca="false">MIN(G103,MAX(0,$E$88-SUM(H103:L103)))</f>
        <v>0</v>
      </c>
      <c r="H104" s="38" t="n">
        <f aca="false">MIN(H103,MAX(0,$E$88-SUM(I103:L103)))</f>
        <v>0</v>
      </c>
      <c r="I104" s="38" t="n">
        <f aca="false">MIN(I103,MAX(0,$E$88-SUM(J103:L103)))</f>
        <v>0</v>
      </c>
      <c r="J104" s="38" t="n">
        <f aca="false">MIN(J103,MAX(0,$E$88-SUM(K103:L103)))</f>
        <v>0</v>
      </c>
      <c r="K104" s="38" t="n">
        <f aca="false">MIN(K103,MAX(0,$E$88-SUM(L103)))</f>
        <v>0.00999999999999998</v>
      </c>
      <c r="L104" s="38" t="n">
        <f aca="false">MIN(L103,MAX(0,$E$88-0))</f>
        <v>0.02</v>
      </c>
      <c r="M104" s="38" t="n">
        <v>0</v>
      </c>
      <c r="N104" s="38" t="n">
        <f aca="false">SUM(B104:M104)</f>
        <v>0.03</v>
      </c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customFormat="false" ht="14.25" hidden="false" customHeight="true" outlineLevel="0" collapsed="false">
      <c r="A105" s="34" t="s">
        <v>176</v>
      </c>
      <c r="B105" s="35" t="n">
        <f aca="false">MIN(B102,$B$83)</f>
        <v>0.09</v>
      </c>
      <c r="C105" s="35" t="n">
        <f aca="false">C102+C104</f>
        <v>0.08</v>
      </c>
      <c r="D105" s="35" t="n">
        <f aca="false">D102+D104</f>
        <v>0.085</v>
      </c>
      <c r="E105" s="35" t="n">
        <f aca="false">E102+E104</f>
        <v>0.085</v>
      </c>
      <c r="F105" s="35" t="n">
        <f aca="false">F102+F104</f>
        <v>0.08</v>
      </c>
      <c r="G105" s="35" t="n">
        <f aca="false">G102+G104</f>
        <v>0.075</v>
      </c>
      <c r="H105" s="35" t="n">
        <f aca="false">H102+H104</f>
        <v>0.08</v>
      </c>
      <c r="I105" s="35" t="n">
        <f aca="false">I102+I104</f>
        <v>0.08</v>
      </c>
      <c r="J105" s="35" t="n">
        <f aca="false">J102+J104</f>
        <v>0.08</v>
      </c>
      <c r="K105" s="35" t="n">
        <f aca="false">K102+K104</f>
        <v>0.085</v>
      </c>
      <c r="L105" s="35" t="n">
        <f aca="false">L102+L104</f>
        <v>0.09</v>
      </c>
      <c r="M105" s="35" t="n">
        <f aca="false">MIN(M102,$B$83)</f>
        <v>0.09</v>
      </c>
      <c r="N105" s="40" t="n">
        <f aca="false">SUM(B105:M105)</f>
        <v>1</v>
      </c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customFormat="false" ht="14.25" hidden="false" customHeight="true" outlineLevel="0" collapsed="false">
      <c r="A106" s="37" t="s">
        <v>179</v>
      </c>
      <c r="B106" s="37" t="s">
        <v>61</v>
      </c>
      <c r="C106" s="37" t="s">
        <v>62</v>
      </c>
      <c r="D106" s="37" t="s">
        <v>63</v>
      </c>
      <c r="E106" s="37" t="s">
        <v>64</v>
      </c>
      <c r="F106" s="37" t="s">
        <v>65</v>
      </c>
      <c r="G106" s="37" t="s">
        <v>66</v>
      </c>
      <c r="H106" s="37" t="s">
        <v>67</v>
      </c>
      <c r="I106" s="37" t="s">
        <v>68</v>
      </c>
      <c r="J106" s="37" t="s">
        <v>69</v>
      </c>
      <c r="K106" s="37" t="s">
        <v>70</v>
      </c>
      <c r="L106" s="37" t="s">
        <v>71</v>
      </c>
      <c r="M106" s="37" t="s">
        <v>72</v>
      </c>
      <c r="N106" s="37" t="s">
        <v>73</v>
      </c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customFormat="false" ht="14.25" hidden="false" customHeight="true" outlineLevel="0" collapsed="false">
      <c r="A107" s="14" t="s">
        <v>173</v>
      </c>
      <c r="B107" s="38" t="n">
        <f aca="false">B15</f>
        <v>0.1</v>
      </c>
      <c r="C107" s="38" t="n">
        <f aca="false">C15</f>
        <v>0.08</v>
      </c>
      <c r="D107" s="38" t="n">
        <f aca="false">D15</f>
        <v>0.085</v>
      </c>
      <c r="E107" s="38" t="n">
        <f aca="false">E15</f>
        <v>0.085</v>
      </c>
      <c r="F107" s="38" t="n">
        <f aca="false">F15</f>
        <v>0.08</v>
      </c>
      <c r="G107" s="38" t="n">
        <f aca="false">G15</f>
        <v>0.075</v>
      </c>
      <c r="H107" s="38" t="n">
        <f aca="false">H15</f>
        <v>0.08</v>
      </c>
      <c r="I107" s="38" t="n">
        <f aca="false">I15</f>
        <v>0.08</v>
      </c>
      <c r="J107" s="38" t="n">
        <f aca="false">J15</f>
        <v>0.08</v>
      </c>
      <c r="K107" s="38" t="n">
        <f aca="false">K15</f>
        <v>0.075</v>
      </c>
      <c r="L107" s="38" t="n">
        <f aca="false">L15</f>
        <v>0.07</v>
      </c>
      <c r="M107" s="38" t="n">
        <f aca="false">M15</f>
        <v>0.11</v>
      </c>
      <c r="N107" s="38" t="n">
        <f aca="false">SUM(B107:M107)</f>
        <v>1</v>
      </c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customFormat="false" ht="14.25" hidden="false" customHeight="true" outlineLevel="0" collapsed="false">
      <c r="A108" s="14" t="s">
        <v>174</v>
      </c>
      <c r="B108" s="38" t="n">
        <v>0</v>
      </c>
      <c r="C108" s="38" t="n">
        <f aca="false">MAX(0,$B$83-C107)</f>
        <v>0.01</v>
      </c>
      <c r="D108" s="38" t="n">
        <f aca="false">MAX(0,$B$83-D107)</f>
        <v>0.005</v>
      </c>
      <c r="E108" s="38" t="n">
        <f aca="false">MAX(0,$B$83-E107)</f>
        <v>0.005</v>
      </c>
      <c r="F108" s="38" t="n">
        <f aca="false">MAX(0,$B$83-F107)</f>
        <v>0.01</v>
      </c>
      <c r="G108" s="38" t="n">
        <f aca="false">MAX(0,$B$83-G107)</f>
        <v>0.015</v>
      </c>
      <c r="H108" s="38" t="n">
        <f aca="false">MAX(0,$B$83-H107)</f>
        <v>0.01</v>
      </c>
      <c r="I108" s="38" t="n">
        <f aca="false">MAX(0,$B$83-I107)</f>
        <v>0.01</v>
      </c>
      <c r="J108" s="38" t="n">
        <f aca="false">MAX(0,$B$83-J107)</f>
        <v>0.01</v>
      </c>
      <c r="K108" s="38" t="n">
        <f aca="false">MAX(0,$B$83-K107)</f>
        <v>0.015</v>
      </c>
      <c r="L108" s="38" t="n">
        <f aca="false">MAX(0,$B$83-L107)</f>
        <v>0.02</v>
      </c>
      <c r="M108" s="38" t="n">
        <v>0</v>
      </c>
      <c r="N108" s="38" t="n">
        <f aca="false">SUM(B108:M108)</f>
        <v>0.11</v>
      </c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customFormat="false" ht="14.25" hidden="false" customHeight="true" outlineLevel="0" collapsed="false">
      <c r="A109" s="14" t="s">
        <v>175</v>
      </c>
      <c r="B109" s="38" t="n">
        <v>0</v>
      </c>
      <c r="C109" s="38" t="n">
        <f aca="false">MIN(C108,MAX(0,$E$89-SUM(D108:L108)))</f>
        <v>0</v>
      </c>
      <c r="D109" s="38" t="n">
        <f aca="false">MIN(D108,MAX(0,$E$89-SUM(E108:L108)))</f>
        <v>0</v>
      </c>
      <c r="E109" s="38" t="n">
        <f aca="false">MIN(E108,MAX(0,$E$89-SUM(F108:L108)))</f>
        <v>0</v>
      </c>
      <c r="F109" s="38" t="n">
        <f aca="false">MIN(F108,MAX(0,$E$89-SUM(G108:L108)))</f>
        <v>0</v>
      </c>
      <c r="G109" s="38" t="n">
        <f aca="false">MIN(G108,MAX(0,$E$89-SUM(H108:L108)))</f>
        <v>0</v>
      </c>
      <c r="H109" s="38" t="n">
        <f aca="false">MIN(H108,MAX(0,$E$89-SUM(I108:L108)))</f>
        <v>0</v>
      </c>
      <c r="I109" s="38" t="n">
        <f aca="false">MIN(I108,MAX(0,$E$89-SUM(J108:L108)))</f>
        <v>0</v>
      </c>
      <c r="J109" s="38" t="n">
        <f aca="false">MIN(J108,MAX(0,$E$89-SUM(K108:L108)))</f>
        <v>0</v>
      </c>
      <c r="K109" s="38" t="n">
        <f aca="false">MIN(K108,MAX(0,$E$89-SUM(L108)))</f>
        <v>0.00999999999999998</v>
      </c>
      <c r="L109" s="38" t="n">
        <f aca="false">MIN(L108,MAX(0,$E$89-0))</f>
        <v>0.02</v>
      </c>
      <c r="M109" s="38" t="n">
        <v>0</v>
      </c>
      <c r="N109" s="38" t="n">
        <f aca="false">SUM(B109:M109)</f>
        <v>0.03</v>
      </c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customFormat="false" ht="14.25" hidden="false" customHeight="true" outlineLevel="0" collapsed="false">
      <c r="A110" s="34" t="s">
        <v>176</v>
      </c>
      <c r="B110" s="35" t="n">
        <f aca="false">MIN(B107,$B$83)</f>
        <v>0.09</v>
      </c>
      <c r="C110" s="35" t="n">
        <f aca="false">C107+C109</f>
        <v>0.08</v>
      </c>
      <c r="D110" s="35" t="n">
        <f aca="false">D107+D109</f>
        <v>0.085</v>
      </c>
      <c r="E110" s="35" t="n">
        <f aca="false">E107+E109</f>
        <v>0.085</v>
      </c>
      <c r="F110" s="35" t="n">
        <f aca="false">F107+F109</f>
        <v>0.08</v>
      </c>
      <c r="G110" s="35" t="n">
        <f aca="false">G107+G109</f>
        <v>0.075</v>
      </c>
      <c r="H110" s="35" t="n">
        <f aca="false">H107+H109</f>
        <v>0.08</v>
      </c>
      <c r="I110" s="35" t="n">
        <f aca="false">I107+I109</f>
        <v>0.08</v>
      </c>
      <c r="J110" s="35" t="n">
        <f aca="false">J107+J109</f>
        <v>0.08</v>
      </c>
      <c r="K110" s="35" t="n">
        <f aca="false">K107+K109</f>
        <v>0.085</v>
      </c>
      <c r="L110" s="35" t="n">
        <f aca="false">L107+L109</f>
        <v>0.09</v>
      </c>
      <c r="M110" s="35" t="n">
        <f aca="false">MIN(M107,$B$83)</f>
        <v>0.09</v>
      </c>
      <c r="N110" s="40" t="n">
        <f aca="false">SUM(B110:M110)</f>
        <v>1</v>
      </c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customFormat="false" ht="14.25" hidden="false" customHeight="true" outlineLevel="0" collapsed="false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customFormat="false" ht="14.25" hidden="false" customHeight="true" outlineLevel="0" collapsed="false">
      <c r="A112" s="33" t="s">
        <v>180</v>
      </c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customFormat="false" ht="14.25" hidden="false" customHeight="true" outlineLevel="0" collapsed="false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customFormat="false" ht="14.25" hidden="false" customHeight="true" outlineLevel="0" collapsed="false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customFormat="false" ht="14.25" hidden="false" customHeight="true" outlineLevel="0" collapsed="false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customFormat="false" ht="14.25" hidden="false" customHeight="true" outlineLevel="0" collapsed="false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customFormat="false" ht="14.25" hidden="false" customHeight="true" outlineLevel="0" collapsed="false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customFormat="false" ht="14.25" hidden="false" customHeight="true" outlineLevel="0" collapsed="false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customFormat="false" ht="14.25" hidden="false" customHeight="true" outlineLevel="0" collapsed="false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customFormat="false" ht="14.25" hidden="false" customHeight="true" outlineLevel="0" collapsed="false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customFormat="false" ht="14.25" hidden="false" customHeight="true" outlineLevel="0" collapsed="false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customFormat="false" ht="14.25" hidden="false" customHeight="true" outlineLevel="0" collapsed="false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customFormat="false" ht="14.25" hidden="false" customHeight="true" outlineLevel="0" collapsed="false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customFormat="false" ht="14.25" hidden="false" customHeight="true" outlineLevel="0" collapsed="false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customFormat="false" ht="14.25" hidden="false" customHeight="true" outlineLevel="0" collapsed="false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customFormat="false" ht="14.25" hidden="false" customHeight="true" outlineLevel="0" collapsed="false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customFormat="false" ht="14.25" hidden="false" customHeight="true" outlineLevel="0" collapsed="false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customFormat="false" ht="14.25" hidden="false" customHeight="true" outlineLevel="0" collapsed="false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customFormat="false" ht="14.25" hidden="false" customHeight="true" outlineLevel="0" collapsed="false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customFormat="false" ht="14.25" hidden="false" customHeight="true" outlineLevel="0" collapsed="false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customFormat="false" ht="14.25" hidden="false" customHeight="true" outlineLevel="0" collapsed="false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customFormat="false" ht="14.25" hidden="false" customHeight="true" outlineLevel="0" collapsed="false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customFormat="false" ht="14.25" hidden="false" customHeight="true" outlineLevel="0" collapsed="false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customFormat="false" ht="14.25" hidden="false" customHeight="true" outlineLevel="0" collapsed="false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customFormat="false" ht="14.25" hidden="false" customHeight="true" outlineLevel="0" collapsed="false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customFormat="false" ht="14.25" hidden="false" customHeight="true" outlineLevel="0" collapsed="false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customFormat="false" ht="14.25" hidden="false" customHeight="true" outlineLevel="0" collapsed="false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customFormat="false" ht="14.25" hidden="false" customHeight="true" outlineLevel="0" collapsed="false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customFormat="false" ht="14.25" hidden="false" customHeight="true" outlineLevel="0" collapsed="false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customFormat="false" ht="14.25" hidden="false" customHeight="true" outlineLevel="0" collapsed="false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customFormat="false" ht="14.25" hidden="false" customHeight="true" outlineLevel="0" collapsed="false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customFormat="false" ht="14.25" hidden="false" customHeight="true" outlineLevel="0" collapsed="false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customFormat="false" ht="14.25" hidden="false" customHeight="true" outlineLevel="0" collapsed="false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customFormat="false" ht="14.25" hidden="false" customHeight="true" outlineLevel="0" collapsed="false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customFormat="false" ht="14.25" hidden="false" customHeight="true" outlineLevel="0" collapsed="false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customFormat="false" ht="14.25" hidden="false" customHeight="true" outlineLevel="0" collapsed="false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customFormat="false" ht="14.25" hidden="false" customHeight="true" outlineLevel="0" collapsed="false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customFormat="false" ht="14.25" hidden="false" customHeight="true" outlineLevel="0" collapsed="false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customFormat="false" ht="14.25" hidden="false" customHeight="true" outlineLevel="0" collapsed="false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customFormat="false" ht="14.25" hidden="false" customHeight="true" outlineLevel="0" collapsed="false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customFormat="false" ht="14.25" hidden="false" customHeight="true" outlineLevel="0" collapsed="false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customFormat="false" ht="14.25" hidden="false" customHeight="true" outlineLevel="0" collapsed="false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customFormat="false" ht="14.25" hidden="false" customHeight="true" outlineLevel="0" collapsed="false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customFormat="false" ht="14.25" hidden="false" customHeight="true" outlineLevel="0" collapsed="false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customFormat="false" ht="14.25" hidden="false" customHeight="true" outlineLevel="0" collapsed="false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customFormat="false" ht="14.25" hidden="false" customHeight="true" outlineLevel="0" collapsed="false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customFormat="false" ht="14.25" hidden="false" customHeight="true" outlineLevel="0" collapsed="false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customFormat="false" ht="14.25" hidden="false" customHeight="true" outlineLevel="0" collapsed="false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customFormat="false" ht="14.25" hidden="false" customHeight="true" outlineLevel="0" collapsed="false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customFormat="false" ht="14.25" hidden="false" customHeight="true" outlineLevel="0" collapsed="false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customFormat="false" ht="14.25" hidden="false" customHeight="true" outlineLevel="0" collapsed="false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customFormat="false" ht="14.25" hidden="false" customHeight="true" outlineLevel="0" collapsed="false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customFormat="false" ht="14.25" hidden="false" customHeight="true" outlineLevel="0" collapsed="false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customFormat="false" ht="14.25" hidden="false" customHeight="true" outlineLevel="0" collapsed="false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customFormat="false" ht="14.25" hidden="false" customHeight="true" outlineLevel="0" collapsed="false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customFormat="false" ht="14.25" hidden="false" customHeight="true" outlineLevel="0" collapsed="false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customFormat="false" ht="14.25" hidden="false" customHeight="true" outlineLevel="0" collapsed="false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customFormat="false" ht="14.25" hidden="false" customHeight="true" outlineLevel="0" collapsed="false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customFormat="false" ht="14.25" hidden="false" customHeight="true" outlineLevel="0" collapsed="false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customFormat="false" ht="14.25" hidden="false" customHeight="true" outlineLevel="0" collapsed="false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customFormat="false" ht="14.25" hidden="false" customHeight="true" outlineLevel="0" collapsed="false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customFormat="false" ht="14.25" hidden="false" customHeight="true" outlineLevel="0" collapsed="false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customFormat="false" ht="14.25" hidden="false" customHeight="true" outlineLevel="0" collapsed="false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customFormat="false" ht="14.25" hidden="false" customHeight="true" outlineLevel="0" collapsed="false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customFormat="false" ht="14.25" hidden="false" customHeight="true" outlineLevel="0" collapsed="false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customFormat="false" ht="14.25" hidden="false" customHeight="true" outlineLevel="0" collapsed="false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customFormat="false" ht="14.25" hidden="false" customHeight="true" outlineLevel="0" collapsed="false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customFormat="false" ht="14.25" hidden="false" customHeight="true" outlineLevel="0" collapsed="false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customFormat="false" ht="14.25" hidden="false" customHeight="true" outlineLevel="0" collapsed="false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customFormat="false" ht="14.25" hidden="false" customHeight="true" outlineLevel="0" collapsed="false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customFormat="false" ht="14.25" hidden="false" customHeight="true" outlineLevel="0" collapsed="false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customFormat="false" ht="14.25" hidden="false" customHeight="true" outlineLevel="0" collapsed="false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customFormat="false" ht="14.25" hidden="false" customHeight="true" outlineLevel="0" collapsed="false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customFormat="false" ht="14.25" hidden="false" customHeight="true" outlineLevel="0" collapsed="false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customFormat="false" ht="14.25" hidden="false" customHeight="true" outlineLevel="0" collapsed="false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customFormat="false" ht="14.25" hidden="false" customHeight="true" outlineLevel="0" collapsed="false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customFormat="false" ht="14.25" hidden="false" customHeight="true" outlineLevel="0" collapsed="false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customFormat="false" ht="14.25" hidden="false" customHeight="true" outlineLevel="0" collapsed="false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customFormat="false" ht="14.25" hidden="false" customHeight="true" outlineLevel="0" collapsed="false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customFormat="false" ht="14.25" hidden="false" customHeight="true" outlineLevel="0" collapsed="false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customFormat="false" ht="14.25" hidden="false" customHeight="true" outlineLevel="0" collapsed="false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customFormat="false" ht="14.25" hidden="false" customHeight="true" outlineLevel="0" collapsed="false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customFormat="false" ht="14.25" hidden="false" customHeight="true" outlineLevel="0" collapsed="false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customFormat="false" ht="14.25" hidden="false" customHeight="true" outlineLevel="0" collapsed="false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customFormat="false" ht="14.25" hidden="false" customHeight="true" outlineLevel="0" collapsed="false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customFormat="false" ht="14.25" hidden="false" customHeight="true" outlineLevel="0" collapsed="false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customFormat="false" ht="14.25" hidden="false" customHeight="true" outlineLevel="0" collapsed="false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customFormat="false" ht="14.25" hidden="false" customHeight="true" outlineLevel="0" collapsed="false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customFormat="false" ht="14.25" hidden="false" customHeight="true" outlineLevel="0" collapsed="false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customFormat="false" ht="14.25" hidden="false" customHeight="true" outlineLevel="0" collapsed="false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customFormat="false" ht="14.25" hidden="false" customHeight="true" outlineLevel="0" collapsed="false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customFormat="false" ht="14.25" hidden="false" customHeight="true" outlineLevel="0" collapsed="false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customFormat="false" ht="14.25" hidden="false" customHeight="true" outlineLevel="0" collapsed="false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customFormat="false" ht="14.25" hidden="false" customHeight="true" outlineLevel="0" collapsed="false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customFormat="false" ht="14.25" hidden="false" customHeight="true" outlineLevel="0" collapsed="false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customFormat="false" ht="14.25" hidden="false" customHeight="true" outlineLevel="0" collapsed="false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customFormat="false" ht="14.25" hidden="false" customHeight="true" outlineLevel="0" collapsed="false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customFormat="false" ht="14.25" hidden="false" customHeight="true" outlineLevel="0" collapsed="false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customFormat="false" ht="14.25" hidden="false" customHeight="true" outlineLevel="0" collapsed="false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customFormat="false" ht="14.25" hidden="false" customHeight="true" outlineLevel="0" collapsed="false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customFormat="false" ht="14.25" hidden="false" customHeight="true" outlineLevel="0" collapsed="false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customFormat="false" ht="14.25" hidden="false" customHeight="true" outlineLevel="0" collapsed="false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customFormat="false" ht="14.25" hidden="false" customHeight="true" outlineLevel="0" collapsed="false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customFormat="false" ht="14.25" hidden="false" customHeight="true" outlineLevel="0" collapsed="false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customFormat="false" ht="14.25" hidden="false" customHeight="true" outlineLevel="0" collapsed="false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customFormat="false" ht="14.25" hidden="false" customHeight="true" outlineLevel="0" collapsed="false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customFormat="false" ht="14.25" hidden="false" customHeight="true" outlineLevel="0" collapsed="false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customFormat="false" ht="14.25" hidden="false" customHeight="true" outlineLevel="0" collapsed="false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customFormat="false" ht="14.25" hidden="false" customHeight="true" outlineLevel="0" collapsed="false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customFormat="false" ht="14.25" hidden="false" customHeight="true" outlineLevel="0" collapsed="false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customFormat="false" ht="14.25" hidden="false" customHeight="true" outlineLevel="0" collapsed="false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customFormat="false" ht="14.25" hidden="false" customHeight="true" outlineLevel="0" collapsed="false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customFormat="false" ht="14.25" hidden="false" customHeight="true" outlineLevel="0" collapsed="false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customFormat="false" ht="14.25" hidden="false" customHeight="true" outlineLevel="0" collapsed="false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customFormat="false" ht="14.25" hidden="false" customHeight="true" outlineLevel="0" collapsed="false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customFormat="false" ht="14.25" hidden="false" customHeight="true" outlineLevel="0" collapsed="false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customFormat="false" ht="14.25" hidden="false" customHeight="true" outlineLevel="0" collapsed="false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customFormat="false" ht="14.25" hidden="false" customHeight="true" outlineLevel="0" collapsed="false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customFormat="false" ht="14.25" hidden="false" customHeight="true" outlineLevel="0" collapsed="false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customFormat="false" ht="14.25" hidden="false" customHeight="true" outlineLevel="0" collapsed="false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customFormat="false" ht="14.25" hidden="false" customHeight="true" outlineLevel="0" collapsed="false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customFormat="false" ht="14.25" hidden="false" customHeight="true" outlineLevel="0" collapsed="false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customFormat="false" ht="14.25" hidden="false" customHeight="true" outlineLevel="0" collapsed="false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customFormat="false" ht="14.25" hidden="false" customHeight="true" outlineLevel="0" collapsed="false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customFormat="false" ht="14.25" hidden="false" customHeight="true" outlineLevel="0" collapsed="false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customFormat="false" ht="14.25" hidden="false" customHeight="true" outlineLevel="0" collapsed="false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customFormat="false" ht="14.25" hidden="false" customHeight="true" outlineLevel="0" collapsed="false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customFormat="false" ht="14.25" hidden="false" customHeight="true" outlineLevel="0" collapsed="false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customFormat="false" ht="14.25" hidden="false" customHeight="true" outlineLevel="0" collapsed="false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customFormat="false" ht="14.25" hidden="false" customHeight="true" outlineLevel="0" collapsed="false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customFormat="false" ht="14.25" hidden="false" customHeight="true" outlineLevel="0" collapsed="false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customFormat="false" ht="14.25" hidden="false" customHeight="true" outlineLevel="0" collapsed="false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customFormat="false" ht="14.25" hidden="false" customHeight="true" outlineLevel="0" collapsed="false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customFormat="false" ht="14.25" hidden="false" customHeight="true" outlineLevel="0" collapsed="false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customFormat="false" ht="14.25" hidden="false" customHeight="true" outlineLevel="0" collapsed="false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 customFormat="false" ht="14.25" hidden="false" customHeight="true" outlineLevel="0" collapsed="false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customFormat="false" ht="14.25" hidden="false" customHeight="true" outlineLevel="0" collapsed="false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customFormat="false" ht="14.25" hidden="false" customHeight="true" outlineLevel="0" collapsed="false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customFormat="false" ht="14.25" hidden="false" customHeight="true" outlineLevel="0" collapsed="false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customFormat="false" ht="14.25" hidden="false" customHeight="true" outlineLevel="0" collapsed="false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customFormat="false" ht="14.25" hidden="false" customHeight="true" outlineLevel="0" collapsed="false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customFormat="false" ht="14.25" hidden="false" customHeight="true" outlineLevel="0" collapsed="false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customFormat="false" ht="14.25" hidden="false" customHeight="true" outlineLevel="0" collapsed="false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customFormat="false" ht="14.25" hidden="false" customHeight="true" outlineLevel="0" collapsed="false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customFormat="false" ht="14.25" hidden="false" customHeight="true" outlineLevel="0" collapsed="false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customFormat="false" ht="14.25" hidden="false" customHeight="true" outlineLevel="0" collapsed="false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customFormat="false" ht="14.25" hidden="false" customHeight="true" outlineLevel="0" collapsed="false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customFormat="false" ht="14.25" hidden="false" customHeight="true" outlineLevel="0" collapsed="false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customFormat="false" ht="14.25" hidden="false" customHeight="true" outlineLevel="0" collapsed="false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customFormat="false" ht="14.25" hidden="false" customHeight="true" outlineLevel="0" collapsed="false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customFormat="false" ht="14.25" hidden="false" customHeight="true" outlineLevel="0" collapsed="false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customFormat="false" ht="14.25" hidden="false" customHeight="true" outlineLevel="0" collapsed="false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customFormat="false" ht="14.25" hidden="false" customHeight="true" outlineLevel="0" collapsed="false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customFormat="false" ht="14.25" hidden="false" customHeight="true" outlineLevel="0" collapsed="false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 customFormat="false" ht="14.25" hidden="false" customHeight="true" outlineLevel="0" collapsed="false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customFormat="false" ht="14.25" hidden="false" customHeight="true" outlineLevel="0" collapsed="false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customFormat="false" ht="14.25" hidden="false" customHeight="true" outlineLevel="0" collapsed="false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customFormat="false" ht="14.25" hidden="false" customHeight="true" outlineLevel="0" collapsed="false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customFormat="false" ht="14.25" hidden="false" customHeight="true" outlineLevel="0" collapsed="false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customFormat="false" ht="14.25" hidden="false" customHeight="true" outlineLevel="0" collapsed="false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customFormat="false" ht="14.25" hidden="false" customHeight="true" outlineLevel="0" collapsed="false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customFormat="false" ht="14.25" hidden="false" customHeight="true" outlineLevel="0" collapsed="false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customFormat="false" ht="14.25" hidden="false" customHeight="true" outlineLevel="0" collapsed="false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customFormat="false" ht="14.25" hidden="false" customHeight="true" outlineLevel="0" collapsed="false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customFormat="false" ht="14.25" hidden="false" customHeight="true" outlineLevel="0" collapsed="false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customFormat="false" ht="14.25" hidden="false" customHeight="true" outlineLevel="0" collapsed="false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customFormat="false" ht="14.25" hidden="false" customHeight="true" outlineLevel="0" collapsed="false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customFormat="false" ht="14.25" hidden="false" customHeight="true" outlineLevel="0" collapsed="false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customFormat="false" ht="14.25" hidden="false" customHeight="true" outlineLevel="0" collapsed="false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customFormat="false" ht="14.25" hidden="false" customHeight="true" outlineLevel="0" collapsed="false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customFormat="false" ht="14.25" hidden="false" customHeight="true" outlineLevel="0" collapsed="false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customFormat="false" ht="14.25" hidden="false" customHeight="true" outlineLevel="0" collapsed="false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customFormat="false" ht="14.25" hidden="false" customHeight="true" outlineLevel="0" collapsed="false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customFormat="false" ht="14.25" hidden="false" customHeight="true" outlineLevel="0" collapsed="false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customFormat="false" ht="14.25" hidden="false" customHeight="true" outlineLevel="0" collapsed="false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customFormat="false" ht="14.25" hidden="false" customHeight="true" outlineLevel="0" collapsed="false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customFormat="false" ht="14.25" hidden="false" customHeight="true" outlineLevel="0" collapsed="false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customFormat="false" ht="14.25" hidden="false" customHeight="true" outlineLevel="0" collapsed="false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customFormat="false" ht="14.25" hidden="false" customHeight="true" outlineLevel="0" collapsed="false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customFormat="false" ht="14.25" hidden="false" customHeight="true" outlineLevel="0" collapsed="false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customFormat="false" ht="14.25" hidden="false" customHeight="true" outlineLevel="0" collapsed="false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customFormat="false" ht="14.25" hidden="false" customHeight="true" outlineLevel="0" collapsed="false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customFormat="false" ht="14.25" hidden="false" customHeight="true" outlineLevel="0" collapsed="false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customFormat="false" ht="14.25" hidden="false" customHeight="true" outlineLevel="0" collapsed="false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customFormat="false" ht="14.25" hidden="false" customHeight="true" outlineLevel="0" collapsed="false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 customFormat="false" ht="14.25" hidden="false" customHeight="true" outlineLevel="0" collapsed="false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 customFormat="false" ht="14.25" hidden="false" customHeight="true" outlineLevel="0" collapsed="false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 customFormat="false" ht="14.25" hidden="false" customHeight="true" outlineLevel="0" collapsed="false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 customFormat="false" ht="14.25" hidden="false" customHeight="true" outlineLevel="0" collapsed="false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 customFormat="false" ht="14.25" hidden="false" customHeight="true" outlineLevel="0" collapsed="false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 customFormat="false" ht="14.25" hidden="false" customHeight="true" outlineLevel="0" collapsed="false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customFormat="false" ht="14.25" hidden="false" customHeight="true" outlineLevel="0" collapsed="false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customFormat="false" ht="14.25" hidden="false" customHeight="true" outlineLevel="0" collapsed="false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customFormat="false" ht="14.25" hidden="false" customHeight="true" outlineLevel="0" collapsed="false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customFormat="false" ht="14.25" hidden="false" customHeight="true" outlineLevel="0" collapsed="false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customFormat="false" ht="14.25" hidden="false" customHeight="true" outlineLevel="0" collapsed="false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customFormat="false" ht="14.25" hidden="false" customHeight="true" outlineLevel="0" collapsed="false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customFormat="false" ht="14.25" hidden="false" customHeight="true" outlineLevel="0" collapsed="false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customFormat="false" ht="14.25" hidden="false" customHeight="true" outlineLevel="0" collapsed="false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customFormat="false" ht="14.25" hidden="false" customHeight="true" outlineLevel="0" collapsed="false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customFormat="false" ht="14.25" hidden="false" customHeight="true" outlineLevel="0" collapsed="false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customFormat="false" ht="14.25" hidden="false" customHeight="true" outlineLevel="0" collapsed="false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mergeCells count="4">
    <mergeCell ref="A45:C45"/>
    <mergeCell ref="A46:C46"/>
    <mergeCell ref="A47:C47"/>
    <mergeCell ref="A49:D4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8.57"/>
    <col collapsed="false" customWidth="true" hidden="false" outlineLevel="0" max="2" min="2" style="1" width="24"/>
    <col collapsed="false" customWidth="true" hidden="false" outlineLevel="0" max="3" min="3" style="1" width="11"/>
    <col collapsed="false" customWidth="true" hidden="false" outlineLevel="0" max="16" min="4" style="1" width="9"/>
  </cols>
  <sheetData>
    <row r="1" customFormat="false" ht="14.25" hidden="false" customHeight="true" outlineLevel="0" collapsed="false">
      <c r="A1" s="7" t="n">
        <v>2026</v>
      </c>
      <c r="B1" s="7" t="s">
        <v>181</v>
      </c>
      <c r="C1" s="7" t="s">
        <v>182</v>
      </c>
      <c r="D1" s="7" t="s">
        <v>61</v>
      </c>
      <c r="E1" s="7" t="s">
        <v>62</v>
      </c>
      <c r="F1" s="7" t="s">
        <v>63</v>
      </c>
      <c r="G1" s="7" t="s">
        <v>64</v>
      </c>
      <c r="H1" s="7" t="s">
        <v>65</v>
      </c>
      <c r="I1" s="7" t="s">
        <v>66</v>
      </c>
      <c r="J1" s="7" t="s">
        <v>67</v>
      </c>
      <c r="K1" s="7" t="s">
        <v>68</v>
      </c>
      <c r="L1" s="7" t="s">
        <v>69</v>
      </c>
      <c r="M1" s="7" t="s">
        <v>70</v>
      </c>
      <c r="N1" s="7" t="s">
        <v>71</v>
      </c>
      <c r="O1" s="7" t="s">
        <v>72</v>
      </c>
      <c r="P1" s="7" t="s">
        <v>183</v>
      </c>
    </row>
    <row r="2" customFormat="false" ht="14.25" hidden="false" customHeight="true" outlineLevel="0" collapsed="false">
      <c r="A2" s="41" t="n">
        <v>2026</v>
      </c>
      <c r="B2" s="8" t="s">
        <v>16</v>
      </c>
      <c r="C2" s="8" t="s">
        <v>184</v>
      </c>
      <c r="D2" s="42" t="n">
        <f aca="false">(datos_base!$B$2+datos_base!$B$18)*parametros_manuales!B$12</f>
        <v>501.44838516</v>
      </c>
      <c r="E2" s="42" t="n">
        <f aca="false">(datos_base!$B$2+datos_base!$B$18)*parametros_manuales!C$12</f>
        <v>376.08628887</v>
      </c>
      <c r="F2" s="42" t="n">
        <f aca="false">(datos_base!$B$2+datos_base!$B$18)*parametros_manuales!D$12</f>
        <v>334.29892344</v>
      </c>
      <c r="G2" s="42" t="n">
        <f aca="false">(datos_base!$B$2+datos_base!$B$18)*parametros_manuales!E$12</f>
        <v>313.405240725</v>
      </c>
      <c r="H2" s="42" t="n">
        <f aca="false">(datos_base!$B$2+datos_base!$B$18)*parametros_manuales!F$12</f>
        <v>292.51155801</v>
      </c>
      <c r="I2" s="42" t="n">
        <f aca="false">(datos_base!$B$2+datos_base!$B$18)*parametros_manuales!G$12</f>
        <v>292.51155801</v>
      </c>
      <c r="J2" s="42" t="n">
        <f aca="false">(datos_base!$B$2+datos_base!$B$18)*parametros_manuales!H$12</f>
        <v>313.405240725</v>
      </c>
      <c r="K2" s="42" t="n">
        <f aca="false">(datos_base!$B$2+datos_base!$B$18)*parametros_manuales!I$12</f>
        <v>313.405240725</v>
      </c>
      <c r="L2" s="42" t="n">
        <f aca="false">(datos_base!$B$2+datos_base!$B$18)*parametros_manuales!J$12</f>
        <v>313.405240725</v>
      </c>
      <c r="M2" s="42" t="n">
        <f aca="false">(datos_base!$B$2+datos_base!$B$18)*parametros_manuales!K$12</f>
        <v>313.405240725</v>
      </c>
      <c r="N2" s="42" t="n">
        <f aca="false">(datos_base!$B$2+datos_base!$B$18)*parametros_manuales!L$12</f>
        <v>313.405240725</v>
      </c>
      <c r="O2" s="42" t="n">
        <f aca="false">(datos_base!$B$2+datos_base!$B$18)*parametros_manuales!M$12</f>
        <v>501.44838516</v>
      </c>
      <c r="P2" s="9" t="n">
        <f aca="false">SUM(D2:O2)</f>
        <v>4178.736543</v>
      </c>
    </row>
    <row r="3" customFormat="false" ht="14.25" hidden="false" customHeight="true" outlineLevel="0" collapsed="false">
      <c r="A3" s="41" t="n">
        <v>2026</v>
      </c>
      <c r="B3" s="8" t="s">
        <v>17</v>
      </c>
      <c r="C3" s="8" t="s">
        <v>184</v>
      </c>
      <c r="D3" s="42" t="n">
        <f aca="false">(datos_base!$B$3+datos_base!$B$19)*parametros_manuales!B$13</f>
        <v>29.80303572</v>
      </c>
      <c r="E3" s="42" t="n">
        <f aca="false">(datos_base!$B$3+datos_base!$B$19)*parametros_manuales!C$13</f>
        <v>23.842428576</v>
      </c>
      <c r="F3" s="42" t="n">
        <f aca="false">(datos_base!$B$3+datos_base!$B$19)*parametros_manuales!D$13</f>
        <v>25.332580362</v>
      </c>
      <c r="G3" s="42" t="n">
        <f aca="false">(datos_base!$B$3+datos_base!$B$19)*parametros_manuales!E$13</f>
        <v>25.332580362</v>
      </c>
      <c r="H3" s="42" t="n">
        <f aca="false">(datos_base!$B$3+datos_base!$B$19)*parametros_manuales!F$13</f>
        <v>23.842428576</v>
      </c>
      <c r="I3" s="42" t="n">
        <f aca="false">(datos_base!$B$3+datos_base!$B$19)*parametros_manuales!G$13</f>
        <v>22.35227679</v>
      </c>
      <c r="J3" s="42" t="n">
        <f aca="false">(datos_base!$B$3+datos_base!$B$19)*parametros_manuales!H$13</f>
        <v>23.842428576</v>
      </c>
      <c r="K3" s="42" t="n">
        <f aca="false">(datos_base!$B$3+datos_base!$B$19)*parametros_manuales!I$13</f>
        <v>23.842428576</v>
      </c>
      <c r="L3" s="42" t="n">
        <f aca="false">(datos_base!$B$3+datos_base!$B$19)*parametros_manuales!J$13</f>
        <v>23.842428576</v>
      </c>
      <c r="M3" s="42" t="n">
        <f aca="false">(datos_base!$B$3+datos_base!$B$19)*parametros_manuales!K$13</f>
        <v>22.35227679</v>
      </c>
      <c r="N3" s="42" t="n">
        <f aca="false">(datos_base!$B$3+datos_base!$B$19)*parametros_manuales!L$13</f>
        <v>20.862125004</v>
      </c>
      <c r="O3" s="42" t="n">
        <f aca="false">(datos_base!$B$3+datos_base!$B$19)*parametros_manuales!M$13</f>
        <v>32.783339292</v>
      </c>
      <c r="P3" s="9" t="n">
        <f aca="false">SUM(D3:O3)</f>
        <v>298.0303572</v>
      </c>
    </row>
    <row r="4" customFormat="false" ht="14.25" hidden="false" customHeight="true" outlineLevel="0" collapsed="false">
      <c r="A4" s="41" t="n">
        <v>2026</v>
      </c>
      <c r="B4" s="8" t="s">
        <v>18</v>
      </c>
      <c r="C4" s="8" t="s">
        <v>184</v>
      </c>
      <c r="D4" s="42" t="n">
        <f aca="false">(datos_base!$B$4+datos_base!$B$20)*parametros_manuales!B$14</f>
        <v>226.7773025</v>
      </c>
      <c r="E4" s="42" t="n">
        <f aca="false">(datos_base!$B$4+datos_base!$B$20)*parametros_manuales!C$14</f>
        <v>181.421842</v>
      </c>
      <c r="F4" s="42" t="n">
        <f aca="false">(datos_base!$B$4+datos_base!$B$20)*parametros_manuales!D$14</f>
        <v>192.760707125</v>
      </c>
      <c r="G4" s="42" t="n">
        <f aca="false">(datos_base!$B$4+datos_base!$B$20)*parametros_manuales!E$14</f>
        <v>192.760707125</v>
      </c>
      <c r="H4" s="42" t="n">
        <f aca="false">(datos_base!$B$4+datos_base!$B$20)*parametros_manuales!F$14</f>
        <v>181.421842</v>
      </c>
      <c r="I4" s="42" t="n">
        <f aca="false">(datos_base!$B$4+datos_base!$B$20)*parametros_manuales!G$14</f>
        <v>170.082976875</v>
      </c>
      <c r="J4" s="42" t="n">
        <f aca="false">(datos_base!$B$4+datos_base!$B$20)*parametros_manuales!H$14</f>
        <v>181.421842</v>
      </c>
      <c r="K4" s="42" t="n">
        <f aca="false">(datos_base!$B$4+datos_base!$B$20)*parametros_manuales!I$14</f>
        <v>181.421842</v>
      </c>
      <c r="L4" s="42" t="n">
        <f aca="false">(datos_base!$B$4+datos_base!$B$20)*parametros_manuales!J$14</f>
        <v>181.421842</v>
      </c>
      <c r="M4" s="42" t="n">
        <f aca="false">(datos_base!$B$4+datos_base!$B$20)*parametros_manuales!K$14</f>
        <v>170.082976875</v>
      </c>
      <c r="N4" s="42" t="n">
        <f aca="false">(datos_base!$B$4+datos_base!$B$20)*parametros_manuales!L$14</f>
        <v>158.74411175</v>
      </c>
      <c r="O4" s="42" t="n">
        <f aca="false">(datos_base!$B$4+datos_base!$B$20)*parametros_manuales!M$14</f>
        <v>249.45503275</v>
      </c>
      <c r="P4" s="9" t="n">
        <f aca="false">SUM(D4:O4)</f>
        <v>2267.773025</v>
      </c>
    </row>
    <row r="5" customFormat="false" ht="14.25" hidden="false" customHeight="true" outlineLevel="0" collapsed="false">
      <c r="A5" s="41" t="n">
        <v>2026</v>
      </c>
      <c r="B5" s="8" t="s">
        <v>19</v>
      </c>
      <c r="C5" s="8" t="s">
        <v>184</v>
      </c>
      <c r="D5" s="42" t="n">
        <f aca="false">(datos_base!$B$5+datos_base!$B$21)*parametros_manuales!B$15</f>
        <v>9.283318153</v>
      </c>
      <c r="E5" s="42" t="n">
        <f aca="false">(datos_base!$B$5+datos_base!$B$21)*parametros_manuales!C$15</f>
        <v>7.4266545224</v>
      </c>
      <c r="F5" s="42" t="n">
        <f aca="false">(datos_base!$B$5+datos_base!$B$21)*parametros_manuales!D$15</f>
        <v>7.89082043005</v>
      </c>
      <c r="G5" s="42" t="n">
        <f aca="false">(datos_base!$B$5+datos_base!$B$21)*parametros_manuales!E$15</f>
        <v>7.89082043005</v>
      </c>
      <c r="H5" s="42" t="n">
        <f aca="false">(datos_base!$B$5+datos_base!$B$21)*parametros_manuales!F$15</f>
        <v>7.4266545224</v>
      </c>
      <c r="I5" s="42" t="n">
        <f aca="false">(datos_base!$B$5+datos_base!$B$21)*parametros_manuales!G$15</f>
        <v>6.96248861475</v>
      </c>
      <c r="J5" s="42" t="n">
        <f aca="false">(datos_base!$B$5+datos_base!$B$21)*parametros_manuales!H$15</f>
        <v>7.4266545224</v>
      </c>
      <c r="K5" s="42" t="n">
        <f aca="false">(datos_base!$B$5+datos_base!$B$21)*parametros_manuales!I$15</f>
        <v>7.4266545224</v>
      </c>
      <c r="L5" s="42" t="n">
        <f aca="false">(datos_base!$B$5+datos_base!$B$21)*parametros_manuales!J$15</f>
        <v>7.4266545224</v>
      </c>
      <c r="M5" s="42" t="n">
        <f aca="false">(datos_base!$B$5+datos_base!$B$21)*parametros_manuales!K$15</f>
        <v>6.96248861475</v>
      </c>
      <c r="N5" s="42" t="n">
        <f aca="false">(datos_base!$B$5+datos_base!$B$21)*parametros_manuales!L$15</f>
        <v>6.4983227071</v>
      </c>
      <c r="O5" s="42" t="n">
        <f aca="false">(datos_base!$B$5+datos_base!$B$21)*parametros_manuales!M$15</f>
        <v>10.2116499683</v>
      </c>
      <c r="P5" s="9" t="n">
        <f aca="false">SUM(D5:O5)</f>
        <v>92.83318153</v>
      </c>
    </row>
    <row r="6" customFormat="false" ht="14.25" hidden="false" customHeight="true" outlineLevel="0" collapsed="false">
      <c r="A6" s="41" t="n">
        <v>2026</v>
      </c>
      <c r="B6" s="8" t="s">
        <v>22</v>
      </c>
      <c r="C6" s="8" t="s">
        <v>185</v>
      </c>
      <c r="D6" s="42" t="n">
        <f aca="false">(datos_base!$B$9+datos_base!$B$23)*parametros_manuales!B$12</f>
        <v>0</v>
      </c>
      <c r="E6" s="42" t="n">
        <f aca="false">(datos_base!$B$9+datos_base!$B$23)*parametros_manuales!C$12</f>
        <v>0</v>
      </c>
      <c r="F6" s="42" t="n">
        <f aca="false">(datos_base!$B$9+datos_base!$B$23)*parametros_manuales!D$12</f>
        <v>0</v>
      </c>
      <c r="G6" s="42" t="n">
        <f aca="false">(datos_base!$B$9+datos_base!$B$23)*parametros_manuales!E$12</f>
        <v>0</v>
      </c>
      <c r="H6" s="42" t="n">
        <f aca="false">(datos_base!$B$9+datos_base!$B$23)*parametros_manuales!F$12</f>
        <v>0</v>
      </c>
      <c r="I6" s="42" t="n">
        <f aca="false">(datos_base!$B$9+datos_base!$B$23)*parametros_manuales!G$12</f>
        <v>0</v>
      </c>
      <c r="J6" s="42" t="n">
        <f aca="false">(datos_base!$B$9+datos_base!$B$23)*parametros_manuales!H$12</f>
        <v>0</v>
      </c>
      <c r="K6" s="42" t="n">
        <f aca="false">(datos_base!$B$9+datos_base!$B$23)*parametros_manuales!I$12</f>
        <v>0</v>
      </c>
      <c r="L6" s="42" t="n">
        <f aca="false">(datos_base!$B$9+datos_base!$B$23)*parametros_manuales!J$12</f>
        <v>0</v>
      </c>
      <c r="M6" s="42" t="n">
        <f aca="false">(datos_base!$B$9+datos_base!$B$23)*parametros_manuales!K$12</f>
        <v>0</v>
      </c>
      <c r="N6" s="42" t="n">
        <f aca="false">(datos_base!$B$9+datos_base!$B$23)*parametros_manuales!L$12</f>
        <v>0</v>
      </c>
      <c r="O6" s="42" t="n">
        <f aca="false">(datos_base!$B$9+datos_base!$B$23)*parametros_manuales!M$12</f>
        <v>0</v>
      </c>
      <c r="P6" s="9" t="n">
        <f aca="false">SUM(D6:O6)</f>
        <v>0</v>
      </c>
    </row>
    <row r="7" customFormat="false" ht="14.25" hidden="false" customHeight="true" outlineLevel="0" collapsed="false">
      <c r="A7" s="41" t="n">
        <v>2026</v>
      </c>
      <c r="B7" s="8" t="s">
        <v>23</v>
      </c>
      <c r="C7" s="8" t="s">
        <v>185</v>
      </c>
      <c r="D7" s="42" t="n">
        <f aca="false">(datos_base!$B$10+datos_base!$B$24)*parametros_manuales!B$13</f>
        <v>0.4</v>
      </c>
      <c r="E7" s="42" t="n">
        <f aca="false">(datos_base!$B$10+datos_base!$B$24)*parametros_manuales!C$13</f>
        <v>0.32</v>
      </c>
      <c r="F7" s="42" t="n">
        <f aca="false">(datos_base!$B$10+datos_base!$B$24)*parametros_manuales!D$13</f>
        <v>0.34</v>
      </c>
      <c r="G7" s="42" t="n">
        <f aca="false">(datos_base!$B$10+datos_base!$B$24)*parametros_manuales!E$13</f>
        <v>0.34</v>
      </c>
      <c r="H7" s="42" t="n">
        <f aca="false">(datos_base!$B$10+datos_base!$B$24)*parametros_manuales!F$13</f>
        <v>0.32</v>
      </c>
      <c r="I7" s="42" t="n">
        <f aca="false">(datos_base!$B$10+datos_base!$B$24)*parametros_manuales!G$13</f>
        <v>0.3</v>
      </c>
      <c r="J7" s="42" t="n">
        <f aca="false">(datos_base!$B$10+datos_base!$B$24)*parametros_manuales!H$13</f>
        <v>0.32</v>
      </c>
      <c r="K7" s="42" t="n">
        <f aca="false">(datos_base!$B$10+datos_base!$B$24)*parametros_manuales!I$13</f>
        <v>0.32</v>
      </c>
      <c r="L7" s="42" t="n">
        <f aca="false">(datos_base!$B$10+datos_base!$B$24)*parametros_manuales!J$13</f>
        <v>0.32</v>
      </c>
      <c r="M7" s="42" t="n">
        <f aca="false">(datos_base!$B$10+datos_base!$B$24)*parametros_manuales!K$13</f>
        <v>0.3</v>
      </c>
      <c r="N7" s="42" t="n">
        <f aca="false">(datos_base!$B$10+datos_base!$B$24)*parametros_manuales!L$13</f>
        <v>0.28</v>
      </c>
      <c r="O7" s="42" t="n">
        <f aca="false">(datos_base!$B$10+datos_base!$B$24)*parametros_manuales!M$13</f>
        <v>0.44</v>
      </c>
      <c r="P7" s="9" t="n">
        <f aca="false">SUM(D7:O7)</f>
        <v>4</v>
      </c>
    </row>
    <row r="8" customFormat="false" ht="14.25" hidden="false" customHeight="true" outlineLevel="0" collapsed="false">
      <c r="A8" s="41" t="n">
        <v>2026</v>
      </c>
      <c r="B8" s="8" t="s">
        <v>24</v>
      </c>
      <c r="C8" s="8" t="s">
        <v>185</v>
      </c>
      <c r="D8" s="42" t="n">
        <f aca="false">(datos_base!$B$11+datos_base!$B$25)*parametros_manuales!B$14</f>
        <v>2.2</v>
      </c>
      <c r="E8" s="42" t="n">
        <f aca="false">(datos_base!$B$11+datos_base!$B$25)*parametros_manuales!C$14</f>
        <v>1.76</v>
      </c>
      <c r="F8" s="42" t="n">
        <f aca="false">(datos_base!$B$11+datos_base!$B$25)*parametros_manuales!D$14</f>
        <v>1.87</v>
      </c>
      <c r="G8" s="42" t="n">
        <f aca="false">(datos_base!$B$11+datos_base!$B$25)*parametros_manuales!E$14</f>
        <v>1.87</v>
      </c>
      <c r="H8" s="42" t="n">
        <f aca="false">(datos_base!$B$11+datos_base!$B$25)*parametros_manuales!F$14</f>
        <v>1.76</v>
      </c>
      <c r="I8" s="42" t="n">
        <f aca="false">(datos_base!$B$11+datos_base!$B$25)*parametros_manuales!G$14</f>
        <v>1.65</v>
      </c>
      <c r="J8" s="42" t="n">
        <f aca="false">(datos_base!$B$11+datos_base!$B$25)*parametros_manuales!H$14</f>
        <v>1.76</v>
      </c>
      <c r="K8" s="42" t="n">
        <f aca="false">(datos_base!$B$11+datos_base!$B$25)*parametros_manuales!I$14</f>
        <v>1.76</v>
      </c>
      <c r="L8" s="42" t="n">
        <f aca="false">(datos_base!$B$11+datos_base!$B$25)*parametros_manuales!J$14</f>
        <v>1.76</v>
      </c>
      <c r="M8" s="42" t="n">
        <f aca="false">(datos_base!$B$11+datos_base!$B$25)*parametros_manuales!K$14</f>
        <v>1.65</v>
      </c>
      <c r="N8" s="42" t="n">
        <f aca="false">(datos_base!$B$11+datos_base!$B$25)*parametros_manuales!L$14</f>
        <v>1.54</v>
      </c>
      <c r="O8" s="42" t="n">
        <f aca="false">(datos_base!$B$11+datos_base!$B$25)*parametros_manuales!M$14</f>
        <v>2.42</v>
      </c>
      <c r="P8" s="9" t="n">
        <f aca="false">SUM(D8:O8)</f>
        <v>22</v>
      </c>
    </row>
    <row r="9" customFormat="false" ht="14.25" hidden="false" customHeight="true" outlineLevel="0" collapsed="false">
      <c r="A9" s="41" t="n">
        <v>2026</v>
      </c>
      <c r="B9" s="8" t="s">
        <v>25</v>
      </c>
      <c r="C9" s="8" t="s">
        <v>185</v>
      </c>
      <c r="D9" s="42" t="n">
        <f aca="false">(datos_base!$B$12+datos_base!$B$26)*parametros_manuales!B$15</f>
        <v>0.2</v>
      </c>
      <c r="E9" s="42" t="n">
        <f aca="false">(datos_base!$B$12+datos_base!$B$26)*parametros_manuales!C$15</f>
        <v>0.16</v>
      </c>
      <c r="F9" s="42" t="n">
        <f aca="false">(datos_base!$B$12+datos_base!$B$26)*parametros_manuales!D$15</f>
        <v>0.17</v>
      </c>
      <c r="G9" s="42" t="n">
        <f aca="false">(datos_base!$B$12+datos_base!$B$26)*parametros_manuales!E$15</f>
        <v>0.17</v>
      </c>
      <c r="H9" s="42" t="n">
        <f aca="false">(datos_base!$B$12+datos_base!$B$26)*parametros_manuales!F$15</f>
        <v>0.16</v>
      </c>
      <c r="I9" s="42" t="n">
        <f aca="false">(datos_base!$B$12+datos_base!$B$26)*parametros_manuales!G$15</f>
        <v>0.15</v>
      </c>
      <c r="J9" s="42" t="n">
        <f aca="false">(datos_base!$B$12+datos_base!$B$26)*parametros_manuales!H$15</f>
        <v>0.16</v>
      </c>
      <c r="K9" s="42" t="n">
        <f aca="false">(datos_base!$B$12+datos_base!$B$26)*parametros_manuales!I$15</f>
        <v>0.16</v>
      </c>
      <c r="L9" s="42" t="n">
        <f aca="false">(datos_base!$B$12+datos_base!$B$26)*parametros_manuales!J$15</f>
        <v>0.16</v>
      </c>
      <c r="M9" s="42" t="n">
        <f aca="false">(datos_base!$B$12+datos_base!$B$26)*parametros_manuales!K$15</f>
        <v>0.15</v>
      </c>
      <c r="N9" s="42" t="n">
        <f aca="false">(datos_base!$B$12+datos_base!$B$26)*parametros_manuales!L$15</f>
        <v>0.14</v>
      </c>
      <c r="O9" s="42" t="n">
        <f aca="false">(datos_base!$B$12+datos_base!$B$26)*parametros_manuales!M$15</f>
        <v>0.22</v>
      </c>
      <c r="P9" s="9" t="n">
        <f aca="false">SUM(D9:O9)</f>
        <v>2</v>
      </c>
    </row>
    <row r="10" customFormat="false" ht="14.25" hidden="false" customHeight="true" outlineLevel="0" collapsed="false">
      <c r="B10" s="10" t="s">
        <v>186</v>
      </c>
      <c r="D10" s="11" t="n">
        <f aca="false">SUM(D2:D9)</f>
        <v>770.112041533</v>
      </c>
      <c r="E10" s="11" t="n">
        <f aca="false">SUM(E2:E9)</f>
        <v>591.0172139684</v>
      </c>
      <c r="F10" s="11" t="n">
        <f aca="false">SUM(F2:F9)</f>
        <v>562.66303135705</v>
      </c>
      <c r="G10" s="11" t="n">
        <f aca="false">SUM(G2:G9)</f>
        <v>541.76934864205</v>
      </c>
      <c r="H10" s="11" t="n">
        <f aca="false">SUM(H2:H9)</f>
        <v>507.4424831084</v>
      </c>
      <c r="I10" s="11" t="n">
        <f aca="false">SUM(I2:I9)</f>
        <v>494.00930028975</v>
      </c>
      <c r="J10" s="11" t="n">
        <f aca="false">SUM(J2:J9)</f>
        <v>528.3361658234</v>
      </c>
      <c r="K10" s="11" t="n">
        <f aca="false">SUM(K2:K9)</f>
        <v>528.3361658234</v>
      </c>
      <c r="L10" s="11" t="n">
        <f aca="false">SUM(L2:L9)</f>
        <v>528.3361658234</v>
      </c>
      <c r="M10" s="11" t="n">
        <f aca="false">SUM(M2:M9)</f>
        <v>514.90298300475</v>
      </c>
      <c r="N10" s="11" t="n">
        <f aca="false">SUM(N2:N9)</f>
        <v>501.4698001861</v>
      </c>
      <c r="O10" s="11" t="n">
        <f aca="false">SUM(O2:O9)</f>
        <v>796.9784071703</v>
      </c>
      <c r="P10" s="11" t="n">
        <f aca="false">SUM(P2:P9)</f>
        <v>6865.37310673</v>
      </c>
    </row>
    <row r="11" customFormat="false" ht="14.25" hidden="false" customHeight="true" outlineLevel="0" collapsed="false"/>
    <row r="12" customFormat="false" ht="14.25" hidden="false" customHeight="true" outlineLevel="0" collapsed="false">
      <c r="A12" s="7" t="n">
        <v>2027</v>
      </c>
      <c r="B12" s="7" t="s">
        <v>181</v>
      </c>
      <c r="C12" s="7" t="s">
        <v>182</v>
      </c>
      <c r="D12" s="7" t="s">
        <v>61</v>
      </c>
      <c r="E12" s="7" t="s">
        <v>62</v>
      </c>
      <c r="F12" s="7" t="s">
        <v>63</v>
      </c>
      <c r="G12" s="7" t="s">
        <v>64</v>
      </c>
      <c r="H12" s="7" t="s">
        <v>65</v>
      </c>
      <c r="I12" s="7" t="s">
        <v>66</v>
      </c>
      <c r="J12" s="7" t="s">
        <v>67</v>
      </c>
      <c r="K12" s="7" t="s">
        <v>68</v>
      </c>
      <c r="L12" s="7" t="s">
        <v>69</v>
      </c>
      <c r="M12" s="7" t="s">
        <v>70</v>
      </c>
      <c r="N12" s="7" t="s">
        <v>71</v>
      </c>
      <c r="O12" s="7" t="s">
        <v>72</v>
      </c>
      <c r="P12" s="7" t="s">
        <v>183</v>
      </c>
    </row>
    <row r="13" customFormat="false" ht="14.25" hidden="false" customHeight="true" outlineLevel="0" collapsed="false">
      <c r="A13" s="41" t="n">
        <v>2027</v>
      </c>
      <c r="B13" s="8" t="s">
        <v>16</v>
      </c>
      <c r="C13" s="8" t="s">
        <v>184</v>
      </c>
      <c r="D13" s="42" t="n">
        <f aca="false">(datos_base!$C$2+datos_base!$C$18)*parametros_manuales!B$12</f>
        <v>719.67647724</v>
      </c>
      <c r="E13" s="42" t="n">
        <f aca="false">(datos_base!$C$2+datos_base!$C$18)*parametros_manuales!C$12</f>
        <v>539.75735793</v>
      </c>
      <c r="F13" s="42" t="n">
        <f aca="false">(datos_base!$C$2+datos_base!$C$18)*parametros_manuales!D$12</f>
        <v>479.78431816</v>
      </c>
      <c r="G13" s="42" t="n">
        <f aca="false">(datos_base!$C$2+datos_base!$C$18)*parametros_manuales!E$12</f>
        <v>449.797798275</v>
      </c>
      <c r="H13" s="42" t="n">
        <f aca="false">(datos_base!$C$2+datos_base!$C$18)*parametros_manuales!F$12</f>
        <v>419.81127839</v>
      </c>
      <c r="I13" s="42" t="n">
        <f aca="false">(datos_base!$C$2+datos_base!$C$18)*parametros_manuales!G$12</f>
        <v>419.81127839</v>
      </c>
      <c r="J13" s="42" t="n">
        <f aca="false">(datos_base!$C$2+datos_base!$C$18)*parametros_manuales!H$12</f>
        <v>449.797798275</v>
      </c>
      <c r="K13" s="42" t="n">
        <f aca="false">(datos_base!$C$2+datos_base!$C$18)*parametros_manuales!I$12</f>
        <v>449.797798275</v>
      </c>
      <c r="L13" s="42" t="n">
        <f aca="false">(datos_base!$C$2+datos_base!$C$18)*parametros_manuales!J$12</f>
        <v>449.797798275</v>
      </c>
      <c r="M13" s="42" t="n">
        <f aca="false">(datos_base!$C$2+datos_base!$C$18)*parametros_manuales!K$12</f>
        <v>449.797798275</v>
      </c>
      <c r="N13" s="42" t="n">
        <f aca="false">(datos_base!$C$2+datos_base!$C$18)*parametros_manuales!L$12</f>
        <v>449.797798275</v>
      </c>
      <c r="O13" s="42" t="n">
        <f aca="false">(datos_base!$C$2+datos_base!$C$18)*parametros_manuales!M$12</f>
        <v>719.67647724</v>
      </c>
      <c r="P13" s="9" t="n">
        <f aca="false">SUM(D13:O13)</f>
        <v>5997.303977</v>
      </c>
    </row>
    <row r="14" customFormat="false" ht="14.25" hidden="false" customHeight="true" outlineLevel="0" collapsed="false">
      <c r="A14" s="41" t="n">
        <v>2027</v>
      </c>
      <c r="B14" s="8" t="s">
        <v>17</v>
      </c>
      <c r="C14" s="8" t="s">
        <v>184</v>
      </c>
      <c r="D14" s="42" t="n">
        <f aca="false">(datos_base!$C$3+datos_base!$C$19)*parametros_manuales!B$13</f>
        <v>71.59674503</v>
      </c>
      <c r="E14" s="42" t="n">
        <f aca="false">(datos_base!$C$3+datos_base!$C$19)*parametros_manuales!C$13</f>
        <v>57.277396024</v>
      </c>
      <c r="F14" s="42" t="n">
        <f aca="false">(datos_base!$C$3+datos_base!$C$19)*parametros_manuales!D$13</f>
        <v>60.8572332755</v>
      </c>
      <c r="G14" s="42" t="n">
        <f aca="false">(datos_base!$C$3+datos_base!$C$19)*parametros_manuales!E$13</f>
        <v>60.8572332755</v>
      </c>
      <c r="H14" s="42" t="n">
        <f aca="false">(datos_base!$C$3+datos_base!$C$19)*parametros_manuales!F$13</f>
        <v>57.277396024</v>
      </c>
      <c r="I14" s="42" t="n">
        <f aca="false">(datos_base!$C$3+datos_base!$C$19)*parametros_manuales!G$13</f>
        <v>53.6975587725</v>
      </c>
      <c r="J14" s="42" t="n">
        <f aca="false">(datos_base!$C$3+datos_base!$C$19)*parametros_manuales!H$13</f>
        <v>57.277396024</v>
      </c>
      <c r="K14" s="42" t="n">
        <f aca="false">(datos_base!$C$3+datos_base!$C$19)*parametros_manuales!I$13</f>
        <v>57.277396024</v>
      </c>
      <c r="L14" s="42" t="n">
        <f aca="false">(datos_base!$C$3+datos_base!$C$19)*parametros_manuales!J$13</f>
        <v>57.277396024</v>
      </c>
      <c r="M14" s="42" t="n">
        <f aca="false">(datos_base!$C$3+datos_base!$C$19)*parametros_manuales!K$13</f>
        <v>53.6975587725</v>
      </c>
      <c r="N14" s="42" t="n">
        <f aca="false">(datos_base!$C$3+datos_base!$C$19)*parametros_manuales!L$13</f>
        <v>50.117721521</v>
      </c>
      <c r="O14" s="42" t="n">
        <f aca="false">(datos_base!$C$3+datos_base!$C$19)*parametros_manuales!M$13</f>
        <v>78.756419533</v>
      </c>
      <c r="P14" s="9" t="n">
        <f aca="false">SUM(D14:O14)</f>
        <v>715.9674503</v>
      </c>
    </row>
    <row r="15" customFormat="false" ht="14.25" hidden="false" customHeight="true" outlineLevel="0" collapsed="false">
      <c r="A15" s="41" t="n">
        <v>2027</v>
      </c>
      <c r="B15" s="8" t="s">
        <v>18</v>
      </c>
      <c r="C15" s="8" t="s">
        <v>184</v>
      </c>
      <c r="D15" s="42" t="n">
        <f aca="false">(datos_base!$C$4+datos_base!$C$20)*parametros_manuales!B$14</f>
        <v>388.3938881</v>
      </c>
      <c r="E15" s="42" t="n">
        <f aca="false">(datos_base!$C$4+datos_base!$C$20)*parametros_manuales!C$14</f>
        <v>310.71511048</v>
      </c>
      <c r="F15" s="42" t="n">
        <f aca="false">(datos_base!$C$4+datos_base!$C$20)*parametros_manuales!D$14</f>
        <v>330.134804885</v>
      </c>
      <c r="G15" s="42" t="n">
        <f aca="false">(datos_base!$C$4+datos_base!$C$20)*parametros_manuales!E$14</f>
        <v>330.134804885</v>
      </c>
      <c r="H15" s="42" t="n">
        <f aca="false">(datos_base!$C$4+datos_base!$C$20)*parametros_manuales!F$14</f>
        <v>310.71511048</v>
      </c>
      <c r="I15" s="42" t="n">
        <f aca="false">(datos_base!$C$4+datos_base!$C$20)*parametros_manuales!G$14</f>
        <v>291.295416075</v>
      </c>
      <c r="J15" s="42" t="n">
        <f aca="false">(datos_base!$C$4+datos_base!$C$20)*parametros_manuales!H$14</f>
        <v>310.71511048</v>
      </c>
      <c r="K15" s="42" t="n">
        <f aca="false">(datos_base!$C$4+datos_base!$C$20)*parametros_manuales!I$14</f>
        <v>310.71511048</v>
      </c>
      <c r="L15" s="42" t="n">
        <f aca="false">(datos_base!$C$4+datos_base!$C$20)*parametros_manuales!J$14</f>
        <v>310.71511048</v>
      </c>
      <c r="M15" s="42" t="n">
        <f aca="false">(datos_base!$C$4+datos_base!$C$20)*parametros_manuales!K$14</f>
        <v>291.295416075</v>
      </c>
      <c r="N15" s="42" t="n">
        <f aca="false">(datos_base!$C$4+datos_base!$C$20)*parametros_manuales!L$14</f>
        <v>271.87572167</v>
      </c>
      <c r="O15" s="42" t="n">
        <f aca="false">(datos_base!$C$4+datos_base!$C$20)*parametros_manuales!M$14</f>
        <v>427.23327691</v>
      </c>
      <c r="P15" s="9" t="n">
        <f aca="false">SUM(D15:O15)</f>
        <v>3883.938881</v>
      </c>
    </row>
    <row r="16" customFormat="false" ht="14.25" hidden="false" customHeight="true" outlineLevel="0" collapsed="false">
      <c r="A16" s="41" t="n">
        <v>2027</v>
      </c>
      <c r="B16" s="8" t="s">
        <v>19</v>
      </c>
      <c r="C16" s="8" t="s">
        <v>184</v>
      </c>
      <c r="D16" s="42" t="n">
        <f aca="false">(datos_base!$C$5+datos_base!$C$21)*parametros_manuales!B$15</f>
        <v>17.93272967</v>
      </c>
      <c r="E16" s="42" t="n">
        <f aca="false">(datos_base!$C$5+datos_base!$C$21)*parametros_manuales!C$15</f>
        <v>14.346183736</v>
      </c>
      <c r="F16" s="42" t="n">
        <f aca="false">(datos_base!$C$5+datos_base!$C$21)*parametros_manuales!D$15</f>
        <v>15.2428202195</v>
      </c>
      <c r="G16" s="42" t="n">
        <f aca="false">(datos_base!$C$5+datos_base!$C$21)*parametros_manuales!E$15</f>
        <v>15.2428202195</v>
      </c>
      <c r="H16" s="42" t="n">
        <f aca="false">(datos_base!$C$5+datos_base!$C$21)*parametros_manuales!F$15</f>
        <v>14.346183736</v>
      </c>
      <c r="I16" s="42" t="n">
        <f aca="false">(datos_base!$C$5+datos_base!$C$21)*parametros_manuales!G$15</f>
        <v>13.4495472525</v>
      </c>
      <c r="J16" s="42" t="n">
        <f aca="false">(datos_base!$C$5+datos_base!$C$21)*parametros_manuales!H$15</f>
        <v>14.346183736</v>
      </c>
      <c r="K16" s="42" t="n">
        <f aca="false">(datos_base!$C$5+datos_base!$C$21)*parametros_manuales!I$15</f>
        <v>14.346183736</v>
      </c>
      <c r="L16" s="42" t="n">
        <f aca="false">(datos_base!$C$5+datos_base!$C$21)*parametros_manuales!J$15</f>
        <v>14.346183736</v>
      </c>
      <c r="M16" s="42" t="n">
        <f aca="false">(datos_base!$C$5+datos_base!$C$21)*parametros_manuales!K$15</f>
        <v>13.4495472525</v>
      </c>
      <c r="N16" s="42" t="n">
        <f aca="false">(datos_base!$C$5+datos_base!$C$21)*parametros_manuales!L$15</f>
        <v>12.552910769</v>
      </c>
      <c r="O16" s="42" t="n">
        <f aca="false">(datos_base!$C$5+datos_base!$C$21)*parametros_manuales!M$15</f>
        <v>19.726002637</v>
      </c>
      <c r="P16" s="9" t="n">
        <f aca="false">SUM(D16:O16)</f>
        <v>179.3272967</v>
      </c>
    </row>
    <row r="17" customFormat="false" ht="14.25" hidden="false" customHeight="true" outlineLevel="0" collapsed="false">
      <c r="A17" s="41" t="n">
        <v>2027</v>
      </c>
      <c r="B17" s="8" t="s">
        <v>22</v>
      </c>
      <c r="C17" s="8" t="s">
        <v>185</v>
      </c>
      <c r="D17" s="42" t="n">
        <f aca="false">(datos_base!$C$9+datos_base!$C$23)*parametros_manuales!B$12</f>
        <v>0</v>
      </c>
      <c r="E17" s="42" t="n">
        <f aca="false">(datos_base!$C$9+datos_base!$C$23)*parametros_manuales!C$12</f>
        <v>0</v>
      </c>
      <c r="F17" s="42" t="n">
        <f aca="false">(datos_base!$C$9+datos_base!$C$23)*parametros_manuales!D$12</f>
        <v>0</v>
      </c>
      <c r="G17" s="42" t="n">
        <f aca="false">(datos_base!$C$9+datos_base!$C$23)*parametros_manuales!E$12</f>
        <v>0</v>
      </c>
      <c r="H17" s="42" t="n">
        <f aca="false">(datos_base!$C$9+datos_base!$C$23)*parametros_manuales!F$12</f>
        <v>0</v>
      </c>
      <c r="I17" s="42" t="n">
        <f aca="false">(datos_base!$C$9+datos_base!$C$23)*parametros_manuales!G$12</f>
        <v>0</v>
      </c>
      <c r="J17" s="42" t="n">
        <f aca="false">(datos_base!$C$9+datos_base!$C$23)*parametros_manuales!H$12</f>
        <v>0</v>
      </c>
      <c r="K17" s="42" t="n">
        <f aca="false">(datos_base!$C$9+datos_base!$C$23)*parametros_manuales!I$12</f>
        <v>0</v>
      </c>
      <c r="L17" s="42" t="n">
        <f aca="false">(datos_base!$C$9+datos_base!$C$23)*parametros_manuales!J$12</f>
        <v>0</v>
      </c>
      <c r="M17" s="42" t="n">
        <f aca="false">(datos_base!$C$9+datos_base!$C$23)*parametros_manuales!K$12</f>
        <v>0</v>
      </c>
      <c r="N17" s="42" t="n">
        <f aca="false">(datos_base!$C$9+datos_base!$C$23)*parametros_manuales!L$12</f>
        <v>0</v>
      </c>
      <c r="O17" s="42" t="n">
        <f aca="false">(datos_base!$C$9+datos_base!$C$23)*parametros_manuales!M$12</f>
        <v>0</v>
      </c>
      <c r="P17" s="9" t="n">
        <f aca="false">SUM(D17:O17)</f>
        <v>0</v>
      </c>
    </row>
    <row r="18" customFormat="false" ht="14.25" hidden="false" customHeight="true" outlineLevel="0" collapsed="false">
      <c r="A18" s="41" t="n">
        <v>2027</v>
      </c>
      <c r="B18" s="8" t="s">
        <v>23</v>
      </c>
      <c r="C18" s="8" t="s">
        <v>185</v>
      </c>
      <c r="D18" s="42" t="n">
        <f aca="false">(datos_base!$C$10+datos_base!$C$24)*parametros_manuales!B$13</f>
        <v>1.132</v>
      </c>
      <c r="E18" s="42" t="n">
        <f aca="false">(datos_base!$C$10+datos_base!$C$24)*parametros_manuales!C$13</f>
        <v>0.9056</v>
      </c>
      <c r="F18" s="42" t="n">
        <f aca="false">(datos_base!$C$10+datos_base!$C$24)*parametros_manuales!D$13</f>
        <v>0.9622</v>
      </c>
      <c r="G18" s="42" t="n">
        <f aca="false">(datos_base!$C$10+datos_base!$C$24)*parametros_manuales!E$13</f>
        <v>0.9622</v>
      </c>
      <c r="H18" s="42" t="n">
        <f aca="false">(datos_base!$C$10+datos_base!$C$24)*parametros_manuales!F$13</f>
        <v>0.9056</v>
      </c>
      <c r="I18" s="42" t="n">
        <f aca="false">(datos_base!$C$10+datos_base!$C$24)*parametros_manuales!G$13</f>
        <v>0.849</v>
      </c>
      <c r="J18" s="42" t="n">
        <f aca="false">(datos_base!$C$10+datos_base!$C$24)*parametros_manuales!H$13</f>
        <v>0.9056</v>
      </c>
      <c r="K18" s="42" t="n">
        <f aca="false">(datos_base!$C$10+datos_base!$C$24)*parametros_manuales!I$13</f>
        <v>0.9056</v>
      </c>
      <c r="L18" s="42" t="n">
        <f aca="false">(datos_base!$C$10+datos_base!$C$24)*parametros_manuales!J$13</f>
        <v>0.9056</v>
      </c>
      <c r="M18" s="42" t="n">
        <f aca="false">(datos_base!$C$10+datos_base!$C$24)*parametros_manuales!K$13</f>
        <v>0.849</v>
      </c>
      <c r="N18" s="42" t="n">
        <f aca="false">(datos_base!$C$10+datos_base!$C$24)*parametros_manuales!L$13</f>
        <v>0.7924</v>
      </c>
      <c r="O18" s="42" t="n">
        <f aca="false">(datos_base!$C$10+datos_base!$C$24)*parametros_manuales!M$13</f>
        <v>1.2452</v>
      </c>
      <c r="P18" s="9" t="n">
        <f aca="false">SUM(D18:O18)</f>
        <v>11.32</v>
      </c>
    </row>
    <row r="19" customFormat="false" ht="14.25" hidden="false" customHeight="true" outlineLevel="0" collapsed="false">
      <c r="A19" s="41" t="n">
        <v>2027</v>
      </c>
      <c r="B19" s="8" t="s">
        <v>24</v>
      </c>
      <c r="C19" s="8" t="s">
        <v>185</v>
      </c>
      <c r="D19" s="42" t="n">
        <f aca="false">(datos_base!$C$11+datos_base!$C$25)*parametros_manuales!B$14</f>
        <v>6.776</v>
      </c>
      <c r="E19" s="42" t="n">
        <f aca="false">(datos_base!$C$11+datos_base!$C$25)*parametros_manuales!C$14</f>
        <v>5.4208</v>
      </c>
      <c r="F19" s="42" t="n">
        <f aca="false">(datos_base!$C$11+datos_base!$C$25)*parametros_manuales!D$14</f>
        <v>5.7596</v>
      </c>
      <c r="G19" s="42" t="n">
        <f aca="false">(datos_base!$C$11+datos_base!$C$25)*parametros_manuales!E$14</f>
        <v>5.7596</v>
      </c>
      <c r="H19" s="42" t="n">
        <f aca="false">(datos_base!$C$11+datos_base!$C$25)*parametros_manuales!F$14</f>
        <v>5.4208</v>
      </c>
      <c r="I19" s="42" t="n">
        <f aca="false">(datos_base!$C$11+datos_base!$C$25)*parametros_manuales!G$14</f>
        <v>5.082</v>
      </c>
      <c r="J19" s="42" t="n">
        <f aca="false">(datos_base!$C$11+datos_base!$C$25)*parametros_manuales!H$14</f>
        <v>5.4208</v>
      </c>
      <c r="K19" s="42" t="n">
        <f aca="false">(datos_base!$C$11+datos_base!$C$25)*parametros_manuales!I$14</f>
        <v>5.4208</v>
      </c>
      <c r="L19" s="42" t="n">
        <f aca="false">(datos_base!$C$11+datos_base!$C$25)*parametros_manuales!J$14</f>
        <v>5.4208</v>
      </c>
      <c r="M19" s="42" t="n">
        <f aca="false">(datos_base!$C$11+datos_base!$C$25)*parametros_manuales!K$14</f>
        <v>5.082</v>
      </c>
      <c r="N19" s="42" t="n">
        <f aca="false">(datos_base!$C$11+datos_base!$C$25)*parametros_manuales!L$14</f>
        <v>4.7432</v>
      </c>
      <c r="O19" s="42" t="n">
        <f aca="false">(datos_base!$C$11+datos_base!$C$25)*parametros_manuales!M$14</f>
        <v>7.4536</v>
      </c>
      <c r="P19" s="9" t="n">
        <f aca="false">SUM(D19:O19)</f>
        <v>67.76</v>
      </c>
    </row>
    <row r="20" customFormat="false" ht="14.25" hidden="false" customHeight="true" outlineLevel="0" collapsed="false">
      <c r="A20" s="41" t="n">
        <v>2027</v>
      </c>
      <c r="B20" s="8" t="s">
        <v>25</v>
      </c>
      <c r="C20" s="8" t="s">
        <v>185</v>
      </c>
      <c r="D20" s="42" t="n">
        <f aca="false">(datos_base!$C$12+datos_base!$C$26)*parametros_manuales!B$15</f>
        <v>0.416</v>
      </c>
      <c r="E20" s="42" t="n">
        <f aca="false">(datos_base!$C$12+datos_base!$C$26)*parametros_manuales!C$15</f>
        <v>0.3328</v>
      </c>
      <c r="F20" s="42" t="n">
        <f aca="false">(datos_base!$C$12+datos_base!$C$26)*parametros_manuales!D$15</f>
        <v>0.3536</v>
      </c>
      <c r="G20" s="42" t="n">
        <f aca="false">(datos_base!$C$12+datos_base!$C$26)*parametros_manuales!E$15</f>
        <v>0.3536</v>
      </c>
      <c r="H20" s="42" t="n">
        <f aca="false">(datos_base!$C$12+datos_base!$C$26)*parametros_manuales!F$15</f>
        <v>0.3328</v>
      </c>
      <c r="I20" s="42" t="n">
        <f aca="false">(datos_base!$C$12+datos_base!$C$26)*parametros_manuales!G$15</f>
        <v>0.312</v>
      </c>
      <c r="J20" s="42" t="n">
        <f aca="false">(datos_base!$C$12+datos_base!$C$26)*parametros_manuales!H$15</f>
        <v>0.3328</v>
      </c>
      <c r="K20" s="42" t="n">
        <f aca="false">(datos_base!$C$12+datos_base!$C$26)*parametros_manuales!I$15</f>
        <v>0.3328</v>
      </c>
      <c r="L20" s="42" t="n">
        <f aca="false">(datos_base!$C$12+datos_base!$C$26)*parametros_manuales!J$15</f>
        <v>0.3328</v>
      </c>
      <c r="M20" s="42" t="n">
        <f aca="false">(datos_base!$C$12+datos_base!$C$26)*parametros_manuales!K$15</f>
        <v>0.312</v>
      </c>
      <c r="N20" s="42" t="n">
        <f aca="false">(datos_base!$C$12+datos_base!$C$26)*parametros_manuales!L$15</f>
        <v>0.2912</v>
      </c>
      <c r="O20" s="42" t="n">
        <f aca="false">(datos_base!$C$12+datos_base!$C$26)*parametros_manuales!M$15</f>
        <v>0.4576</v>
      </c>
      <c r="P20" s="9" t="n">
        <f aca="false">SUM(D20:O20)</f>
        <v>4.16</v>
      </c>
    </row>
    <row r="21" customFormat="false" ht="14.25" hidden="false" customHeight="true" outlineLevel="0" collapsed="false">
      <c r="B21" s="10" t="s">
        <v>186</v>
      </c>
      <c r="D21" s="11" t="n">
        <f aca="false">SUM(D13:D20)</f>
        <v>1205.92384004</v>
      </c>
      <c r="E21" s="11" t="n">
        <f aca="false">SUM(E13:E20)</f>
        <v>928.75524817</v>
      </c>
      <c r="F21" s="11" t="n">
        <f aca="false">SUM(F13:F20)</f>
        <v>893.09457654</v>
      </c>
      <c r="G21" s="11" t="n">
        <f aca="false">SUM(G13:G20)</f>
        <v>863.108056655</v>
      </c>
      <c r="H21" s="11" t="n">
        <f aca="false">SUM(H13:H20)</f>
        <v>808.80916863</v>
      </c>
      <c r="I21" s="11" t="n">
        <f aca="false">SUM(I13:I20)</f>
        <v>784.49680049</v>
      </c>
      <c r="J21" s="11" t="n">
        <f aca="false">SUM(J13:J20)</f>
        <v>838.795688515</v>
      </c>
      <c r="K21" s="11" t="n">
        <f aca="false">SUM(K13:K20)</f>
        <v>838.795688515</v>
      </c>
      <c r="L21" s="11" t="n">
        <f aca="false">SUM(L13:L20)</f>
        <v>838.795688515</v>
      </c>
      <c r="M21" s="11" t="n">
        <f aca="false">SUM(M13:M20)</f>
        <v>814.483320375</v>
      </c>
      <c r="N21" s="11" t="n">
        <f aca="false">SUM(N13:N20)</f>
        <v>790.170952235</v>
      </c>
      <c r="O21" s="11" t="n">
        <f aca="false">SUM(O13:O20)</f>
        <v>1254.54857632</v>
      </c>
      <c r="P21" s="11" t="n">
        <f aca="false">SUM(P13:P20)</f>
        <v>10859.777605</v>
      </c>
    </row>
    <row r="22" customFormat="false" ht="14.25" hidden="false" customHeight="true" outlineLevel="0" collapsed="false"/>
    <row r="23" customFormat="false" ht="14.25" hidden="false" customHeight="true" outlineLevel="0" collapsed="false">
      <c r="A23" s="7" t="n">
        <v>2028</v>
      </c>
      <c r="B23" s="7" t="s">
        <v>181</v>
      </c>
      <c r="C23" s="7" t="s">
        <v>182</v>
      </c>
      <c r="D23" s="7" t="s">
        <v>61</v>
      </c>
      <c r="E23" s="7" t="s">
        <v>62</v>
      </c>
      <c r="F23" s="7" t="s">
        <v>63</v>
      </c>
      <c r="G23" s="7" t="s">
        <v>64</v>
      </c>
      <c r="H23" s="7" t="s">
        <v>65</v>
      </c>
      <c r="I23" s="7" t="s">
        <v>66</v>
      </c>
      <c r="J23" s="7" t="s">
        <v>67</v>
      </c>
      <c r="K23" s="7" t="s">
        <v>68</v>
      </c>
      <c r="L23" s="7" t="s">
        <v>69</v>
      </c>
      <c r="M23" s="7" t="s">
        <v>70</v>
      </c>
      <c r="N23" s="7" t="s">
        <v>71</v>
      </c>
      <c r="O23" s="7" t="s">
        <v>72</v>
      </c>
      <c r="P23" s="7" t="s">
        <v>183</v>
      </c>
    </row>
    <row r="24" customFormat="false" ht="14.25" hidden="false" customHeight="true" outlineLevel="0" collapsed="false">
      <c r="A24" s="41" t="n">
        <v>2028</v>
      </c>
      <c r="B24" s="8" t="s">
        <v>16</v>
      </c>
      <c r="C24" s="8" t="s">
        <v>184</v>
      </c>
      <c r="D24" s="42" t="n">
        <f aca="false">(datos_base!$D$2+datos_base!$D$18)*parametros_manuales!B$12</f>
        <v>822.20973096</v>
      </c>
      <c r="E24" s="42" t="n">
        <f aca="false">(datos_base!$D$2+datos_base!$D$18)*parametros_manuales!C$12</f>
        <v>616.65729822</v>
      </c>
      <c r="F24" s="42" t="n">
        <f aca="false">(datos_base!$D$2+datos_base!$D$18)*parametros_manuales!D$12</f>
        <v>548.13982064</v>
      </c>
      <c r="G24" s="42" t="n">
        <f aca="false">(datos_base!$D$2+datos_base!$D$18)*parametros_manuales!E$12</f>
        <v>513.88108185</v>
      </c>
      <c r="H24" s="42" t="n">
        <f aca="false">(datos_base!$D$2+datos_base!$D$18)*parametros_manuales!F$12</f>
        <v>479.62234306</v>
      </c>
      <c r="I24" s="42" t="n">
        <f aca="false">(datos_base!$D$2+datos_base!$D$18)*parametros_manuales!G$12</f>
        <v>479.62234306</v>
      </c>
      <c r="J24" s="42" t="n">
        <f aca="false">(datos_base!$D$2+datos_base!$D$18)*parametros_manuales!H$12</f>
        <v>513.88108185</v>
      </c>
      <c r="K24" s="42" t="n">
        <f aca="false">(datos_base!$D$2+datos_base!$D$18)*parametros_manuales!I$12</f>
        <v>513.88108185</v>
      </c>
      <c r="L24" s="42" t="n">
        <f aca="false">(datos_base!$D$2+datos_base!$D$18)*parametros_manuales!J$12</f>
        <v>513.88108185</v>
      </c>
      <c r="M24" s="42" t="n">
        <f aca="false">(datos_base!$D$2+datos_base!$D$18)*parametros_manuales!K$12</f>
        <v>513.88108185</v>
      </c>
      <c r="N24" s="42" t="n">
        <f aca="false">(datos_base!$D$2+datos_base!$D$18)*parametros_manuales!L$12</f>
        <v>513.88108185</v>
      </c>
      <c r="O24" s="42" t="n">
        <f aca="false">(datos_base!$D$2+datos_base!$D$18)*parametros_manuales!M$12</f>
        <v>822.20973096</v>
      </c>
      <c r="P24" s="9" t="n">
        <f aca="false">SUM(D24:O24)</f>
        <v>6851.747758</v>
      </c>
    </row>
    <row r="25" customFormat="false" ht="14.25" hidden="false" customHeight="true" outlineLevel="0" collapsed="false">
      <c r="A25" s="41" t="n">
        <v>2028</v>
      </c>
      <c r="B25" s="8" t="s">
        <v>17</v>
      </c>
      <c r="C25" s="8" t="s">
        <v>184</v>
      </c>
      <c r="D25" s="42" t="n">
        <f aca="false">(datos_base!$D$3+datos_base!$D$19)*parametros_manuales!B$13</f>
        <v>99.75880576</v>
      </c>
      <c r="E25" s="42" t="n">
        <f aca="false">(datos_base!$D$3+datos_base!$D$19)*parametros_manuales!C$13</f>
        <v>79.807044608</v>
      </c>
      <c r="F25" s="42" t="n">
        <f aca="false">(datos_base!$D$3+datos_base!$D$19)*parametros_manuales!D$13</f>
        <v>84.794984896</v>
      </c>
      <c r="G25" s="42" t="n">
        <f aca="false">(datos_base!$D$3+datos_base!$D$19)*parametros_manuales!E$13</f>
        <v>84.794984896</v>
      </c>
      <c r="H25" s="42" t="n">
        <f aca="false">(datos_base!$D$3+datos_base!$D$19)*parametros_manuales!F$13</f>
        <v>79.807044608</v>
      </c>
      <c r="I25" s="42" t="n">
        <f aca="false">(datos_base!$D$3+datos_base!$D$19)*parametros_manuales!G$13</f>
        <v>74.81910432</v>
      </c>
      <c r="J25" s="42" t="n">
        <f aca="false">(datos_base!$D$3+datos_base!$D$19)*parametros_manuales!H$13</f>
        <v>79.807044608</v>
      </c>
      <c r="K25" s="42" t="n">
        <f aca="false">(datos_base!$D$3+datos_base!$D$19)*parametros_manuales!I$13</f>
        <v>79.807044608</v>
      </c>
      <c r="L25" s="42" t="n">
        <f aca="false">(datos_base!$D$3+datos_base!$D$19)*parametros_manuales!J$13</f>
        <v>79.807044608</v>
      </c>
      <c r="M25" s="42" t="n">
        <f aca="false">(datos_base!$D$3+datos_base!$D$19)*parametros_manuales!K$13</f>
        <v>74.81910432</v>
      </c>
      <c r="N25" s="42" t="n">
        <f aca="false">(datos_base!$D$3+datos_base!$D$19)*parametros_manuales!L$13</f>
        <v>69.831164032</v>
      </c>
      <c r="O25" s="42" t="n">
        <f aca="false">(datos_base!$D$3+datos_base!$D$19)*parametros_manuales!M$13</f>
        <v>109.734686336</v>
      </c>
      <c r="P25" s="9" t="n">
        <f aca="false">SUM(D25:O25)</f>
        <v>997.5880576</v>
      </c>
    </row>
    <row r="26" customFormat="false" ht="14.25" hidden="false" customHeight="true" outlineLevel="0" collapsed="false">
      <c r="A26" s="41" t="n">
        <v>2028</v>
      </c>
      <c r="B26" s="8" t="s">
        <v>18</v>
      </c>
      <c r="C26" s="8" t="s">
        <v>184</v>
      </c>
      <c r="D26" s="42" t="n">
        <f aca="false">(datos_base!$D$4+datos_base!$D$20)*parametros_manuales!B$14</f>
        <v>515.6377591</v>
      </c>
      <c r="E26" s="42" t="n">
        <f aca="false">(datos_base!$D$4+datos_base!$D$20)*parametros_manuales!C$14</f>
        <v>412.51020728</v>
      </c>
      <c r="F26" s="42" t="n">
        <f aca="false">(datos_base!$D$4+datos_base!$D$20)*parametros_manuales!D$14</f>
        <v>438.292095235</v>
      </c>
      <c r="G26" s="42" t="n">
        <f aca="false">(datos_base!$D$4+datos_base!$D$20)*parametros_manuales!E$14</f>
        <v>438.292095235</v>
      </c>
      <c r="H26" s="42" t="n">
        <f aca="false">(datos_base!$D$4+datos_base!$D$20)*parametros_manuales!F$14</f>
        <v>412.51020728</v>
      </c>
      <c r="I26" s="42" t="n">
        <f aca="false">(datos_base!$D$4+datos_base!$D$20)*parametros_manuales!G$14</f>
        <v>386.728319325</v>
      </c>
      <c r="J26" s="42" t="n">
        <f aca="false">(datos_base!$D$4+datos_base!$D$20)*parametros_manuales!H$14</f>
        <v>412.51020728</v>
      </c>
      <c r="K26" s="42" t="n">
        <f aca="false">(datos_base!$D$4+datos_base!$D$20)*parametros_manuales!I$14</f>
        <v>412.51020728</v>
      </c>
      <c r="L26" s="42" t="n">
        <f aca="false">(datos_base!$D$4+datos_base!$D$20)*parametros_manuales!J$14</f>
        <v>412.51020728</v>
      </c>
      <c r="M26" s="42" t="n">
        <f aca="false">(datos_base!$D$4+datos_base!$D$20)*parametros_manuales!K$14</f>
        <v>386.728319325</v>
      </c>
      <c r="N26" s="42" t="n">
        <f aca="false">(datos_base!$D$4+datos_base!$D$20)*parametros_manuales!L$14</f>
        <v>360.94643137</v>
      </c>
      <c r="O26" s="42" t="n">
        <f aca="false">(datos_base!$D$4+datos_base!$D$20)*parametros_manuales!M$14</f>
        <v>567.20153501</v>
      </c>
      <c r="P26" s="9" t="n">
        <f aca="false">SUM(D26:O26)</f>
        <v>5156.377591</v>
      </c>
    </row>
    <row r="27" customFormat="false" ht="14.25" hidden="false" customHeight="true" outlineLevel="0" collapsed="false">
      <c r="A27" s="41" t="n">
        <v>2028</v>
      </c>
      <c r="B27" s="8" t="s">
        <v>19</v>
      </c>
      <c r="C27" s="8" t="s">
        <v>184</v>
      </c>
      <c r="D27" s="42" t="n">
        <f aca="false">(datos_base!$D$5+datos_base!$D$21)*parametros_manuales!B$15</f>
        <v>25.82187798</v>
      </c>
      <c r="E27" s="42" t="n">
        <f aca="false">(datos_base!$D$5+datos_base!$D$21)*parametros_manuales!C$15</f>
        <v>20.657502384</v>
      </c>
      <c r="F27" s="42" t="n">
        <f aca="false">(datos_base!$D$5+datos_base!$D$21)*parametros_manuales!D$15</f>
        <v>21.948596283</v>
      </c>
      <c r="G27" s="42" t="n">
        <f aca="false">(datos_base!$D$5+datos_base!$D$21)*parametros_manuales!E$15</f>
        <v>21.948596283</v>
      </c>
      <c r="H27" s="42" t="n">
        <f aca="false">(datos_base!$D$5+datos_base!$D$21)*parametros_manuales!F$15</f>
        <v>20.657502384</v>
      </c>
      <c r="I27" s="42" t="n">
        <f aca="false">(datos_base!$D$5+datos_base!$D$21)*parametros_manuales!G$15</f>
        <v>19.366408485</v>
      </c>
      <c r="J27" s="42" t="n">
        <f aca="false">(datos_base!$D$5+datos_base!$D$21)*parametros_manuales!H$15</f>
        <v>20.657502384</v>
      </c>
      <c r="K27" s="42" t="n">
        <f aca="false">(datos_base!$D$5+datos_base!$D$21)*parametros_manuales!I$15</f>
        <v>20.657502384</v>
      </c>
      <c r="L27" s="42" t="n">
        <f aca="false">(datos_base!$D$5+datos_base!$D$21)*parametros_manuales!J$15</f>
        <v>20.657502384</v>
      </c>
      <c r="M27" s="42" t="n">
        <f aca="false">(datos_base!$D$5+datos_base!$D$21)*parametros_manuales!K$15</f>
        <v>19.366408485</v>
      </c>
      <c r="N27" s="42" t="n">
        <f aca="false">(datos_base!$D$5+datos_base!$D$21)*parametros_manuales!L$15</f>
        <v>18.075314586</v>
      </c>
      <c r="O27" s="42" t="n">
        <f aca="false">(datos_base!$D$5+datos_base!$D$21)*parametros_manuales!M$15</f>
        <v>28.404065778</v>
      </c>
      <c r="P27" s="9" t="n">
        <f aca="false">SUM(D27:O27)</f>
        <v>258.2187798</v>
      </c>
    </row>
    <row r="28" customFormat="false" ht="14.25" hidden="false" customHeight="true" outlineLevel="0" collapsed="false">
      <c r="A28" s="41" t="n">
        <v>2028</v>
      </c>
      <c r="B28" s="8" t="s">
        <v>22</v>
      </c>
      <c r="C28" s="8" t="s">
        <v>185</v>
      </c>
      <c r="D28" s="42" t="n">
        <f aca="false">(datos_base!$D$9+datos_base!$D$23)*parametros_manuales!B$12</f>
        <v>919.488</v>
      </c>
      <c r="E28" s="42" t="n">
        <f aca="false">(datos_base!$D$9+datos_base!$D$23)*parametros_manuales!C$12</f>
        <v>689.616</v>
      </c>
      <c r="F28" s="42" t="n">
        <f aca="false">(datos_base!$D$9+datos_base!$D$23)*parametros_manuales!D$12</f>
        <v>612.992</v>
      </c>
      <c r="G28" s="42" t="n">
        <f aca="false">(datos_base!$D$9+datos_base!$D$23)*parametros_manuales!E$12</f>
        <v>574.68</v>
      </c>
      <c r="H28" s="42" t="n">
        <f aca="false">(datos_base!$D$9+datos_base!$D$23)*parametros_manuales!F$12</f>
        <v>536.368</v>
      </c>
      <c r="I28" s="42" t="n">
        <f aca="false">(datos_base!$D$9+datos_base!$D$23)*parametros_manuales!G$12</f>
        <v>536.368</v>
      </c>
      <c r="J28" s="42" t="n">
        <f aca="false">(datos_base!$D$9+datos_base!$D$23)*parametros_manuales!H$12</f>
        <v>574.68</v>
      </c>
      <c r="K28" s="42" t="n">
        <f aca="false">(datos_base!$D$9+datos_base!$D$23)*parametros_manuales!I$12</f>
        <v>574.68</v>
      </c>
      <c r="L28" s="42" t="n">
        <f aca="false">(datos_base!$D$9+datos_base!$D$23)*parametros_manuales!J$12</f>
        <v>574.68</v>
      </c>
      <c r="M28" s="42" t="n">
        <f aca="false">(datos_base!$D$9+datos_base!$D$23)*parametros_manuales!K$12</f>
        <v>574.68</v>
      </c>
      <c r="N28" s="42" t="n">
        <f aca="false">(datos_base!$D$9+datos_base!$D$23)*parametros_manuales!L$12</f>
        <v>574.68</v>
      </c>
      <c r="O28" s="42" t="n">
        <f aca="false">(datos_base!$D$9+datos_base!$D$23)*parametros_manuales!M$12</f>
        <v>919.488</v>
      </c>
      <c r="P28" s="9" t="n">
        <f aca="false">SUM(D28:O28)</f>
        <v>7662.4</v>
      </c>
    </row>
    <row r="29" customFormat="false" ht="14.25" hidden="false" customHeight="true" outlineLevel="0" collapsed="false">
      <c r="A29" s="41" t="n">
        <v>2028</v>
      </c>
      <c r="B29" s="8" t="s">
        <v>23</v>
      </c>
      <c r="C29" s="8" t="s">
        <v>185</v>
      </c>
      <c r="D29" s="42" t="n">
        <f aca="false">(datos_base!$D$10+datos_base!$D$24)*parametros_manuales!B$13</f>
        <v>31.98</v>
      </c>
      <c r="E29" s="42" t="n">
        <f aca="false">(datos_base!$D$10+datos_base!$D$24)*parametros_manuales!C$13</f>
        <v>25.584</v>
      </c>
      <c r="F29" s="42" t="n">
        <f aca="false">(datos_base!$D$10+datos_base!$D$24)*parametros_manuales!D$13</f>
        <v>27.183</v>
      </c>
      <c r="G29" s="42" t="n">
        <f aca="false">(datos_base!$D$10+datos_base!$D$24)*parametros_manuales!E$13</f>
        <v>27.183</v>
      </c>
      <c r="H29" s="42" t="n">
        <f aca="false">(datos_base!$D$10+datos_base!$D$24)*parametros_manuales!F$13</f>
        <v>25.584</v>
      </c>
      <c r="I29" s="42" t="n">
        <f aca="false">(datos_base!$D$10+datos_base!$D$24)*parametros_manuales!G$13</f>
        <v>23.985</v>
      </c>
      <c r="J29" s="42" t="n">
        <f aca="false">(datos_base!$D$10+datos_base!$D$24)*parametros_manuales!H$13</f>
        <v>25.584</v>
      </c>
      <c r="K29" s="42" t="n">
        <f aca="false">(datos_base!$D$10+datos_base!$D$24)*parametros_manuales!I$13</f>
        <v>25.584</v>
      </c>
      <c r="L29" s="42" t="n">
        <f aca="false">(datos_base!$D$10+datos_base!$D$24)*parametros_manuales!J$13</f>
        <v>25.584</v>
      </c>
      <c r="M29" s="42" t="n">
        <f aca="false">(datos_base!$D$10+datos_base!$D$24)*parametros_manuales!K$13</f>
        <v>23.985</v>
      </c>
      <c r="N29" s="42" t="n">
        <f aca="false">(datos_base!$D$10+datos_base!$D$24)*parametros_manuales!L$13</f>
        <v>22.386</v>
      </c>
      <c r="O29" s="42" t="n">
        <f aca="false">(datos_base!$D$10+datos_base!$D$24)*parametros_manuales!M$13</f>
        <v>35.178</v>
      </c>
      <c r="P29" s="9" t="n">
        <f aca="false">SUM(D29:O29)</f>
        <v>319.8</v>
      </c>
    </row>
    <row r="30" customFormat="false" ht="14.25" hidden="false" customHeight="true" outlineLevel="0" collapsed="false">
      <c r="A30" s="41" t="n">
        <v>2028</v>
      </c>
      <c r="B30" s="8" t="s">
        <v>24</v>
      </c>
      <c r="C30" s="8" t="s">
        <v>185</v>
      </c>
      <c r="D30" s="42" t="n">
        <f aca="false">(datos_base!$D$11+datos_base!$D$25)*parametros_manuales!B$14</f>
        <v>159.584</v>
      </c>
      <c r="E30" s="42" t="n">
        <f aca="false">(datos_base!$D$11+datos_base!$D$25)*parametros_manuales!C$14</f>
        <v>127.6672</v>
      </c>
      <c r="F30" s="42" t="n">
        <f aca="false">(datos_base!$D$11+datos_base!$D$25)*parametros_manuales!D$14</f>
        <v>135.6464</v>
      </c>
      <c r="G30" s="42" t="n">
        <f aca="false">(datos_base!$D$11+datos_base!$D$25)*parametros_manuales!E$14</f>
        <v>135.6464</v>
      </c>
      <c r="H30" s="42" t="n">
        <f aca="false">(datos_base!$D$11+datos_base!$D$25)*parametros_manuales!F$14</f>
        <v>127.6672</v>
      </c>
      <c r="I30" s="42" t="n">
        <f aca="false">(datos_base!$D$11+datos_base!$D$25)*parametros_manuales!G$14</f>
        <v>119.688</v>
      </c>
      <c r="J30" s="42" t="n">
        <f aca="false">(datos_base!$D$11+datos_base!$D$25)*parametros_manuales!H$14</f>
        <v>127.6672</v>
      </c>
      <c r="K30" s="42" t="n">
        <f aca="false">(datos_base!$D$11+datos_base!$D$25)*parametros_manuales!I$14</f>
        <v>127.6672</v>
      </c>
      <c r="L30" s="42" t="n">
        <f aca="false">(datos_base!$D$11+datos_base!$D$25)*parametros_manuales!J$14</f>
        <v>127.6672</v>
      </c>
      <c r="M30" s="42" t="n">
        <f aca="false">(datos_base!$D$11+datos_base!$D$25)*parametros_manuales!K$14</f>
        <v>119.688</v>
      </c>
      <c r="N30" s="42" t="n">
        <f aca="false">(datos_base!$D$11+datos_base!$D$25)*parametros_manuales!L$14</f>
        <v>111.7088</v>
      </c>
      <c r="O30" s="42" t="n">
        <f aca="false">(datos_base!$D$11+datos_base!$D$25)*parametros_manuales!M$14</f>
        <v>175.5424</v>
      </c>
      <c r="P30" s="9" t="n">
        <f aca="false">SUM(D30:O30)</f>
        <v>1595.84</v>
      </c>
    </row>
    <row r="31" customFormat="false" ht="14.25" hidden="false" customHeight="true" outlineLevel="0" collapsed="false">
      <c r="A31" s="41" t="n">
        <v>2028</v>
      </c>
      <c r="B31" s="8" t="s">
        <v>25</v>
      </c>
      <c r="C31" s="8" t="s">
        <v>185</v>
      </c>
      <c r="D31" s="42" t="n">
        <f aca="false">(datos_base!$D$12+datos_base!$D$26)*parametros_manuales!B$15</f>
        <v>9.788</v>
      </c>
      <c r="E31" s="42" t="n">
        <f aca="false">(datos_base!$D$12+datos_base!$D$26)*parametros_manuales!C$15</f>
        <v>7.8304</v>
      </c>
      <c r="F31" s="42" t="n">
        <f aca="false">(datos_base!$D$12+datos_base!$D$26)*parametros_manuales!D$15</f>
        <v>8.3198</v>
      </c>
      <c r="G31" s="42" t="n">
        <f aca="false">(datos_base!$D$12+datos_base!$D$26)*parametros_manuales!E$15</f>
        <v>8.3198</v>
      </c>
      <c r="H31" s="42" t="n">
        <f aca="false">(datos_base!$D$12+datos_base!$D$26)*parametros_manuales!F$15</f>
        <v>7.8304</v>
      </c>
      <c r="I31" s="42" t="n">
        <f aca="false">(datos_base!$D$12+datos_base!$D$26)*parametros_manuales!G$15</f>
        <v>7.341</v>
      </c>
      <c r="J31" s="42" t="n">
        <f aca="false">(datos_base!$D$12+datos_base!$D$26)*parametros_manuales!H$15</f>
        <v>7.8304</v>
      </c>
      <c r="K31" s="42" t="n">
        <f aca="false">(datos_base!$D$12+datos_base!$D$26)*parametros_manuales!I$15</f>
        <v>7.8304</v>
      </c>
      <c r="L31" s="42" t="n">
        <f aca="false">(datos_base!$D$12+datos_base!$D$26)*parametros_manuales!J$15</f>
        <v>7.8304</v>
      </c>
      <c r="M31" s="42" t="n">
        <f aca="false">(datos_base!$D$12+datos_base!$D$26)*parametros_manuales!K$15</f>
        <v>7.341</v>
      </c>
      <c r="N31" s="42" t="n">
        <f aca="false">(datos_base!$D$12+datos_base!$D$26)*parametros_manuales!L$15</f>
        <v>6.8516</v>
      </c>
      <c r="O31" s="42" t="n">
        <f aca="false">(datos_base!$D$12+datos_base!$D$26)*parametros_manuales!M$15</f>
        <v>10.7668</v>
      </c>
      <c r="P31" s="9" t="n">
        <f aca="false">SUM(D31:O31)</f>
        <v>97.88</v>
      </c>
    </row>
    <row r="32" customFormat="false" ht="14.25" hidden="false" customHeight="true" outlineLevel="0" collapsed="false">
      <c r="B32" s="10" t="s">
        <v>186</v>
      </c>
      <c r="D32" s="11" t="n">
        <f aca="false">SUM(D24:D31)</f>
        <v>2584.2681738</v>
      </c>
      <c r="E32" s="11" t="n">
        <f aca="false">SUM(E24:E31)</f>
        <v>1980.329652492</v>
      </c>
      <c r="F32" s="11" t="n">
        <f aca="false">SUM(F24:F31)</f>
        <v>1877.316697054</v>
      </c>
      <c r="G32" s="11" t="n">
        <f aca="false">SUM(G24:G31)</f>
        <v>1804.745958264</v>
      </c>
      <c r="H32" s="11" t="n">
        <f aca="false">SUM(H24:H31)</f>
        <v>1690.046697332</v>
      </c>
      <c r="I32" s="11" t="n">
        <f aca="false">SUM(I24:I31)</f>
        <v>1647.91817519</v>
      </c>
      <c r="J32" s="11" t="n">
        <f aca="false">SUM(J24:J31)</f>
        <v>1762.617436122</v>
      </c>
      <c r="K32" s="11" t="n">
        <f aca="false">SUM(K24:K31)</f>
        <v>1762.617436122</v>
      </c>
      <c r="L32" s="11" t="n">
        <f aca="false">SUM(L24:L31)</f>
        <v>1762.617436122</v>
      </c>
      <c r="M32" s="11" t="n">
        <f aca="false">SUM(M24:M31)</f>
        <v>1720.48891398</v>
      </c>
      <c r="N32" s="11" t="n">
        <f aca="false">SUM(N24:N31)</f>
        <v>1678.360391838</v>
      </c>
      <c r="O32" s="11" t="n">
        <f aca="false">SUM(O24:O31)</f>
        <v>2668.525218084</v>
      </c>
      <c r="P32" s="11" t="n">
        <f aca="false">SUM(P24:P31)</f>
        <v>22939.8521864</v>
      </c>
    </row>
    <row r="33" customFormat="false" ht="14.25" hidden="false" customHeight="true" outlineLevel="0" collapsed="false"/>
    <row r="34" customFormat="false" ht="14.25" hidden="false" customHeight="true" outlineLevel="0" collapsed="false">
      <c r="A34" s="7" t="n">
        <v>2029</v>
      </c>
      <c r="B34" s="7" t="s">
        <v>181</v>
      </c>
      <c r="C34" s="7" t="s">
        <v>182</v>
      </c>
      <c r="D34" s="7" t="s">
        <v>61</v>
      </c>
      <c r="E34" s="7" t="s">
        <v>62</v>
      </c>
      <c r="F34" s="7" t="s">
        <v>63</v>
      </c>
      <c r="G34" s="7" t="s">
        <v>64</v>
      </c>
      <c r="H34" s="7" t="s">
        <v>65</v>
      </c>
      <c r="I34" s="7" t="s">
        <v>66</v>
      </c>
      <c r="J34" s="7" t="s">
        <v>67</v>
      </c>
      <c r="K34" s="7" t="s">
        <v>68</v>
      </c>
      <c r="L34" s="7" t="s">
        <v>69</v>
      </c>
      <c r="M34" s="7" t="s">
        <v>70</v>
      </c>
      <c r="N34" s="7" t="s">
        <v>71</v>
      </c>
      <c r="O34" s="7" t="s">
        <v>72</v>
      </c>
      <c r="P34" s="7" t="s">
        <v>183</v>
      </c>
    </row>
    <row r="35" customFormat="false" ht="14.25" hidden="false" customHeight="true" outlineLevel="0" collapsed="false">
      <c r="A35" s="41" t="n">
        <v>2029</v>
      </c>
      <c r="B35" s="8" t="s">
        <v>16</v>
      </c>
      <c r="C35" s="8" t="s">
        <v>184</v>
      </c>
      <c r="D35" s="42" t="n">
        <f aca="false">(datos_base!$E$2+datos_base!$E$18)*parametros_manuales!B$12</f>
        <v>1016.05626588</v>
      </c>
      <c r="E35" s="42" t="n">
        <f aca="false">(datos_base!$E$2+datos_base!$E$18)*parametros_manuales!C$12</f>
        <v>762.04219941</v>
      </c>
      <c r="F35" s="42" t="n">
        <f aca="false">(datos_base!$E$2+datos_base!$E$18)*parametros_manuales!D$12</f>
        <v>677.37084392</v>
      </c>
      <c r="G35" s="42" t="n">
        <f aca="false">(datos_base!$E$2+datos_base!$E$18)*parametros_manuales!E$12</f>
        <v>635.035166175</v>
      </c>
      <c r="H35" s="42" t="n">
        <f aca="false">(datos_base!$E$2+datos_base!$E$18)*parametros_manuales!F$12</f>
        <v>592.69948843</v>
      </c>
      <c r="I35" s="42" t="n">
        <f aca="false">(datos_base!$E$2+datos_base!$E$18)*parametros_manuales!G$12</f>
        <v>592.69948843</v>
      </c>
      <c r="J35" s="42" t="n">
        <f aca="false">(datos_base!$E$2+datos_base!$E$18)*parametros_manuales!H$12</f>
        <v>635.035166175</v>
      </c>
      <c r="K35" s="42" t="n">
        <f aca="false">(datos_base!$E$2+datos_base!$E$18)*parametros_manuales!I$12</f>
        <v>635.035166175</v>
      </c>
      <c r="L35" s="42" t="n">
        <f aca="false">(datos_base!$E$2+datos_base!$E$18)*parametros_manuales!J$12</f>
        <v>635.035166175</v>
      </c>
      <c r="M35" s="42" t="n">
        <f aca="false">(datos_base!$E$2+datos_base!$E$18)*parametros_manuales!K$12</f>
        <v>635.035166175</v>
      </c>
      <c r="N35" s="42" t="n">
        <f aca="false">(datos_base!$E$2+datos_base!$E$18)*parametros_manuales!L$12</f>
        <v>635.035166175</v>
      </c>
      <c r="O35" s="42" t="n">
        <f aca="false">(datos_base!$E$2+datos_base!$E$18)*parametros_manuales!M$12</f>
        <v>1016.05626588</v>
      </c>
      <c r="P35" s="9" t="n">
        <f aca="false">SUM(D35:O35)</f>
        <v>8467.135549</v>
      </c>
    </row>
    <row r="36" customFormat="false" ht="14.25" hidden="false" customHeight="true" outlineLevel="0" collapsed="false">
      <c r="A36" s="41" t="n">
        <v>2029</v>
      </c>
      <c r="B36" s="8" t="s">
        <v>17</v>
      </c>
      <c r="C36" s="8" t="s">
        <v>184</v>
      </c>
      <c r="D36" s="42" t="n">
        <f aca="false">(datos_base!$E$3+datos_base!$E$19)*parametros_manuales!B$13</f>
        <v>151.8158174</v>
      </c>
      <c r="E36" s="42" t="n">
        <f aca="false">(datos_base!$E$3+datos_base!$E$19)*parametros_manuales!C$13</f>
        <v>121.45265392</v>
      </c>
      <c r="F36" s="42" t="n">
        <f aca="false">(datos_base!$E$3+datos_base!$E$19)*parametros_manuales!D$13</f>
        <v>129.04344479</v>
      </c>
      <c r="G36" s="42" t="n">
        <f aca="false">(datos_base!$E$3+datos_base!$E$19)*parametros_manuales!E$13</f>
        <v>129.04344479</v>
      </c>
      <c r="H36" s="42" t="n">
        <f aca="false">(datos_base!$E$3+datos_base!$E$19)*parametros_manuales!F$13</f>
        <v>121.45265392</v>
      </c>
      <c r="I36" s="42" t="n">
        <f aca="false">(datos_base!$E$3+datos_base!$E$19)*parametros_manuales!G$13</f>
        <v>113.86186305</v>
      </c>
      <c r="J36" s="42" t="n">
        <f aca="false">(datos_base!$E$3+datos_base!$E$19)*parametros_manuales!H$13</f>
        <v>121.45265392</v>
      </c>
      <c r="K36" s="42" t="n">
        <f aca="false">(datos_base!$E$3+datos_base!$E$19)*parametros_manuales!I$13</f>
        <v>121.45265392</v>
      </c>
      <c r="L36" s="42" t="n">
        <f aca="false">(datos_base!$E$3+datos_base!$E$19)*parametros_manuales!J$13</f>
        <v>121.45265392</v>
      </c>
      <c r="M36" s="42" t="n">
        <f aca="false">(datos_base!$E$3+datos_base!$E$19)*parametros_manuales!K$13</f>
        <v>113.86186305</v>
      </c>
      <c r="N36" s="42" t="n">
        <f aca="false">(datos_base!$E$3+datos_base!$E$19)*parametros_manuales!L$13</f>
        <v>106.27107218</v>
      </c>
      <c r="O36" s="42" t="n">
        <f aca="false">(datos_base!$E$3+datos_base!$E$19)*parametros_manuales!M$13</f>
        <v>166.99739914</v>
      </c>
      <c r="P36" s="9" t="n">
        <f aca="false">SUM(D36:O36)</f>
        <v>1518.158174</v>
      </c>
    </row>
    <row r="37" customFormat="false" ht="14.25" hidden="false" customHeight="true" outlineLevel="0" collapsed="false">
      <c r="A37" s="41" t="n">
        <v>2029</v>
      </c>
      <c r="B37" s="8" t="s">
        <v>18</v>
      </c>
      <c r="C37" s="8" t="s">
        <v>184</v>
      </c>
      <c r="D37" s="42" t="n">
        <f aca="false">(datos_base!$E$4+datos_base!$E$20)*parametros_manuales!B$14</f>
        <v>692.6675313</v>
      </c>
      <c r="E37" s="42" t="n">
        <f aca="false">(datos_base!$E$4+datos_base!$E$20)*parametros_manuales!C$14</f>
        <v>554.13402504</v>
      </c>
      <c r="F37" s="42" t="n">
        <f aca="false">(datos_base!$E$4+datos_base!$E$20)*parametros_manuales!D$14</f>
        <v>588.767401605</v>
      </c>
      <c r="G37" s="42" t="n">
        <f aca="false">(datos_base!$E$4+datos_base!$E$20)*parametros_manuales!E$14</f>
        <v>588.767401605</v>
      </c>
      <c r="H37" s="42" t="n">
        <f aca="false">(datos_base!$E$4+datos_base!$E$20)*parametros_manuales!F$14</f>
        <v>554.13402504</v>
      </c>
      <c r="I37" s="42" t="n">
        <f aca="false">(datos_base!$E$4+datos_base!$E$20)*parametros_manuales!G$14</f>
        <v>519.500648475</v>
      </c>
      <c r="J37" s="42" t="n">
        <f aca="false">(datos_base!$E$4+datos_base!$E$20)*parametros_manuales!H$14</f>
        <v>554.13402504</v>
      </c>
      <c r="K37" s="42" t="n">
        <f aca="false">(datos_base!$E$4+datos_base!$E$20)*parametros_manuales!I$14</f>
        <v>554.13402504</v>
      </c>
      <c r="L37" s="42" t="n">
        <f aca="false">(datos_base!$E$4+datos_base!$E$20)*parametros_manuales!J$14</f>
        <v>554.13402504</v>
      </c>
      <c r="M37" s="42" t="n">
        <f aca="false">(datos_base!$E$4+datos_base!$E$20)*parametros_manuales!K$14</f>
        <v>519.500648475</v>
      </c>
      <c r="N37" s="42" t="n">
        <f aca="false">(datos_base!$E$4+datos_base!$E$20)*parametros_manuales!L$14</f>
        <v>484.86727191</v>
      </c>
      <c r="O37" s="42" t="n">
        <f aca="false">(datos_base!$E$4+datos_base!$E$20)*parametros_manuales!M$14</f>
        <v>761.93428443</v>
      </c>
      <c r="P37" s="9" t="n">
        <f aca="false">SUM(D37:O37)</f>
        <v>6926.675313</v>
      </c>
    </row>
    <row r="38" customFormat="false" ht="14.25" hidden="false" customHeight="true" outlineLevel="0" collapsed="false">
      <c r="A38" s="41" t="n">
        <v>2029</v>
      </c>
      <c r="B38" s="8" t="s">
        <v>19</v>
      </c>
      <c r="C38" s="8" t="s">
        <v>184</v>
      </c>
      <c r="D38" s="42" t="n">
        <f aca="false">(datos_base!$E$5+datos_base!$E$21)*parametros_manuales!B$15</f>
        <v>36.46604941</v>
      </c>
      <c r="E38" s="42" t="n">
        <f aca="false">(datos_base!$E$5+datos_base!$E$21)*parametros_manuales!C$15</f>
        <v>29.172839528</v>
      </c>
      <c r="F38" s="42" t="n">
        <f aca="false">(datos_base!$E$5+datos_base!$E$21)*parametros_manuales!D$15</f>
        <v>30.9961419985</v>
      </c>
      <c r="G38" s="42" t="n">
        <f aca="false">(datos_base!$E$5+datos_base!$E$21)*parametros_manuales!E$15</f>
        <v>30.9961419985</v>
      </c>
      <c r="H38" s="42" t="n">
        <f aca="false">(datos_base!$E$5+datos_base!$E$21)*parametros_manuales!F$15</f>
        <v>29.172839528</v>
      </c>
      <c r="I38" s="42" t="n">
        <f aca="false">(datos_base!$E$5+datos_base!$E$21)*parametros_manuales!G$15</f>
        <v>27.3495370575</v>
      </c>
      <c r="J38" s="42" t="n">
        <f aca="false">(datos_base!$E$5+datos_base!$E$21)*parametros_manuales!H$15</f>
        <v>29.172839528</v>
      </c>
      <c r="K38" s="42" t="n">
        <f aca="false">(datos_base!$E$5+datos_base!$E$21)*parametros_manuales!I$15</f>
        <v>29.172839528</v>
      </c>
      <c r="L38" s="42" t="n">
        <f aca="false">(datos_base!$E$5+datos_base!$E$21)*parametros_manuales!J$15</f>
        <v>29.172839528</v>
      </c>
      <c r="M38" s="42" t="n">
        <f aca="false">(datos_base!$E$5+datos_base!$E$21)*parametros_manuales!K$15</f>
        <v>27.3495370575</v>
      </c>
      <c r="N38" s="42" t="n">
        <f aca="false">(datos_base!$E$5+datos_base!$E$21)*parametros_manuales!L$15</f>
        <v>25.526234587</v>
      </c>
      <c r="O38" s="42" t="n">
        <f aca="false">(datos_base!$E$5+datos_base!$E$21)*parametros_manuales!M$15</f>
        <v>40.112654351</v>
      </c>
      <c r="P38" s="9" t="n">
        <f aca="false">SUM(D38:O38)</f>
        <v>364.6604941</v>
      </c>
    </row>
    <row r="39" customFormat="false" ht="14.25" hidden="false" customHeight="true" outlineLevel="0" collapsed="false">
      <c r="A39" s="41" t="n">
        <v>2029</v>
      </c>
      <c r="B39" s="8" t="s">
        <v>22</v>
      </c>
      <c r="C39" s="8" t="s">
        <v>185</v>
      </c>
      <c r="D39" s="42" t="n">
        <f aca="false">(datos_base!$E$9+datos_base!$E$23)*parametros_manuales!B$12</f>
        <v>3203.376</v>
      </c>
      <c r="E39" s="42" t="n">
        <f aca="false">(datos_base!$E$9+datos_base!$E$23)*parametros_manuales!C$12</f>
        <v>2402.532</v>
      </c>
      <c r="F39" s="42" t="n">
        <f aca="false">(datos_base!$E$9+datos_base!$E$23)*parametros_manuales!D$12</f>
        <v>2135.584</v>
      </c>
      <c r="G39" s="42" t="n">
        <f aca="false">(datos_base!$E$9+datos_base!$E$23)*parametros_manuales!E$12</f>
        <v>2002.11</v>
      </c>
      <c r="H39" s="42" t="n">
        <f aca="false">(datos_base!$E$9+datos_base!$E$23)*parametros_manuales!F$12</f>
        <v>1868.636</v>
      </c>
      <c r="I39" s="42" t="n">
        <f aca="false">(datos_base!$E$9+datos_base!$E$23)*parametros_manuales!G$12</f>
        <v>1868.636</v>
      </c>
      <c r="J39" s="42" t="n">
        <f aca="false">(datos_base!$E$9+datos_base!$E$23)*parametros_manuales!H$12</f>
        <v>2002.11</v>
      </c>
      <c r="K39" s="42" t="n">
        <f aca="false">(datos_base!$E$9+datos_base!$E$23)*parametros_manuales!I$12</f>
        <v>2002.11</v>
      </c>
      <c r="L39" s="42" t="n">
        <f aca="false">(datos_base!$E$9+datos_base!$E$23)*parametros_manuales!J$12</f>
        <v>2002.11</v>
      </c>
      <c r="M39" s="42" t="n">
        <f aca="false">(datos_base!$E$9+datos_base!$E$23)*parametros_manuales!K$12</f>
        <v>2002.11</v>
      </c>
      <c r="N39" s="42" t="n">
        <f aca="false">(datos_base!$E$9+datos_base!$E$23)*parametros_manuales!L$12</f>
        <v>2002.11</v>
      </c>
      <c r="O39" s="42" t="n">
        <f aca="false">(datos_base!$E$9+datos_base!$E$23)*parametros_manuales!M$12</f>
        <v>3203.376</v>
      </c>
      <c r="P39" s="9" t="n">
        <f aca="false">SUM(D39:O39)</f>
        <v>26694.8</v>
      </c>
    </row>
    <row r="40" customFormat="false" ht="14.25" hidden="false" customHeight="true" outlineLevel="0" collapsed="false">
      <c r="A40" s="41" t="n">
        <v>2029</v>
      </c>
      <c r="B40" s="8" t="s">
        <v>23</v>
      </c>
      <c r="C40" s="8" t="s">
        <v>185</v>
      </c>
      <c r="D40" s="42" t="n">
        <f aca="false">(datos_base!$E$10+datos_base!$E$24)*parametros_manuales!B$13</f>
        <v>107.452</v>
      </c>
      <c r="E40" s="42" t="n">
        <f aca="false">(datos_base!$E$10+datos_base!$E$24)*parametros_manuales!C$13</f>
        <v>85.9616</v>
      </c>
      <c r="F40" s="42" t="n">
        <f aca="false">(datos_base!$E$10+datos_base!$E$24)*parametros_manuales!D$13</f>
        <v>91.3342</v>
      </c>
      <c r="G40" s="42" t="n">
        <f aca="false">(datos_base!$E$10+datos_base!$E$24)*parametros_manuales!E$13</f>
        <v>91.3342</v>
      </c>
      <c r="H40" s="42" t="n">
        <f aca="false">(datos_base!$E$10+datos_base!$E$24)*parametros_manuales!F$13</f>
        <v>85.9616</v>
      </c>
      <c r="I40" s="42" t="n">
        <f aca="false">(datos_base!$E$10+datos_base!$E$24)*parametros_manuales!G$13</f>
        <v>80.589</v>
      </c>
      <c r="J40" s="42" t="n">
        <f aca="false">(datos_base!$E$10+datos_base!$E$24)*parametros_manuales!H$13</f>
        <v>85.9616</v>
      </c>
      <c r="K40" s="42" t="n">
        <f aca="false">(datos_base!$E$10+datos_base!$E$24)*parametros_manuales!I$13</f>
        <v>85.9616</v>
      </c>
      <c r="L40" s="42" t="n">
        <f aca="false">(datos_base!$E$10+datos_base!$E$24)*parametros_manuales!J$13</f>
        <v>85.9616</v>
      </c>
      <c r="M40" s="42" t="n">
        <f aca="false">(datos_base!$E$10+datos_base!$E$24)*parametros_manuales!K$13</f>
        <v>80.589</v>
      </c>
      <c r="N40" s="42" t="n">
        <f aca="false">(datos_base!$E$10+datos_base!$E$24)*parametros_manuales!L$13</f>
        <v>75.2164</v>
      </c>
      <c r="O40" s="42" t="n">
        <f aca="false">(datos_base!$E$10+datos_base!$E$24)*parametros_manuales!M$13</f>
        <v>118.1972</v>
      </c>
      <c r="P40" s="9" t="n">
        <f aca="false">SUM(D40:O40)</f>
        <v>1074.52</v>
      </c>
    </row>
    <row r="41" customFormat="false" ht="14.25" hidden="false" customHeight="true" outlineLevel="0" collapsed="false">
      <c r="A41" s="41" t="n">
        <v>2029</v>
      </c>
      <c r="B41" s="8" t="s">
        <v>24</v>
      </c>
      <c r="C41" s="8" t="s">
        <v>185</v>
      </c>
      <c r="D41" s="42" t="n">
        <f aca="false">(datos_base!$E$11+datos_base!$E$25)*parametros_manuales!B$14</f>
        <v>534.384</v>
      </c>
      <c r="E41" s="42" t="n">
        <f aca="false">(datos_base!$E$11+datos_base!$E$25)*parametros_manuales!C$14</f>
        <v>427.5072</v>
      </c>
      <c r="F41" s="42" t="n">
        <f aca="false">(datos_base!$E$11+datos_base!$E$25)*parametros_manuales!D$14</f>
        <v>454.2264</v>
      </c>
      <c r="G41" s="42" t="n">
        <f aca="false">(datos_base!$E$11+datos_base!$E$25)*parametros_manuales!E$14</f>
        <v>454.2264</v>
      </c>
      <c r="H41" s="42" t="n">
        <f aca="false">(datos_base!$E$11+datos_base!$E$25)*parametros_manuales!F$14</f>
        <v>427.5072</v>
      </c>
      <c r="I41" s="42" t="n">
        <f aca="false">(datos_base!$E$11+datos_base!$E$25)*parametros_manuales!G$14</f>
        <v>400.788</v>
      </c>
      <c r="J41" s="42" t="n">
        <f aca="false">(datos_base!$E$11+datos_base!$E$25)*parametros_manuales!H$14</f>
        <v>427.5072</v>
      </c>
      <c r="K41" s="42" t="n">
        <f aca="false">(datos_base!$E$11+datos_base!$E$25)*parametros_manuales!I$14</f>
        <v>427.5072</v>
      </c>
      <c r="L41" s="42" t="n">
        <f aca="false">(datos_base!$E$11+datos_base!$E$25)*parametros_manuales!J$14</f>
        <v>427.5072</v>
      </c>
      <c r="M41" s="42" t="n">
        <f aca="false">(datos_base!$E$11+datos_base!$E$25)*parametros_manuales!K$14</f>
        <v>400.788</v>
      </c>
      <c r="N41" s="42" t="n">
        <f aca="false">(datos_base!$E$11+datos_base!$E$25)*parametros_manuales!L$14</f>
        <v>374.0688</v>
      </c>
      <c r="O41" s="42" t="n">
        <f aca="false">(datos_base!$E$11+datos_base!$E$25)*parametros_manuales!M$14</f>
        <v>587.8224</v>
      </c>
      <c r="P41" s="9" t="n">
        <f aca="false">SUM(D41:O41)</f>
        <v>5343.84</v>
      </c>
    </row>
    <row r="42" customFormat="false" ht="14.25" hidden="false" customHeight="true" outlineLevel="0" collapsed="false">
      <c r="A42" s="41" t="n">
        <v>2029</v>
      </c>
      <c r="B42" s="8" t="s">
        <v>25</v>
      </c>
      <c r="C42" s="8" t="s">
        <v>185</v>
      </c>
      <c r="D42" s="42" t="n">
        <f aca="false">(datos_base!$E$12+datos_base!$E$26)*parametros_manuales!B$15</f>
        <v>32.804</v>
      </c>
      <c r="E42" s="42" t="n">
        <f aca="false">(datos_base!$E$12+datos_base!$E$26)*parametros_manuales!C$15</f>
        <v>26.2432</v>
      </c>
      <c r="F42" s="42" t="n">
        <f aca="false">(datos_base!$E$12+datos_base!$E$26)*parametros_manuales!D$15</f>
        <v>27.8834</v>
      </c>
      <c r="G42" s="42" t="n">
        <f aca="false">(datos_base!$E$12+datos_base!$E$26)*parametros_manuales!E$15</f>
        <v>27.8834</v>
      </c>
      <c r="H42" s="42" t="n">
        <f aca="false">(datos_base!$E$12+datos_base!$E$26)*parametros_manuales!F$15</f>
        <v>26.2432</v>
      </c>
      <c r="I42" s="42" t="n">
        <f aca="false">(datos_base!$E$12+datos_base!$E$26)*parametros_manuales!G$15</f>
        <v>24.603</v>
      </c>
      <c r="J42" s="42" t="n">
        <f aca="false">(datos_base!$E$12+datos_base!$E$26)*parametros_manuales!H$15</f>
        <v>26.2432</v>
      </c>
      <c r="K42" s="42" t="n">
        <f aca="false">(datos_base!$E$12+datos_base!$E$26)*parametros_manuales!I$15</f>
        <v>26.2432</v>
      </c>
      <c r="L42" s="42" t="n">
        <f aca="false">(datos_base!$E$12+datos_base!$E$26)*parametros_manuales!J$15</f>
        <v>26.2432</v>
      </c>
      <c r="M42" s="42" t="n">
        <f aca="false">(datos_base!$E$12+datos_base!$E$26)*parametros_manuales!K$15</f>
        <v>24.603</v>
      </c>
      <c r="N42" s="42" t="n">
        <f aca="false">(datos_base!$E$12+datos_base!$E$26)*parametros_manuales!L$15</f>
        <v>22.9628</v>
      </c>
      <c r="O42" s="42" t="n">
        <f aca="false">(datos_base!$E$12+datos_base!$E$26)*parametros_manuales!M$15</f>
        <v>36.0844</v>
      </c>
      <c r="P42" s="9" t="n">
        <f aca="false">SUM(D42:O42)</f>
        <v>328.04</v>
      </c>
    </row>
    <row r="43" customFormat="false" ht="14.25" hidden="false" customHeight="true" outlineLevel="0" collapsed="false">
      <c r="B43" s="10" t="s">
        <v>186</v>
      </c>
      <c r="D43" s="11" t="n">
        <f aca="false">SUM(D35:D42)</f>
        <v>5775.02166399</v>
      </c>
      <c r="E43" s="11" t="n">
        <f aca="false">SUM(E35:E42)</f>
        <v>4409.045717898</v>
      </c>
      <c r="F43" s="11" t="n">
        <f aca="false">SUM(F35:F42)</f>
        <v>4135.2058323135</v>
      </c>
      <c r="G43" s="11" t="n">
        <f aca="false">SUM(G35:G42)</f>
        <v>3959.3961545685</v>
      </c>
      <c r="H43" s="11" t="n">
        <f aca="false">SUM(H35:H42)</f>
        <v>3705.807006918</v>
      </c>
      <c r="I43" s="11" t="n">
        <f aca="false">SUM(I35:I42)</f>
        <v>3628.0275370125</v>
      </c>
      <c r="J43" s="11" t="n">
        <f aca="false">SUM(J35:J42)</f>
        <v>3881.616684663</v>
      </c>
      <c r="K43" s="11" t="n">
        <f aca="false">SUM(K35:K42)</f>
        <v>3881.616684663</v>
      </c>
      <c r="L43" s="11" t="n">
        <f aca="false">SUM(L35:L42)</f>
        <v>3881.616684663</v>
      </c>
      <c r="M43" s="11" t="n">
        <f aca="false">SUM(M35:M42)</f>
        <v>3803.8372147575</v>
      </c>
      <c r="N43" s="11" t="n">
        <f aca="false">SUM(N35:N42)</f>
        <v>3726.057744852</v>
      </c>
      <c r="O43" s="11" t="n">
        <f aca="false">SUM(O35:O42)</f>
        <v>5930.580603801</v>
      </c>
      <c r="P43" s="11" t="n">
        <f aca="false">SUM(P35:P42)</f>
        <v>50717.8295301</v>
      </c>
    </row>
    <row r="44" customFormat="false" ht="14.25" hidden="false" customHeight="true" outlineLevel="0" collapsed="false"/>
    <row r="45" customFormat="false" ht="14.25" hidden="false" customHeight="true" outlineLevel="0" collapsed="false">
      <c r="A45" s="7" t="n">
        <v>2030</v>
      </c>
      <c r="B45" s="7" t="s">
        <v>181</v>
      </c>
      <c r="C45" s="7" t="s">
        <v>182</v>
      </c>
      <c r="D45" s="7" t="s">
        <v>61</v>
      </c>
      <c r="E45" s="7" t="s">
        <v>62</v>
      </c>
      <c r="F45" s="7" t="s">
        <v>63</v>
      </c>
      <c r="G45" s="7" t="s">
        <v>64</v>
      </c>
      <c r="H45" s="7" t="s">
        <v>65</v>
      </c>
      <c r="I45" s="7" t="s">
        <v>66</v>
      </c>
      <c r="J45" s="7" t="s">
        <v>67</v>
      </c>
      <c r="K45" s="7" t="s">
        <v>68</v>
      </c>
      <c r="L45" s="7" t="s">
        <v>69</v>
      </c>
      <c r="M45" s="7" t="s">
        <v>70</v>
      </c>
      <c r="N45" s="7" t="s">
        <v>71</v>
      </c>
      <c r="O45" s="7" t="s">
        <v>72</v>
      </c>
      <c r="P45" s="7" t="s">
        <v>183</v>
      </c>
    </row>
    <row r="46" customFormat="false" ht="14.25" hidden="false" customHeight="true" outlineLevel="0" collapsed="false">
      <c r="A46" s="41" t="n">
        <v>2030</v>
      </c>
      <c r="B46" s="8" t="s">
        <v>16</v>
      </c>
      <c r="C46" s="8" t="s">
        <v>184</v>
      </c>
      <c r="D46" s="42" t="n">
        <f aca="false">(datos_base!$F$2+datos_base!$F$18)*parametros_manuales!B$12</f>
        <v>1521.6759252</v>
      </c>
      <c r="E46" s="42" t="n">
        <f aca="false">(datos_base!$F$2+datos_base!$F$18)*parametros_manuales!C$12</f>
        <v>1141.2569439</v>
      </c>
      <c r="F46" s="42" t="n">
        <f aca="false">(datos_base!$F$2+datos_base!$F$18)*parametros_manuales!D$12</f>
        <v>1014.4506168</v>
      </c>
      <c r="G46" s="42" t="n">
        <f aca="false">(datos_base!$F$2+datos_base!$F$18)*parametros_manuales!E$12</f>
        <v>951.04745325</v>
      </c>
      <c r="H46" s="42" t="n">
        <f aca="false">(datos_base!$F$2+datos_base!$F$18)*parametros_manuales!F$12</f>
        <v>887.6442897</v>
      </c>
      <c r="I46" s="42" t="n">
        <f aca="false">(datos_base!$F$2+datos_base!$F$18)*parametros_manuales!G$12</f>
        <v>887.6442897</v>
      </c>
      <c r="J46" s="42" t="n">
        <f aca="false">(datos_base!$F$2+datos_base!$F$18)*parametros_manuales!H$12</f>
        <v>951.04745325</v>
      </c>
      <c r="K46" s="42" t="n">
        <f aca="false">(datos_base!$F$2+datos_base!$F$18)*parametros_manuales!I$12</f>
        <v>951.04745325</v>
      </c>
      <c r="L46" s="42" t="n">
        <f aca="false">(datos_base!$F$2+datos_base!$F$18)*parametros_manuales!J$12</f>
        <v>951.04745325</v>
      </c>
      <c r="M46" s="42" t="n">
        <f aca="false">(datos_base!$F$2+datos_base!$F$18)*parametros_manuales!K$12</f>
        <v>951.04745325</v>
      </c>
      <c r="N46" s="42" t="n">
        <f aca="false">(datos_base!$F$2+datos_base!$F$18)*parametros_manuales!L$12</f>
        <v>951.04745325</v>
      </c>
      <c r="O46" s="42" t="n">
        <f aca="false">(datos_base!$F$2+datos_base!$F$18)*parametros_manuales!M$12</f>
        <v>1521.6759252</v>
      </c>
      <c r="P46" s="9" t="n">
        <f aca="false">SUM(D46:O46)</f>
        <v>12680.63271</v>
      </c>
    </row>
    <row r="47" customFormat="false" ht="14.25" hidden="false" customHeight="true" outlineLevel="0" collapsed="false">
      <c r="A47" s="41" t="n">
        <v>2030</v>
      </c>
      <c r="B47" s="8" t="s">
        <v>17</v>
      </c>
      <c r="C47" s="8" t="s">
        <v>184</v>
      </c>
      <c r="D47" s="42" t="n">
        <f aca="false">(datos_base!$F$3+datos_base!$F$19)*parametros_manuales!B$13</f>
        <v>233.0427726</v>
      </c>
      <c r="E47" s="42" t="n">
        <f aca="false">(datos_base!$F$3+datos_base!$F$19)*parametros_manuales!C$13</f>
        <v>186.43421808</v>
      </c>
      <c r="F47" s="42" t="n">
        <f aca="false">(datos_base!$F$3+datos_base!$F$19)*parametros_manuales!D$13</f>
        <v>198.08635671</v>
      </c>
      <c r="G47" s="42" t="n">
        <f aca="false">(datos_base!$F$3+datos_base!$F$19)*parametros_manuales!E$13</f>
        <v>198.08635671</v>
      </c>
      <c r="H47" s="42" t="n">
        <f aca="false">(datos_base!$F$3+datos_base!$F$19)*parametros_manuales!F$13</f>
        <v>186.43421808</v>
      </c>
      <c r="I47" s="42" t="n">
        <f aca="false">(datos_base!$F$3+datos_base!$F$19)*parametros_manuales!G$13</f>
        <v>174.78207945</v>
      </c>
      <c r="J47" s="42" t="n">
        <f aca="false">(datos_base!$F$3+datos_base!$F$19)*parametros_manuales!H$13</f>
        <v>186.43421808</v>
      </c>
      <c r="K47" s="42" t="n">
        <f aca="false">(datos_base!$F$3+datos_base!$F$19)*parametros_manuales!I$13</f>
        <v>186.43421808</v>
      </c>
      <c r="L47" s="42" t="n">
        <f aca="false">(datos_base!$F$3+datos_base!$F$19)*parametros_manuales!J$13</f>
        <v>186.43421808</v>
      </c>
      <c r="M47" s="42" t="n">
        <f aca="false">(datos_base!$F$3+datos_base!$F$19)*parametros_manuales!K$13</f>
        <v>174.78207945</v>
      </c>
      <c r="N47" s="42" t="n">
        <f aca="false">(datos_base!$F$3+datos_base!$F$19)*parametros_manuales!L$13</f>
        <v>163.12994082</v>
      </c>
      <c r="O47" s="42" t="n">
        <f aca="false">(datos_base!$F$3+datos_base!$F$19)*parametros_manuales!M$13</f>
        <v>256.34704986</v>
      </c>
      <c r="P47" s="9" t="n">
        <f aca="false">SUM(D47:O47)</f>
        <v>2330.427726</v>
      </c>
    </row>
    <row r="48" customFormat="false" ht="14.25" hidden="false" customHeight="true" outlineLevel="0" collapsed="false">
      <c r="A48" s="41" t="n">
        <v>2030</v>
      </c>
      <c r="B48" s="8" t="s">
        <v>18</v>
      </c>
      <c r="C48" s="8" t="s">
        <v>184</v>
      </c>
      <c r="D48" s="42" t="n">
        <f aca="false">(datos_base!$F$4+datos_base!$F$20)*parametros_manuales!B$14</f>
        <v>1092.346694</v>
      </c>
      <c r="E48" s="42" t="n">
        <f aca="false">(datos_base!$F$4+datos_base!$F$20)*parametros_manuales!C$14</f>
        <v>873.8773552</v>
      </c>
      <c r="F48" s="42" t="n">
        <f aca="false">(datos_base!$F$4+datos_base!$F$20)*parametros_manuales!D$14</f>
        <v>928.4946899</v>
      </c>
      <c r="G48" s="42" t="n">
        <f aca="false">(datos_base!$F$4+datos_base!$F$20)*parametros_manuales!E$14</f>
        <v>928.4946899</v>
      </c>
      <c r="H48" s="42" t="n">
        <f aca="false">(datos_base!$F$4+datos_base!$F$20)*parametros_manuales!F$14</f>
        <v>873.8773552</v>
      </c>
      <c r="I48" s="42" t="n">
        <f aca="false">(datos_base!$F$4+datos_base!$F$20)*parametros_manuales!G$14</f>
        <v>819.2600205</v>
      </c>
      <c r="J48" s="42" t="n">
        <f aca="false">(datos_base!$F$4+datos_base!$F$20)*parametros_manuales!H$14</f>
        <v>873.8773552</v>
      </c>
      <c r="K48" s="42" t="n">
        <f aca="false">(datos_base!$F$4+datos_base!$F$20)*parametros_manuales!I$14</f>
        <v>873.8773552</v>
      </c>
      <c r="L48" s="42" t="n">
        <f aca="false">(datos_base!$F$4+datos_base!$F$20)*parametros_manuales!J$14</f>
        <v>873.8773552</v>
      </c>
      <c r="M48" s="42" t="n">
        <f aca="false">(datos_base!$F$4+datos_base!$F$20)*parametros_manuales!K$14</f>
        <v>819.2600205</v>
      </c>
      <c r="N48" s="42" t="n">
        <f aca="false">(datos_base!$F$4+datos_base!$F$20)*parametros_manuales!L$14</f>
        <v>764.6426858</v>
      </c>
      <c r="O48" s="42" t="n">
        <f aca="false">(datos_base!$F$4+datos_base!$F$20)*parametros_manuales!M$14</f>
        <v>1201.5813634</v>
      </c>
      <c r="P48" s="9" t="n">
        <f aca="false">SUM(D48:O48)</f>
        <v>10923.46694</v>
      </c>
    </row>
    <row r="49" customFormat="false" ht="14.25" hidden="false" customHeight="true" outlineLevel="0" collapsed="false">
      <c r="A49" s="41" t="n">
        <v>2030</v>
      </c>
      <c r="B49" s="8" t="s">
        <v>19</v>
      </c>
      <c r="C49" s="8" t="s">
        <v>184</v>
      </c>
      <c r="D49" s="42" t="n">
        <f aca="false">(datos_base!$F$5+datos_base!$F$21)*parametros_manuales!B$15</f>
        <v>60.98381519</v>
      </c>
      <c r="E49" s="42" t="n">
        <f aca="false">(datos_base!$F$5+datos_base!$F$21)*parametros_manuales!C$15</f>
        <v>48.787052152</v>
      </c>
      <c r="F49" s="42" t="n">
        <f aca="false">(datos_base!$F$5+datos_base!$F$21)*parametros_manuales!D$15</f>
        <v>51.8362429115</v>
      </c>
      <c r="G49" s="42" t="n">
        <f aca="false">(datos_base!$F$5+datos_base!$F$21)*parametros_manuales!E$15</f>
        <v>51.8362429115</v>
      </c>
      <c r="H49" s="42" t="n">
        <f aca="false">(datos_base!$F$5+datos_base!$F$21)*parametros_manuales!F$15</f>
        <v>48.787052152</v>
      </c>
      <c r="I49" s="42" t="n">
        <f aca="false">(datos_base!$F$5+datos_base!$F$21)*parametros_manuales!G$15</f>
        <v>45.7378613925</v>
      </c>
      <c r="J49" s="42" t="n">
        <f aca="false">(datos_base!$F$5+datos_base!$F$21)*parametros_manuales!H$15</f>
        <v>48.787052152</v>
      </c>
      <c r="K49" s="42" t="n">
        <f aca="false">(datos_base!$F$5+datos_base!$F$21)*parametros_manuales!I$15</f>
        <v>48.787052152</v>
      </c>
      <c r="L49" s="42" t="n">
        <f aca="false">(datos_base!$F$5+datos_base!$F$21)*parametros_manuales!J$15</f>
        <v>48.787052152</v>
      </c>
      <c r="M49" s="42" t="n">
        <f aca="false">(datos_base!$F$5+datos_base!$F$21)*parametros_manuales!K$15</f>
        <v>45.7378613925</v>
      </c>
      <c r="N49" s="42" t="n">
        <f aca="false">(datos_base!$F$5+datos_base!$F$21)*parametros_manuales!L$15</f>
        <v>42.688670633</v>
      </c>
      <c r="O49" s="42" t="n">
        <f aca="false">(datos_base!$F$5+datos_base!$F$21)*parametros_manuales!M$15</f>
        <v>67.082196709</v>
      </c>
      <c r="P49" s="9" t="n">
        <f aca="false">SUM(D49:O49)</f>
        <v>609.8381519</v>
      </c>
    </row>
    <row r="50" customFormat="false" ht="14.25" hidden="false" customHeight="true" outlineLevel="0" collapsed="false">
      <c r="A50" s="41" t="n">
        <v>2030</v>
      </c>
      <c r="B50" s="8" t="s">
        <v>22</v>
      </c>
      <c r="C50" s="8" t="s">
        <v>185</v>
      </c>
      <c r="D50" s="42" t="n">
        <f aca="false">(datos_base!$F$9+datos_base!$F$23)*parametros_manuales!B$12</f>
        <v>5932.176</v>
      </c>
      <c r="E50" s="42" t="n">
        <f aca="false">(datos_base!$F$9+datos_base!$F$23)*parametros_manuales!C$12</f>
        <v>4449.132</v>
      </c>
      <c r="F50" s="42" t="n">
        <f aca="false">(datos_base!$F$9+datos_base!$F$23)*parametros_manuales!D$12</f>
        <v>3954.784</v>
      </c>
      <c r="G50" s="42" t="n">
        <f aca="false">(datos_base!$F$9+datos_base!$F$23)*parametros_manuales!E$12</f>
        <v>3707.61</v>
      </c>
      <c r="H50" s="42" t="n">
        <f aca="false">(datos_base!$F$9+datos_base!$F$23)*parametros_manuales!F$12</f>
        <v>3460.436</v>
      </c>
      <c r="I50" s="42" t="n">
        <f aca="false">(datos_base!$F$9+datos_base!$F$23)*parametros_manuales!G$12</f>
        <v>3460.436</v>
      </c>
      <c r="J50" s="42" t="n">
        <f aca="false">(datos_base!$F$9+datos_base!$F$23)*parametros_manuales!H$12</f>
        <v>3707.61</v>
      </c>
      <c r="K50" s="42" t="n">
        <f aca="false">(datos_base!$F$9+datos_base!$F$23)*parametros_manuales!I$12</f>
        <v>3707.61</v>
      </c>
      <c r="L50" s="42" t="n">
        <f aca="false">(datos_base!$F$9+datos_base!$F$23)*parametros_manuales!J$12</f>
        <v>3707.61</v>
      </c>
      <c r="M50" s="42" t="n">
        <f aca="false">(datos_base!$F$9+datos_base!$F$23)*parametros_manuales!K$12</f>
        <v>3707.61</v>
      </c>
      <c r="N50" s="42" t="n">
        <f aca="false">(datos_base!$F$9+datos_base!$F$23)*parametros_manuales!L$12</f>
        <v>3707.61</v>
      </c>
      <c r="O50" s="42" t="n">
        <f aca="false">(datos_base!$F$9+datos_base!$F$23)*parametros_manuales!M$12</f>
        <v>5932.176</v>
      </c>
      <c r="P50" s="9" t="n">
        <f aca="false">SUM(D50:O50)</f>
        <v>49434.8</v>
      </c>
    </row>
    <row r="51" customFormat="false" ht="14.25" hidden="false" customHeight="true" outlineLevel="0" collapsed="false">
      <c r="A51" s="41" t="n">
        <v>2030</v>
      </c>
      <c r="B51" s="8" t="s">
        <v>23</v>
      </c>
      <c r="C51" s="8" t="s">
        <v>185</v>
      </c>
      <c r="D51" s="42" t="n">
        <f aca="false">(datos_base!$F$10+datos_base!$F$24)*parametros_manuales!B$13</f>
        <v>196.496</v>
      </c>
      <c r="E51" s="42" t="n">
        <f aca="false">(datos_base!$F$10+datos_base!$F$24)*parametros_manuales!C$13</f>
        <v>157.1968</v>
      </c>
      <c r="F51" s="42" t="n">
        <f aca="false">(datos_base!$F$10+datos_base!$F$24)*parametros_manuales!D$13</f>
        <v>167.0216</v>
      </c>
      <c r="G51" s="42" t="n">
        <f aca="false">(datos_base!$F$10+datos_base!$F$24)*parametros_manuales!E$13</f>
        <v>167.0216</v>
      </c>
      <c r="H51" s="42" t="n">
        <f aca="false">(datos_base!$F$10+datos_base!$F$24)*parametros_manuales!F$13</f>
        <v>157.1968</v>
      </c>
      <c r="I51" s="42" t="n">
        <f aca="false">(datos_base!$F$10+datos_base!$F$24)*parametros_manuales!G$13</f>
        <v>147.372</v>
      </c>
      <c r="J51" s="42" t="n">
        <f aca="false">(datos_base!$F$10+datos_base!$F$24)*parametros_manuales!H$13</f>
        <v>157.1968</v>
      </c>
      <c r="K51" s="42" t="n">
        <f aca="false">(datos_base!$F$10+datos_base!$F$24)*parametros_manuales!I$13</f>
        <v>157.1968</v>
      </c>
      <c r="L51" s="42" t="n">
        <f aca="false">(datos_base!$F$10+datos_base!$F$24)*parametros_manuales!J$13</f>
        <v>157.1968</v>
      </c>
      <c r="M51" s="42" t="n">
        <f aca="false">(datos_base!$F$10+datos_base!$F$24)*parametros_manuales!K$13</f>
        <v>147.372</v>
      </c>
      <c r="N51" s="42" t="n">
        <f aca="false">(datos_base!$F$10+datos_base!$F$24)*parametros_manuales!L$13</f>
        <v>137.5472</v>
      </c>
      <c r="O51" s="42" t="n">
        <f aca="false">(datos_base!$F$10+datos_base!$F$24)*parametros_manuales!M$13</f>
        <v>216.1456</v>
      </c>
      <c r="P51" s="9" t="n">
        <f aca="false">SUM(D51:O51)</f>
        <v>1964.96</v>
      </c>
    </row>
    <row r="52" customFormat="false" ht="14.25" hidden="false" customHeight="true" outlineLevel="0" collapsed="false">
      <c r="A52" s="41" t="n">
        <v>2030</v>
      </c>
      <c r="B52" s="8" t="s">
        <v>24</v>
      </c>
      <c r="C52" s="8" t="s">
        <v>185</v>
      </c>
      <c r="D52" s="42" t="n">
        <f aca="false">(datos_base!$F$11+datos_base!$F$25)*parametros_manuales!B$14</f>
        <v>973.472</v>
      </c>
      <c r="E52" s="42" t="n">
        <f aca="false">(datos_base!$F$11+datos_base!$F$25)*parametros_manuales!C$14</f>
        <v>778.7776</v>
      </c>
      <c r="F52" s="42" t="n">
        <f aca="false">(datos_base!$F$11+datos_base!$F$25)*parametros_manuales!D$14</f>
        <v>827.4512</v>
      </c>
      <c r="G52" s="42" t="n">
        <f aca="false">(datos_base!$F$11+datos_base!$F$25)*parametros_manuales!E$14</f>
        <v>827.4512</v>
      </c>
      <c r="H52" s="42" t="n">
        <f aca="false">(datos_base!$F$11+datos_base!$F$25)*parametros_manuales!F$14</f>
        <v>778.7776</v>
      </c>
      <c r="I52" s="42" t="n">
        <f aca="false">(datos_base!$F$11+datos_base!$F$25)*parametros_manuales!G$14</f>
        <v>730.104</v>
      </c>
      <c r="J52" s="42" t="n">
        <f aca="false">(datos_base!$F$11+datos_base!$F$25)*parametros_manuales!H$14</f>
        <v>778.7776</v>
      </c>
      <c r="K52" s="42" t="n">
        <f aca="false">(datos_base!$F$11+datos_base!$F$25)*parametros_manuales!I$14</f>
        <v>778.7776</v>
      </c>
      <c r="L52" s="42" t="n">
        <f aca="false">(datos_base!$F$11+datos_base!$F$25)*parametros_manuales!J$14</f>
        <v>778.7776</v>
      </c>
      <c r="M52" s="42" t="n">
        <f aca="false">(datos_base!$F$11+datos_base!$F$25)*parametros_manuales!K$14</f>
        <v>730.104</v>
      </c>
      <c r="N52" s="42" t="n">
        <f aca="false">(datos_base!$F$11+datos_base!$F$25)*parametros_manuales!L$14</f>
        <v>681.4304</v>
      </c>
      <c r="O52" s="42" t="n">
        <f aca="false">(datos_base!$F$11+datos_base!$F$25)*parametros_manuales!M$14</f>
        <v>1070.8192</v>
      </c>
      <c r="P52" s="9" t="n">
        <f aca="false">SUM(D52:O52)</f>
        <v>9734.72</v>
      </c>
    </row>
    <row r="53" customFormat="false" ht="14.25" hidden="false" customHeight="true" outlineLevel="0" collapsed="false">
      <c r="A53" s="41" t="n">
        <v>2030</v>
      </c>
      <c r="B53" s="8" t="s">
        <v>25</v>
      </c>
      <c r="C53" s="8" t="s">
        <v>185</v>
      </c>
      <c r="D53" s="42" t="n">
        <f aca="false">(datos_base!$F$12+datos_base!$F$26)*parametros_manuales!B$15</f>
        <v>59.64</v>
      </c>
      <c r="E53" s="42" t="n">
        <f aca="false">(datos_base!$F$12+datos_base!$F$26)*parametros_manuales!C$15</f>
        <v>47.712</v>
      </c>
      <c r="F53" s="42" t="n">
        <f aca="false">(datos_base!$F$12+datos_base!$F$26)*parametros_manuales!D$15</f>
        <v>50.694</v>
      </c>
      <c r="G53" s="42" t="n">
        <f aca="false">(datos_base!$F$12+datos_base!$F$26)*parametros_manuales!E$15</f>
        <v>50.694</v>
      </c>
      <c r="H53" s="42" t="n">
        <f aca="false">(datos_base!$F$12+datos_base!$F$26)*parametros_manuales!F$15</f>
        <v>47.712</v>
      </c>
      <c r="I53" s="42" t="n">
        <f aca="false">(datos_base!$F$12+datos_base!$F$26)*parametros_manuales!G$15</f>
        <v>44.73</v>
      </c>
      <c r="J53" s="42" t="n">
        <f aca="false">(datos_base!$F$12+datos_base!$F$26)*parametros_manuales!H$15</f>
        <v>47.712</v>
      </c>
      <c r="K53" s="42" t="n">
        <f aca="false">(datos_base!$F$12+datos_base!$F$26)*parametros_manuales!I$15</f>
        <v>47.712</v>
      </c>
      <c r="L53" s="42" t="n">
        <f aca="false">(datos_base!$F$12+datos_base!$F$26)*parametros_manuales!J$15</f>
        <v>47.712</v>
      </c>
      <c r="M53" s="42" t="n">
        <f aca="false">(datos_base!$F$12+datos_base!$F$26)*parametros_manuales!K$15</f>
        <v>44.73</v>
      </c>
      <c r="N53" s="42" t="n">
        <f aca="false">(datos_base!$F$12+datos_base!$F$26)*parametros_manuales!L$15</f>
        <v>41.748</v>
      </c>
      <c r="O53" s="42" t="n">
        <f aca="false">(datos_base!$F$12+datos_base!$F$26)*parametros_manuales!M$15</f>
        <v>65.604</v>
      </c>
      <c r="P53" s="9" t="n">
        <f aca="false">SUM(D53:O53)</f>
        <v>596.4</v>
      </c>
    </row>
    <row r="54" customFormat="false" ht="14.25" hidden="false" customHeight="true" outlineLevel="0" collapsed="false">
      <c r="B54" s="10" t="s">
        <v>186</v>
      </c>
      <c r="D54" s="11" t="n">
        <f aca="false">SUM(D46:D53)</f>
        <v>10069.83320699</v>
      </c>
      <c r="E54" s="11" t="n">
        <f aca="false">SUM(E46:E53)</f>
        <v>7683.173969332</v>
      </c>
      <c r="F54" s="11" t="n">
        <f aca="false">SUM(F46:F53)</f>
        <v>7192.8187063215</v>
      </c>
      <c r="G54" s="11" t="n">
        <f aca="false">SUM(G46:G53)</f>
        <v>6882.2415427715</v>
      </c>
      <c r="H54" s="11" t="n">
        <f aca="false">SUM(H46:H53)</f>
        <v>6440.865315132</v>
      </c>
      <c r="I54" s="11" t="n">
        <f aca="false">SUM(I46:I53)</f>
        <v>6310.0662510425</v>
      </c>
      <c r="J54" s="11" t="n">
        <f aca="false">SUM(J46:J53)</f>
        <v>6751.442478682</v>
      </c>
      <c r="K54" s="11" t="n">
        <f aca="false">SUM(K46:K53)</f>
        <v>6751.442478682</v>
      </c>
      <c r="L54" s="11" t="n">
        <f aca="false">SUM(L46:L53)</f>
        <v>6751.442478682</v>
      </c>
      <c r="M54" s="11" t="n">
        <f aca="false">SUM(M46:M53)</f>
        <v>6620.6434145925</v>
      </c>
      <c r="N54" s="11" t="n">
        <f aca="false">SUM(N46:N53)</f>
        <v>6489.844350503</v>
      </c>
      <c r="O54" s="11" t="n">
        <f aca="false">SUM(O46:O53)</f>
        <v>10331.431335169</v>
      </c>
      <c r="P54" s="11" t="n">
        <f aca="false">SUM(P46:P53)</f>
        <v>88275.2455279</v>
      </c>
    </row>
    <row r="55" customFormat="false" ht="14.25" hidden="false" customHeight="true" outlineLevel="0" collapsed="false"/>
    <row r="56" customFormat="false" ht="14.25" hidden="false" customHeight="true" outlineLevel="0" collapsed="false">
      <c r="A56" s="7" t="n">
        <v>2031</v>
      </c>
      <c r="B56" s="7" t="s">
        <v>181</v>
      </c>
      <c r="C56" s="7" t="s">
        <v>182</v>
      </c>
      <c r="D56" s="7" t="s">
        <v>61</v>
      </c>
      <c r="E56" s="7" t="s">
        <v>62</v>
      </c>
      <c r="F56" s="7" t="s">
        <v>63</v>
      </c>
      <c r="G56" s="7" t="s">
        <v>64</v>
      </c>
      <c r="H56" s="7" t="s">
        <v>65</v>
      </c>
      <c r="I56" s="7" t="s">
        <v>66</v>
      </c>
      <c r="J56" s="7" t="s">
        <v>67</v>
      </c>
      <c r="K56" s="7" t="s">
        <v>68</v>
      </c>
      <c r="L56" s="7" t="s">
        <v>69</v>
      </c>
      <c r="M56" s="7" t="s">
        <v>70</v>
      </c>
      <c r="N56" s="7" t="s">
        <v>71</v>
      </c>
      <c r="O56" s="7" t="s">
        <v>72</v>
      </c>
      <c r="P56" s="7" t="s">
        <v>183</v>
      </c>
    </row>
    <row r="57" customFormat="false" ht="14.25" hidden="false" customHeight="true" outlineLevel="0" collapsed="false">
      <c r="A57" s="41" t="n">
        <v>2031</v>
      </c>
      <c r="B57" s="8" t="s">
        <v>16</v>
      </c>
      <c r="C57" s="8" t="s">
        <v>184</v>
      </c>
      <c r="D57" s="42" t="n">
        <f aca="false">(datos_base!$G$2+datos_base!$G$18)*parametros_manuales!B$12</f>
        <v>1874.4303684</v>
      </c>
      <c r="E57" s="42" t="n">
        <f aca="false">(datos_base!$G$2+datos_base!$G$18)*parametros_manuales!C$12</f>
        <v>1405.8227763</v>
      </c>
      <c r="F57" s="42" t="n">
        <f aca="false">(datos_base!$G$2+datos_base!$G$18)*parametros_manuales!D$12</f>
        <v>1249.6202456</v>
      </c>
      <c r="G57" s="42" t="n">
        <f aca="false">(datos_base!$G$2+datos_base!$G$18)*parametros_manuales!E$12</f>
        <v>1171.51898025</v>
      </c>
      <c r="H57" s="42" t="n">
        <f aca="false">(datos_base!$G$2+datos_base!$G$18)*parametros_manuales!F$12</f>
        <v>1093.4177149</v>
      </c>
      <c r="I57" s="42" t="n">
        <f aca="false">(datos_base!$G$2+datos_base!$G$18)*parametros_manuales!G$12</f>
        <v>1093.4177149</v>
      </c>
      <c r="J57" s="42" t="n">
        <f aca="false">(datos_base!$G$2+datos_base!$G$18)*parametros_manuales!H$12</f>
        <v>1171.51898025</v>
      </c>
      <c r="K57" s="42" t="n">
        <f aca="false">(datos_base!$G$2+datos_base!$G$18)*parametros_manuales!I$12</f>
        <v>1171.51898025</v>
      </c>
      <c r="L57" s="42" t="n">
        <f aca="false">(datos_base!$G$2+datos_base!$G$18)*parametros_manuales!J$12</f>
        <v>1171.51898025</v>
      </c>
      <c r="M57" s="42" t="n">
        <f aca="false">(datos_base!$G$2+datos_base!$G$18)*parametros_manuales!K$12</f>
        <v>1171.51898025</v>
      </c>
      <c r="N57" s="42" t="n">
        <f aca="false">(datos_base!$G$2+datos_base!$G$18)*parametros_manuales!L$12</f>
        <v>1171.51898025</v>
      </c>
      <c r="O57" s="42" t="n">
        <f aca="false">(datos_base!$G$2+datos_base!$G$18)*parametros_manuales!M$12</f>
        <v>1874.4303684</v>
      </c>
      <c r="P57" s="9" t="n">
        <f aca="false">SUM(D57:O57)</f>
        <v>15620.25307</v>
      </c>
    </row>
    <row r="58" customFormat="false" ht="14.25" hidden="false" customHeight="true" outlineLevel="0" collapsed="false">
      <c r="A58" s="41" t="n">
        <v>2031</v>
      </c>
      <c r="B58" s="8" t="s">
        <v>17</v>
      </c>
      <c r="C58" s="8" t="s">
        <v>184</v>
      </c>
      <c r="D58" s="42" t="n">
        <f aca="false">(datos_base!$G$3+datos_base!$G$19)*parametros_manuales!B$13</f>
        <v>327.2869887</v>
      </c>
      <c r="E58" s="42" t="n">
        <f aca="false">(datos_base!$G$3+datos_base!$G$19)*parametros_manuales!C$13</f>
        <v>261.82959096</v>
      </c>
      <c r="F58" s="42" t="n">
        <f aca="false">(datos_base!$G$3+datos_base!$G$19)*parametros_manuales!D$13</f>
        <v>278.193940395</v>
      </c>
      <c r="G58" s="42" t="n">
        <f aca="false">(datos_base!$G$3+datos_base!$G$19)*parametros_manuales!E$13</f>
        <v>278.193940395</v>
      </c>
      <c r="H58" s="42" t="n">
        <f aca="false">(datos_base!$G$3+datos_base!$G$19)*parametros_manuales!F$13</f>
        <v>261.82959096</v>
      </c>
      <c r="I58" s="42" t="n">
        <f aca="false">(datos_base!$G$3+datos_base!$G$19)*parametros_manuales!G$13</f>
        <v>245.465241525</v>
      </c>
      <c r="J58" s="42" t="n">
        <f aca="false">(datos_base!$G$3+datos_base!$G$19)*parametros_manuales!H$13</f>
        <v>261.82959096</v>
      </c>
      <c r="K58" s="42" t="n">
        <f aca="false">(datos_base!$G$3+datos_base!$G$19)*parametros_manuales!I$13</f>
        <v>261.82959096</v>
      </c>
      <c r="L58" s="42" t="n">
        <f aca="false">(datos_base!$G$3+datos_base!$G$19)*parametros_manuales!J$13</f>
        <v>261.82959096</v>
      </c>
      <c r="M58" s="42" t="n">
        <f aca="false">(datos_base!$G$3+datos_base!$G$19)*parametros_manuales!K$13</f>
        <v>245.465241525</v>
      </c>
      <c r="N58" s="42" t="n">
        <f aca="false">(datos_base!$G$3+datos_base!$G$19)*parametros_manuales!L$13</f>
        <v>229.10089209</v>
      </c>
      <c r="O58" s="42" t="n">
        <f aca="false">(datos_base!$G$3+datos_base!$G$19)*parametros_manuales!M$13</f>
        <v>360.01568757</v>
      </c>
      <c r="P58" s="9" t="n">
        <f aca="false">SUM(D58:O58)</f>
        <v>3272.869887</v>
      </c>
    </row>
    <row r="59" customFormat="false" ht="14.25" hidden="false" customHeight="true" outlineLevel="0" collapsed="false">
      <c r="A59" s="41" t="n">
        <v>2031</v>
      </c>
      <c r="B59" s="8" t="s">
        <v>18</v>
      </c>
      <c r="C59" s="8" t="s">
        <v>184</v>
      </c>
      <c r="D59" s="42" t="n">
        <f aca="false">(datos_base!$G$4+datos_base!$G$20)*parametros_manuales!B$14</f>
        <v>1472.516411</v>
      </c>
      <c r="E59" s="42" t="n">
        <f aca="false">(datos_base!$G$4+datos_base!$G$20)*parametros_manuales!C$14</f>
        <v>1178.0131288</v>
      </c>
      <c r="F59" s="42" t="n">
        <f aca="false">(datos_base!$G$4+datos_base!$G$20)*parametros_manuales!D$14</f>
        <v>1251.63894935</v>
      </c>
      <c r="G59" s="42" t="n">
        <f aca="false">(datos_base!$G$4+datos_base!$G$20)*parametros_manuales!E$14</f>
        <v>1251.63894935</v>
      </c>
      <c r="H59" s="42" t="n">
        <f aca="false">(datos_base!$G$4+datos_base!$G$20)*parametros_manuales!F$14</f>
        <v>1178.0131288</v>
      </c>
      <c r="I59" s="42" t="n">
        <f aca="false">(datos_base!$G$4+datos_base!$G$20)*parametros_manuales!G$14</f>
        <v>1104.38730825</v>
      </c>
      <c r="J59" s="42" t="n">
        <f aca="false">(datos_base!$G$4+datos_base!$G$20)*parametros_manuales!H$14</f>
        <v>1178.0131288</v>
      </c>
      <c r="K59" s="42" t="n">
        <f aca="false">(datos_base!$G$4+datos_base!$G$20)*parametros_manuales!I$14</f>
        <v>1178.0131288</v>
      </c>
      <c r="L59" s="42" t="n">
        <f aca="false">(datos_base!$G$4+datos_base!$G$20)*parametros_manuales!J$14</f>
        <v>1178.0131288</v>
      </c>
      <c r="M59" s="42" t="n">
        <f aca="false">(datos_base!$G$4+datos_base!$G$20)*parametros_manuales!K$14</f>
        <v>1104.38730825</v>
      </c>
      <c r="N59" s="42" t="n">
        <f aca="false">(datos_base!$G$4+datos_base!$G$20)*parametros_manuales!L$14</f>
        <v>1030.7614877</v>
      </c>
      <c r="O59" s="42" t="n">
        <f aca="false">(datos_base!$G$4+datos_base!$G$20)*parametros_manuales!M$14</f>
        <v>1619.7680521</v>
      </c>
      <c r="P59" s="9" t="n">
        <f aca="false">SUM(D59:O59)</f>
        <v>14725.16411</v>
      </c>
    </row>
    <row r="60" customFormat="false" ht="14.25" hidden="false" customHeight="true" outlineLevel="0" collapsed="false">
      <c r="A60" s="41" t="n">
        <v>2031</v>
      </c>
      <c r="B60" s="8" t="s">
        <v>19</v>
      </c>
      <c r="C60" s="8" t="s">
        <v>184</v>
      </c>
      <c r="D60" s="42" t="n">
        <f aca="false">(datos_base!$G$5+datos_base!$G$21)*parametros_manuales!B$15</f>
        <v>88.1205032</v>
      </c>
      <c r="E60" s="42" t="n">
        <f aca="false">(datos_base!$G$5+datos_base!$G$21)*parametros_manuales!C$15</f>
        <v>70.49640256</v>
      </c>
      <c r="F60" s="42" t="n">
        <f aca="false">(datos_base!$G$5+datos_base!$G$21)*parametros_manuales!D$15</f>
        <v>74.90242772</v>
      </c>
      <c r="G60" s="42" t="n">
        <f aca="false">(datos_base!$G$5+datos_base!$G$21)*parametros_manuales!E$15</f>
        <v>74.90242772</v>
      </c>
      <c r="H60" s="42" t="n">
        <f aca="false">(datos_base!$G$5+datos_base!$G$21)*parametros_manuales!F$15</f>
        <v>70.49640256</v>
      </c>
      <c r="I60" s="42" t="n">
        <f aca="false">(datos_base!$G$5+datos_base!$G$21)*parametros_manuales!G$15</f>
        <v>66.0903774</v>
      </c>
      <c r="J60" s="42" t="n">
        <f aca="false">(datos_base!$G$5+datos_base!$G$21)*parametros_manuales!H$15</f>
        <v>70.49640256</v>
      </c>
      <c r="K60" s="42" t="n">
        <f aca="false">(datos_base!$G$5+datos_base!$G$21)*parametros_manuales!I$15</f>
        <v>70.49640256</v>
      </c>
      <c r="L60" s="42" t="n">
        <f aca="false">(datos_base!$G$5+datos_base!$G$21)*parametros_manuales!J$15</f>
        <v>70.49640256</v>
      </c>
      <c r="M60" s="42" t="n">
        <f aca="false">(datos_base!$G$5+datos_base!$G$21)*parametros_manuales!K$15</f>
        <v>66.0903774</v>
      </c>
      <c r="N60" s="42" t="n">
        <f aca="false">(datos_base!$G$5+datos_base!$G$21)*parametros_manuales!L$15</f>
        <v>61.68435224</v>
      </c>
      <c r="O60" s="42" t="n">
        <f aca="false">(datos_base!$G$5+datos_base!$G$21)*parametros_manuales!M$15</f>
        <v>96.93255352</v>
      </c>
      <c r="P60" s="9" t="n">
        <f aca="false">SUM(D60:O60)</f>
        <v>881.205032</v>
      </c>
    </row>
    <row r="61" customFormat="false" ht="14.25" hidden="false" customHeight="true" outlineLevel="0" collapsed="false">
      <c r="A61" s="41" t="n">
        <v>2031</v>
      </c>
      <c r="B61" s="8" t="s">
        <v>22</v>
      </c>
      <c r="C61" s="8" t="s">
        <v>185</v>
      </c>
      <c r="D61" s="42" t="n">
        <f aca="false">(datos_base!$G$9+datos_base!$G$23)*parametros_manuales!B$12</f>
        <v>8601.624</v>
      </c>
      <c r="E61" s="42" t="n">
        <f aca="false">(datos_base!$G$9+datos_base!$G$23)*parametros_manuales!C$12</f>
        <v>6451.218</v>
      </c>
      <c r="F61" s="42" t="n">
        <f aca="false">(datos_base!$G$9+datos_base!$G$23)*parametros_manuales!D$12</f>
        <v>5734.416</v>
      </c>
      <c r="G61" s="42" t="n">
        <f aca="false">(datos_base!$G$9+datos_base!$G$23)*parametros_manuales!E$12</f>
        <v>5376.015</v>
      </c>
      <c r="H61" s="42" t="n">
        <f aca="false">(datos_base!$G$9+datos_base!$G$23)*parametros_manuales!F$12</f>
        <v>5017.614</v>
      </c>
      <c r="I61" s="42" t="n">
        <f aca="false">(datos_base!$G$9+datos_base!$G$23)*parametros_manuales!G$12</f>
        <v>5017.614</v>
      </c>
      <c r="J61" s="42" t="n">
        <f aca="false">(datos_base!$G$9+datos_base!$G$23)*parametros_manuales!H$12</f>
        <v>5376.015</v>
      </c>
      <c r="K61" s="42" t="n">
        <f aca="false">(datos_base!$G$9+datos_base!$G$23)*parametros_manuales!I$12</f>
        <v>5376.015</v>
      </c>
      <c r="L61" s="42" t="n">
        <f aca="false">(datos_base!$G$9+datos_base!$G$23)*parametros_manuales!J$12</f>
        <v>5376.015</v>
      </c>
      <c r="M61" s="42" t="n">
        <f aca="false">(datos_base!$G$9+datos_base!$G$23)*parametros_manuales!K$12</f>
        <v>5376.015</v>
      </c>
      <c r="N61" s="42" t="n">
        <f aca="false">(datos_base!$G$9+datos_base!$G$23)*parametros_manuales!L$12</f>
        <v>5376.015</v>
      </c>
      <c r="O61" s="42" t="n">
        <f aca="false">(datos_base!$G$9+datos_base!$G$23)*parametros_manuales!M$12</f>
        <v>8601.624</v>
      </c>
      <c r="P61" s="9" t="n">
        <f aca="false">SUM(D61:O61)</f>
        <v>71680.2</v>
      </c>
    </row>
    <row r="62" customFormat="false" ht="14.25" hidden="false" customHeight="true" outlineLevel="0" collapsed="false">
      <c r="A62" s="41" t="n">
        <v>2031</v>
      </c>
      <c r="B62" s="8" t="s">
        <v>23</v>
      </c>
      <c r="C62" s="8" t="s">
        <v>185</v>
      </c>
      <c r="D62" s="42" t="n">
        <f aca="false">(datos_base!$G$10+datos_base!$G$24)*parametros_manuales!B$13</f>
        <v>284.012</v>
      </c>
      <c r="E62" s="42" t="n">
        <f aca="false">(datos_base!$G$10+datos_base!$G$24)*parametros_manuales!C$13</f>
        <v>227.2096</v>
      </c>
      <c r="F62" s="42" t="n">
        <f aca="false">(datos_base!$G$10+datos_base!$G$24)*parametros_manuales!D$13</f>
        <v>241.4102</v>
      </c>
      <c r="G62" s="42" t="n">
        <f aca="false">(datos_base!$G$10+datos_base!$G$24)*parametros_manuales!E$13</f>
        <v>241.4102</v>
      </c>
      <c r="H62" s="42" t="n">
        <f aca="false">(datos_base!$G$10+datos_base!$G$24)*parametros_manuales!F$13</f>
        <v>227.2096</v>
      </c>
      <c r="I62" s="42" t="n">
        <f aca="false">(datos_base!$G$10+datos_base!$G$24)*parametros_manuales!G$13</f>
        <v>213.009</v>
      </c>
      <c r="J62" s="42" t="n">
        <f aca="false">(datos_base!$G$10+datos_base!$G$24)*parametros_manuales!H$13</f>
        <v>227.2096</v>
      </c>
      <c r="K62" s="42" t="n">
        <f aca="false">(datos_base!$G$10+datos_base!$G$24)*parametros_manuales!I$13</f>
        <v>227.2096</v>
      </c>
      <c r="L62" s="42" t="n">
        <f aca="false">(datos_base!$G$10+datos_base!$G$24)*parametros_manuales!J$13</f>
        <v>227.2096</v>
      </c>
      <c r="M62" s="42" t="n">
        <f aca="false">(datos_base!$G$10+datos_base!$G$24)*parametros_manuales!K$13</f>
        <v>213.009</v>
      </c>
      <c r="N62" s="42" t="n">
        <f aca="false">(datos_base!$G$10+datos_base!$G$24)*parametros_manuales!L$13</f>
        <v>198.8084</v>
      </c>
      <c r="O62" s="42" t="n">
        <f aca="false">(datos_base!$G$10+datos_base!$G$24)*parametros_manuales!M$13</f>
        <v>312.4132</v>
      </c>
      <c r="P62" s="9" t="n">
        <f aca="false">SUM(D62:O62)</f>
        <v>2840.12</v>
      </c>
    </row>
    <row r="63" customFormat="false" ht="14.25" hidden="false" customHeight="true" outlineLevel="0" collapsed="false">
      <c r="A63" s="41" t="n">
        <v>2031</v>
      </c>
      <c r="B63" s="8" t="s">
        <v>24</v>
      </c>
      <c r="C63" s="8" t="s">
        <v>185</v>
      </c>
      <c r="D63" s="42" t="n">
        <f aca="false">(datos_base!$G$11+datos_base!$G$25)*parametros_manuales!B$14</f>
        <v>1405.424</v>
      </c>
      <c r="E63" s="42" t="n">
        <f aca="false">(datos_base!$G$11+datos_base!$G$25)*parametros_manuales!C$14</f>
        <v>1124.3392</v>
      </c>
      <c r="F63" s="42" t="n">
        <f aca="false">(datos_base!$G$11+datos_base!$G$25)*parametros_manuales!D$14</f>
        <v>1194.6104</v>
      </c>
      <c r="G63" s="42" t="n">
        <f aca="false">(datos_base!$G$11+datos_base!$G$25)*parametros_manuales!E$14</f>
        <v>1194.6104</v>
      </c>
      <c r="H63" s="42" t="n">
        <f aca="false">(datos_base!$G$11+datos_base!$G$25)*parametros_manuales!F$14</f>
        <v>1124.3392</v>
      </c>
      <c r="I63" s="42" t="n">
        <f aca="false">(datos_base!$G$11+datos_base!$G$25)*parametros_manuales!G$14</f>
        <v>1054.068</v>
      </c>
      <c r="J63" s="42" t="n">
        <f aca="false">(datos_base!$G$11+datos_base!$G$25)*parametros_manuales!H$14</f>
        <v>1124.3392</v>
      </c>
      <c r="K63" s="42" t="n">
        <f aca="false">(datos_base!$G$11+datos_base!$G$25)*parametros_manuales!I$14</f>
        <v>1124.3392</v>
      </c>
      <c r="L63" s="42" t="n">
        <f aca="false">(datos_base!$G$11+datos_base!$G$25)*parametros_manuales!J$14</f>
        <v>1124.3392</v>
      </c>
      <c r="M63" s="42" t="n">
        <f aca="false">(datos_base!$G$11+datos_base!$G$25)*parametros_manuales!K$14</f>
        <v>1054.068</v>
      </c>
      <c r="N63" s="42" t="n">
        <f aca="false">(datos_base!$G$11+datos_base!$G$25)*parametros_manuales!L$14</f>
        <v>983.7968</v>
      </c>
      <c r="O63" s="42" t="n">
        <f aca="false">(datos_base!$G$11+datos_base!$G$25)*parametros_manuales!M$14</f>
        <v>1545.9664</v>
      </c>
      <c r="P63" s="9" t="n">
        <f aca="false">SUM(D63:O63)</f>
        <v>14054.24</v>
      </c>
    </row>
    <row r="64" customFormat="false" ht="14.25" hidden="false" customHeight="true" outlineLevel="0" collapsed="false">
      <c r="A64" s="41" t="n">
        <v>2031</v>
      </c>
      <c r="B64" s="8" t="s">
        <v>25</v>
      </c>
      <c r="C64" s="8" t="s">
        <v>185</v>
      </c>
      <c r="D64" s="42" t="n">
        <f aca="false">(datos_base!$G$12+datos_base!$G$26)*parametros_manuales!B$15</f>
        <v>86.068</v>
      </c>
      <c r="E64" s="42" t="n">
        <f aca="false">(datos_base!$G$12+datos_base!$G$26)*parametros_manuales!C$15</f>
        <v>68.8544</v>
      </c>
      <c r="F64" s="42" t="n">
        <f aca="false">(datos_base!$G$12+datos_base!$G$26)*parametros_manuales!D$15</f>
        <v>73.1578</v>
      </c>
      <c r="G64" s="42" t="n">
        <f aca="false">(datos_base!$G$12+datos_base!$G$26)*parametros_manuales!E$15</f>
        <v>73.1578</v>
      </c>
      <c r="H64" s="42" t="n">
        <f aca="false">(datos_base!$G$12+datos_base!$G$26)*parametros_manuales!F$15</f>
        <v>68.8544</v>
      </c>
      <c r="I64" s="42" t="n">
        <f aca="false">(datos_base!$G$12+datos_base!$G$26)*parametros_manuales!G$15</f>
        <v>64.551</v>
      </c>
      <c r="J64" s="42" t="n">
        <f aca="false">(datos_base!$G$12+datos_base!$G$26)*parametros_manuales!H$15</f>
        <v>68.8544</v>
      </c>
      <c r="K64" s="42" t="n">
        <f aca="false">(datos_base!$G$12+datos_base!$G$26)*parametros_manuales!I$15</f>
        <v>68.8544</v>
      </c>
      <c r="L64" s="42" t="n">
        <f aca="false">(datos_base!$G$12+datos_base!$G$26)*parametros_manuales!J$15</f>
        <v>68.8544</v>
      </c>
      <c r="M64" s="42" t="n">
        <f aca="false">(datos_base!$G$12+datos_base!$G$26)*parametros_manuales!K$15</f>
        <v>64.551</v>
      </c>
      <c r="N64" s="42" t="n">
        <f aca="false">(datos_base!$G$12+datos_base!$G$26)*parametros_manuales!L$15</f>
        <v>60.2476</v>
      </c>
      <c r="O64" s="42" t="n">
        <f aca="false">(datos_base!$G$12+datos_base!$G$26)*parametros_manuales!M$15</f>
        <v>94.6748</v>
      </c>
      <c r="P64" s="9" t="n">
        <f aca="false">SUM(D64:O64)</f>
        <v>860.68</v>
      </c>
    </row>
    <row r="65" customFormat="false" ht="14.25" hidden="false" customHeight="true" outlineLevel="0" collapsed="false">
      <c r="B65" s="10" t="s">
        <v>186</v>
      </c>
      <c r="D65" s="11" t="n">
        <f aca="false">SUM(D57:D64)</f>
        <v>14139.4822713</v>
      </c>
      <c r="E65" s="11" t="n">
        <f aca="false">SUM(E57:E64)</f>
        <v>10787.78309862</v>
      </c>
      <c r="F65" s="11" t="n">
        <f aca="false">SUM(F57:F64)</f>
        <v>10097.949963065</v>
      </c>
      <c r="G65" s="11" t="n">
        <f aca="false">SUM(G57:G64)</f>
        <v>9661.447697715</v>
      </c>
      <c r="H65" s="11" t="n">
        <f aca="false">SUM(H57:H64)</f>
        <v>9041.77403722</v>
      </c>
      <c r="I65" s="11" t="n">
        <f aca="false">SUM(I57:I64)</f>
        <v>8858.602642075</v>
      </c>
      <c r="J65" s="11" t="n">
        <f aca="false">SUM(J57:J64)</f>
        <v>9478.27630257</v>
      </c>
      <c r="K65" s="11" t="n">
        <f aca="false">SUM(K57:K64)</f>
        <v>9478.27630257</v>
      </c>
      <c r="L65" s="11" t="n">
        <f aca="false">SUM(L57:L64)</f>
        <v>9478.27630257</v>
      </c>
      <c r="M65" s="11" t="n">
        <f aca="false">SUM(M57:M64)</f>
        <v>9295.104907425</v>
      </c>
      <c r="N65" s="11" t="n">
        <f aca="false">SUM(N57:N64)</f>
        <v>9111.93351228</v>
      </c>
      <c r="O65" s="11" t="n">
        <f aca="false">SUM(O57:O64)</f>
        <v>14505.82506159</v>
      </c>
      <c r="P65" s="11" t="n">
        <f aca="false">SUM(P57:P64)</f>
        <v>123934.732099</v>
      </c>
    </row>
    <row r="66" customFormat="false" ht="14.25" hidden="false" customHeight="true" outlineLevel="0" collapsed="false"/>
    <row r="67" customFormat="false" ht="14.25" hidden="false" customHeight="true" outlineLevel="0" collapsed="false">
      <c r="A67" s="7" t="n">
        <v>2032</v>
      </c>
      <c r="B67" s="7" t="s">
        <v>181</v>
      </c>
      <c r="C67" s="7" t="s">
        <v>182</v>
      </c>
      <c r="D67" s="7" t="s">
        <v>61</v>
      </c>
      <c r="E67" s="7" t="s">
        <v>62</v>
      </c>
      <c r="F67" s="7" t="s">
        <v>63</v>
      </c>
      <c r="G67" s="7" t="s">
        <v>64</v>
      </c>
      <c r="H67" s="7" t="s">
        <v>65</v>
      </c>
      <c r="I67" s="7" t="s">
        <v>66</v>
      </c>
      <c r="J67" s="7" t="s">
        <v>67</v>
      </c>
      <c r="K67" s="7" t="s">
        <v>68</v>
      </c>
      <c r="L67" s="7" t="s">
        <v>69</v>
      </c>
      <c r="M67" s="7" t="s">
        <v>70</v>
      </c>
      <c r="N67" s="7" t="s">
        <v>71</v>
      </c>
      <c r="O67" s="7" t="s">
        <v>72</v>
      </c>
      <c r="P67" s="7" t="s">
        <v>183</v>
      </c>
    </row>
    <row r="68" customFormat="false" ht="14.25" hidden="false" customHeight="true" outlineLevel="0" collapsed="false">
      <c r="A68" s="41" t="n">
        <v>2032</v>
      </c>
      <c r="B68" s="8" t="s">
        <v>16</v>
      </c>
      <c r="C68" s="8" t="s">
        <v>184</v>
      </c>
      <c r="D68" s="42" t="n">
        <f aca="false">(datos_base!$H$2+datos_base!$H$18)*parametros_manuales!B$12</f>
        <v>2439.9063912</v>
      </c>
      <c r="E68" s="42" t="n">
        <f aca="false">(datos_base!$H$2+datos_base!$H$18)*parametros_manuales!C$12</f>
        <v>1829.9297934</v>
      </c>
      <c r="F68" s="42" t="n">
        <f aca="false">(datos_base!$H$2+datos_base!$H$18)*parametros_manuales!D$12</f>
        <v>1626.6042608</v>
      </c>
      <c r="G68" s="42" t="n">
        <f aca="false">(datos_base!$H$2+datos_base!$H$18)*parametros_manuales!E$12</f>
        <v>1524.9414945</v>
      </c>
      <c r="H68" s="42" t="n">
        <f aca="false">(datos_base!$H$2+datos_base!$H$18)*parametros_manuales!F$12</f>
        <v>1423.2787282</v>
      </c>
      <c r="I68" s="42" t="n">
        <f aca="false">(datos_base!$H$2+datos_base!$H$18)*parametros_manuales!G$12</f>
        <v>1423.2787282</v>
      </c>
      <c r="J68" s="42" t="n">
        <f aca="false">(datos_base!$H$2+datos_base!$H$18)*parametros_manuales!H$12</f>
        <v>1524.9414945</v>
      </c>
      <c r="K68" s="42" t="n">
        <f aca="false">(datos_base!$H$2+datos_base!$H$18)*parametros_manuales!I$12</f>
        <v>1524.9414945</v>
      </c>
      <c r="L68" s="42" t="n">
        <f aca="false">(datos_base!$H$2+datos_base!$H$18)*parametros_manuales!J$12</f>
        <v>1524.9414945</v>
      </c>
      <c r="M68" s="42" t="n">
        <f aca="false">(datos_base!$H$2+datos_base!$H$18)*parametros_manuales!K$12</f>
        <v>1524.9414945</v>
      </c>
      <c r="N68" s="42" t="n">
        <f aca="false">(datos_base!$H$2+datos_base!$H$18)*parametros_manuales!L$12</f>
        <v>1524.9414945</v>
      </c>
      <c r="O68" s="42" t="n">
        <f aca="false">(datos_base!$H$2+datos_base!$H$18)*parametros_manuales!M$12</f>
        <v>2439.9063912</v>
      </c>
      <c r="P68" s="9" t="n">
        <f aca="false">SUM(D68:O68)</f>
        <v>20332.55326</v>
      </c>
    </row>
    <row r="69" customFormat="false" ht="14.25" hidden="false" customHeight="true" outlineLevel="0" collapsed="false">
      <c r="A69" s="41" t="n">
        <v>2032</v>
      </c>
      <c r="B69" s="8" t="s">
        <v>17</v>
      </c>
      <c r="C69" s="8" t="s">
        <v>184</v>
      </c>
      <c r="D69" s="42" t="n">
        <f aca="false">(datos_base!$H$3+datos_base!$H$19)*parametros_manuales!B$13</f>
        <v>412.1595524</v>
      </c>
      <c r="E69" s="42" t="n">
        <f aca="false">(datos_base!$H$3+datos_base!$H$19)*parametros_manuales!C$13</f>
        <v>329.72764192</v>
      </c>
      <c r="F69" s="42" t="n">
        <f aca="false">(datos_base!$H$3+datos_base!$H$19)*parametros_manuales!D$13</f>
        <v>350.33561954</v>
      </c>
      <c r="G69" s="42" t="n">
        <f aca="false">(datos_base!$H$3+datos_base!$H$19)*parametros_manuales!E$13</f>
        <v>350.33561954</v>
      </c>
      <c r="H69" s="42" t="n">
        <f aca="false">(datos_base!$H$3+datos_base!$H$19)*parametros_manuales!F$13</f>
        <v>329.72764192</v>
      </c>
      <c r="I69" s="42" t="n">
        <f aca="false">(datos_base!$H$3+datos_base!$H$19)*parametros_manuales!G$13</f>
        <v>309.1196643</v>
      </c>
      <c r="J69" s="42" t="n">
        <f aca="false">(datos_base!$H$3+datos_base!$H$19)*parametros_manuales!H$13</f>
        <v>329.72764192</v>
      </c>
      <c r="K69" s="42" t="n">
        <f aca="false">(datos_base!$H$3+datos_base!$H$19)*parametros_manuales!I$13</f>
        <v>329.72764192</v>
      </c>
      <c r="L69" s="42" t="n">
        <f aca="false">(datos_base!$H$3+datos_base!$H$19)*parametros_manuales!J$13</f>
        <v>329.72764192</v>
      </c>
      <c r="M69" s="42" t="n">
        <f aca="false">(datos_base!$H$3+datos_base!$H$19)*parametros_manuales!K$13</f>
        <v>309.1196643</v>
      </c>
      <c r="N69" s="42" t="n">
        <f aca="false">(datos_base!$H$3+datos_base!$H$19)*parametros_manuales!L$13</f>
        <v>288.51168668</v>
      </c>
      <c r="O69" s="42" t="n">
        <f aca="false">(datos_base!$H$3+datos_base!$H$19)*parametros_manuales!M$13</f>
        <v>453.37550764</v>
      </c>
      <c r="P69" s="9" t="n">
        <f aca="false">SUM(D69:O69)</f>
        <v>4121.595524</v>
      </c>
    </row>
    <row r="70" customFormat="false" ht="14.25" hidden="false" customHeight="true" outlineLevel="0" collapsed="false">
      <c r="A70" s="41" t="n">
        <v>2032</v>
      </c>
      <c r="B70" s="8" t="s">
        <v>18</v>
      </c>
      <c r="C70" s="8" t="s">
        <v>184</v>
      </c>
      <c r="D70" s="42" t="n">
        <f aca="false">(datos_base!$H$4+datos_base!$H$20)*parametros_manuales!B$14</f>
        <v>1895.363984</v>
      </c>
      <c r="E70" s="42" t="n">
        <f aca="false">(datos_base!$H$4+datos_base!$H$20)*parametros_manuales!C$14</f>
        <v>1516.2911872</v>
      </c>
      <c r="F70" s="42" t="n">
        <f aca="false">(datos_base!$H$4+datos_base!$H$20)*parametros_manuales!D$14</f>
        <v>1611.0593864</v>
      </c>
      <c r="G70" s="42" t="n">
        <f aca="false">(datos_base!$H$4+datos_base!$H$20)*parametros_manuales!E$14</f>
        <v>1611.0593864</v>
      </c>
      <c r="H70" s="42" t="n">
        <f aca="false">(datos_base!$H$4+datos_base!$H$20)*parametros_manuales!F$14</f>
        <v>1516.2911872</v>
      </c>
      <c r="I70" s="42" t="n">
        <f aca="false">(datos_base!$H$4+datos_base!$H$20)*parametros_manuales!G$14</f>
        <v>1421.522988</v>
      </c>
      <c r="J70" s="42" t="n">
        <f aca="false">(datos_base!$H$4+datos_base!$H$20)*parametros_manuales!H$14</f>
        <v>1516.2911872</v>
      </c>
      <c r="K70" s="42" t="n">
        <f aca="false">(datos_base!$H$4+datos_base!$H$20)*parametros_manuales!I$14</f>
        <v>1516.2911872</v>
      </c>
      <c r="L70" s="42" t="n">
        <f aca="false">(datos_base!$H$4+datos_base!$H$20)*parametros_manuales!J$14</f>
        <v>1516.2911872</v>
      </c>
      <c r="M70" s="42" t="n">
        <f aca="false">(datos_base!$H$4+datos_base!$H$20)*parametros_manuales!K$14</f>
        <v>1421.522988</v>
      </c>
      <c r="N70" s="42" t="n">
        <f aca="false">(datos_base!$H$4+datos_base!$H$20)*parametros_manuales!L$14</f>
        <v>1326.7547888</v>
      </c>
      <c r="O70" s="42" t="n">
        <f aca="false">(datos_base!$H$4+datos_base!$H$20)*parametros_manuales!M$14</f>
        <v>2084.9003824</v>
      </c>
      <c r="P70" s="9" t="n">
        <f aca="false">SUM(D70:O70)</f>
        <v>18953.63984</v>
      </c>
    </row>
    <row r="71" customFormat="false" ht="14.25" hidden="false" customHeight="true" outlineLevel="0" collapsed="false">
      <c r="A71" s="41" t="n">
        <v>2032</v>
      </c>
      <c r="B71" s="8" t="s">
        <v>19</v>
      </c>
      <c r="C71" s="8" t="s">
        <v>184</v>
      </c>
      <c r="D71" s="42" t="n">
        <f aca="false">(datos_base!$H$5+datos_base!$H$21)*parametros_manuales!B$15</f>
        <v>113.3320545</v>
      </c>
      <c r="E71" s="42" t="n">
        <f aca="false">(datos_base!$H$5+datos_base!$H$21)*parametros_manuales!C$15</f>
        <v>90.6656436</v>
      </c>
      <c r="F71" s="42" t="n">
        <f aca="false">(datos_base!$H$5+datos_base!$H$21)*parametros_manuales!D$15</f>
        <v>96.332246325</v>
      </c>
      <c r="G71" s="42" t="n">
        <f aca="false">(datos_base!$H$5+datos_base!$H$21)*parametros_manuales!E$15</f>
        <v>96.332246325</v>
      </c>
      <c r="H71" s="42" t="n">
        <f aca="false">(datos_base!$H$5+datos_base!$H$21)*parametros_manuales!F$15</f>
        <v>90.6656436</v>
      </c>
      <c r="I71" s="42" t="n">
        <f aca="false">(datos_base!$H$5+datos_base!$H$21)*parametros_manuales!G$15</f>
        <v>84.999040875</v>
      </c>
      <c r="J71" s="42" t="n">
        <f aca="false">(datos_base!$H$5+datos_base!$H$21)*parametros_manuales!H$15</f>
        <v>90.6656436</v>
      </c>
      <c r="K71" s="42" t="n">
        <f aca="false">(datos_base!$H$5+datos_base!$H$21)*parametros_manuales!I$15</f>
        <v>90.6656436</v>
      </c>
      <c r="L71" s="42" t="n">
        <f aca="false">(datos_base!$H$5+datos_base!$H$21)*parametros_manuales!J$15</f>
        <v>90.6656436</v>
      </c>
      <c r="M71" s="42" t="n">
        <f aca="false">(datos_base!$H$5+datos_base!$H$21)*parametros_manuales!K$15</f>
        <v>84.999040875</v>
      </c>
      <c r="N71" s="42" t="n">
        <f aca="false">(datos_base!$H$5+datos_base!$H$21)*parametros_manuales!L$15</f>
        <v>79.33243815</v>
      </c>
      <c r="O71" s="42" t="n">
        <f aca="false">(datos_base!$H$5+datos_base!$H$21)*parametros_manuales!M$15</f>
        <v>124.66525995</v>
      </c>
      <c r="P71" s="9" t="n">
        <f aca="false">SUM(D71:O71)</f>
        <v>1133.320545</v>
      </c>
    </row>
    <row r="72" customFormat="false" ht="14.25" hidden="false" customHeight="true" outlineLevel="0" collapsed="false">
      <c r="A72" s="41" t="n">
        <v>2032</v>
      </c>
      <c r="B72" s="8" t="s">
        <v>22</v>
      </c>
      <c r="C72" s="8" t="s">
        <v>185</v>
      </c>
      <c r="D72" s="42" t="n">
        <f aca="false">(datos_base!$H$9+datos_base!$H$23)*parametros_manuales!B$12</f>
        <v>12160.872</v>
      </c>
      <c r="E72" s="42" t="n">
        <f aca="false">(datos_base!$H$9+datos_base!$H$23)*parametros_manuales!C$12</f>
        <v>9120.654</v>
      </c>
      <c r="F72" s="42" t="n">
        <f aca="false">(datos_base!$H$9+datos_base!$H$23)*parametros_manuales!D$12</f>
        <v>8107.248</v>
      </c>
      <c r="G72" s="42" t="n">
        <f aca="false">(datos_base!$H$9+datos_base!$H$23)*parametros_manuales!E$12</f>
        <v>7600.545</v>
      </c>
      <c r="H72" s="42" t="n">
        <f aca="false">(datos_base!$H$9+datos_base!$H$23)*parametros_manuales!F$12</f>
        <v>7093.842</v>
      </c>
      <c r="I72" s="42" t="n">
        <f aca="false">(datos_base!$H$9+datos_base!$H$23)*parametros_manuales!G$12</f>
        <v>7093.842</v>
      </c>
      <c r="J72" s="42" t="n">
        <f aca="false">(datos_base!$H$9+datos_base!$H$23)*parametros_manuales!H$12</f>
        <v>7600.545</v>
      </c>
      <c r="K72" s="42" t="n">
        <f aca="false">(datos_base!$H$9+datos_base!$H$23)*parametros_manuales!I$12</f>
        <v>7600.545</v>
      </c>
      <c r="L72" s="42" t="n">
        <f aca="false">(datos_base!$H$9+datos_base!$H$23)*parametros_manuales!J$12</f>
        <v>7600.545</v>
      </c>
      <c r="M72" s="42" t="n">
        <f aca="false">(datos_base!$H$9+datos_base!$H$23)*parametros_manuales!K$12</f>
        <v>7600.545</v>
      </c>
      <c r="N72" s="42" t="n">
        <f aca="false">(datos_base!$H$9+datos_base!$H$23)*parametros_manuales!L$12</f>
        <v>7600.545</v>
      </c>
      <c r="O72" s="42" t="n">
        <f aca="false">(datos_base!$H$9+datos_base!$H$23)*parametros_manuales!M$12</f>
        <v>12160.872</v>
      </c>
      <c r="P72" s="9" t="n">
        <f aca="false">SUM(D72:O72)</f>
        <v>101340.6</v>
      </c>
    </row>
    <row r="73" customFormat="false" ht="14.25" hidden="false" customHeight="true" outlineLevel="0" collapsed="false">
      <c r="A73" s="41" t="n">
        <v>2032</v>
      </c>
      <c r="B73" s="8" t="s">
        <v>23</v>
      </c>
      <c r="C73" s="8" t="s">
        <v>185</v>
      </c>
      <c r="D73" s="42" t="n">
        <f aca="false">(datos_base!$H$10+datos_base!$H$24)*parametros_manuales!B$13</f>
        <v>399.752</v>
      </c>
      <c r="E73" s="42" t="n">
        <f aca="false">(datos_base!$H$10+datos_base!$H$24)*parametros_manuales!C$13</f>
        <v>319.8016</v>
      </c>
      <c r="F73" s="42" t="n">
        <f aca="false">(datos_base!$H$10+datos_base!$H$24)*parametros_manuales!D$13</f>
        <v>339.7892</v>
      </c>
      <c r="G73" s="42" t="n">
        <f aca="false">(datos_base!$H$10+datos_base!$H$24)*parametros_manuales!E$13</f>
        <v>339.7892</v>
      </c>
      <c r="H73" s="42" t="n">
        <f aca="false">(datos_base!$H$10+datos_base!$H$24)*parametros_manuales!F$13</f>
        <v>319.8016</v>
      </c>
      <c r="I73" s="42" t="n">
        <f aca="false">(datos_base!$H$10+datos_base!$H$24)*parametros_manuales!G$13</f>
        <v>299.814</v>
      </c>
      <c r="J73" s="42" t="n">
        <f aca="false">(datos_base!$H$10+datos_base!$H$24)*parametros_manuales!H$13</f>
        <v>319.8016</v>
      </c>
      <c r="K73" s="42" t="n">
        <f aca="false">(datos_base!$H$10+datos_base!$H$24)*parametros_manuales!I$13</f>
        <v>319.8016</v>
      </c>
      <c r="L73" s="42" t="n">
        <f aca="false">(datos_base!$H$10+datos_base!$H$24)*parametros_manuales!J$13</f>
        <v>319.8016</v>
      </c>
      <c r="M73" s="42" t="n">
        <f aca="false">(datos_base!$H$10+datos_base!$H$24)*parametros_manuales!K$13</f>
        <v>299.814</v>
      </c>
      <c r="N73" s="42" t="n">
        <f aca="false">(datos_base!$H$10+datos_base!$H$24)*parametros_manuales!L$13</f>
        <v>279.8264</v>
      </c>
      <c r="O73" s="42" t="n">
        <f aca="false">(datos_base!$H$10+datos_base!$H$24)*parametros_manuales!M$13</f>
        <v>439.7272</v>
      </c>
      <c r="P73" s="9" t="n">
        <f aca="false">SUM(D73:O73)</f>
        <v>3997.52</v>
      </c>
    </row>
    <row r="74" customFormat="false" ht="14.25" hidden="false" customHeight="true" outlineLevel="0" collapsed="false">
      <c r="A74" s="41" t="n">
        <v>2032</v>
      </c>
      <c r="B74" s="8" t="s">
        <v>24</v>
      </c>
      <c r="C74" s="8" t="s">
        <v>185</v>
      </c>
      <c r="D74" s="42" t="n">
        <f aca="false">(datos_base!$H$11+datos_base!$H$25)*parametros_manuales!B$14</f>
        <v>1969.18</v>
      </c>
      <c r="E74" s="42" t="n">
        <f aca="false">(datos_base!$H$11+datos_base!$H$25)*parametros_manuales!C$14</f>
        <v>1575.344</v>
      </c>
      <c r="F74" s="42" t="n">
        <f aca="false">(datos_base!$H$11+datos_base!$H$25)*parametros_manuales!D$14</f>
        <v>1673.803</v>
      </c>
      <c r="G74" s="42" t="n">
        <f aca="false">(datos_base!$H$11+datos_base!$H$25)*parametros_manuales!E$14</f>
        <v>1673.803</v>
      </c>
      <c r="H74" s="42" t="n">
        <f aca="false">(datos_base!$H$11+datos_base!$H$25)*parametros_manuales!F$14</f>
        <v>1575.344</v>
      </c>
      <c r="I74" s="42" t="n">
        <f aca="false">(datos_base!$H$11+datos_base!$H$25)*parametros_manuales!G$14</f>
        <v>1476.885</v>
      </c>
      <c r="J74" s="42" t="n">
        <f aca="false">(datos_base!$H$11+datos_base!$H$25)*parametros_manuales!H$14</f>
        <v>1575.344</v>
      </c>
      <c r="K74" s="42" t="n">
        <f aca="false">(datos_base!$H$11+datos_base!$H$25)*parametros_manuales!I$14</f>
        <v>1575.344</v>
      </c>
      <c r="L74" s="42" t="n">
        <f aca="false">(datos_base!$H$11+datos_base!$H$25)*parametros_manuales!J$14</f>
        <v>1575.344</v>
      </c>
      <c r="M74" s="42" t="n">
        <f aca="false">(datos_base!$H$11+datos_base!$H$25)*parametros_manuales!K$14</f>
        <v>1476.885</v>
      </c>
      <c r="N74" s="42" t="n">
        <f aca="false">(datos_base!$H$11+datos_base!$H$25)*parametros_manuales!L$14</f>
        <v>1378.426</v>
      </c>
      <c r="O74" s="42" t="n">
        <f aca="false">(datos_base!$H$11+datos_base!$H$25)*parametros_manuales!M$14</f>
        <v>2166.098</v>
      </c>
      <c r="P74" s="9" t="n">
        <f aca="false">SUM(D74:O74)</f>
        <v>19691.8</v>
      </c>
    </row>
    <row r="75" customFormat="false" ht="14.25" hidden="false" customHeight="true" outlineLevel="0" collapsed="false">
      <c r="A75" s="41" t="n">
        <v>2032</v>
      </c>
      <c r="B75" s="8" t="s">
        <v>25</v>
      </c>
      <c r="C75" s="8" t="s">
        <v>185</v>
      </c>
      <c r="D75" s="42" t="n">
        <f aca="false">(datos_base!$H$12+datos_base!$H$26)*parametros_manuales!B$15</f>
        <v>120.724</v>
      </c>
      <c r="E75" s="42" t="n">
        <f aca="false">(datos_base!$H$12+datos_base!$H$26)*parametros_manuales!C$15</f>
        <v>96.5792</v>
      </c>
      <c r="F75" s="42" t="n">
        <f aca="false">(datos_base!$H$12+datos_base!$H$26)*parametros_manuales!D$15</f>
        <v>102.6154</v>
      </c>
      <c r="G75" s="42" t="n">
        <f aca="false">(datos_base!$H$12+datos_base!$H$26)*parametros_manuales!E$15</f>
        <v>102.6154</v>
      </c>
      <c r="H75" s="42" t="n">
        <f aca="false">(datos_base!$H$12+datos_base!$H$26)*parametros_manuales!F$15</f>
        <v>96.5792</v>
      </c>
      <c r="I75" s="42" t="n">
        <f aca="false">(datos_base!$H$12+datos_base!$H$26)*parametros_manuales!G$15</f>
        <v>90.543</v>
      </c>
      <c r="J75" s="42" t="n">
        <f aca="false">(datos_base!$H$12+datos_base!$H$26)*parametros_manuales!H$15</f>
        <v>96.5792</v>
      </c>
      <c r="K75" s="42" t="n">
        <f aca="false">(datos_base!$H$12+datos_base!$H$26)*parametros_manuales!I$15</f>
        <v>96.5792</v>
      </c>
      <c r="L75" s="42" t="n">
        <f aca="false">(datos_base!$H$12+datos_base!$H$26)*parametros_manuales!J$15</f>
        <v>96.5792</v>
      </c>
      <c r="M75" s="42" t="n">
        <f aca="false">(datos_base!$H$12+datos_base!$H$26)*parametros_manuales!K$15</f>
        <v>90.543</v>
      </c>
      <c r="N75" s="42" t="n">
        <f aca="false">(datos_base!$H$12+datos_base!$H$26)*parametros_manuales!L$15</f>
        <v>84.5068</v>
      </c>
      <c r="O75" s="42" t="n">
        <f aca="false">(datos_base!$H$12+datos_base!$H$26)*parametros_manuales!M$15</f>
        <v>132.7964</v>
      </c>
      <c r="P75" s="9" t="n">
        <f aca="false">SUM(D75:O75)</f>
        <v>1207.24</v>
      </c>
    </row>
    <row r="76" customFormat="false" ht="14.25" hidden="false" customHeight="true" outlineLevel="0" collapsed="false">
      <c r="B76" s="10" t="s">
        <v>186</v>
      </c>
      <c r="D76" s="11" t="n">
        <f aca="false">SUM(D68:D75)</f>
        <v>19511.2899821</v>
      </c>
      <c r="E76" s="11" t="n">
        <f aca="false">SUM(E68:E75)</f>
        <v>14878.99306612</v>
      </c>
      <c r="F76" s="11" t="n">
        <f aca="false">SUM(F68:F75)</f>
        <v>13907.787113065</v>
      </c>
      <c r="G76" s="11" t="n">
        <f aca="false">SUM(G68:G75)</f>
        <v>13299.421346765</v>
      </c>
      <c r="H76" s="11" t="n">
        <f aca="false">SUM(H68:H75)</f>
        <v>12445.53000092</v>
      </c>
      <c r="I76" s="11" t="n">
        <f aca="false">SUM(I68:I75)</f>
        <v>12200.004421375</v>
      </c>
      <c r="J76" s="11" t="n">
        <f aca="false">SUM(J68:J75)</f>
        <v>13053.89576722</v>
      </c>
      <c r="K76" s="11" t="n">
        <f aca="false">SUM(K68:K75)</f>
        <v>13053.89576722</v>
      </c>
      <c r="L76" s="11" t="n">
        <f aca="false">SUM(L68:L75)</f>
        <v>13053.89576722</v>
      </c>
      <c r="M76" s="11" t="n">
        <f aca="false">SUM(M68:M75)</f>
        <v>12808.370187675</v>
      </c>
      <c r="N76" s="11" t="n">
        <f aca="false">SUM(N68:N75)</f>
        <v>12562.84460813</v>
      </c>
      <c r="O76" s="11" t="n">
        <f aca="false">SUM(O68:O75)</f>
        <v>20002.34114119</v>
      </c>
      <c r="P76" s="11" t="n">
        <f aca="false">SUM(P68:P75)</f>
        <v>170778.269169</v>
      </c>
    </row>
    <row r="77" customFormat="false" ht="14.25" hidden="false" customHeight="true" outlineLevel="0" collapsed="false"/>
    <row r="78" customFormat="false" ht="14.25" hidden="false" customHeight="true" outlineLevel="0" collapsed="false">
      <c r="A78" s="7" t="n">
        <v>2033</v>
      </c>
      <c r="B78" s="7" t="s">
        <v>181</v>
      </c>
      <c r="C78" s="7" t="s">
        <v>182</v>
      </c>
      <c r="D78" s="7" t="s">
        <v>61</v>
      </c>
      <c r="E78" s="7" t="s">
        <v>62</v>
      </c>
      <c r="F78" s="7" t="s">
        <v>63</v>
      </c>
      <c r="G78" s="7" t="s">
        <v>64</v>
      </c>
      <c r="H78" s="7" t="s">
        <v>65</v>
      </c>
      <c r="I78" s="7" t="s">
        <v>66</v>
      </c>
      <c r="J78" s="7" t="s">
        <v>67</v>
      </c>
      <c r="K78" s="7" t="s">
        <v>68</v>
      </c>
      <c r="L78" s="7" t="s">
        <v>69</v>
      </c>
      <c r="M78" s="7" t="s">
        <v>70</v>
      </c>
      <c r="N78" s="7" t="s">
        <v>71</v>
      </c>
      <c r="O78" s="7" t="s">
        <v>72</v>
      </c>
      <c r="P78" s="7" t="s">
        <v>183</v>
      </c>
    </row>
    <row r="79" customFormat="false" ht="14.25" hidden="false" customHeight="true" outlineLevel="0" collapsed="false">
      <c r="A79" s="41" t="n">
        <v>2033</v>
      </c>
      <c r="B79" s="8" t="s">
        <v>16</v>
      </c>
      <c r="C79" s="8" t="s">
        <v>184</v>
      </c>
      <c r="D79" s="42" t="n">
        <f aca="false">(datos_base!$I$2+datos_base!$I$18)*parametros_manuales!B$12</f>
        <v>3015.8494176</v>
      </c>
      <c r="E79" s="42" t="n">
        <f aca="false">(datos_base!$I$2+datos_base!$I$18)*parametros_manuales!C$12</f>
        <v>2261.8870632</v>
      </c>
      <c r="F79" s="42" t="n">
        <f aca="false">(datos_base!$I$2+datos_base!$I$18)*parametros_manuales!D$12</f>
        <v>2010.5662784</v>
      </c>
      <c r="G79" s="42" t="n">
        <f aca="false">(datos_base!$I$2+datos_base!$I$18)*parametros_manuales!E$12</f>
        <v>1884.905886</v>
      </c>
      <c r="H79" s="42" t="n">
        <f aca="false">(datos_base!$I$2+datos_base!$I$18)*parametros_manuales!F$12</f>
        <v>1759.2454936</v>
      </c>
      <c r="I79" s="42" t="n">
        <f aca="false">(datos_base!$I$2+datos_base!$I$18)*parametros_manuales!G$12</f>
        <v>1759.2454936</v>
      </c>
      <c r="J79" s="42" t="n">
        <f aca="false">(datos_base!$I$2+datos_base!$I$18)*parametros_manuales!H$12</f>
        <v>1884.905886</v>
      </c>
      <c r="K79" s="42" t="n">
        <f aca="false">(datos_base!$I$2+datos_base!$I$18)*parametros_manuales!I$12</f>
        <v>1884.905886</v>
      </c>
      <c r="L79" s="42" t="n">
        <f aca="false">(datos_base!$I$2+datos_base!$I$18)*parametros_manuales!J$12</f>
        <v>1884.905886</v>
      </c>
      <c r="M79" s="42" t="n">
        <f aca="false">(datos_base!$I$2+datos_base!$I$18)*parametros_manuales!K$12</f>
        <v>1884.905886</v>
      </c>
      <c r="N79" s="42" t="n">
        <f aca="false">(datos_base!$I$2+datos_base!$I$18)*parametros_manuales!L$12</f>
        <v>1884.905886</v>
      </c>
      <c r="O79" s="42" t="n">
        <f aca="false">(datos_base!$I$2+datos_base!$I$18)*parametros_manuales!M$12</f>
        <v>3015.8494176</v>
      </c>
      <c r="P79" s="9" t="n">
        <f aca="false">SUM(D79:O79)</f>
        <v>25132.07848</v>
      </c>
    </row>
    <row r="80" customFormat="false" ht="14.25" hidden="false" customHeight="true" outlineLevel="0" collapsed="false">
      <c r="A80" s="41" t="n">
        <v>2033</v>
      </c>
      <c r="B80" s="8" t="s">
        <v>17</v>
      </c>
      <c r="C80" s="8" t="s">
        <v>184</v>
      </c>
      <c r="D80" s="42" t="n">
        <f aca="false">(datos_base!$I$3+datos_base!$I$19)*parametros_manuales!B$13</f>
        <v>511.9706587</v>
      </c>
      <c r="E80" s="42" t="n">
        <f aca="false">(datos_base!$I$3+datos_base!$I$19)*parametros_manuales!C$13</f>
        <v>409.57652696</v>
      </c>
      <c r="F80" s="42" t="n">
        <f aca="false">(datos_base!$I$3+datos_base!$I$19)*parametros_manuales!D$13</f>
        <v>435.175059895</v>
      </c>
      <c r="G80" s="42" t="n">
        <f aca="false">(datos_base!$I$3+datos_base!$I$19)*parametros_manuales!E$13</f>
        <v>435.175059895</v>
      </c>
      <c r="H80" s="42" t="n">
        <f aca="false">(datos_base!$I$3+datos_base!$I$19)*parametros_manuales!F$13</f>
        <v>409.57652696</v>
      </c>
      <c r="I80" s="42" t="n">
        <f aca="false">(datos_base!$I$3+datos_base!$I$19)*parametros_manuales!G$13</f>
        <v>383.977994025</v>
      </c>
      <c r="J80" s="42" t="n">
        <f aca="false">(datos_base!$I$3+datos_base!$I$19)*parametros_manuales!H$13</f>
        <v>409.57652696</v>
      </c>
      <c r="K80" s="42" t="n">
        <f aca="false">(datos_base!$I$3+datos_base!$I$19)*parametros_manuales!I$13</f>
        <v>409.57652696</v>
      </c>
      <c r="L80" s="42" t="n">
        <f aca="false">(datos_base!$I$3+datos_base!$I$19)*parametros_manuales!J$13</f>
        <v>409.57652696</v>
      </c>
      <c r="M80" s="42" t="n">
        <f aca="false">(datos_base!$I$3+datos_base!$I$19)*parametros_manuales!K$13</f>
        <v>383.977994025</v>
      </c>
      <c r="N80" s="42" t="n">
        <f aca="false">(datos_base!$I$3+datos_base!$I$19)*parametros_manuales!L$13</f>
        <v>358.37946109</v>
      </c>
      <c r="O80" s="42" t="n">
        <f aca="false">(datos_base!$I$3+datos_base!$I$19)*parametros_manuales!M$13</f>
        <v>563.16772457</v>
      </c>
      <c r="P80" s="9" t="n">
        <f aca="false">SUM(D80:O80)</f>
        <v>5119.706587</v>
      </c>
    </row>
    <row r="81" customFormat="false" ht="14.25" hidden="false" customHeight="true" outlineLevel="0" collapsed="false">
      <c r="A81" s="41" t="n">
        <v>2033</v>
      </c>
      <c r="B81" s="8" t="s">
        <v>18</v>
      </c>
      <c r="C81" s="8" t="s">
        <v>184</v>
      </c>
      <c r="D81" s="42" t="n">
        <f aca="false">(datos_base!$I$4+datos_base!$I$20)*parametros_manuales!B$14</f>
        <v>2344.966637</v>
      </c>
      <c r="E81" s="42" t="n">
        <f aca="false">(datos_base!$I$4+datos_base!$I$20)*parametros_manuales!C$14</f>
        <v>1875.9733096</v>
      </c>
      <c r="F81" s="42" t="n">
        <f aca="false">(datos_base!$I$4+datos_base!$I$20)*parametros_manuales!D$14</f>
        <v>1993.22164145</v>
      </c>
      <c r="G81" s="42" t="n">
        <f aca="false">(datos_base!$I$4+datos_base!$I$20)*parametros_manuales!E$14</f>
        <v>1993.22164145</v>
      </c>
      <c r="H81" s="42" t="n">
        <f aca="false">(datos_base!$I$4+datos_base!$I$20)*parametros_manuales!F$14</f>
        <v>1875.9733096</v>
      </c>
      <c r="I81" s="42" t="n">
        <f aca="false">(datos_base!$I$4+datos_base!$I$20)*parametros_manuales!G$14</f>
        <v>1758.72497775</v>
      </c>
      <c r="J81" s="42" t="n">
        <f aca="false">(datos_base!$I$4+datos_base!$I$20)*parametros_manuales!H$14</f>
        <v>1875.9733096</v>
      </c>
      <c r="K81" s="42" t="n">
        <f aca="false">(datos_base!$I$4+datos_base!$I$20)*parametros_manuales!I$14</f>
        <v>1875.9733096</v>
      </c>
      <c r="L81" s="42" t="n">
        <f aca="false">(datos_base!$I$4+datos_base!$I$20)*parametros_manuales!J$14</f>
        <v>1875.9733096</v>
      </c>
      <c r="M81" s="42" t="n">
        <f aca="false">(datos_base!$I$4+datos_base!$I$20)*parametros_manuales!K$14</f>
        <v>1758.72497775</v>
      </c>
      <c r="N81" s="42" t="n">
        <f aca="false">(datos_base!$I$4+datos_base!$I$20)*parametros_manuales!L$14</f>
        <v>1641.4766459</v>
      </c>
      <c r="O81" s="42" t="n">
        <f aca="false">(datos_base!$I$4+datos_base!$I$20)*parametros_manuales!M$14</f>
        <v>2579.4633007</v>
      </c>
      <c r="P81" s="9" t="n">
        <f aca="false">SUM(D81:O81)</f>
        <v>23449.66637</v>
      </c>
    </row>
    <row r="82" customFormat="false" ht="14.25" hidden="false" customHeight="true" outlineLevel="0" collapsed="false">
      <c r="A82" s="41" t="n">
        <v>2033</v>
      </c>
      <c r="B82" s="8" t="s">
        <v>19</v>
      </c>
      <c r="C82" s="8" t="s">
        <v>184</v>
      </c>
      <c r="D82" s="42" t="n">
        <f aca="false">(datos_base!$I$5+datos_base!$I$21)*parametros_manuales!B$15</f>
        <v>140.1924812</v>
      </c>
      <c r="E82" s="42" t="n">
        <f aca="false">(datos_base!$I$5+datos_base!$I$21)*parametros_manuales!C$15</f>
        <v>112.15398496</v>
      </c>
      <c r="F82" s="42" t="n">
        <f aca="false">(datos_base!$I$5+datos_base!$I$21)*parametros_manuales!D$15</f>
        <v>119.16360902</v>
      </c>
      <c r="G82" s="42" t="n">
        <f aca="false">(datos_base!$I$5+datos_base!$I$21)*parametros_manuales!E$15</f>
        <v>119.16360902</v>
      </c>
      <c r="H82" s="42" t="n">
        <f aca="false">(datos_base!$I$5+datos_base!$I$21)*parametros_manuales!F$15</f>
        <v>112.15398496</v>
      </c>
      <c r="I82" s="42" t="n">
        <f aca="false">(datos_base!$I$5+datos_base!$I$21)*parametros_manuales!G$15</f>
        <v>105.1443609</v>
      </c>
      <c r="J82" s="42" t="n">
        <f aca="false">(datos_base!$I$5+datos_base!$I$21)*parametros_manuales!H$15</f>
        <v>112.15398496</v>
      </c>
      <c r="K82" s="42" t="n">
        <f aca="false">(datos_base!$I$5+datos_base!$I$21)*parametros_manuales!I$15</f>
        <v>112.15398496</v>
      </c>
      <c r="L82" s="42" t="n">
        <f aca="false">(datos_base!$I$5+datos_base!$I$21)*parametros_manuales!J$15</f>
        <v>112.15398496</v>
      </c>
      <c r="M82" s="42" t="n">
        <f aca="false">(datos_base!$I$5+datos_base!$I$21)*parametros_manuales!K$15</f>
        <v>105.1443609</v>
      </c>
      <c r="N82" s="42" t="n">
        <f aca="false">(datos_base!$I$5+datos_base!$I$21)*parametros_manuales!L$15</f>
        <v>98.13473684</v>
      </c>
      <c r="O82" s="42" t="n">
        <f aca="false">(datos_base!$I$5+datos_base!$I$21)*parametros_manuales!M$15</f>
        <v>154.21172932</v>
      </c>
      <c r="P82" s="9" t="n">
        <f aca="false">SUM(D82:O82)</f>
        <v>1401.924812</v>
      </c>
    </row>
    <row r="83" customFormat="false" ht="14.25" hidden="false" customHeight="true" outlineLevel="0" collapsed="false">
      <c r="A83" s="41" t="n">
        <v>2033</v>
      </c>
      <c r="B83" s="8" t="s">
        <v>22</v>
      </c>
      <c r="C83" s="8" t="s">
        <v>185</v>
      </c>
      <c r="D83" s="42" t="n">
        <f aca="false">(datos_base!$I$9+datos_base!$I$23)*parametros_manuales!B$12</f>
        <v>15720.12</v>
      </c>
      <c r="E83" s="42" t="n">
        <f aca="false">(datos_base!$I$9+datos_base!$I$23)*parametros_manuales!C$12</f>
        <v>11790.09</v>
      </c>
      <c r="F83" s="42" t="n">
        <f aca="false">(datos_base!$I$9+datos_base!$I$23)*parametros_manuales!D$12</f>
        <v>10480.08</v>
      </c>
      <c r="G83" s="42" t="n">
        <f aca="false">(datos_base!$I$9+datos_base!$I$23)*parametros_manuales!E$12</f>
        <v>9825.075</v>
      </c>
      <c r="H83" s="42" t="n">
        <f aca="false">(datos_base!$I$9+datos_base!$I$23)*parametros_manuales!F$12</f>
        <v>9170.07</v>
      </c>
      <c r="I83" s="42" t="n">
        <f aca="false">(datos_base!$I$9+datos_base!$I$23)*parametros_manuales!G$12</f>
        <v>9170.07</v>
      </c>
      <c r="J83" s="42" t="n">
        <f aca="false">(datos_base!$I$9+datos_base!$I$23)*parametros_manuales!H$12</f>
        <v>9825.075</v>
      </c>
      <c r="K83" s="42" t="n">
        <f aca="false">(datos_base!$I$9+datos_base!$I$23)*parametros_manuales!I$12</f>
        <v>9825.075</v>
      </c>
      <c r="L83" s="42" t="n">
        <f aca="false">(datos_base!$I$9+datos_base!$I$23)*parametros_manuales!J$12</f>
        <v>9825.075</v>
      </c>
      <c r="M83" s="42" t="n">
        <f aca="false">(datos_base!$I$9+datos_base!$I$23)*parametros_manuales!K$12</f>
        <v>9825.075</v>
      </c>
      <c r="N83" s="42" t="n">
        <f aca="false">(datos_base!$I$9+datos_base!$I$23)*parametros_manuales!L$12</f>
        <v>9825.075</v>
      </c>
      <c r="O83" s="42" t="n">
        <f aca="false">(datos_base!$I$9+datos_base!$I$23)*parametros_manuales!M$12</f>
        <v>15720.12</v>
      </c>
      <c r="P83" s="9" t="n">
        <f aca="false">SUM(D83:O83)</f>
        <v>131001</v>
      </c>
    </row>
    <row r="84" customFormat="false" ht="14.25" hidden="false" customHeight="true" outlineLevel="0" collapsed="false">
      <c r="A84" s="41" t="n">
        <v>2033</v>
      </c>
      <c r="B84" s="8" t="s">
        <v>23</v>
      </c>
      <c r="C84" s="8" t="s">
        <v>185</v>
      </c>
      <c r="D84" s="42" t="n">
        <f aca="false">(datos_base!$I$10+datos_base!$I$24)*parametros_manuales!B$13</f>
        <v>515.052</v>
      </c>
      <c r="E84" s="42" t="n">
        <f aca="false">(datos_base!$I$10+datos_base!$I$24)*parametros_manuales!C$13</f>
        <v>412.0416</v>
      </c>
      <c r="F84" s="42" t="n">
        <f aca="false">(datos_base!$I$10+datos_base!$I$24)*parametros_manuales!D$13</f>
        <v>437.7942</v>
      </c>
      <c r="G84" s="42" t="n">
        <f aca="false">(datos_base!$I$10+datos_base!$I$24)*parametros_manuales!E$13</f>
        <v>437.7942</v>
      </c>
      <c r="H84" s="42" t="n">
        <f aca="false">(datos_base!$I$10+datos_base!$I$24)*parametros_manuales!F$13</f>
        <v>412.0416</v>
      </c>
      <c r="I84" s="42" t="n">
        <f aca="false">(datos_base!$I$10+datos_base!$I$24)*parametros_manuales!G$13</f>
        <v>386.289</v>
      </c>
      <c r="J84" s="42" t="n">
        <f aca="false">(datos_base!$I$10+datos_base!$I$24)*parametros_manuales!H$13</f>
        <v>412.0416</v>
      </c>
      <c r="K84" s="42" t="n">
        <f aca="false">(datos_base!$I$10+datos_base!$I$24)*parametros_manuales!I$13</f>
        <v>412.0416</v>
      </c>
      <c r="L84" s="42" t="n">
        <f aca="false">(datos_base!$I$10+datos_base!$I$24)*parametros_manuales!J$13</f>
        <v>412.0416</v>
      </c>
      <c r="M84" s="42" t="n">
        <f aca="false">(datos_base!$I$10+datos_base!$I$24)*parametros_manuales!K$13</f>
        <v>386.289</v>
      </c>
      <c r="N84" s="42" t="n">
        <f aca="false">(datos_base!$I$10+datos_base!$I$24)*parametros_manuales!L$13</f>
        <v>360.5364</v>
      </c>
      <c r="O84" s="42" t="n">
        <f aca="false">(datos_base!$I$10+datos_base!$I$24)*parametros_manuales!M$13</f>
        <v>566.5572</v>
      </c>
      <c r="P84" s="9" t="n">
        <f aca="false">SUM(D84:O84)</f>
        <v>5150.52</v>
      </c>
    </row>
    <row r="85" customFormat="false" ht="14.25" hidden="false" customHeight="true" outlineLevel="0" collapsed="false">
      <c r="A85" s="41" t="n">
        <v>2033</v>
      </c>
      <c r="B85" s="8" t="s">
        <v>24</v>
      </c>
      <c r="C85" s="8" t="s">
        <v>185</v>
      </c>
      <c r="D85" s="42" t="n">
        <f aca="false">(datos_base!$I$11+datos_base!$I$25)*parametros_manuales!B$14</f>
        <v>2543.128</v>
      </c>
      <c r="E85" s="42" t="n">
        <f aca="false">(datos_base!$I$11+datos_base!$I$25)*parametros_manuales!C$14</f>
        <v>2034.5024</v>
      </c>
      <c r="F85" s="42" t="n">
        <f aca="false">(datos_base!$I$11+datos_base!$I$25)*parametros_manuales!D$14</f>
        <v>2161.6588</v>
      </c>
      <c r="G85" s="42" t="n">
        <f aca="false">(datos_base!$I$11+datos_base!$I$25)*parametros_manuales!E$14</f>
        <v>2161.6588</v>
      </c>
      <c r="H85" s="42" t="n">
        <f aca="false">(datos_base!$I$11+datos_base!$I$25)*parametros_manuales!F$14</f>
        <v>2034.5024</v>
      </c>
      <c r="I85" s="42" t="n">
        <f aca="false">(datos_base!$I$11+datos_base!$I$25)*parametros_manuales!G$14</f>
        <v>1907.346</v>
      </c>
      <c r="J85" s="42" t="n">
        <f aca="false">(datos_base!$I$11+datos_base!$I$25)*parametros_manuales!H$14</f>
        <v>2034.5024</v>
      </c>
      <c r="K85" s="42" t="n">
        <f aca="false">(datos_base!$I$11+datos_base!$I$25)*parametros_manuales!I$14</f>
        <v>2034.5024</v>
      </c>
      <c r="L85" s="42" t="n">
        <f aca="false">(datos_base!$I$11+datos_base!$I$25)*parametros_manuales!J$14</f>
        <v>2034.5024</v>
      </c>
      <c r="M85" s="42" t="n">
        <f aca="false">(datos_base!$I$11+datos_base!$I$25)*parametros_manuales!K$14</f>
        <v>1907.346</v>
      </c>
      <c r="N85" s="42" t="n">
        <f aca="false">(datos_base!$I$11+datos_base!$I$25)*parametros_manuales!L$14</f>
        <v>1780.1896</v>
      </c>
      <c r="O85" s="42" t="n">
        <f aca="false">(datos_base!$I$11+datos_base!$I$25)*parametros_manuales!M$14</f>
        <v>2797.4408</v>
      </c>
      <c r="P85" s="9" t="n">
        <f aca="false">SUM(D85:O85)</f>
        <v>25431.28</v>
      </c>
    </row>
    <row r="86" customFormat="false" ht="14.25" hidden="false" customHeight="true" outlineLevel="0" collapsed="false">
      <c r="A86" s="41" t="n">
        <v>2033</v>
      </c>
      <c r="B86" s="8" t="s">
        <v>25</v>
      </c>
      <c r="C86" s="8" t="s">
        <v>185</v>
      </c>
      <c r="D86" s="42" t="n">
        <f aca="false">(datos_base!$I$12+datos_base!$I$26)*parametros_manuales!B$15</f>
        <v>155.548</v>
      </c>
      <c r="E86" s="42" t="n">
        <f aca="false">(datos_base!$I$12+datos_base!$I$26)*parametros_manuales!C$15</f>
        <v>124.4384</v>
      </c>
      <c r="F86" s="42" t="n">
        <f aca="false">(datos_base!$I$12+datos_base!$I$26)*parametros_manuales!D$15</f>
        <v>132.2158</v>
      </c>
      <c r="G86" s="42" t="n">
        <f aca="false">(datos_base!$I$12+datos_base!$I$26)*parametros_manuales!E$15</f>
        <v>132.2158</v>
      </c>
      <c r="H86" s="42" t="n">
        <f aca="false">(datos_base!$I$12+datos_base!$I$26)*parametros_manuales!F$15</f>
        <v>124.4384</v>
      </c>
      <c r="I86" s="42" t="n">
        <f aca="false">(datos_base!$I$12+datos_base!$I$26)*parametros_manuales!G$15</f>
        <v>116.661</v>
      </c>
      <c r="J86" s="42" t="n">
        <f aca="false">(datos_base!$I$12+datos_base!$I$26)*parametros_manuales!H$15</f>
        <v>124.4384</v>
      </c>
      <c r="K86" s="42" t="n">
        <f aca="false">(datos_base!$I$12+datos_base!$I$26)*parametros_manuales!I$15</f>
        <v>124.4384</v>
      </c>
      <c r="L86" s="42" t="n">
        <f aca="false">(datos_base!$I$12+datos_base!$I$26)*parametros_manuales!J$15</f>
        <v>124.4384</v>
      </c>
      <c r="M86" s="42" t="n">
        <f aca="false">(datos_base!$I$12+datos_base!$I$26)*parametros_manuales!K$15</f>
        <v>116.661</v>
      </c>
      <c r="N86" s="42" t="n">
        <f aca="false">(datos_base!$I$12+datos_base!$I$26)*parametros_manuales!L$15</f>
        <v>108.8836</v>
      </c>
      <c r="O86" s="42" t="n">
        <f aca="false">(datos_base!$I$12+datos_base!$I$26)*parametros_manuales!M$15</f>
        <v>171.1028</v>
      </c>
      <c r="P86" s="9" t="n">
        <f aca="false">SUM(D86:O86)</f>
        <v>1555.48</v>
      </c>
    </row>
    <row r="87" customFormat="false" ht="14.25" hidden="false" customHeight="true" outlineLevel="0" collapsed="false">
      <c r="B87" s="10" t="s">
        <v>186</v>
      </c>
      <c r="D87" s="11" t="n">
        <f aca="false">SUM(D79:D86)</f>
        <v>24946.8271945</v>
      </c>
      <c r="E87" s="11" t="n">
        <f aca="false">SUM(E79:E86)</f>
        <v>19020.66328472</v>
      </c>
      <c r="F87" s="11" t="n">
        <f aca="false">SUM(F79:F86)</f>
        <v>17769.875388765</v>
      </c>
      <c r="G87" s="11" t="n">
        <f aca="false">SUM(G79:G86)</f>
        <v>16989.209996365</v>
      </c>
      <c r="H87" s="11" t="n">
        <f aca="false">SUM(H79:H86)</f>
        <v>15898.00171512</v>
      </c>
      <c r="I87" s="11" t="n">
        <f aca="false">SUM(I79:I86)</f>
        <v>15587.458826275</v>
      </c>
      <c r="J87" s="11" t="n">
        <f aca="false">SUM(J79:J86)</f>
        <v>16678.66710752</v>
      </c>
      <c r="K87" s="11" t="n">
        <f aca="false">SUM(K79:K86)</f>
        <v>16678.66710752</v>
      </c>
      <c r="L87" s="11" t="n">
        <f aca="false">SUM(L79:L86)</f>
        <v>16678.66710752</v>
      </c>
      <c r="M87" s="11" t="n">
        <f aca="false">SUM(M79:M86)</f>
        <v>16368.124218675</v>
      </c>
      <c r="N87" s="11" t="n">
        <f aca="false">SUM(N79:N86)</f>
        <v>16057.58132983</v>
      </c>
      <c r="O87" s="11" t="n">
        <f aca="false">SUM(O79:O86)</f>
        <v>25567.91297219</v>
      </c>
      <c r="P87" s="11" t="n">
        <f aca="false">SUM(P79:P86)</f>
        <v>218241.656249</v>
      </c>
    </row>
    <row r="88" customFormat="false" ht="14.25" hidden="false" customHeight="true" outlineLevel="0" collapsed="false"/>
    <row r="89" customFormat="false" ht="14.25" hidden="false" customHeight="true" outlineLevel="0" collapsed="false">
      <c r="A89" s="7" t="n">
        <v>2034</v>
      </c>
      <c r="B89" s="7" t="s">
        <v>181</v>
      </c>
      <c r="C89" s="7" t="s">
        <v>182</v>
      </c>
      <c r="D89" s="7" t="s">
        <v>61</v>
      </c>
      <c r="E89" s="7" t="s">
        <v>62</v>
      </c>
      <c r="F89" s="7" t="s">
        <v>63</v>
      </c>
      <c r="G89" s="7" t="s">
        <v>64</v>
      </c>
      <c r="H89" s="7" t="s">
        <v>65</v>
      </c>
      <c r="I89" s="7" t="s">
        <v>66</v>
      </c>
      <c r="J89" s="7" t="s">
        <v>67</v>
      </c>
      <c r="K89" s="7" t="s">
        <v>68</v>
      </c>
      <c r="L89" s="7" t="s">
        <v>69</v>
      </c>
      <c r="M89" s="7" t="s">
        <v>70</v>
      </c>
      <c r="N89" s="7" t="s">
        <v>71</v>
      </c>
      <c r="O89" s="7" t="s">
        <v>72</v>
      </c>
      <c r="P89" s="7" t="s">
        <v>183</v>
      </c>
    </row>
    <row r="90" customFormat="false" ht="14.25" hidden="false" customHeight="true" outlineLevel="0" collapsed="false">
      <c r="A90" s="41" t="n">
        <v>2034</v>
      </c>
      <c r="B90" s="8" t="s">
        <v>16</v>
      </c>
      <c r="C90" s="8" t="s">
        <v>184</v>
      </c>
      <c r="D90" s="42" t="n">
        <f aca="false">(datos_base!$J$2+datos_base!$J$18)*parametros_manuales!B$12</f>
        <v>3428.8003368</v>
      </c>
      <c r="E90" s="42" t="n">
        <f aca="false">(datos_base!$J$2+datos_base!$J$18)*parametros_manuales!C$12</f>
        <v>2571.6002526</v>
      </c>
      <c r="F90" s="42" t="n">
        <f aca="false">(datos_base!$J$2+datos_base!$J$18)*parametros_manuales!D$12</f>
        <v>2285.8668912</v>
      </c>
      <c r="G90" s="42" t="n">
        <f aca="false">(datos_base!$J$2+datos_base!$J$18)*parametros_manuales!E$12</f>
        <v>2143.0002105</v>
      </c>
      <c r="H90" s="42" t="n">
        <f aca="false">(datos_base!$J$2+datos_base!$J$18)*parametros_manuales!F$12</f>
        <v>2000.1335298</v>
      </c>
      <c r="I90" s="42" t="n">
        <f aca="false">(datos_base!$J$2+datos_base!$J$18)*parametros_manuales!G$12</f>
        <v>2000.1335298</v>
      </c>
      <c r="J90" s="42" t="n">
        <f aca="false">(datos_base!$J$2+datos_base!$J$18)*parametros_manuales!H$12</f>
        <v>2143.0002105</v>
      </c>
      <c r="K90" s="42" t="n">
        <f aca="false">(datos_base!$J$2+datos_base!$J$18)*parametros_manuales!I$12</f>
        <v>2143.0002105</v>
      </c>
      <c r="L90" s="42" t="n">
        <f aca="false">(datos_base!$J$2+datos_base!$J$18)*parametros_manuales!J$12</f>
        <v>2143.0002105</v>
      </c>
      <c r="M90" s="42" t="n">
        <f aca="false">(datos_base!$J$2+datos_base!$J$18)*parametros_manuales!K$12</f>
        <v>2143.0002105</v>
      </c>
      <c r="N90" s="42" t="n">
        <f aca="false">(datos_base!$J$2+datos_base!$J$18)*parametros_manuales!L$12</f>
        <v>2143.0002105</v>
      </c>
      <c r="O90" s="42" t="n">
        <f aca="false">(datos_base!$J$2+datos_base!$J$18)*parametros_manuales!M$12</f>
        <v>3428.8003368</v>
      </c>
      <c r="P90" s="9" t="n">
        <f aca="false">SUM(D90:O90)</f>
        <v>28573.33614</v>
      </c>
    </row>
    <row r="91" customFormat="false" ht="14.25" hidden="false" customHeight="true" outlineLevel="0" collapsed="false">
      <c r="A91" s="41" t="n">
        <v>2034</v>
      </c>
      <c r="B91" s="8" t="s">
        <v>17</v>
      </c>
      <c r="C91" s="8" t="s">
        <v>184</v>
      </c>
      <c r="D91" s="42" t="n">
        <f aca="false">(datos_base!$J$3+datos_base!$J$19)*parametros_manuales!B$13</f>
        <v>620.9306243</v>
      </c>
      <c r="E91" s="42" t="n">
        <f aca="false">(datos_base!$J$3+datos_base!$J$19)*parametros_manuales!C$13</f>
        <v>496.74449944</v>
      </c>
      <c r="F91" s="42" t="n">
        <f aca="false">(datos_base!$J$3+datos_base!$J$19)*parametros_manuales!D$13</f>
        <v>527.791030655</v>
      </c>
      <c r="G91" s="42" t="n">
        <f aca="false">(datos_base!$J$3+datos_base!$J$19)*parametros_manuales!E$13</f>
        <v>527.791030655</v>
      </c>
      <c r="H91" s="42" t="n">
        <f aca="false">(datos_base!$J$3+datos_base!$J$19)*parametros_manuales!F$13</f>
        <v>496.74449944</v>
      </c>
      <c r="I91" s="42" t="n">
        <f aca="false">(datos_base!$J$3+datos_base!$J$19)*parametros_manuales!G$13</f>
        <v>465.697968225</v>
      </c>
      <c r="J91" s="42" t="n">
        <f aca="false">(datos_base!$J$3+datos_base!$J$19)*parametros_manuales!H$13</f>
        <v>496.74449944</v>
      </c>
      <c r="K91" s="42" t="n">
        <f aca="false">(datos_base!$J$3+datos_base!$J$19)*parametros_manuales!I$13</f>
        <v>496.74449944</v>
      </c>
      <c r="L91" s="42" t="n">
        <f aca="false">(datos_base!$J$3+datos_base!$J$19)*parametros_manuales!J$13</f>
        <v>496.74449944</v>
      </c>
      <c r="M91" s="42" t="n">
        <f aca="false">(datos_base!$J$3+datos_base!$J$19)*parametros_manuales!K$13</f>
        <v>465.697968225</v>
      </c>
      <c r="N91" s="42" t="n">
        <f aca="false">(datos_base!$J$3+datos_base!$J$19)*parametros_manuales!L$13</f>
        <v>434.65143701</v>
      </c>
      <c r="O91" s="42" t="n">
        <f aca="false">(datos_base!$J$3+datos_base!$J$19)*parametros_manuales!M$13</f>
        <v>683.02368673</v>
      </c>
      <c r="P91" s="9" t="n">
        <f aca="false">SUM(D91:O91)</f>
        <v>6209.306243</v>
      </c>
    </row>
    <row r="92" customFormat="false" ht="14.25" hidden="false" customHeight="true" outlineLevel="0" collapsed="false">
      <c r="A92" s="41" t="n">
        <v>2034</v>
      </c>
      <c r="B92" s="8" t="s">
        <v>18</v>
      </c>
      <c r="C92" s="8" t="s">
        <v>184</v>
      </c>
      <c r="D92" s="42" t="n">
        <f aca="false">(datos_base!$J$4+datos_base!$J$20)*parametros_manuales!B$14</f>
        <v>2704.396455</v>
      </c>
      <c r="E92" s="42" t="n">
        <f aca="false">(datos_base!$J$4+datos_base!$J$20)*parametros_manuales!C$14</f>
        <v>2163.517164</v>
      </c>
      <c r="F92" s="42" t="n">
        <f aca="false">(datos_base!$J$4+datos_base!$J$20)*parametros_manuales!D$14</f>
        <v>2298.73698675</v>
      </c>
      <c r="G92" s="42" t="n">
        <f aca="false">(datos_base!$J$4+datos_base!$J$20)*parametros_manuales!E$14</f>
        <v>2298.73698675</v>
      </c>
      <c r="H92" s="42" t="n">
        <f aca="false">(datos_base!$J$4+datos_base!$J$20)*parametros_manuales!F$14</f>
        <v>2163.517164</v>
      </c>
      <c r="I92" s="42" t="n">
        <f aca="false">(datos_base!$J$4+datos_base!$J$20)*parametros_manuales!G$14</f>
        <v>2028.29734125</v>
      </c>
      <c r="J92" s="42" t="n">
        <f aca="false">(datos_base!$J$4+datos_base!$J$20)*parametros_manuales!H$14</f>
        <v>2163.517164</v>
      </c>
      <c r="K92" s="42" t="n">
        <f aca="false">(datos_base!$J$4+datos_base!$J$20)*parametros_manuales!I$14</f>
        <v>2163.517164</v>
      </c>
      <c r="L92" s="42" t="n">
        <f aca="false">(datos_base!$J$4+datos_base!$J$20)*parametros_manuales!J$14</f>
        <v>2163.517164</v>
      </c>
      <c r="M92" s="42" t="n">
        <f aca="false">(datos_base!$J$4+datos_base!$J$20)*parametros_manuales!K$14</f>
        <v>2028.29734125</v>
      </c>
      <c r="N92" s="42" t="n">
        <f aca="false">(datos_base!$J$4+datos_base!$J$20)*parametros_manuales!L$14</f>
        <v>1893.0775185</v>
      </c>
      <c r="O92" s="42" t="n">
        <f aca="false">(datos_base!$J$4+datos_base!$J$20)*parametros_manuales!M$14</f>
        <v>2974.8361005</v>
      </c>
      <c r="P92" s="9" t="n">
        <f aca="false">SUM(D92:O92)</f>
        <v>27043.96455</v>
      </c>
    </row>
    <row r="93" customFormat="false" ht="14.25" hidden="false" customHeight="true" outlineLevel="0" collapsed="false">
      <c r="A93" s="41" t="n">
        <v>2034</v>
      </c>
      <c r="B93" s="8" t="s">
        <v>19</v>
      </c>
      <c r="C93" s="8" t="s">
        <v>184</v>
      </c>
      <c r="D93" s="42" t="n">
        <f aca="false">(datos_base!$J$5+datos_base!$J$21)*parametros_manuales!B$15</f>
        <v>161.7150054</v>
      </c>
      <c r="E93" s="42" t="n">
        <f aca="false">(datos_base!$J$5+datos_base!$J$21)*parametros_manuales!C$15</f>
        <v>129.37200432</v>
      </c>
      <c r="F93" s="42" t="n">
        <f aca="false">(datos_base!$J$5+datos_base!$J$21)*parametros_manuales!D$15</f>
        <v>137.45775459</v>
      </c>
      <c r="G93" s="42" t="n">
        <f aca="false">(datos_base!$J$5+datos_base!$J$21)*parametros_manuales!E$15</f>
        <v>137.45775459</v>
      </c>
      <c r="H93" s="42" t="n">
        <f aca="false">(datos_base!$J$5+datos_base!$J$21)*parametros_manuales!F$15</f>
        <v>129.37200432</v>
      </c>
      <c r="I93" s="42" t="n">
        <f aca="false">(datos_base!$J$5+datos_base!$J$21)*parametros_manuales!G$15</f>
        <v>121.28625405</v>
      </c>
      <c r="J93" s="42" t="n">
        <f aca="false">(datos_base!$J$5+datos_base!$J$21)*parametros_manuales!H$15</f>
        <v>129.37200432</v>
      </c>
      <c r="K93" s="42" t="n">
        <f aca="false">(datos_base!$J$5+datos_base!$J$21)*parametros_manuales!I$15</f>
        <v>129.37200432</v>
      </c>
      <c r="L93" s="42" t="n">
        <f aca="false">(datos_base!$J$5+datos_base!$J$21)*parametros_manuales!J$15</f>
        <v>129.37200432</v>
      </c>
      <c r="M93" s="42" t="n">
        <f aca="false">(datos_base!$J$5+datos_base!$J$21)*parametros_manuales!K$15</f>
        <v>121.28625405</v>
      </c>
      <c r="N93" s="42" t="n">
        <f aca="false">(datos_base!$J$5+datos_base!$J$21)*parametros_manuales!L$15</f>
        <v>113.20050378</v>
      </c>
      <c r="O93" s="42" t="n">
        <f aca="false">(datos_base!$J$5+datos_base!$J$21)*parametros_manuales!M$15</f>
        <v>177.88650594</v>
      </c>
      <c r="P93" s="9" t="n">
        <f aca="false">SUM(D93:O93)</f>
        <v>1617.150054</v>
      </c>
    </row>
    <row r="94" customFormat="false" ht="14.25" hidden="false" customHeight="true" outlineLevel="0" collapsed="false">
      <c r="A94" s="41" t="n">
        <v>2034</v>
      </c>
      <c r="B94" s="8" t="s">
        <v>22</v>
      </c>
      <c r="C94" s="8" t="s">
        <v>185</v>
      </c>
      <c r="D94" s="42" t="n">
        <f aca="false">(datos_base!$J$9+datos_base!$J$23)*parametros_manuales!B$12</f>
        <v>17618.376</v>
      </c>
      <c r="E94" s="42" t="n">
        <f aca="false">(datos_base!$J$9+datos_base!$J$23)*parametros_manuales!C$12</f>
        <v>13213.782</v>
      </c>
      <c r="F94" s="42" t="n">
        <f aca="false">(datos_base!$J$9+datos_base!$J$23)*parametros_manuales!D$12</f>
        <v>11745.584</v>
      </c>
      <c r="G94" s="42" t="n">
        <f aca="false">(datos_base!$J$9+datos_base!$J$23)*parametros_manuales!E$12</f>
        <v>11011.485</v>
      </c>
      <c r="H94" s="42" t="n">
        <f aca="false">(datos_base!$J$9+datos_base!$J$23)*parametros_manuales!F$12</f>
        <v>10277.386</v>
      </c>
      <c r="I94" s="42" t="n">
        <f aca="false">(datos_base!$J$9+datos_base!$J$23)*parametros_manuales!G$12</f>
        <v>10277.386</v>
      </c>
      <c r="J94" s="42" t="n">
        <f aca="false">(datos_base!$J$9+datos_base!$J$23)*parametros_manuales!H$12</f>
        <v>11011.485</v>
      </c>
      <c r="K94" s="42" t="n">
        <f aca="false">(datos_base!$J$9+datos_base!$J$23)*parametros_manuales!I$12</f>
        <v>11011.485</v>
      </c>
      <c r="L94" s="42" t="n">
        <f aca="false">(datos_base!$J$9+datos_base!$J$23)*parametros_manuales!J$12</f>
        <v>11011.485</v>
      </c>
      <c r="M94" s="42" t="n">
        <f aca="false">(datos_base!$J$9+datos_base!$J$23)*parametros_manuales!K$12</f>
        <v>11011.485</v>
      </c>
      <c r="N94" s="42" t="n">
        <f aca="false">(datos_base!$J$9+datos_base!$J$23)*parametros_manuales!L$12</f>
        <v>11011.485</v>
      </c>
      <c r="O94" s="42" t="n">
        <f aca="false">(datos_base!$J$9+datos_base!$J$23)*parametros_manuales!M$12</f>
        <v>17618.376</v>
      </c>
      <c r="P94" s="9" t="n">
        <f aca="false">SUM(D94:O94)</f>
        <v>146819.8</v>
      </c>
    </row>
    <row r="95" customFormat="false" ht="14.25" hidden="false" customHeight="true" outlineLevel="0" collapsed="false">
      <c r="A95" s="41" t="n">
        <v>2034</v>
      </c>
      <c r="B95" s="8" t="s">
        <v>23</v>
      </c>
      <c r="C95" s="8" t="s">
        <v>185</v>
      </c>
      <c r="D95" s="42" t="n">
        <f aca="false">(datos_base!$J$10+datos_base!$J$24)*parametros_manuales!B$13</f>
        <v>576.72</v>
      </c>
      <c r="E95" s="42" t="n">
        <f aca="false">(datos_base!$J$10+datos_base!$J$24)*parametros_manuales!C$13</f>
        <v>461.376</v>
      </c>
      <c r="F95" s="42" t="n">
        <f aca="false">(datos_base!$J$10+datos_base!$J$24)*parametros_manuales!D$13</f>
        <v>490.212</v>
      </c>
      <c r="G95" s="42" t="n">
        <f aca="false">(datos_base!$J$10+datos_base!$J$24)*parametros_manuales!E$13</f>
        <v>490.212</v>
      </c>
      <c r="H95" s="42" t="n">
        <f aca="false">(datos_base!$J$10+datos_base!$J$24)*parametros_manuales!F$13</f>
        <v>461.376</v>
      </c>
      <c r="I95" s="42" t="n">
        <f aca="false">(datos_base!$J$10+datos_base!$J$24)*parametros_manuales!G$13</f>
        <v>432.54</v>
      </c>
      <c r="J95" s="42" t="n">
        <f aca="false">(datos_base!$J$10+datos_base!$J$24)*parametros_manuales!H$13</f>
        <v>461.376</v>
      </c>
      <c r="K95" s="42" t="n">
        <f aca="false">(datos_base!$J$10+datos_base!$J$24)*parametros_manuales!I$13</f>
        <v>461.376</v>
      </c>
      <c r="L95" s="42" t="n">
        <f aca="false">(datos_base!$J$10+datos_base!$J$24)*parametros_manuales!J$13</f>
        <v>461.376</v>
      </c>
      <c r="M95" s="42" t="n">
        <f aca="false">(datos_base!$J$10+datos_base!$J$24)*parametros_manuales!K$13</f>
        <v>432.54</v>
      </c>
      <c r="N95" s="42" t="n">
        <f aca="false">(datos_base!$J$10+datos_base!$J$24)*parametros_manuales!L$13</f>
        <v>403.704</v>
      </c>
      <c r="O95" s="42" t="n">
        <f aca="false">(datos_base!$J$10+datos_base!$J$24)*parametros_manuales!M$13</f>
        <v>634.392</v>
      </c>
      <c r="P95" s="9" t="n">
        <f aca="false">SUM(D95:O95)</f>
        <v>5767.2</v>
      </c>
    </row>
    <row r="96" customFormat="false" ht="14.25" hidden="false" customHeight="true" outlineLevel="0" collapsed="false">
      <c r="A96" s="41" t="n">
        <v>2034</v>
      </c>
      <c r="B96" s="8" t="s">
        <v>24</v>
      </c>
      <c r="C96" s="8" t="s">
        <v>185</v>
      </c>
      <c r="D96" s="42" t="n">
        <f aca="false">(datos_base!$J$11+datos_base!$J$25)*parametros_manuales!B$14</f>
        <v>2847.488</v>
      </c>
      <c r="E96" s="42" t="n">
        <f aca="false">(datos_base!$J$11+datos_base!$J$25)*parametros_manuales!C$14</f>
        <v>2277.9904</v>
      </c>
      <c r="F96" s="42" t="n">
        <f aca="false">(datos_base!$J$11+datos_base!$J$25)*parametros_manuales!D$14</f>
        <v>2420.3648</v>
      </c>
      <c r="G96" s="42" t="n">
        <f aca="false">(datos_base!$J$11+datos_base!$J$25)*parametros_manuales!E$14</f>
        <v>2420.3648</v>
      </c>
      <c r="H96" s="42" t="n">
        <f aca="false">(datos_base!$J$11+datos_base!$J$25)*parametros_manuales!F$14</f>
        <v>2277.9904</v>
      </c>
      <c r="I96" s="42" t="n">
        <f aca="false">(datos_base!$J$11+datos_base!$J$25)*parametros_manuales!G$14</f>
        <v>2135.616</v>
      </c>
      <c r="J96" s="42" t="n">
        <f aca="false">(datos_base!$J$11+datos_base!$J$25)*parametros_manuales!H$14</f>
        <v>2277.9904</v>
      </c>
      <c r="K96" s="42" t="n">
        <f aca="false">(datos_base!$J$11+datos_base!$J$25)*parametros_manuales!I$14</f>
        <v>2277.9904</v>
      </c>
      <c r="L96" s="42" t="n">
        <f aca="false">(datos_base!$J$11+datos_base!$J$25)*parametros_manuales!J$14</f>
        <v>2277.9904</v>
      </c>
      <c r="M96" s="42" t="n">
        <f aca="false">(datos_base!$J$11+datos_base!$J$25)*parametros_manuales!K$14</f>
        <v>2135.616</v>
      </c>
      <c r="N96" s="42" t="n">
        <f aca="false">(datos_base!$J$11+datos_base!$J$25)*parametros_manuales!L$14</f>
        <v>1993.2416</v>
      </c>
      <c r="O96" s="42" t="n">
        <f aca="false">(datos_base!$J$11+datos_base!$J$25)*parametros_manuales!M$14</f>
        <v>3132.2368</v>
      </c>
      <c r="P96" s="9" t="n">
        <f aca="false">SUM(D96:O96)</f>
        <v>28474.88</v>
      </c>
    </row>
    <row r="97" customFormat="false" ht="14.25" hidden="false" customHeight="true" outlineLevel="0" collapsed="false">
      <c r="A97" s="41" t="n">
        <v>2034</v>
      </c>
      <c r="B97" s="8" t="s">
        <v>25</v>
      </c>
      <c r="C97" s="8" t="s">
        <v>185</v>
      </c>
      <c r="D97" s="42" t="n">
        <f aca="false">(datos_base!$J$12+datos_base!$J$26)*parametros_manuales!B$15</f>
        <v>174.136</v>
      </c>
      <c r="E97" s="42" t="n">
        <f aca="false">(datos_base!$J$12+datos_base!$J$26)*parametros_manuales!C$15</f>
        <v>139.3088</v>
      </c>
      <c r="F97" s="42" t="n">
        <f aca="false">(datos_base!$J$12+datos_base!$J$26)*parametros_manuales!D$15</f>
        <v>148.0156</v>
      </c>
      <c r="G97" s="42" t="n">
        <f aca="false">(datos_base!$J$12+datos_base!$J$26)*parametros_manuales!E$15</f>
        <v>148.0156</v>
      </c>
      <c r="H97" s="42" t="n">
        <f aca="false">(datos_base!$J$12+datos_base!$J$26)*parametros_manuales!F$15</f>
        <v>139.3088</v>
      </c>
      <c r="I97" s="42" t="n">
        <f aca="false">(datos_base!$J$12+datos_base!$J$26)*parametros_manuales!G$15</f>
        <v>130.602</v>
      </c>
      <c r="J97" s="42" t="n">
        <f aca="false">(datos_base!$J$12+datos_base!$J$26)*parametros_manuales!H$15</f>
        <v>139.3088</v>
      </c>
      <c r="K97" s="42" t="n">
        <f aca="false">(datos_base!$J$12+datos_base!$J$26)*parametros_manuales!I$15</f>
        <v>139.3088</v>
      </c>
      <c r="L97" s="42" t="n">
        <f aca="false">(datos_base!$J$12+datos_base!$J$26)*parametros_manuales!J$15</f>
        <v>139.3088</v>
      </c>
      <c r="M97" s="42" t="n">
        <f aca="false">(datos_base!$J$12+datos_base!$J$26)*parametros_manuales!K$15</f>
        <v>130.602</v>
      </c>
      <c r="N97" s="42" t="n">
        <f aca="false">(datos_base!$J$12+datos_base!$J$26)*parametros_manuales!L$15</f>
        <v>121.8952</v>
      </c>
      <c r="O97" s="42" t="n">
        <f aca="false">(datos_base!$J$12+datos_base!$J$26)*parametros_manuales!M$15</f>
        <v>191.5496</v>
      </c>
      <c r="P97" s="9" t="n">
        <f aca="false">SUM(D97:O97)</f>
        <v>1741.36</v>
      </c>
    </row>
    <row r="98" customFormat="false" ht="14.25" hidden="false" customHeight="true" outlineLevel="0" collapsed="false">
      <c r="B98" s="10" t="s">
        <v>186</v>
      </c>
      <c r="D98" s="11" t="n">
        <f aca="false">SUM(D90:D97)</f>
        <v>28132.5624215</v>
      </c>
      <c r="E98" s="11" t="n">
        <f aca="false">SUM(E90:E97)</f>
        <v>21453.69112036</v>
      </c>
      <c r="F98" s="11" t="n">
        <f aca="false">SUM(F90:F97)</f>
        <v>20054.029063195</v>
      </c>
      <c r="G98" s="11" t="n">
        <f aca="false">SUM(G90:G97)</f>
        <v>19177.063382495</v>
      </c>
      <c r="H98" s="11" t="n">
        <f aca="false">SUM(H90:H97)</f>
        <v>17945.82839756</v>
      </c>
      <c r="I98" s="11" t="n">
        <f aca="false">SUM(I90:I97)</f>
        <v>17591.559093325</v>
      </c>
      <c r="J98" s="11" t="n">
        <f aca="false">SUM(J90:J97)</f>
        <v>18822.79407826</v>
      </c>
      <c r="K98" s="11" t="n">
        <f aca="false">SUM(K90:K97)</f>
        <v>18822.79407826</v>
      </c>
      <c r="L98" s="11" t="n">
        <f aca="false">SUM(L90:L97)</f>
        <v>18822.79407826</v>
      </c>
      <c r="M98" s="11" t="n">
        <f aca="false">SUM(M90:M97)</f>
        <v>18468.524774025</v>
      </c>
      <c r="N98" s="11" t="n">
        <f aca="false">SUM(N90:N97)</f>
        <v>18114.25546979</v>
      </c>
      <c r="O98" s="11" t="n">
        <f aca="false">SUM(O90:O97)</f>
        <v>28841.10102997</v>
      </c>
      <c r="P98" s="11" t="n">
        <f aca="false">SUM(P90:P97)</f>
        <v>246246.996987</v>
      </c>
    </row>
    <row r="99" customFormat="false" ht="14.25" hidden="false" customHeight="true" outlineLevel="0" collapsed="false"/>
    <row r="100" customFormat="false" ht="14.25" hidden="false" customHeight="true" outlineLevel="0" collapsed="false">
      <c r="A100" s="7" t="n">
        <v>2035</v>
      </c>
      <c r="B100" s="7" t="s">
        <v>181</v>
      </c>
      <c r="C100" s="7" t="s">
        <v>182</v>
      </c>
      <c r="D100" s="7" t="s">
        <v>61</v>
      </c>
      <c r="E100" s="7" t="s">
        <v>62</v>
      </c>
      <c r="F100" s="7" t="s">
        <v>63</v>
      </c>
      <c r="G100" s="7" t="s">
        <v>64</v>
      </c>
      <c r="H100" s="7" t="s">
        <v>65</v>
      </c>
      <c r="I100" s="7" t="s">
        <v>66</v>
      </c>
      <c r="J100" s="7" t="s">
        <v>67</v>
      </c>
      <c r="K100" s="7" t="s">
        <v>68</v>
      </c>
      <c r="L100" s="7" t="s">
        <v>69</v>
      </c>
      <c r="M100" s="7" t="s">
        <v>70</v>
      </c>
      <c r="N100" s="7" t="s">
        <v>71</v>
      </c>
      <c r="O100" s="7" t="s">
        <v>72</v>
      </c>
      <c r="P100" s="7" t="s">
        <v>183</v>
      </c>
    </row>
    <row r="101" customFormat="false" ht="14.25" hidden="false" customHeight="true" outlineLevel="0" collapsed="false">
      <c r="A101" s="41" t="n">
        <v>2035</v>
      </c>
      <c r="B101" s="8" t="s">
        <v>16</v>
      </c>
      <c r="C101" s="8" t="s">
        <v>184</v>
      </c>
      <c r="D101" s="42" t="n">
        <f aca="false">(datos_base!$K$2+datos_base!$K$18)*parametros_manuales!B$12</f>
        <v>3848.7166956</v>
      </c>
      <c r="E101" s="42" t="n">
        <f aca="false">(datos_base!$K$2+datos_base!$K$18)*parametros_manuales!C$12</f>
        <v>2886.5375217</v>
      </c>
      <c r="F101" s="42" t="n">
        <f aca="false">(datos_base!$K$2+datos_base!$K$18)*parametros_manuales!D$12</f>
        <v>2565.8111304</v>
      </c>
      <c r="G101" s="42" t="n">
        <f aca="false">(datos_base!$K$2+datos_base!$K$18)*parametros_manuales!E$12</f>
        <v>2405.44793475</v>
      </c>
      <c r="H101" s="42" t="n">
        <f aca="false">(datos_base!$K$2+datos_base!$K$18)*parametros_manuales!F$12</f>
        <v>2245.0847391</v>
      </c>
      <c r="I101" s="42" t="n">
        <f aca="false">(datos_base!$K$2+datos_base!$K$18)*parametros_manuales!G$12</f>
        <v>2245.0847391</v>
      </c>
      <c r="J101" s="42" t="n">
        <f aca="false">(datos_base!$K$2+datos_base!$K$18)*parametros_manuales!H$12</f>
        <v>2405.44793475</v>
      </c>
      <c r="K101" s="42" t="n">
        <f aca="false">(datos_base!$K$2+datos_base!$K$18)*parametros_manuales!I$12</f>
        <v>2405.44793475</v>
      </c>
      <c r="L101" s="42" t="n">
        <f aca="false">(datos_base!$K$2+datos_base!$K$18)*parametros_manuales!J$12</f>
        <v>2405.44793475</v>
      </c>
      <c r="M101" s="42" t="n">
        <f aca="false">(datos_base!$K$2+datos_base!$K$18)*parametros_manuales!K$12</f>
        <v>2405.44793475</v>
      </c>
      <c r="N101" s="42" t="n">
        <f aca="false">(datos_base!$K$2+datos_base!$K$18)*parametros_manuales!L$12</f>
        <v>2405.44793475</v>
      </c>
      <c r="O101" s="42" t="n">
        <f aca="false">(datos_base!$K$2+datos_base!$K$18)*parametros_manuales!M$12</f>
        <v>3848.7166956</v>
      </c>
      <c r="P101" s="9" t="n">
        <f aca="false">SUM(D101:O101)</f>
        <v>32072.63913</v>
      </c>
    </row>
    <row r="102" customFormat="false" ht="14.25" hidden="false" customHeight="true" outlineLevel="0" collapsed="false">
      <c r="A102" s="41" t="n">
        <v>2035</v>
      </c>
      <c r="B102" s="8" t="s">
        <v>17</v>
      </c>
      <c r="C102" s="8" t="s">
        <v>184</v>
      </c>
      <c r="D102" s="42" t="n">
        <f aca="false">(datos_base!$K$3+datos_base!$K$19)*parametros_manuales!B$13</f>
        <v>743.9538444</v>
      </c>
      <c r="E102" s="42" t="n">
        <f aca="false">(datos_base!$K$3+datos_base!$K$19)*parametros_manuales!C$13</f>
        <v>595.16307552</v>
      </c>
      <c r="F102" s="42" t="n">
        <f aca="false">(datos_base!$K$3+datos_base!$K$19)*parametros_manuales!D$13</f>
        <v>632.36076774</v>
      </c>
      <c r="G102" s="42" t="n">
        <f aca="false">(datos_base!$K$3+datos_base!$K$19)*parametros_manuales!E$13</f>
        <v>632.36076774</v>
      </c>
      <c r="H102" s="42" t="n">
        <f aca="false">(datos_base!$K$3+datos_base!$K$19)*parametros_manuales!F$13</f>
        <v>595.16307552</v>
      </c>
      <c r="I102" s="42" t="n">
        <f aca="false">(datos_base!$K$3+datos_base!$K$19)*parametros_manuales!G$13</f>
        <v>557.9653833</v>
      </c>
      <c r="J102" s="42" t="n">
        <f aca="false">(datos_base!$K$3+datos_base!$K$19)*parametros_manuales!H$13</f>
        <v>595.16307552</v>
      </c>
      <c r="K102" s="42" t="n">
        <f aca="false">(datos_base!$K$3+datos_base!$K$19)*parametros_manuales!I$13</f>
        <v>595.16307552</v>
      </c>
      <c r="L102" s="42" t="n">
        <f aca="false">(datos_base!$K$3+datos_base!$K$19)*parametros_manuales!J$13</f>
        <v>595.16307552</v>
      </c>
      <c r="M102" s="42" t="n">
        <f aca="false">(datos_base!$K$3+datos_base!$K$19)*parametros_manuales!K$13</f>
        <v>557.9653833</v>
      </c>
      <c r="N102" s="42" t="n">
        <f aca="false">(datos_base!$K$3+datos_base!$K$19)*parametros_manuales!L$13</f>
        <v>520.76769108</v>
      </c>
      <c r="O102" s="42" t="n">
        <f aca="false">(datos_base!$K$3+datos_base!$K$19)*parametros_manuales!M$13</f>
        <v>818.34922884</v>
      </c>
      <c r="P102" s="9" t="n">
        <f aca="false">SUM(D102:O102)</f>
        <v>7439.538444</v>
      </c>
    </row>
    <row r="103" customFormat="false" ht="14.25" hidden="false" customHeight="true" outlineLevel="0" collapsed="false">
      <c r="A103" s="41" t="n">
        <v>2035</v>
      </c>
      <c r="B103" s="8" t="s">
        <v>18</v>
      </c>
      <c r="C103" s="8" t="s">
        <v>184</v>
      </c>
      <c r="D103" s="42" t="n">
        <f aca="false">(datos_base!$K$4+datos_base!$K$20)*parametros_manuales!B$14</f>
        <v>3083.005872</v>
      </c>
      <c r="E103" s="42" t="n">
        <f aca="false">(datos_base!$K$4+datos_base!$K$20)*parametros_manuales!C$14</f>
        <v>2466.4046976</v>
      </c>
      <c r="F103" s="42" t="n">
        <f aca="false">(datos_base!$K$4+datos_base!$K$20)*parametros_manuales!D$14</f>
        <v>2620.5549912</v>
      </c>
      <c r="G103" s="42" t="n">
        <f aca="false">(datos_base!$K$4+datos_base!$K$20)*parametros_manuales!E$14</f>
        <v>2620.5549912</v>
      </c>
      <c r="H103" s="42" t="n">
        <f aca="false">(datos_base!$K$4+datos_base!$K$20)*parametros_manuales!F$14</f>
        <v>2466.4046976</v>
      </c>
      <c r="I103" s="42" t="n">
        <f aca="false">(datos_base!$K$4+datos_base!$K$20)*parametros_manuales!G$14</f>
        <v>2312.254404</v>
      </c>
      <c r="J103" s="42" t="n">
        <f aca="false">(datos_base!$K$4+datos_base!$K$20)*parametros_manuales!H$14</f>
        <v>2466.4046976</v>
      </c>
      <c r="K103" s="42" t="n">
        <f aca="false">(datos_base!$K$4+datos_base!$K$20)*parametros_manuales!I$14</f>
        <v>2466.4046976</v>
      </c>
      <c r="L103" s="42" t="n">
        <f aca="false">(datos_base!$K$4+datos_base!$K$20)*parametros_manuales!J$14</f>
        <v>2466.4046976</v>
      </c>
      <c r="M103" s="42" t="n">
        <f aca="false">(datos_base!$K$4+datos_base!$K$20)*parametros_manuales!K$14</f>
        <v>2312.254404</v>
      </c>
      <c r="N103" s="42" t="n">
        <f aca="false">(datos_base!$K$4+datos_base!$K$20)*parametros_manuales!L$14</f>
        <v>2158.1041104</v>
      </c>
      <c r="O103" s="42" t="n">
        <f aca="false">(datos_base!$K$4+datos_base!$K$20)*parametros_manuales!M$14</f>
        <v>3391.3064592</v>
      </c>
      <c r="P103" s="9" t="n">
        <f aca="false">SUM(D103:O103)</f>
        <v>30830.05872</v>
      </c>
    </row>
    <row r="104" customFormat="false" ht="14.25" hidden="false" customHeight="true" outlineLevel="0" collapsed="false">
      <c r="A104" s="41" t="n">
        <v>2035</v>
      </c>
      <c r="B104" s="8" t="s">
        <v>19</v>
      </c>
      <c r="C104" s="8" t="s">
        <v>184</v>
      </c>
      <c r="D104" s="42" t="n">
        <f aca="false">(datos_base!$K$5+datos_base!$K$21)*parametros_manuales!B$15</f>
        <v>184.6808079</v>
      </c>
      <c r="E104" s="42" t="n">
        <f aca="false">(datos_base!$K$5+datos_base!$K$21)*parametros_manuales!C$15</f>
        <v>147.74464632</v>
      </c>
      <c r="F104" s="42" t="n">
        <f aca="false">(datos_base!$K$5+datos_base!$K$21)*parametros_manuales!D$15</f>
        <v>156.978686715</v>
      </c>
      <c r="G104" s="42" t="n">
        <f aca="false">(datos_base!$K$5+datos_base!$K$21)*parametros_manuales!E$15</f>
        <v>156.978686715</v>
      </c>
      <c r="H104" s="42" t="n">
        <f aca="false">(datos_base!$K$5+datos_base!$K$21)*parametros_manuales!F$15</f>
        <v>147.74464632</v>
      </c>
      <c r="I104" s="42" t="n">
        <f aca="false">(datos_base!$K$5+datos_base!$K$21)*parametros_manuales!G$15</f>
        <v>138.510605925</v>
      </c>
      <c r="J104" s="42" t="n">
        <f aca="false">(datos_base!$K$5+datos_base!$K$21)*parametros_manuales!H$15</f>
        <v>147.74464632</v>
      </c>
      <c r="K104" s="42" t="n">
        <f aca="false">(datos_base!$K$5+datos_base!$K$21)*parametros_manuales!I$15</f>
        <v>147.74464632</v>
      </c>
      <c r="L104" s="42" t="n">
        <f aca="false">(datos_base!$K$5+datos_base!$K$21)*parametros_manuales!J$15</f>
        <v>147.74464632</v>
      </c>
      <c r="M104" s="42" t="n">
        <f aca="false">(datos_base!$K$5+datos_base!$K$21)*parametros_manuales!K$15</f>
        <v>138.510605925</v>
      </c>
      <c r="N104" s="42" t="n">
        <f aca="false">(datos_base!$K$5+datos_base!$K$21)*parametros_manuales!L$15</f>
        <v>129.27656553</v>
      </c>
      <c r="O104" s="42" t="n">
        <f aca="false">(datos_base!$K$5+datos_base!$K$21)*parametros_manuales!M$15</f>
        <v>203.14888869</v>
      </c>
      <c r="P104" s="9" t="n">
        <f aca="false">SUM(D104:O104)</f>
        <v>1846.808079</v>
      </c>
    </row>
    <row r="105" customFormat="false" ht="14.25" hidden="false" customHeight="true" outlineLevel="0" collapsed="false">
      <c r="A105" s="41" t="n">
        <v>2035</v>
      </c>
      <c r="B105" s="8" t="s">
        <v>22</v>
      </c>
      <c r="C105" s="8" t="s">
        <v>185</v>
      </c>
      <c r="D105" s="42" t="n">
        <f aca="false">(datos_base!$K$9+datos_base!$K$23)*parametros_manuales!B$12</f>
        <v>20465.76</v>
      </c>
      <c r="E105" s="42" t="n">
        <f aca="false">(datos_base!$K$9+datos_base!$K$23)*parametros_manuales!C$12</f>
        <v>15349.32</v>
      </c>
      <c r="F105" s="42" t="n">
        <f aca="false">(datos_base!$K$9+datos_base!$K$23)*parametros_manuales!D$12</f>
        <v>13643.84</v>
      </c>
      <c r="G105" s="42" t="n">
        <f aca="false">(datos_base!$K$9+datos_base!$K$23)*parametros_manuales!E$12</f>
        <v>12791.1</v>
      </c>
      <c r="H105" s="42" t="n">
        <f aca="false">(datos_base!$K$9+datos_base!$K$23)*parametros_manuales!F$12</f>
        <v>11938.36</v>
      </c>
      <c r="I105" s="42" t="n">
        <f aca="false">(datos_base!$K$9+datos_base!$K$23)*parametros_manuales!G$12</f>
        <v>11938.36</v>
      </c>
      <c r="J105" s="42" t="n">
        <f aca="false">(datos_base!$K$9+datos_base!$K$23)*parametros_manuales!H$12</f>
        <v>12791.1</v>
      </c>
      <c r="K105" s="42" t="n">
        <f aca="false">(datos_base!$K$9+datos_base!$K$23)*parametros_manuales!I$12</f>
        <v>12791.1</v>
      </c>
      <c r="L105" s="42" t="n">
        <f aca="false">(datos_base!$K$9+datos_base!$K$23)*parametros_manuales!J$12</f>
        <v>12791.1</v>
      </c>
      <c r="M105" s="42" t="n">
        <f aca="false">(datos_base!$K$9+datos_base!$K$23)*parametros_manuales!K$12</f>
        <v>12791.1</v>
      </c>
      <c r="N105" s="42" t="n">
        <f aca="false">(datos_base!$K$9+datos_base!$K$23)*parametros_manuales!L$12</f>
        <v>12791.1</v>
      </c>
      <c r="O105" s="42" t="n">
        <f aca="false">(datos_base!$K$9+datos_base!$K$23)*parametros_manuales!M$12</f>
        <v>20465.76</v>
      </c>
      <c r="P105" s="9" t="n">
        <f aca="false">SUM(D105:O105)</f>
        <v>170548</v>
      </c>
    </row>
    <row r="106" customFormat="false" ht="14.25" hidden="false" customHeight="true" outlineLevel="0" collapsed="false">
      <c r="A106" s="41" t="n">
        <v>2035</v>
      </c>
      <c r="B106" s="8" t="s">
        <v>23</v>
      </c>
      <c r="C106" s="8" t="s">
        <v>185</v>
      </c>
      <c r="D106" s="42" t="n">
        <f aca="false">(datos_base!$K$10+datos_base!$K$24)*parametros_manuales!B$13</f>
        <v>669.584</v>
      </c>
      <c r="E106" s="42" t="n">
        <f aca="false">(datos_base!$K$10+datos_base!$K$24)*parametros_manuales!C$13</f>
        <v>535.6672</v>
      </c>
      <c r="F106" s="42" t="n">
        <f aca="false">(datos_base!$K$10+datos_base!$K$24)*parametros_manuales!D$13</f>
        <v>569.1464</v>
      </c>
      <c r="G106" s="42" t="n">
        <f aca="false">(datos_base!$K$10+datos_base!$K$24)*parametros_manuales!E$13</f>
        <v>569.1464</v>
      </c>
      <c r="H106" s="42" t="n">
        <f aca="false">(datos_base!$K$10+datos_base!$K$24)*parametros_manuales!F$13</f>
        <v>535.6672</v>
      </c>
      <c r="I106" s="42" t="n">
        <f aca="false">(datos_base!$K$10+datos_base!$K$24)*parametros_manuales!G$13</f>
        <v>502.188</v>
      </c>
      <c r="J106" s="42" t="n">
        <f aca="false">(datos_base!$K$10+datos_base!$K$24)*parametros_manuales!H$13</f>
        <v>535.6672</v>
      </c>
      <c r="K106" s="42" t="n">
        <f aca="false">(datos_base!$K$10+datos_base!$K$24)*parametros_manuales!I$13</f>
        <v>535.6672</v>
      </c>
      <c r="L106" s="42" t="n">
        <f aca="false">(datos_base!$K$10+datos_base!$K$24)*parametros_manuales!J$13</f>
        <v>535.6672</v>
      </c>
      <c r="M106" s="42" t="n">
        <f aca="false">(datos_base!$K$10+datos_base!$K$24)*parametros_manuales!K$13</f>
        <v>502.188</v>
      </c>
      <c r="N106" s="42" t="n">
        <f aca="false">(datos_base!$K$10+datos_base!$K$24)*parametros_manuales!L$13</f>
        <v>468.7088</v>
      </c>
      <c r="O106" s="42" t="n">
        <f aca="false">(datos_base!$K$10+datos_base!$K$24)*parametros_manuales!M$13</f>
        <v>736.5424</v>
      </c>
      <c r="P106" s="9" t="n">
        <f aca="false">SUM(D106:O106)</f>
        <v>6695.84</v>
      </c>
    </row>
    <row r="107" customFormat="false" ht="14.25" hidden="false" customHeight="true" outlineLevel="0" collapsed="false">
      <c r="A107" s="41" t="n">
        <v>2035</v>
      </c>
      <c r="B107" s="8" t="s">
        <v>24</v>
      </c>
      <c r="C107" s="8" t="s">
        <v>185</v>
      </c>
      <c r="D107" s="42" t="n">
        <f aca="false">(datos_base!$K$11+datos_base!$K$25)*parametros_manuales!B$14</f>
        <v>3306.06</v>
      </c>
      <c r="E107" s="42" t="n">
        <f aca="false">(datos_base!$K$11+datos_base!$K$25)*parametros_manuales!C$14</f>
        <v>2644.848</v>
      </c>
      <c r="F107" s="42" t="n">
        <f aca="false">(datos_base!$K$11+datos_base!$K$25)*parametros_manuales!D$14</f>
        <v>2810.151</v>
      </c>
      <c r="G107" s="42" t="n">
        <f aca="false">(datos_base!$K$11+datos_base!$K$25)*parametros_manuales!E$14</f>
        <v>2810.151</v>
      </c>
      <c r="H107" s="42" t="n">
        <f aca="false">(datos_base!$K$11+datos_base!$K$25)*parametros_manuales!F$14</f>
        <v>2644.848</v>
      </c>
      <c r="I107" s="42" t="n">
        <f aca="false">(datos_base!$K$11+datos_base!$K$25)*parametros_manuales!G$14</f>
        <v>2479.545</v>
      </c>
      <c r="J107" s="42" t="n">
        <f aca="false">(datos_base!$K$11+datos_base!$K$25)*parametros_manuales!H$14</f>
        <v>2644.848</v>
      </c>
      <c r="K107" s="42" t="n">
        <f aca="false">(datos_base!$K$11+datos_base!$K$25)*parametros_manuales!I$14</f>
        <v>2644.848</v>
      </c>
      <c r="L107" s="42" t="n">
        <f aca="false">(datos_base!$K$11+datos_base!$K$25)*parametros_manuales!J$14</f>
        <v>2644.848</v>
      </c>
      <c r="M107" s="42" t="n">
        <f aca="false">(datos_base!$K$11+datos_base!$K$25)*parametros_manuales!K$14</f>
        <v>2479.545</v>
      </c>
      <c r="N107" s="42" t="n">
        <f aca="false">(datos_base!$K$11+datos_base!$K$25)*parametros_manuales!L$14</f>
        <v>2314.242</v>
      </c>
      <c r="O107" s="42" t="n">
        <f aca="false">(datos_base!$K$11+datos_base!$K$25)*parametros_manuales!M$14</f>
        <v>3636.666</v>
      </c>
      <c r="P107" s="9" t="n">
        <f aca="false">SUM(D107:O107)</f>
        <v>33060.6</v>
      </c>
    </row>
    <row r="108" customFormat="false" ht="14.25" hidden="false" customHeight="true" outlineLevel="0" collapsed="false">
      <c r="A108" s="41" t="n">
        <v>2035</v>
      </c>
      <c r="B108" s="8" t="s">
        <v>25</v>
      </c>
      <c r="C108" s="8" t="s">
        <v>185</v>
      </c>
      <c r="D108" s="42" t="n">
        <f aca="false">(datos_base!$K$12+datos_base!$K$26)*parametros_manuales!B$15</f>
        <v>202.136</v>
      </c>
      <c r="E108" s="42" t="n">
        <f aca="false">(datos_base!$K$12+datos_base!$K$26)*parametros_manuales!C$15</f>
        <v>161.7088</v>
      </c>
      <c r="F108" s="42" t="n">
        <f aca="false">(datos_base!$K$12+datos_base!$K$26)*parametros_manuales!D$15</f>
        <v>171.8156</v>
      </c>
      <c r="G108" s="42" t="n">
        <f aca="false">(datos_base!$K$12+datos_base!$K$26)*parametros_manuales!E$15</f>
        <v>171.8156</v>
      </c>
      <c r="H108" s="42" t="n">
        <f aca="false">(datos_base!$K$12+datos_base!$K$26)*parametros_manuales!F$15</f>
        <v>161.7088</v>
      </c>
      <c r="I108" s="42" t="n">
        <f aca="false">(datos_base!$K$12+datos_base!$K$26)*parametros_manuales!G$15</f>
        <v>151.602</v>
      </c>
      <c r="J108" s="42" t="n">
        <f aca="false">(datos_base!$K$12+datos_base!$K$26)*parametros_manuales!H$15</f>
        <v>161.7088</v>
      </c>
      <c r="K108" s="42" t="n">
        <f aca="false">(datos_base!$K$12+datos_base!$K$26)*parametros_manuales!I$15</f>
        <v>161.7088</v>
      </c>
      <c r="L108" s="42" t="n">
        <f aca="false">(datos_base!$K$12+datos_base!$K$26)*parametros_manuales!J$15</f>
        <v>161.7088</v>
      </c>
      <c r="M108" s="42" t="n">
        <f aca="false">(datos_base!$K$12+datos_base!$K$26)*parametros_manuales!K$15</f>
        <v>151.602</v>
      </c>
      <c r="N108" s="42" t="n">
        <f aca="false">(datos_base!$K$12+datos_base!$K$26)*parametros_manuales!L$15</f>
        <v>141.4952</v>
      </c>
      <c r="O108" s="42" t="n">
        <f aca="false">(datos_base!$K$12+datos_base!$K$26)*parametros_manuales!M$15</f>
        <v>222.3496</v>
      </c>
      <c r="P108" s="9" t="n">
        <f aca="false">SUM(D108:O108)</f>
        <v>2021.36</v>
      </c>
    </row>
    <row r="109" customFormat="false" ht="14.25" hidden="false" customHeight="true" outlineLevel="0" collapsed="false">
      <c r="B109" s="10" t="s">
        <v>186</v>
      </c>
      <c r="D109" s="11" t="n">
        <f aca="false">SUM(D101:D108)</f>
        <v>32503.8972199</v>
      </c>
      <c r="E109" s="11" t="n">
        <f aca="false">SUM(E101:E108)</f>
        <v>24787.39394114</v>
      </c>
      <c r="F109" s="11" t="n">
        <f aca="false">SUM(F101:F108)</f>
        <v>23170.658576055</v>
      </c>
      <c r="G109" s="11" t="n">
        <f aca="false">SUM(G101:G108)</f>
        <v>22157.555380405</v>
      </c>
      <c r="H109" s="11" t="n">
        <f aca="false">SUM(H101:H108)</f>
        <v>20734.98115854</v>
      </c>
      <c r="I109" s="11" t="n">
        <f aca="false">SUM(I101:I108)</f>
        <v>20325.510132325</v>
      </c>
      <c r="J109" s="11" t="n">
        <f aca="false">SUM(J101:J108)</f>
        <v>21748.08435419</v>
      </c>
      <c r="K109" s="11" t="n">
        <f aca="false">SUM(K101:K108)</f>
        <v>21748.08435419</v>
      </c>
      <c r="L109" s="11" t="n">
        <f aca="false">SUM(L101:L108)</f>
        <v>21748.08435419</v>
      </c>
      <c r="M109" s="11" t="n">
        <f aca="false">SUM(M101:M108)</f>
        <v>21338.613327975</v>
      </c>
      <c r="N109" s="11" t="n">
        <f aca="false">SUM(N101:N108)</f>
        <v>20929.14230176</v>
      </c>
      <c r="O109" s="11" t="n">
        <f aca="false">SUM(O101:O108)</f>
        <v>33322.83927233</v>
      </c>
      <c r="P109" s="11" t="n">
        <f aca="false">SUM(P101:P108)</f>
        <v>284514.844373</v>
      </c>
    </row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14" min="2" style="1" width="9"/>
    <col collapsed="false" customWidth="true" hidden="false" outlineLevel="0" max="16" min="15" style="1" width="12"/>
    <col collapsed="false" customWidth="true" hidden="false" outlineLevel="0" max="17" min="17" style="1" width="9"/>
  </cols>
  <sheetData>
    <row r="1" customFormat="false" ht="14.25" hidden="false" customHeight="true" outlineLevel="0" collapsed="false">
      <c r="A1" s="7" t="s">
        <v>187</v>
      </c>
      <c r="B1" s="7" t="s">
        <v>61</v>
      </c>
      <c r="C1" s="7" t="s">
        <v>62</v>
      </c>
      <c r="D1" s="7" t="s">
        <v>63</v>
      </c>
      <c r="E1" s="7" t="s">
        <v>64</v>
      </c>
      <c r="F1" s="7" t="s">
        <v>65</v>
      </c>
      <c r="G1" s="7" t="s">
        <v>66</v>
      </c>
      <c r="H1" s="7" t="s">
        <v>67</v>
      </c>
      <c r="I1" s="7" t="s">
        <v>68</v>
      </c>
      <c r="J1" s="7" t="s">
        <v>69</v>
      </c>
      <c r="K1" s="7" t="s">
        <v>70</v>
      </c>
      <c r="L1" s="7" t="s">
        <v>71</v>
      </c>
      <c r="M1" s="7" t="s">
        <v>72</v>
      </c>
      <c r="N1" s="7" t="s">
        <v>183</v>
      </c>
      <c r="O1" s="7" t="s">
        <v>188</v>
      </c>
      <c r="P1" s="7" t="s">
        <v>189</v>
      </c>
      <c r="Q1" s="7" t="s">
        <v>190</v>
      </c>
    </row>
    <row r="2" customFormat="false" ht="14.25" hidden="false" customHeight="true" outlineLevel="0" collapsed="false">
      <c r="A2" s="8" t="str">
        <f aca="false">parametros_manuales!$B$19</f>
        <v>Recepción de materia prima</v>
      </c>
      <c r="B2" s="9" t="n">
        <f aca="false">(parametros_manuales!$D$19*('Plan mensual'!D2+IF(parametros_manuales!$H$19="Todos",'Plan mensual'!D6,0))+parametros_manuales!$E$19*('Plan mensual'!D3+IF(parametros_manuales!$H$19="Todos",'Plan mensual'!D7,0))+parametros_manuales!$F$19*('Plan mensual'!D4+IF(parametros_manuales!$H$19="Todos",'Plan mensual'!D8,0))+parametros_manuales!$G$19*('Plan mensual'!D5+IF(parametros_manuales!$H$19="Todos",'Plan mensual'!D9,0)))*parametros_manuales!$I$19*parametros_manuales!$J$19</f>
        <v>770.112041533</v>
      </c>
      <c r="C2" s="9" t="n">
        <f aca="false">(parametros_manuales!$D$19*('Plan mensual'!E2+IF(parametros_manuales!$H$19="Todos",'Plan mensual'!E6,0))+parametros_manuales!$E$19*('Plan mensual'!E3+IF(parametros_manuales!$H$19="Todos",'Plan mensual'!E7,0))+parametros_manuales!$F$19*('Plan mensual'!E4+IF(parametros_manuales!$H$19="Todos",'Plan mensual'!E8,0))+parametros_manuales!$G$19*('Plan mensual'!E5+IF(parametros_manuales!$H$19="Todos",'Plan mensual'!E9,0)))*parametros_manuales!$I$19*parametros_manuales!$J$19</f>
        <v>591.0172139684</v>
      </c>
      <c r="D2" s="9" t="n">
        <f aca="false">(parametros_manuales!$D$19*('Plan mensual'!F2+IF(parametros_manuales!$H$19="Todos",'Plan mensual'!F6,0))+parametros_manuales!$E$19*('Plan mensual'!F3+IF(parametros_manuales!$H$19="Todos",'Plan mensual'!F7,0))+parametros_manuales!$F$19*('Plan mensual'!F4+IF(parametros_manuales!$H$19="Todos",'Plan mensual'!F8,0))+parametros_manuales!$G$19*('Plan mensual'!F5+IF(parametros_manuales!$H$19="Todos",'Plan mensual'!F9,0)))*parametros_manuales!$I$19*parametros_manuales!$J$19</f>
        <v>562.66303135705</v>
      </c>
      <c r="E2" s="9" t="n">
        <f aca="false">(parametros_manuales!$D$19*('Plan mensual'!G2+IF(parametros_manuales!$H$19="Todos",'Plan mensual'!G6,0))+parametros_manuales!$E$19*('Plan mensual'!G3+IF(parametros_manuales!$H$19="Todos",'Plan mensual'!G7,0))+parametros_manuales!$F$19*('Plan mensual'!G4+IF(parametros_manuales!$H$19="Todos",'Plan mensual'!G8,0))+parametros_manuales!$G$19*('Plan mensual'!G5+IF(parametros_manuales!$H$19="Todos",'Plan mensual'!G9,0)))*parametros_manuales!$I$19*parametros_manuales!$J$19</f>
        <v>541.76934864205</v>
      </c>
      <c r="F2" s="9" t="n">
        <f aca="false">(parametros_manuales!$D$19*('Plan mensual'!H2+IF(parametros_manuales!$H$19="Todos",'Plan mensual'!H6,0))+parametros_manuales!$E$19*('Plan mensual'!H3+IF(parametros_manuales!$H$19="Todos",'Plan mensual'!H7,0))+parametros_manuales!$F$19*('Plan mensual'!H4+IF(parametros_manuales!$H$19="Todos",'Plan mensual'!H8,0))+parametros_manuales!$G$19*('Plan mensual'!H5+IF(parametros_manuales!$H$19="Todos",'Plan mensual'!H9,0)))*parametros_manuales!$I$19*parametros_manuales!$J$19</f>
        <v>507.4424831084</v>
      </c>
      <c r="G2" s="9" t="n">
        <f aca="false">(parametros_manuales!$D$19*('Plan mensual'!I2+IF(parametros_manuales!$H$19="Todos",'Plan mensual'!I6,0))+parametros_manuales!$E$19*('Plan mensual'!I3+IF(parametros_manuales!$H$19="Todos",'Plan mensual'!I7,0))+parametros_manuales!$F$19*('Plan mensual'!I4+IF(parametros_manuales!$H$19="Todos",'Plan mensual'!I8,0))+parametros_manuales!$G$19*('Plan mensual'!I5+IF(parametros_manuales!$H$19="Todos",'Plan mensual'!I9,0)))*parametros_manuales!$I$19*parametros_manuales!$J$19</f>
        <v>494.00930028975</v>
      </c>
      <c r="H2" s="9" t="n">
        <f aca="false">(parametros_manuales!$D$19*('Plan mensual'!J2+IF(parametros_manuales!$H$19="Todos",'Plan mensual'!J6,0))+parametros_manuales!$E$19*('Plan mensual'!J3+IF(parametros_manuales!$H$19="Todos",'Plan mensual'!J7,0))+parametros_manuales!$F$19*('Plan mensual'!J4+IF(parametros_manuales!$H$19="Todos",'Plan mensual'!J8,0))+parametros_manuales!$G$19*('Plan mensual'!J5+IF(parametros_manuales!$H$19="Todos",'Plan mensual'!J9,0)))*parametros_manuales!$I$19*parametros_manuales!$J$19</f>
        <v>528.3361658234</v>
      </c>
      <c r="I2" s="9" t="n">
        <f aca="false">(parametros_manuales!$D$19*('Plan mensual'!K2+IF(parametros_manuales!$H$19="Todos",'Plan mensual'!K6,0))+parametros_manuales!$E$19*('Plan mensual'!K3+IF(parametros_manuales!$H$19="Todos",'Plan mensual'!K7,0))+parametros_manuales!$F$19*('Plan mensual'!K4+IF(parametros_manuales!$H$19="Todos",'Plan mensual'!K8,0))+parametros_manuales!$G$19*('Plan mensual'!K5+IF(parametros_manuales!$H$19="Todos",'Plan mensual'!K9,0)))*parametros_manuales!$I$19*parametros_manuales!$J$19</f>
        <v>528.3361658234</v>
      </c>
      <c r="J2" s="9" t="n">
        <f aca="false">(parametros_manuales!$D$19*('Plan mensual'!L2+IF(parametros_manuales!$H$19="Todos",'Plan mensual'!L6,0))+parametros_manuales!$E$19*('Plan mensual'!L3+IF(parametros_manuales!$H$19="Todos",'Plan mensual'!L7,0))+parametros_manuales!$F$19*('Plan mensual'!L4+IF(parametros_manuales!$H$19="Todos",'Plan mensual'!L8,0))+parametros_manuales!$G$19*('Plan mensual'!L5+IF(parametros_manuales!$H$19="Todos",'Plan mensual'!L9,0)))*parametros_manuales!$I$19*parametros_manuales!$J$19</f>
        <v>528.3361658234</v>
      </c>
      <c r="K2" s="9" t="n">
        <f aca="false">(parametros_manuales!$D$19*('Plan mensual'!M2+IF(parametros_manuales!$H$19="Todos",'Plan mensual'!M6,0))+parametros_manuales!$E$19*('Plan mensual'!M3+IF(parametros_manuales!$H$19="Todos",'Plan mensual'!M7,0))+parametros_manuales!$F$19*('Plan mensual'!M4+IF(parametros_manuales!$H$19="Todos",'Plan mensual'!M8,0))+parametros_manuales!$G$19*('Plan mensual'!M5+IF(parametros_manuales!$H$19="Todos",'Plan mensual'!M9,0)))*parametros_manuales!$I$19*parametros_manuales!$J$19</f>
        <v>514.90298300475</v>
      </c>
      <c r="L2" s="9" t="n">
        <f aca="false">(parametros_manuales!$D$19*('Plan mensual'!N2+IF(parametros_manuales!$H$19="Todos",'Plan mensual'!N6,0))+parametros_manuales!$E$19*('Plan mensual'!N3+IF(parametros_manuales!$H$19="Todos",'Plan mensual'!N7,0))+parametros_manuales!$F$19*('Plan mensual'!N4+IF(parametros_manuales!$H$19="Todos",'Plan mensual'!N8,0))+parametros_manuales!$G$19*('Plan mensual'!N5+IF(parametros_manuales!$H$19="Todos",'Plan mensual'!N9,0)))*parametros_manuales!$I$19*parametros_manuales!$J$19</f>
        <v>501.4698001861</v>
      </c>
      <c r="M2" s="9" t="n">
        <f aca="false">(parametros_manuales!$D$19*('Plan mensual'!O2+IF(parametros_manuales!$H$19="Todos",'Plan mensual'!O6,0))+parametros_manuales!$E$19*('Plan mensual'!O3+IF(parametros_manuales!$H$19="Todos",'Plan mensual'!O7,0))+parametros_manuales!$F$19*('Plan mensual'!O4+IF(parametros_manuales!$H$19="Todos",'Plan mensual'!O8,0))+parametros_manuales!$G$19*('Plan mensual'!O5+IF(parametros_manuales!$H$19="Todos",'Plan mensual'!O9,0)))*parametros_manuales!$I$19*parametros_manuales!$J$19</f>
        <v>796.9784071703</v>
      </c>
      <c r="N2" s="9" t="n">
        <f aca="false">SUM(B2:M2)</f>
        <v>6865.37310673</v>
      </c>
      <c r="O2" s="9" t="n">
        <f aca="false">MAX(B2:M2)</f>
        <v>796.9784071703</v>
      </c>
      <c r="P2" s="43" t="n">
        <f aca="false">O2/(parametros_manuales!$B$7)</f>
        <v>5.31318938113533</v>
      </c>
      <c r="Q2" s="8" t="str">
        <f aca="false">IF(O2=0,"-",INDEX($B$1:$M$1,MATCH(O2,B2:M2,0)))</f>
        <v>Dic</v>
      </c>
    </row>
    <row r="3" customFormat="false" ht="14.25" hidden="false" customHeight="true" outlineLevel="0" collapsed="false">
      <c r="A3" s="8" t="str">
        <f aca="false">parametros_manuales!$B$20</f>
        <v>Corte de chapa (guillotina) — 2,5 a 10 kg</v>
      </c>
      <c r="B3" s="9" t="n">
        <f aca="false">(parametros_manuales!$D$20*('Plan mensual'!D2+IF(parametros_manuales!$H$20="Todos",'Plan mensual'!D6,0))+parametros_manuales!$E$20*('Plan mensual'!D3+IF(parametros_manuales!$H$20="Todos",'Plan mensual'!D7,0))+parametros_manuales!$F$20*('Plan mensual'!D4+IF(parametros_manuales!$H$20="Todos",'Plan mensual'!D8,0))+parametros_manuales!$G$20*('Plan mensual'!D5+IF(parametros_manuales!$H$20="Todos",'Plan mensual'!D9,0)))*parametros_manuales!$I$20*parametros_manuales!$J$20</f>
        <v>268.663656373</v>
      </c>
      <c r="C3" s="9" t="n">
        <f aca="false">(parametros_manuales!$D$20*('Plan mensual'!E2+IF(parametros_manuales!$H$20="Todos",'Plan mensual'!E6,0))+parametros_manuales!$E$20*('Plan mensual'!E3+IF(parametros_manuales!$H$20="Todos",'Plan mensual'!E7,0))+parametros_manuales!$F$20*('Plan mensual'!E4+IF(parametros_manuales!$H$20="Todos",'Plan mensual'!E8,0))+parametros_manuales!$G$20*('Plan mensual'!E5+IF(parametros_manuales!$H$20="Todos",'Plan mensual'!E9,0)))*parametros_manuales!$I$20*parametros_manuales!$J$20</f>
        <v>214.9309250984</v>
      </c>
      <c r="D3" s="9" t="n">
        <f aca="false">(parametros_manuales!$D$20*('Plan mensual'!F2+IF(parametros_manuales!$H$20="Todos",'Plan mensual'!F6,0))+parametros_manuales!$E$20*('Plan mensual'!F3+IF(parametros_manuales!$H$20="Todos",'Plan mensual'!F7,0))+parametros_manuales!$F$20*('Plan mensual'!F4+IF(parametros_manuales!$H$20="Todos",'Plan mensual'!F8,0))+parametros_manuales!$G$20*('Plan mensual'!F5+IF(parametros_manuales!$H$20="Todos",'Plan mensual'!F9,0)))*parametros_manuales!$I$20*parametros_manuales!$J$20</f>
        <v>228.36410791705</v>
      </c>
      <c r="E3" s="9" t="n">
        <f aca="false">(parametros_manuales!$D$20*('Plan mensual'!G2+IF(parametros_manuales!$H$20="Todos",'Plan mensual'!G6,0))+parametros_manuales!$E$20*('Plan mensual'!G3+IF(parametros_manuales!$H$20="Todos",'Plan mensual'!G7,0))+parametros_manuales!$F$20*('Plan mensual'!G4+IF(parametros_manuales!$H$20="Todos",'Plan mensual'!G8,0))+parametros_manuales!$G$20*('Plan mensual'!G5+IF(parametros_manuales!$H$20="Todos",'Plan mensual'!G9,0)))*parametros_manuales!$I$20*parametros_manuales!$J$20</f>
        <v>228.36410791705</v>
      </c>
      <c r="F3" s="9" t="n">
        <f aca="false">(parametros_manuales!$D$20*('Plan mensual'!H2+IF(parametros_manuales!$H$20="Todos",'Plan mensual'!H6,0))+parametros_manuales!$E$20*('Plan mensual'!H3+IF(parametros_manuales!$H$20="Todos",'Plan mensual'!H7,0))+parametros_manuales!$F$20*('Plan mensual'!H4+IF(parametros_manuales!$H$20="Todos",'Plan mensual'!H8,0))+parametros_manuales!$G$20*('Plan mensual'!H5+IF(parametros_manuales!$H$20="Todos",'Plan mensual'!H9,0)))*parametros_manuales!$I$20*parametros_manuales!$J$20</f>
        <v>214.9309250984</v>
      </c>
      <c r="G3" s="9" t="n">
        <f aca="false">(parametros_manuales!$D$20*('Plan mensual'!I2+IF(parametros_manuales!$H$20="Todos",'Plan mensual'!I6,0))+parametros_manuales!$E$20*('Plan mensual'!I3+IF(parametros_manuales!$H$20="Todos",'Plan mensual'!I7,0))+parametros_manuales!$F$20*('Plan mensual'!I4+IF(parametros_manuales!$H$20="Todos",'Plan mensual'!I8,0))+parametros_manuales!$G$20*('Plan mensual'!I5+IF(parametros_manuales!$H$20="Todos",'Plan mensual'!I9,0)))*parametros_manuales!$I$20*parametros_manuales!$J$20</f>
        <v>201.49774227975</v>
      </c>
      <c r="H3" s="9" t="n">
        <f aca="false">(parametros_manuales!$D$20*('Plan mensual'!J2+IF(parametros_manuales!$H$20="Todos",'Plan mensual'!J6,0))+parametros_manuales!$E$20*('Plan mensual'!J3+IF(parametros_manuales!$H$20="Todos",'Plan mensual'!J7,0))+parametros_manuales!$F$20*('Plan mensual'!J4+IF(parametros_manuales!$H$20="Todos",'Plan mensual'!J8,0))+parametros_manuales!$G$20*('Plan mensual'!J5+IF(parametros_manuales!$H$20="Todos",'Plan mensual'!J9,0)))*parametros_manuales!$I$20*parametros_manuales!$J$20</f>
        <v>214.9309250984</v>
      </c>
      <c r="I3" s="9" t="n">
        <f aca="false">(parametros_manuales!$D$20*('Plan mensual'!K2+IF(parametros_manuales!$H$20="Todos",'Plan mensual'!K6,0))+parametros_manuales!$E$20*('Plan mensual'!K3+IF(parametros_manuales!$H$20="Todos",'Plan mensual'!K7,0))+parametros_manuales!$F$20*('Plan mensual'!K4+IF(parametros_manuales!$H$20="Todos",'Plan mensual'!K8,0))+parametros_manuales!$G$20*('Plan mensual'!K5+IF(parametros_manuales!$H$20="Todos",'Plan mensual'!K9,0)))*parametros_manuales!$I$20*parametros_manuales!$J$20</f>
        <v>214.9309250984</v>
      </c>
      <c r="J3" s="9" t="n">
        <f aca="false">(parametros_manuales!$D$20*('Plan mensual'!L2+IF(parametros_manuales!$H$20="Todos",'Plan mensual'!L6,0))+parametros_manuales!$E$20*('Plan mensual'!L3+IF(parametros_manuales!$H$20="Todos",'Plan mensual'!L7,0))+parametros_manuales!$F$20*('Plan mensual'!L4+IF(parametros_manuales!$H$20="Todos",'Plan mensual'!L8,0))+parametros_manuales!$G$20*('Plan mensual'!L5+IF(parametros_manuales!$H$20="Todos",'Plan mensual'!L9,0)))*parametros_manuales!$I$20*parametros_manuales!$J$20</f>
        <v>214.9309250984</v>
      </c>
      <c r="K3" s="9" t="n">
        <f aca="false">(parametros_manuales!$D$20*('Plan mensual'!M2+IF(parametros_manuales!$H$20="Todos",'Plan mensual'!M6,0))+parametros_manuales!$E$20*('Plan mensual'!M3+IF(parametros_manuales!$H$20="Todos",'Plan mensual'!M7,0))+parametros_manuales!$F$20*('Plan mensual'!M4+IF(parametros_manuales!$H$20="Todos",'Plan mensual'!M8,0))+parametros_manuales!$G$20*('Plan mensual'!M5+IF(parametros_manuales!$H$20="Todos",'Plan mensual'!M9,0)))*parametros_manuales!$I$20*parametros_manuales!$J$20</f>
        <v>201.49774227975</v>
      </c>
      <c r="L3" s="9" t="n">
        <f aca="false">(parametros_manuales!$D$20*('Plan mensual'!N2+IF(parametros_manuales!$H$20="Todos",'Plan mensual'!N6,0))+parametros_manuales!$E$20*('Plan mensual'!N3+IF(parametros_manuales!$H$20="Todos",'Plan mensual'!N7,0))+parametros_manuales!$F$20*('Plan mensual'!N4+IF(parametros_manuales!$H$20="Todos",'Plan mensual'!N8,0))+parametros_manuales!$G$20*('Plan mensual'!N5+IF(parametros_manuales!$H$20="Todos",'Plan mensual'!N9,0)))*parametros_manuales!$I$20*parametros_manuales!$J$20</f>
        <v>188.0645594611</v>
      </c>
      <c r="M3" s="9" t="n">
        <f aca="false">(parametros_manuales!$D$20*('Plan mensual'!O2+IF(parametros_manuales!$H$20="Todos",'Plan mensual'!O6,0))+parametros_manuales!$E$20*('Plan mensual'!O3+IF(parametros_manuales!$H$20="Todos",'Plan mensual'!O7,0))+parametros_manuales!$F$20*('Plan mensual'!O4+IF(parametros_manuales!$H$20="Todos",'Plan mensual'!O8,0))+parametros_manuales!$G$20*('Plan mensual'!O5+IF(parametros_manuales!$H$20="Todos",'Plan mensual'!O9,0)))*parametros_manuales!$I$20*parametros_manuales!$J$20</f>
        <v>295.5300220103</v>
      </c>
      <c r="N3" s="9" t="n">
        <f aca="false">SUM(B3:M3)</f>
        <v>2686.63656373</v>
      </c>
      <c r="O3" s="9" t="n">
        <f aca="false">MAX(B3:M3)</f>
        <v>295.5300220103</v>
      </c>
      <c r="P3" s="43" t="n">
        <f aca="false">O3/(parametros_manuales!$B$7)</f>
        <v>1.97020014673533</v>
      </c>
      <c r="Q3" s="8" t="str">
        <f aca="false">IF(O3=0,"-",INDEX($B$1:$M$1,MATCH(O3,B3:M3,0)))</f>
        <v>Dic</v>
      </c>
    </row>
    <row r="4" customFormat="false" ht="14.25" hidden="false" customHeight="true" outlineLevel="0" collapsed="false">
      <c r="A4" s="8" t="str">
        <f aca="false">parametros_manuales!$B$21</f>
        <v>Corte de tubo — 1 kg</v>
      </c>
      <c r="B4" s="9" t="n">
        <f aca="false">(parametros_manuales!$D$21*('Plan mensual'!D2+IF(parametros_manuales!$H$21="Todos",'Plan mensual'!D6,0))+parametros_manuales!$E$21*('Plan mensual'!D3+IF(parametros_manuales!$H$21="Todos",'Plan mensual'!D7,0))+parametros_manuales!$F$21*('Plan mensual'!D4+IF(parametros_manuales!$H$21="Todos",'Plan mensual'!D8,0))+parametros_manuales!$G$21*('Plan mensual'!D5+IF(parametros_manuales!$H$21="Todos",'Plan mensual'!D9,0)))*parametros_manuales!$I$21*parametros_manuales!$J$21</f>
        <v>501.44838516</v>
      </c>
      <c r="C4" s="9" t="n">
        <f aca="false">(parametros_manuales!$D$21*('Plan mensual'!E2+IF(parametros_manuales!$H$21="Todos",'Plan mensual'!E6,0))+parametros_manuales!$E$21*('Plan mensual'!E3+IF(parametros_manuales!$H$21="Todos",'Plan mensual'!E7,0))+parametros_manuales!$F$21*('Plan mensual'!E4+IF(parametros_manuales!$H$21="Todos",'Plan mensual'!E8,0))+parametros_manuales!$G$21*('Plan mensual'!E5+IF(parametros_manuales!$H$21="Todos",'Plan mensual'!E9,0)))*parametros_manuales!$I$21*parametros_manuales!$J$21</f>
        <v>376.08628887</v>
      </c>
      <c r="D4" s="9" t="n">
        <f aca="false">(parametros_manuales!$D$21*('Plan mensual'!F2+IF(parametros_manuales!$H$21="Todos",'Plan mensual'!F6,0))+parametros_manuales!$E$21*('Plan mensual'!F3+IF(parametros_manuales!$H$21="Todos",'Plan mensual'!F7,0))+parametros_manuales!$F$21*('Plan mensual'!F4+IF(parametros_manuales!$H$21="Todos",'Plan mensual'!F8,0))+parametros_manuales!$G$21*('Plan mensual'!F5+IF(parametros_manuales!$H$21="Todos",'Plan mensual'!F9,0)))*parametros_manuales!$I$21*parametros_manuales!$J$21</f>
        <v>334.29892344</v>
      </c>
      <c r="E4" s="9" t="n">
        <f aca="false">(parametros_manuales!$D$21*('Plan mensual'!G2+IF(parametros_manuales!$H$21="Todos",'Plan mensual'!G6,0))+parametros_manuales!$E$21*('Plan mensual'!G3+IF(parametros_manuales!$H$21="Todos",'Plan mensual'!G7,0))+parametros_manuales!$F$21*('Plan mensual'!G4+IF(parametros_manuales!$H$21="Todos",'Plan mensual'!G8,0))+parametros_manuales!$G$21*('Plan mensual'!G5+IF(parametros_manuales!$H$21="Todos",'Plan mensual'!G9,0)))*parametros_manuales!$I$21*parametros_manuales!$J$21</f>
        <v>313.405240725</v>
      </c>
      <c r="F4" s="9" t="n">
        <f aca="false">(parametros_manuales!$D$21*('Plan mensual'!H2+IF(parametros_manuales!$H$21="Todos",'Plan mensual'!H6,0))+parametros_manuales!$E$21*('Plan mensual'!H3+IF(parametros_manuales!$H$21="Todos",'Plan mensual'!H7,0))+parametros_manuales!$F$21*('Plan mensual'!H4+IF(parametros_manuales!$H$21="Todos",'Plan mensual'!H8,0))+parametros_manuales!$G$21*('Plan mensual'!H5+IF(parametros_manuales!$H$21="Todos",'Plan mensual'!H9,0)))*parametros_manuales!$I$21*parametros_manuales!$J$21</f>
        <v>292.51155801</v>
      </c>
      <c r="G4" s="9" t="n">
        <f aca="false">(parametros_manuales!$D$21*('Plan mensual'!I2+IF(parametros_manuales!$H$21="Todos",'Plan mensual'!I6,0))+parametros_manuales!$E$21*('Plan mensual'!I3+IF(parametros_manuales!$H$21="Todos",'Plan mensual'!I7,0))+parametros_manuales!$F$21*('Plan mensual'!I4+IF(parametros_manuales!$H$21="Todos",'Plan mensual'!I8,0))+parametros_manuales!$G$21*('Plan mensual'!I5+IF(parametros_manuales!$H$21="Todos",'Plan mensual'!I9,0)))*parametros_manuales!$I$21*parametros_manuales!$J$21</f>
        <v>292.51155801</v>
      </c>
      <c r="H4" s="9" t="n">
        <f aca="false">(parametros_manuales!$D$21*('Plan mensual'!J2+IF(parametros_manuales!$H$21="Todos",'Plan mensual'!J6,0))+parametros_manuales!$E$21*('Plan mensual'!J3+IF(parametros_manuales!$H$21="Todos",'Plan mensual'!J7,0))+parametros_manuales!$F$21*('Plan mensual'!J4+IF(parametros_manuales!$H$21="Todos",'Plan mensual'!J8,0))+parametros_manuales!$G$21*('Plan mensual'!J5+IF(parametros_manuales!$H$21="Todos",'Plan mensual'!J9,0)))*parametros_manuales!$I$21*parametros_manuales!$J$21</f>
        <v>313.405240725</v>
      </c>
      <c r="I4" s="9" t="n">
        <f aca="false">(parametros_manuales!$D$21*('Plan mensual'!K2+IF(parametros_manuales!$H$21="Todos",'Plan mensual'!K6,0))+parametros_manuales!$E$21*('Plan mensual'!K3+IF(parametros_manuales!$H$21="Todos",'Plan mensual'!K7,0))+parametros_manuales!$F$21*('Plan mensual'!K4+IF(parametros_manuales!$H$21="Todos",'Plan mensual'!K8,0))+parametros_manuales!$G$21*('Plan mensual'!K5+IF(parametros_manuales!$H$21="Todos",'Plan mensual'!K9,0)))*parametros_manuales!$I$21*parametros_manuales!$J$21</f>
        <v>313.405240725</v>
      </c>
      <c r="J4" s="9" t="n">
        <f aca="false">(parametros_manuales!$D$21*('Plan mensual'!L2+IF(parametros_manuales!$H$21="Todos",'Plan mensual'!L6,0))+parametros_manuales!$E$21*('Plan mensual'!L3+IF(parametros_manuales!$H$21="Todos",'Plan mensual'!L7,0))+parametros_manuales!$F$21*('Plan mensual'!L4+IF(parametros_manuales!$H$21="Todos",'Plan mensual'!L8,0))+parametros_manuales!$G$21*('Plan mensual'!L5+IF(parametros_manuales!$H$21="Todos",'Plan mensual'!L9,0)))*parametros_manuales!$I$21*parametros_manuales!$J$21</f>
        <v>313.405240725</v>
      </c>
      <c r="K4" s="9" t="n">
        <f aca="false">(parametros_manuales!$D$21*('Plan mensual'!M2+IF(parametros_manuales!$H$21="Todos",'Plan mensual'!M6,0))+parametros_manuales!$E$21*('Plan mensual'!M3+IF(parametros_manuales!$H$21="Todos",'Plan mensual'!M7,0))+parametros_manuales!$F$21*('Plan mensual'!M4+IF(parametros_manuales!$H$21="Todos",'Plan mensual'!M8,0))+parametros_manuales!$G$21*('Plan mensual'!M5+IF(parametros_manuales!$H$21="Todos",'Plan mensual'!M9,0)))*parametros_manuales!$I$21*parametros_manuales!$J$21</f>
        <v>313.405240725</v>
      </c>
      <c r="L4" s="9" t="n">
        <f aca="false">(parametros_manuales!$D$21*('Plan mensual'!N2+IF(parametros_manuales!$H$21="Todos",'Plan mensual'!N6,0))+parametros_manuales!$E$21*('Plan mensual'!N3+IF(parametros_manuales!$H$21="Todos",'Plan mensual'!N7,0))+parametros_manuales!$F$21*('Plan mensual'!N4+IF(parametros_manuales!$H$21="Todos",'Plan mensual'!N8,0))+parametros_manuales!$G$21*('Plan mensual'!N5+IF(parametros_manuales!$H$21="Todos",'Plan mensual'!N9,0)))*parametros_manuales!$I$21*parametros_manuales!$J$21</f>
        <v>313.405240725</v>
      </c>
      <c r="M4" s="9" t="n">
        <f aca="false">(parametros_manuales!$D$21*('Plan mensual'!O2+IF(parametros_manuales!$H$21="Todos",'Plan mensual'!O6,0))+parametros_manuales!$E$21*('Plan mensual'!O3+IF(parametros_manuales!$H$21="Todos",'Plan mensual'!O7,0))+parametros_manuales!$F$21*('Plan mensual'!O4+IF(parametros_manuales!$H$21="Todos",'Plan mensual'!O8,0))+parametros_manuales!$G$21*('Plan mensual'!O5+IF(parametros_manuales!$H$21="Todos",'Plan mensual'!O9,0)))*parametros_manuales!$I$21*parametros_manuales!$J$21</f>
        <v>501.44838516</v>
      </c>
      <c r="N4" s="9" t="n">
        <f aca="false">SUM(B4:M4)</f>
        <v>4178.736543</v>
      </c>
      <c r="O4" s="9" t="n">
        <f aca="false">MAX(B4:M4)</f>
        <v>501.44838516</v>
      </c>
      <c r="P4" s="43" t="n">
        <f aca="false">O4/(parametros_manuales!$B$7)</f>
        <v>3.3429892344</v>
      </c>
      <c r="Q4" s="8" t="str">
        <f aca="false">IF(O4=0,"-",INDEX($B$1:$M$1,MATCH(O4,B4:M4,0)))</f>
        <v>Ene</v>
      </c>
    </row>
    <row r="5" customFormat="false" ht="14.25" hidden="false" customHeight="true" outlineLevel="0" collapsed="false">
      <c r="A5" s="8" t="str">
        <f aca="false">parametros_manuales!$B$22</f>
        <v>Corte de disco y embutido (cúpula y fondo)</v>
      </c>
      <c r="B5" s="9" t="n">
        <f aca="false">(parametros_manuales!$D$22*('Plan mensual'!D2+IF(parametros_manuales!$H$22="Todos",'Plan mensual'!D6,0))+parametros_manuales!$E$22*('Plan mensual'!D3+IF(parametros_manuales!$H$22="Todos",'Plan mensual'!D7,0))+parametros_manuales!$F$22*('Plan mensual'!D4+IF(parametros_manuales!$H$22="Todos",'Plan mensual'!D8,0))+parametros_manuales!$G$22*('Plan mensual'!D5+IF(parametros_manuales!$H$22="Todos",'Plan mensual'!D9,0)))*parametros_manuales!$I$22*parametros_manuales!$J$22</f>
        <v>1540.224083066</v>
      </c>
      <c r="C5" s="9" t="n">
        <f aca="false">(parametros_manuales!$D$22*('Plan mensual'!E2+IF(parametros_manuales!$H$22="Todos",'Plan mensual'!E6,0))+parametros_manuales!$E$22*('Plan mensual'!E3+IF(parametros_manuales!$H$22="Todos",'Plan mensual'!E7,0))+parametros_manuales!$F$22*('Plan mensual'!E4+IF(parametros_manuales!$H$22="Todos",'Plan mensual'!E8,0))+parametros_manuales!$G$22*('Plan mensual'!E5+IF(parametros_manuales!$H$22="Todos",'Plan mensual'!E9,0)))*parametros_manuales!$I$22*parametros_manuales!$J$22</f>
        <v>1182.0344279368</v>
      </c>
      <c r="D5" s="9" t="n">
        <f aca="false">(parametros_manuales!$D$22*('Plan mensual'!F2+IF(parametros_manuales!$H$22="Todos",'Plan mensual'!F6,0))+parametros_manuales!$E$22*('Plan mensual'!F3+IF(parametros_manuales!$H$22="Todos",'Plan mensual'!F7,0))+parametros_manuales!$F$22*('Plan mensual'!F4+IF(parametros_manuales!$H$22="Todos",'Plan mensual'!F8,0))+parametros_manuales!$G$22*('Plan mensual'!F5+IF(parametros_manuales!$H$22="Todos",'Plan mensual'!F9,0)))*parametros_manuales!$I$22*parametros_manuales!$J$22</f>
        <v>1125.3260627141</v>
      </c>
      <c r="E5" s="9" t="n">
        <f aca="false">(parametros_manuales!$D$22*('Plan mensual'!G2+IF(parametros_manuales!$H$22="Todos",'Plan mensual'!G6,0))+parametros_manuales!$E$22*('Plan mensual'!G3+IF(parametros_manuales!$H$22="Todos",'Plan mensual'!G7,0))+parametros_manuales!$F$22*('Plan mensual'!G4+IF(parametros_manuales!$H$22="Todos",'Plan mensual'!G8,0))+parametros_manuales!$G$22*('Plan mensual'!G5+IF(parametros_manuales!$H$22="Todos",'Plan mensual'!G9,0)))*parametros_manuales!$I$22*parametros_manuales!$J$22</f>
        <v>1083.5386972841</v>
      </c>
      <c r="F5" s="9" t="n">
        <f aca="false">(parametros_manuales!$D$22*('Plan mensual'!H2+IF(parametros_manuales!$H$22="Todos",'Plan mensual'!H6,0))+parametros_manuales!$E$22*('Plan mensual'!H3+IF(parametros_manuales!$H$22="Todos",'Plan mensual'!H7,0))+parametros_manuales!$F$22*('Plan mensual'!H4+IF(parametros_manuales!$H$22="Todos",'Plan mensual'!H8,0))+parametros_manuales!$G$22*('Plan mensual'!H5+IF(parametros_manuales!$H$22="Todos",'Plan mensual'!H9,0)))*parametros_manuales!$I$22*parametros_manuales!$J$22</f>
        <v>1014.8849662168</v>
      </c>
      <c r="G5" s="9" t="n">
        <f aca="false">(parametros_manuales!$D$22*('Plan mensual'!I2+IF(parametros_manuales!$H$22="Todos",'Plan mensual'!I6,0))+parametros_manuales!$E$22*('Plan mensual'!I3+IF(parametros_manuales!$H$22="Todos",'Plan mensual'!I7,0))+parametros_manuales!$F$22*('Plan mensual'!I4+IF(parametros_manuales!$H$22="Todos",'Plan mensual'!I8,0))+parametros_manuales!$G$22*('Plan mensual'!I5+IF(parametros_manuales!$H$22="Todos",'Plan mensual'!I9,0)))*parametros_manuales!$I$22*parametros_manuales!$J$22</f>
        <v>988.0186005795</v>
      </c>
      <c r="H5" s="9" t="n">
        <f aca="false">(parametros_manuales!$D$22*('Plan mensual'!J2+IF(parametros_manuales!$H$22="Todos",'Plan mensual'!J6,0))+parametros_manuales!$E$22*('Plan mensual'!J3+IF(parametros_manuales!$H$22="Todos",'Plan mensual'!J7,0))+parametros_manuales!$F$22*('Plan mensual'!J4+IF(parametros_manuales!$H$22="Todos",'Plan mensual'!J8,0))+parametros_manuales!$G$22*('Plan mensual'!J5+IF(parametros_manuales!$H$22="Todos",'Plan mensual'!J9,0)))*parametros_manuales!$I$22*parametros_manuales!$J$22</f>
        <v>1056.6723316468</v>
      </c>
      <c r="I5" s="9" t="n">
        <f aca="false">(parametros_manuales!$D$22*('Plan mensual'!K2+IF(parametros_manuales!$H$22="Todos",'Plan mensual'!K6,0))+parametros_manuales!$E$22*('Plan mensual'!K3+IF(parametros_manuales!$H$22="Todos",'Plan mensual'!K7,0))+parametros_manuales!$F$22*('Plan mensual'!K4+IF(parametros_manuales!$H$22="Todos",'Plan mensual'!K8,0))+parametros_manuales!$G$22*('Plan mensual'!K5+IF(parametros_manuales!$H$22="Todos",'Plan mensual'!K9,0)))*parametros_manuales!$I$22*parametros_manuales!$J$22</f>
        <v>1056.6723316468</v>
      </c>
      <c r="J5" s="9" t="n">
        <f aca="false">(parametros_manuales!$D$22*('Plan mensual'!L2+IF(parametros_manuales!$H$22="Todos",'Plan mensual'!L6,0))+parametros_manuales!$E$22*('Plan mensual'!L3+IF(parametros_manuales!$H$22="Todos",'Plan mensual'!L7,0))+parametros_manuales!$F$22*('Plan mensual'!L4+IF(parametros_manuales!$H$22="Todos",'Plan mensual'!L8,0))+parametros_manuales!$G$22*('Plan mensual'!L5+IF(parametros_manuales!$H$22="Todos",'Plan mensual'!L9,0)))*parametros_manuales!$I$22*parametros_manuales!$J$22</f>
        <v>1056.6723316468</v>
      </c>
      <c r="K5" s="9" t="n">
        <f aca="false">(parametros_manuales!$D$22*('Plan mensual'!M2+IF(parametros_manuales!$H$22="Todos",'Plan mensual'!M6,0))+parametros_manuales!$E$22*('Plan mensual'!M3+IF(parametros_manuales!$H$22="Todos",'Plan mensual'!M7,0))+parametros_manuales!$F$22*('Plan mensual'!M4+IF(parametros_manuales!$H$22="Todos",'Plan mensual'!M8,0))+parametros_manuales!$G$22*('Plan mensual'!M5+IF(parametros_manuales!$H$22="Todos",'Plan mensual'!M9,0)))*parametros_manuales!$I$22*parametros_manuales!$J$22</f>
        <v>1029.8059660095</v>
      </c>
      <c r="L5" s="9" t="n">
        <f aca="false">(parametros_manuales!$D$22*('Plan mensual'!N2+IF(parametros_manuales!$H$22="Todos",'Plan mensual'!N6,0))+parametros_manuales!$E$22*('Plan mensual'!N3+IF(parametros_manuales!$H$22="Todos",'Plan mensual'!N7,0))+parametros_manuales!$F$22*('Plan mensual'!N4+IF(parametros_manuales!$H$22="Todos",'Plan mensual'!N8,0))+parametros_manuales!$G$22*('Plan mensual'!N5+IF(parametros_manuales!$H$22="Todos",'Plan mensual'!N9,0)))*parametros_manuales!$I$22*parametros_manuales!$J$22</f>
        <v>1002.9396003722</v>
      </c>
      <c r="M5" s="9" t="n">
        <f aca="false">(parametros_manuales!$D$22*('Plan mensual'!O2+IF(parametros_manuales!$H$22="Todos",'Plan mensual'!O6,0))+parametros_manuales!$E$22*('Plan mensual'!O3+IF(parametros_manuales!$H$22="Todos",'Plan mensual'!O7,0))+parametros_manuales!$F$22*('Plan mensual'!O4+IF(parametros_manuales!$H$22="Todos",'Plan mensual'!O8,0))+parametros_manuales!$G$22*('Plan mensual'!O5+IF(parametros_manuales!$H$22="Todos",'Plan mensual'!O9,0)))*parametros_manuales!$I$22*parametros_manuales!$J$22</f>
        <v>1593.9568143406</v>
      </c>
      <c r="N5" s="9" t="n">
        <f aca="false">SUM(B5:M5)</f>
        <v>13730.74621346</v>
      </c>
      <c r="O5" s="9" t="n">
        <f aca="false">MAX(B5:M5)</f>
        <v>1593.9568143406</v>
      </c>
      <c r="P5" s="43" t="n">
        <f aca="false">O5/(parametros_manuales!$B$7)</f>
        <v>10.6263787622707</v>
      </c>
      <c r="Q5" s="8" t="str">
        <f aca="false">IF(O5=0,"-",INDEX($B$1:$M$1,MATCH(O5,B5:M5,0)))</f>
        <v>Dic</v>
      </c>
    </row>
    <row r="6" customFormat="false" ht="14.25" hidden="false" customHeight="true" outlineLevel="0" collapsed="false">
      <c r="A6" s="8" t="str">
        <f aca="false">parametros_manuales!$B$23</f>
        <v>Preparación de cuello</v>
      </c>
      <c r="B6" s="9" t="n">
        <f aca="false">(parametros_manuales!$D$23*('Plan mensual'!D2+IF(parametros_manuales!$H$23="Todos",'Plan mensual'!D6,0))+parametros_manuales!$E$23*('Plan mensual'!D3+IF(parametros_manuales!$H$23="Todos",'Plan mensual'!D7,0))+parametros_manuales!$F$23*('Plan mensual'!D4+IF(parametros_manuales!$H$23="Todos",'Plan mensual'!D8,0))+parametros_manuales!$G$23*('Plan mensual'!D5+IF(parametros_manuales!$H$23="Todos",'Plan mensual'!D9,0)))*parametros_manuales!$I$23*parametros_manuales!$J$23</f>
        <v>770.112041533</v>
      </c>
      <c r="C6" s="9" t="n">
        <f aca="false">(parametros_manuales!$D$23*('Plan mensual'!E2+IF(parametros_manuales!$H$23="Todos",'Plan mensual'!E6,0))+parametros_manuales!$E$23*('Plan mensual'!E3+IF(parametros_manuales!$H$23="Todos",'Plan mensual'!E7,0))+parametros_manuales!$F$23*('Plan mensual'!E4+IF(parametros_manuales!$H$23="Todos",'Plan mensual'!E8,0))+parametros_manuales!$G$23*('Plan mensual'!E5+IF(parametros_manuales!$H$23="Todos",'Plan mensual'!E9,0)))*parametros_manuales!$I$23*parametros_manuales!$J$23</f>
        <v>591.0172139684</v>
      </c>
      <c r="D6" s="9" t="n">
        <f aca="false">(parametros_manuales!$D$23*('Plan mensual'!F2+IF(parametros_manuales!$H$23="Todos",'Plan mensual'!F6,0))+parametros_manuales!$E$23*('Plan mensual'!F3+IF(parametros_manuales!$H$23="Todos",'Plan mensual'!F7,0))+parametros_manuales!$F$23*('Plan mensual'!F4+IF(parametros_manuales!$H$23="Todos",'Plan mensual'!F8,0))+parametros_manuales!$G$23*('Plan mensual'!F5+IF(parametros_manuales!$H$23="Todos",'Plan mensual'!F9,0)))*parametros_manuales!$I$23*parametros_manuales!$J$23</f>
        <v>562.66303135705</v>
      </c>
      <c r="E6" s="9" t="n">
        <f aca="false">(parametros_manuales!$D$23*('Plan mensual'!G2+IF(parametros_manuales!$H$23="Todos",'Plan mensual'!G6,0))+parametros_manuales!$E$23*('Plan mensual'!G3+IF(parametros_manuales!$H$23="Todos",'Plan mensual'!G7,0))+parametros_manuales!$F$23*('Plan mensual'!G4+IF(parametros_manuales!$H$23="Todos",'Plan mensual'!G8,0))+parametros_manuales!$G$23*('Plan mensual'!G5+IF(parametros_manuales!$H$23="Todos",'Plan mensual'!G9,0)))*parametros_manuales!$I$23*parametros_manuales!$J$23</f>
        <v>541.76934864205</v>
      </c>
      <c r="F6" s="9" t="n">
        <f aca="false">(parametros_manuales!$D$23*('Plan mensual'!H2+IF(parametros_manuales!$H$23="Todos",'Plan mensual'!H6,0))+parametros_manuales!$E$23*('Plan mensual'!H3+IF(parametros_manuales!$H$23="Todos",'Plan mensual'!H7,0))+parametros_manuales!$F$23*('Plan mensual'!H4+IF(parametros_manuales!$H$23="Todos",'Plan mensual'!H8,0))+parametros_manuales!$G$23*('Plan mensual'!H5+IF(parametros_manuales!$H$23="Todos",'Plan mensual'!H9,0)))*parametros_manuales!$I$23*parametros_manuales!$J$23</f>
        <v>507.4424831084</v>
      </c>
      <c r="G6" s="9" t="n">
        <f aca="false">(parametros_manuales!$D$23*('Plan mensual'!I2+IF(parametros_manuales!$H$23="Todos",'Plan mensual'!I6,0))+parametros_manuales!$E$23*('Plan mensual'!I3+IF(parametros_manuales!$H$23="Todos",'Plan mensual'!I7,0))+parametros_manuales!$F$23*('Plan mensual'!I4+IF(parametros_manuales!$H$23="Todos",'Plan mensual'!I8,0))+parametros_manuales!$G$23*('Plan mensual'!I5+IF(parametros_manuales!$H$23="Todos",'Plan mensual'!I9,0)))*parametros_manuales!$I$23*parametros_manuales!$J$23</f>
        <v>494.00930028975</v>
      </c>
      <c r="H6" s="9" t="n">
        <f aca="false">(parametros_manuales!$D$23*('Plan mensual'!J2+IF(parametros_manuales!$H$23="Todos",'Plan mensual'!J6,0))+parametros_manuales!$E$23*('Plan mensual'!J3+IF(parametros_manuales!$H$23="Todos",'Plan mensual'!J7,0))+parametros_manuales!$F$23*('Plan mensual'!J4+IF(parametros_manuales!$H$23="Todos",'Plan mensual'!J8,0))+parametros_manuales!$G$23*('Plan mensual'!J5+IF(parametros_manuales!$H$23="Todos",'Plan mensual'!J9,0)))*parametros_manuales!$I$23*parametros_manuales!$J$23</f>
        <v>528.3361658234</v>
      </c>
      <c r="I6" s="9" t="n">
        <f aca="false">(parametros_manuales!$D$23*('Plan mensual'!K2+IF(parametros_manuales!$H$23="Todos",'Plan mensual'!K6,0))+parametros_manuales!$E$23*('Plan mensual'!K3+IF(parametros_manuales!$H$23="Todos",'Plan mensual'!K7,0))+parametros_manuales!$F$23*('Plan mensual'!K4+IF(parametros_manuales!$H$23="Todos",'Plan mensual'!K8,0))+parametros_manuales!$G$23*('Plan mensual'!K5+IF(parametros_manuales!$H$23="Todos",'Plan mensual'!K9,0)))*parametros_manuales!$I$23*parametros_manuales!$J$23</f>
        <v>528.3361658234</v>
      </c>
      <c r="J6" s="9" t="n">
        <f aca="false">(parametros_manuales!$D$23*('Plan mensual'!L2+IF(parametros_manuales!$H$23="Todos",'Plan mensual'!L6,0))+parametros_manuales!$E$23*('Plan mensual'!L3+IF(parametros_manuales!$H$23="Todos",'Plan mensual'!L7,0))+parametros_manuales!$F$23*('Plan mensual'!L4+IF(parametros_manuales!$H$23="Todos",'Plan mensual'!L8,0))+parametros_manuales!$G$23*('Plan mensual'!L5+IF(parametros_manuales!$H$23="Todos",'Plan mensual'!L9,0)))*parametros_manuales!$I$23*parametros_manuales!$J$23</f>
        <v>528.3361658234</v>
      </c>
      <c r="K6" s="9" t="n">
        <f aca="false">(parametros_manuales!$D$23*('Plan mensual'!M2+IF(parametros_manuales!$H$23="Todos",'Plan mensual'!M6,0))+parametros_manuales!$E$23*('Plan mensual'!M3+IF(parametros_manuales!$H$23="Todos",'Plan mensual'!M7,0))+parametros_manuales!$F$23*('Plan mensual'!M4+IF(parametros_manuales!$H$23="Todos",'Plan mensual'!M8,0))+parametros_manuales!$G$23*('Plan mensual'!M5+IF(parametros_manuales!$H$23="Todos",'Plan mensual'!M9,0)))*parametros_manuales!$I$23*parametros_manuales!$J$23</f>
        <v>514.90298300475</v>
      </c>
      <c r="L6" s="9" t="n">
        <f aca="false">(parametros_manuales!$D$23*('Plan mensual'!N2+IF(parametros_manuales!$H$23="Todos",'Plan mensual'!N6,0))+parametros_manuales!$E$23*('Plan mensual'!N3+IF(parametros_manuales!$H$23="Todos",'Plan mensual'!N7,0))+parametros_manuales!$F$23*('Plan mensual'!N4+IF(parametros_manuales!$H$23="Todos",'Plan mensual'!N8,0))+parametros_manuales!$G$23*('Plan mensual'!N5+IF(parametros_manuales!$H$23="Todos",'Plan mensual'!N9,0)))*parametros_manuales!$I$23*parametros_manuales!$J$23</f>
        <v>501.4698001861</v>
      </c>
      <c r="M6" s="9" t="n">
        <f aca="false">(parametros_manuales!$D$23*('Plan mensual'!O2+IF(parametros_manuales!$H$23="Todos",'Plan mensual'!O6,0))+parametros_manuales!$E$23*('Plan mensual'!O3+IF(parametros_manuales!$H$23="Todos",'Plan mensual'!O7,0))+parametros_manuales!$F$23*('Plan mensual'!O4+IF(parametros_manuales!$H$23="Todos",'Plan mensual'!O8,0))+parametros_manuales!$G$23*('Plan mensual'!O5+IF(parametros_manuales!$H$23="Todos",'Plan mensual'!O9,0)))*parametros_manuales!$I$23*parametros_manuales!$J$23</f>
        <v>796.9784071703</v>
      </c>
      <c r="N6" s="9" t="n">
        <f aca="false">SUM(B6:M6)</f>
        <v>6865.37310673</v>
      </c>
      <c r="O6" s="9" t="n">
        <f aca="false">MAX(B6:M6)</f>
        <v>796.9784071703</v>
      </c>
      <c r="P6" s="43" t="n">
        <f aca="false">O6/(parametros_manuales!$B$7)</f>
        <v>5.31318938113533</v>
      </c>
      <c r="Q6" s="8" t="str">
        <f aca="false">IF(O6=0,"-",INDEX($B$1:$M$1,MATCH(O6,B6:M6,0)))</f>
        <v>Dic</v>
      </c>
    </row>
    <row r="7" customFormat="false" ht="14.25" hidden="false" customHeight="true" outlineLevel="0" collapsed="false">
      <c r="A7" s="8" t="str">
        <f aca="false">parametros_manuales!$B$24</f>
        <v>Numerado de cúpula</v>
      </c>
      <c r="B7" s="9" t="n">
        <f aca="false">(parametros_manuales!$D$24*('Plan mensual'!D2+IF(parametros_manuales!$H$24="Todos",'Plan mensual'!D6,0))+parametros_manuales!$E$24*('Plan mensual'!D3+IF(parametros_manuales!$H$24="Todos",'Plan mensual'!D7,0))+parametros_manuales!$F$24*('Plan mensual'!D4+IF(parametros_manuales!$H$24="Todos",'Plan mensual'!D8,0))+parametros_manuales!$G$24*('Plan mensual'!D5+IF(parametros_manuales!$H$24="Todos",'Plan mensual'!D9,0)))*parametros_manuales!$I$24*parametros_manuales!$J$24</f>
        <v>770.112041533</v>
      </c>
      <c r="C7" s="9" t="n">
        <f aca="false">(parametros_manuales!$D$24*('Plan mensual'!E2+IF(parametros_manuales!$H$24="Todos",'Plan mensual'!E6,0))+parametros_manuales!$E$24*('Plan mensual'!E3+IF(parametros_manuales!$H$24="Todos",'Plan mensual'!E7,0))+parametros_manuales!$F$24*('Plan mensual'!E4+IF(parametros_manuales!$H$24="Todos",'Plan mensual'!E8,0))+parametros_manuales!$G$24*('Plan mensual'!E5+IF(parametros_manuales!$H$24="Todos",'Plan mensual'!E9,0)))*parametros_manuales!$I$24*parametros_manuales!$J$24</f>
        <v>591.0172139684</v>
      </c>
      <c r="D7" s="9" t="n">
        <f aca="false">(parametros_manuales!$D$24*('Plan mensual'!F2+IF(parametros_manuales!$H$24="Todos",'Plan mensual'!F6,0))+parametros_manuales!$E$24*('Plan mensual'!F3+IF(parametros_manuales!$H$24="Todos",'Plan mensual'!F7,0))+parametros_manuales!$F$24*('Plan mensual'!F4+IF(parametros_manuales!$H$24="Todos",'Plan mensual'!F8,0))+parametros_manuales!$G$24*('Plan mensual'!F5+IF(parametros_manuales!$H$24="Todos",'Plan mensual'!F9,0)))*parametros_manuales!$I$24*parametros_manuales!$J$24</f>
        <v>562.66303135705</v>
      </c>
      <c r="E7" s="9" t="n">
        <f aca="false">(parametros_manuales!$D$24*('Plan mensual'!G2+IF(parametros_manuales!$H$24="Todos",'Plan mensual'!G6,0))+parametros_manuales!$E$24*('Plan mensual'!G3+IF(parametros_manuales!$H$24="Todos",'Plan mensual'!G7,0))+parametros_manuales!$F$24*('Plan mensual'!G4+IF(parametros_manuales!$H$24="Todos",'Plan mensual'!G8,0))+parametros_manuales!$G$24*('Plan mensual'!G5+IF(parametros_manuales!$H$24="Todos",'Plan mensual'!G9,0)))*parametros_manuales!$I$24*parametros_manuales!$J$24</f>
        <v>541.76934864205</v>
      </c>
      <c r="F7" s="9" t="n">
        <f aca="false">(parametros_manuales!$D$24*('Plan mensual'!H2+IF(parametros_manuales!$H$24="Todos",'Plan mensual'!H6,0))+parametros_manuales!$E$24*('Plan mensual'!H3+IF(parametros_manuales!$H$24="Todos",'Plan mensual'!H7,0))+parametros_manuales!$F$24*('Plan mensual'!H4+IF(parametros_manuales!$H$24="Todos",'Plan mensual'!H8,0))+parametros_manuales!$G$24*('Plan mensual'!H5+IF(parametros_manuales!$H$24="Todos",'Plan mensual'!H9,0)))*parametros_manuales!$I$24*parametros_manuales!$J$24</f>
        <v>507.4424831084</v>
      </c>
      <c r="G7" s="9" t="n">
        <f aca="false">(parametros_manuales!$D$24*('Plan mensual'!I2+IF(parametros_manuales!$H$24="Todos",'Plan mensual'!I6,0))+parametros_manuales!$E$24*('Plan mensual'!I3+IF(parametros_manuales!$H$24="Todos",'Plan mensual'!I7,0))+parametros_manuales!$F$24*('Plan mensual'!I4+IF(parametros_manuales!$H$24="Todos",'Plan mensual'!I8,0))+parametros_manuales!$G$24*('Plan mensual'!I5+IF(parametros_manuales!$H$24="Todos",'Plan mensual'!I9,0)))*parametros_manuales!$I$24*parametros_manuales!$J$24</f>
        <v>494.00930028975</v>
      </c>
      <c r="H7" s="9" t="n">
        <f aca="false">(parametros_manuales!$D$24*('Plan mensual'!J2+IF(parametros_manuales!$H$24="Todos",'Plan mensual'!J6,0))+parametros_manuales!$E$24*('Plan mensual'!J3+IF(parametros_manuales!$H$24="Todos",'Plan mensual'!J7,0))+parametros_manuales!$F$24*('Plan mensual'!J4+IF(parametros_manuales!$H$24="Todos",'Plan mensual'!J8,0))+parametros_manuales!$G$24*('Plan mensual'!J5+IF(parametros_manuales!$H$24="Todos",'Plan mensual'!J9,0)))*parametros_manuales!$I$24*parametros_manuales!$J$24</f>
        <v>528.3361658234</v>
      </c>
      <c r="I7" s="9" t="n">
        <f aca="false">(parametros_manuales!$D$24*('Plan mensual'!K2+IF(parametros_manuales!$H$24="Todos",'Plan mensual'!K6,0))+parametros_manuales!$E$24*('Plan mensual'!K3+IF(parametros_manuales!$H$24="Todos",'Plan mensual'!K7,0))+parametros_manuales!$F$24*('Plan mensual'!K4+IF(parametros_manuales!$H$24="Todos",'Plan mensual'!K8,0))+parametros_manuales!$G$24*('Plan mensual'!K5+IF(parametros_manuales!$H$24="Todos",'Plan mensual'!K9,0)))*parametros_manuales!$I$24*parametros_manuales!$J$24</f>
        <v>528.3361658234</v>
      </c>
      <c r="J7" s="9" t="n">
        <f aca="false">(parametros_manuales!$D$24*('Plan mensual'!L2+IF(parametros_manuales!$H$24="Todos",'Plan mensual'!L6,0))+parametros_manuales!$E$24*('Plan mensual'!L3+IF(parametros_manuales!$H$24="Todos",'Plan mensual'!L7,0))+parametros_manuales!$F$24*('Plan mensual'!L4+IF(parametros_manuales!$H$24="Todos",'Plan mensual'!L8,0))+parametros_manuales!$G$24*('Plan mensual'!L5+IF(parametros_manuales!$H$24="Todos",'Plan mensual'!L9,0)))*parametros_manuales!$I$24*parametros_manuales!$J$24</f>
        <v>528.3361658234</v>
      </c>
      <c r="K7" s="9" t="n">
        <f aca="false">(parametros_manuales!$D$24*('Plan mensual'!M2+IF(parametros_manuales!$H$24="Todos",'Plan mensual'!M6,0))+parametros_manuales!$E$24*('Plan mensual'!M3+IF(parametros_manuales!$H$24="Todos",'Plan mensual'!M7,0))+parametros_manuales!$F$24*('Plan mensual'!M4+IF(parametros_manuales!$H$24="Todos",'Plan mensual'!M8,0))+parametros_manuales!$G$24*('Plan mensual'!M5+IF(parametros_manuales!$H$24="Todos",'Plan mensual'!M9,0)))*parametros_manuales!$I$24*parametros_manuales!$J$24</f>
        <v>514.90298300475</v>
      </c>
      <c r="L7" s="9" t="n">
        <f aca="false">(parametros_manuales!$D$24*('Plan mensual'!N2+IF(parametros_manuales!$H$24="Todos",'Plan mensual'!N6,0))+parametros_manuales!$E$24*('Plan mensual'!N3+IF(parametros_manuales!$H$24="Todos",'Plan mensual'!N7,0))+parametros_manuales!$F$24*('Plan mensual'!N4+IF(parametros_manuales!$H$24="Todos",'Plan mensual'!N8,0))+parametros_manuales!$G$24*('Plan mensual'!N5+IF(parametros_manuales!$H$24="Todos",'Plan mensual'!N9,0)))*parametros_manuales!$I$24*parametros_manuales!$J$24</f>
        <v>501.4698001861</v>
      </c>
      <c r="M7" s="9" t="n">
        <f aca="false">(parametros_manuales!$D$24*('Plan mensual'!O2+IF(parametros_manuales!$H$24="Todos",'Plan mensual'!O6,0))+parametros_manuales!$E$24*('Plan mensual'!O3+IF(parametros_manuales!$H$24="Todos",'Plan mensual'!O7,0))+parametros_manuales!$F$24*('Plan mensual'!O4+IF(parametros_manuales!$H$24="Todos",'Plan mensual'!O8,0))+parametros_manuales!$G$24*('Plan mensual'!O5+IF(parametros_manuales!$H$24="Todos",'Plan mensual'!O9,0)))*parametros_manuales!$I$24*parametros_manuales!$J$24</f>
        <v>796.9784071703</v>
      </c>
      <c r="N7" s="9" t="n">
        <f aca="false">SUM(B7:M7)</f>
        <v>6865.37310673</v>
      </c>
      <c r="O7" s="9" t="n">
        <f aca="false">MAX(B7:M7)</f>
        <v>796.9784071703</v>
      </c>
      <c r="P7" s="43" t="n">
        <f aca="false">O7/(parametros_manuales!$B$7)</f>
        <v>5.31318938113533</v>
      </c>
      <c r="Q7" s="8" t="str">
        <f aca="false">IF(O7=0,"-",INDEX($B$1:$M$1,MATCH(O7,B7:M7,0)))</f>
        <v>Dic</v>
      </c>
    </row>
    <row r="8" customFormat="false" ht="14.25" hidden="false" customHeight="true" outlineLevel="0" collapsed="false">
      <c r="A8" s="8" t="str">
        <f aca="false">parametros_manuales!$B$25</f>
        <v>Soldadura del cuello a la cúpula</v>
      </c>
      <c r="B8" s="9" t="n">
        <f aca="false">(parametros_manuales!$D$25*('Plan mensual'!D2+IF(parametros_manuales!$H$25="Todos",'Plan mensual'!D6,0))+parametros_manuales!$E$25*('Plan mensual'!D3+IF(parametros_manuales!$H$25="Todos",'Plan mensual'!D7,0))+parametros_manuales!$F$25*('Plan mensual'!D4+IF(parametros_manuales!$H$25="Todos",'Plan mensual'!D8,0))+parametros_manuales!$G$25*('Plan mensual'!D5+IF(parametros_manuales!$H$25="Todos",'Plan mensual'!D9,0)))*parametros_manuales!$I$25*parametros_manuales!$J$25</f>
        <v>770.112041533</v>
      </c>
      <c r="C8" s="9" t="n">
        <f aca="false">(parametros_manuales!$D$25*('Plan mensual'!E2+IF(parametros_manuales!$H$25="Todos",'Plan mensual'!E6,0))+parametros_manuales!$E$25*('Plan mensual'!E3+IF(parametros_manuales!$H$25="Todos",'Plan mensual'!E7,0))+parametros_manuales!$F$25*('Plan mensual'!E4+IF(parametros_manuales!$H$25="Todos",'Plan mensual'!E8,0))+parametros_manuales!$G$25*('Plan mensual'!E5+IF(parametros_manuales!$H$25="Todos",'Plan mensual'!E9,0)))*parametros_manuales!$I$25*parametros_manuales!$J$25</f>
        <v>591.0172139684</v>
      </c>
      <c r="D8" s="9" t="n">
        <f aca="false">(parametros_manuales!$D$25*('Plan mensual'!F2+IF(parametros_manuales!$H$25="Todos",'Plan mensual'!F6,0))+parametros_manuales!$E$25*('Plan mensual'!F3+IF(parametros_manuales!$H$25="Todos",'Plan mensual'!F7,0))+parametros_manuales!$F$25*('Plan mensual'!F4+IF(parametros_manuales!$H$25="Todos",'Plan mensual'!F8,0))+parametros_manuales!$G$25*('Plan mensual'!F5+IF(parametros_manuales!$H$25="Todos",'Plan mensual'!F9,0)))*parametros_manuales!$I$25*parametros_manuales!$J$25</f>
        <v>562.66303135705</v>
      </c>
      <c r="E8" s="9" t="n">
        <f aca="false">(parametros_manuales!$D$25*('Plan mensual'!G2+IF(parametros_manuales!$H$25="Todos",'Plan mensual'!G6,0))+parametros_manuales!$E$25*('Plan mensual'!G3+IF(parametros_manuales!$H$25="Todos",'Plan mensual'!G7,0))+parametros_manuales!$F$25*('Plan mensual'!G4+IF(parametros_manuales!$H$25="Todos",'Plan mensual'!G8,0))+parametros_manuales!$G$25*('Plan mensual'!G5+IF(parametros_manuales!$H$25="Todos",'Plan mensual'!G9,0)))*parametros_manuales!$I$25*parametros_manuales!$J$25</f>
        <v>541.76934864205</v>
      </c>
      <c r="F8" s="9" t="n">
        <f aca="false">(parametros_manuales!$D$25*('Plan mensual'!H2+IF(parametros_manuales!$H$25="Todos",'Plan mensual'!H6,0))+parametros_manuales!$E$25*('Plan mensual'!H3+IF(parametros_manuales!$H$25="Todos",'Plan mensual'!H7,0))+parametros_manuales!$F$25*('Plan mensual'!H4+IF(parametros_manuales!$H$25="Todos",'Plan mensual'!H8,0))+parametros_manuales!$G$25*('Plan mensual'!H5+IF(parametros_manuales!$H$25="Todos",'Plan mensual'!H9,0)))*parametros_manuales!$I$25*parametros_manuales!$J$25</f>
        <v>507.4424831084</v>
      </c>
      <c r="G8" s="9" t="n">
        <f aca="false">(parametros_manuales!$D$25*('Plan mensual'!I2+IF(parametros_manuales!$H$25="Todos",'Plan mensual'!I6,0))+parametros_manuales!$E$25*('Plan mensual'!I3+IF(parametros_manuales!$H$25="Todos",'Plan mensual'!I7,0))+parametros_manuales!$F$25*('Plan mensual'!I4+IF(parametros_manuales!$H$25="Todos",'Plan mensual'!I8,0))+parametros_manuales!$G$25*('Plan mensual'!I5+IF(parametros_manuales!$H$25="Todos",'Plan mensual'!I9,0)))*parametros_manuales!$I$25*parametros_manuales!$J$25</f>
        <v>494.00930028975</v>
      </c>
      <c r="H8" s="9" t="n">
        <f aca="false">(parametros_manuales!$D$25*('Plan mensual'!J2+IF(parametros_manuales!$H$25="Todos",'Plan mensual'!J6,0))+parametros_manuales!$E$25*('Plan mensual'!J3+IF(parametros_manuales!$H$25="Todos",'Plan mensual'!J7,0))+parametros_manuales!$F$25*('Plan mensual'!J4+IF(parametros_manuales!$H$25="Todos",'Plan mensual'!J8,0))+parametros_manuales!$G$25*('Plan mensual'!J5+IF(parametros_manuales!$H$25="Todos",'Plan mensual'!J9,0)))*parametros_manuales!$I$25*parametros_manuales!$J$25</f>
        <v>528.3361658234</v>
      </c>
      <c r="I8" s="9" t="n">
        <f aca="false">(parametros_manuales!$D$25*('Plan mensual'!K2+IF(parametros_manuales!$H$25="Todos",'Plan mensual'!K6,0))+parametros_manuales!$E$25*('Plan mensual'!K3+IF(parametros_manuales!$H$25="Todos",'Plan mensual'!K7,0))+parametros_manuales!$F$25*('Plan mensual'!K4+IF(parametros_manuales!$H$25="Todos",'Plan mensual'!K8,0))+parametros_manuales!$G$25*('Plan mensual'!K5+IF(parametros_manuales!$H$25="Todos",'Plan mensual'!K9,0)))*parametros_manuales!$I$25*parametros_manuales!$J$25</f>
        <v>528.3361658234</v>
      </c>
      <c r="J8" s="9" t="n">
        <f aca="false">(parametros_manuales!$D$25*('Plan mensual'!L2+IF(parametros_manuales!$H$25="Todos",'Plan mensual'!L6,0))+parametros_manuales!$E$25*('Plan mensual'!L3+IF(parametros_manuales!$H$25="Todos",'Plan mensual'!L7,0))+parametros_manuales!$F$25*('Plan mensual'!L4+IF(parametros_manuales!$H$25="Todos",'Plan mensual'!L8,0))+parametros_manuales!$G$25*('Plan mensual'!L5+IF(parametros_manuales!$H$25="Todos",'Plan mensual'!L9,0)))*parametros_manuales!$I$25*parametros_manuales!$J$25</f>
        <v>528.3361658234</v>
      </c>
      <c r="K8" s="9" t="n">
        <f aca="false">(parametros_manuales!$D$25*('Plan mensual'!M2+IF(parametros_manuales!$H$25="Todos",'Plan mensual'!M6,0))+parametros_manuales!$E$25*('Plan mensual'!M3+IF(parametros_manuales!$H$25="Todos",'Plan mensual'!M7,0))+parametros_manuales!$F$25*('Plan mensual'!M4+IF(parametros_manuales!$H$25="Todos",'Plan mensual'!M8,0))+parametros_manuales!$G$25*('Plan mensual'!M5+IF(parametros_manuales!$H$25="Todos",'Plan mensual'!M9,0)))*parametros_manuales!$I$25*parametros_manuales!$J$25</f>
        <v>514.90298300475</v>
      </c>
      <c r="L8" s="9" t="n">
        <f aca="false">(parametros_manuales!$D$25*('Plan mensual'!N2+IF(parametros_manuales!$H$25="Todos",'Plan mensual'!N6,0))+parametros_manuales!$E$25*('Plan mensual'!N3+IF(parametros_manuales!$H$25="Todos",'Plan mensual'!N7,0))+parametros_manuales!$F$25*('Plan mensual'!N4+IF(parametros_manuales!$H$25="Todos",'Plan mensual'!N8,0))+parametros_manuales!$G$25*('Plan mensual'!N5+IF(parametros_manuales!$H$25="Todos",'Plan mensual'!N9,0)))*parametros_manuales!$I$25*parametros_manuales!$J$25</f>
        <v>501.4698001861</v>
      </c>
      <c r="M8" s="9" t="n">
        <f aca="false">(parametros_manuales!$D$25*('Plan mensual'!O2+IF(parametros_manuales!$H$25="Todos",'Plan mensual'!O6,0))+parametros_manuales!$E$25*('Plan mensual'!O3+IF(parametros_manuales!$H$25="Todos",'Plan mensual'!O7,0))+parametros_manuales!$F$25*('Plan mensual'!O4+IF(parametros_manuales!$H$25="Todos",'Plan mensual'!O8,0))+parametros_manuales!$G$25*('Plan mensual'!O5+IF(parametros_manuales!$H$25="Todos",'Plan mensual'!O9,0)))*parametros_manuales!$I$25*parametros_manuales!$J$25</f>
        <v>796.9784071703</v>
      </c>
      <c r="N8" s="9" t="n">
        <f aca="false">SUM(B8:M8)</f>
        <v>6865.37310673</v>
      </c>
      <c r="O8" s="9" t="n">
        <f aca="false">MAX(B8:M8)</f>
        <v>796.9784071703</v>
      </c>
      <c r="P8" s="43" t="n">
        <f aca="false">O8/(parametros_manuales!$B$7)</f>
        <v>5.31318938113533</v>
      </c>
      <c r="Q8" s="8" t="str">
        <f aca="false">IF(O8=0,"-",INDEX($B$1:$M$1,MATCH(O8,B8:M8,0)))</f>
        <v>Dic</v>
      </c>
    </row>
    <row r="9" customFormat="false" ht="14.25" hidden="false" customHeight="true" outlineLevel="0" collapsed="false">
      <c r="A9" s="8" t="str">
        <f aca="false">parametros_manuales!$B$26</f>
        <v>Cilindrado</v>
      </c>
      <c r="B9" s="9" t="n">
        <f aca="false">(parametros_manuales!$D$26*('Plan mensual'!D2+IF(parametros_manuales!$H$26="Todos",'Plan mensual'!D6,0))+parametros_manuales!$E$26*('Plan mensual'!D3+IF(parametros_manuales!$H$26="Todos",'Plan mensual'!D7,0))+parametros_manuales!$F$26*('Plan mensual'!D4+IF(parametros_manuales!$H$26="Todos",'Plan mensual'!D8,0))+parametros_manuales!$G$26*('Plan mensual'!D5+IF(parametros_manuales!$H$26="Todos",'Plan mensual'!D9,0)))*parametros_manuales!$I$26*parametros_manuales!$J$26</f>
        <v>268.663656373</v>
      </c>
      <c r="C9" s="9" t="n">
        <f aca="false">(parametros_manuales!$D$26*('Plan mensual'!E2+IF(parametros_manuales!$H$26="Todos",'Plan mensual'!E6,0))+parametros_manuales!$E$26*('Plan mensual'!E3+IF(parametros_manuales!$H$26="Todos",'Plan mensual'!E7,0))+parametros_manuales!$F$26*('Plan mensual'!E4+IF(parametros_manuales!$H$26="Todos",'Plan mensual'!E8,0))+parametros_manuales!$G$26*('Plan mensual'!E5+IF(parametros_manuales!$H$26="Todos",'Plan mensual'!E9,0)))*parametros_manuales!$I$26*parametros_manuales!$J$26</f>
        <v>214.9309250984</v>
      </c>
      <c r="D9" s="9" t="n">
        <f aca="false">(parametros_manuales!$D$26*('Plan mensual'!F2+IF(parametros_manuales!$H$26="Todos",'Plan mensual'!F6,0))+parametros_manuales!$E$26*('Plan mensual'!F3+IF(parametros_manuales!$H$26="Todos",'Plan mensual'!F7,0))+parametros_manuales!$F$26*('Plan mensual'!F4+IF(parametros_manuales!$H$26="Todos",'Plan mensual'!F8,0))+parametros_manuales!$G$26*('Plan mensual'!F5+IF(parametros_manuales!$H$26="Todos",'Plan mensual'!F9,0)))*parametros_manuales!$I$26*parametros_manuales!$J$26</f>
        <v>228.36410791705</v>
      </c>
      <c r="E9" s="9" t="n">
        <f aca="false">(parametros_manuales!$D$26*('Plan mensual'!G2+IF(parametros_manuales!$H$26="Todos",'Plan mensual'!G6,0))+parametros_manuales!$E$26*('Plan mensual'!G3+IF(parametros_manuales!$H$26="Todos",'Plan mensual'!G7,0))+parametros_manuales!$F$26*('Plan mensual'!G4+IF(parametros_manuales!$H$26="Todos",'Plan mensual'!G8,0))+parametros_manuales!$G$26*('Plan mensual'!G5+IF(parametros_manuales!$H$26="Todos",'Plan mensual'!G9,0)))*parametros_manuales!$I$26*parametros_manuales!$J$26</f>
        <v>228.36410791705</v>
      </c>
      <c r="F9" s="9" t="n">
        <f aca="false">(parametros_manuales!$D$26*('Plan mensual'!H2+IF(parametros_manuales!$H$26="Todos",'Plan mensual'!H6,0))+parametros_manuales!$E$26*('Plan mensual'!H3+IF(parametros_manuales!$H$26="Todos",'Plan mensual'!H7,0))+parametros_manuales!$F$26*('Plan mensual'!H4+IF(parametros_manuales!$H$26="Todos",'Plan mensual'!H8,0))+parametros_manuales!$G$26*('Plan mensual'!H5+IF(parametros_manuales!$H$26="Todos",'Plan mensual'!H9,0)))*parametros_manuales!$I$26*parametros_manuales!$J$26</f>
        <v>214.9309250984</v>
      </c>
      <c r="G9" s="9" t="n">
        <f aca="false">(parametros_manuales!$D$26*('Plan mensual'!I2+IF(parametros_manuales!$H$26="Todos",'Plan mensual'!I6,0))+parametros_manuales!$E$26*('Plan mensual'!I3+IF(parametros_manuales!$H$26="Todos",'Plan mensual'!I7,0))+parametros_manuales!$F$26*('Plan mensual'!I4+IF(parametros_manuales!$H$26="Todos",'Plan mensual'!I8,0))+parametros_manuales!$G$26*('Plan mensual'!I5+IF(parametros_manuales!$H$26="Todos",'Plan mensual'!I9,0)))*parametros_manuales!$I$26*parametros_manuales!$J$26</f>
        <v>201.49774227975</v>
      </c>
      <c r="H9" s="9" t="n">
        <f aca="false">(parametros_manuales!$D$26*('Plan mensual'!J2+IF(parametros_manuales!$H$26="Todos",'Plan mensual'!J6,0))+parametros_manuales!$E$26*('Plan mensual'!J3+IF(parametros_manuales!$H$26="Todos",'Plan mensual'!J7,0))+parametros_manuales!$F$26*('Plan mensual'!J4+IF(parametros_manuales!$H$26="Todos",'Plan mensual'!J8,0))+parametros_manuales!$G$26*('Plan mensual'!J5+IF(parametros_manuales!$H$26="Todos",'Plan mensual'!J9,0)))*parametros_manuales!$I$26*parametros_manuales!$J$26</f>
        <v>214.9309250984</v>
      </c>
      <c r="I9" s="9" t="n">
        <f aca="false">(parametros_manuales!$D$26*('Plan mensual'!K2+IF(parametros_manuales!$H$26="Todos",'Plan mensual'!K6,0))+parametros_manuales!$E$26*('Plan mensual'!K3+IF(parametros_manuales!$H$26="Todos",'Plan mensual'!K7,0))+parametros_manuales!$F$26*('Plan mensual'!K4+IF(parametros_manuales!$H$26="Todos",'Plan mensual'!K8,0))+parametros_manuales!$G$26*('Plan mensual'!K5+IF(parametros_manuales!$H$26="Todos",'Plan mensual'!K9,0)))*parametros_manuales!$I$26*parametros_manuales!$J$26</f>
        <v>214.9309250984</v>
      </c>
      <c r="J9" s="9" t="n">
        <f aca="false">(parametros_manuales!$D$26*('Plan mensual'!L2+IF(parametros_manuales!$H$26="Todos",'Plan mensual'!L6,0))+parametros_manuales!$E$26*('Plan mensual'!L3+IF(parametros_manuales!$H$26="Todos",'Plan mensual'!L7,0))+parametros_manuales!$F$26*('Plan mensual'!L4+IF(parametros_manuales!$H$26="Todos",'Plan mensual'!L8,0))+parametros_manuales!$G$26*('Plan mensual'!L5+IF(parametros_manuales!$H$26="Todos",'Plan mensual'!L9,0)))*parametros_manuales!$I$26*parametros_manuales!$J$26</f>
        <v>214.9309250984</v>
      </c>
      <c r="K9" s="9" t="n">
        <f aca="false">(parametros_manuales!$D$26*('Plan mensual'!M2+IF(parametros_manuales!$H$26="Todos",'Plan mensual'!M6,0))+parametros_manuales!$E$26*('Plan mensual'!M3+IF(parametros_manuales!$H$26="Todos",'Plan mensual'!M7,0))+parametros_manuales!$F$26*('Plan mensual'!M4+IF(parametros_manuales!$H$26="Todos",'Plan mensual'!M8,0))+parametros_manuales!$G$26*('Plan mensual'!M5+IF(parametros_manuales!$H$26="Todos",'Plan mensual'!M9,0)))*parametros_manuales!$I$26*parametros_manuales!$J$26</f>
        <v>201.49774227975</v>
      </c>
      <c r="L9" s="9" t="n">
        <f aca="false">(parametros_manuales!$D$26*('Plan mensual'!N2+IF(parametros_manuales!$H$26="Todos",'Plan mensual'!N6,0))+parametros_manuales!$E$26*('Plan mensual'!N3+IF(parametros_manuales!$H$26="Todos",'Plan mensual'!N7,0))+parametros_manuales!$F$26*('Plan mensual'!N4+IF(parametros_manuales!$H$26="Todos",'Plan mensual'!N8,0))+parametros_manuales!$G$26*('Plan mensual'!N5+IF(parametros_manuales!$H$26="Todos",'Plan mensual'!N9,0)))*parametros_manuales!$I$26*parametros_manuales!$J$26</f>
        <v>188.0645594611</v>
      </c>
      <c r="M9" s="9" t="n">
        <f aca="false">(parametros_manuales!$D$26*('Plan mensual'!O2+IF(parametros_manuales!$H$26="Todos",'Plan mensual'!O6,0))+parametros_manuales!$E$26*('Plan mensual'!O3+IF(parametros_manuales!$H$26="Todos",'Plan mensual'!O7,0))+parametros_manuales!$F$26*('Plan mensual'!O4+IF(parametros_manuales!$H$26="Todos",'Plan mensual'!O8,0))+parametros_manuales!$G$26*('Plan mensual'!O5+IF(parametros_manuales!$H$26="Todos",'Plan mensual'!O9,0)))*parametros_manuales!$I$26*parametros_manuales!$J$26</f>
        <v>295.5300220103</v>
      </c>
      <c r="N9" s="9" t="n">
        <f aca="false">SUM(B9:M9)</f>
        <v>2686.63656373</v>
      </c>
      <c r="O9" s="9" t="n">
        <f aca="false">MAX(B9:M9)</f>
        <v>295.5300220103</v>
      </c>
      <c r="P9" s="43" t="n">
        <f aca="false">O9/(parametros_manuales!$B$7)</f>
        <v>1.97020014673533</v>
      </c>
      <c r="Q9" s="8" t="str">
        <f aca="false">IF(O9=0,"-",INDEX($B$1:$M$1,MATCH(O9,B9:M9,0)))</f>
        <v>Dic</v>
      </c>
    </row>
    <row r="10" customFormat="false" ht="14.25" hidden="false" customHeight="true" outlineLevel="0" collapsed="false">
      <c r="A10" s="8" t="str">
        <f aca="false">parametros_manuales!$B$27</f>
        <v>Soldadura longitudinal</v>
      </c>
      <c r="B10" s="9" t="n">
        <f aca="false">(parametros_manuales!$D$27*('Plan mensual'!D2+IF(parametros_manuales!$H$27="Todos",'Plan mensual'!D6,0))+parametros_manuales!$E$27*('Plan mensual'!D3+IF(parametros_manuales!$H$27="Todos",'Plan mensual'!D7,0))+parametros_manuales!$F$27*('Plan mensual'!D4+IF(parametros_manuales!$H$27="Todos",'Plan mensual'!D8,0))+parametros_manuales!$G$27*('Plan mensual'!D5+IF(parametros_manuales!$H$27="Todos",'Plan mensual'!D9,0)))*parametros_manuales!$I$27*parametros_manuales!$J$27</f>
        <v>268.663656373</v>
      </c>
      <c r="C10" s="9" t="n">
        <f aca="false">(parametros_manuales!$D$27*('Plan mensual'!E2+IF(parametros_manuales!$H$27="Todos",'Plan mensual'!E6,0))+parametros_manuales!$E$27*('Plan mensual'!E3+IF(parametros_manuales!$H$27="Todos",'Plan mensual'!E7,0))+parametros_manuales!$F$27*('Plan mensual'!E4+IF(parametros_manuales!$H$27="Todos",'Plan mensual'!E8,0))+parametros_manuales!$G$27*('Plan mensual'!E5+IF(parametros_manuales!$H$27="Todos",'Plan mensual'!E9,0)))*parametros_manuales!$I$27*parametros_manuales!$J$27</f>
        <v>214.9309250984</v>
      </c>
      <c r="D10" s="9" t="n">
        <f aca="false">(parametros_manuales!$D$27*('Plan mensual'!F2+IF(parametros_manuales!$H$27="Todos",'Plan mensual'!F6,0))+parametros_manuales!$E$27*('Plan mensual'!F3+IF(parametros_manuales!$H$27="Todos",'Plan mensual'!F7,0))+parametros_manuales!$F$27*('Plan mensual'!F4+IF(parametros_manuales!$H$27="Todos",'Plan mensual'!F8,0))+parametros_manuales!$G$27*('Plan mensual'!F5+IF(parametros_manuales!$H$27="Todos",'Plan mensual'!F9,0)))*parametros_manuales!$I$27*parametros_manuales!$J$27</f>
        <v>228.36410791705</v>
      </c>
      <c r="E10" s="9" t="n">
        <f aca="false">(parametros_manuales!$D$27*('Plan mensual'!G2+IF(parametros_manuales!$H$27="Todos",'Plan mensual'!G6,0))+parametros_manuales!$E$27*('Plan mensual'!G3+IF(parametros_manuales!$H$27="Todos",'Plan mensual'!G7,0))+parametros_manuales!$F$27*('Plan mensual'!G4+IF(parametros_manuales!$H$27="Todos",'Plan mensual'!G8,0))+parametros_manuales!$G$27*('Plan mensual'!G5+IF(parametros_manuales!$H$27="Todos",'Plan mensual'!G9,0)))*parametros_manuales!$I$27*parametros_manuales!$J$27</f>
        <v>228.36410791705</v>
      </c>
      <c r="F10" s="9" t="n">
        <f aca="false">(parametros_manuales!$D$27*('Plan mensual'!H2+IF(parametros_manuales!$H$27="Todos",'Plan mensual'!H6,0))+parametros_manuales!$E$27*('Plan mensual'!H3+IF(parametros_manuales!$H$27="Todos",'Plan mensual'!H7,0))+parametros_manuales!$F$27*('Plan mensual'!H4+IF(parametros_manuales!$H$27="Todos",'Plan mensual'!H8,0))+parametros_manuales!$G$27*('Plan mensual'!H5+IF(parametros_manuales!$H$27="Todos",'Plan mensual'!H9,0)))*parametros_manuales!$I$27*parametros_manuales!$J$27</f>
        <v>214.9309250984</v>
      </c>
      <c r="G10" s="9" t="n">
        <f aca="false">(parametros_manuales!$D$27*('Plan mensual'!I2+IF(parametros_manuales!$H$27="Todos",'Plan mensual'!I6,0))+parametros_manuales!$E$27*('Plan mensual'!I3+IF(parametros_manuales!$H$27="Todos",'Plan mensual'!I7,0))+parametros_manuales!$F$27*('Plan mensual'!I4+IF(parametros_manuales!$H$27="Todos",'Plan mensual'!I8,0))+parametros_manuales!$G$27*('Plan mensual'!I5+IF(parametros_manuales!$H$27="Todos",'Plan mensual'!I9,0)))*parametros_manuales!$I$27*parametros_manuales!$J$27</f>
        <v>201.49774227975</v>
      </c>
      <c r="H10" s="9" t="n">
        <f aca="false">(parametros_manuales!$D$27*('Plan mensual'!J2+IF(parametros_manuales!$H$27="Todos",'Plan mensual'!J6,0))+parametros_manuales!$E$27*('Plan mensual'!J3+IF(parametros_manuales!$H$27="Todos",'Plan mensual'!J7,0))+parametros_manuales!$F$27*('Plan mensual'!J4+IF(parametros_manuales!$H$27="Todos",'Plan mensual'!J8,0))+parametros_manuales!$G$27*('Plan mensual'!J5+IF(parametros_manuales!$H$27="Todos",'Plan mensual'!J9,0)))*parametros_manuales!$I$27*parametros_manuales!$J$27</f>
        <v>214.9309250984</v>
      </c>
      <c r="I10" s="9" t="n">
        <f aca="false">(parametros_manuales!$D$27*('Plan mensual'!K2+IF(parametros_manuales!$H$27="Todos",'Plan mensual'!K6,0))+parametros_manuales!$E$27*('Plan mensual'!K3+IF(parametros_manuales!$H$27="Todos",'Plan mensual'!K7,0))+parametros_manuales!$F$27*('Plan mensual'!K4+IF(parametros_manuales!$H$27="Todos",'Plan mensual'!K8,0))+parametros_manuales!$G$27*('Plan mensual'!K5+IF(parametros_manuales!$H$27="Todos",'Plan mensual'!K9,0)))*parametros_manuales!$I$27*parametros_manuales!$J$27</f>
        <v>214.9309250984</v>
      </c>
      <c r="J10" s="9" t="n">
        <f aca="false">(parametros_manuales!$D$27*('Plan mensual'!L2+IF(parametros_manuales!$H$27="Todos",'Plan mensual'!L6,0))+parametros_manuales!$E$27*('Plan mensual'!L3+IF(parametros_manuales!$H$27="Todos",'Plan mensual'!L7,0))+parametros_manuales!$F$27*('Plan mensual'!L4+IF(parametros_manuales!$H$27="Todos",'Plan mensual'!L8,0))+parametros_manuales!$G$27*('Plan mensual'!L5+IF(parametros_manuales!$H$27="Todos",'Plan mensual'!L9,0)))*parametros_manuales!$I$27*parametros_manuales!$J$27</f>
        <v>214.9309250984</v>
      </c>
      <c r="K10" s="9" t="n">
        <f aca="false">(parametros_manuales!$D$27*('Plan mensual'!M2+IF(parametros_manuales!$H$27="Todos",'Plan mensual'!M6,0))+parametros_manuales!$E$27*('Plan mensual'!M3+IF(parametros_manuales!$H$27="Todos",'Plan mensual'!M7,0))+parametros_manuales!$F$27*('Plan mensual'!M4+IF(parametros_manuales!$H$27="Todos",'Plan mensual'!M8,0))+parametros_manuales!$G$27*('Plan mensual'!M5+IF(parametros_manuales!$H$27="Todos",'Plan mensual'!M9,0)))*parametros_manuales!$I$27*parametros_manuales!$J$27</f>
        <v>201.49774227975</v>
      </c>
      <c r="L10" s="9" t="n">
        <f aca="false">(parametros_manuales!$D$27*('Plan mensual'!N2+IF(parametros_manuales!$H$27="Todos",'Plan mensual'!N6,0))+parametros_manuales!$E$27*('Plan mensual'!N3+IF(parametros_manuales!$H$27="Todos",'Plan mensual'!N7,0))+parametros_manuales!$F$27*('Plan mensual'!N4+IF(parametros_manuales!$H$27="Todos",'Plan mensual'!N8,0))+parametros_manuales!$G$27*('Plan mensual'!N5+IF(parametros_manuales!$H$27="Todos",'Plan mensual'!N9,0)))*parametros_manuales!$I$27*parametros_manuales!$J$27</f>
        <v>188.0645594611</v>
      </c>
      <c r="M10" s="9" t="n">
        <f aca="false">(parametros_manuales!$D$27*('Plan mensual'!O2+IF(parametros_manuales!$H$27="Todos",'Plan mensual'!O6,0))+parametros_manuales!$E$27*('Plan mensual'!O3+IF(parametros_manuales!$H$27="Todos",'Plan mensual'!O7,0))+parametros_manuales!$F$27*('Plan mensual'!O4+IF(parametros_manuales!$H$27="Todos",'Plan mensual'!O8,0))+parametros_manuales!$G$27*('Plan mensual'!O5+IF(parametros_manuales!$H$27="Todos",'Plan mensual'!O9,0)))*parametros_manuales!$I$27*parametros_manuales!$J$27</f>
        <v>295.5300220103</v>
      </c>
      <c r="N10" s="9" t="n">
        <f aca="false">SUM(B10:M10)</f>
        <v>2686.63656373</v>
      </c>
      <c r="O10" s="9" t="n">
        <f aca="false">MAX(B10:M10)</f>
        <v>295.5300220103</v>
      </c>
      <c r="P10" s="43" t="n">
        <f aca="false">O10/(parametros_manuales!$B$7)</f>
        <v>1.97020014673533</v>
      </c>
      <c r="Q10" s="8" t="str">
        <f aca="false">IF(O10=0,"-",INDEX($B$1:$M$1,MATCH(O10,B10:M10,0)))</f>
        <v>Dic</v>
      </c>
    </row>
    <row r="11" customFormat="false" ht="14.25" hidden="false" customHeight="true" outlineLevel="0" collapsed="false">
      <c r="A11" s="8" t="str">
        <f aca="false">parametros_manuales!$B$28</f>
        <v>Encastre de fondo</v>
      </c>
      <c r="B11" s="9" t="n">
        <f aca="false">(parametros_manuales!$D$28*('Plan mensual'!D2+IF(parametros_manuales!$H$28="Todos",'Plan mensual'!D6,0))+parametros_manuales!$E$28*('Plan mensual'!D3+IF(parametros_manuales!$H$28="Todos",'Plan mensual'!D7,0))+parametros_manuales!$F$28*('Plan mensual'!D4+IF(parametros_manuales!$H$28="Todos",'Plan mensual'!D8,0))+parametros_manuales!$G$28*('Plan mensual'!D5+IF(parametros_manuales!$H$28="Todos",'Plan mensual'!D9,0)))*parametros_manuales!$I$28*parametros_manuales!$J$28</f>
        <v>770.112041533</v>
      </c>
      <c r="C11" s="9" t="n">
        <f aca="false">(parametros_manuales!$D$28*('Plan mensual'!E2+IF(parametros_manuales!$H$28="Todos",'Plan mensual'!E6,0))+parametros_manuales!$E$28*('Plan mensual'!E3+IF(parametros_manuales!$H$28="Todos",'Plan mensual'!E7,0))+parametros_manuales!$F$28*('Plan mensual'!E4+IF(parametros_manuales!$H$28="Todos",'Plan mensual'!E8,0))+parametros_manuales!$G$28*('Plan mensual'!E5+IF(parametros_manuales!$H$28="Todos",'Plan mensual'!E9,0)))*parametros_manuales!$I$28*parametros_manuales!$J$28</f>
        <v>591.0172139684</v>
      </c>
      <c r="D11" s="9" t="n">
        <f aca="false">(parametros_manuales!$D$28*('Plan mensual'!F2+IF(parametros_manuales!$H$28="Todos",'Plan mensual'!F6,0))+parametros_manuales!$E$28*('Plan mensual'!F3+IF(parametros_manuales!$H$28="Todos",'Plan mensual'!F7,0))+parametros_manuales!$F$28*('Plan mensual'!F4+IF(parametros_manuales!$H$28="Todos",'Plan mensual'!F8,0))+parametros_manuales!$G$28*('Plan mensual'!F5+IF(parametros_manuales!$H$28="Todos",'Plan mensual'!F9,0)))*parametros_manuales!$I$28*parametros_manuales!$J$28</f>
        <v>562.66303135705</v>
      </c>
      <c r="E11" s="9" t="n">
        <f aca="false">(parametros_manuales!$D$28*('Plan mensual'!G2+IF(parametros_manuales!$H$28="Todos",'Plan mensual'!G6,0))+parametros_manuales!$E$28*('Plan mensual'!G3+IF(parametros_manuales!$H$28="Todos",'Plan mensual'!G7,0))+parametros_manuales!$F$28*('Plan mensual'!G4+IF(parametros_manuales!$H$28="Todos",'Plan mensual'!G8,0))+parametros_manuales!$G$28*('Plan mensual'!G5+IF(parametros_manuales!$H$28="Todos",'Plan mensual'!G9,0)))*parametros_manuales!$I$28*parametros_manuales!$J$28</f>
        <v>541.76934864205</v>
      </c>
      <c r="F11" s="9" t="n">
        <f aca="false">(parametros_manuales!$D$28*('Plan mensual'!H2+IF(parametros_manuales!$H$28="Todos",'Plan mensual'!H6,0))+parametros_manuales!$E$28*('Plan mensual'!H3+IF(parametros_manuales!$H$28="Todos",'Plan mensual'!H7,0))+parametros_manuales!$F$28*('Plan mensual'!H4+IF(parametros_manuales!$H$28="Todos",'Plan mensual'!H8,0))+parametros_manuales!$G$28*('Plan mensual'!H5+IF(parametros_manuales!$H$28="Todos",'Plan mensual'!H9,0)))*parametros_manuales!$I$28*parametros_manuales!$J$28</f>
        <v>507.4424831084</v>
      </c>
      <c r="G11" s="9" t="n">
        <f aca="false">(parametros_manuales!$D$28*('Plan mensual'!I2+IF(parametros_manuales!$H$28="Todos",'Plan mensual'!I6,0))+parametros_manuales!$E$28*('Plan mensual'!I3+IF(parametros_manuales!$H$28="Todos",'Plan mensual'!I7,0))+parametros_manuales!$F$28*('Plan mensual'!I4+IF(parametros_manuales!$H$28="Todos",'Plan mensual'!I8,0))+parametros_manuales!$G$28*('Plan mensual'!I5+IF(parametros_manuales!$H$28="Todos",'Plan mensual'!I9,0)))*parametros_manuales!$I$28*parametros_manuales!$J$28</f>
        <v>494.00930028975</v>
      </c>
      <c r="H11" s="9" t="n">
        <f aca="false">(parametros_manuales!$D$28*('Plan mensual'!J2+IF(parametros_manuales!$H$28="Todos",'Plan mensual'!J6,0))+parametros_manuales!$E$28*('Plan mensual'!J3+IF(parametros_manuales!$H$28="Todos",'Plan mensual'!J7,0))+parametros_manuales!$F$28*('Plan mensual'!J4+IF(parametros_manuales!$H$28="Todos",'Plan mensual'!J8,0))+parametros_manuales!$G$28*('Plan mensual'!J5+IF(parametros_manuales!$H$28="Todos",'Plan mensual'!J9,0)))*parametros_manuales!$I$28*parametros_manuales!$J$28</f>
        <v>528.3361658234</v>
      </c>
      <c r="I11" s="9" t="n">
        <f aca="false">(parametros_manuales!$D$28*('Plan mensual'!K2+IF(parametros_manuales!$H$28="Todos",'Plan mensual'!K6,0))+parametros_manuales!$E$28*('Plan mensual'!K3+IF(parametros_manuales!$H$28="Todos",'Plan mensual'!K7,0))+parametros_manuales!$F$28*('Plan mensual'!K4+IF(parametros_manuales!$H$28="Todos",'Plan mensual'!K8,0))+parametros_manuales!$G$28*('Plan mensual'!K5+IF(parametros_manuales!$H$28="Todos",'Plan mensual'!K9,0)))*parametros_manuales!$I$28*parametros_manuales!$J$28</f>
        <v>528.3361658234</v>
      </c>
      <c r="J11" s="9" t="n">
        <f aca="false">(parametros_manuales!$D$28*('Plan mensual'!L2+IF(parametros_manuales!$H$28="Todos",'Plan mensual'!L6,0))+parametros_manuales!$E$28*('Plan mensual'!L3+IF(parametros_manuales!$H$28="Todos",'Plan mensual'!L7,0))+parametros_manuales!$F$28*('Plan mensual'!L4+IF(parametros_manuales!$H$28="Todos",'Plan mensual'!L8,0))+parametros_manuales!$G$28*('Plan mensual'!L5+IF(parametros_manuales!$H$28="Todos",'Plan mensual'!L9,0)))*parametros_manuales!$I$28*parametros_manuales!$J$28</f>
        <v>528.3361658234</v>
      </c>
      <c r="K11" s="9" t="n">
        <f aca="false">(parametros_manuales!$D$28*('Plan mensual'!M2+IF(parametros_manuales!$H$28="Todos",'Plan mensual'!M6,0))+parametros_manuales!$E$28*('Plan mensual'!M3+IF(parametros_manuales!$H$28="Todos",'Plan mensual'!M7,0))+parametros_manuales!$F$28*('Plan mensual'!M4+IF(parametros_manuales!$H$28="Todos",'Plan mensual'!M8,0))+parametros_manuales!$G$28*('Plan mensual'!M5+IF(parametros_manuales!$H$28="Todos",'Plan mensual'!M9,0)))*parametros_manuales!$I$28*parametros_manuales!$J$28</f>
        <v>514.90298300475</v>
      </c>
      <c r="L11" s="9" t="n">
        <f aca="false">(parametros_manuales!$D$28*('Plan mensual'!N2+IF(parametros_manuales!$H$28="Todos",'Plan mensual'!N6,0))+parametros_manuales!$E$28*('Plan mensual'!N3+IF(parametros_manuales!$H$28="Todos",'Plan mensual'!N7,0))+parametros_manuales!$F$28*('Plan mensual'!N4+IF(parametros_manuales!$H$28="Todos",'Plan mensual'!N8,0))+parametros_manuales!$G$28*('Plan mensual'!N5+IF(parametros_manuales!$H$28="Todos",'Plan mensual'!N9,0)))*parametros_manuales!$I$28*parametros_manuales!$J$28</f>
        <v>501.4698001861</v>
      </c>
      <c r="M11" s="9" t="n">
        <f aca="false">(parametros_manuales!$D$28*('Plan mensual'!O2+IF(parametros_manuales!$H$28="Todos",'Plan mensual'!O6,0))+parametros_manuales!$E$28*('Plan mensual'!O3+IF(parametros_manuales!$H$28="Todos",'Plan mensual'!O7,0))+parametros_manuales!$F$28*('Plan mensual'!O4+IF(parametros_manuales!$H$28="Todos",'Plan mensual'!O8,0))+parametros_manuales!$G$28*('Plan mensual'!O5+IF(parametros_manuales!$H$28="Todos",'Plan mensual'!O9,0)))*parametros_manuales!$I$28*parametros_manuales!$J$28</f>
        <v>796.9784071703</v>
      </c>
      <c r="N11" s="9" t="n">
        <f aca="false">SUM(B11:M11)</f>
        <v>6865.37310673</v>
      </c>
      <c r="O11" s="9" t="n">
        <f aca="false">MAX(B11:M11)</f>
        <v>796.9784071703</v>
      </c>
      <c r="P11" s="43" t="n">
        <f aca="false">O11/(parametros_manuales!$B$7)</f>
        <v>5.31318938113533</v>
      </c>
      <c r="Q11" s="8" t="str">
        <f aca="false">IF(O11=0,"-",INDEX($B$1:$M$1,MATCH(O11,B11:M11,0)))</f>
        <v>Dic</v>
      </c>
    </row>
    <row r="12" customFormat="false" ht="14.25" hidden="false" customHeight="true" outlineLevel="0" collapsed="false">
      <c r="A12" s="8" t="str">
        <f aca="false">parametros_manuales!$B$29</f>
        <v>Bordoneado</v>
      </c>
      <c r="B12" s="9" t="n">
        <f aca="false">(parametros_manuales!$D$29*('Plan mensual'!D2+IF(parametros_manuales!$H$29="Todos",'Plan mensual'!D6,0))+parametros_manuales!$E$29*('Plan mensual'!D3+IF(parametros_manuales!$H$29="Todos",'Plan mensual'!D7,0))+parametros_manuales!$F$29*('Plan mensual'!D4+IF(parametros_manuales!$H$29="Todos",'Plan mensual'!D8,0))+parametros_manuales!$G$29*('Plan mensual'!D5+IF(parametros_manuales!$H$29="Todos",'Plan mensual'!D9,0)))*parametros_manuales!$I$29*parametros_manuales!$J$29</f>
        <v>770.112041533</v>
      </c>
      <c r="C12" s="9" t="n">
        <f aca="false">(parametros_manuales!$D$29*('Plan mensual'!E2+IF(parametros_manuales!$H$29="Todos",'Plan mensual'!E6,0))+parametros_manuales!$E$29*('Plan mensual'!E3+IF(parametros_manuales!$H$29="Todos",'Plan mensual'!E7,0))+parametros_manuales!$F$29*('Plan mensual'!E4+IF(parametros_manuales!$H$29="Todos",'Plan mensual'!E8,0))+parametros_manuales!$G$29*('Plan mensual'!E5+IF(parametros_manuales!$H$29="Todos",'Plan mensual'!E9,0)))*parametros_manuales!$I$29*parametros_manuales!$J$29</f>
        <v>591.0172139684</v>
      </c>
      <c r="D12" s="9" t="n">
        <f aca="false">(parametros_manuales!$D$29*('Plan mensual'!F2+IF(parametros_manuales!$H$29="Todos",'Plan mensual'!F6,0))+parametros_manuales!$E$29*('Plan mensual'!F3+IF(parametros_manuales!$H$29="Todos",'Plan mensual'!F7,0))+parametros_manuales!$F$29*('Plan mensual'!F4+IF(parametros_manuales!$H$29="Todos",'Plan mensual'!F8,0))+parametros_manuales!$G$29*('Plan mensual'!F5+IF(parametros_manuales!$H$29="Todos",'Plan mensual'!F9,0)))*parametros_manuales!$I$29*parametros_manuales!$J$29</f>
        <v>562.66303135705</v>
      </c>
      <c r="E12" s="9" t="n">
        <f aca="false">(parametros_manuales!$D$29*('Plan mensual'!G2+IF(parametros_manuales!$H$29="Todos",'Plan mensual'!G6,0))+parametros_manuales!$E$29*('Plan mensual'!G3+IF(parametros_manuales!$H$29="Todos",'Plan mensual'!G7,0))+parametros_manuales!$F$29*('Plan mensual'!G4+IF(parametros_manuales!$H$29="Todos",'Plan mensual'!G8,0))+parametros_manuales!$G$29*('Plan mensual'!G5+IF(parametros_manuales!$H$29="Todos",'Plan mensual'!G9,0)))*parametros_manuales!$I$29*parametros_manuales!$J$29</f>
        <v>541.76934864205</v>
      </c>
      <c r="F12" s="9" t="n">
        <f aca="false">(parametros_manuales!$D$29*('Plan mensual'!H2+IF(parametros_manuales!$H$29="Todos",'Plan mensual'!H6,0))+parametros_manuales!$E$29*('Plan mensual'!H3+IF(parametros_manuales!$H$29="Todos",'Plan mensual'!H7,0))+parametros_manuales!$F$29*('Plan mensual'!H4+IF(parametros_manuales!$H$29="Todos",'Plan mensual'!H8,0))+parametros_manuales!$G$29*('Plan mensual'!H5+IF(parametros_manuales!$H$29="Todos",'Plan mensual'!H9,0)))*parametros_manuales!$I$29*parametros_manuales!$J$29</f>
        <v>507.4424831084</v>
      </c>
      <c r="G12" s="9" t="n">
        <f aca="false">(parametros_manuales!$D$29*('Plan mensual'!I2+IF(parametros_manuales!$H$29="Todos",'Plan mensual'!I6,0))+parametros_manuales!$E$29*('Plan mensual'!I3+IF(parametros_manuales!$H$29="Todos",'Plan mensual'!I7,0))+parametros_manuales!$F$29*('Plan mensual'!I4+IF(parametros_manuales!$H$29="Todos",'Plan mensual'!I8,0))+parametros_manuales!$G$29*('Plan mensual'!I5+IF(parametros_manuales!$H$29="Todos",'Plan mensual'!I9,0)))*parametros_manuales!$I$29*parametros_manuales!$J$29</f>
        <v>494.00930028975</v>
      </c>
      <c r="H12" s="9" t="n">
        <f aca="false">(parametros_manuales!$D$29*('Plan mensual'!J2+IF(parametros_manuales!$H$29="Todos",'Plan mensual'!J6,0))+parametros_manuales!$E$29*('Plan mensual'!J3+IF(parametros_manuales!$H$29="Todos",'Plan mensual'!J7,0))+parametros_manuales!$F$29*('Plan mensual'!J4+IF(parametros_manuales!$H$29="Todos",'Plan mensual'!J8,0))+parametros_manuales!$G$29*('Plan mensual'!J5+IF(parametros_manuales!$H$29="Todos",'Plan mensual'!J9,0)))*parametros_manuales!$I$29*parametros_manuales!$J$29</f>
        <v>528.3361658234</v>
      </c>
      <c r="I12" s="9" t="n">
        <f aca="false">(parametros_manuales!$D$29*('Plan mensual'!K2+IF(parametros_manuales!$H$29="Todos",'Plan mensual'!K6,0))+parametros_manuales!$E$29*('Plan mensual'!K3+IF(parametros_manuales!$H$29="Todos",'Plan mensual'!K7,0))+parametros_manuales!$F$29*('Plan mensual'!K4+IF(parametros_manuales!$H$29="Todos",'Plan mensual'!K8,0))+parametros_manuales!$G$29*('Plan mensual'!K5+IF(parametros_manuales!$H$29="Todos",'Plan mensual'!K9,0)))*parametros_manuales!$I$29*parametros_manuales!$J$29</f>
        <v>528.3361658234</v>
      </c>
      <c r="J12" s="9" t="n">
        <f aca="false">(parametros_manuales!$D$29*('Plan mensual'!L2+IF(parametros_manuales!$H$29="Todos",'Plan mensual'!L6,0))+parametros_manuales!$E$29*('Plan mensual'!L3+IF(parametros_manuales!$H$29="Todos",'Plan mensual'!L7,0))+parametros_manuales!$F$29*('Plan mensual'!L4+IF(parametros_manuales!$H$29="Todos",'Plan mensual'!L8,0))+parametros_manuales!$G$29*('Plan mensual'!L5+IF(parametros_manuales!$H$29="Todos",'Plan mensual'!L9,0)))*parametros_manuales!$I$29*parametros_manuales!$J$29</f>
        <v>528.3361658234</v>
      </c>
      <c r="K12" s="9" t="n">
        <f aca="false">(parametros_manuales!$D$29*('Plan mensual'!M2+IF(parametros_manuales!$H$29="Todos",'Plan mensual'!M6,0))+parametros_manuales!$E$29*('Plan mensual'!M3+IF(parametros_manuales!$H$29="Todos",'Plan mensual'!M7,0))+parametros_manuales!$F$29*('Plan mensual'!M4+IF(parametros_manuales!$H$29="Todos",'Plan mensual'!M8,0))+parametros_manuales!$G$29*('Plan mensual'!M5+IF(parametros_manuales!$H$29="Todos",'Plan mensual'!M9,0)))*parametros_manuales!$I$29*parametros_manuales!$J$29</f>
        <v>514.90298300475</v>
      </c>
      <c r="L12" s="9" t="n">
        <f aca="false">(parametros_manuales!$D$29*('Plan mensual'!N2+IF(parametros_manuales!$H$29="Todos",'Plan mensual'!N6,0))+parametros_manuales!$E$29*('Plan mensual'!N3+IF(parametros_manuales!$H$29="Todos",'Plan mensual'!N7,0))+parametros_manuales!$F$29*('Plan mensual'!N4+IF(parametros_manuales!$H$29="Todos",'Plan mensual'!N8,0))+parametros_manuales!$G$29*('Plan mensual'!N5+IF(parametros_manuales!$H$29="Todos",'Plan mensual'!N9,0)))*parametros_manuales!$I$29*parametros_manuales!$J$29</f>
        <v>501.4698001861</v>
      </c>
      <c r="M12" s="9" t="n">
        <f aca="false">(parametros_manuales!$D$29*('Plan mensual'!O2+IF(parametros_manuales!$H$29="Todos",'Plan mensual'!O6,0))+parametros_manuales!$E$29*('Plan mensual'!O3+IF(parametros_manuales!$H$29="Todos",'Plan mensual'!O7,0))+parametros_manuales!$F$29*('Plan mensual'!O4+IF(parametros_manuales!$H$29="Todos",'Plan mensual'!O8,0))+parametros_manuales!$G$29*('Plan mensual'!O5+IF(parametros_manuales!$H$29="Todos",'Plan mensual'!O9,0)))*parametros_manuales!$I$29*parametros_manuales!$J$29</f>
        <v>796.9784071703</v>
      </c>
      <c r="N12" s="9" t="n">
        <f aca="false">SUM(B12:M12)</f>
        <v>6865.37310673</v>
      </c>
      <c r="O12" s="9" t="n">
        <f aca="false">MAX(B12:M12)</f>
        <v>796.9784071703</v>
      </c>
      <c r="P12" s="43" t="n">
        <f aca="false">O12/(parametros_manuales!$B$7)</f>
        <v>5.31318938113533</v>
      </c>
      <c r="Q12" s="8" t="str">
        <f aca="false">IF(O12=0,"-",INDEX($B$1:$M$1,MATCH(O12,B12:M12,0)))</f>
        <v>Dic</v>
      </c>
    </row>
    <row r="13" customFormat="false" ht="14.25" hidden="false" customHeight="true" outlineLevel="0" collapsed="false">
      <c r="A13" s="8" t="str">
        <f aca="false">parametros_manuales!$B$30</f>
        <v>Soldadura circunferencial de cúpula y fondo</v>
      </c>
      <c r="B13" s="9" t="n">
        <f aca="false">(parametros_manuales!$D$30*('Plan mensual'!D2+IF(parametros_manuales!$H$30="Todos",'Plan mensual'!D6,0))+parametros_manuales!$E$30*('Plan mensual'!D3+IF(parametros_manuales!$H$30="Todos",'Plan mensual'!D7,0))+parametros_manuales!$F$30*('Plan mensual'!D4+IF(parametros_manuales!$H$30="Todos",'Plan mensual'!D8,0))+parametros_manuales!$G$30*('Plan mensual'!D5+IF(parametros_manuales!$H$30="Todos",'Plan mensual'!D9,0)))*parametros_manuales!$I$30*parametros_manuales!$J$30</f>
        <v>770.112041533</v>
      </c>
      <c r="C13" s="9" t="n">
        <f aca="false">(parametros_manuales!$D$30*('Plan mensual'!E2+IF(parametros_manuales!$H$30="Todos",'Plan mensual'!E6,0))+parametros_manuales!$E$30*('Plan mensual'!E3+IF(parametros_manuales!$H$30="Todos",'Plan mensual'!E7,0))+parametros_manuales!$F$30*('Plan mensual'!E4+IF(parametros_manuales!$H$30="Todos",'Plan mensual'!E8,0))+parametros_manuales!$G$30*('Plan mensual'!E5+IF(parametros_manuales!$H$30="Todos",'Plan mensual'!E9,0)))*parametros_manuales!$I$30*parametros_manuales!$J$30</f>
        <v>591.0172139684</v>
      </c>
      <c r="D13" s="9" t="n">
        <f aca="false">(parametros_manuales!$D$30*('Plan mensual'!F2+IF(parametros_manuales!$H$30="Todos",'Plan mensual'!F6,0))+parametros_manuales!$E$30*('Plan mensual'!F3+IF(parametros_manuales!$H$30="Todos",'Plan mensual'!F7,0))+parametros_manuales!$F$30*('Plan mensual'!F4+IF(parametros_manuales!$H$30="Todos",'Plan mensual'!F8,0))+parametros_manuales!$G$30*('Plan mensual'!F5+IF(parametros_manuales!$H$30="Todos",'Plan mensual'!F9,0)))*parametros_manuales!$I$30*parametros_manuales!$J$30</f>
        <v>562.66303135705</v>
      </c>
      <c r="E13" s="9" t="n">
        <f aca="false">(parametros_manuales!$D$30*('Plan mensual'!G2+IF(parametros_manuales!$H$30="Todos",'Plan mensual'!G6,0))+parametros_manuales!$E$30*('Plan mensual'!G3+IF(parametros_manuales!$H$30="Todos",'Plan mensual'!G7,0))+parametros_manuales!$F$30*('Plan mensual'!G4+IF(parametros_manuales!$H$30="Todos",'Plan mensual'!G8,0))+parametros_manuales!$G$30*('Plan mensual'!G5+IF(parametros_manuales!$H$30="Todos",'Plan mensual'!G9,0)))*parametros_manuales!$I$30*parametros_manuales!$J$30</f>
        <v>541.76934864205</v>
      </c>
      <c r="F13" s="9" t="n">
        <f aca="false">(parametros_manuales!$D$30*('Plan mensual'!H2+IF(parametros_manuales!$H$30="Todos",'Plan mensual'!H6,0))+parametros_manuales!$E$30*('Plan mensual'!H3+IF(parametros_manuales!$H$30="Todos",'Plan mensual'!H7,0))+parametros_manuales!$F$30*('Plan mensual'!H4+IF(parametros_manuales!$H$30="Todos",'Plan mensual'!H8,0))+parametros_manuales!$G$30*('Plan mensual'!H5+IF(parametros_manuales!$H$30="Todos",'Plan mensual'!H9,0)))*parametros_manuales!$I$30*parametros_manuales!$J$30</f>
        <v>507.4424831084</v>
      </c>
      <c r="G13" s="9" t="n">
        <f aca="false">(parametros_manuales!$D$30*('Plan mensual'!I2+IF(parametros_manuales!$H$30="Todos",'Plan mensual'!I6,0))+parametros_manuales!$E$30*('Plan mensual'!I3+IF(parametros_manuales!$H$30="Todos",'Plan mensual'!I7,0))+parametros_manuales!$F$30*('Plan mensual'!I4+IF(parametros_manuales!$H$30="Todos",'Plan mensual'!I8,0))+parametros_manuales!$G$30*('Plan mensual'!I5+IF(parametros_manuales!$H$30="Todos",'Plan mensual'!I9,0)))*parametros_manuales!$I$30*parametros_manuales!$J$30</f>
        <v>494.00930028975</v>
      </c>
      <c r="H13" s="9" t="n">
        <f aca="false">(parametros_manuales!$D$30*('Plan mensual'!J2+IF(parametros_manuales!$H$30="Todos",'Plan mensual'!J6,0))+parametros_manuales!$E$30*('Plan mensual'!J3+IF(parametros_manuales!$H$30="Todos",'Plan mensual'!J7,0))+parametros_manuales!$F$30*('Plan mensual'!J4+IF(parametros_manuales!$H$30="Todos",'Plan mensual'!J8,0))+parametros_manuales!$G$30*('Plan mensual'!J5+IF(parametros_manuales!$H$30="Todos",'Plan mensual'!J9,0)))*parametros_manuales!$I$30*parametros_manuales!$J$30</f>
        <v>528.3361658234</v>
      </c>
      <c r="I13" s="9" t="n">
        <f aca="false">(parametros_manuales!$D$30*('Plan mensual'!K2+IF(parametros_manuales!$H$30="Todos",'Plan mensual'!K6,0))+parametros_manuales!$E$30*('Plan mensual'!K3+IF(parametros_manuales!$H$30="Todos",'Plan mensual'!K7,0))+parametros_manuales!$F$30*('Plan mensual'!K4+IF(parametros_manuales!$H$30="Todos",'Plan mensual'!K8,0))+parametros_manuales!$G$30*('Plan mensual'!K5+IF(parametros_manuales!$H$30="Todos",'Plan mensual'!K9,0)))*parametros_manuales!$I$30*parametros_manuales!$J$30</f>
        <v>528.3361658234</v>
      </c>
      <c r="J13" s="9" t="n">
        <f aca="false">(parametros_manuales!$D$30*('Plan mensual'!L2+IF(parametros_manuales!$H$30="Todos",'Plan mensual'!L6,0))+parametros_manuales!$E$30*('Plan mensual'!L3+IF(parametros_manuales!$H$30="Todos",'Plan mensual'!L7,0))+parametros_manuales!$F$30*('Plan mensual'!L4+IF(parametros_manuales!$H$30="Todos",'Plan mensual'!L8,0))+parametros_manuales!$G$30*('Plan mensual'!L5+IF(parametros_manuales!$H$30="Todos",'Plan mensual'!L9,0)))*parametros_manuales!$I$30*parametros_manuales!$J$30</f>
        <v>528.3361658234</v>
      </c>
      <c r="K13" s="9" t="n">
        <f aca="false">(parametros_manuales!$D$30*('Plan mensual'!M2+IF(parametros_manuales!$H$30="Todos",'Plan mensual'!M6,0))+parametros_manuales!$E$30*('Plan mensual'!M3+IF(parametros_manuales!$H$30="Todos",'Plan mensual'!M7,0))+parametros_manuales!$F$30*('Plan mensual'!M4+IF(parametros_manuales!$H$30="Todos",'Plan mensual'!M8,0))+parametros_manuales!$G$30*('Plan mensual'!M5+IF(parametros_manuales!$H$30="Todos",'Plan mensual'!M9,0)))*parametros_manuales!$I$30*parametros_manuales!$J$30</f>
        <v>514.90298300475</v>
      </c>
      <c r="L13" s="9" t="n">
        <f aca="false">(parametros_manuales!$D$30*('Plan mensual'!N2+IF(parametros_manuales!$H$30="Todos",'Plan mensual'!N6,0))+parametros_manuales!$E$30*('Plan mensual'!N3+IF(parametros_manuales!$H$30="Todos",'Plan mensual'!N7,0))+parametros_manuales!$F$30*('Plan mensual'!N4+IF(parametros_manuales!$H$30="Todos",'Plan mensual'!N8,0))+parametros_manuales!$G$30*('Plan mensual'!N5+IF(parametros_manuales!$H$30="Todos",'Plan mensual'!N9,0)))*parametros_manuales!$I$30*parametros_manuales!$J$30</f>
        <v>501.4698001861</v>
      </c>
      <c r="M13" s="9" t="n">
        <f aca="false">(parametros_manuales!$D$30*('Plan mensual'!O2+IF(parametros_manuales!$H$30="Todos",'Plan mensual'!O6,0))+parametros_manuales!$E$30*('Plan mensual'!O3+IF(parametros_manuales!$H$30="Todos",'Plan mensual'!O7,0))+parametros_manuales!$F$30*('Plan mensual'!O4+IF(parametros_manuales!$H$30="Todos",'Plan mensual'!O8,0))+parametros_manuales!$G$30*('Plan mensual'!O5+IF(parametros_manuales!$H$30="Todos",'Plan mensual'!O9,0)))*parametros_manuales!$I$30*parametros_manuales!$J$30</f>
        <v>796.9784071703</v>
      </c>
      <c r="N13" s="9" t="n">
        <f aca="false">SUM(B13:M13)</f>
        <v>6865.37310673</v>
      </c>
      <c r="O13" s="9" t="n">
        <f aca="false">MAX(B13:M13)</f>
        <v>796.9784071703</v>
      </c>
      <c r="P13" s="43" t="n">
        <f aca="false">O13/(parametros_manuales!$B$7)</f>
        <v>5.31318938113533</v>
      </c>
      <c r="Q13" s="8" t="str">
        <f aca="false">IF(O13=0,"-",INDEX($B$1:$M$1,MATCH(O13,B13:M13,0)))</f>
        <v>Dic</v>
      </c>
    </row>
    <row r="14" customFormat="false" ht="14.25" hidden="false" customHeight="true" outlineLevel="0" collapsed="false">
      <c r="A14" s="8" t="str">
        <f aca="false">parametros_manuales!$B$31</f>
        <v>Control de calidad — Espesor</v>
      </c>
      <c r="B14" s="9" t="n">
        <f aca="false">(parametros_manuales!$D$31*('Plan mensual'!D2+IF(parametros_manuales!$H$31="Todos",'Plan mensual'!D6,0))+parametros_manuales!$E$31*('Plan mensual'!D3+IF(parametros_manuales!$H$31="Todos",'Plan mensual'!D7,0))+parametros_manuales!$F$31*('Plan mensual'!D4+IF(parametros_manuales!$H$31="Todos",'Plan mensual'!D8,0))+parametros_manuales!$G$31*('Plan mensual'!D5+IF(parametros_manuales!$H$31="Todos",'Plan mensual'!D9,0)))*parametros_manuales!$I$31*parametros_manuales!$J$31</f>
        <v>15.40224083066</v>
      </c>
      <c r="C14" s="9" t="n">
        <f aca="false">(parametros_manuales!$D$31*('Plan mensual'!E2+IF(parametros_manuales!$H$31="Todos",'Plan mensual'!E6,0))+parametros_manuales!$E$31*('Plan mensual'!E3+IF(parametros_manuales!$H$31="Todos",'Plan mensual'!E7,0))+parametros_manuales!$F$31*('Plan mensual'!E4+IF(parametros_manuales!$H$31="Todos",'Plan mensual'!E8,0))+parametros_manuales!$G$31*('Plan mensual'!E5+IF(parametros_manuales!$H$31="Todos",'Plan mensual'!E9,0)))*parametros_manuales!$I$31*parametros_manuales!$J$31</f>
        <v>11.820344279368</v>
      </c>
      <c r="D14" s="9" t="n">
        <f aca="false">(parametros_manuales!$D$31*('Plan mensual'!F2+IF(parametros_manuales!$H$31="Todos",'Plan mensual'!F6,0))+parametros_manuales!$E$31*('Plan mensual'!F3+IF(parametros_manuales!$H$31="Todos",'Plan mensual'!F7,0))+parametros_manuales!$F$31*('Plan mensual'!F4+IF(parametros_manuales!$H$31="Todos",'Plan mensual'!F8,0))+parametros_manuales!$G$31*('Plan mensual'!F5+IF(parametros_manuales!$H$31="Todos",'Plan mensual'!F9,0)))*parametros_manuales!$I$31*parametros_manuales!$J$31</f>
        <v>11.253260627141</v>
      </c>
      <c r="E14" s="9" t="n">
        <f aca="false">(parametros_manuales!$D$31*('Plan mensual'!G2+IF(parametros_manuales!$H$31="Todos",'Plan mensual'!G6,0))+parametros_manuales!$E$31*('Plan mensual'!G3+IF(parametros_manuales!$H$31="Todos",'Plan mensual'!G7,0))+parametros_manuales!$F$31*('Plan mensual'!G4+IF(parametros_manuales!$H$31="Todos",'Plan mensual'!G8,0))+parametros_manuales!$G$31*('Plan mensual'!G5+IF(parametros_manuales!$H$31="Todos",'Plan mensual'!G9,0)))*parametros_manuales!$I$31*parametros_manuales!$J$31</f>
        <v>10.835386972841</v>
      </c>
      <c r="F14" s="9" t="n">
        <f aca="false">(parametros_manuales!$D$31*('Plan mensual'!H2+IF(parametros_manuales!$H$31="Todos",'Plan mensual'!H6,0))+parametros_manuales!$E$31*('Plan mensual'!H3+IF(parametros_manuales!$H$31="Todos",'Plan mensual'!H7,0))+parametros_manuales!$F$31*('Plan mensual'!H4+IF(parametros_manuales!$H$31="Todos",'Plan mensual'!H8,0))+parametros_manuales!$G$31*('Plan mensual'!H5+IF(parametros_manuales!$H$31="Todos",'Plan mensual'!H9,0)))*parametros_manuales!$I$31*parametros_manuales!$J$31</f>
        <v>10.148849662168</v>
      </c>
      <c r="G14" s="9" t="n">
        <f aca="false">(parametros_manuales!$D$31*('Plan mensual'!I2+IF(parametros_manuales!$H$31="Todos",'Plan mensual'!I6,0))+parametros_manuales!$E$31*('Plan mensual'!I3+IF(parametros_manuales!$H$31="Todos",'Plan mensual'!I7,0))+parametros_manuales!$F$31*('Plan mensual'!I4+IF(parametros_manuales!$H$31="Todos",'Plan mensual'!I8,0))+parametros_manuales!$G$31*('Plan mensual'!I5+IF(parametros_manuales!$H$31="Todos",'Plan mensual'!I9,0)))*parametros_manuales!$I$31*parametros_manuales!$J$31</f>
        <v>9.880186005795</v>
      </c>
      <c r="H14" s="9" t="n">
        <f aca="false">(parametros_manuales!$D$31*('Plan mensual'!J2+IF(parametros_manuales!$H$31="Todos",'Plan mensual'!J6,0))+parametros_manuales!$E$31*('Plan mensual'!J3+IF(parametros_manuales!$H$31="Todos",'Plan mensual'!J7,0))+parametros_manuales!$F$31*('Plan mensual'!J4+IF(parametros_manuales!$H$31="Todos",'Plan mensual'!J8,0))+parametros_manuales!$G$31*('Plan mensual'!J5+IF(parametros_manuales!$H$31="Todos",'Plan mensual'!J9,0)))*parametros_manuales!$I$31*parametros_manuales!$J$31</f>
        <v>10.566723316468</v>
      </c>
      <c r="I14" s="9" t="n">
        <f aca="false">(parametros_manuales!$D$31*('Plan mensual'!K2+IF(parametros_manuales!$H$31="Todos",'Plan mensual'!K6,0))+parametros_manuales!$E$31*('Plan mensual'!K3+IF(parametros_manuales!$H$31="Todos",'Plan mensual'!K7,0))+parametros_manuales!$F$31*('Plan mensual'!K4+IF(parametros_manuales!$H$31="Todos",'Plan mensual'!K8,0))+parametros_manuales!$G$31*('Plan mensual'!K5+IF(parametros_manuales!$H$31="Todos",'Plan mensual'!K9,0)))*parametros_manuales!$I$31*parametros_manuales!$J$31</f>
        <v>10.566723316468</v>
      </c>
      <c r="J14" s="9" t="n">
        <f aca="false">(parametros_manuales!$D$31*('Plan mensual'!L2+IF(parametros_manuales!$H$31="Todos",'Plan mensual'!L6,0))+parametros_manuales!$E$31*('Plan mensual'!L3+IF(parametros_manuales!$H$31="Todos",'Plan mensual'!L7,0))+parametros_manuales!$F$31*('Plan mensual'!L4+IF(parametros_manuales!$H$31="Todos",'Plan mensual'!L8,0))+parametros_manuales!$G$31*('Plan mensual'!L5+IF(parametros_manuales!$H$31="Todos",'Plan mensual'!L9,0)))*parametros_manuales!$I$31*parametros_manuales!$J$31</f>
        <v>10.566723316468</v>
      </c>
      <c r="K14" s="9" t="n">
        <f aca="false">(parametros_manuales!$D$31*('Plan mensual'!M2+IF(parametros_manuales!$H$31="Todos",'Plan mensual'!M6,0))+parametros_manuales!$E$31*('Plan mensual'!M3+IF(parametros_manuales!$H$31="Todos",'Plan mensual'!M7,0))+parametros_manuales!$F$31*('Plan mensual'!M4+IF(parametros_manuales!$H$31="Todos",'Plan mensual'!M8,0))+parametros_manuales!$G$31*('Plan mensual'!M5+IF(parametros_manuales!$H$31="Todos",'Plan mensual'!M9,0)))*parametros_manuales!$I$31*parametros_manuales!$J$31</f>
        <v>10.298059660095</v>
      </c>
      <c r="L14" s="9" t="n">
        <f aca="false">(parametros_manuales!$D$31*('Plan mensual'!N2+IF(parametros_manuales!$H$31="Todos",'Plan mensual'!N6,0))+parametros_manuales!$E$31*('Plan mensual'!N3+IF(parametros_manuales!$H$31="Todos",'Plan mensual'!N7,0))+parametros_manuales!$F$31*('Plan mensual'!N4+IF(parametros_manuales!$H$31="Todos",'Plan mensual'!N8,0))+parametros_manuales!$G$31*('Plan mensual'!N5+IF(parametros_manuales!$H$31="Todos",'Plan mensual'!N9,0)))*parametros_manuales!$I$31*parametros_manuales!$J$31</f>
        <v>10.029396003722</v>
      </c>
      <c r="M14" s="9" t="n">
        <f aca="false">(parametros_manuales!$D$31*('Plan mensual'!O2+IF(parametros_manuales!$H$31="Todos",'Plan mensual'!O6,0))+parametros_manuales!$E$31*('Plan mensual'!O3+IF(parametros_manuales!$H$31="Todos",'Plan mensual'!O7,0))+parametros_manuales!$F$31*('Plan mensual'!O4+IF(parametros_manuales!$H$31="Todos",'Plan mensual'!O8,0))+parametros_manuales!$G$31*('Plan mensual'!O5+IF(parametros_manuales!$H$31="Todos",'Plan mensual'!O9,0)))*parametros_manuales!$I$31*parametros_manuales!$J$31</f>
        <v>15.939568143406</v>
      </c>
      <c r="N14" s="9" t="n">
        <f aca="false">SUM(B14:M14)</f>
        <v>137.3074621346</v>
      </c>
      <c r="O14" s="9" t="n">
        <f aca="false">MAX(B14:M14)</f>
        <v>15.939568143406</v>
      </c>
      <c r="P14" s="43" t="n">
        <f aca="false">O14/(parametros_manuales!$B$7)</f>
        <v>0.106263787622707</v>
      </c>
      <c r="Q14" s="8" t="str">
        <f aca="false">IF(O14=0,"-",INDEX($B$1:$M$1,MATCH(O14,B14:M14,0)))</f>
        <v>Dic</v>
      </c>
    </row>
    <row r="15" customFormat="false" ht="14.25" hidden="false" customHeight="true" outlineLevel="0" collapsed="false">
      <c r="A15" s="8" t="str">
        <f aca="false">parametros_manuales!$B$32</f>
        <v>Prueba hidráulica</v>
      </c>
      <c r="B15" s="9" t="n">
        <f aca="false">(parametros_manuales!$D$32*('Plan mensual'!D2+IF(parametros_manuales!$H$32="Todos",'Plan mensual'!D6,0))+parametros_manuales!$E$32*('Plan mensual'!D3+IF(parametros_manuales!$H$32="Todos",'Plan mensual'!D7,0))+parametros_manuales!$F$32*('Plan mensual'!D4+IF(parametros_manuales!$H$32="Todos",'Plan mensual'!D8,0))+parametros_manuales!$G$32*('Plan mensual'!D5+IF(parametros_manuales!$H$32="Todos",'Plan mensual'!D9,0)))*parametros_manuales!$I$32*parametros_manuales!$J$32</f>
        <v>770.112041533</v>
      </c>
      <c r="C15" s="9" t="n">
        <f aca="false">(parametros_manuales!$D$32*('Plan mensual'!E2+IF(parametros_manuales!$H$32="Todos",'Plan mensual'!E6,0))+parametros_manuales!$E$32*('Plan mensual'!E3+IF(parametros_manuales!$H$32="Todos",'Plan mensual'!E7,0))+parametros_manuales!$F$32*('Plan mensual'!E4+IF(parametros_manuales!$H$32="Todos",'Plan mensual'!E8,0))+parametros_manuales!$G$32*('Plan mensual'!E5+IF(parametros_manuales!$H$32="Todos",'Plan mensual'!E9,0)))*parametros_manuales!$I$32*parametros_manuales!$J$32</f>
        <v>591.0172139684</v>
      </c>
      <c r="D15" s="9" t="n">
        <f aca="false">(parametros_manuales!$D$32*('Plan mensual'!F2+IF(parametros_manuales!$H$32="Todos",'Plan mensual'!F6,0))+parametros_manuales!$E$32*('Plan mensual'!F3+IF(parametros_manuales!$H$32="Todos",'Plan mensual'!F7,0))+parametros_manuales!$F$32*('Plan mensual'!F4+IF(parametros_manuales!$H$32="Todos",'Plan mensual'!F8,0))+parametros_manuales!$G$32*('Plan mensual'!F5+IF(parametros_manuales!$H$32="Todos",'Plan mensual'!F9,0)))*parametros_manuales!$I$32*parametros_manuales!$J$32</f>
        <v>562.66303135705</v>
      </c>
      <c r="E15" s="9" t="n">
        <f aca="false">(parametros_manuales!$D$32*('Plan mensual'!G2+IF(parametros_manuales!$H$32="Todos",'Plan mensual'!G6,0))+parametros_manuales!$E$32*('Plan mensual'!G3+IF(parametros_manuales!$H$32="Todos",'Plan mensual'!G7,0))+parametros_manuales!$F$32*('Plan mensual'!G4+IF(parametros_manuales!$H$32="Todos",'Plan mensual'!G8,0))+parametros_manuales!$G$32*('Plan mensual'!G5+IF(parametros_manuales!$H$32="Todos",'Plan mensual'!G9,0)))*parametros_manuales!$I$32*parametros_manuales!$J$32</f>
        <v>541.76934864205</v>
      </c>
      <c r="F15" s="9" t="n">
        <f aca="false">(parametros_manuales!$D$32*('Plan mensual'!H2+IF(parametros_manuales!$H$32="Todos",'Plan mensual'!H6,0))+parametros_manuales!$E$32*('Plan mensual'!H3+IF(parametros_manuales!$H$32="Todos",'Plan mensual'!H7,0))+parametros_manuales!$F$32*('Plan mensual'!H4+IF(parametros_manuales!$H$32="Todos",'Plan mensual'!H8,0))+parametros_manuales!$G$32*('Plan mensual'!H5+IF(parametros_manuales!$H$32="Todos",'Plan mensual'!H9,0)))*parametros_manuales!$I$32*parametros_manuales!$J$32</f>
        <v>507.4424831084</v>
      </c>
      <c r="G15" s="9" t="n">
        <f aca="false">(parametros_manuales!$D$32*('Plan mensual'!I2+IF(parametros_manuales!$H$32="Todos",'Plan mensual'!I6,0))+parametros_manuales!$E$32*('Plan mensual'!I3+IF(parametros_manuales!$H$32="Todos",'Plan mensual'!I7,0))+parametros_manuales!$F$32*('Plan mensual'!I4+IF(parametros_manuales!$H$32="Todos",'Plan mensual'!I8,0))+parametros_manuales!$G$32*('Plan mensual'!I5+IF(parametros_manuales!$H$32="Todos",'Plan mensual'!I9,0)))*parametros_manuales!$I$32*parametros_manuales!$J$32</f>
        <v>494.00930028975</v>
      </c>
      <c r="H15" s="9" t="n">
        <f aca="false">(parametros_manuales!$D$32*('Plan mensual'!J2+IF(parametros_manuales!$H$32="Todos",'Plan mensual'!J6,0))+parametros_manuales!$E$32*('Plan mensual'!J3+IF(parametros_manuales!$H$32="Todos",'Plan mensual'!J7,0))+parametros_manuales!$F$32*('Plan mensual'!J4+IF(parametros_manuales!$H$32="Todos",'Plan mensual'!J8,0))+parametros_manuales!$G$32*('Plan mensual'!J5+IF(parametros_manuales!$H$32="Todos",'Plan mensual'!J9,0)))*parametros_manuales!$I$32*parametros_manuales!$J$32</f>
        <v>528.3361658234</v>
      </c>
      <c r="I15" s="9" t="n">
        <f aca="false">(parametros_manuales!$D$32*('Plan mensual'!K2+IF(parametros_manuales!$H$32="Todos",'Plan mensual'!K6,0))+parametros_manuales!$E$32*('Plan mensual'!K3+IF(parametros_manuales!$H$32="Todos",'Plan mensual'!K7,0))+parametros_manuales!$F$32*('Plan mensual'!K4+IF(parametros_manuales!$H$32="Todos",'Plan mensual'!K8,0))+parametros_manuales!$G$32*('Plan mensual'!K5+IF(parametros_manuales!$H$32="Todos",'Plan mensual'!K9,0)))*parametros_manuales!$I$32*parametros_manuales!$J$32</f>
        <v>528.3361658234</v>
      </c>
      <c r="J15" s="9" t="n">
        <f aca="false">(parametros_manuales!$D$32*('Plan mensual'!L2+IF(parametros_manuales!$H$32="Todos",'Plan mensual'!L6,0))+parametros_manuales!$E$32*('Plan mensual'!L3+IF(parametros_manuales!$H$32="Todos",'Plan mensual'!L7,0))+parametros_manuales!$F$32*('Plan mensual'!L4+IF(parametros_manuales!$H$32="Todos",'Plan mensual'!L8,0))+parametros_manuales!$G$32*('Plan mensual'!L5+IF(parametros_manuales!$H$32="Todos",'Plan mensual'!L9,0)))*parametros_manuales!$I$32*parametros_manuales!$J$32</f>
        <v>528.3361658234</v>
      </c>
      <c r="K15" s="9" t="n">
        <f aca="false">(parametros_manuales!$D$32*('Plan mensual'!M2+IF(parametros_manuales!$H$32="Todos",'Plan mensual'!M6,0))+parametros_manuales!$E$32*('Plan mensual'!M3+IF(parametros_manuales!$H$32="Todos",'Plan mensual'!M7,0))+parametros_manuales!$F$32*('Plan mensual'!M4+IF(parametros_manuales!$H$32="Todos",'Plan mensual'!M8,0))+parametros_manuales!$G$32*('Plan mensual'!M5+IF(parametros_manuales!$H$32="Todos",'Plan mensual'!M9,0)))*parametros_manuales!$I$32*parametros_manuales!$J$32</f>
        <v>514.90298300475</v>
      </c>
      <c r="L15" s="9" t="n">
        <f aca="false">(parametros_manuales!$D$32*('Plan mensual'!N2+IF(parametros_manuales!$H$32="Todos",'Plan mensual'!N6,0))+parametros_manuales!$E$32*('Plan mensual'!N3+IF(parametros_manuales!$H$32="Todos",'Plan mensual'!N7,0))+parametros_manuales!$F$32*('Plan mensual'!N4+IF(parametros_manuales!$H$32="Todos",'Plan mensual'!N8,0))+parametros_manuales!$G$32*('Plan mensual'!N5+IF(parametros_manuales!$H$32="Todos",'Plan mensual'!N9,0)))*parametros_manuales!$I$32*parametros_manuales!$J$32</f>
        <v>501.4698001861</v>
      </c>
      <c r="M15" s="9" t="n">
        <f aca="false">(parametros_manuales!$D$32*('Plan mensual'!O2+IF(parametros_manuales!$H$32="Todos",'Plan mensual'!O6,0))+parametros_manuales!$E$32*('Plan mensual'!O3+IF(parametros_manuales!$H$32="Todos",'Plan mensual'!O7,0))+parametros_manuales!$F$32*('Plan mensual'!O4+IF(parametros_manuales!$H$32="Todos",'Plan mensual'!O8,0))+parametros_manuales!$G$32*('Plan mensual'!O5+IF(parametros_manuales!$H$32="Todos",'Plan mensual'!O9,0)))*parametros_manuales!$I$32*parametros_manuales!$J$32</f>
        <v>796.9784071703</v>
      </c>
      <c r="N15" s="9" t="n">
        <f aca="false">SUM(B15:M15)</f>
        <v>6865.37310673</v>
      </c>
      <c r="O15" s="9" t="n">
        <f aca="false">MAX(B15:M15)</f>
        <v>796.9784071703</v>
      </c>
      <c r="P15" s="43" t="n">
        <f aca="false">O15/(parametros_manuales!$B$7)</f>
        <v>5.31318938113533</v>
      </c>
      <c r="Q15" s="8" t="str">
        <f aca="false">IF(O15=0,"-",INDEX($B$1:$M$1,MATCH(O15,B15:M15,0)))</f>
        <v>Dic</v>
      </c>
    </row>
    <row r="16" customFormat="false" ht="14.25" hidden="false" customHeight="true" outlineLevel="0" collapsed="false">
      <c r="A16" s="8" t="str">
        <f aca="false">parametros_manuales!$B$33</f>
        <v>Secado</v>
      </c>
      <c r="B16" s="9" t="n">
        <f aca="false">(parametros_manuales!$D$33*('Plan mensual'!D2+IF(parametros_manuales!$H$33="Todos",'Plan mensual'!D6,0))+parametros_manuales!$E$33*('Plan mensual'!D3+IF(parametros_manuales!$H$33="Todos",'Plan mensual'!D7,0))+parametros_manuales!$F$33*('Plan mensual'!D4+IF(parametros_manuales!$H$33="Todos",'Plan mensual'!D8,0))+parametros_manuales!$G$33*('Plan mensual'!D5+IF(parametros_manuales!$H$33="Todos",'Plan mensual'!D9,0)))*parametros_manuales!$I$33*parametros_manuales!$J$33</f>
        <v>770.112041533</v>
      </c>
      <c r="C16" s="9" t="n">
        <f aca="false">(parametros_manuales!$D$33*('Plan mensual'!E2+IF(parametros_manuales!$H$33="Todos",'Plan mensual'!E6,0))+parametros_manuales!$E$33*('Plan mensual'!E3+IF(parametros_manuales!$H$33="Todos",'Plan mensual'!E7,0))+parametros_manuales!$F$33*('Plan mensual'!E4+IF(parametros_manuales!$H$33="Todos",'Plan mensual'!E8,0))+parametros_manuales!$G$33*('Plan mensual'!E5+IF(parametros_manuales!$H$33="Todos",'Plan mensual'!E9,0)))*parametros_manuales!$I$33*parametros_manuales!$J$33</f>
        <v>591.0172139684</v>
      </c>
      <c r="D16" s="9" t="n">
        <f aca="false">(parametros_manuales!$D$33*('Plan mensual'!F2+IF(parametros_manuales!$H$33="Todos",'Plan mensual'!F6,0))+parametros_manuales!$E$33*('Plan mensual'!F3+IF(parametros_manuales!$H$33="Todos",'Plan mensual'!F7,0))+parametros_manuales!$F$33*('Plan mensual'!F4+IF(parametros_manuales!$H$33="Todos",'Plan mensual'!F8,0))+parametros_manuales!$G$33*('Plan mensual'!F5+IF(parametros_manuales!$H$33="Todos",'Plan mensual'!F9,0)))*parametros_manuales!$I$33*parametros_manuales!$J$33</f>
        <v>562.66303135705</v>
      </c>
      <c r="E16" s="9" t="n">
        <f aca="false">(parametros_manuales!$D$33*('Plan mensual'!G2+IF(parametros_manuales!$H$33="Todos",'Plan mensual'!G6,0))+parametros_manuales!$E$33*('Plan mensual'!G3+IF(parametros_manuales!$H$33="Todos",'Plan mensual'!G7,0))+parametros_manuales!$F$33*('Plan mensual'!G4+IF(parametros_manuales!$H$33="Todos",'Plan mensual'!G8,0))+parametros_manuales!$G$33*('Plan mensual'!G5+IF(parametros_manuales!$H$33="Todos",'Plan mensual'!G9,0)))*parametros_manuales!$I$33*parametros_manuales!$J$33</f>
        <v>541.76934864205</v>
      </c>
      <c r="F16" s="9" t="n">
        <f aca="false">(parametros_manuales!$D$33*('Plan mensual'!H2+IF(parametros_manuales!$H$33="Todos",'Plan mensual'!H6,0))+parametros_manuales!$E$33*('Plan mensual'!H3+IF(parametros_manuales!$H$33="Todos",'Plan mensual'!H7,0))+parametros_manuales!$F$33*('Plan mensual'!H4+IF(parametros_manuales!$H$33="Todos",'Plan mensual'!H8,0))+parametros_manuales!$G$33*('Plan mensual'!H5+IF(parametros_manuales!$H$33="Todos",'Plan mensual'!H9,0)))*parametros_manuales!$I$33*parametros_manuales!$J$33</f>
        <v>507.4424831084</v>
      </c>
      <c r="G16" s="9" t="n">
        <f aca="false">(parametros_manuales!$D$33*('Plan mensual'!I2+IF(parametros_manuales!$H$33="Todos",'Plan mensual'!I6,0))+parametros_manuales!$E$33*('Plan mensual'!I3+IF(parametros_manuales!$H$33="Todos",'Plan mensual'!I7,0))+parametros_manuales!$F$33*('Plan mensual'!I4+IF(parametros_manuales!$H$33="Todos",'Plan mensual'!I8,0))+parametros_manuales!$G$33*('Plan mensual'!I5+IF(parametros_manuales!$H$33="Todos",'Plan mensual'!I9,0)))*parametros_manuales!$I$33*parametros_manuales!$J$33</f>
        <v>494.00930028975</v>
      </c>
      <c r="H16" s="9" t="n">
        <f aca="false">(parametros_manuales!$D$33*('Plan mensual'!J2+IF(parametros_manuales!$H$33="Todos",'Plan mensual'!J6,0))+parametros_manuales!$E$33*('Plan mensual'!J3+IF(parametros_manuales!$H$33="Todos",'Plan mensual'!J7,0))+parametros_manuales!$F$33*('Plan mensual'!J4+IF(parametros_manuales!$H$33="Todos",'Plan mensual'!J8,0))+parametros_manuales!$G$33*('Plan mensual'!J5+IF(parametros_manuales!$H$33="Todos",'Plan mensual'!J9,0)))*parametros_manuales!$I$33*parametros_manuales!$J$33</f>
        <v>528.3361658234</v>
      </c>
      <c r="I16" s="9" t="n">
        <f aca="false">(parametros_manuales!$D$33*('Plan mensual'!K2+IF(parametros_manuales!$H$33="Todos",'Plan mensual'!K6,0))+parametros_manuales!$E$33*('Plan mensual'!K3+IF(parametros_manuales!$H$33="Todos",'Plan mensual'!K7,0))+parametros_manuales!$F$33*('Plan mensual'!K4+IF(parametros_manuales!$H$33="Todos",'Plan mensual'!K8,0))+parametros_manuales!$G$33*('Plan mensual'!K5+IF(parametros_manuales!$H$33="Todos",'Plan mensual'!K9,0)))*parametros_manuales!$I$33*parametros_manuales!$J$33</f>
        <v>528.3361658234</v>
      </c>
      <c r="J16" s="9" t="n">
        <f aca="false">(parametros_manuales!$D$33*('Plan mensual'!L2+IF(parametros_manuales!$H$33="Todos",'Plan mensual'!L6,0))+parametros_manuales!$E$33*('Plan mensual'!L3+IF(parametros_manuales!$H$33="Todos",'Plan mensual'!L7,0))+parametros_manuales!$F$33*('Plan mensual'!L4+IF(parametros_manuales!$H$33="Todos",'Plan mensual'!L8,0))+parametros_manuales!$G$33*('Plan mensual'!L5+IF(parametros_manuales!$H$33="Todos",'Plan mensual'!L9,0)))*parametros_manuales!$I$33*parametros_manuales!$J$33</f>
        <v>528.3361658234</v>
      </c>
      <c r="K16" s="9" t="n">
        <f aca="false">(parametros_manuales!$D$33*('Plan mensual'!M2+IF(parametros_manuales!$H$33="Todos",'Plan mensual'!M6,0))+parametros_manuales!$E$33*('Plan mensual'!M3+IF(parametros_manuales!$H$33="Todos",'Plan mensual'!M7,0))+parametros_manuales!$F$33*('Plan mensual'!M4+IF(parametros_manuales!$H$33="Todos",'Plan mensual'!M8,0))+parametros_manuales!$G$33*('Plan mensual'!M5+IF(parametros_manuales!$H$33="Todos",'Plan mensual'!M9,0)))*parametros_manuales!$I$33*parametros_manuales!$J$33</f>
        <v>514.90298300475</v>
      </c>
      <c r="L16" s="9" t="n">
        <f aca="false">(parametros_manuales!$D$33*('Plan mensual'!N2+IF(parametros_manuales!$H$33="Todos",'Plan mensual'!N6,0))+parametros_manuales!$E$33*('Plan mensual'!N3+IF(parametros_manuales!$H$33="Todos",'Plan mensual'!N7,0))+parametros_manuales!$F$33*('Plan mensual'!N4+IF(parametros_manuales!$H$33="Todos",'Plan mensual'!N8,0))+parametros_manuales!$G$33*('Plan mensual'!N5+IF(parametros_manuales!$H$33="Todos",'Plan mensual'!N9,0)))*parametros_manuales!$I$33*parametros_manuales!$J$33</f>
        <v>501.4698001861</v>
      </c>
      <c r="M16" s="9" t="n">
        <f aca="false">(parametros_manuales!$D$33*('Plan mensual'!O2+IF(parametros_manuales!$H$33="Todos",'Plan mensual'!O6,0))+parametros_manuales!$E$33*('Plan mensual'!O3+IF(parametros_manuales!$H$33="Todos",'Plan mensual'!O7,0))+parametros_manuales!$F$33*('Plan mensual'!O4+IF(parametros_manuales!$H$33="Todos",'Plan mensual'!O8,0))+parametros_manuales!$G$33*('Plan mensual'!O5+IF(parametros_manuales!$H$33="Todos",'Plan mensual'!O9,0)))*parametros_manuales!$I$33*parametros_manuales!$J$33</f>
        <v>796.9784071703</v>
      </c>
      <c r="N16" s="9" t="n">
        <f aca="false">SUM(B16:M16)</f>
        <v>6865.37310673</v>
      </c>
      <c r="O16" s="9" t="n">
        <f aca="false">MAX(B16:M16)</f>
        <v>796.9784071703</v>
      </c>
      <c r="P16" s="43" t="n">
        <f aca="false">O16/(parametros_manuales!$B$7)</f>
        <v>5.31318938113533</v>
      </c>
      <c r="Q16" s="8" t="str">
        <f aca="false">IF(O16=0,"-",INDEX($B$1:$M$1,MATCH(O16,B16:M16,0)))</f>
        <v>Dic</v>
      </c>
    </row>
    <row r="17" customFormat="false" ht="14.25" hidden="false" customHeight="true" outlineLevel="0" collapsed="false">
      <c r="A17" s="8" t="str">
        <f aca="false">parametros_manuales!$B$34</f>
        <v>Granallado</v>
      </c>
      <c r="B17" s="9" t="n">
        <f aca="false">(parametros_manuales!$D$34*('Plan mensual'!D2+IF(parametros_manuales!$H$34="Todos",'Plan mensual'!D6,0))+parametros_manuales!$E$34*('Plan mensual'!D3+IF(parametros_manuales!$H$34="Todos",'Plan mensual'!D7,0))+parametros_manuales!$F$34*('Plan mensual'!D4+IF(parametros_manuales!$H$34="Todos",'Plan mensual'!D8,0))+parametros_manuales!$G$34*('Plan mensual'!D5+IF(parametros_manuales!$H$34="Todos",'Plan mensual'!D9,0)))*parametros_manuales!$I$34*parametros_manuales!$J$34</f>
        <v>770.112041533</v>
      </c>
      <c r="C17" s="9" t="n">
        <f aca="false">(parametros_manuales!$D$34*('Plan mensual'!E2+IF(parametros_manuales!$H$34="Todos",'Plan mensual'!E6,0))+parametros_manuales!$E$34*('Plan mensual'!E3+IF(parametros_manuales!$H$34="Todos",'Plan mensual'!E7,0))+parametros_manuales!$F$34*('Plan mensual'!E4+IF(parametros_manuales!$H$34="Todos",'Plan mensual'!E8,0))+parametros_manuales!$G$34*('Plan mensual'!E5+IF(parametros_manuales!$H$34="Todos",'Plan mensual'!E9,0)))*parametros_manuales!$I$34*parametros_manuales!$J$34</f>
        <v>591.0172139684</v>
      </c>
      <c r="D17" s="9" t="n">
        <f aca="false">(parametros_manuales!$D$34*('Plan mensual'!F2+IF(parametros_manuales!$H$34="Todos",'Plan mensual'!F6,0))+parametros_manuales!$E$34*('Plan mensual'!F3+IF(parametros_manuales!$H$34="Todos",'Plan mensual'!F7,0))+parametros_manuales!$F$34*('Plan mensual'!F4+IF(parametros_manuales!$H$34="Todos",'Plan mensual'!F8,0))+parametros_manuales!$G$34*('Plan mensual'!F5+IF(parametros_manuales!$H$34="Todos",'Plan mensual'!F9,0)))*parametros_manuales!$I$34*parametros_manuales!$J$34</f>
        <v>562.66303135705</v>
      </c>
      <c r="E17" s="9" t="n">
        <f aca="false">(parametros_manuales!$D$34*('Plan mensual'!G2+IF(parametros_manuales!$H$34="Todos",'Plan mensual'!G6,0))+parametros_manuales!$E$34*('Plan mensual'!G3+IF(parametros_manuales!$H$34="Todos",'Plan mensual'!G7,0))+parametros_manuales!$F$34*('Plan mensual'!G4+IF(parametros_manuales!$H$34="Todos",'Plan mensual'!G8,0))+parametros_manuales!$G$34*('Plan mensual'!G5+IF(parametros_manuales!$H$34="Todos",'Plan mensual'!G9,0)))*parametros_manuales!$I$34*parametros_manuales!$J$34</f>
        <v>541.76934864205</v>
      </c>
      <c r="F17" s="9" t="n">
        <f aca="false">(parametros_manuales!$D$34*('Plan mensual'!H2+IF(parametros_manuales!$H$34="Todos",'Plan mensual'!H6,0))+parametros_manuales!$E$34*('Plan mensual'!H3+IF(parametros_manuales!$H$34="Todos",'Plan mensual'!H7,0))+parametros_manuales!$F$34*('Plan mensual'!H4+IF(parametros_manuales!$H$34="Todos",'Plan mensual'!H8,0))+parametros_manuales!$G$34*('Plan mensual'!H5+IF(parametros_manuales!$H$34="Todos",'Plan mensual'!H9,0)))*parametros_manuales!$I$34*parametros_manuales!$J$34</f>
        <v>507.4424831084</v>
      </c>
      <c r="G17" s="9" t="n">
        <f aca="false">(parametros_manuales!$D$34*('Plan mensual'!I2+IF(parametros_manuales!$H$34="Todos",'Plan mensual'!I6,0))+parametros_manuales!$E$34*('Plan mensual'!I3+IF(parametros_manuales!$H$34="Todos",'Plan mensual'!I7,0))+parametros_manuales!$F$34*('Plan mensual'!I4+IF(parametros_manuales!$H$34="Todos",'Plan mensual'!I8,0))+parametros_manuales!$G$34*('Plan mensual'!I5+IF(parametros_manuales!$H$34="Todos",'Plan mensual'!I9,0)))*parametros_manuales!$I$34*parametros_manuales!$J$34</f>
        <v>494.00930028975</v>
      </c>
      <c r="H17" s="9" t="n">
        <f aca="false">(parametros_manuales!$D$34*('Plan mensual'!J2+IF(parametros_manuales!$H$34="Todos",'Plan mensual'!J6,0))+parametros_manuales!$E$34*('Plan mensual'!J3+IF(parametros_manuales!$H$34="Todos",'Plan mensual'!J7,0))+parametros_manuales!$F$34*('Plan mensual'!J4+IF(parametros_manuales!$H$34="Todos",'Plan mensual'!J8,0))+parametros_manuales!$G$34*('Plan mensual'!J5+IF(parametros_manuales!$H$34="Todos",'Plan mensual'!J9,0)))*parametros_manuales!$I$34*parametros_manuales!$J$34</f>
        <v>528.3361658234</v>
      </c>
      <c r="I17" s="9" t="n">
        <f aca="false">(parametros_manuales!$D$34*('Plan mensual'!K2+IF(parametros_manuales!$H$34="Todos",'Plan mensual'!K6,0))+parametros_manuales!$E$34*('Plan mensual'!K3+IF(parametros_manuales!$H$34="Todos",'Plan mensual'!K7,0))+parametros_manuales!$F$34*('Plan mensual'!K4+IF(parametros_manuales!$H$34="Todos",'Plan mensual'!K8,0))+parametros_manuales!$G$34*('Plan mensual'!K5+IF(parametros_manuales!$H$34="Todos",'Plan mensual'!K9,0)))*parametros_manuales!$I$34*parametros_manuales!$J$34</f>
        <v>528.3361658234</v>
      </c>
      <c r="J17" s="9" t="n">
        <f aca="false">(parametros_manuales!$D$34*('Plan mensual'!L2+IF(parametros_manuales!$H$34="Todos",'Plan mensual'!L6,0))+parametros_manuales!$E$34*('Plan mensual'!L3+IF(parametros_manuales!$H$34="Todos",'Plan mensual'!L7,0))+parametros_manuales!$F$34*('Plan mensual'!L4+IF(parametros_manuales!$H$34="Todos",'Plan mensual'!L8,0))+parametros_manuales!$G$34*('Plan mensual'!L5+IF(parametros_manuales!$H$34="Todos",'Plan mensual'!L9,0)))*parametros_manuales!$I$34*parametros_manuales!$J$34</f>
        <v>528.3361658234</v>
      </c>
      <c r="K17" s="9" t="n">
        <f aca="false">(parametros_manuales!$D$34*('Plan mensual'!M2+IF(parametros_manuales!$H$34="Todos",'Plan mensual'!M6,0))+parametros_manuales!$E$34*('Plan mensual'!M3+IF(parametros_manuales!$H$34="Todos",'Plan mensual'!M7,0))+parametros_manuales!$F$34*('Plan mensual'!M4+IF(parametros_manuales!$H$34="Todos",'Plan mensual'!M8,0))+parametros_manuales!$G$34*('Plan mensual'!M5+IF(parametros_manuales!$H$34="Todos",'Plan mensual'!M9,0)))*parametros_manuales!$I$34*parametros_manuales!$J$34</f>
        <v>514.90298300475</v>
      </c>
      <c r="L17" s="9" t="n">
        <f aca="false">(parametros_manuales!$D$34*('Plan mensual'!N2+IF(parametros_manuales!$H$34="Todos",'Plan mensual'!N6,0))+parametros_manuales!$E$34*('Plan mensual'!N3+IF(parametros_manuales!$H$34="Todos",'Plan mensual'!N7,0))+parametros_manuales!$F$34*('Plan mensual'!N4+IF(parametros_manuales!$H$34="Todos",'Plan mensual'!N8,0))+parametros_manuales!$G$34*('Plan mensual'!N5+IF(parametros_manuales!$H$34="Todos",'Plan mensual'!N9,0)))*parametros_manuales!$I$34*parametros_manuales!$J$34</f>
        <v>501.4698001861</v>
      </c>
      <c r="M17" s="9" t="n">
        <f aca="false">(parametros_manuales!$D$34*('Plan mensual'!O2+IF(parametros_manuales!$H$34="Todos",'Plan mensual'!O6,0))+parametros_manuales!$E$34*('Plan mensual'!O3+IF(parametros_manuales!$H$34="Todos",'Plan mensual'!O7,0))+parametros_manuales!$F$34*('Plan mensual'!O4+IF(parametros_manuales!$H$34="Todos",'Plan mensual'!O8,0))+parametros_manuales!$G$34*('Plan mensual'!O5+IF(parametros_manuales!$H$34="Todos",'Plan mensual'!O9,0)))*parametros_manuales!$I$34*parametros_manuales!$J$34</f>
        <v>796.9784071703</v>
      </c>
      <c r="N17" s="9" t="n">
        <f aca="false">SUM(B17:M17)</f>
        <v>6865.37310673</v>
      </c>
      <c r="O17" s="9" t="n">
        <f aca="false">MAX(B17:M17)</f>
        <v>796.9784071703</v>
      </c>
      <c r="P17" s="43" t="n">
        <f aca="false">O17/(parametros_manuales!$B$7)</f>
        <v>5.31318938113533</v>
      </c>
      <c r="Q17" s="8" t="str">
        <f aca="false">IF(O17=0,"-",INDEX($B$1:$M$1,MATCH(O17,B17:M17,0)))</f>
        <v>Dic</v>
      </c>
    </row>
    <row r="18" customFormat="false" ht="14.25" hidden="false" customHeight="true" outlineLevel="0" collapsed="false">
      <c r="A18" s="8" t="str">
        <f aca="false">parametros_manuales!$B$35</f>
        <v>Detección de defectos</v>
      </c>
      <c r="B18" s="9" t="n">
        <f aca="false">(parametros_manuales!$D$35*('Plan mensual'!D2+IF(parametros_manuales!$H$35="Todos",'Plan mensual'!D6,0))+parametros_manuales!$E$35*('Plan mensual'!D3+IF(parametros_manuales!$H$35="Todos",'Plan mensual'!D7,0))+parametros_manuales!$F$35*('Plan mensual'!D4+IF(parametros_manuales!$H$35="Todos",'Plan mensual'!D8,0))+parametros_manuales!$G$35*('Plan mensual'!D5+IF(parametros_manuales!$H$35="Todos",'Plan mensual'!D9,0)))*parametros_manuales!$I$35*parametros_manuales!$J$35</f>
        <v>770.112041533</v>
      </c>
      <c r="C18" s="9" t="n">
        <f aca="false">(parametros_manuales!$D$35*('Plan mensual'!E2+IF(parametros_manuales!$H$35="Todos",'Plan mensual'!E6,0))+parametros_manuales!$E$35*('Plan mensual'!E3+IF(parametros_manuales!$H$35="Todos",'Plan mensual'!E7,0))+parametros_manuales!$F$35*('Plan mensual'!E4+IF(parametros_manuales!$H$35="Todos",'Plan mensual'!E8,0))+parametros_manuales!$G$35*('Plan mensual'!E5+IF(parametros_manuales!$H$35="Todos",'Plan mensual'!E9,0)))*parametros_manuales!$I$35*parametros_manuales!$J$35</f>
        <v>591.0172139684</v>
      </c>
      <c r="D18" s="9" t="n">
        <f aca="false">(parametros_manuales!$D$35*('Plan mensual'!F2+IF(parametros_manuales!$H$35="Todos",'Plan mensual'!F6,0))+parametros_manuales!$E$35*('Plan mensual'!F3+IF(parametros_manuales!$H$35="Todos",'Plan mensual'!F7,0))+parametros_manuales!$F$35*('Plan mensual'!F4+IF(parametros_manuales!$H$35="Todos",'Plan mensual'!F8,0))+parametros_manuales!$G$35*('Plan mensual'!F5+IF(parametros_manuales!$H$35="Todos",'Plan mensual'!F9,0)))*parametros_manuales!$I$35*parametros_manuales!$J$35</f>
        <v>562.66303135705</v>
      </c>
      <c r="E18" s="9" t="n">
        <f aca="false">(parametros_manuales!$D$35*('Plan mensual'!G2+IF(parametros_manuales!$H$35="Todos",'Plan mensual'!G6,0))+parametros_manuales!$E$35*('Plan mensual'!G3+IF(parametros_manuales!$H$35="Todos",'Plan mensual'!G7,0))+parametros_manuales!$F$35*('Plan mensual'!G4+IF(parametros_manuales!$H$35="Todos",'Plan mensual'!G8,0))+parametros_manuales!$G$35*('Plan mensual'!G5+IF(parametros_manuales!$H$35="Todos",'Plan mensual'!G9,0)))*parametros_manuales!$I$35*parametros_manuales!$J$35</f>
        <v>541.76934864205</v>
      </c>
      <c r="F18" s="9" t="n">
        <f aca="false">(parametros_manuales!$D$35*('Plan mensual'!H2+IF(parametros_manuales!$H$35="Todos",'Plan mensual'!H6,0))+parametros_manuales!$E$35*('Plan mensual'!H3+IF(parametros_manuales!$H$35="Todos",'Plan mensual'!H7,0))+parametros_manuales!$F$35*('Plan mensual'!H4+IF(parametros_manuales!$H$35="Todos",'Plan mensual'!H8,0))+parametros_manuales!$G$35*('Plan mensual'!H5+IF(parametros_manuales!$H$35="Todos",'Plan mensual'!H9,0)))*parametros_manuales!$I$35*parametros_manuales!$J$35</f>
        <v>507.4424831084</v>
      </c>
      <c r="G18" s="9" t="n">
        <f aca="false">(parametros_manuales!$D$35*('Plan mensual'!I2+IF(parametros_manuales!$H$35="Todos",'Plan mensual'!I6,0))+parametros_manuales!$E$35*('Plan mensual'!I3+IF(parametros_manuales!$H$35="Todos",'Plan mensual'!I7,0))+parametros_manuales!$F$35*('Plan mensual'!I4+IF(parametros_manuales!$H$35="Todos",'Plan mensual'!I8,0))+parametros_manuales!$G$35*('Plan mensual'!I5+IF(parametros_manuales!$H$35="Todos",'Plan mensual'!I9,0)))*parametros_manuales!$I$35*parametros_manuales!$J$35</f>
        <v>494.00930028975</v>
      </c>
      <c r="H18" s="9" t="n">
        <f aca="false">(parametros_manuales!$D$35*('Plan mensual'!J2+IF(parametros_manuales!$H$35="Todos",'Plan mensual'!J6,0))+parametros_manuales!$E$35*('Plan mensual'!J3+IF(parametros_manuales!$H$35="Todos",'Plan mensual'!J7,0))+parametros_manuales!$F$35*('Plan mensual'!J4+IF(parametros_manuales!$H$35="Todos",'Plan mensual'!J8,0))+parametros_manuales!$G$35*('Plan mensual'!J5+IF(parametros_manuales!$H$35="Todos",'Plan mensual'!J9,0)))*parametros_manuales!$I$35*parametros_manuales!$J$35</f>
        <v>528.3361658234</v>
      </c>
      <c r="I18" s="9" t="n">
        <f aca="false">(parametros_manuales!$D$35*('Plan mensual'!K2+IF(parametros_manuales!$H$35="Todos",'Plan mensual'!K6,0))+parametros_manuales!$E$35*('Plan mensual'!K3+IF(parametros_manuales!$H$35="Todos",'Plan mensual'!K7,0))+parametros_manuales!$F$35*('Plan mensual'!K4+IF(parametros_manuales!$H$35="Todos",'Plan mensual'!K8,0))+parametros_manuales!$G$35*('Plan mensual'!K5+IF(parametros_manuales!$H$35="Todos",'Plan mensual'!K9,0)))*parametros_manuales!$I$35*parametros_manuales!$J$35</f>
        <v>528.3361658234</v>
      </c>
      <c r="J18" s="9" t="n">
        <f aca="false">(parametros_manuales!$D$35*('Plan mensual'!L2+IF(parametros_manuales!$H$35="Todos",'Plan mensual'!L6,0))+parametros_manuales!$E$35*('Plan mensual'!L3+IF(parametros_manuales!$H$35="Todos",'Plan mensual'!L7,0))+parametros_manuales!$F$35*('Plan mensual'!L4+IF(parametros_manuales!$H$35="Todos",'Plan mensual'!L8,0))+parametros_manuales!$G$35*('Plan mensual'!L5+IF(parametros_manuales!$H$35="Todos",'Plan mensual'!L9,0)))*parametros_manuales!$I$35*parametros_manuales!$J$35</f>
        <v>528.3361658234</v>
      </c>
      <c r="K18" s="9" t="n">
        <f aca="false">(parametros_manuales!$D$35*('Plan mensual'!M2+IF(parametros_manuales!$H$35="Todos",'Plan mensual'!M6,0))+parametros_manuales!$E$35*('Plan mensual'!M3+IF(parametros_manuales!$H$35="Todos",'Plan mensual'!M7,0))+parametros_manuales!$F$35*('Plan mensual'!M4+IF(parametros_manuales!$H$35="Todos",'Plan mensual'!M8,0))+parametros_manuales!$G$35*('Plan mensual'!M5+IF(parametros_manuales!$H$35="Todos",'Plan mensual'!M9,0)))*parametros_manuales!$I$35*parametros_manuales!$J$35</f>
        <v>514.90298300475</v>
      </c>
      <c r="L18" s="9" t="n">
        <f aca="false">(parametros_manuales!$D$35*('Plan mensual'!N2+IF(parametros_manuales!$H$35="Todos",'Plan mensual'!N6,0))+parametros_manuales!$E$35*('Plan mensual'!N3+IF(parametros_manuales!$H$35="Todos",'Plan mensual'!N7,0))+parametros_manuales!$F$35*('Plan mensual'!N4+IF(parametros_manuales!$H$35="Todos",'Plan mensual'!N8,0))+parametros_manuales!$G$35*('Plan mensual'!N5+IF(parametros_manuales!$H$35="Todos",'Plan mensual'!N9,0)))*parametros_manuales!$I$35*parametros_manuales!$J$35</f>
        <v>501.4698001861</v>
      </c>
      <c r="M18" s="9" t="n">
        <f aca="false">(parametros_manuales!$D$35*('Plan mensual'!O2+IF(parametros_manuales!$H$35="Todos",'Plan mensual'!O6,0))+parametros_manuales!$E$35*('Plan mensual'!O3+IF(parametros_manuales!$H$35="Todos",'Plan mensual'!O7,0))+parametros_manuales!$F$35*('Plan mensual'!O4+IF(parametros_manuales!$H$35="Todos",'Plan mensual'!O8,0))+parametros_manuales!$G$35*('Plan mensual'!O5+IF(parametros_manuales!$H$35="Todos",'Plan mensual'!O9,0)))*parametros_manuales!$I$35*parametros_manuales!$J$35</f>
        <v>796.9784071703</v>
      </c>
      <c r="N18" s="9" t="n">
        <f aca="false">SUM(B18:M18)</f>
        <v>6865.37310673</v>
      </c>
      <c r="O18" s="9" t="n">
        <f aca="false">MAX(B18:M18)</f>
        <v>796.9784071703</v>
      </c>
      <c r="P18" s="43" t="n">
        <f aca="false">O18/(parametros_manuales!$B$7)</f>
        <v>5.31318938113533</v>
      </c>
      <c r="Q18" s="8" t="str">
        <f aca="false">IF(O18=0,"-",INDEX($B$1:$M$1,MATCH(O18,B18:M18,0)))</f>
        <v>Dic</v>
      </c>
    </row>
    <row r="19" customFormat="false" ht="14.25" hidden="false" customHeight="true" outlineLevel="0" collapsed="false">
      <c r="A19" s="8" t="str">
        <f aca="false">parametros_manuales!$B$36</f>
        <v>Corrección de defectos</v>
      </c>
      <c r="B19" s="9" t="n">
        <f aca="false">(parametros_manuales!$D$36*('Plan mensual'!D2+IF(parametros_manuales!$H$36="Todos",'Plan mensual'!D6,0))+parametros_manuales!$E$36*('Plan mensual'!D3+IF(parametros_manuales!$H$36="Todos",'Plan mensual'!D7,0))+parametros_manuales!$F$36*('Plan mensual'!D4+IF(parametros_manuales!$H$36="Todos",'Plan mensual'!D8,0))+parametros_manuales!$G$36*('Plan mensual'!D5+IF(parametros_manuales!$H$36="Todos",'Plan mensual'!D9,0)))*parametros_manuales!$I$36*parametros_manuales!$J$36</f>
        <v>38.50560207665</v>
      </c>
      <c r="C19" s="9" t="n">
        <f aca="false">(parametros_manuales!$D$36*('Plan mensual'!E2+IF(parametros_manuales!$H$36="Todos",'Plan mensual'!E6,0))+parametros_manuales!$E$36*('Plan mensual'!E3+IF(parametros_manuales!$H$36="Todos",'Plan mensual'!E7,0))+parametros_manuales!$F$36*('Plan mensual'!E4+IF(parametros_manuales!$H$36="Todos",'Plan mensual'!E8,0))+parametros_manuales!$G$36*('Plan mensual'!E5+IF(parametros_manuales!$H$36="Todos",'Plan mensual'!E9,0)))*parametros_manuales!$I$36*parametros_manuales!$J$36</f>
        <v>29.55086069842</v>
      </c>
      <c r="D19" s="9" t="n">
        <f aca="false">(parametros_manuales!$D$36*('Plan mensual'!F2+IF(parametros_manuales!$H$36="Todos",'Plan mensual'!F6,0))+parametros_manuales!$E$36*('Plan mensual'!F3+IF(parametros_manuales!$H$36="Todos",'Plan mensual'!F7,0))+parametros_manuales!$F$36*('Plan mensual'!F4+IF(parametros_manuales!$H$36="Todos",'Plan mensual'!F8,0))+parametros_manuales!$G$36*('Plan mensual'!F5+IF(parametros_manuales!$H$36="Todos",'Plan mensual'!F9,0)))*parametros_manuales!$I$36*parametros_manuales!$J$36</f>
        <v>28.1331515678525</v>
      </c>
      <c r="E19" s="9" t="n">
        <f aca="false">(parametros_manuales!$D$36*('Plan mensual'!G2+IF(parametros_manuales!$H$36="Todos",'Plan mensual'!G6,0))+parametros_manuales!$E$36*('Plan mensual'!G3+IF(parametros_manuales!$H$36="Todos",'Plan mensual'!G7,0))+parametros_manuales!$F$36*('Plan mensual'!G4+IF(parametros_manuales!$H$36="Todos",'Plan mensual'!G8,0))+parametros_manuales!$G$36*('Plan mensual'!G5+IF(parametros_manuales!$H$36="Todos",'Plan mensual'!G9,0)))*parametros_manuales!$I$36*parametros_manuales!$J$36</f>
        <v>27.0884674321025</v>
      </c>
      <c r="F19" s="9" t="n">
        <f aca="false">(parametros_manuales!$D$36*('Plan mensual'!H2+IF(parametros_manuales!$H$36="Todos",'Plan mensual'!H6,0))+parametros_manuales!$E$36*('Plan mensual'!H3+IF(parametros_manuales!$H$36="Todos",'Plan mensual'!H7,0))+parametros_manuales!$F$36*('Plan mensual'!H4+IF(parametros_manuales!$H$36="Todos",'Plan mensual'!H8,0))+parametros_manuales!$G$36*('Plan mensual'!H5+IF(parametros_manuales!$H$36="Todos",'Plan mensual'!H9,0)))*parametros_manuales!$I$36*parametros_manuales!$J$36</f>
        <v>25.37212415542</v>
      </c>
      <c r="G19" s="9" t="n">
        <f aca="false">(parametros_manuales!$D$36*('Plan mensual'!I2+IF(parametros_manuales!$H$36="Todos",'Plan mensual'!I6,0))+parametros_manuales!$E$36*('Plan mensual'!I3+IF(parametros_manuales!$H$36="Todos",'Plan mensual'!I7,0))+parametros_manuales!$F$36*('Plan mensual'!I4+IF(parametros_manuales!$H$36="Todos",'Plan mensual'!I8,0))+parametros_manuales!$G$36*('Plan mensual'!I5+IF(parametros_manuales!$H$36="Todos",'Plan mensual'!I9,0)))*parametros_manuales!$I$36*parametros_manuales!$J$36</f>
        <v>24.7004650144875</v>
      </c>
      <c r="H19" s="9" t="n">
        <f aca="false">(parametros_manuales!$D$36*('Plan mensual'!J2+IF(parametros_manuales!$H$36="Todos",'Plan mensual'!J6,0))+parametros_manuales!$E$36*('Plan mensual'!J3+IF(parametros_manuales!$H$36="Todos",'Plan mensual'!J7,0))+parametros_manuales!$F$36*('Plan mensual'!J4+IF(parametros_manuales!$H$36="Todos",'Plan mensual'!J8,0))+parametros_manuales!$G$36*('Plan mensual'!J5+IF(parametros_manuales!$H$36="Todos",'Plan mensual'!J9,0)))*parametros_manuales!$I$36*parametros_manuales!$J$36</f>
        <v>26.41680829117</v>
      </c>
      <c r="I19" s="9" t="n">
        <f aca="false">(parametros_manuales!$D$36*('Plan mensual'!K2+IF(parametros_manuales!$H$36="Todos",'Plan mensual'!K6,0))+parametros_manuales!$E$36*('Plan mensual'!K3+IF(parametros_manuales!$H$36="Todos",'Plan mensual'!K7,0))+parametros_manuales!$F$36*('Plan mensual'!K4+IF(parametros_manuales!$H$36="Todos",'Plan mensual'!K8,0))+parametros_manuales!$G$36*('Plan mensual'!K5+IF(parametros_manuales!$H$36="Todos",'Plan mensual'!K9,0)))*parametros_manuales!$I$36*parametros_manuales!$J$36</f>
        <v>26.41680829117</v>
      </c>
      <c r="J19" s="9" t="n">
        <f aca="false">(parametros_manuales!$D$36*('Plan mensual'!L2+IF(parametros_manuales!$H$36="Todos",'Plan mensual'!L6,0))+parametros_manuales!$E$36*('Plan mensual'!L3+IF(parametros_manuales!$H$36="Todos",'Plan mensual'!L7,0))+parametros_manuales!$F$36*('Plan mensual'!L4+IF(parametros_manuales!$H$36="Todos",'Plan mensual'!L8,0))+parametros_manuales!$G$36*('Plan mensual'!L5+IF(parametros_manuales!$H$36="Todos",'Plan mensual'!L9,0)))*parametros_manuales!$I$36*parametros_manuales!$J$36</f>
        <v>26.41680829117</v>
      </c>
      <c r="K19" s="9" t="n">
        <f aca="false">(parametros_manuales!$D$36*('Plan mensual'!M2+IF(parametros_manuales!$H$36="Todos",'Plan mensual'!M6,0))+parametros_manuales!$E$36*('Plan mensual'!M3+IF(parametros_manuales!$H$36="Todos",'Plan mensual'!M7,0))+parametros_manuales!$F$36*('Plan mensual'!M4+IF(parametros_manuales!$H$36="Todos",'Plan mensual'!M8,0))+parametros_manuales!$G$36*('Plan mensual'!M5+IF(parametros_manuales!$H$36="Todos",'Plan mensual'!M9,0)))*parametros_manuales!$I$36*parametros_manuales!$J$36</f>
        <v>25.7451491502375</v>
      </c>
      <c r="L19" s="9" t="n">
        <f aca="false">(parametros_manuales!$D$36*('Plan mensual'!N2+IF(parametros_manuales!$H$36="Todos",'Plan mensual'!N6,0))+parametros_manuales!$E$36*('Plan mensual'!N3+IF(parametros_manuales!$H$36="Todos",'Plan mensual'!N7,0))+parametros_manuales!$F$36*('Plan mensual'!N4+IF(parametros_manuales!$H$36="Todos",'Plan mensual'!N8,0))+parametros_manuales!$G$36*('Plan mensual'!N5+IF(parametros_manuales!$H$36="Todos",'Plan mensual'!N9,0)))*parametros_manuales!$I$36*parametros_manuales!$J$36</f>
        <v>25.073490009305</v>
      </c>
      <c r="M19" s="9" t="n">
        <f aca="false">(parametros_manuales!$D$36*('Plan mensual'!O2+IF(parametros_manuales!$H$36="Todos",'Plan mensual'!O6,0))+parametros_manuales!$E$36*('Plan mensual'!O3+IF(parametros_manuales!$H$36="Todos",'Plan mensual'!O7,0))+parametros_manuales!$F$36*('Plan mensual'!O4+IF(parametros_manuales!$H$36="Todos",'Plan mensual'!O8,0))+parametros_manuales!$G$36*('Plan mensual'!O5+IF(parametros_manuales!$H$36="Todos",'Plan mensual'!O9,0)))*parametros_manuales!$I$36*parametros_manuales!$J$36</f>
        <v>39.848920358515</v>
      </c>
      <c r="N19" s="9" t="n">
        <f aca="false">SUM(B19:M19)</f>
        <v>343.2686553365</v>
      </c>
      <c r="O19" s="9" t="n">
        <f aca="false">MAX(B19:M19)</f>
        <v>39.848920358515</v>
      </c>
      <c r="P19" s="43" t="n">
        <f aca="false">O19/(parametros_manuales!$B$7)</f>
        <v>0.265659469056767</v>
      </c>
      <c r="Q19" s="8" t="str">
        <f aca="false">IF(O19=0,"-",INDEX($B$1:$M$1,MATCH(O19,B19:M19,0)))</f>
        <v>Dic</v>
      </c>
    </row>
    <row r="20" customFormat="false" ht="14.25" hidden="false" customHeight="true" outlineLevel="0" collapsed="false">
      <c r="A20" s="8" t="str">
        <f aca="false">parametros_manuales!$B$37</f>
        <v>Pintura en polvo + horno</v>
      </c>
      <c r="B20" s="9" t="n">
        <f aca="false">(parametros_manuales!$D$37*('Plan mensual'!D2+IF(parametros_manuales!$H$37="Todos",'Plan mensual'!D6,0))+parametros_manuales!$E$37*('Plan mensual'!D3+IF(parametros_manuales!$H$37="Todos",'Plan mensual'!D7,0))+parametros_manuales!$F$37*('Plan mensual'!D4+IF(parametros_manuales!$H$37="Todos",'Plan mensual'!D8,0))+parametros_manuales!$G$37*('Plan mensual'!D5+IF(parametros_manuales!$H$37="Todos",'Plan mensual'!D9,0)))*parametros_manuales!$I$37*parametros_manuales!$J$37</f>
        <v>770.112041533</v>
      </c>
      <c r="C20" s="9" t="n">
        <f aca="false">(parametros_manuales!$D$37*('Plan mensual'!E2+IF(parametros_manuales!$H$37="Todos",'Plan mensual'!E6,0))+parametros_manuales!$E$37*('Plan mensual'!E3+IF(parametros_manuales!$H$37="Todos",'Plan mensual'!E7,0))+parametros_manuales!$F$37*('Plan mensual'!E4+IF(parametros_manuales!$H$37="Todos",'Plan mensual'!E8,0))+parametros_manuales!$G$37*('Plan mensual'!E5+IF(parametros_manuales!$H$37="Todos",'Plan mensual'!E9,0)))*parametros_manuales!$I$37*parametros_manuales!$J$37</f>
        <v>591.0172139684</v>
      </c>
      <c r="D20" s="9" t="n">
        <f aca="false">(parametros_manuales!$D$37*('Plan mensual'!F2+IF(parametros_manuales!$H$37="Todos",'Plan mensual'!F6,0))+parametros_manuales!$E$37*('Plan mensual'!F3+IF(parametros_manuales!$H$37="Todos",'Plan mensual'!F7,0))+parametros_manuales!$F$37*('Plan mensual'!F4+IF(parametros_manuales!$H$37="Todos",'Plan mensual'!F8,0))+parametros_manuales!$G$37*('Plan mensual'!F5+IF(parametros_manuales!$H$37="Todos",'Plan mensual'!F9,0)))*parametros_manuales!$I$37*parametros_manuales!$J$37</f>
        <v>562.66303135705</v>
      </c>
      <c r="E20" s="9" t="n">
        <f aca="false">(parametros_manuales!$D$37*('Plan mensual'!G2+IF(parametros_manuales!$H$37="Todos",'Plan mensual'!G6,0))+parametros_manuales!$E$37*('Plan mensual'!G3+IF(parametros_manuales!$H$37="Todos",'Plan mensual'!G7,0))+parametros_manuales!$F$37*('Plan mensual'!G4+IF(parametros_manuales!$H$37="Todos",'Plan mensual'!G8,0))+parametros_manuales!$G$37*('Plan mensual'!G5+IF(parametros_manuales!$H$37="Todos",'Plan mensual'!G9,0)))*parametros_manuales!$I$37*parametros_manuales!$J$37</f>
        <v>541.76934864205</v>
      </c>
      <c r="F20" s="9" t="n">
        <f aca="false">(parametros_manuales!$D$37*('Plan mensual'!H2+IF(parametros_manuales!$H$37="Todos",'Plan mensual'!H6,0))+parametros_manuales!$E$37*('Plan mensual'!H3+IF(parametros_manuales!$H$37="Todos",'Plan mensual'!H7,0))+parametros_manuales!$F$37*('Plan mensual'!H4+IF(parametros_manuales!$H$37="Todos",'Plan mensual'!H8,0))+parametros_manuales!$G$37*('Plan mensual'!H5+IF(parametros_manuales!$H$37="Todos",'Plan mensual'!H9,0)))*parametros_manuales!$I$37*parametros_manuales!$J$37</f>
        <v>507.4424831084</v>
      </c>
      <c r="G20" s="9" t="n">
        <f aca="false">(parametros_manuales!$D$37*('Plan mensual'!I2+IF(parametros_manuales!$H$37="Todos",'Plan mensual'!I6,0))+parametros_manuales!$E$37*('Plan mensual'!I3+IF(parametros_manuales!$H$37="Todos",'Plan mensual'!I7,0))+parametros_manuales!$F$37*('Plan mensual'!I4+IF(parametros_manuales!$H$37="Todos",'Plan mensual'!I8,0))+parametros_manuales!$G$37*('Plan mensual'!I5+IF(parametros_manuales!$H$37="Todos",'Plan mensual'!I9,0)))*parametros_manuales!$I$37*parametros_manuales!$J$37</f>
        <v>494.00930028975</v>
      </c>
      <c r="H20" s="9" t="n">
        <f aca="false">(parametros_manuales!$D$37*('Plan mensual'!J2+IF(parametros_manuales!$H$37="Todos",'Plan mensual'!J6,0))+parametros_manuales!$E$37*('Plan mensual'!J3+IF(parametros_manuales!$H$37="Todos",'Plan mensual'!J7,0))+parametros_manuales!$F$37*('Plan mensual'!J4+IF(parametros_manuales!$H$37="Todos",'Plan mensual'!J8,0))+parametros_manuales!$G$37*('Plan mensual'!J5+IF(parametros_manuales!$H$37="Todos",'Plan mensual'!J9,0)))*parametros_manuales!$I$37*parametros_manuales!$J$37</f>
        <v>528.3361658234</v>
      </c>
      <c r="I20" s="9" t="n">
        <f aca="false">(parametros_manuales!$D$37*('Plan mensual'!K2+IF(parametros_manuales!$H$37="Todos",'Plan mensual'!K6,0))+parametros_manuales!$E$37*('Plan mensual'!K3+IF(parametros_manuales!$H$37="Todos",'Plan mensual'!K7,0))+parametros_manuales!$F$37*('Plan mensual'!K4+IF(parametros_manuales!$H$37="Todos",'Plan mensual'!K8,0))+parametros_manuales!$G$37*('Plan mensual'!K5+IF(parametros_manuales!$H$37="Todos",'Plan mensual'!K9,0)))*parametros_manuales!$I$37*parametros_manuales!$J$37</f>
        <v>528.3361658234</v>
      </c>
      <c r="J20" s="9" t="n">
        <f aca="false">(parametros_manuales!$D$37*('Plan mensual'!L2+IF(parametros_manuales!$H$37="Todos",'Plan mensual'!L6,0))+parametros_manuales!$E$37*('Plan mensual'!L3+IF(parametros_manuales!$H$37="Todos",'Plan mensual'!L7,0))+parametros_manuales!$F$37*('Plan mensual'!L4+IF(parametros_manuales!$H$37="Todos",'Plan mensual'!L8,0))+parametros_manuales!$G$37*('Plan mensual'!L5+IF(parametros_manuales!$H$37="Todos",'Plan mensual'!L9,0)))*parametros_manuales!$I$37*parametros_manuales!$J$37</f>
        <v>528.3361658234</v>
      </c>
      <c r="K20" s="9" t="n">
        <f aca="false">(parametros_manuales!$D$37*('Plan mensual'!M2+IF(parametros_manuales!$H$37="Todos",'Plan mensual'!M6,0))+parametros_manuales!$E$37*('Plan mensual'!M3+IF(parametros_manuales!$H$37="Todos",'Plan mensual'!M7,0))+parametros_manuales!$F$37*('Plan mensual'!M4+IF(parametros_manuales!$H$37="Todos",'Plan mensual'!M8,0))+parametros_manuales!$G$37*('Plan mensual'!M5+IF(parametros_manuales!$H$37="Todos",'Plan mensual'!M9,0)))*parametros_manuales!$I$37*parametros_manuales!$J$37</f>
        <v>514.90298300475</v>
      </c>
      <c r="L20" s="9" t="n">
        <f aca="false">(parametros_manuales!$D$37*('Plan mensual'!N2+IF(parametros_manuales!$H$37="Todos",'Plan mensual'!N6,0))+parametros_manuales!$E$37*('Plan mensual'!N3+IF(parametros_manuales!$H$37="Todos",'Plan mensual'!N7,0))+parametros_manuales!$F$37*('Plan mensual'!N4+IF(parametros_manuales!$H$37="Todos",'Plan mensual'!N8,0))+parametros_manuales!$G$37*('Plan mensual'!N5+IF(parametros_manuales!$H$37="Todos",'Plan mensual'!N9,0)))*parametros_manuales!$I$37*parametros_manuales!$J$37</f>
        <v>501.4698001861</v>
      </c>
      <c r="M20" s="9" t="n">
        <f aca="false">(parametros_manuales!$D$37*('Plan mensual'!O2+IF(parametros_manuales!$H$37="Todos",'Plan mensual'!O6,0))+parametros_manuales!$E$37*('Plan mensual'!O3+IF(parametros_manuales!$H$37="Todos",'Plan mensual'!O7,0))+parametros_manuales!$F$37*('Plan mensual'!O4+IF(parametros_manuales!$H$37="Todos",'Plan mensual'!O8,0))+parametros_manuales!$G$37*('Plan mensual'!O5+IF(parametros_manuales!$H$37="Todos",'Plan mensual'!O9,0)))*parametros_manuales!$I$37*parametros_manuales!$J$37</f>
        <v>796.9784071703</v>
      </c>
      <c r="N20" s="9" t="n">
        <f aca="false">SUM(B20:M20)</f>
        <v>6865.37310673</v>
      </c>
      <c r="O20" s="9" t="n">
        <f aca="false">MAX(B20:M20)</f>
        <v>796.9784071703</v>
      </c>
      <c r="P20" s="43" t="n">
        <f aca="false">O20/(parametros_manuales!$B$7)</f>
        <v>5.31318938113533</v>
      </c>
      <c r="Q20" s="8" t="str">
        <f aca="false">IF(O20=0,"-",INDEX($B$1:$M$1,MATCH(O20,B20:M20,0)))</f>
        <v>Dic</v>
      </c>
    </row>
    <row r="21" customFormat="false" ht="14.25" hidden="false" customHeight="true" outlineLevel="0" collapsed="false">
      <c r="A21" s="8" t="str">
        <f aca="false">parametros_manuales!$B$38</f>
        <v>Carga de polvo</v>
      </c>
      <c r="B21" s="9" t="n">
        <f aca="false">(parametros_manuales!$D$38*('Plan mensual'!D2+IF(parametros_manuales!$H$38="Todos",'Plan mensual'!D6,0))+parametros_manuales!$E$38*('Plan mensual'!D3+IF(parametros_manuales!$H$38="Todos",'Plan mensual'!D7,0))+parametros_manuales!$F$38*('Plan mensual'!D4+IF(parametros_manuales!$H$38="Todos",'Plan mensual'!D8,0))+parametros_manuales!$G$38*('Plan mensual'!D5+IF(parametros_manuales!$H$38="Todos",'Plan mensual'!D9,0)))*parametros_manuales!$I$38*parametros_manuales!$J$38</f>
        <v>767.312041533</v>
      </c>
      <c r="C21" s="9" t="n">
        <f aca="false">(parametros_manuales!$D$38*('Plan mensual'!E2+IF(parametros_manuales!$H$38="Todos",'Plan mensual'!E6,0))+parametros_manuales!$E$38*('Plan mensual'!E3+IF(parametros_manuales!$H$38="Todos",'Plan mensual'!E7,0))+parametros_manuales!$F$38*('Plan mensual'!E4+IF(parametros_manuales!$H$38="Todos",'Plan mensual'!E8,0))+parametros_manuales!$G$38*('Plan mensual'!E5+IF(parametros_manuales!$H$38="Todos",'Plan mensual'!E9,0)))*parametros_manuales!$I$38*parametros_manuales!$J$38</f>
        <v>588.7772139684</v>
      </c>
      <c r="D21" s="9" t="n">
        <f aca="false">(parametros_manuales!$D$38*('Plan mensual'!F2+IF(parametros_manuales!$H$38="Todos",'Plan mensual'!F6,0))+parametros_manuales!$E$38*('Plan mensual'!F3+IF(parametros_manuales!$H$38="Todos",'Plan mensual'!F7,0))+parametros_manuales!$F$38*('Plan mensual'!F4+IF(parametros_manuales!$H$38="Todos",'Plan mensual'!F8,0))+parametros_manuales!$G$38*('Plan mensual'!F5+IF(parametros_manuales!$H$38="Todos",'Plan mensual'!F9,0)))*parametros_manuales!$I$38*parametros_manuales!$J$38</f>
        <v>560.28303135705</v>
      </c>
      <c r="E21" s="9" t="n">
        <f aca="false">(parametros_manuales!$D$38*('Plan mensual'!G2+IF(parametros_manuales!$H$38="Todos",'Plan mensual'!G6,0))+parametros_manuales!$E$38*('Plan mensual'!G3+IF(parametros_manuales!$H$38="Todos",'Plan mensual'!G7,0))+parametros_manuales!$F$38*('Plan mensual'!G4+IF(parametros_manuales!$H$38="Todos",'Plan mensual'!G8,0))+parametros_manuales!$G$38*('Plan mensual'!G5+IF(parametros_manuales!$H$38="Todos",'Plan mensual'!G9,0)))*parametros_manuales!$I$38*parametros_manuales!$J$38</f>
        <v>539.38934864205</v>
      </c>
      <c r="F21" s="9" t="n">
        <f aca="false">(parametros_manuales!$D$38*('Plan mensual'!H2+IF(parametros_manuales!$H$38="Todos",'Plan mensual'!H6,0))+parametros_manuales!$E$38*('Plan mensual'!H3+IF(parametros_manuales!$H$38="Todos",'Plan mensual'!H7,0))+parametros_manuales!$F$38*('Plan mensual'!H4+IF(parametros_manuales!$H$38="Todos",'Plan mensual'!H8,0))+parametros_manuales!$G$38*('Plan mensual'!H5+IF(parametros_manuales!$H$38="Todos",'Plan mensual'!H9,0)))*parametros_manuales!$I$38*parametros_manuales!$J$38</f>
        <v>505.2024831084</v>
      </c>
      <c r="G21" s="9" t="n">
        <f aca="false">(parametros_manuales!$D$38*('Plan mensual'!I2+IF(parametros_manuales!$H$38="Todos",'Plan mensual'!I6,0))+parametros_manuales!$E$38*('Plan mensual'!I3+IF(parametros_manuales!$H$38="Todos",'Plan mensual'!I7,0))+parametros_manuales!$F$38*('Plan mensual'!I4+IF(parametros_manuales!$H$38="Todos",'Plan mensual'!I8,0))+parametros_manuales!$G$38*('Plan mensual'!I5+IF(parametros_manuales!$H$38="Todos",'Plan mensual'!I9,0)))*parametros_manuales!$I$38*parametros_manuales!$J$38</f>
        <v>491.90930028975</v>
      </c>
      <c r="H21" s="9" t="n">
        <f aca="false">(parametros_manuales!$D$38*('Plan mensual'!J2+IF(parametros_manuales!$H$38="Todos",'Plan mensual'!J6,0))+parametros_manuales!$E$38*('Plan mensual'!J3+IF(parametros_manuales!$H$38="Todos",'Plan mensual'!J7,0))+parametros_manuales!$F$38*('Plan mensual'!J4+IF(parametros_manuales!$H$38="Todos",'Plan mensual'!J8,0))+parametros_manuales!$G$38*('Plan mensual'!J5+IF(parametros_manuales!$H$38="Todos",'Plan mensual'!J9,0)))*parametros_manuales!$I$38*parametros_manuales!$J$38</f>
        <v>526.0961658234</v>
      </c>
      <c r="I21" s="9" t="n">
        <f aca="false">(parametros_manuales!$D$38*('Plan mensual'!K2+IF(parametros_manuales!$H$38="Todos",'Plan mensual'!K6,0))+parametros_manuales!$E$38*('Plan mensual'!K3+IF(parametros_manuales!$H$38="Todos",'Plan mensual'!K7,0))+parametros_manuales!$F$38*('Plan mensual'!K4+IF(parametros_manuales!$H$38="Todos",'Plan mensual'!K8,0))+parametros_manuales!$G$38*('Plan mensual'!K5+IF(parametros_manuales!$H$38="Todos",'Plan mensual'!K9,0)))*parametros_manuales!$I$38*parametros_manuales!$J$38</f>
        <v>526.0961658234</v>
      </c>
      <c r="J21" s="9" t="n">
        <f aca="false">(parametros_manuales!$D$38*('Plan mensual'!L2+IF(parametros_manuales!$H$38="Todos",'Plan mensual'!L6,0))+parametros_manuales!$E$38*('Plan mensual'!L3+IF(parametros_manuales!$H$38="Todos",'Plan mensual'!L7,0))+parametros_manuales!$F$38*('Plan mensual'!L4+IF(parametros_manuales!$H$38="Todos",'Plan mensual'!L8,0))+parametros_manuales!$G$38*('Plan mensual'!L5+IF(parametros_manuales!$H$38="Todos",'Plan mensual'!L9,0)))*parametros_manuales!$I$38*parametros_manuales!$J$38</f>
        <v>526.0961658234</v>
      </c>
      <c r="K21" s="9" t="n">
        <f aca="false">(parametros_manuales!$D$38*('Plan mensual'!M2+IF(parametros_manuales!$H$38="Todos",'Plan mensual'!M6,0))+parametros_manuales!$E$38*('Plan mensual'!M3+IF(parametros_manuales!$H$38="Todos",'Plan mensual'!M7,0))+parametros_manuales!$F$38*('Plan mensual'!M4+IF(parametros_manuales!$H$38="Todos",'Plan mensual'!M8,0))+parametros_manuales!$G$38*('Plan mensual'!M5+IF(parametros_manuales!$H$38="Todos",'Plan mensual'!M9,0)))*parametros_manuales!$I$38*parametros_manuales!$J$38</f>
        <v>512.80298300475</v>
      </c>
      <c r="L21" s="9" t="n">
        <f aca="false">(parametros_manuales!$D$38*('Plan mensual'!N2+IF(parametros_manuales!$H$38="Todos",'Plan mensual'!N6,0))+parametros_manuales!$E$38*('Plan mensual'!N3+IF(parametros_manuales!$H$38="Todos",'Plan mensual'!N7,0))+parametros_manuales!$F$38*('Plan mensual'!N4+IF(parametros_manuales!$H$38="Todos",'Plan mensual'!N8,0))+parametros_manuales!$G$38*('Plan mensual'!N5+IF(parametros_manuales!$H$38="Todos",'Plan mensual'!N9,0)))*parametros_manuales!$I$38*parametros_manuales!$J$38</f>
        <v>499.5098001861</v>
      </c>
      <c r="M21" s="9" t="n">
        <f aca="false">(parametros_manuales!$D$38*('Plan mensual'!O2+IF(parametros_manuales!$H$38="Todos",'Plan mensual'!O6,0))+parametros_manuales!$E$38*('Plan mensual'!O3+IF(parametros_manuales!$H$38="Todos",'Plan mensual'!O7,0))+parametros_manuales!$F$38*('Plan mensual'!O4+IF(parametros_manuales!$H$38="Todos",'Plan mensual'!O8,0))+parametros_manuales!$G$38*('Plan mensual'!O5+IF(parametros_manuales!$H$38="Todos",'Plan mensual'!O9,0)))*parametros_manuales!$I$38*parametros_manuales!$J$38</f>
        <v>793.8984071703</v>
      </c>
      <c r="N21" s="9" t="n">
        <f aca="false">SUM(B21:M21)</f>
        <v>6837.37310673</v>
      </c>
      <c r="O21" s="9" t="n">
        <f aca="false">MAX(B21:M21)</f>
        <v>793.8984071703</v>
      </c>
      <c r="P21" s="43" t="n">
        <f aca="false">O21/(parametros_manuales!$B$7)</f>
        <v>5.292656047802</v>
      </c>
      <c r="Q21" s="8" t="str">
        <f aca="false">IF(O21=0,"-",INDEX($B$1:$M$1,MATCH(O21,B21:M21,0)))</f>
        <v>Dic</v>
      </c>
    </row>
    <row r="22" customFormat="false" ht="14.25" hidden="false" customHeight="true" outlineLevel="0" collapsed="false">
      <c r="A22" s="8" t="str">
        <f aca="false">parametros_manuales!$B$39</f>
        <v>Ensamblaje</v>
      </c>
      <c r="B22" s="9" t="n">
        <f aca="false">(parametros_manuales!$D$39*('Plan mensual'!D2+IF(parametros_manuales!$H$39="Todos",'Plan mensual'!D6,0))+parametros_manuales!$E$39*('Plan mensual'!D3+IF(parametros_manuales!$H$39="Todos",'Plan mensual'!D7,0))+parametros_manuales!$F$39*('Plan mensual'!D4+IF(parametros_manuales!$H$39="Todos",'Plan mensual'!D8,0))+parametros_manuales!$G$39*('Plan mensual'!D5+IF(parametros_manuales!$H$39="Todos",'Plan mensual'!D9,0)))*parametros_manuales!$I$39*parametros_manuales!$J$39</f>
        <v>767.312041533</v>
      </c>
      <c r="C22" s="9" t="n">
        <f aca="false">(parametros_manuales!$D$39*('Plan mensual'!E2+IF(parametros_manuales!$H$39="Todos",'Plan mensual'!E6,0))+parametros_manuales!$E$39*('Plan mensual'!E3+IF(parametros_manuales!$H$39="Todos",'Plan mensual'!E7,0))+parametros_manuales!$F$39*('Plan mensual'!E4+IF(parametros_manuales!$H$39="Todos",'Plan mensual'!E8,0))+parametros_manuales!$G$39*('Plan mensual'!E5+IF(parametros_manuales!$H$39="Todos",'Plan mensual'!E9,0)))*parametros_manuales!$I$39*parametros_manuales!$J$39</f>
        <v>588.7772139684</v>
      </c>
      <c r="D22" s="9" t="n">
        <f aca="false">(parametros_manuales!$D$39*('Plan mensual'!F2+IF(parametros_manuales!$H$39="Todos",'Plan mensual'!F6,0))+parametros_manuales!$E$39*('Plan mensual'!F3+IF(parametros_manuales!$H$39="Todos",'Plan mensual'!F7,0))+parametros_manuales!$F$39*('Plan mensual'!F4+IF(parametros_manuales!$H$39="Todos",'Plan mensual'!F8,0))+parametros_manuales!$G$39*('Plan mensual'!F5+IF(parametros_manuales!$H$39="Todos",'Plan mensual'!F9,0)))*parametros_manuales!$I$39*parametros_manuales!$J$39</f>
        <v>560.28303135705</v>
      </c>
      <c r="E22" s="9" t="n">
        <f aca="false">(parametros_manuales!$D$39*('Plan mensual'!G2+IF(parametros_manuales!$H$39="Todos",'Plan mensual'!G6,0))+parametros_manuales!$E$39*('Plan mensual'!G3+IF(parametros_manuales!$H$39="Todos",'Plan mensual'!G7,0))+parametros_manuales!$F$39*('Plan mensual'!G4+IF(parametros_manuales!$H$39="Todos",'Plan mensual'!G8,0))+parametros_manuales!$G$39*('Plan mensual'!G5+IF(parametros_manuales!$H$39="Todos",'Plan mensual'!G9,0)))*parametros_manuales!$I$39*parametros_manuales!$J$39</f>
        <v>539.38934864205</v>
      </c>
      <c r="F22" s="9" t="n">
        <f aca="false">(parametros_manuales!$D$39*('Plan mensual'!H2+IF(parametros_manuales!$H$39="Todos",'Plan mensual'!H6,0))+parametros_manuales!$E$39*('Plan mensual'!H3+IF(parametros_manuales!$H$39="Todos",'Plan mensual'!H7,0))+parametros_manuales!$F$39*('Plan mensual'!H4+IF(parametros_manuales!$H$39="Todos",'Plan mensual'!H8,0))+parametros_manuales!$G$39*('Plan mensual'!H5+IF(parametros_manuales!$H$39="Todos",'Plan mensual'!H9,0)))*parametros_manuales!$I$39*parametros_manuales!$J$39</f>
        <v>505.2024831084</v>
      </c>
      <c r="G22" s="9" t="n">
        <f aca="false">(parametros_manuales!$D$39*('Plan mensual'!I2+IF(parametros_manuales!$H$39="Todos",'Plan mensual'!I6,0))+parametros_manuales!$E$39*('Plan mensual'!I3+IF(parametros_manuales!$H$39="Todos",'Plan mensual'!I7,0))+parametros_manuales!$F$39*('Plan mensual'!I4+IF(parametros_manuales!$H$39="Todos",'Plan mensual'!I8,0))+parametros_manuales!$G$39*('Plan mensual'!I5+IF(parametros_manuales!$H$39="Todos",'Plan mensual'!I9,0)))*parametros_manuales!$I$39*parametros_manuales!$J$39</f>
        <v>491.90930028975</v>
      </c>
      <c r="H22" s="9" t="n">
        <f aca="false">(parametros_manuales!$D$39*('Plan mensual'!J2+IF(parametros_manuales!$H$39="Todos",'Plan mensual'!J6,0))+parametros_manuales!$E$39*('Plan mensual'!J3+IF(parametros_manuales!$H$39="Todos",'Plan mensual'!J7,0))+parametros_manuales!$F$39*('Plan mensual'!J4+IF(parametros_manuales!$H$39="Todos",'Plan mensual'!J8,0))+parametros_manuales!$G$39*('Plan mensual'!J5+IF(parametros_manuales!$H$39="Todos",'Plan mensual'!J9,0)))*parametros_manuales!$I$39*parametros_manuales!$J$39</f>
        <v>526.0961658234</v>
      </c>
      <c r="I22" s="9" t="n">
        <f aca="false">(parametros_manuales!$D$39*('Plan mensual'!K2+IF(parametros_manuales!$H$39="Todos",'Plan mensual'!K6,0))+parametros_manuales!$E$39*('Plan mensual'!K3+IF(parametros_manuales!$H$39="Todos",'Plan mensual'!K7,0))+parametros_manuales!$F$39*('Plan mensual'!K4+IF(parametros_manuales!$H$39="Todos",'Plan mensual'!K8,0))+parametros_manuales!$G$39*('Plan mensual'!K5+IF(parametros_manuales!$H$39="Todos",'Plan mensual'!K9,0)))*parametros_manuales!$I$39*parametros_manuales!$J$39</f>
        <v>526.0961658234</v>
      </c>
      <c r="J22" s="9" t="n">
        <f aca="false">(parametros_manuales!$D$39*('Plan mensual'!L2+IF(parametros_manuales!$H$39="Todos",'Plan mensual'!L6,0))+parametros_manuales!$E$39*('Plan mensual'!L3+IF(parametros_manuales!$H$39="Todos",'Plan mensual'!L7,0))+parametros_manuales!$F$39*('Plan mensual'!L4+IF(parametros_manuales!$H$39="Todos",'Plan mensual'!L8,0))+parametros_manuales!$G$39*('Plan mensual'!L5+IF(parametros_manuales!$H$39="Todos",'Plan mensual'!L9,0)))*parametros_manuales!$I$39*parametros_manuales!$J$39</f>
        <v>526.0961658234</v>
      </c>
      <c r="K22" s="9" t="n">
        <f aca="false">(parametros_manuales!$D$39*('Plan mensual'!M2+IF(parametros_manuales!$H$39="Todos",'Plan mensual'!M6,0))+parametros_manuales!$E$39*('Plan mensual'!M3+IF(parametros_manuales!$H$39="Todos",'Plan mensual'!M7,0))+parametros_manuales!$F$39*('Plan mensual'!M4+IF(parametros_manuales!$H$39="Todos",'Plan mensual'!M8,0))+parametros_manuales!$G$39*('Plan mensual'!M5+IF(parametros_manuales!$H$39="Todos",'Plan mensual'!M9,0)))*parametros_manuales!$I$39*parametros_manuales!$J$39</f>
        <v>512.80298300475</v>
      </c>
      <c r="L22" s="9" t="n">
        <f aca="false">(parametros_manuales!$D$39*('Plan mensual'!N2+IF(parametros_manuales!$H$39="Todos",'Plan mensual'!N6,0))+parametros_manuales!$E$39*('Plan mensual'!N3+IF(parametros_manuales!$H$39="Todos",'Plan mensual'!N7,0))+parametros_manuales!$F$39*('Plan mensual'!N4+IF(parametros_manuales!$H$39="Todos",'Plan mensual'!N8,0))+parametros_manuales!$G$39*('Plan mensual'!N5+IF(parametros_manuales!$H$39="Todos",'Plan mensual'!N9,0)))*parametros_manuales!$I$39*parametros_manuales!$J$39</f>
        <v>499.5098001861</v>
      </c>
      <c r="M22" s="9" t="n">
        <f aca="false">(parametros_manuales!$D$39*('Plan mensual'!O2+IF(parametros_manuales!$H$39="Todos",'Plan mensual'!O6,0))+parametros_manuales!$E$39*('Plan mensual'!O3+IF(parametros_manuales!$H$39="Todos",'Plan mensual'!O7,0))+parametros_manuales!$F$39*('Plan mensual'!O4+IF(parametros_manuales!$H$39="Todos",'Plan mensual'!O8,0))+parametros_manuales!$G$39*('Plan mensual'!O5+IF(parametros_manuales!$H$39="Todos",'Plan mensual'!O9,0)))*parametros_manuales!$I$39*parametros_manuales!$J$39</f>
        <v>793.8984071703</v>
      </c>
      <c r="N22" s="9" t="n">
        <f aca="false">SUM(B22:M22)</f>
        <v>6837.37310673</v>
      </c>
      <c r="O22" s="9" t="n">
        <f aca="false">MAX(B22:M22)</f>
        <v>793.8984071703</v>
      </c>
      <c r="P22" s="43" t="n">
        <f aca="false">O22/(parametros_manuales!$B$7)</f>
        <v>5.292656047802</v>
      </c>
      <c r="Q22" s="8" t="str">
        <f aca="false">IF(O22=0,"-",INDEX($B$1:$M$1,MATCH(O22,B22:M22,0)))</f>
        <v>Dic</v>
      </c>
    </row>
    <row r="23" customFormat="false" ht="14.25" hidden="false" customHeight="true" outlineLevel="0" collapsed="false">
      <c r="A23" s="8" t="str">
        <f aca="false">parametros_manuales!$B$40</f>
        <v>Presurización</v>
      </c>
      <c r="B23" s="9" t="n">
        <f aca="false">(parametros_manuales!$D$40*('Plan mensual'!D2+IF(parametros_manuales!$H$40="Todos",'Plan mensual'!D6,0))+parametros_manuales!$E$40*('Plan mensual'!D3+IF(parametros_manuales!$H$40="Todos",'Plan mensual'!D7,0))+parametros_manuales!$F$40*('Plan mensual'!D4+IF(parametros_manuales!$H$40="Todos",'Plan mensual'!D8,0))+parametros_manuales!$G$40*('Plan mensual'!D5+IF(parametros_manuales!$H$40="Todos",'Plan mensual'!D9,0)))*parametros_manuales!$I$40*parametros_manuales!$J$40</f>
        <v>767.312041533</v>
      </c>
      <c r="C23" s="9" t="n">
        <f aca="false">(parametros_manuales!$D$40*('Plan mensual'!E2+IF(parametros_manuales!$H$40="Todos",'Plan mensual'!E6,0))+parametros_manuales!$E$40*('Plan mensual'!E3+IF(parametros_manuales!$H$40="Todos",'Plan mensual'!E7,0))+parametros_manuales!$F$40*('Plan mensual'!E4+IF(parametros_manuales!$H$40="Todos",'Plan mensual'!E8,0))+parametros_manuales!$G$40*('Plan mensual'!E5+IF(parametros_manuales!$H$40="Todos",'Plan mensual'!E9,0)))*parametros_manuales!$I$40*parametros_manuales!$J$40</f>
        <v>588.7772139684</v>
      </c>
      <c r="D23" s="9" t="n">
        <f aca="false">(parametros_manuales!$D$40*('Plan mensual'!F2+IF(parametros_manuales!$H$40="Todos",'Plan mensual'!F6,0))+parametros_manuales!$E$40*('Plan mensual'!F3+IF(parametros_manuales!$H$40="Todos",'Plan mensual'!F7,0))+parametros_manuales!$F$40*('Plan mensual'!F4+IF(parametros_manuales!$H$40="Todos",'Plan mensual'!F8,0))+parametros_manuales!$G$40*('Plan mensual'!F5+IF(parametros_manuales!$H$40="Todos",'Plan mensual'!F9,0)))*parametros_manuales!$I$40*parametros_manuales!$J$40</f>
        <v>560.28303135705</v>
      </c>
      <c r="E23" s="9" t="n">
        <f aca="false">(parametros_manuales!$D$40*('Plan mensual'!G2+IF(parametros_manuales!$H$40="Todos",'Plan mensual'!G6,0))+parametros_manuales!$E$40*('Plan mensual'!G3+IF(parametros_manuales!$H$40="Todos",'Plan mensual'!G7,0))+parametros_manuales!$F$40*('Plan mensual'!G4+IF(parametros_manuales!$H$40="Todos",'Plan mensual'!G8,0))+parametros_manuales!$G$40*('Plan mensual'!G5+IF(parametros_manuales!$H$40="Todos",'Plan mensual'!G9,0)))*parametros_manuales!$I$40*parametros_manuales!$J$40</f>
        <v>539.38934864205</v>
      </c>
      <c r="F23" s="9" t="n">
        <f aca="false">(parametros_manuales!$D$40*('Plan mensual'!H2+IF(parametros_manuales!$H$40="Todos",'Plan mensual'!H6,0))+parametros_manuales!$E$40*('Plan mensual'!H3+IF(parametros_manuales!$H$40="Todos",'Plan mensual'!H7,0))+parametros_manuales!$F$40*('Plan mensual'!H4+IF(parametros_manuales!$H$40="Todos",'Plan mensual'!H8,0))+parametros_manuales!$G$40*('Plan mensual'!H5+IF(parametros_manuales!$H$40="Todos",'Plan mensual'!H9,0)))*parametros_manuales!$I$40*parametros_manuales!$J$40</f>
        <v>505.2024831084</v>
      </c>
      <c r="G23" s="9" t="n">
        <f aca="false">(parametros_manuales!$D$40*('Plan mensual'!I2+IF(parametros_manuales!$H$40="Todos",'Plan mensual'!I6,0))+parametros_manuales!$E$40*('Plan mensual'!I3+IF(parametros_manuales!$H$40="Todos",'Plan mensual'!I7,0))+parametros_manuales!$F$40*('Plan mensual'!I4+IF(parametros_manuales!$H$40="Todos",'Plan mensual'!I8,0))+parametros_manuales!$G$40*('Plan mensual'!I5+IF(parametros_manuales!$H$40="Todos",'Plan mensual'!I9,0)))*parametros_manuales!$I$40*parametros_manuales!$J$40</f>
        <v>491.90930028975</v>
      </c>
      <c r="H23" s="9" t="n">
        <f aca="false">(parametros_manuales!$D$40*('Plan mensual'!J2+IF(parametros_manuales!$H$40="Todos",'Plan mensual'!J6,0))+parametros_manuales!$E$40*('Plan mensual'!J3+IF(parametros_manuales!$H$40="Todos",'Plan mensual'!J7,0))+parametros_manuales!$F$40*('Plan mensual'!J4+IF(parametros_manuales!$H$40="Todos",'Plan mensual'!J8,0))+parametros_manuales!$G$40*('Plan mensual'!J5+IF(parametros_manuales!$H$40="Todos",'Plan mensual'!J9,0)))*parametros_manuales!$I$40*parametros_manuales!$J$40</f>
        <v>526.0961658234</v>
      </c>
      <c r="I23" s="9" t="n">
        <f aca="false">(parametros_manuales!$D$40*('Plan mensual'!K2+IF(parametros_manuales!$H$40="Todos",'Plan mensual'!K6,0))+parametros_manuales!$E$40*('Plan mensual'!K3+IF(parametros_manuales!$H$40="Todos",'Plan mensual'!K7,0))+parametros_manuales!$F$40*('Plan mensual'!K4+IF(parametros_manuales!$H$40="Todos",'Plan mensual'!K8,0))+parametros_manuales!$G$40*('Plan mensual'!K5+IF(parametros_manuales!$H$40="Todos",'Plan mensual'!K9,0)))*parametros_manuales!$I$40*parametros_manuales!$J$40</f>
        <v>526.0961658234</v>
      </c>
      <c r="J23" s="9" t="n">
        <f aca="false">(parametros_manuales!$D$40*('Plan mensual'!L2+IF(parametros_manuales!$H$40="Todos",'Plan mensual'!L6,0))+parametros_manuales!$E$40*('Plan mensual'!L3+IF(parametros_manuales!$H$40="Todos",'Plan mensual'!L7,0))+parametros_manuales!$F$40*('Plan mensual'!L4+IF(parametros_manuales!$H$40="Todos",'Plan mensual'!L8,0))+parametros_manuales!$G$40*('Plan mensual'!L5+IF(parametros_manuales!$H$40="Todos",'Plan mensual'!L9,0)))*parametros_manuales!$I$40*parametros_manuales!$J$40</f>
        <v>526.0961658234</v>
      </c>
      <c r="K23" s="9" t="n">
        <f aca="false">(parametros_manuales!$D$40*('Plan mensual'!M2+IF(parametros_manuales!$H$40="Todos",'Plan mensual'!M6,0))+parametros_manuales!$E$40*('Plan mensual'!M3+IF(parametros_manuales!$H$40="Todos",'Plan mensual'!M7,0))+parametros_manuales!$F$40*('Plan mensual'!M4+IF(parametros_manuales!$H$40="Todos",'Plan mensual'!M8,0))+parametros_manuales!$G$40*('Plan mensual'!M5+IF(parametros_manuales!$H$40="Todos",'Plan mensual'!M9,0)))*parametros_manuales!$I$40*parametros_manuales!$J$40</f>
        <v>512.80298300475</v>
      </c>
      <c r="L23" s="9" t="n">
        <f aca="false">(parametros_manuales!$D$40*('Plan mensual'!N2+IF(parametros_manuales!$H$40="Todos",'Plan mensual'!N6,0))+parametros_manuales!$E$40*('Plan mensual'!N3+IF(parametros_manuales!$H$40="Todos",'Plan mensual'!N7,0))+parametros_manuales!$F$40*('Plan mensual'!N4+IF(parametros_manuales!$H$40="Todos",'Plan mensual'!N8,0))+parametros_manuales!$G$40*('Plan mensual'!N5+IF(parametros_manuales!$H$40="Todos",'Plan mensual'!N9,0)))*parametros_manuales!$I$40*parametros_manuales!$J$40</f>
        <v>499.5098001861</v>
      </c>
      <c r="M23" s="9" t="n">
        <f aca="false">(parametros_manuales!$D$40*('Plan mensual'!O2+IF(parametros_manuales!$H$40="Todos",'Plan mensual'!O6,0))+parametros_manuales!$E$40*('Plan mensual'!O3+IF(parametros_manuales!$H$40="Todos",'Plan mensual'!O7,0))+parametros_manuales!$F$40*('Plan mensual'!O4+IF(parametros_manuales!$H$40="Todos",'Plan mensual'!O8,0))+parametros_manuales!$G$40*('Plan mensual'!O5+IF(parametros_manuales!$H$40="Todos",'Plan mensual'!O9,0)))*parametros_manuales!$I$40*parametros_manuales!$J$40</f>
        <v>793.8984071703</v>
      </c>
      <c r="N23" s="9" t="n">
        <f aca="false">SUM(B23:M23)</f>
        <v>6837.37310673</v>
      </c>
      <c r="O23" s="9" t="n">
        <f aca="false">MAX(B23:M23)</f>
        <v>793.8984071703</v>
      </c>
      <c r="P23" s="43" t="n">
        <f aca="false">O23/(parametros_manuales!$B$7)</f>
        <v>5.292656047802</v>
      </c>
      <c r="Q23" s="8" t="str">
        <f aca="false">IF(O23=0,"-",INDEX($B$1:$M$1,MATCH(O23,B23:M23,0)))</f>
        <v>Dic</v>
      </c>
    </row>
    <row r="24" customFormat="false" ht="14.25" hidden="false" customHeight="true" outlineLevel="0" collapsed="false">
      <c r="A24" s="8" t="str">
        <f aca="false">parametros_manuales!$B$41</f>
        <v>Control de calidad — Ensayo de pérdidas</v>
      </c>
      <c r="B24" s="9" t="n">
        <f aca="false">(parametros_manuales!$D$41*('Plan mensual'!D2+IF(parametros_manuales!$H$41="Todos",'Plan mensual'!D6,0))+parametros_manuales!$E$41*('Plan mensual'!D3+IF(parametros_manuales!$H$41="Todos",'Plan mensual'!D7,0))+parametros_manuales!$F$41*('Plan mensual'!D4+IF(parametros_manuales!$H$41="Todos",'Plan mensual'!D8,0))+parametros_manuales!$G$41*('Plan mensual'!D5+IF(parametros_manuales!$H$41="Todos",'Plan mensual'!D9,0)))*parametros_manuales!$I$41*parametros_manuales!$J$41</f>
        <v>767.312041533</v>
      </c>
      <c r="C24" s="9" t="n">
        <f aca="false">(parametros_manuales!$D$41*('Plan mensual'!E2+IF(parametros_manuales!$H$41="Todos",'Plan mensual'!E6,0))+parametros_manuales!$E$41*('Plan mensual'!E3+IF(parametros_manuales!$H$41="Todos",'Plan mensual'!E7,0))+parametros_manuales!$F$41*('Plan mensual'!E4+IF(parametros_manuales!$H$41="Todos",'Plan mensual'!E8,0))+parametros_manuales!$G$41*('Plan mensual'!E5+IF(parametros_manuales!$H$41="Todos",'Plan mensual'!E9,0)))*parametros_manuales!$I$41*parametros_manuales!$J$41</f>
        <v>588.7772139684</v>
      </c>
      <c r="D24" s="9" t="n">
        <f aca="false">(parametros_manuales!$D$41*('Plan mensual'!F2+IF(parametros_manuales!$H$41="Todos",'Plan mensual'!F6,0))+parametros_manuales!$E$41*('Plan mensual'!F3+IF(parametros_manuales!$H$41="Todos",'Plan mensual'!F7,0))+parametros_manuales!$F$41*('Plan mensual'!F4+IF(parametros_manuales!$H$41="Todos",'Plan mensual'!F8,0))+parametros_manuales!$G$41*('Plan mensual'!F5+IF(parametros_manuales!$H$41="Todos",'Plan mensual'!F9,0)))*parametros_manuales!$I$41*parametros_manuales!$J$41</f>
        <v>560.28303135705</v>
      </c>
      <c r="E24" s="9" t="n">
        <f aca="false">(parametros_manuales!$D$41*('Plan mensual'!G2+IF(parametros_manuales!$H$41="Todos",'Plan mensual'!G6,0))+parametros_manuales!$E$41*('Plan mensual'!G3+IF(parametros_manuales!$H$41="Todos",'Plan mensual'!G7,0))+parametros_manuales!$F$41*('Plan mensual'!G4+IF(parametros_manuales!$H$41="Todos",'Plan mensual'!G8,0))+parametros_manuales!$G$41*('Plan mensual'!G5+IF(parametros_manuales!$H$41="Todos",'Plan mensual'!G9,0)))*parametros_manuales!$I$41*parametros_manuales!$J$41</f>
        <v>539.38934864205</v>
      </c>
      <c r="F24" s="9" t="n">
        <f aca="false">(parametros_manuales!$D$41*('Plan mensual'!H2+IF(parametros_manuales!$H$41="Todos",'Plan mensual'!H6,0))+parametros_manuales!$E$41*('Plan mensual'!H3+IF(parametros_manuales!$H$41="Todos",'Plan mensual'!H7,0))+parametros_manuales!$F$41*('Plan mensual'!H4+IF(parametros_manuales!$H$41="Todos",'Plan mensual'!H8,0))+parametros_manuales!$G$41*('Plan mensual'!H5+IF(parametros_manuales!$H$41="Todos",'Plan mensual'!H9,0)))*parametros_manuales!$I$41*parametros_manuales!$J$41</f>
        <v>505.2024831084</v>
      </c>
      <c r="G24" s="9" t="n">
        <f aca="false">(parametros_manuales!$D$41*('Plan mensual'!I2+IF(parametros_manuales!$H$41="Todos",'Plan mensual'!I6,0))+parametros_manuales!$E$41*('Plan mensual'!I3+IF(parametros_manuales!$H$41="Todos",'Plan mensual'!I7,0))+parametros_manuales!$F$41*('Plan mensual'!I4+IF(parametros_manuales!$H$41="Todos",'Plan mensual'!I8,0))+parametros_manuales!$G$41*('Plan mensual'!I5+IF(parametros_manuales!$H$41="Todos",'Plan mensual'!I9,0)))*parametros_manuales!$I$41*parametros_manuales!$J$41</f>
        <v>491.90930028975</v>
      </c>
      <c r="H24" s="9" t="n">
        <f aca="false">(parametros_manuales!$D$41*('Plan mensual'!J2+IF(parametros_manuales!$H$41="Todos",'Plan mensual'!J6,0))+parametros_manuales!$E$41*('Plan mensual'!J3+IF(parametros_manuales!$H$41="Todos",'Plan mensual'!J7,0))+parametros_manuales!$F$41*('Plan mensual'!J4+IF(parametros_manuales!$H$41="Todos",'Plan mensual'!J8,0))+parametros_manuales!$G$41*('Plan mensual'!J5+IF(parametros_manuales!$H$41="Todos",'Plan mensual'!J9,0)))*parametros_manuales!$I$41*parametros_manuales!$J$41</f>
        <v>526.0961658234</v>
      </c>
      <c r="I24" s="9" t="n">
        <f aca="false">(parametros_manuales!$D$41*('Plan mensual'!K2+IF(parametros_manuales!$H$41="Todos",'Plan mensual'!K6,0))+parametros_manuales!$E$41*('Plan mensual'!K3+IF(parametros_manuales!$H$41="Todos",'Plan mensual'!K7,0))+parametros_manuales!$F$41*('Plan mensual'!K4+IF(parametros_manuales!$H$41="Todos",'Plan mensual'!K8,0))+parametros_manuales!$G$41*('Plan mensual'!K5+IF(parametros_manuales!$H$41="Todos",'Plan mensual'!K9,0)))*parametros_manuales!$I$41*parametros_manuales!$J$41</f>
        <v>526.0961658234</v>
      </c>
      <c r="J24" s="9" t="n">
        <f aca="false">(parametros_manuales!$D$41*('Plan mensual'!L2+IF(parametros_manuales!$H$41="Todos",'Plan mensual'!L6,0))+parametros_manuales!$E$41*('Plan mensual'!L3+IF(parametros_manuales!$H$41="Todos",'Plan mensual'!L7,0))+parametros_manuales!$F$41*('Plan mensual'!L4+IF(parametros_manuales!$H$41="Todos",'Plan mensual'!L8,0))+parametros_manuales!$G$41*('Plan mensual'!L5+IF(parametros_manuales!$H$41="Todos",'Plan mensual'!L9,0)))*parametros_manuales!$I$41*parametros_manuales!$J$41</f>
        <v>526.0961658234</v>
      </c>
      <c r="K24" s="9" t="n">
        <f aca="false">(parametros_manuales!$D$41*('Plan mensual'!M2+IF(parametros_manuales!$H$41="Todos",'Plan mensual'!M6,0))+parametros_manuales!$E$41*('Plan mensual'!M3+IF(parametros_manuales!$H$41="Todos",'Plan mensual'!M7,0))+parametros_manuales!$F$41*('Plan mensual'!M4+IF(parametros_manuales!$H$41="Todos",'Plan mensual'!M8,0))+parametros_manuales!$G$41*('Plan mensual'!M5+IF(parametros_manuales!$H$41="Todos",'Plan mensual'!M9,0)))*parametros_manuales!$I$41*parametros_manuales!$J$41</f>
        <v>512.80298300475</v>
      </c>
      <c r="L24" s="9" t="n">
        <f aca="false">(parametros_manuales!$D$41*('Plan mensual'!N2+IF(parametros_manuales!$H$41="Todos",'Plan mensual'!N6,0))+parametros_manuales!$E$41*('Plan mensual'!N3+IF(parametros_manuales!$H$41="Todos",'Plan mensual'!N7,0))+parametros_manuales!$F$41*('Plan mensual'!N4+IF(parametros_manuales!$H$41="Todos",'Plan mensual'!N8,0))+parametros_manuales!$G$41*('Plan mensual'!N5+IF(parametros_manuales!$H$41="Todos",'Plan mensual'!N9,0)))*parametros_manuales!$I$41*parametros_manuales!$J$41</f>
        <v>499.5098001861</v>
      </c>
      <c r="M24" s="9" t="n">
        <f aca="false">(parametros_manuales!$D$41*('Plan mensual'!O2+IF(parametros_manuales!$H$41="Todos",'Plan mensual'!O6,0))+parametros_manuales!$E$41*('Plan mensual'!O3+IF(parametros_manuales!$H$41="Todos",'Plan mensual'!O7,0))+parametros_manuales!$F$41*('Plan mensual'!O4+IF(parametros_manuales!$H$41="Todos",'Plan mensual'!O8,0))+parametros_manuales!$G$41*('Plan mensual'!O5+IF(parametros_manuales!$H$41="Todos",'Plan mensual'!O9,0)))*parametros_manuales!$I$41*parametros_manuales!$J$41</f>
        <v>793.8984071703</v>
      </c>
      <c r="N24" s="9" t="n">
        <f aca="false">SUM(B24:M24)</f>
        <v>6837.37310673</v>
      </c>
      <c r="O24" s="9" t="n">
        <f aca="false">MAX(B24:M24)</f>
        <v>793.8984071703</v>
      </c>
      <c r="P24" s="43" t="n">
        <f aca="false">O24/(parametros_manuales!$B$7)</f>
        <v>5.292656047802</v>
      </c>
      <c r="Q24" s="8" t="str">
        <f aca="false">IF(O24=0,"-",INDEX($B$1:$M$1,MATCH(O24,B24:M24,0)))</f>
        <v>Dic</v>
      </c>
    </row>
    <row r="25" customFormat="false" ht="14.25" hidden="false" customHeight="true" outlineLevel="0" collapsed="false">
      <c r="A25" s="8" t="str">
        <f aca="false">parametros_manuales!$B$42</f>
        <v>Etiquetado</v>
      </c>
      <c r="B25" s="9" t="n">
        <f aca="false">(parametros_manuales!$D$42*('Plan mensual'!D2+IF(parametros_manuales!$H$42="Todos",'Plan mensual'!D6,0))+parametros_manuales!$E$42*('Plan mensual'!D3+IF(parametros_manuales!$H$42="Todos",'Plan mensual'!D7,0))+parametros_manuales!$F$42*('Plan mensual'!D4+IF(parametros_manuales!$H$42="Todos",'Plan mensual'!D8,0))+parametros_manuales!$G$42*('Plan mensual'!D5+IF(parametros_manuales!$H$42="Todos",'Plan mensual'!D9,0)))*parametros_manuales!$I$42*parametros_manuales!$J$42</f>
        <v>767.312041533</v>
      </c>
      <c r="C25" s="9" t="n">
        <f aca="false">(parametros_manuales!$D$42*('Plan mensual'!E2+IF(parametros_manuales!$H$42="Todos",'Plan mensual'!E6,0))+parametros_manuales!$E$42*('Plan mensual'!E3+IF(parametros_manuales!$H$42="Todos",'Plan mensual'!E7,0))+parametros_manuales!$F$42*('Plan mensual'!E4+IF(parametros_manuales!$H$42="Todos",'Plan mensual'!E8,0))+parametros_manuales!$G$42*('Plan mensual'!E5+IF(parametros_manuales!$H$42="Todos",'Plan mensual'!E9,0)))*parametros_manuales!$I$42*parametros_manuales!$J$42</f>
        <v>588.7772139684</v>
      </c>
      <c r="D25" s="9" t="n">
        <f aca="false">(parametros_manuales!$D$42*('Plan mensual'!F2+IF(parametros_manuales!$H$42="Todos",'Plan mensual'!F6,0))+parametros_manuales!$E$42*('Plan mensual'!F3+IF(parametros_manuales!$H$42="Todos",'Plan mensual'!F7,0))+parametros_manuales!$F$42*('Plan mensual'!F4+IF(parametros_manuales!$H$42="Todos",'Plan mensual'!F8,0))+parametros_manuales!$G$42*('Plan mensual'!F5+IF(parametros_manuales!$H$42="Todos",'Plan mensual'!F9,0)))*parametros_manuales!$I$42*parametros_manuales!$J$42</f>
        <v>560.28303135705</v>
      </c>
      <c r="E25" s="9" t="n">
        <f aca="false">(parametros_manuales!$D$42*('Plan mensual'!G2+IF(parametros_manuales!$H$42="Todos",'Plan mensual'!G6,0))+parametros_manuales!$E$42*('Plan mensual'!G3+IF(parametros_manuales!$H$42="Todos",'Plan mensual'!G7,0))+parametros_manuales!$F$42*('Plan mensual'!G4+IF(parametros_manuales!$H$42="Todos",'Plan mensual'!G8,0))+parametros_manuales!$G$42*('Plan mensual'!G5+IF(parametros_manuales!$H$42="Todos",'Plan mensual'!G9,0)))*parametros_manuales!$I$42*parametros_manuales!$J$42</f>
        <v>539.38934864205</v>
      </c>
      <c r="F25" s="9" t="n">
        <f aca="false">(parametros_manuales!$D$42*('Plan mensual'!H2+IF(parametros_manuales!$H$42="Todos",'Plan mensual'!H6,0))+parametros_manuales!$E$42*('Plan mensual'!H3+IF(parametros_manuales!$H$42="Todos",'Plan mensual'!H7,0))+parametros_manuales!$F$42*('Plan mensual'!H4+IF(parametros_manuales!$H$42="Todos",'Plan mensual'!H8,0))+parametros_manuales!$G$42*('Plan mensual'!H5+IF(parametros_manuales!$H$42="Todos",'Plan mensual'!H9,0)))*parametros_manuales!$I$42*parametros_manuales!$J$42</f>
        <v>505.2024831084</v>
      </c>
      <c r="G25" s="9" t="n">
        <f aca="false">(parametros_manuales!$D$42*('Plan mensual'!I2+IF(parametros_manuales!$H$42="Todos",'Plan mensual'!I6,0))+parametros_manuales!$E$42*('Plan mensual'!I3+IF(parametros_manuales!$H$42="Todos",'Plan mensual'!I7,0))+parametros_manuales!$F$42*('Plan mensual'!I4+IF(parametros_manuales!$H$42="Todos",'Plan mensual'!I8,0))+parametros_manuales!$G$42*('Plan mensual'!I5+IF(parametros_manuales!$H$42="Todos",'Plan mensual'!I9,0)))*parametros_manuales!$I$42*parametros_manuales!$J$42</f>
        <v>491.90930028975</v>
      </c>
      <c r="H25" s="9" t="n">
        <f aca="false">(parametros_manuales!$D$42*('Plan mensual'!J2+IF(parametros_manuales!$H$42="Todos",'Plan mensual'!J6,0))+parametros_manuales!$E$42*('Plan mensual'!J3+IF(parametros_manuales!$H$42="Todos",'Plan mensual'!J7,0))+parametros_manuales!$F$42*('Plan mensual'!J4+IF(parametros_manuales!$H$42="Todos",'Plan mensual'!J8,0))+parametros_manuales!$G$42*('Plan mensual'!J5+IF(parametros_manuales!$H$42="Todos",'Plan mensual'!J9,0)))*parametros_manuales!$I$42*parametros_manuales!$J$42</f>
        <v>526.0961658234</v>
      </c>
      <c r="I25" s="9" t="n">
        <f aca="false">(parametros_manuales!$D$42*('Plan mensual'!K2+IF(parametros_manuales!$H$42="Todos",'Plan mensual'!K6,0))+parametros_manuales!$E$42*('Plan mensual'!K3+IF(parametros_manuales!$H$42="Todos",'Plan mensual'!K7,0))+parametros_manuales!$F$42*('Plan mensual'!K4+IF(parametros_manuales!$H$42="Todos",'Plan mensual'!K8,0))+parametros_manuales!$G$42*('Plan mensual'!K5+IF(parametros_manuales!$H$42="Todos",'Plan mensual'!K9,0)))*parametros_manuales!$I$42*parametros_manuales!$J$42</f>
        <v>526.0961658234</v>
      </c>
      <c r="J25" s="9" t="n">
        <f aca="false">(parametros_manuales!$D$42*('Plan mensual'!L2+IF(parametros_manuales!$H$42="Todos",'Plan mensual'!L6,0))+parametros_manuales!$E$42*('Plan mensual'!L3+IF(parametros_manuales!$H$42="Todos",'Plan mensual'!L7,0))+parametros_manuales!$F$42*('Plan mensual'!L4+IF(parametros_manuales!$H$42="Todos",'Plan mensual'!L8,0))+parametros_manuales!$G$42*('Plan mensual'!L5+IF(parametros_manuales!$H$42="Todos",'Plan mensual'!L9,0)))*parametros_manuales!$I$42*parametros_manuales!$J$42</f>
        <v>526.0961658234</v>
      </c>
      <c r="K25" s="9" t="n">
        <f aca="false">(parametros_manuales!$D$42*('Plan mensual'!M2+IF(parametros_manuales!$H$42="Todos",'Plan mensual'!M6,0))+parametros_manuales!$E$42*('Plan mensual'!M3+IF(parametros_manuales!$H$42="Todos",'Plan mensual'!M7,0))+parametros_manuales!$F$42*('Plan mensual'!M4+IF(parametros_manuales!$H$42="Todos",'Plan mensual'!M8,0))+parametros_manuales!$G$42*('Plan mensual'!M5+IF(parametros_manuales!$H$42="Todos",'Plan mensual'!M9,0)))*parametros_manuales!$I$42*parametros_manuales!$J$42</f>
        <v>512.80298300475</v>
      </c>
      <c r="L25" s="9" t="n">
        <f aca="false">(parametros_manuales!$D$42*('Plan mensual'!N2+IF(parametros_manuales!$H$42="Todos",'Plan mensual'!N6,0))+parametros_manuales!$E$42*('Plan mensual'!N3+IF(parametros_manuales!$H$42="Todos",'Plan mensual'!N7,0))+parametros_manuales!$F$42*('Plan mensual'!N4+IF(parametros_manuales!$H$42="Todos",'Plan mensual'!N8,0))+parametros_manuales!$G$42*('Plan mensual'!N5+IF(parametros_manuales!$H$42="Todos",'Plan mensual'!N9,0)))*parametros_manuales!$I$42*parametros_manuales!$J$42</f>
        <v>499.5098001861</v>
      </c>
      <c r="M25" s="9" t="n">
        <f aca="false">(parametros_manuales!$D$42*('Plan mensual'!O2+IF(parametros_manuales!$H$42="Todos",'Plan mensual'!O6,0))+parametros_manuales!$E$42*('Plan mensual'!O3+IF(parametros_manuales!$H$42="Todos",'Plan mensual'!O7,0))+parametros_manuales!$F$42*('Plan mensual'!O4+IF(parametros_manuales!$H$42="Todos",'Plan mensual'!O8,0))+parametros_manuales!$G$42*('Plan mensual'!O5+IF(parametros_manuales!$H$42="Todos",'Plan mensual'!O9,0)))*parametros_manuales!$I$42*parametros_manuales!$J$42</f>
        <v>793.8984071703</v>
      </c>
      <c r="N25" s="9" t="n">
        <f aca="false">SUM(B25:M25)</f>
        <v>6837.37310673</v>
      </c>
      <c r="O25" s="9" t="n">
        <f aca="false">MAX(B25:M25)</f>
        <v>793.8984071703</v>
      </c>
      <c r="P25" s="43" t="n">
        <f aca="false">O25/(parametros_manuales!$B$7)</f>
        <v>5.292656047802</v>
      </c>
      <c r="Q25" s="8" t="str">
        <f aca="false">IF(O25=0,"-",INDEX($B$1:$M$1,MATCH(O25,B25:M25,0)))</f>
        <v>Dic</v>
      </c>
    </row>
    <row r="26" customFormat="false" ht="14.25" hidden="false" customHeight="true" outlineLevel="0" collapsed="false">
      <c r="A26" s="8" t="str">
        <f aca="false">parametros_manuales!$B$43</f>
        <v>Embalaje y paletizado</v>
      </c>
      <c r="B26" s="9" t="n">
        <f aca="false">(parametros_manuales!$D$43*('Plan mensual'!D2+IF(parametros_manuales!$H$43="Todos",'Plan mensual'!D6,0))+parametros_manuales!$E$43*('Plan mensual'!D3+IF(parametros_manuales!$H$43="Todos",'Plan mensual'!D7,0))+parametros_manuales!$F$43*('Plan mensual'!D4+IF(parametros_manuales!$H$43="Todos",'Plan mensual'!D8,0))+parametros_manuales!$G$43*('Plan mensual'!D5+IF(parametros_manuales!$H$43="Todos",'Plan mensual'!D9,0)))*parametros_manuales!$I$43*parametros_manuales!$J$43</f>
        <v>770.112041533</v>
      </c>
      <c r="C26" s="9" t="n">
        <f aca="false">(parametros_manuales!$D$43*('Plan mensual'!E2+IF(parametros_manuales!$H$43="Todos",'Plan mensual'!E6,0))+parametros_manuales!$E$43*('Plan mensual'!E3+IF(parametros_manuales!$H$43="Todos",'Plan mensual'!E7,0))+parametros_manuales!$F$43*('Plan mensual'!E4+IF(parametros_manuales!$H$43="Todos",'Plan mensual'!E8,0))+parametros_manuales!$G$43*('Plan mensual'!E5+IF(parametros_manuales!$H$43="Todos",'Plan mensual'!E9,0)))*parametros_manuales!$I$43*parametros_manuales!$J$43</f>
        <v>591.0172139684</v>
      </c>
      <c r="D26" s="9" t="n">
        <f aca="false">(parametros_manuales!$D$43*('Plan mensual'!F2+IF(parametros_manuales!$H$43="Todos",'Plan mensual'!F6,0))+parametros_manuales!$E$43*('Plan mensual'!F3+IF(parametros_manuales!$H$43="Todos",'Plan mensual'!F7,0))+parametros_manuales!$F$43*('Plan mensual'!F4+IF(parametros_manuales!$H$43="Todos",'Plan mensual'!F8,0))+parametros_manuales!$G$43*('Plan mensual'!F5+IF(parametros_manuales!$H$43="Todos",'Plan mensual'!F9,0)))*parametros_manuales!$I$43*parametros_manuales!$J$43</f>
        <v>562.66303135705</v>
      </c>
      <c r="E26" s="9" t="n">
        <f aca="false">(parametros_manuales!$D$43*('Plan mensual'!G2+IF(parametros_manuales!$H$43="Todos",'Plan mensual'!G6,0))+parametros_manuales!$E$43*('Plan mensual'!G3+IF(parametros_manuales!$H$43="Todos",'Plan mensual'!G7,0))+parametros_manuales!$F$43*('Plan mensual'!G4+IF(parametros_manuales!$H$43="Todos",'Plan mensual'!G8,0))+parametros_manuales!$G$43*('Plan mensual'!G5+IF(parametros_manuales!$H$43="Todos",'Plan mensual'!G9,0)))*parametros_manuales!$I$43*parametros_manuales!$J$43</f>
        <v>541.76934864205</v>
      </c>
      <c r="F26" s="9" t="n">
        <f aca="false">(parametros_manuales!$D$43*('Plan mensual'!H2+IF(parametros_manuales!$H$43="Todos",'Plan mensual'!H6,0))+parametros_manuales!$E$43*('Plan mensual'!H3+IF(parametros_manuales!$H$43="Todos",'Plan mensual'!H7,0))+parametros_manuales!$F$43*('Plan mensual'!H4+IF(parametros_manuales!$H$43="Todos",'Plan mensual'!H8,0))+parametros_manuales!$G$43*('Plan mensual'!H5+IF(parametros_manuales!$H$43="Todos",'Plan mensual'!H9,0)))*parametros_manuales!$I$43*parametros_manuales!$J$43</f>
        <v>507.4424831084</v>
      </c>
      <c r="G26" s="9" t="n">
        <f aca="false">(parametros_manuales!$D$43*('Plan mensual'!I2+IF(parametros_manuales!$H$43="Todos",'Plan mensual'!I6,0))+parametros_manuales!$E$43*('Plan mensual'!I3+IF(parametros_manuales!$H$43="Todos",'Plan mensual'!I7,0))+parametros_manuales!$F$43*('Plan mensual'!I4+IF(parametros_manuales!$H$43="Todos",'Plan mensual'!I8,0))+parametros_manuales!$G$43*('Plan mensual'!I5+IF(parametros_manuales!$H$43="Todos",'Plan mensual'!I9,0)))*parametros_manuales!$I$43*parametros_manuales!$J$43</f>
        <v>494.00930028975</v>
      </c>
      <c r="H26" s="9" t="n">
        <f aca="false">(parametros_manuales!$D$43*('Plan mensual'!J2+IF(parametros_manuales!$H$43="Todos",'Plan mensual'!J6,0))+parametros_manuales!$E$43*('Plan mensual'!J3+IF(parametros_manuales!$H$43="Todos",'Plan mensual'!J7,0))+parametros_manuales!$F$43*('Plan mensual'!J4+IF(parametros_manuales!$H$43="Todos",'Plan mensual'!J8,0))+parametros_manuales!$G$43*('Plan mensual'!J5+IF(parametros_manuales!$H$43="Todos",'Plan mensual'!J9,0)))*parametros_manuales!$I$43*parametros_manuales!$J$43</f>
        <v>528.3361658234</v>
      </c>
      <c r="I26" s="9" t="n">
        <f aca="false">(parametros_manuales!$D$43*('Plan mensual'!K2+IF(parametros_manuales!$H$43="Todos",'Plan mensual'!K6,0))+parametros_manuales!$E$43*('Plan mensual'!K3+IF(parametros_manuales!$H$43="Todos",'Plan mensual'!K7,0))+parametros_manuales!$F$43*('Plan mensual'!K4+IF(parametros_manuales!$H$43="Todos",'Plan mensual'!K8,0))+parametros_manuales!$G$43*('Plan mensual'!K5+IF(parametros_manuales!$H$43="Todos",'Plan mensual'!K9,0)))*parametros_manuales!$I$43*parametros_manuales!$J$43</f>
        <v>528.3361658234</v>
      </c>
      <c r="J26" s="9" t="n">
        <f aca="false">(parametros_manuales!$D$43*('Plan mensual'!L2+IF(parametros_manuales!$H$43="Todos",'Plan mensual'!L6,0))+parametros_manuales!$E$43*('Plan mensual'!L3+IF(parametros_manuales!$H$43="Todos",'Plan mensual'!L7,0))+parametros_manuales!$F$43*('Plan mensual'!L4+IF(parametros_manuales!$H$43="Todos",'Plan mensual'!L8,0))+parametros_manuales!$G$43*('Plan mensual'!L5+IF(parametros_manuales!$H$43="Todos",'Plan mensual'!L9,0)))*parametros_manuales!$I$43*parametros_manuales!$J$43</f>
        <v>528.3361658234</v>
      </c>
      <c r="K26" s="9" t="n">
        <f aca="false">(parametros_manuales!$D$43*('Plan mensual'!M2+IF(parametros_manuales!$H$43="Todos",'Plan mensual'!M6,0))+parametros_manuales!$E$43*('Plan mensual'!M3+IF(parametros_manuales!$H$43="Todos",'Plan mensual'!M7,0))+parametros_manuales!$F$43*('Plan mensual'!M4+IF(parametros_manuales!$H$43="Todos",'Plan mensual'!M8,0))+parametros_manuales!$G$43*('Plan mensual'!M5+IF(parametros_manuales!$H$43="Todos",'Plan mensual'!M9,0)))*parametros_manuales!$I$43*parametros_manuales!$J$43</f>
        <v>514.90298300475</v>
      </c>
      <c r="L26" s="9" t="n">
        <f aca="false">(parametros_manuales!$D$43*('Plan mensual'!N2+IF(parametros_manuales!$H$43="Todos",'Plan mensual'!N6,0))+parametros_manuales!$E$43*('Plan mensual'!N3+IF(parametros_manuales!$H$43="Todos",'Plan mensual'!N7,0))+parametros_manuales!$F$43*('Plan mensual'!N4+IF(parametros_manuales!$H$43="Todos",'Plan mensual'!N8,0))+parametros_manuales!$G$43*('Plan mensual'!N5+IF(parametros_manuales!$H$43="Todos",'Plan mensual'!N9,0)))*parametros_manuales!$I$43*parametros_manuales!$J$43</f>
        <v>501.4698001861</v>
      </c>
      <c r="M26" s="9" t="n">
        <f aca="false">(parametros_manuales!$D$43*('Plan mensual'!O2+IF(parametros_manuales!$H$43="Todos",'Plan mensual'!O6,0))+parametros_manuales!$E$43*('Plan mensual'!O3+IF(parametros_manuales!$H$43="Todos",'Plan mensual'!O7,0))+parametros_manuales!$F$43*('Plan mensual'!O4+IF(parametros_manuales!$H$43="Todos",'Plan mensual'!O8,0))+parametros_manuales!$G$43*('Plan mensual'!O5+IF(parametros_manuales!$H$43="Todos",'Plan mensual'!O9,0)))*parametros_manuales!$I$43*parametros_manuales!$J$43</f>
        <v>796.9784071703</v>
      </c>
      <c r="N26" s="9" t="n">
        <f aca="false">SUM(B26:M26)</f>
        <v>6865.37310673</v>
      </c>
      <c r="O26" s="9" t="n">
        <f aca="false">MAX(B26:M26)</f>
        <v>796.9784071703</v>
      </c>
      <c r="P26" s="43" t="n">
        <f aca="false">O26/(parametros_manuales!$B$7)</f>
        <v>5.31318938113533</v>
      </c>
      <c r="Q26" s="8" t="str">
        <f aca="false">IF(O26=0,"-",INDEX($B$1:$M$1,MATCH(O26,B26:M26,0)))</f>
        <v>Dic</v>
      </c>
    </row>
    <row r="27" customFormat="false" ht="14.25" hidden="false" customHeight="true" outlineLevel="0" collapsed="false"/>
    <row r="28" customFormat="false" ht="14.25" hidden="false" customHeight="true" outlineLevel="0" collapsed="false">
      <c r="A28" s="7" t="s">
        <v>191</v>
      </c>
      <c r="B28" s="7" t="s">
        <v>61</v>
      </c>
      <c r="C28" s="7" t="s">
        <v>62</v>
      </c>
      <c r="D28" s="7" t="s">
        <v>63</v>
      </c>
      <c r="E28" s="7" t="s">
        <v>64</v>
      </c>
      <c r="F28" s="7" t="s">
        <v>65</v>
      </c>
      <c r="G28" s="7" t="s">
        <v>66</v>
      </c>
      <c r="H28" s="7" t="s">
        <v>67</v>
      </c>
      <c r="I28" s="7" t="s">
        <v>68</v>
      </c>
      <c r="J28" s="7" t="s">
        <v>69</v>
      </c>
      <c r="K28" s="7" t="s">
        <v>70</v>
      </c>
      <c r="L28" s="7" t="s">
        <v>71</v>
      </c>
      <c r="M28" s="7" t="s">
        <v>72</v>
      </c>
      <c r="N28" s="7" t="s">
        <v>183</v>
      </c>
      <c r="O28" s="7" t="s">
        <v>188</v>
      </c>
      <c r="P28" s="7" t="s">
        <v>189</v>
      </c>
      <c r="Q28" s="7" t="s">
        <v>190</v>
      </c>
    </row>
    <row r="29" customFormat="false" ht="14.25" hidden="false" customHeight="true" outlineLevel="0" collapsed="false">
      <c r="A29" s="8" t="str">
        <f aca="false">parametros_manuales!$B$19</f>
        <v>Recepción de materia prima</v>
      </c>
      <c r="B29" s="9" t="n">
        <f aca="false">(parametros_manuales!$D$19*('Plan mensual'!D13+IF(parametros_manuales!$H$19="Todos",'Plan mensual'!D17,0))+parametros_manuales!$E$19*('Plan mensual'!D14+IF(parametros_manuales!$H$19="Todos",'Plan mensual'!D18,0))+parametros_manuales!$F$19*('Plan mensual'!D15+IF(parametros_manuales!$H$19="Todos",'Plan mensual'!D19,0))+parametros_manuales!$G$19*('Plan mensual'!D16+IF(parametros_manuales!$H$19="Todos",'Plan mensual'!D20,0)))*parametros_manuales!$I$19*parametros_manuales!$J$19</f>
        <v>1205.92384004</v>
      </c>
      <c r="C29" s="9" t="n">
        <f aca="false">(parametros_manuales!$D$19*('Plan mensual'!E13+IF(parametros_manuales!$H$19="Todos",'Plan mensual'!E17,0))+parametros_manuales!$E$19*('Plan mensual'!E14+IF(parametros_manuales!$H$19="Todos",'Plan mensual'!E18,0))+parametros_manuales!$F$19*('Plan mensual'!E15+IF(parametros_manuales!$H$19="Todos",'Plan mensual'!E19,0))+parametros_manuales!$G$19*('Plan mensual'!E16+IF(parametros_manuales!$H$19="Todos",'Plan mensual'!E20,0)))*parametros_manuales!$I$19*parametros_manuales!$J$19</f>
        <v>928.75524817</v>
      </c>
      <c r="D29" s="9" t="n">
        <f aca="false">(parametros_manuales!$D$19*('Plan mensual'!F13+IF(parametros_manuales!$H$19="Todos",'Plan mensual'!F17,0))+parametros_manuales!$E$19*('Plan mensual'!F14+IF(parametros_manuales!$H$19="Todos",'Plan mensual'!F18,0))+parametros_manuales!$F$19*('Plan mensual'!F15+IF(parametros_manuales!$H$19="Todos",'Plan mensual'!F19,0))+parametros_manuales!$G$19*('Plan mensual'!F16+IF(parametros_manuales!$H$19="Todos",'Plan mensual'!F20,0)))*parametros_manuales!$I$19*parametros_manuales!$J$19</f>
        <v>893.09457654</v>
      </c>
      <c r="E29" s="9" t="n">
        <f aca="false">(parametros_manuales!$D$19*('Plan mensual'!G13+IF(parametros_manuales!$H$19="Todos",'Plan mensual'!G17,0))+parametros_manuales!$E$19*('Plan mensual'!G14+IF(parametros_manuales!$H$19="Todos",'Plan mensual'!G18,0))+parametros_manuales!$F$19*('Plan mensual'!G15+IF(parametros_manuales!$H$19="Todos",'Plan mensual'!G19,0))+parametros_manuales!$G$19*('Plan mensual'!G16+IF(parametros_manuales!$H$19="Todos",'Plan mensual'!G20,0)))*parametros_manuales!$I$19*parametros_manuales!$J$19</f>
        <v>863.108056655</v>
      </c>
      <c r="F29" s="9" t="n">
        <f aca="false">(parametros_manuales!$D$19*('Plan mensual'!H13+IF(parametros_manuales!$H$19="Todos",'Plan mensual'!H17,0))+parametros_manuales!$E$19*('Plan mensual'!H14+IF(parametros_manuales!$H$19="Todos",'Plan mensual'!H18,0))+parametros_manuales!$F$19*('Plan mensual'!H15+IF(parametros_manuales!$H$19="Todos",'Plan mensual'!H19,0))+parametros_manuales!$G$19*('Plan mensual'!H16+IF(parametros_manuales!$H$19="Todos",'Plan mensual'!H20,0)))*parametros_manuales!$I$19*parametros_manuales!$J$19</f>
        <v>808.80916863</v>
      </c>
      <c r="G29" s="9" t="n">
        <f aca="false">(parametros_manuales!$D$19*('Plan mensual'!I13+IF(parametros_manuales!$H$19="Todos",'Plan mensual'!I17,0))+parametros_manuales!$E$19*('Plan mensual'!I14+IF(parametros_manuales!$H$19="Todos",'Plan mensual'!I18,0))+parametros_manuales!$F$19*('Plan mensual'!I15+IF(parametros_manuales!$H$19="Todos",'Plan mensual'!I19,0))+parametros_manuales!$G$19*('Plan mensual'!I16+IF(parametros_manuales!$H$19="Todos",'Plan mensual'!I20,0)))*parametros_manuales!$I$19*parametros_manuales!$J$19</f>
        <v>784.49680049</v>
      </c>
      <c r="H29" s="9" t="n">
        <f aca="false">(parametros_manuales!$D$19*('Plan mensual'!J13+IF(parametros_manuales!$H$19="Todos",'Plan mensual'!J17,0))+parametros_manuales!$E$19*('Plan mensual'!J14+IF(parametros_manuales!$H$19="Todos",'Plan mensual'!J18,0))+parametros_manuales!$F$19*('Plan mensual'!J15+IF(parametros_manuales!$H$19="Todos",'Plan mensual'!J19,0))+parametros_manuales!$G$19*('Plan mensual'!J16+IF(parametros_manuales!$H$19="Todos",'Plan mensual'!J20,0)))*parametros_manuales!$I$19*parametros_manuales!$J$19</f>
        <v>838.795688515</v>
      </c>
      <c r="I29" s="9" t="n">
        <f aca="false">(parametros_manuales!$D$19*('Plan mensual'!K13+IF(parametros_manuales!$H$19="Todos",'Plan mensual'!K17,0))+parametros_manuales!$E$19*('Plan mensual'!K14+IF(parametros_manuales!$H$19="Todos",'Plan mensual'!K18,0))+parametros_manuales!$F$19*('Plan mensual'!K15+IF(parametros_manuales!$H$19="Todos",'Plan mensual'!K19,0))+parametros_manuales!$G$19*('Plan mensual'!K16+IF(parametros_manuales!$H$19="Todos",'Plan mensual'!K20,0)))*parametros_manuales!$I$19*parametros_manuales!$J$19</f>
        <v>838.795688515</v>
      </c>
      <c r="J29" s="9" t="n">
        <f aca="false">(parametros_manuales!$D$19*('Plan mensual'!L13+IF(parametros_manuales!$H$19="Todos",'Plan mensual'!L17,0))+parametros_manuales!$E$19*('Plan mensual'!L14+IF(parametros_manuales!$H$19="Todos",'Plan mensual'!L18,0))+parametros_manuales!$F$19*('Plan mensual'!L15+IF(parametros_manuales!$H$19="Todos",'Plan mensual'!L19,0))+parametros_manuales!$G$19*('Plan mensual'!L16+IF(parametros_manuales!$H$19="Todos",'Plan mensual'!L20,0)))*parametros_manuales!$I$19*parametros_manuales!$J$19</f>
        <v>838.795688515</v>
      </c>
      <c r="K29" s="9" t="n">
        <f aca="false">(parametros_manuales!$D$19*('Plan mensual'!M13+IF(parametros_manuales!$H$19="Todos",'Plan mensual'!M17,0))+parametros_manuales!$E$19*('Plan mensual'!M14+IF(parametros_manuales!$H$19="Todos",'Plan mensual'!M18,0))+parametros_manuales!$F$19*('Plan mensual'!M15+IF(parametros_manuales!$H$19="Todos",'Plan mensual'!M19,0))+parametros_manuales!$G$19*('Plan mensual'!M16+IF(parametros_manuales!$H$19="Todos",'Plan mensual'!M20,0)))*parametros_manuales!$I$19*parametros_manuales!$J$19</f>
        <v>814.483320375</v>
      </c>
      <c r="L29" s="9" t="n">
        <f aca="false">(parametros_manuales!$D$19*('Plan mensual'!N13+IF(parametros_manuales!$H$19="Todos",'Plan mensual'!N17,0))+parametros_manuales!$E$19*('Plan mensual'!N14+IF(parametros_manuales!$H$19="Todos",'Plan mensual'!N18,0))+parametros_manuales!$F$19*('Plan mensual'!N15+IF(parametros_manuales!$H$19="Todos",'Plan mensual'!N19,0))+parametros_manuales!$G$19*('Plan mensual'!N16+IF(parametros_manuales!$H$19="Todos",'Plan mensual'!N20,0)))*parametros_manuales!$I$19*parametros_manuales!$J$19</f>
        <v>790.170952235</v>
      </c>
      <c r="M29" s="9" t="n">
        <f aca="false">(parametros_manuales!$D$19*('Plan mensual'!O13+IF(parametros_manuales!$H$19="Todos",'Plan mensual'!O17,0))+parametros_manuales!$E$19*('Plan mensual'!O14+IF(parametros_manuales!$H$19="Todos",'Plan mensual'!O18,0))+parametros_manuales!$F$19*('Plan mensual'!O15+IF(parametros_manuales!$H$19="Todos",'Plan mensual'!O19,0))+parametros_manuales!$G$19*('Plan mensual'!O16+IF(parametros_manuales!$H$19="Todos",'Plan mensual'!O20,0)))*parametros_manuales!$I$19*parametros_manuales!$J$19</f>
        <v>1254.54857632</v>
      </c>
      <c r="N29" s="9" t="n">
        <f aca="false">SUM(B29:M29)</f>
        <v>10859.777605</v>
      </c>
      <c r="O29" s="9" t="n">
        <f aca="false">MAX(B29:M29)</f>
        <v>1254.54857632</v>
      </c>
      <c r="P29" s="43" t="n">
        <f aca="false">O29/(parametros_manuales!$B$7)</f>
        <v>8.36365717546667</v>
      </c>
      <c r="Q29" s="8" t="str">
        <f aca="false">IF(O29=0,"-",INDEX($B$28:$M$28,MATCH(O29,B29:M29,0)))</f>
        <v>Dic</v>
      </c>
    </row>
    <row r="30" customFormat="false" ht="14.25" hidden="false" customHeight="true" outlineLevel="0" collapsed="false">
      <c r="A30" s="8" t="str">
        <f aca="false">parametros_manuales!$B$20</f>
        <v>Corte de chapa (guillotina) — 2,5 a 10 kg</v>
      </c>
      <c r="B30" s="9" t="n">
        <f aca="false">(parametros_manuales!$D$20*('Plan mensual'!D13+IF(parametros_manuales!$H$20="Todos",'Plan mensual'!D17,0))+parametros_manuales!$E$20*('Plan mensual'!D14+IF(parametros_manuales!$H$20="Todos",'Plan mensual'!D18,0))+parametros_manuales!$F$20*('Plan mensual'!D15+IF(parametros_manuales!$H$20="Todos",'Plan mensual'!D19,0))+parametros_manuales!$G$20*('Plan mensual'!D16+IF(parametros_manuales!$H$20="Todos",'Plan mensual'!D20,0)))*parametros_manuales!$I$20*parametros_manuales!$J$20</f>
        <v>486.2473628</v>
      </c>
      <c r="C30" s="9" t="n">
        <f aca="false">(parametros_manuales!$D$20*('Plan mensual'!E13+IF(parametros_manuales!$H$20="Todos",'Plan mensual'!E17,0))+parametros_manuales!$E$20*('Plan mensual'!E14+IF(parametros_manuales!$H$20="Todos",'Plan mensual'!E18,0))+parametros_manuales!$F$20*('Plan mensual'!E15+IF(parametros_manuales!$H$20="Todos",'Plan mensual'!E19,0))+parametros_manuales!$G$20*('Plan mensual'!E16+IF(parametros_manuales!$H$20="Todos",'Plan mensual'!E20,0)))*parametros_manuales!$I$20*parametros_manuales!$J$20</f>
        <v>388.99789024</v>
      </c>
      <c r="D30" s="9" t="n">
        <f aca="false">(parametros_manuales!$D$20*('Plan mensual'!F13+IF(parametros_manuales!$H$20="Todos",'Plan mensual'!F17,0))+parametros_manuales!$E$20*('Plan mensual'!F14+IF(parametros_manuales!$H$20="Todos",'Plan mensual'!F18,0))+parametros_manuales!$F$20*('Plan mensual'!F15+IF(parametros_manuales!$H$20="Todos",'Plan mensual'!F19,0))+parametros_manuales!$G$20*('Plan mensual'!F16+IF(parametros_manuales!$H$20="Todos",'Plan mensual'!F20,0)))*parametros_manuales!$I$20*parametros_manuales!$J$20</f>
        <v>413.31025838</v>
      </c>
      <c r="E30" s="9" t="n">
        <f aca="false">(parametros_manuales!$D$20*('Plan mensual'!G13+IF(parametros_manuales!$H$20="Todos",'Plan mensual'!G17,0))+parametros_manuales!$E$20*('Plan mensual'!G14+IF(parametros_manuales!$H$20="Todos",'Plan mensual'!G18,0))+parametros_manuales!$F$20*('Plan mensual'!G15+IF(parametros_manuales!$H$20="Todos",'Plan mensual'!G19,0))+parametros_manuales!$G$20*('Plan mensual'!G16+IF(parametros_manuales!$H$20="Todos",'Plan mensual'!G20,0)))*parametros_manuales!$I$20*parametros_manuales!$J$20</f>
        <v>413.31025838</v>
      </c>
      <c r="F30" s="9" t="n">
        <f aca="false">(parametros_manuales!$D$20*('Plan mensual'!H13+IF(parametros_manuales!$H$20="Todos",'Plan mensual'!H17,0))+parametros_manuales!$E$20*('Plan mensual'!H14+IF(parametros_manuales!$H$20="Todos",'Plan mensual'!H18,0))+parametros_manuales!$F$20*('Plan mensual'!H15+IF(parametros_manuales!$H$20="Todos",'Plan mensual'!H19,0))+parametros_manuales!$G$20*('Plan mensual'!H16+IF(parametros_manuales!$H$20="Todos",'Plan mensual'!H20,0)))*parametros_manuales!$I$20*parametros_manuales!$J$20</f>
        <v>388.99789024</v>
      </c>
      <c r="G30" s="9" t="n">
        <f aca="false">(parametros_manuales!$D$20*('Plan mensual'!I13+IF(parametros_manuales!$H$20="Todos",'Plan mensual'!I17,0))+parametros_manuales!$E$20*('Plan mensual'!I14+IF(parametros_manuales!$H$20="Todos",'Plan mensual'!I18,0))+parametros_manuales!$F$20*('Plan mensual'!I15+IF(parametros_manuales!$H$20="Todos",'Plan mensual'!I19,0))+parametros_manuales!$G$20*('Plan mensual'!I16+IF(parametros_manuales!$H$20="Todos",'Plan mensual'!I20,0)))*parametros_manuales!$I$20*parametros_manuales!$J$20</f>
        <v>364.6855221</v>
      </c>
      <c r="H30" s="9" t="n">
        <f aca="false">(parametros_manuales!$D$20*('Plan mensual'!J13+IF(parametros_manuales!$H$20="Todos",'Plan mensual'!J17,0))+parametros_manuales!$E$20*('Plan mensual'!J14+IF(parametros_manuales!$H$20="Todos",'Plan mensual'!J18,0))+parametros_manuales!$F$20*('Plan mensual'!J15+IF(parametros_manuales!$H$20="Todos",'Plan mensual'!J19,0))+parametros_manuales!$G$20*('Plan mensual'!J16+IF(parametros_manuales!$H$20="Todos",'Plan mensual'!J20,0)))*parametros_manuales!$I$20*parametros_manuales!$J$20</f>
        <v>388.99789024</v>
      </c>
      <c r="I30" s="9" t="n">
        <f aca="false">(parametros_manuales!$D$20*('Plan mensual'!K13+IF(parametros_manuales!$H$20="Todos",'Plan mensual'!K17,0))+parametros_manuales!$E$20*('Plan mensual'!K14+IF(parametros_manuales!$H$20="Todos",'Plan mensual'!K18,0))+parametros_manuales!$F$20*('Plan mensual'!K15+IF(parametros_manuales!$H$20="Todos",'Plan mensual'!K19,0))+parametros_manuales!$G$20*('Plan mensual'!K16+IF(parametros_manuales!$H$20="Todos",'Plan mensual'!K20,0)))*parametros_manuales!$I$20*parametros_manuales!$J$20</f>
        <v>388.99789024</v>
      </c>
      <c r="J30" s="9" t="n">
        <f aca="false">(parametros_manuales!$D$20*('Plan mensual'!L13+IF(parametros_manuales!$H$20="Todos",'Plan mensual'!L17,0))+parametros_manuales!$E$20*('Plan mensual'!L14+IF(parametros_manuales!$H$20="Todos",'Plan mensual'!L18,0))+parametros_manuales!$F$20*('Plan mensual'!L15+IF(parametros_manuales!$H$20="Todos",'Plan mensual'!L19,0))+parametros_manuales!$G$20*('Plan mensual'!L16+IF(parametros_manuales!$H$20="Todos",'Plan mensual'!L20,0)))*parametros_manuales!$I$20*parametros_manuales!$J$20</f>
        <v>388.99789024</v>
      </c>
      <c r="K30" s="9" t="n">
        <f aca="false">(parametros_manuales!$D$20*('Plan mensual'!M13+IF(parametros_manuales!$H$20="Todos",'Plan mensual'!M17,0))+parametros_manuales!$E$20*('Plan mensual'!M14+IF(parametros_manuales!$H$20="Todos",'Plan mensual'!M18,0))+parametros_manuales!$F$20*('Plan mensual'!M15+IF(parametros_manuales!$H$20="Todos",'Plan mensual'!M19,0))+parametros_manuales!$G$20*('Plan mensual'!M16+IF(parametros_manuales!$H$20="Todos",'Plan mensual'!M20,0)))*parametros_manuales!$I$20*parametros_manuales!$J$20</f>
        <v>364.6855221</v>
      </c>
      <c r="L30" s="9" t="n">
        <f aca="false">(parametros_manuales!$D$20*('Plan mensual'!N13+IF(parametros_manuales!$H$20="Todos",'Plan mensual'!N17,0))+parametros_manuales!$E$20*('Plan mensual'!N14+IF(parametros_manuales!$H$20="Todos",'Plan mensual'!N18,0))+parametros_manuales!$F$20*('Plan mensual'!N15+IF(parametros_manuales!$H$20="Todos",'Plan mensual'!N19,0))+parametros_manuales!$G$20*('Plan mensual'!N16+IF(parametros_manuales!$H$20="Todos",'Plan mensual'!N20,0)))*parametros_manuales!$I$20*parametros_manuales!$J$20</f>
        <v>340.37315396</v>
      </c>
      <c r="M30" s="9" t="n">
        <f aca="false">(parametros_manuales!$D$20*('Plan mensual'!O13+IF(parametros_manuales!$H$20="Todos",'Plan mensual'!O17,0))+parametros_manuales!$E$20*('Plan mensual'!O14+IF(parametros_manuales!$H$20="Todos",'Plan mensual'!O18,0))+parametros_manuales!$F$20*('Plan mensual'!O15+IF(parametros_manuales!$H$20="Todos",'Plan mensual'!O19,0))+parametros_manuales!$G$20*('Plan mensual'!O16+IF(parametros_manuales!$H$20="Todos",'Plan mensual'!O20,0)))*parametros_manuales!$I$20*parametros_manuales!$J$20</f>
        <v>534.87209908</v>
      </c>
      <c r="N30" s="9" t="n">
        <f aca="false">SUM(B30:M30)</f>
        <v>4862.473628</v>
      </c>
      <c r="O30" s="9" t="n">
        <f aca="false">MAX(B30:M30)</f>
        <v>534.87209908</v>
      </c>
      <c r="P30" s="43" t="n">
        <f aca="false">O30/(parametros_manuales!$B$7)</f>
        <v>3.56581399386667</v>
      </c>
      <c r="Q30" s="8" t="str">
        <f aca="false">IF(O30=0,"-",INDEX($B$28:$M$28,MATCH(O30,B30:M30,0)))</f>
        <v>Dic</v>
      </c>
    </row>
    <row r="31" customFormat="false" ht="14.25" hidden="false" customHeight="true" outlineLevel="0" collapsed="false">
      <c r="A31" s="8" t="str">
        <f aca="false">parametros_manuales!$B$21</f>
        <v>Corte de tubo — 1 kg</v>
      </c>
      <c r="B31" s="9" t="n">
        <f aca="false">(parametros_manuales!$D$21*('Plan mensual'!D13+IF(parametros_manuales!$H$21="Todos",'Plan mensual'!D17,0))+parametros_manuales!$E$21*('Plan mensual'!D14+IF(parametros_manuales!$H$21="Todos",'Plan mensual'!D18,0))+parametros_manuales!$F$21*('Plan mensual'!D15+IF(parametros_manuales!$H$21="Todos",'Plan mensual'!D19,0))+parametros_manuales!$G$21*('Plan mensual'!D16+IF(parametros_manuales!$H$21="Todos",'Plan mensual'!D20,0)))*parametros_manuales!$I$21*parametros_manuales!$J$21</f>
        <v>719.67647724</v>
      </c>
      <c r="C31" s="9" t="n">
        <f aca="false">(parametros_manuales!$D$21*('Plan mensual'!E13+IF(parametros_manuales!$H$21="Todos",'Plan mensual'!E17,0))+parametros_manuales!$E$21*('Plan mensual'!E14+IF(parametros_manuales!$H$21="Todos",'Plan mensual'!E18,0))+parametros_manuales!$F$21*('Plan mensual'!E15+IF(parametros_manuales!$H$21="Todos",'Plan mensual'!E19,0))+parametros_manuales!$G$21*('Plan mensual'!E16+IF(parametros_manuales!$H$21="Todos",'Plan mensual'!E20,0)))*parametros_manuales!$I$21*parametros_manuales!$J$21</f>
        <v>539.75735793</v>
      </c>
      <c r="D31" s="9" t="n">
        <f aca="false">(parametros_manuales!$D$21*('Plan mensual'!F13+IF(parametros_manuales!$H$21="Todos",'Plan mensual'!F17,0))+parametros_manuales!$E$21*('Plan mensual'!F14+IF(parametros_manuales!$H$21="Todos",'Plan mensual'!F18,0))+parametros_manuales!$F$21*('Plan mensual'!F15+IF(parametros_manuales!$H$21="Todos",'Plan mensual'!F19,0))+parametros_manuales!$G$21*('Plan mensual'!F16+IF(parametros_manuales!$H$21="Todos",'Plan mensual'!F20,0)))*parametros_manuales!$I$21*parametros_manuales!$J$21</f>
        <v>479.78431816</v>
      </c>
      <c r="E31" s="9" t="n">
        <f aca="false">(parametros_manuales!$D$21*('Plan mensual'!G13+IF(parametros_manuales!$H$21="Todos",'Plan mensual'!G17,0))+parametros_manuales!$E$21*('Plan mensual'!G14+IF(parametros_manuales!$H$21="Todos",'Plan mensual'!G18,0))+parametros_manuales!$F$21*('Plan mensual'!G15+IF(parametros_manuales!$H$21="Todos",'Plan mensual'!G19,0))+parametros_manuales!$G$21*('Plan mensual'!G16+IF(parametros_manuales!$H$21="Todos",'Plan mensual'!G20,0)))*parametros_manuales!$I$21*parametros_manuales!$J$21</f>
        <v>449.797798275</v>
      </c>
      <c r="F31" s="9" t="n">
        <f aca="false">(parametros_manuales!$D$21*('Plan mensual'!H13+IF(parametros_manuales!$H$21="Todos",'Plan mensual'!H17,0))+parametros_manuales!$E$21*('Plan mensual'!H14+IF(parametros_manuales!$H$21="Todos",'Plan mensual'!H18,0))+parametros_manuales!$F$21*('Plan mensual'!H15+IF(parametros_manuales!$H$21="Todos",'Plan mensual'!H19,0))+parametros_manuales!$G$21*('Plan mensual'!H16+IF(parametros_manuales!$H$21="Todos",'Plan mensual'!H20,0)))*parametros_manuales!$I$21*parametros_manuales!$J$21</f>
        <v>419.81127839</v>
      </c>
      <c r="G31" s="9" t="n">
        <f aca="false">(parametros_manuales!$D$21*('Plan mensual'!I13+IF(parametros_manuales!$H$21="Todos",'Plan mensual'!I17,0))+parametros_manuales!$E$21*('Plan mensual'!I14+IF(parametros_manuales!$H$21="Todos",'Plan mensual'!I18,0))+parametros_manuales!$F$21*('Plan mensual'!I15+IF(parametros_manuales!$H$21="Todos",'Plan mensual'!I19,0))+parametros_manuales!$G$21*('Plan mensual'!I16+IF(parametros_manuales!$H$21="Todos",'Plan mensual'!I20,0)))*parametros_manuales!$I$21*parametros_manuales!$J$21</f>
        <v>419.81127839</v>
      </c>
      <c r="H31" s="9" t="n">
        <f aca="false">(parametros_manuales!$D$21*('Plan mensual'!J13+IF(parametros_manuales!$H$21="Todos",'Plan mensual'!J17,0))+parametros_manuales!$E$21*('Plan mensual'!J14+IF(parametros_manuales!$H$21="Todos",'Plan mensual'!J18,0))+parametros_manuales!$F$21*('Plan mensual'!J15+IF(parametros_manuales!$H$21="Todos",'Plan mensual'!J19,0))+parametros_manuales!$G$21*('Plan mensual'!J16+IF(parametros_manuales!$H$21="Todos",'Plan mensual'!J20,0)))*parametros_manuales!$I$21*parametros_manuales!$J$21</f>
        <v>449.797798275</v>
      </c>
      <c r="I31" s="9" t="n">
        <f aca="false">(parametros_manuales!$D$21*('Plan mensual'!K13+IF(parametros_manuales!$H$21="Todos",'Plan mensual'!K17,0))+parametros_manuales!$E$21*('Plan mensual'!K14+IF(parametros_manuales!$H$21="Todos",'Plan mensual'!K18,0))+parametros_manuales!$F$21*('Plan mensual'!K15+IF(parametros_manuales!$H$21="Todos",'Plan mensual'!K19,0))+parametros_manuales!$G$21*('Plan mensual'!K16+IF(parametros_manuales!$H$21="Todos",'Plan mensual'!K20,0)))*parametros_manuales!$I$21*parametros_manuales!$J$21</f>
        <v>449.797798275</v>
      </c>
      <c r="J31" s="9" t="n">
        <f aca="false">(parametros_manuales!$D$21*('Plan mensual'!L13+IF(parametros_manuales!$H$21="Todos",'Plan mensual'!L17,0))+parametros_manuales!$E$21*('Plan mensual'!L14+IF(parametros_manuales!$H$21="Todos",'Plan mensual'!L18,0))+parametros_manuales!$F$21*('Plan mensual'!L15+IF(parametros_manuales!$H$21="Todos",'Plan mensual'!L19,0))+parametros_manuales!$G$21*('Plan mensual'!L16+IF(parametros_manuales!$H$21="Todos",'Plan mensual'!L20,0)))*parametros_manuales!$I$21*parametros_manuales!$J$21</f>
        <v>449.797798275</v>
      </c>
      <c r="K31" s="9" t="n">
        <f aca="false">(parametros_manuales!$D$21*('Plan mensual'!M13+IF(parametros_manuales!$H$21="Todos",'Plan mensual'!M17,0))+parametros_manuales!$E$21*('Plan mensual'!M14+IF(parametros_manuales!$H$21="Todos",'Plan mensual'!M18,0))+parametros_manuales!$F$21*('Plan mensual'!M15+IF(parametros_manuales!$H$21="Todos",'Plan mensual'!M19,0))+parametros_manuales!$G$21*('Plan mensual'!M16+IF(parametros_manuales!$H$21="Todos",'Plan mensual'!M20,0)))*parametros_manuales!$I$21*parametros_manuales!$J$21</f>
        <v>449.797798275</v>
      </c>
      <c r="L31" s="9" t="n">
        <f aca="false">(parametros_manuales!$D$21*('Plan mensual'!N13+IF(parametros_manuales!$H$21="Todos",'Plan mensual'!N17,0))+parametros_manuales!$E$21*('Plan mensual'!N14+IF(parametros_manuales!$H$21="Todos",'Plan mensual'!N18,0))+parametros_manuales!$F$21*('Plan mensual'!N15+IF(parametros_manuales!$H$21="Todos",'Plan mensual'!N19,0))+parametros_manuales!$G$21*('Plan mensual'!N16+IF(parametros_manuales!$H$21="Todos",'Plan mensual'!N20,0)))*parametros_manuales!$I$21*parametros_manuales!$J$21</f>
        <v>449.797798275</v>
      </c>
      <c r="M31" s="9" t="n">
        <f aca="false">(parametros_manuales!$D$21*('Plan mensual'!O13+IF(parametros_manuales!$H$21="Todos",'Plan mensual'!O17,0))+parametros_manuales!$E$21*('Plan mensual'!O14+IF(parametros_manuales!$H$21="Todos",'Plan mensual'!O18,0))+parametros_manuales!$F$21*('Plan mensual'!O15+IF(parametros_manuales!$H$21="Todos",'Plan mensual'!O19,0))+parametros_manuales!$G$21*('Plan mensual'!O16+IF(parametros_manuales!$H$21="Todos",'Plan mensual'!O20,0)))*parametros_manuales!$I$21*parametros_manuales!$J$21</f>
        <v>719.67647724</v>
      </c>
      <c r="N31" s="9" t="n">
        <f aca="false">SUM(B31:M31)</f>
        <v>5997.303977</v>
      </c>
      <c r="O31" s="9" t="n">
        <f aca="false">MAX(B31:M31)</f>
        <v>719.67647724</v>
      </c>
      <c r="P31" s="43" t="n">
        <f aca="false">O31/(parametros_manuales!$B$7)</f>
        <v>4.7978431816</v>
      </c>
      <c r="Q31" s="8" t="str">
        <f aca="false">IF(O31=0,"-",INDEX($B$28:$M$28,MATCH(O31,B31:M31,0)))</f>
        <v>Ene</v>
      </c>
    </row>
    <row r="32" customFormat="false" ht="14.25" hidden="false" customHeight="true" outlineLevel="0" collapsed="false">
      <c r="A32" s="8" t="str">
        <f aca="false">parametros_manuales!$B$22</f>
        <v>Corte de disco y embutido (cúpula y fondo)</v>
      </c>
      <c r="B32" s="9" t="n">
        <f aca="false">(parametros_manuales!$D$22*('Plan mensual'!D13+IF(parametros_manuales!$H$22="Todos",'Plan mensual'!D17,0))+parametros_manuales!$E$22*('Plan mensual'!D14+IF(parametros_manuales!$H$22="Todos",'Plan mensual'!D18,0))+parametros_manuales!$F$22*('Plan mensual'!D15+IF(parametros_manuales!$H$22="Todos",'Plan mensual'!D19,0))+parametros_manuales!$G$22*('Plan mensual'!D16+IF(parametros_manuales!$H$22="Todos",'Plan mensual'!D20,0)))*parametros_manuales!$I$22*parametros_manuales!$J$22</f>
        <v>2411.84768008</v>
      </c>
      <c r="C32" s="9" t="n">
        <f aca="false">(parametros_manuales!$D$22*('Plan mensual'!E13+IF(parametros_manuales!$H$22="Todos",'Plan mensual'!E17,0))+parametros_manuales!$E$22*('Plan mensual'!E14+IF(parametros_manuales!$H$22="Todos",'Plan mensual'!E18,0))+parametros_manuales!$F$22*('Plan mensual'!E15+IF(parametros_manuales!$H$22="Todos",'Plan mensual'!E19,0))+parametros_manuales!$G$22*('Plan mensual'!E16+IF(parametros_manuales!$H$22="Todos",'Plan mensual'!E20,0)))*parametros_manuales!$I$22*parametros_manuales!$J$22</f>
        <v>1857.51049634</v>
      </c>
      <c r="D32" s="9" t="n">
        <f aca="false">(parametros_manuales!$D$22*('Plan mensual'!F13+IF(parametros_manuales!$H$22="Todos",'Plan mensual'!F17,0))+parametros_manuales!$E$22*('Plan mensual'!F14+IF(parametros_manuales!$H$22="Todos",'Plan mensual'!F18,0))+parametros_manuales!$F$22*('Plan mensual'!F15+IF(parametros_manuales!$H$22="Todos",'Plan mensual'!F19,0))+parametros_manuales!$G$22*('Plan mensual'!F16+IF(parametros_manuales!$H$22="Todos",'Plan mensual'!F20,0)))*parametros_manuales!$I$22*parametros_manuales!$J$22</f>
        <v>1786.18915308</v>
      </c>
      <c r="E32" s="9" t="n">
        <f aca="false">(parametros_manuales!$D$22*('Plan mensual'!G13+IF(parametros_manuales!$H$22="Todos",'Plan mensual'!G17,0))+parametros_manuales!$E$22*('Plan mensual'!G14+IF(parametros_manuales!$H$22="Todos",'Plan mensual'!G18,0))+parametros_manuales!$F$22*('Plan mensual'!G15+IF(parametros_manuales!$H$22="Todos",'Plan mensual'!G19,0))+parametros_manuales!$G$22*('Plan mensual'!G16+IF(parametros_manuales!$H$22="Todos",'Plan mensual'!G20,0)))*parametros_manuales!$I$22*parametros_manuales!$J$22</f>
        <v>1726.21611331</v>
      </c>
      <c r="F32" s="9" t="n">
        <f aca="false">(parametros_manuales!$D$22*('Plan mensual'!H13+IF(parametros_manuales!$H$22="Todos",'Plan mensual'!H17,0))+parametros_manuales!$E$22*('Plan mensual'!H14+IF(parametros_manuales!$H$22="Todos",'Plan mensual'!H18,0))+parametros_manuales!$F$22*('Plan mensual'!H15+IF(parametros_manuales!$H$22="Todos",'Plan mensual'!H19,0))+parametros_manuales!$G$22*('Plan mensual'!H16+IF(parametros_manuales!$H$22="Todos",'Plan mensual'!H20,0)))*parametros_manuales!$I$22*parametros_manuales!$J$22</f>
        <v>1617.61833726</v>
      </c>
      <c r="G32" s="9" t="n">
        <f aca="false">(parametros_manuales!$D$22*('Plan mensual'!I13+IF(parametros_manuales!$H$22="Todos",'Plan mensual'!I17,0))+parametros_manuales!$E$22*('Plan mensual'!I14+IF(parametros_manuales!$H$22="Todos",'Plan mensual'!I18,0))+parametros_manuales!$F$22*('Plan mensual'!I15+IF(parametros_manuales!$H$22="Todos",'Plan mensual'!I19,0))+parametros_manuales!$G$22*('Plan mensual'!I16+IF(parametros_manuales!$H$22="Todos",'Plan mensual'!I20,0)))*parametros_manuales!$I$22*parametros_manuales!$J$22</f>
        <v>1568.99360098</v>
      </c>
      <c r="H32" s="9" t="n">
        <f aca="false">(parametros_manuales!$D$22*('Plan mensual'!J13+IF(parametros_manuales!$H$22="Todos",'Plan mensual'!J17,0))+parametros_manuales!$E$22*('Plan mensual'!J14+IF(parametros_manuales!$H$22="Todos",'Plan mensual'!J18,0))+parametros_manuales!$F$22*('Plan mensual'!J15+IF(parametros_manuales!$H$22="Todos",'Plan mensual'!J19,0))+parametros_manuales!$G$22*('Plan mensual'!J16+IF(parametros_manuales!$H$22="Todos",'Plan mensual'!J20,0)))*parametros_manuales!$I$22*parametros_manuales!$J$22</f>
        <v>1677.59137703</v>
      </c>
      <c r="I32" s="9" t="n">
        <f aca="false">(parametros_manuales!$D$22*('Plan mensual'!K13+IF(parametros_manuales!$H$22="Todos",'Plan mensual'!K17,0))+parametros_manuales!$E$22*('Plan mensual'!K14+IF(parametros_manuales!$H$22="Todos",'Plan mensual'!K18,0))+parametros_manuales!$F$22*('Plan mensual'!K15+IF(parametros_manuales!$H$22="Todos",'Plan mensual'!K19,0))+parametros_manuales!$G$22*('Plan mensual'!K16+IF(parametros_manuales!$H$22="Todos",'Plan mensual'!K20,0)))*parametros_manuales!$I$22*parametros_manuales!$J$22</f>
        <v>1677.59137703</v>
      </c>
      <c r="J32" s="9" t="n">
        <f aca="false">(parametros_manuales!$D$22*('Plan mensual'!L13+IF(parametros_manuales!$H$22="Todos",'Plan mensual'!L17,0))+parametros_manuales!$E$22*('Plan mensual'!L14+IF(parametros_manuales!$H$22="Todos",'Plan mensual'!L18,0))+parametros_manuales!$F$22*('Plan mensual'!L15+IF(parametros_manuales!$H$22="Todos",'Plan mensual'!L19,0))+parametros_manuales!$G$22*('Plan mensual'!L16+IF(parametros_manuales!$H$22="Todos",'Plan mensual'!L20,0)))*parametros_manuales!$I$22*parametros_manuales!$J$22</f>
        <v>1677.59137703</v>
      </c>
      <c r="K32" s="9" t="n">
        <f aca="false">(parametros_manuales!$D$22*('Plan mensual'!M13+IF(parametros_manuales!$H$22="Todos",'Plan mensual'!M17,0))+parametros_manuales!$E$22*('Plan mensual'!M14+IF(parametros_manuales!$H$22="Todos",'Plan mensual'!M18,0))+parametros_manuales!$F$22*('Plan mensual'!M15+IF(parametros_manuales!$H$22="Todos",'Plan mensual'!M19,0))+parametros_manuales!$G$22*('Plan mensual'!M16+IF(parametros_manuales!$H$22="Todos",'Plan mensual'!M20,0)))*parametros_manuales!$I$22*parametros_manuales!$J$22</f>
        <v>1628.96664075</v>
      </c>
      <c r="L32" s="9" t="n">
        <f aca="false">(parametros_manuales!$D$22*('Plan mensual'!N13+IF(parametros_manuales!$H$22="Todos",'Plan mensual'!N17,0))+parametros_manuales!$E$22*('Plan mensual'!N14+IF(parametros_manuales!$H$22="Todos",'Plan mensual'!N18,0))+parametros_manuales!$F$22*('Plan mensual'!N15+IF(parametros_manuales!$H$22="Todos",'Plan mensual'!N19,0))+parametros_manuales!$G$22*('Plan mensual'!N16+IF(parametros_manuales!$H$22="Todos",'Plan mensual'!N20,0)))*parametros_manuales!$I$22*parametros_manuales!$J$22</f>
        <v>1580.34190447</v>
      </c>
      <c r="M32" s="9" t="n">
        <f aca="false">(parametros_manuales!$D$22*('Plan mensual'!O13+IF(parametros_manuales!$H$22="Todos",'Plan mensual'!O17,0))+parametros_manuales!$E$22*('Plan mensual'!O14+IF(parametros_manuales!$H$22="Todos",'Plan mensual'!O18,0))+parametros_manuales!$F$22*('Plan mensual'!O15+IF(parametros_manuales!$H$22="Todos",'Plan mensual'!O19,0))+parametros_manuales!$G$22*('Plan mensual'!O16+IF(parametros_manuales!$H$22="Todos",'Plan mensual'!O20,0)))*parametros_manuales!$I$22*parametros_manuales!$J$22</f>
        <v>2509.09715264</v>
      </c>
      <c r="N32" s="9" t="n">
        <f aca="false">SUM(B32:M32)</f>
        <v>21719.55521</v>
      </c>
      <c r="O32" s="9" t="n">
        <f aca="false">MAX(B32:M32)</f>
        <v>2509.09715264</v>
      </c>
      <c r="P32" s="43" t="n">
        <f aca="false">O32/(parametros_manuales!$B$7)</f>
        <v>16.7273143509333</v>
      </c>
      <c r="Q32" s="8" t="str">
        <f aca="false">IF(O32=0,"-",INDEX($B$28:$M$28,MATCH(O32,B32:M32,0)))</f>
        <v>Dic</v>
      </c>
    </row>
    <row r="33" customFormat="false" ht="14.25" hidden="false" customHeight="true" outlineLevel="0" collapsed="false">
      <c r="A33" s="8" t="str">
        <f aca="false">parametros_manuales!$B$23</f>
        <v>Preparación de cuello</v>
      </c>
      <c r="B33" s="9" t="n">
        <f aca="false">(parametros_manuales!$D$23*('Plan mensual'!D13+IF(parametros_manuales!$H$23="Todos",'Plan mensual'!D17,0))+parametros_manuales!$E$23*('Plan mensual'!D14+IF(parametros_manuales!$H$23="Todos",'Plan mensual'!D18,0))+parametros_manuales!$F$23*('Plan mensual'!D15+IF(parametros_manuales!$H$23="Todos",'Plan mensual'!D19,0))+parametros_manuales!$G$23*('Plan mensual'!D16+IF(parametros_manuales!$H$23="Todos",'Plan mensual'!D20,0)))*parametros_manuales!$I$23*parametros_manuales!$J$23</f>
        <v>1205.92384004</v>
      </c>
      <c r="C33" s="9" t="n">
        <f aca="false">(parametros_manuales!$D$23*('Plan mensual'!E13+IF(parametros_manuales!$H$23="Todos",'Plan mensual'!E17,0))+parametros_manuales!$E$23*('Plan mensual'!E14+IF(parametros_manuales!$H$23="Todos",'Plan mensual'!E18,0))+parametros_manuales!$F$23*('Plan mensual'!E15+IF(parametros_manuales!$H$23="Todos",'Plan mensual'!E19,0))+parametros_manuales!$G$23*('Plan mensual'!E16+IF(parametros_manuales!$H$23="Todos",'Plan mensual'!E20,0)))*parametros_manuales!$I$23*parametros_manuales!$J$23</f>
        <v>928.75524817</v>
      </c>
      <c r="D33" s="9" t="n">
        <f aca="false">(parametros_manuales!$D$23*('Plan mensual'!F13+IF(parametros_manuales!$H$23="Todos",'Plan mensual'!F17,0))+parametros_manuales!$E$23*('Plan mensual'!F14+IF(parametros_manuales!$H$23="Todos",'Plan mensual'!F18,0))+parametros_manuales!$F$23*('Plan mensual'!F15+IF(parametros_manuales!$H$23="Todos",'Plan mensual'!F19,0))+parametros_manuales!$G$23*('Plan mensual'!F16+IF(parametros_manuales!$H$23="Todos",'Plan mensual'!F20,0)))*parametros_manuales!$I$23*parametros_manuales!$J$23</f>
        <v>893.09457654</v>
      </c>
      <c r="E33" s="9" t="n">
        <f aca="false">(parametros_manuales!$D$23*('Plan mensual'!G13+IF(parametros_manuales!$H$23="Todos",'Plan mensual'!G17,0))+parametros_manuales!$E$23*('Plan mensual'!G14+IF(parametros_manuales!$H$23="Todos",'Plan mensual'!G18,0))+parametros_manuales!$F$23*('Plan mensual'!G15+IF(parametros_manuales!$H$23="Todos",'Plan mensual'!G19,0))+parametros_manuales!$G$23*('Plan mensual'!G16+IF(parametros_manuales!$H$23="Todos",'Plan mensual'!G20,0)))*parametros_manuales!$I$23*parametros_manuales!$J$23</f>
        <v>863.108056655</v>
      </c>
      <c r="F33" s="9" t="n">
        <f aca="false">(parametros_manuales!$D$23*('Plan mensual'!H13+IF(parametros_manuales!$H$23="Todos",'Plan mensual'!H17,0))+parametros_manuales!$E$23*('Plan mensual'!H14+IF(parametros_manuales!$H$23="Todos",'Plan mensual'!H18,0))+parametros_manuales!$F$23*('Plan mensual'!H15+IF(parametros_manuales!$H$23="Todos",'Plan mensual'!H19,0))+parametros_manuales!$G$23*('Plan mensual'!H16+IF(parametros_manuales!$H$23="Todos",'Plan mensual'!H20,0)))*parametros_manuales!$I$23*parametros_manuales!$J$23</f>
        <v>808.80916863</v>
      </c>
      <c r="G33" s="9" t="n">
        <f aca="false">(parametros_manuales!$D$23*('Plan mensual'!I13+IF(parametros_manuales!$H$23="Todos",'Plan mensual'!I17,0))+parametros_manuales!$E$23*('Plan mensual'!I14+IF(parametros_manuales!$H$23="Todos",'Plan mensual'!I18,0))+parametros_manuales!$F$23*('Plan mensual'!I15+IF(parametros_manuales!$H$23="Todos",'Plan mensual'!I19,0))+parametros_manuales!$G$23*('Plan mensual'!I16+IF(parametros_manuales!$H$23="Todos",'Plan mensual'!I20,0)))*parametros_manuales!$I$23*parametros_manuales!$J$23</f>
        <v>784.49680049</v>
      </c>
      <c r="H33" s="9" t="n">
        <f aca="false">(parametros_manuales!$D$23*('Plan mensual'!J13+IF(parametros_manuales!$H$23="Todos",'Plan mensual'!J17,0))+parametros_manuales!$E$23*('Plan mensual'!J14+IF(parametros_manuales!$H$23="Todos",'Plan mensual'!J18,0))+parametros_manuales!$F$23*('Plan mensual'!J15+IF(parametros_manuales!$H$23="Todos",'Plan mensual'!J19,0))+parametros_manuales!$G$23*('Plan mensual'!J16+IF(parametros_manuales!$H$23="Todos",'Plan mensual'!J20,0)))*parametros_manuales!$I$23*parametros_manuales!$J$23</f>
        <v>838.795688515</v>
      </c>
      <c r="I33" s="9" t="n">
        <f aca="false">(parametros_manuales!$D$23*('Plan mensual'!K13+IF(parametros_manuales!$H$23="Todos",'Plan mensual'!K17,0))+parametros_manuales!$E$23*('Plan mensual'!K14+IF(parametros_manuales!$H$23="Todos",'Plan mensual'!K18,0))+parametros_manuales!$F$23*('Plan mensual'!K15+IF(parametros_manuales!$H$23="Todos",'Plan mensual'!K19,0))+parametros_manuales!$G$23*('Plan mensual'!K16+IF(parametros_manuales!$H$23="Todos",'Plan mensual'!K20,0)))*parametros_manuales!$I$23*parametros_manuales!$J$23</f>
        <v>838.795688515</v>
      </c>
      <c r="J33" s="9" t="n">
        <f aca="false">(parametros_manuales!$D$23*('Plan mensual'!L13+IF(parametros_manuales!$H$23="Todos",'Plan mensual'!L17,0))+parametros_manuales!$E$23*('Plan mensual'!L14+IF(parametros_manuales!$H$23="Todos",'Plan mensual'!L18,0))+parametros_manuales!$F$23*('Plan mensual'!L15+IF(parametros_manuales!$H$23="Todos",'Plan mensual'!L19,0))+parametros_manuales!$G$23*('Plan mensual'!L16+IF(parametros_manuales!$H$23="Todos",'Plan mensual'!L20,0)))*parametros_manuales!$I$23*parametros_manuales!$J$23</f>
        <v>838.795688515</v>
      </c>
      <c r="K33" s="9" t="n">
        <f aca="false">(parametros_manuales!$D$23*('Plan mensual'!M13+IF(parametros_manuales!$H$23="Todos",'Plan mensual'!M17,0))+parametros_manuales!$E$23*('Plan mensual'!M14+IF(parametros_manuales!$H$23="Todos",'Plan mensual'!M18,0))+parametros_manuales!$F$23*('Plan mensual'!M15+IF(parametros_manuales!$H$23="Todos",'Plan mensual'!M19,0))+parametros_manuales!$G$23*('Plan mensual'!M16+IF(parametros_manuales!$H$23="Todos",'Plan mensual'!M20,0)))*parametros_manuales!$I$23*parametros_manuales!$J$23</f>
        <v>814.483320375</v>
      </c>
      <c r="L33" s="9" t="n">
        <f aca="false">(parametros_manuales!$D$23*('Plan mensual'!N13+IF(parametros_manuales!$H$23="Todos",'Plan mensual'!N17,0))+parametros_manuales!$E$23*('Plan mensual'!N14+IF(parametros_manuales!$H$23="Todos",'Plan mensual'!N18,0))+parametros_manuales!$F$23*('Plan mensual'!N15+IF(parametros_manuales!$H$23="Todos",'Plan mensual'!N19,0))+parametros_manuales!$G$23*('Plan mensual'!N16+IF(parametros_manuales!$H$23="Todos",'Plan mensual'!N20,0)))*parametros_manuales!$I$23*parametros_manuales!$J$23</f>
        <v>790.170952235</v>
      </c>
      <c r="M33" s="9" t="n">
        <f aca="false">(parametros_manuales!$D$23*('Plan mensual'!O13+IF(parametros_manuales!$H$23="Todos",'Plan mensual'!O17,0))+parametros_manuales!$E$23*('Plan mensual'!O14+IF(parametros_manuales!$H$23="Todos",'Plan mensual'!O18,0))+parametros_manuales!$F$23*('Plan mensual'!O15+IF(parametros_manuales!$H$23="Todos",'Plan mensual'!O19,0))+parametros_manuales!$G$23*('Plan mensual'!O16+IF(parametros_manuales!$H$23="Todos",'Plan mensual'!O20,0)))*parametros_manuales!$I$23*parametros_manuales!$J$23</f>
        <v>1254.54857632</v>
      </c>
      <c r="N33" s="9" t="n">
        <f aca="false">SUM(B33:M33)</f>
        <v>10859.777605</v>
      </c>
      <c r="O33" s="9" t="n">
        <f aca="false">MAX(B33:M33)</f>
        <v>1254.54857632</v>
      </c>
      <c r="P33" s="43" t="n">
        <f aca="false">O33/(parametros_manuales!$B$7)</f>
        <v>8.36365717546667</v>
      </c>
      <c r="Q33" s="8" t="str">
        <f aca="false">IF(O33=0,"-",INDEX($B$28:$M$28,MATCH(O33,B33:M33,0)))</f>
        <v>Dic</v>
      </c>
    </row>
    <row r="34" customFormat="false" ht="14.25" hidden="false" customHeight="true" outlineLevel="0" collapsed="false">
      <c r="A34" s="8" t="str">
        <f aca="false">parametros_manuales!$B$24</f>
        <v>Numerado de cúpula</v>
      </c>
      <c r="B34" s="9" t="n">
        <f aca="false">(parametros_manuales!$D$24*('Plan mensual'!D13+IF(parametros_manuales!$H$24="Todos",'Plan mensual'!D17,0))+parametros_manuales!$E$24*('Plan mensual'!D14+IF(parametros_manuales!$H$24="Todos",'Plan mensual'!D18,0))+parametros_manuales!$F$24*('Plan mensual'!D15+IF(parametros_manuales!$H$24="Todos",'Plan mensual'!D19,0))+parametros_manuales!$G$24*('Plan mensual'!D16+IF(parametros_manuales!$H$24="Todos",'Plan mensual'!D20,0)))*parametros_manuales!$I$24*parametros_manuales!$J$24</f>
        <v>1205.92384004</v>
      </c>
      <c r="C34" s="9" t="n">
        <f aca="false">(parametros_manuales!$D$24*('Plan mensual'!E13+IF(parametros_manuales!$H$24="Todos",'Plan mensual'!E17,0))+parametros_manuales!$E$24*('Plan mensual'!E14+IF(parametros_manuales!$H$24="Todos",'Plan mensual'!E18,0))+parametros_manuales!$F$24*('Plan mensual'!E15+IF(parametros_manuales!$H$24="Todos",'Plan mensual'!E19,0))+parametros_manuales!$G$24*('Plan mensual'!E16+IF(parametros_manuales!$H$24="Todos",'Plan mensual'!E20,0)))*parametros_manuales!$I$24*parametros_manuales!$J$24</f>
        <v>928.75524817</v>
      </c>
      <c r="D34" s="9" t="n">
        <f aca="false">(parametros_manuales!$D$24*('Plan mensual'!F13+IF(parametros_manuales!$H$24="Todos",'Plan mensual'!F17,0))+parametros_manuales!$E$24*('Plan mensual'!F14+IF(parametros_manuales!$H$24="Todos",'Plan mensual'!F18,0))+parametros_manuales!$F$24*('Plan mensual'!F15+IF(parametros_manuales!$H$24="Todos",'Plan mensual'!F19,0))+parametros_manuales!$G$24*('Plan mensual'!F16+IF(parametros_manuales!$H$24="Todos",'Plan mensual'!F20,0)))*parametros_manuales!$I$24*parametros_manuales!$J$24</f>
        <v>893.09457654</v>
      </c>
      <c r="E34" s="9" t="n">
        <f aca="false">(parametros_manuales!$D$24*('Plan mensual'!G13+IF(parametros_manuales!$H$24="Todos",'Plan mensual'!G17,0))+parametros_manuales!$E$24*('Plan mensual'!G14+IF(parametros_manuales!$H$24="Todos",'Plan mensual'!G18,0))+parametros_manuales!$F$24*('Plan mensual'!G15+IF(parametros_manuales!$H$24="Todos",'Plan mensual'!G19,0))+parametros_manuales!$G$24*('Plan mensual'!G16+IF(parametros_manuales!$H$24="Todos",'Plan mensual'!G20,0)))*parametros_manuales!$I$24*parametros_manuales!$J$24</f>
        <v>863.108056655</v>
      </c>
      <c r="F34" s="9" t="n">
        <f aca="false">(parametros_manuales!$D$24*('Plan mensual'!H13+IF(parametros_manuales!$H$24="Todos",'Plan mensual'!H17,0))+parametros_manuales!$E$24*('Plan mensual'!H14+IF(parametros_manuales!$H$24="Todos",'Plan mensual'!H18,0))+parametros_manuales!$F$24*('Plan mensual'!H15+IF(parametros_manuales!$H$24="Todos",'Plan mensual'!H19,0))+parametros_manuales!$G$24*('Plan mensual'!H16+IF(parametros_manuales!$H$24="Todos",'Plan mensual'!H20,0)))*parametros_manuales!$I$24*parametros_manuales!$J$24</f>
        <v>808.80916863</v>
      </c>
      <c r="G34" s="9" t="n">
        <f aca="false">(parametros_manuales!$D$24*('Plan mensual'!I13+IF(parametros_manuales!$H$24="Todos",'Plan mensual'!I17,0))+parametros_manuales!$E$24*('Plan mensual'!I14+IF(parametros_manuales!$H$24="Todos",'Plan mensual'!I18,0))+parametros_manuales!$F$24*('Plan mensual'!I15+IF(parametros_manuales!$H$24="Todos",'Plan mensual'!I19,0))+parametros_manuales!$G$24*('Plan mensual'!I16+IF(parametros_manuales!$H$24="Todos",'Plan mensual'!I20,0)))*parametros_manuales!$I$24*parametros_manuales!$J$24</f>
        <v>784.49680049</v>
      </c>
      <c r="H34" s="9" t="n">
        <f aca="false">(parametros_manuales!$D$24*('Plan mensual'!J13+IF(parametros_manuales!$H$24="Todos",'Plan mensual'!J17,0))+parametros_manuales!$E$24*('Plan mensual'!J14+IF(parametros_manuales!$H$24="Todos",'Plan mensual'!J18,0))+parametros_manuales!$F$24*('Plan mensual'!J15+IF(parametros_manuales!$H$24="Todos",'Plan mensual'!J19,0))+parametros_manuales!$G$24*('Plan mensual'!J16+IF(parametros_manuales!$H$24="Todos",'Plan mensual'!J20,0)))*parametros_manuales!$I$24*parametros_manuales!$J$24</f>
        <v>838.795688515</v>
      </c>
      <c r="I34" s="9" t="n">
        <f aca="false">(parametros_manuales!$D$24*('Plan mensual'!K13+IF(parametros_manuales!$H$24="Todos",'Plan mensual'!K17,0))+parametros_manuales!$E$24*('Plan mensual'!K14+IF(parametros_manuales!$H$24="Todos",'Plan mensual'!K18,0))+parametros_manuales!$F$24*('Plan mensual'!K15+IF(parametros_manuales!$H$24="Todos",'Plan mensual'!K19,0))+parametros_manuales!$G$24*('Plan mensual'!K16+IF(parametros_manuales!$H$24="Todos",'Plan mensual'!K20,0)))*parametros_manuales!$I$24*parametros_manuales!$J$24</f>
        <v>838.795688515</v>
      </c>
      <c r="J34" s="9" t="n">
        <f aca="false">(parametros_manuales!$D$24*('Plan mensual'!L13+IF(parametros_manuales!$H$24="Todos",'Plan mensual'!L17,0))+parametros_manuales!$E$24*('Plan mensual'!L14+IF(parametros_manuales!$H$24="Todos",'Plan mensual'!L18,0))+parametros_manuales!$F$24*('Plan mensual'!L15+IF(parametros_manuales!$H$24="Todos",'Plan mensual'!L19,0))+parametros_manuales!$G$24*('Plan mensual'!L16+IF(parametros_manuales!$H$24="Todos",'Plan mensual'!L20,0)))*parametros_manuales!$I$24*parametros_manuales!$J$24</f>
        <v>838.795688515</v>
      </c>
      <c r="K34" s="9" t="n">
        <f aca="false">(parametros_manuales!$D$24*('Plan mensual'!M13+IF(parametros_manuales!$H$24="Todos",'Plan mensual'!M17,0))+parametros_manuales!$E$24*('Plan mensual'!M14+IF(parametros_manuales!$H$24="Todos",'Plan mensual'!M18,0))+parametros_manuales!$F$24*('Plan mensual'!M15+IF(parametros_manuales!$H$24="Todos",'Plan mensual'!M19,0))+parametros_manuales!$G$24*('Plan mensual'!M16+IF(parametros_manuales!$H$24="Todos",'Plan mensual'!M20,0)))*parametros_manuales!$I$24*parametros_manuales!$J$24</f>
        <v>814.483320375</v>
      </c>
      <c r="L34" s="9" t="n">
        <f aca="false">(parametros_manuales!$D$24*('Plan mensual'!N13+IF(parametros_manuales!$H$24="Todos",'Plan mensual'!N17,0))+parametros_manuales!$E$24*('Plan mensual'!N14+IF(parametros_manuales!$H$24="Todos",'Plan mensual'!N18,0))+parametros_manuales!$F$24*('Plan mensual'!N15+IF(parametros_manuales!$H$24="Todos",'Plan mensual'!N19,0))+parametros_manuales!$G$24*('Plan mensual'!N16+IF(parametros_manuales!$H$24="Todos",'Plan mensual'!N20,0)))*parametros_manuales!$I$24*parametros_manuales!$J$24</f>
        <v>790.170952235</v>
      </c>
      <c r="M34" s="9" t="n">
        <f aca="false">(parametros_manuales!$D$24*('Plan mensual'!O13+IF(parametros_manuales!$H$24="Todos",'Plan mensual'!O17,0))+parametros_manuales!$E$24*('Plan mensual'!O14+IF(parametros_manuales!$H$24="Todos",'Plan mensual'!O18,0))+parametros_manuales!$F$24*('Plan mensual'!O15+IF(parametros_manuales!$H$24="Todos",'Plan mensual'!O19,0))+parametros_manuales!$G$24*('Plan mensual'!O16+IF(parametros_manuales!$H$24="Todos",'Plan mensual'!O20,0)))*parametros_manuales!$I$24*parametros_manuales!$J$24</f>
        <v>1254.54857632</v>
      </c>
      <c r="N34" s="9" t="n">
        <f aca="false">SUM(B34:M34)</f>
        <v>10859.777605</v>
      </c>
      <c r="O34" s="9" t="n">
        <f aca="false">MAX(B34:M34)</f>
        <v>1254.54857632</v>
      </c>
      <c r="P34" s="43" t="n">
        <f aca="false">O34/(parametros_manuales!$B$7)</f>
        <v>8.36365717546667</v>
      </c>
      <c r="Q34" s="8" t="str">
        <f aca="false">IF(O34=0,"-",INDEX($B$28:$M$28,MATCH(O34,B34:M34,0)))</f>
        <v>Dic</v>
      </c>
    </row>
    <row r="35" customFormat="false" ht="14.25" hidden="false" customHeight="true" outlineLevel="0" collapsed="false">
      <c r="A35" s="8" t="str">
        <f aca="false">parametros_manuales!$B$25</f>
        <v>Soldadura del cuello a la cúpula</v>
      </c>
      <c r="B35" s="9" t="n">
        <f aca="false">(parametros_manuales!$D$25*('Plan mensual'!D13+IF(parametros_manuales!$H$25="Todos",'Plan mensual'!D17,0))+parametros_manuales!$E$25*('Plan mensual'!D14+IF(parametros_manuales!$H$25="Todos",'Plan mensual'!D18,0))+parametros_manuales!$F$25*('Plan mensual'!D15+IF(parametros_manuales!$H$25="Todos",'Plan mensual'!D19,0))+parametros_manuales!$G$25*('Plan mensual'!D16+IF(parametros_manuales!$H$25="Todos",'Plan mensual'!D20,0)))*parametros_manuales!$I$25*parametros_manuales!$J$25</f>
        <v>1205.92384004</v>
      </c>
      <c r="C35" s="9" t="n">
        <f aca="false">(parametros_manuales!$D$25*('Plan mensual'!E13+IF(parametros_manuales!$H$25="Todos",'Plan mensual'!E17,0))+parametros_manuales!$E$25*('Plan mensual'!E14+IF(parametros_manuales!$H$25="Todos",'Plan mensual'!E18,0))+parametros_manuales!$F$25*('Plan mensual'!E15+IF(parametros_manuales!$H$25="Todos",'Plan mensual'!E19,0))+parametros_manuales!$G$25*('Plan mensual'!E16+IF(parametros_manuales!$H$25="Todos",'Plan mensual'!E20,0)))*parametros_manuales!$I$25*parametros_manuales!$J$25</f>
        <v>928.75524817</v>
      </c>
      <c r="D35" s="9" t="n">
        <f aca="false">(parametros_manuales!$D$25*('Plan mensual'!F13+IF(parametros_manuales!$H$25="Todos",'Plan mensual'!F17,0))+parametros_manuales!$E$25*('Plan mensual'!F14+IF(parametros_manuales!$H$25="Todos",'Plan mensual'!F18,0))+parametros_manuales!$F$25*('Plan mensual'!F15+IF(parametros_manuales!$H$25="Todos",'Plan mensual'!F19,0))+parametros_manuales!$G$25*('Plan mensual'!F16+IF(parametros_manuales!$H$25="Todos",'Plan mensual'!F20,0)))*parametros_manuales!$I$25*parametros_manuales!$J$25</f>
        <v>893.09457654</v>
      </c>
      <c r="E35" s="9" t="n">
        <f aca="false">(parametros_manuales!$D$25*('Plan mensual'!G13+IF(parametros_manuales!$H$25="Todos",'Plan mensual'!G17,0))+parametros_manuales!$E$25*('Plan mensual'!G14+IF(parametros_manuales!$H$25="Todos",'Plan mensual'!G18,0))+parametros_manuales!$F$25*('Plan mensual'!G15+IF(parametros_manuales!$H$25="Todos",'Plan mensual'!G19,0))+parametros_manuales!$G$25*('Plan mensual'!G16+IF(parametros_manuales!$H$25="Todos",'Plan mensual'!G20,0)))*parametros_manuales!$I$25*parametros_manuales!$J$25</f>
        <v>863.108056655</v>
      </c>
      <c r="F35" s="9" t="n">
        <f aca="false">(parametros_manuales!$D$25*('Plan mensual'!H13+IF(parametros_manuales!$H$25="Todos",'Plan mensual'!H17,0))+parametros_manuales!$E$25*('Plan mensual'!H14+IF(parametros_manuales!$H$25="Todos",'Plan mensual'!H18,0))+parametros_manuales!$F$25*('Plan mensual'!H15+IF(parametros_manuales!$H$25="Todos",'Plan mensual'!H19,0))+parametros_manuales!$G$25*('Plan mensual'!H16+IF(parametros_manuales!$H$25="Todos",'Plan mensual'!H20,0)))*parametros_manuales!$I$25*parametros_manuales!$J$25</f>
        <v>808.80916863</v>
      </c>
      <c r="G35" s="9" t="n">
        <f aca="false">(parametros_manuales!$D$25*('Plan mensual'!I13+IF(parametros_manuales!$H$25="Todos",'Plan mensual'!I17,0))+parametros_manuales!$E$25*('Plan mensual'!I14+IF(parametros_manuales!$H$25="Todos",'Plan mensual'!I18,0))+parametros_manuales!$F$25*('Plan mensual'!I15+IF(parametros_manuales!$H$25="Todos",'Plan mensual'!I19,0))+parametros_manuales!$G$25*('Plan mensual'!I16+IF(parametros_manuales!$H$25="Todos",'Plan mensual'!I20,0)))*parametros_manuales!$I$25*parametros_manuales!$J$25</f>
        <v>784.49680049</v>
      </c>
      <c r="H35" s="9" t="n">
        <f aca="false">(parametros_manuales!$D$25*('Plan mensual'!J13+IF(parametros_manuales!$H$25="Todos",'Plan mensual'!J17,0))+parametros_manuales!$E$25*('Plan mensual'!J14+IF(parametros_manuales!$H$25="Todos",'Plan mensual'!J18,0))+parametros_manuales!$F$25*('Plan mensual'!J15+IF(parametros_manuales!$H$25="Todos",'Plan mensual'!J19,0))+parametros_manuales!$G$25*('Plan mensual'!J16+IF(parametros_manuales!$H$25="Todos",'Plan mensual'!J20,0)))*parametros_manuales!$I$25*parametros_manuales!$J$25</f>
        <v>838.795688515</v>
      </c>
      <c r="I35" s="9" t="n">
        <f aca="false">(parametros_manuales!$D$25*('Plan mensual'!K13+IF(parametros_manuales!$H$25="Todos",'Plan mensual'!K17,0))+parametros_manuales!$E$25*('Plan mensual'!K14+IF(parametros_manuales!$H$25="Todos",'Plan mensual'!K18,0))+parametros_manuales!$F$25*('Plan mensual'!K15+IF(parametros_manuales!$H$25="Todos",'Plan mensual'!K19,0))+parametros_manuales!$G$25*('Plan mensual'!K16+IF(parametros_manuales!$H$25="Todos",'Plan mensual'!K20,0)))*parametros_manuales!$I$25*parametros_manuales!$J$25</f>
        <v>838.795688515</v>
      </c>
      <c r="J35" s="9" t="n">
        <f aca="false">(parametros_manuales!$D$25*('Plan mensual'!L13+IF(parametros_manuales!$H$25="Todos",'Plan mensual'!L17,0))+parametros_manuales!$E$25*('Plan mensual'!L14+IF(parametros_manuales!$H$25="Todos",'Plan mensual'!L18,0))+parametros_manuales!$F$25*('Plan mensual'!L15+IF(parametros_manuales!$H$25="Todos",'Plan mensual'!L19,0))+parametros_manuales!$G$25*('Plan mensual'!L16+IF(parametros_manuales!$H$25="Todos",'Plan mensual'!L20,0)))*parametros_manuales!$I$25*parametros_manuales!$J$25</f>
        <v>838.795688515</v>
      </c>
      <c r="K35" s="9" t="n">
        <f aca="false">(parametros_manuales!$D$25*('Plan mensual'!M13+IF(parametros_manuales!$H$25="Todos",'Plan mensual'!M17,0))+parametros_manuales!$E$25*('Plan mensual'!M14+IF(parametros_manuales!$H$25="Todos",'Plan mensual'!M18,0))+parametros_manuales!$F$25*('Plan mensual'!M15+IF(parametros_manuales!$H$25="Todos",'Plan mensual'!M19,0))+parametros_manuales!$G$25*('Plan mensual'!M16+IF(parametros_manuales!$H$25="Todos",'Plan mensual'!M20,0)))*parametros_manuales!$I$25*parametros_manuales!$J$25</f>
        <v>814.483320375</v>
      </c>
      <c r="L35" s="9" t="n">
        <f aca="false">(parametros_manuales!$D$25*('Plan mensual'!N13+IF(parametros_manuales!$H$25="Todos",'Plan mensual'!N17,0))+parametros_manuales!$E$25*('Plan mensual'!N14+IF(parametros_manuales!$H$25="Todos",'Plan mensual'!N18,0))+parametros_manuales!$F$25*('Plan mensual'!N15+IF(parametros_manuales!$H$25="Todos",'Plan mensual'!N19,0))+parametros_manuales!$G$25*('Plan mensual'!N16+IF(parametros_manuales!$H$25="Todos",'Plan mensual'!N20,0)))*parametros_manuales!$I$25*parametros_manuales!$J$25</f>
        <v>790.170952235</v>
      </c>
      <c r="M35" s="9" t="n">
        <f aca="false">(parametros_manuales!$D$25*('Plan mensual'!O13+IF(parametros_manuales!$H$25="Todos",'Plan mensual'!O17,0))+parametros_manuales!$E$25*('Plan mensual'!O14+IF(parametros_manuales!$H$25="Todos",'Plan mensual'!O18,0))+parametros_manuales!$F$25*('Plan mensual'!O15+IF(parametros_manuales!$H$25="Todos",'Plan mensual'!O19,0))+parametros_manuales!$G$25*('Plan mensual'!O16+IF(parametros_manuales!$H$25="Todos",'Plan mensual'!O20,0)))*parametros_manuales!$I$25*parametros_manuales!$J$25</f>
        <v>1254.54857632</v>
      </c>
      <c r="N35" s="9" t="n">
        <f aca="false">SUM(B35:M35)</f>
        <v>10859.777605</v>
      </c>
      <c r="O35" s="9" t="n">
        <f aca="false">MAX(B35:M35)</f>
        <v>1254.54857632</v>
      </c>
      <c r="P35" s="43" t="n">
        <f aca="false">O35/(parametros_manuales!$B$7)</f>
        <v>8.36365717546667</v>
      </c>
      <c r="Q35" s="8" t="str">
        <f aca="false">IF(O35=0,"-",INDEX($B$28:$M$28,MATCH(O35,B35:M35,0)))</f>
        <v>Dic</v>
      </c>
    </row>
    <row r="36" customFormat="false" ht="14.25" hidden="false" customHeight="true" outlineLevel="0" collapsed="false">
      <c r="A36" s="8" t="str">
        <f aca="false">parametros_manuales!$B$26</f>
        <v>Cilindrado</v>
      </c>
      <c r="B36" s="9" t="n">
        <f aca="false">(parametros_manuales!$D$26*('Plan mensual'!D13+IF(parametros_manuales!$H$26="Todos",'Plan mensual'!D17,0))+parametros_manuales!$E$26*('Plan mensual'!D14+IF(parametros_manuales!$H$26="Todos",'Plan mensual'!D18,0))+parametros_manuales!$F$26*('Plan mensual'!D15+IF(parametros_manuales!$H$26="Todos",'Plan mensual'!D19,0))+parametros_manuales!$G$26*('Plan mensual'!D16+IF(parametros_manuales!$H$26="Todos",'Plan mensual'!D20,0)))*parametros_manuales!$I$26*parametros_manuales!$J$26</f>
        <v>486.2473628</v>
      </c>
      <c r="C36" s="9" t="n">
        <f aca="false">(parametros_manuales!$D$26*('Plan mensual'!E13+IF(parametros_manuales!$H$26="Todos",'Plan mensual'!E17,0))+parametros_manuales!$E$26*('Plan mensual'!E14+IF(parametros_manuales!$H$26="Todos",'Plan mensual'!E18,0))+parametros_manuales!$F$26*('Plan mensual'!E15+IF(parametros_manuales!$H$26="Todos",'Plan mensual'!E19,0))+parametros_manuales!$G$26*('Plan mensual'!E16+IF(parametros_manuales!$H$26="Todos",'Plan mensual'!E20,0)))*parametros_manuales!$I$26*parametros_manuales!$J$26</f>
        <v>388.99789024</v>
      </c>
      <c r="D36" s="9" t="n">
        <f aca="false">(parametros_manuales!$D$26*('Plan mensual'!F13+IF(parametros_manuales!$H$26="Todos",'Plan mensual'!F17,0))+parametros_manuales!$E$26*('Plan mensual'!F14+IF(parametros_manuales!$H$26="Todos",'Plan mensual'!F18,0))+parametros_manuales!$F$26*('Plan mensual'!F15+IF(parametros_manuales!$H$26="Todos",'Plan mensual'!F19,0))+parametros_manuales!$G$26*('Plan mensual'!F16+IF(parametros_manuales!$H$26="Todos",'Plan mensual'!F20,0)))*parametros_manuales!$I$26*parametros_manuales!$J$26</f>
        <v>413.31025838</v>
      </c>
      <c r="E36" s="9" t="n">
        <f aca="false">(parametros_manuales!$D$26*('Plan mensual'!G13+IF(parametros_manuales!$H$26="Todos",'Plan mensual'!G17,0))+parametros_manuales!$E$26*('Plan mensual'!G14+IF(parametros_manuales!$H$26="Todos",'Plan mensual'!G18,0))+parametros_manuales!$F$26*('Plan mensual'!G15+IF(parametros_manuales!$H$26="Todos",'Plan mensual'!G19,0))+parametros_manuales!$G$26*('Plan mensual'!G16+IF(parametros_manuales!$H$26="Todos",'Plan mensual'!G20,0)))*parametros_manuales!$I$26*parametros_manuales!$J$26</f>
        <v>413.31025838</v>
      </c>
      <c r="F36" s="9" t="n">
        <f aca="false">(parametros_manuales!$D$26*('Plan mensual'!H13+IF(parametros_manuales!$H$26="Todos",'Plan mensual'!H17,0))+parametros_manuales!$E$26*('Plan mensual'!H14+IF(parametros_manuales!$H$26="Todos",'Plan mensual'!H18,0))+parametros_manuales!$F$26*('Plan mensual'!H15+IF(parametros_manuales!$H$26="Todos",'Plan mensual'!H19,0))+parametros_manuales!$G$26*('Plan mensual'!H16+IF(parametros_manuales!$H$26="Todos",'Plan mensual'!H20,0)))*parametros_manuales!$I$26*parametros_manuales!$J$26</f>
        <v>388.99789024</v>
      </c>
      <c r="G36" s="9" t="n">
        <f aca="false">(parametros_manuales!$D$26*('Plan mensual'!I13+IF(parametros_manuales!$H$26="Todos",'Plan mensual'!I17,0))+parametros_manuales!$E$26*('Plan mensual'!I14+IF(parametros_manuales!$H$26="Todos",'Plan mensual'!I18,0))+parametros_manuales!$F$26*('Plan mensual'!I15+IF(parametros_manuales!$H$26="Todos",'Plan mensual'!I19,0))+parametros_manuales!$G$26*('Plan mensual'!I16+IF(parametros_manuales!$H$26="Todos",'Plan mensual'!I20,0)))*parametros_manuales!$I$26*parametros_manuales!$J$26</f>
        <v>364.6855221</v>
      </c>
      <c r="H36" s="9" t="n">
        <f aca="false">(parametros_manuales!$D$26*('Plan mensual'!J13+IF(parametros_manuales!$H$26="Todos",'Plan mensual'!J17,0))+parametros_manuales!$E$26*('Plan mensual'!J14+IF(parametros_manuales!$H$26="Todos",'Plan mensual'!J18,0))+parametros_manuales!$F$26*('Plan mensual'!J15+IF(parametros_manuales!$H$26="Todos",'Plan mensual'!J19,0))+parametros_manuales!$G$26*('Plan mensual'!J16+IF(parametros_manuales!$H$26="Todos",'Plan mensual'!J20,0)))*parametros_manuales!$I$26*parametros_manuales!$J$26</f>
        <v>388.99789024</v>
      </c>
      <c r="I36" s="9" t="n">
        <f aca="false">(parametros_manuales!$D$26*('Plan mensual'!K13+IF(parametros_manuales!$H$26="Todos",'Plan mensual'!K17,0))+parametros_manuales!$E$26*('Plan mensual'!K14+IF(parametros_manuales!$H$26="Todos",'Plan mensual'!K18,0))+parametros_manuales!$F$26*('Plan mensual'!K15+IF(parametros_manuales!$H$26="Todos",'Plan mensual'!K19,0))+parametros_manuales!$G$26*('Plan mensual'!K16+IF(parametros_manuales!$H$26="Todos",'Plan mensual'!K20,0)))*parametros_manuales!$I$26*parametros_manuales!$J$26</f>
        <v>388.99789024</v>
      </c>
      <c r="J36" s="9" t="n">
        <f aca="false">(parametros_manuales!$D$26*('Plan mensual'!L13+IF(parametros_manuales!$H$26="Todos",'Plan mensual'!L17,0))+parametros_manuales!$E$26*('Plan mensual'!L14+IF(parametros_manuales!$H$26="Todos",'Plan mensual'!L18,0))+parametros_manuales!$F$26*('Plan mensual'!L15+IF(parametros_manuales!$H$26="Todos",'Plan mensual'!L19,0))+parametros_manuales!$G$26*('Plan mensual'!L16+IF(parametros_manuales!$H$26="Todos",'Plan mensual'!L20,0)))*parametros_manuales!$I$26*parametros_manuales!$J$26</f>
        <v>388.99789024</v>
      </c>
      <c r="K36" s="9" t="n">
        <f aca="false">(parametros_manuales!$D$26*('Plan mensual'!M13+IF(parametros_manuales!$H$26="Todos",'Plan mensual'!M17,0))+parametros_manuales!$E$26*('Plan mensual'!M14+IF(parametros_manuales!$H$26="Todos",'Plan mensual'!M18,0))+parametros_manuales!$F$26*('Plan mensual'!M15+IF(parametros_manuales!$H$26="Todos",'Plan mensual'!M19,0))+parametros_manuales!$G$26*('Plan mensual'!M16+IF(parametros_manuales!$H$26="Todos",'Plan mensual'!M20,0)))*parametros_manuales!$I$26*parametros_manuales!$J$26</f>
        <v>364.6855221</v>
      </c>
      <c r="L36" s="9" t="n">
        <f aca="false">(parametros_manuales!$D$26*('Plan mensual'!N13+IF(parametros_manuales!$H$26="Todos",'Plan mensual'!N17,0))+parametros_manuales!$E$26*('Plan mensual'!N14+IF(parametros_manuales!$H$26="Todos",'Plan mensual'!N18,0))+parametros_manuales!$F$26*('Plan mensual'!N15+IF(parametros_manuales!$H$26="Todos",'Plan mensual'!N19,0))+parametros_manuales!$G$26*('Plan mensual'!N16+IF(parametros_manuales!$H$26="Todos",'Plan mensual'!N20,0)))*parametros_manuales!$I$26*parametros_manuales!$J$26</f>
        <v>340.37315396</v>
      </c>
      <c r="M36" s="9" t="n">
        <f aca="false">(parametros_manuales!$D$26*('Plan mensual'!O13+IF(parametros_manuales!$H$26="Todos",'Plan mensual'!O17,0))+parametros_manuales!$E$26*('Plan mensual'!O14+IF(parametros_manuales!$H$26="Todos",'Plan mensual'!O18,0))+parametros_manuales!$F$26*('Plan mensual'!O15+IF(parametros_manuales!$H$26="Todos",'Plan mensual'!O19,0))+parametros_manuales!$G$26*('Plan mensual'!O16+IF(parametros_manuales!$H$26="Todos",'Plan mensual'!O20,0)))*parametros_manuales!$I$26*parametros_manuales!$J$26</f>
        <v>534.87209908</v>
      </c>
      <c r="N36" s="9" t="n">
        <f aca="false">SUM(B36:M36)</f>
        <v>4862.473628</v>
      </c>
      <c r="O36" s="9" t="n">
        <f aca="false">MAX(B36:M36)</f>
        <v>534.87209908</v>
      </c>
      <c r="P36" s="43" t="n">
        <f aca="false">O36/(parametros_manuales!$B$7)</f>
        <v>3.56581399386667</v>
      </c>
      <c r="Q36" s="8" t="str">
        <f aca="false">IF(O36=0,"-",INDEX($B$28:$M$28,MATCH(O36,B36:M36,0)))</f>
        <v>Dic</v>
      </c>
    </row>
    <row r="37" customFormat="false" ht="14.25" hidden="false" customHeight="true" outlineLevel="0" collapsed="false">
      <c r="A37" s="8" t="str">
        <f aca="false">parametros_manuales!$B$27</f>
        <v>Soldadura longitudinal</v>
      </c>
      <c r="B37" s="9" t="n">
        <f aca="false">(parametros_manuales!$D$27*('Plan mensual'!D13+IF(parametros_manuales!$H$27="Todos",'Plan mensual'!D17,0))+parametros_manuales!$E$27*('Plan mensual'!D14+IF(parametros_manuales!$H$27="Todos",'Plan mensual'!D18,0))+parametros_manuales!$F$27*('Plan mensual'!D15+IF(parametros_manuales!$H$27="Todos",'Plan mensual'!D19,0))+parametros_manuales!$G$27*('Plan mensual'!D16+IF(parametros_manuales!$H$27="Todos",'Plan mensual'!D20,0)))*parametros_manuales!$I$27*parametros_manuales!$J$27</f>
        <v>486.2473628</v>
      </c>
      <c r="C37" s="9" t="n">
        <f aca="false">(parametros_manuales!$D$27*('Plan mensual'!E13+IF(parametros_manuales!$H$27="Todos",'Plan mensual'!E17,0))+parametros_manuales!$E$27*('Plan mensual'!E14+IF(parametros_manuales!$H$27="Todos",'Plan mensual'!E18,0))+parametros_manuales!$F$27*('Plan mensual'!E15+IF(parametros_manuales!$H$27="Todos",'Plan mensual'!E19,0))+parametros_manuales!$G$27*('Plan mensual'!E16+IF(parametros_manuales!$H$27="Todos",'Plan mensual'!E20,0)))*parametros_manuales!$I$27*parametros_manuales!$J$27</f>
        <v>388.99789024</v>
      </c>
      <c r="D37" s="9" t="n">
        <f aca="false">(parametros_manuales!$D$27*('Plan mensual'!F13+IF(parametros_manuales!$H$27="Todos",'Plan mensual'!F17,0))+parametros_manuales!$E$27*('Plan mensual'!F14+IF(parametros_manuales!$H$27="Todos",'Plan mensual'!F18,0))+parametros_manuales!$F$27*('Plan mensual'!F15+IF(parametros_manuales!$H$27="Todos",'Plan mensual'!F19,0))+parametros_manuales!$G$27*('Plan mensual'!F16+IF(parametros_manuales!$H$27="Todos",'Plan mensual'!F20,0)))*parametros_manuales!$I$27*parametros_manuales!$J$27</f>
        <v>413.31025838</v>
      </c>
      <c r="E37" s="9" t="n">
        <f aca="false">(parametros_manuales!$D$27*('Plan mensual'!G13+IF(parametros_manuales!$H$27="Todos",'Plan mensual'!G17,0))+parametros_manuales!$E$27*('Plan mensual'!G14+IF(parametros_manuales!$H$27="Todos",'Plan mensual'!G18,0))+parametros_manuales!$F$27*('Plan mensual'!G15+IF(parametros_manuales!$H$27="Todos",'Plan mensual'!G19,0))+parametros_manuales!$G$27*('Plan mensual'!G16+IF(parametros_manuales!$H$27="Todos",'Plan mensual'!G20,0)))*parametros_manuales!$I$27*parametros_manuales!$J$27</f>
        <v>413.31025838</v>
      </c>
      <c r="F37" s="9" t="n">
        <f aca="false">(parametros_manuales!$D$27*('Plan mensual'!H13+IF(parametros_manuales!$H$27="Todos",'Plan mensual'!H17,0))+parametros_manuales!$E$27*('Plan mensual'!H14+IF(parametros_manuales!$H$27="Todos",'Plan mensual'!H18,0))+parametros_manuales!$F$27*('Plan mensual'!H15+IF(parametros_manuales!$H$27="Todos",'Plan mensual'!H19,0))+parametros_manuales!$G$27*('Plan mensual'!H16+IF(parametros_manuales!$H$27="Todos",'Plan mensual'!H20,0)))*parametros_manuales!$I$27*parametros_manuales!$J$27</f>
        <v>388.99789024</v>
      </c>
      <c r="G37" s="9" t="n">
        <f aca="false">(parametros_manuales!$D$27*('Plan mensual'!I13+IF(parametros_manuales!$H$27="Todos",'Plan mensual'!I17,0))+parametros_manuales!$E$27*('Plan mensual'!I14+IF(parametros_manuales!$H$27="Todos",'Plan mensual'!I18,0))+parametros_manuales!$F$27*('Plan mensual'!I15+IF(parametros_manuales!$H$27="Todos",'Plan mensual'!I19,0))+parametros_manuales!$G$27*('Plan mensual'!I16+IF(parametros_manuales!$H$27="Todos",'Plan mensual'!I20,0)))*parametros_manuales!$I$27*parametros_manuales!$J$27</f>
        <v>364.6855221</v>
      </c>
      <c r="H37" s="9" t="n">
        <f aca="false">(parametros_manuales!$D$27*('Plan mensual'!J13+IF(parametros_manuales!$H$27="Todos",'Plan mensual'!J17,0))+parametros_manuales!$E$27*('Plan mensual'!J14+IF(parametros_manuales!$H$27="Todos",'Plan mensual'!J18,0))+parametros_manuales!$F$27*('Plan mensual'!J15+IF(parametros_manuales!$H$27="Todos",'Plan mensual'!J19,0))+parametros_manuales!$G$27*('Plan mensual'!J16+IF(parametros_manuales!$H$27="Todos",'Plan mensual'!J20,0)))*parametros_manuales!$I$27*parametros_manuales!$J$27</f>
        <v>388.99789024</v>
      </c>
      <c r="I37" s="9" t="n">
        <f aca="false">(parametros_manuales!$D$27*('Plan mensual'!K13+IF(parametros_manuales!$H$27="Todos",'Plan mensual'!K17,0))+parametros_manuales!$E$27*('Plan mensual'!K14+IF(parametros_manuales!$H$27="Todos",'Plan mensual'!K18,0))+parametros_manuales!$F$27*('Plan mensual'!K15+IF(parametros_manuales!$H$27="Todos",'Plan mensual'!K19,0))+parametros_manuales!$G$27*('Plan mensual'!K16+IF(parametros_manuales!$H$27="Todos",'Plan mensual'!K20,0)))*parametros_manuales!$I$27*parametros_manuales!$J$27</f>
        <v>388.99789024</v>
      </c>
      <c r="J37" s="9" t="n">
        <f aca="false">(parametros_manuales!$D$27*('Plan mensual'!L13+IF(parametros_manuales!$H$27="Todos",'Plan mensual'!L17,0))+parametros_manuales!$E$27*('Plan mensual'!L14+IF(parametros_manuales!$H$27="Todos",'Plan mensual'!L18,0))+parametros_manuales!$F$27*('Plan mensual'!L15+IF(parametros_manuales!$H$27="Todos",'Plan mensual'!L19,0))+parametros_manuales!$G$27*('Plan mensual'!L16+IF(parametros_manuales!$H$27="Todos",'Plan mensual'!L20,0)))*parametros_manuales!$I$27*parametros_manuales!$J$27</f>
        <v>388.99789024</v>
      </c>
      <c r="K37" s="9" t="n">
        <f aca="false">(parametros_manuales!$D$27*('Plan mensual'!M13+IF(parametros_manuales!$H$27="Todos",'Plan mensual'!M17,0))+parametros_manuales!$E$27*('Plan mensual'!M14+IF(parametros_manuales!$H$27="Todos",'Plan mensual'!M18,0))+parametros_manuales!$F$27*('Plan mensual'!M15+IF(parametros_manuales!$H$27="Todos",'Plan mensual'!M19,0))+parametros_manuales!$G$27*('Plan mensual'!M16+IF(parametros_manuales!$H$27="Todos",'Plan mensual'!M20,0)))*parametros_manuales!$I$27*parametros_manuales!$J$27</f>
        <v>364.6855221</v>
      </c>
      <c r="L37" s="9" t="n">
        <f aca="false">(parametros_manuales!$D$27*('Plan mensual'!N13+IF(parametros_manuales!$H$27="Todos",'Plan mensual'!N17,0))+parametros_manuales!$E$27*('Plan mensual'!N14+IF(parametros_manuales!$H$27="Todos",'Plan mensual'!N18,0))+parametros_manuales!$F$27*('Plan mensual'!N15+IF(parametros_manuales!$H$27="Todos",'Plan mensual'!N19,0))+parametros_manuales!$G$27*('Plan mensual'!N16+IF(parametros_manuales!$H$27="Todos",'Plan mensual'!N20,0)))*parametros_manuales!$I$27*parametros_manuales!$J$27</f>
        <v>340.37315396</v>
      </c>
      <c r="M37" s="9" t="n">
        <f aca="false">(parametros_manuales!$D$27*('Plan mensual'!O13+IF(parametros_manuales!$H$27="Todos",'Plan mensual'!O17,0))+parametros_manuales!$E$27*('Plan mensual'!O14+IF(parametros_manuales!$H$27="Todos",'Plan mensual'!O18,0))+parametros_manuales!$F$27*('Plan mensual'!O15+IF(parametros_manuales!$H$27="Todos",'Plan mensual'!O19,0))+parametros_manuales!$G$27*('Plan mensual'!O16+IF(parametros_manuales!$H$27="Todos",'Plan mensual'!O20,0)))*parametros_manuales!$I$27*parametros_manuales!$J$27</f>
        <v>534.87209908</v>
      </c>
      <c r="N37" s="9" t="n">
        <f aca="false">SUM(B37:M37)</f>
        <v>4862.473628</v>
      </c>
      <c r="O37" s="9" t="n">
        <f aca="false">MAX(B37:M37)</f>
        <v>534.87209908</v>
      </c>
      <c r="P37" s="43" t="n">
        <f aca="false">O37/(parametros_manuales!$B$7)</f>
        <v>3.56581399386667</v>
      </c>
      <c r="Q37" s="8" t="str">
        <f aca="false">IF(O37=0,"-",INDEX($B$28:$M$28,MATCH(O37,B37:M37,0)))</f>
        <v>Dic</v>
      </c>
    </row>
    <row r="38" customFormat="false" ht="14.25" hidden="false" customHeight="true" outlineLevel="0" collapsed="false">
      <c r="A38" s="8" t="str">
        <f aca="false">parametros_manuales!$B$28</f>
        <v>Encastre de fondo</v>
      </c>
      <c r="B38" s="9" t="n">
        <f aca="false">(parametros_manuales!$D$28*('Plan mensual'!D13+IF(parametros_manuales!$H$28="Todos",'Plan mensual'!D17,0))+parametros_manuales!$E$28*('Plan mensual'!D14+IF(parametros_manuales!$H$28="Todos",'Plan mensual'!D18,0))+parametros_manuales!$F$28*('Plan mensual'!D15+IF(parametros_manuales!$H$28="Todos",'Plan mensual'!D19,0))+parametros_manuales!$G$28*('Plan mensual'!D16+IF(parametros_manuales!$H$28="Todos",'Plan mensual'!D20,0)))*parametros_manuales!$I$28*parametros_manuales!$J$28</f>
        <v>1205.92384004</v>
      </c>
      <c r="C38" s="9" t="n">
        <f aca="false">(parametros_manuales!$D$28*('Plan mensual'!E13+IF(parametros_manuales!$H$28="Todos",'Plan mensual'!E17,0))+parametros_manuales!$E$28*('Plan mensual'!E14+IF(parametros_manuales!$H$28="Todos",'Plan mensual'!E18,0))+parametros_manuales!$F$28*('Plan mensual'!E15+IF(parametros_manuales!$H$28="Todos",'Plan mensual'!E19,0))+parametros_manuales!$G$28*('Plan mensual'!E16+IF(parametros_manuales!$H$28="Todos",'Plan mensual'!E20,0)))*parametros_manuales!$I$28*parametros_manuales!$J$28</f>
        <v>928.75524817</v>
      </c>
      <c r="D38" s="9" t="n">
        <f aca="false">(parametros_manuales!$D$28*('Plan mensual'!F13+IF(parametros_manuales!$H$28="Todos",'Plan mensual'!F17,0))+parametros_manuales!$E$28*('Plan mensual'!F14+IF(parametros_manuales!$H$28="Todos",'Plan mensual'!F18,0))+parametros_manuales!$F$28*('Plan mensual'!F15+IF(parametros_manuales!$H$28="Todos",'Plan mensual'!F19,0))+parametros_manuales!$G$28*('Plan mensual'!F16+IF(parametros_manuales!$H$28="Todos",'Plan mensual'!F20,0)))*parametros_manuales!$I$28*parametros_manuales!$J$28</f>
        <v>893.09457654</v>
      </c>
      <c r="E38" s="9" t="n">
        <f aca="false">(parametros_manuales!$D$28*('Plan mensual'!G13+IF(parametros_manuales!$H$28="Todos",'Plan mensual'!G17,0))+parametros_manuales!$E$28*('Plan mensual'!G14+IF(parametros_manuales!$H$28="Todos",'Plan mensual'!G18,0))+parametros_manuales!$F$28*('Plan mensual'!G15+IF(parametros_manuales!$H$28="Todos",'Plan mensual'!G19,0))+parametros_manuales!$G$28*('Plan mensual'!G16+IF(parametros_manuales!$H$28="Todos",'Plan mensual'!G20,0)))*parametros_manuales!$I$28*parametros_manuales!$J$28</f>
        <v>863.108056655</v>
      </c>
      <c r="F38" s="9" t="n">
        <f aca="false">(parametros_manuales!$D$28*('Plan mensual'!H13+IF(parametros_manuales!$H$28="Todos",'Plan mensual'!H17,0))+parametros_manuales!$E$28*('Plan mensual'!H14+IF(parametros_manuales!$H$28="Todos",'Plan mensual'!H18,0))+parametros_manuales!$F$28*('Plan mensual'!H15+IF(parametros_manuales!$H$28="Todos",'Plan mensual'!H19,0))+parametros_manuales!$G$28*('Plan mensual'!H16+IF(parametros_manuales!$H$28="Todos",'Plan mensual'!H20,0)))*parametros_manuales!$I$28*parametros_manuales!$J$28</f>
        <v>808.80916863</v>
      </c>
      <c r="G38" s="9" t="n">
        <f aca="false">(parametros_manuales!$D$28*('Plan mensual'!I13+IF(parametros_manuales!$H$28="Todos",'Plan mensual'!I17,0))+parametros_manuales!$E$28*('Plan mensual'!I14+IF(parametros_manuales!$H$28="Todos",'Plan mensual'!I18,0))+parametros_manuales!$F$28*('Plan mensual'!I15+IF(parametros_manuales!$H$28="Todos",'Plan mensual'!I19,0))+parametros_manuales!$G$28*('Plan mensual'!I16+IF(parametros_manuales!$H$28="Todos",'Plan mensual'!I20,0)))*parametros_manuales!$I$28*parametros_manuales!$J$28</f>
        <v>784.49680049</v>
      </c>
      <c r="H38" s="9" t="n">
        <f aca="false">(parametros_manuales!$D$28*('Plan mensual'!J13+IF(parametros_manuales!$H$28="Todos",'Plan mensual'!J17,0))+parametros_manuales!$E$28*('Plan mensual'!J14+IF(parametros_manuales!$H$28="Todos",'Plan mensual'!J18,0))+parametros_manuales!$F$28*('Plan mensual'!J15+IF(parametros_manuales!$H$28="Todos",'Plan mensual'!J19,0))+parametros_manuales!$G$28*('Plan mensual'!J16+IF(parametros_manuales!$H$28="Todos",'Plan mensual'!J20,0)))*parametros_manuales!$I$28*parametros_manuales!$J$28</f>
        <v>838.795688515</v>
      </c>
      <c r="I38" s="9" t="n">
        <f aca="false">(parametros_manuales!$D$28*('Plan mensual'!K13+IF(parametros_manuales!$H$28="Todos",'Plan mensual'!K17,0))+parametros_manuales!$E$28*('Plan mensual'!K14+IF(parametros_manuales!$H$28="Todos",'Plan mensual'!K18,0))+parametros_manuales!$F$28*('Plan mensual'!K15+IF(parametros_manuales!$H$28="Todos",'Plan mensual'!K19,0))+parametros_manuales!$G$28*('Plan mensual'!K16+IF(parametros_manuales!$H$28="Todos",'Plan mensual'!K20,0)))*parametros_manuales!$I$28*parametros_manuales!$J$28</f>
        <v>838.795688515</v>
      </c>
      <c r="J38" s="9" t="n">
        <f aca="false">(parametros_manuales!$D$28*('Plan mensual'!L13+IF(parametros_manuales!$H$28="Todos",'Plan mensual'!L17,0))+parametros_manuales!$E$28*('Plan mensual'!L14+IF(parametros_manuales!$H$28="Todos",'Plan mensual'!L18,0))+parametros_manuales!$F$28*('Plan mensual'!L15+IF(parametros_manuales!$H$28="Todos",'Plan mensual'!L19,0))+parametros_manuales!$G$28*('Plan mensual'!L16+IF(parametros_manuales!$H$28="Todos",'Plan mensual'!L20,0)))*parametros_manuales!$I$28*parametros_manuales!$J$28</f>
        <v>838.795688515</v>
      </c>
      <c r="K38" s="9" t="n">
        <f aca="false">(parametros_manuales!$D$28*('Plan mensual'!M13+IF(parametros_manuales!$H$28="Todos",'Plan mensual'!M17,0))+parametros_manuales!$E$28*('Plan mensual'!M14+IF(parametros_manuales!$H$28="Todos",'Plan mensual'!M18,0))+parametros_manuales!$F$28*('Plan mensual'!M15+IF(parametros_manuales!$H$28="Todos",'Plan mensual'!M19,0))+parametros_manuales!$G$28*('Plan mensual'!M16+IF(parametros_manuales!$H$28="Todos",'Plan mensual'!M20,0)))*parametros_manuales!$I$28*parametros_manuales!$J$28</f>
        <v>814.483320375</v>
      </c>
      <c r="L38" s="9" t="n">
        <f aca="false">(parametros_manuales!$D$28*('Plan mensual'!N13+IF(parametros_manuales!$H$28="Todos",'Plan mensual'!N17,0))+parametros_manuales!$E$28*('Plan mensual'!N14+IF(parametros_manuales!$H$28="Todos",'Plan mensual'!N18,0))+parametros_manuales!$F$28*('Plan mensual'!N15+IF(parametros_manuales!$H$28="Todos",'Plan mensual'!N19,0))+parametros_manuales!$G$28*('Plan mensual'!N16+IF(parametros_manuales!$H$28="Todos",'Plan mensual'!N20,0)))*parametros_manuales!$I$28*parametros_manuales!$J$28</f>
        <v>790.170952235</v>
      </c>
      <c r="M38" s="9" t="n">
        <f aca="false">(parametros_manuales!$D$28*('Plan mensual'!O13+IF(parametros_manuales!$H$28="Todos",'Plan mensual'!O17,0))+parametros_manuales!$E$28*('Plan mensual'!O14+IF(parametros_manuales!$H$28="Todos",'Plan mensual'!O18,0))+parametros_manuales!$F$28*('Plan mensual'!O15+IF(parametros_manuales!$H$28="Todos",'Plan mensual'!O19,0))+parametros_manuales!$G$28*('Plan mensual'!O16+IF(parametros_manuales!$H$28="Todos",'Plan mensual'!O20,0)))*parametros_manuales!$I$28*parametros_manuales!$J$28</f>
        <v>1254.54857632</v>
      </c>
      <c r="N38" s="9" t="n">
        <f aca="false">SUM(B38:M38)</f>
        <v>10859.777605</v>
      </c>
      <c r="O38" s="9" t="n">
        <f aca="false">MAX(B38:M38)</f>
        <v>1254.54857632</v>
      </c>
      <c r="P38" s="43" t="n">
        <f aca="false">O38/(parametros_manuales!$B$7)</f>
        <v>8.36365717546667</v>
      </c>
      <c r="Q38" s="8" t="str">
        <f aca="false">IF(O38=0,"-",INDEX($B$28:$M$28,MATCH(O38,B38:M38,0)))</f>
        <v>Dic</v>
      </c>
    </row>
    <row r="39" customFormat="false" ht="14.25" hidden="false" customHeight="true" outlineLevel="0" collapsed="false">
      <c r="A39" s="8" t="str">
        <f aca="false">parametros_manuales!$B$29</f>
        <v>Bordoneado</v>
      </c>
      <c r="B39" s="9" t="n">
        <f aca="false">(parametros_manuales!$D$29*('Plan mensual'!D13+IF(parametros_manuales!$H$29="Todos",'Plan mensual'!D17,0))+parametros_manuales!$E$29*('Plan mensual'!D14+IF(parametros_manuales!$H$29="Todos",'Plan mensual'!D18,0))+parametros_manuales!$F$29*('Plan mensual'!D15+IF(parametros_manuales!$H$29="Todos",'Plan mensual'!D19,0))+parametros_manuales!$G$29*('Plan mensual'!D16+IF(parametros_manuales!$H$29="Todos",'Plan mensual'!D20,0)))*parametros_manuales!$I$29*parametros_manuales!$J$29</f>
        <v>1205.92384004</v>
      </c>
      <c r="C39" s="9" t="n">
        <f aca="false">(parametros_manuales!$D$29*('Plan mensual'!E13+IF(parametros_manuales!$H$29="Todos",'Plan mensual'!E17,0))+parametros_manuales!$E$29*('Plan mensual'!E14+IF(parametros_manuales!$H$29="Todos",'Plan mensual'!E18,0))+parametros_manuales!$F$29*('Plan mensual'!E15+IF(parametros_manuales!$H$29="Todos",'Plan mensual'!E19,0))+parametros_manuales!$G$29*('Plan mensual'!E16+IF(parametros_manuales!$H$29="Todos",'Plan mensual'!E20,0)))*parametros_manuales!$I$29*parametros_manuales!$J$29</f>
        <v>928.75524817</v>
      </c>
      <c r="D39" s="9" t="n">
        <f aca="false">(parametros_manuales!$D$29*('Plan mensual'!F13+IF(parametros_manuales!$H$29="Todos",'Plan mensual'!F17,0))+parametros_manuales!$E$29*('Plan mensual'!F14+IF(parametros_manuales!$H$29="Todos",'Plan mensual'!F18,0))+parametros_manuales!$F$29*('Plan mensual'!F15+IF(parametros_manuales!$H$29="Todos",'Plan mensual'!F19,0))+parametros_manuales!$G$29*('Plan mensual'!F16+IF(parametros_manuales!$H$29="Todos",'Plan mensual'!F20,0)))*parametros_manuales!$I$29*parametros_manuales!$J$29</f>
        <v>893.09457654</v>
      </c>
      <c r="E39" s="9" t="n">
        <f aca="false">(parametros_manuales!$D$29*('Plan mensual'!G13+IF(parametros_manuales!$H$29="Todos",'Plan mensual'!G17,0))+parametros_manuales!$E$29*('Plan mensual'!G14+IF(parametros_manuales!$H$29="Todos",'Plan mensual'!G18,0))+parametros_manuales!$F$29*('Plan mensual'!G15+IF(parametros_manuales!$H$29="Todos",'Plan mensual'!G19,0))+parametros_manuales!$G$29*('Plan mensual'!G16+IF(parametros_manuales!$H$29="Todos",'Plan mensual'!G20,0)))*parametros_manuales!$I$29*parametros_manuales!$J$29</f>
        <v>863.108056655</v>
      </c>
      <c r="F39" s="9" t="n">
        <f aca="false">(parametros_manuales!$D$29*('Plan mensual'!H13+IF(parametros_manuales!$H$29="Todos",'Plan mensual'!H17,0))+parametros_manuales!$E$29*('Plan mensual'!H14+IF(parametros_manuales!$H$29="Todos",'Plan mensual'!H18,0))+parametros_manuales!$F$29*('Plan mensual'!H15+IF(parametros_manuales!$H$29="Todos",'Plan mensual'!H19,0))+parametros_manuales!$G$29*('Plan mensual'!H16+IF(parametros_manuales!$H$29="Todos",'Plan mensual'!H20,0)))*parametros_manuales!$I$29*parametros_manuales!$J$29</f>
        <v>808.80916863</v>
      </c>
      <c r="G39" s="9" t="n">
        <f aca="false">(parametros_manuales!$D$29*('Plan mensual'!I13+IF(parametros_manuales!$H$29="Todos",'Plan mensual'!I17,0))+parametros_manuales!$E$29*('Plan mensual'!I14+IF(parametros_manuales!$H$29="Todos",'Plan mensual'!I18,0))+parametros_manuales!$F$29*('Plan mensual'!I15+IF(parametros_manuales!$H$29="Todos",'Plan mensual'!I19,0))+parametros_manuales!$G$29*('Plan mensual'!I16+IF(parametros_manuales!$H$29="Todos",'Plan mensual'!I20,0)))*parametros_manuales!$I$29*parametros_manuales!$J$29</f>
        <v>784.49680049</v>
      </c>
      <c r="H39" s="9" t="n">
        <f aca="false">(parametros_manuales!$D$29*('Plan mensual'!J13+IF(parametros_manuales!$H$29="Todos",'Plan mensual'!J17,0))+parametros_manuales!$E$29*('Plan mensual'!J14+IF(parametros_manuales!$H$29="Todos",'Plan mensual'!J18,0))+parametros_manuales!$F$29*('Plan mensual'!J15+IF(parametros_manuales!$H$29="Todos",'Plan mensual'!J19,0))+parametros_manuales!$G$29*('Plan mensual'!J16+IF(parametros_manuales!$H$29="Todos",'Plan mensual'!J20,0)))*parametros_manuales!$I$29*parametros_manuales!$J$29</f>
        <v>838.795688515</v>
      </c>
      <c r="I39" s="9" t="n">
        <f aca="false">(parametros_manuales!$D$29*('Plan mensual'!K13+IF(parametros_manuales!$H$29="Todos",'Plan mensual'!K17,0))+parametros_manuales!$E$29*('Plan mensual'!K14+IF(parametros_manuales!$H$29="Todos",'Plan mensual'!K18,0))+parametros_manuales!$F$29*('Plan mensual'!K15+IF(parametros_manuales!$H$29="Todos",'Plan mensual'!K19,0))+parametros_manuales!$G$29*('Plan mensual'!K16+IF(parametros_manuales!$H$29="Todos",'Plan mensual'!K20,0)))*parametros_manuales!$I$29*parametros_manuales!$J$29</f>
        <v>838.795688515</v>
      </c>
      <c r="J39" s="9" t="n">
        <f aca="false">(parametros_manuales!$D$29*('Plan mensual'!L13+IF(parametros_manuales!$H$29="Todos",'Plan mensual'!L17,0))+parametros_manuales!$E$29*('Plan mensual'!L14+IF(parametros_manuales!$H$29="Todos",'Plan mensual'!L18,0))+parametros_manuales!$F$29*('Plan mensual'!L15+IF(parametros_manuales!$H$29="Todos",'Plan mensual'!L19,0))+parametros_manuales!$G$29*('Plan mensual'!L16+IF(parametros_manuales!$H$29="Todos",'Plan mensual'!L20,0)))*parametros_manuales!$I$29*parametros_manuales!$J$29</f>
        <v>838.795688515</v>
      </c>
      <c r="K39" s="9" t="n">
        <f aca="false">(parametros_manuales!$D$29*('Plan mensual'!M13+IF(parametros_manuales!$H$29="Todos",'Plan mensual'!M17,0))+parametros_manuales!$E$29*('Plan mensual'!M14+IF(parametros_manuales!$H$29="Todos",'Plan mensual'!M18,0))+parametros_manuales!$F$29*('Plan mensual'!M15+IF(parametros_manuales!$H$29="Todos",'Plan mensual'!M19,0))+parametros_manuales!$G$29*('Plan mensual'!M16+IF(parametros_manuales!$H$29="Todos",'Plan mensual'!M20,0)))*parametros_manuales!$I$29*parametros_manuales!$J$29</f>
        <v>814.483320375</v>
      </c>
      <c r="L39" s="9" t="n">
        <f aca="false">(parametros_manuales!$D$29*('Plan mensual'!N13+IF(parametros_manuales!$H$29="Todos",'Plan mensual'!N17,0))+parametros_manuales!$E$29*('Plan mensual'!N14+IF(parametros_manuales!$H$29="Todos",'Plan mensual'!N18,0))+parametros_manuales!$F$29*('Plan mensual'!N15+IF(parametros_manuales!$H$29="Todos",'Plan mensual'!N19,0))+parametros_manuales!$G$29*('Plan mensual'!N16+IF(parametros_manuales!$H$29="Todos",'Plan mensual'!N20,0)))*parametros_manuales!$I$29*parametros_manuales!$J$29</f>
        <v>790.170952235</v>
      </c>
      <c r="M39" s="9" t="n">
        <f aca="false">(parametros_manuales!$D$29*('Plan mensual'!O13+IF(parametros_manuales!$H$29="Todos",'Plan mensual'!O17,0))+parametros_manuales!$E$29*('Plan mensual'!O14+IF(parametros_manuales!$H$29="Todos",'Plan mensual'!O18,0))+parametros_manuales!$F$29*('Plan mensual'!O15+IF(parametros_manuales!$H$29="Todos",'Plan mensual'!O19,0))+parametros_manuales!$G$29*('Plan mensual'!O16+IF(parametros_manuales!$H$29="Todos",'Plan mensual'!O20,0)))*parametros_manuales!$I$29*parametros_manuales!$J$29</f>
        <v>1254.54857632</v>
      </c>
      <c r="N39" s="9" t="n">
        <f aca="false">SUM(B39:M39)</f>
        <v>10859.777605</v>
      </c>
      <c r="O39" s="9" t="n">
        <f aca="false">MAX(B39:M39)</f>
        <v>1254.54857632</v>
      </c>
      <c r="P39" s="43" t="n">
        <f aca="false">O39/(parametros_manuales!$B$7)</f>
        <v>8.36365717546667</v>
      </c>
      <c r="Q39" s="8" t="str">
        <f aca="false">IF(O39=0,"-",INDEX($B$28:$M$28,MATCH(O39,B39:M39,0)))</f>
        <v>Dic</v>
      </c>
    </row>
    <row r="40" customFormat="false" ht="14.25" hidden="false" customHeight="true" outlineLevel="0" collapsed="false">
      <c r="A40" s="8" t="str">
        <f aca="false">parametros_manuales!$B$30</f>
        <v>Soldadura circunferencial de cúpula y fondo</v>
      </c>
      <c r="B40" s="9" t="n">
        <f aca="false">(parametros_manuales!$D$30*('Plan mensual'!D13+IF(parametros_manuales!$H$30="Todos",'Plan mensual'!D17,0))+parametros_manuales!$E$30*('Plan mensual'!D14+IF(parametros_manuales!$H$30="Todos",'Plan mensual'!D18,0))+parametros_manuales!$F$30*('Plan mensual'!D15+IF(parametros_manuales!$H$30="Todos",'Plan mensual'!D19,0))+parametros_manuales!$G$30*('Plan mensual'!D16+IF(parametros_manuales!$H$30="Todos",'Plan mensual'!D20,0)))*parametros_manuales!$I$30*parametros_manuales!$J$30</f>
        <v>1205.92384004</v>
      </c>
      <c r="C40" s="9" t="n">
        <f aca="false">(parametros_manuales!$D$30*('Plan mensual'!E13+IF(parametros_manuales!$H$30="Todos",'Plan mensual'!E17,0))+parametros_manuales!$E$30*('Plan mensual'!E14+IF(parametros_manuales!$H$30="Todos",'Plan mensual'!E18,0))+parametros_manuales!$F$30*('Plan mensual'!E15+IF(parametros_manuales!$H$30="Todos",'Plan mensual'!E19,0))+parametros_manuales!$G$30*('Plan mensual'!E16+IF(parametros_manuales!$H$30="Todos",'Plan mensual'!E20,0)))*parametros_manuales!$I$30*parametros_manuales!$J$30</f>
        <v>928.75524817</v>
      </c>
      <c r="D40" s="9" t="n">
        <f aca="false">(parametros_manuales!$D$30*('Plan mensual'!F13+IF(parametros_manuales!$H$30="Todos",'Plan mensual'!F17,0))+parametros_manuales!$E$30*('Plan mensual'!F14+IF(parametros_manuales!$H$30="Todos",'Plan mensual'!F18,0))+parametros_manuales!$F$30*('Plan mensual'!F15+IF(parametros_manuales!$H$30="Todos",'Plan mensual'!F19,0))+parametros_manuales!$G$30*('Plan mensual'!F16+IF(parametros_manuales!$H$30="Todos",'Plan mensual'!F20,0)))*parametros_manuales!$I$30*parametros_manuales!$J$30</f>
        <v>893.09457654</v>
      </c>
      <c r="E40" s="9" t="n">
        <f aca="false">(parametros_manuales!$D$30*('Plan mensual'!G13+IF(parametros_manuales!$H$30="Todos",'Plan mensual'!G17,0))+parametros_manuales!$E$30*('Plan mensual'!G14+IF(parametros_manuales!$H$30="Todos",'Plan mensual'!G18,0))+parametros_manuales!$F$30*('Plan mensual'!G15+IF(parametros_manuales!$H$30="Todos",'Plan mensual'!G19,0))+parametros_manuales!$G$30*('Plan mensual'!G16+IF(parametros_manuales!$H$30="Todos",'Plan mensual'!G20,0)))*parametros_manuales!$I$30*parametros_manuales!$J$30</f>
        <v>863.108056655</v>
      </c>
      <c r="F40" s="9" t="n">
        <f aca="false">(parametros_manuales!$D$30*('Plan mensual'!H13+IF(parametros_manuales!$H$30="Todos",'Plan mensual'!H17,0))+parametros_manuales!$E$30*('Plan mensual'!H14+IF(parametros_manuales!$H$30="Todos",'Plan mensual'!H18,0))+parametros_manuales!$F$30*('Plan mensual'!H15+IF(parametros_manuales!$H$30="Todos",'Plan mensual'!H19,0))+parametros_manuales!$G$30*('Plan mensual'!H16+IF(parametros_manuales!$H$30="Todos",'Plan mensual'!H20,0)))*parametros_manuales!$I$30*parametros_manuales!$J$30</f>
        <v>808.80916863</v>
      </c>
      <c r="G40" s="9" t="n">
        <f aca="false">(parametros_manuales!$D$30*('Plan mensual'!I13+IF(parametros_manuales!$H$30="Todos",'Plan mensual'!I17,0))+parametros_manuales!$E$30*('Plan mensual'!I14+IF(parametros_manuales!$H$30="Todos",'Plan mensual'!I18,0))+parametros_manuales!$F$30*('Plan mensual'!I15+IF(parametros_manuales!$H$30="Todos",'Plan mensual'!I19,0))+parametros_manuales!$G$30*('Plan mensual'!I16+IF(parametros_manuales!$H$30="Todos",'Plan mensual'!I20,0)))*parametros_manuales!$I$30*parametros_manuales!$J$30</f>
        <v>784.49680049</v>
      </c>
      <c r="H40" s="9" t="n">
        <f aca="false">(parametros_manuales!$D$30*('Plan mensual'!J13+IF(parametros_manuales!$H$30="Todos",'Plan mensual'!J17,0))+parametros_manuales!$E$30*('Plan mensual'!J14+IF(parametros_manuales!$H$30="Todos",'Plan mensual'!J18,0))+parametros_manuales!$F$30*('Plan mensual'!J15+IF(parametros_manuales!$H$30="Todos",'Plan mensual'!J19,0))+parametros_manuales!$G$30*('Plan mensual'!J16+IF(parametros_manuales!$H$30="Todos",'Plan mensual'!J20,0)))*parametros_manuales!$I$30*parametros_manuales!$J$30</f>
        <v>838.795688515</v>
      </c>
      <c r="I40" s="9" t="n">
        <f aca="false">(parametros_manuales!$D$30*('Plan mensual'!K13+IF(parametros_manuales!$H$30="Todos",'Plan mensual'!K17,0))+parametros_manuales!$E$30*('Plan mensual'!K14+IF(parametros_manuales!$H$30="Todos",'Plan mensual'!K18,0))+parametros_manuales!$F$30*('Plan mensual'!K15+IF(parametros_manuales!$H$30="Todos",'Plan mensual'!K19,0))+parametros_manuales!$G$30*('Plan mensual'!K16+IF(parametros_manuales!$H$30="Todos",'Plan mensual'!K20,0)))*parametros_manuales!$I$30*parametros_manuales!$J$30</f>
        <v>838.795688515</v>
      </c>
      <c r="J40" s="9" t="n">
        <f aca="false">(parametros_manuales!$D$30*('Plan mensual'!L13+IF(parametros_manuales!$H$30="Todos",'Plan mensual'!L17,0))+parametros_manuales!$E$30*('Plan mensual'!L14+IF(parametros_manuales!$H$30="Todos",'Plan mensual'!L18,0))+parametros_manuales!$F$30*('Plan mensual'!L15+IF(parametros_manuales!$H$30="Todos",'Plan mensual'!L19,0))+parametros_manuales!$G$30*('Plan mensual'!L16+IF(parametros_manuales!$H$30="Todos",'Plan mensual'!L20,0)))*parametros_manuales!$I$30*parametros_manuales!$J$30</f>
        <v>838.795688515</v>
      </c>
      <c r="K40" s="9" t="n">
        <f aca="false">(parametros_manuales!$D$30*('Plan mensual'!M13+IF(parametros_manuales!$H$30="Todos",'Plan mensual'!M17,0))+parametros_manuales!$E$30*('Plan mensual'!M14+IF(parametros_manuales!$H$30="Todos",'Plan mensual'!M18,0))+parametros_manuales!$F$30*('Plan mensual'!M15+IF(parametros_manuales!$H$30="Todos",'Plan mensual'!M19,0))+parametros_manuales!$G$30*('Plan mensual'!M16+IF(parametros_manuales!$H$30="Todos",'Plan mensual'!M20,0)))*parametros_manuales!$I$30*parametros_manuales!$J$30</f>
        <v>814.483320375</v>
      </c>
      <c r="L40" s="9" t="n">
        <f aca="false">(parametros_manuales!$D$30*('Plan mensual'!N13+IF(parametros_manuales!$H$30="Todos",'Plan mensual'!N17,0))+parametros_manuales!$E$30*('Plan mensual'!N14+IF(parametros_manuales!$H$30="Todos",'Plan mensual'!N18,0))+parametros_manuales!$F$30*('Plan mensual'!N15+IF(parametros_manuales!$H$30="Todos",'Plan mensual'!N19,0))+parametros_manuales!$G$30*('Plan mensual'!N16+IF(parametros_manuales!$H$30="Todos",'Plan mensual'!N20,0)))*parametros_manuales!$I$30*parametros_manuales!$J$30</f>
        <v>790.170952235</v>
      </c>
      <c r="M40" s="9" t="n">
        <f aca="false">(parametros_manuales!$D$30*('Plan mensual'!O13+IF(parametros_manuales!$H$30="Todos",'Plan mensual'!O17,0))+parametros_manuales!$E$30*('Plan mensual'!O14+IF(parametros_manuales!$H$30="Todos",'Plan mensual'!O18,0))+parametros_manuales!$F$30*('Plan mensual'!O15+IF(parametros_manuales!$H$30="Todos",'Plan mensual'!O19,0))+parametros_manuales!$G$30*('Plan mensual'!O16+IF(parametros_manuales!$H$30="Todos",'Plan mensual'!O20,0)))*parametros_manuales!$I$30*parametros_manuales!$J$30</f>
        <v>1254.54857632</v>
      </c>
      <c r="N40" s="9" t="n">
        <f aca="false">SUM(B40:M40)</f>
        <v>10859.777605</v>
      </c>
      <c r="O40" s="9" t="n">
        <f aca="false">MAX(B40:M40)</f>
        <v>1254.54857632</v>
      </c>
      <c r="P40" s="43" t="n">
        <f aca="false">O40/(parametros_manuales!$B$7)</f>
        <v>8.36365717546667</v>
      </c>
      <c r="Q40" s="8" t="str">
        <f aca="false">IF(O40=0,"-",INDEX($B$28:$M$28,MATCH(O40,B40:M40,0)))</f>
        <v>Dic</v>
      </c>
    </row>
    <row r="41" customFormat="false" ht="14.25" hidden="false" customHeight="true" outlineLevel="0" collapsed="false">
      <c r="A41" s="8" t="str">
        <f aca="false">parametros_manuales!$B$31</f>
        <v>Control de calidad — Espesor</v>
      </c>
      <c r="B41" s="9" t="n">
        <f aca="false">(parametros_manuales!$D$31*('Plan mensual'!D13+IF(parametros_manuales!$H$31="Todos",'Plan mensual'!D17,0))+parametros_manuales!$E$31*('Plan mensual'!D14+IF(parametros_manuales!$H$31="Todos",'Plan mensual'!D18,0))+parametros_manuales!$F$31*('Plan mensual'!D15+IF(parametros_manuales!$H$31="Todos",'Plan mensual'!D19,0))+parametros_manuales!$G$31*('Plan mensual'!D16+IF(parametros_manuales!$H$31="Todos",'Plan mensual'!D20,0)))*parametros_manuales!$I$31*parametros_manuales!$J$31</f>
        <v>24.1184768008</v>
      </c>
      <c r="C41" s="9" t="n">
        <f aca="false">(parametros_manuales!$D$31*('Plan mensual'!E13+IF(parametros_manuales!$H$31="Todos",'Plan mensual'!E17,0))+parametros_manuales!$E$31*('Plan mensual'!E14+IF(parametros_manuales!$H$31="Todos",'Plan mensual'!E18,0))+parametros_manuales!$F$31*('Plan mensual'!E15+IF(parametros_manuales!$H$31="Todos",'Plan mensual'!E19,0))+parametros_manuales!$G$31*('Plan mensual'!E16+IF(parametros_manuales!$H$31="Todos",'Plan mensual'!E20,0)))*parametros_manuales!$I$31*parametros_manuales!$J$31</f>
        <v>18.5751049634</v>
      </c>
      <c r="D41" s="9" t="n">
        <f aca="false">(parametros_manuales!$D$31*('Plan mensual'!F13+IF(parametros_manuales!$H$31="Todos",'Plan mensual'!F17,0))+parametros_manuales!$E$31*('Plan mensual'!F14+IF(parametros_manuales!$H$31="Todos",'Plan mensual'!F18,0))+parametros_manuales!$F$31*('Plan mensual'!F15+IF(parametros_manuales!$H$31="Todos",'Plan mensual'!F19,0))+parametros_manuales!$G$31*('Plan mensual'!F16+IF(parametros_manuales!$H$31="Todos",'Plan mensual'!F20,0)))*parametros_manuales!$I$31*parametros_manuales!$J$31</f>
        <v>17.8618915308</v>
      </c>
      <c r="E41" s="9" t="n">
        <f aca="false">(parametros_manuales!$D$31*('Plan mensual'!G13+IF(parametros_manuales!$H$31="Todos",'Plan mensual'!G17,0))+parametros_manuales!$E$31*('Plan mensual'!G14+IF(parametros_manuales!$H$31="Todos",'Plan mensual'!G18,0))+parametros_manuales!$F$31*('Plan mensual'!G15+IF(parametros_manuales!$H$31="Todos",'Plan mensual'!G19,0))+parametros_manuales!$G$31*('Plan mensual'!G16+IF(parametros_manuales!$H$31="Todos",'Plan mensual'!G20,0)))*parametros_manuales!$I$31*parametros_manuales!$J$31</f>
        <v>17.2621611331</v>
      </c>
      <c r="F41" s="9" t="n">
        <f aca="false">(parametros_manuales!$D$31*('Plan mensual'!H13+IF(parametros_manuales!$H$31="Todos",'Plan mensual'!H17,0))+parametros_manuales!$E$31*('Plan mensual'!H14+IF(parametros_manuales!$H$31="Todos",'Plan mensual'!H18,0))+parametros_manuales!$F$31*('Plan mensual'!H15+IF(parametros_manuales!$H$31="Todos",'Plan mensual'!H19,0))+parametros_manuales!$G$31*('Plan mensual'!H16+IF(parametros_manuales!$H$31="Todos",'Plan mensual'!H20,0)))*parametros_manuales!$I$31*parametros_manuales!$J$31</f>
        <v>16.1761833726</v>
      </c>
      <c r="G41" s="9" t="n">
        <f aca="false">(parametros_manuales!$D$31*('Plan mensual'!I13+IF(parametros_manuales!$H$31="Todos",'Plan mensual'!I17,0))+parametros_manuales!$E$31*('Plan mensual'!I14+IF(parametros_manuales!$H$31="Todos",'Plan mensual'!I18,0))+parametros_manuales!$F$31*('Plan mensual'!I15+IF(parametros_manuales!$H$31="Todos",'Plan mensual'!I19,0))+parametros_manuales!$G$31*('Plan mensual'!I16+IF(parametros_manuales!$H$31="Todos",'Plan mensual'!I20,0)))*parametros_manuales!$I$31*parametros_manuales!$J$31</f>
        <v>15.6899360098</v>
      </c>
      <c r="H41" s="9" t="n">
        <f aca="false">(parametros_manuales!$D$31*('Plan mensual'!J13+IF(parametros_manuales!$H$31="Todos",'Plan mensual'!J17,0))+parametros_manuales!$E$31*('Plan mensual'!J14+IF(parametros_manuales!$H$31="Todos",'Plan mensual'!J18,0))+parametros_manuales!$F$31*('Plan mensual'!J15+IF(parametros_manuales!$H$31="Todos",'Plan mensual'!J19,0))+parametros_manuales!$G$31*('Plan mensual'!J16+IF(parametros_manuales!$H$31="Todos",'Plan mensual'!J20,0)))*parametros_manuales!$I$31*parametros_manuales!$J$31</f>
        <v>16.7759137703</v>
      </c>
      <c r="I41" s="9" t="n">
        <f aca="false">(parametros_manuales!$D$31*('Plan mensual'!K13+IF(parametros_manuales!$H$31="Todos",'Plan mensual'!K17,0))+parametros_manuales!$E$31*('Plan mensual'!K14+IF(parametros_manuales!$H$31="Todos",'Plan mensual'!K18,0))+parametros_manuales!$F$31*('Plan mensual'!K15+IF(parametros_manuales!$H$31="Todos",'Plan mensual'!K19,0))+parametros_manuales!$G$31*('Plan mensual'!K16+IF(parametros_manuales!$H$31="Todos",'Plan mensual'!K20,0)))*parametros_manuales!$I$31*parametros_manuales!$J$31</f>
        <v>16.7759137703</v>
      </c>
      <c r="J41" s="9" t="n">
        <f aca="false">(parametros_manuales!$D$31*('Plan mensual'!L13+IF(parametros_manuales!$H$31="Todos",'Plan mensual'!L17,0))+parametros_manuales!$E$31*('Plan mensual'!L14+IF(parametros_manuales!$H$31="Todos",'Plan mensual'!L18,0))+parametros_manuales!$F$31*('Plan mensual'!L15+IF(parametros_manuales!$H$31="Todos",'Plan mensual'!L19,0))+parametros_manuales!$G$31*('Plan mensual'!L16+IF(parametros_manuales!$H$31="Todos",'Plan mensual'!L20,0)))*parametros_manuales!$I$31*parametros_manuales!$J$31</f>
        <v>16.7759137703</v>
      </c>
      <c r="K41" s="9" t="n">
        <f aca="false">(parametros_manuales!$D$31*('Plan mensual'!M13+IF(parametros_manuales!$H$31="Todos",'Plan mensual'!M17,0))+parametros_manuales!$E$31*('Plan mensual'!M14+IF(parametros_manuales!$H$31="Todos",'Plan mensual'!M18,0))+parametros_manuales!$F$31*('Plan mensual'!M15+IF(parametros_manuales!$H$31="Todos",'Plan mensual'!M19,0))+parametros_manuales!$G$31*('Plan mensual'!M16+IF(parametros_manuales!$H$31="Todos",'Plan mensual'!M20,0)))*parametros_manuales!$I$31*parametros_manuales!$J$31</f>
        <v>16.2896664075</v>
      </c>
      <c r="L41" s="9" t="n">
        <f aca="false">(parametros_manuales!$D$31*('Plan mensual'!N13+IF(parametros_manuales!$H$31="Todos",'Plan mensual'!N17,0))+parametros_manuales!$E$31*('Plan mensual'!N14+IF(parametros_manuales!$H$31="Todos",'Plan mensual'!N18,0))+parametros_manuales!$F$31*('Plan mensual'!N15+IF(parametros_manuales!$H$31="Todos",'Plan mensual'!N19,0))+parametros_manuales!$G$31*('Plan mensual'!N16+IF(parametros_manuales!$H$31="Todos",'Plan mensual'!N20,0)))*parametros_manuales!$I$31*parametros_manuales!$J$31</f>
        <v>15.8034190447</v>
      </c>
      <c r="M41" s="9" t="n">
        <f aca="false">(parametros_manuales!$D$31*('Plan mensual'!O13+IF(parametros_manuales!$H$31="Todos",'Plan mensual'!O17,0))+parametros_manuales!$E$31*('Plan mensual'!O14+IF(parametros_manuales!$H$31="Todos",'Plan mensual'!O18,0))+parametros_manuales!$F$31*('Plan mensual'!O15+IF(parametros_manuales!$H$31="Todos",'Plan mensual'!O19,0))+parametros_manuales!$G$31*('Plan mensual'!O16+IF(parametros_manuales!$H$31="Todos",'Plan mensual'!O20,0)))*parametros_manuales!$I$31*parametros_manuales!$J$31</f>
        <v>25.0909715264</v>
      </c>
      <c r="N41" s="9" t="n">
        <f aca="false">SUM(B41:M41)</f>
        <v>217.1955521</v>
      </c>
      <c r="O41" s="9" t="n">
        <f aca="false">MAX(B41:M41)</f>
        <v>25.0909715264</v>
      </c>
      <c r="P41" s="43" t="n">
        <f aca="false">O41/(parametros_manuales!$B$7)</f>
        <v>0.167273143509333</v>
      </c>
      <c r="Q41" s="8" t="str">
        <f aca="false">IF(O41=0,"-",INDEX($B$28:$M$28,MATCH(O41,B41:M41,0)))</f>
        <v>Dic</v>
      </c>
    </row>
    <row r="42" customFormat="false" ht="14.25" hidden="false" customHeight="true" outlineLevel="0" collapsed="false">
      <c r="A42" s="8" t="str">
        <f aca="false">parametros_manuales!$B$32</f>
        <v>Prueba hidráulica</v>
      </c>
      <c r="B42" s="9" t="n">
        <f aca="false">(parametros_manuales!$D$32*('Plan mensual'!D13+IF(parametros_manuales!$H$32="Todos",'Plan mensual'!D17,0))+parametros_manuales!$E$32*('Plan mensual'!D14+IF(parametros_manuales!$H$32="Todos",'Plan mensual'!D18,0))+parametros_manuales!$F$32*('Plan mensual'!D15+IF(parametros_manuales!$H$32="Todos",'Plan mensual'!D19,0))+parametros_manuales!$G$32*('Plan mensual'!D16+IF(parametros_manuales!$H$32="Todos",'Plan mensual'!D20,0)))*parametros_manuales!$I$32*parametros_manuales!$J$32</f>
        <v>1205.92384004</v>
      </c>
      <c r="C42" s="9" t="n">
        <f aca="false">(parametros_manuales!$D$32*('Plan mensual'!E13+IF(parametros_manuales!$H$32="Todos",'Plan mensual'!E17,0))+parametros_manuales!$E$32*('Plan mensual'!E14+IF(parametros_manuales!$H$32="Todos",'Plan mensual'!E18,0))+parametros_manuales!$F$32*('Plan mensual'!E15+IF(parametros_manuales!$H$32="Todos",'Plan mensual'!E19,0))+parametros_manuales!$G$32*('Plan mensual'!E16+IF(parametros_manuales!$H$32="Todos",'Plan mensual'!E20,0)))*parametros_manuales!$I$32*parametros_manuales!$J$32</f>
        <v>928.75524817</v>
      </c>
      <c r="D42" s="9" t="n">
        <f aca="false">(parametros_manuales!$D$32*('Plan mensual'!F13+IF(parametros_manuales!$H$32="Todos",'Plan mensual'!F17,0))+parametros_manuales!$E$32*('Plan mensual'!F14+IF(parametros_manuales!$H$32="Todos",'Plan mensual'!F18,0))+parametros_manuales!$F$32*('Plan mensual'!F15+IF(parametros_manuales!$H$32="Todos",'Plan mensual'!F19,0))+parametros_manuales!$G$32*('Plan mensual'!F16+IF(parametros_manuales!$H$32="Todos",'Plan mensual'!F20,0)))*parametros_manuales!$I$32*parametros_manuales!$J$32</f>
        <v>893.09457654</v>
      </c>
      <c r="E42" s="9" t="n">
        <f aca="false">(parametros_manuales!$D$32*('Plan mensual'!G13+IF(parametros_manuales!$H$32="Todos",'Plan mensual'!G17,0))+parametros_manuales!$E$32*('Plan mensual'!G14+IF(parametros_manuales!$H$32="Todos",'Plan mensual'!G18,0))+parametros_manuales!$F$32*('Plan mensual'!G15+IF(parametros_manuales!$H$32="Todos",'Plan mensual'!G19,0))+parametros_manuales!$G$32*('Plan mensual'!G16+IF(parametros_manuales!$H$32="Todos",'Plan mensual'!G20,0)))*parametros_manuales!$I$32*parametros_manuales!$J$32</f>
        <v>863.108056655</v>
      </c>
      <c r="F42" s="9" t="n">
        <f aca="false">(parametros_manuales!$D$32*('Plan mensual'!H13+IF(parametros_manuales!$H$32="Todos",'Plan mensual'!H17,0))+parametros_manuales!$E$32*('Plan mensual'!H14+IF(parametros_manuales!$H$32="Todos",'Plan mensual'!H18,0))+parametros_manuales!$F$32*('Plan mensual'!H15+IF(parametros_manuales!$H$32="Todos",'Plan mensual'!H19,0))+parametros_manuales!$G$32*('Plan mensual'!H16+IF(parametros_manuales!$H$32="Todos",'Plan mensual'!H20,0)))*parametros_manuales!$I$32*parametros_manuales!$J$32</f>
        <v>808.80916863</v>
      </c>
      <c r="G42" s="9" t="n">
        <f aca="false">(parametros_manuales!$D$32*('Plan mensual'!I13+IF(parametros_manuales!$H$32="Todos",'Plan mensual'!I17,0))+parametros_manuales!$E$32*('Plan mensual'!I14+IF(parametros_manuales!$H$32="Todos",'Plan mensual'!I18,0))+parametros_manuales!$F$32*('Plan mensual'!I15+IF(parametros_manuales!$H$32="Todos",'Plan mensual'!I19,0))+parametros_manuales!$G$32*('Plan mensual'!I16+IF(parametros_manuales!$H$32="Todos",'Plan mensual'!I20,0)))*parametros_manuales!$I$32*parametros_manuales!$J$32</f>
        <v>784.49680049</v>
      </c>
      <c r="H42" s="9" t="n">
        <f aca="false">(parametros_manuales!$D$32*('Plan mensual'!J13+IF(parametros_manuales!$H$32="Todos",'Plan mensual'!J17,0))+parametros_manuales!$E$32*('Plan mensual'!J14+IF(parametros_manuales!$H$32="Todos",'Plan mensual'!J18,0))+parametros_manuales!$F$32*('Plan mensual'!J15+IF(parametros_manuales!$H$32="Todos",'Plan mensual'!J19,0))+parametros_manuales!$G$32*('Plan mensual'!J16+IF(parametros_manuales!$H$32="Todos",'Plan mensual'!J20,0)))*parametros_manuales!$I$32*parametros_manuales!$J$32</f>
        <v>838.795688515</v>
      </c>
      <c r="I42" s="9" t="n">
        <f aca="false">(parametros_manuales!$D$32*('Plan mensual'!K13+IF(parametros_manuales!$H$32="Todos",'Plan mensual'!K17,0))+parametros_manuales!$E$32*('Plan mensual'!K14+IF(parametros_manuales!$H$32="Todos",'Plan mensual'!K18,0))+parametros_manuales!$F$32*('Plan mensual'!K15+IF(parametros_manuales!$H$32="Todos",'Plan mensual'!K19,0))+parametros_manuales!$G$32*('Plan mensual'!K16+IF(parametros_manuales!$H$32="Todos",'Plan mensual'!K20,0)))*parametros_manuales!$I$32*parametros_manuales!$J$32</f>
        <v>838.795688515</v>
      </c>
      <c r="J42" s="9" t="n">
        <f aca="false">(parametros_manuales!$D$32*('Plan mensual'!L13+IF(parametros_manuales!$H$32="Todos",'Plan mensual'!L17,0))+parametros_manuales!$E$32*('Plan mensual'!L14+IF(parametros_manuales!$H$32="Todos",'Plan mensual'!L18,0))+parametros_manuales!$F$32*('Plan mensual'!L15+IF(parametros_manuales!$H$32="Todos",'Plan mensual'!L19,0))+parametros_manuales!$G$32*('Plan mensual'!L16+IF(parametros_manuales!$H$32="Todos",'Plan mensual'!L20,0)))*parametros_manuales!$I$32*parametros_manuales!$J$32</f>
        <v>838.795688515</v>
      </c>
      <c r="K42" s="9" t="n">
        <f aca="false">(parametros_manuales!$D$32*('Plan mensual'!M13+IF(parametros_manuales!$H$32="Todos",'Plan mensual'!M17,0))+parametros_manuales!$E$32*('Plan mensual'!M14+IF(parametros_manuales!$H$32="Todos",'Plan mensual'!M18,0))+parametros_manuales!$F$32*('Plan mensual'!M15+IF(parametros_manuales!$H$32="Todos",'Plan mensual'!M19,0))+parametros_manuales!$G$32*('Plan mensual'!M16+IF(parametros_manuales!$H$32="Todos",'Plan mensual'!M20,0)))*parametros_manuales!$I$32*parametros_manuales!$J$32</f>
        <v>814.483320375</v>
      </c>
      <c r="L42" s="9" t="n">
        <f aca="false">(parametros_manuales!$D$32*('Plan mensual'!N13+IF(parametros_manuales!$H$32="Todos",'Plan mensual'!N17,0))+parametros_manuales!$E$32*('Plan mensual'!N14+IF(parametros_manuales!$H$32="Todos",'Plan mensual'!N18,0))+parametros_manuales!$F$32*('Plan mensual'!N15+IF(parametros_manuales!$H$32="Todos",'Plan mensual'!N19,0))+parametros_manuales!$G$32*('Plan mensual'!N16+IF(parametros_manuales!$H$32="Todos",'Plan mensual'!N20,0)))*parametros_manuales!$I$32*parametros_manuales!$J$32</f>
        <v>790.170952235</v>
      </c>
      <c r="M42" s="9" t="n">
        <f aca="false">(parametros_manuales!$D$32*('Plan mensual'!O13+IF(parametros_manuales!$H$32="Todos",'Plan mensual'!O17,0))+parametros_manuales!$E$32*('Plan mensual'!O14+IF(parametros_manuales!$H$32="Todos",'Plan mensual'!O18,0))+parametros_manuales!$F$32*('Plan mensual'!O15+IF(parametros_manuales!$H$32="Todos",'Plan mensual'!O19,0))+parametros_manuales!$G$32*('Plan mensual'!O16+IF(parametros_manuales!$H$32="Todos",'Plan mensual'!O20,0)))*parametros_manuales!$I$32*parametros_manuales!$J$32</f>
        <v>1254.54857632</v>
      </c>
      <c r="N42" s="9" t="n">
        <f aca="false">SUM(B42:M42)</f>
        <v>10859.777605</v>
      </c>
      <c r="O42" s="9" t="n">
        <f aca="false">MAX(B42:M42)</f>
        <v>1254.54857632</v>
      </c>
      <c r="P42" s="43" t="n">
        <f aca="false">O42/(parametros_manuales!$B$7)</f>
        <v>8.36365717546667</v>
      </c>
      <c r="Q42" s="8" t="str">
        <f aca="false">IF(O42=0,"-",INDEX($B$28:$M$28,MATCH(O42,B42:M42,0)))</f>
        <v>Dic</v>
      </c>
    </row>
    <row r="43" customFormat="false" ht="14.25" hidden="false" customHeight="true" outlineLevel="0" collapsed="false">
      <c r="A43" s="8" t="str">
        <f aca="false">parametros_manuales!$B$33</f>
        <v>Secado</v>
      </c>
      <c r="B43" s="9" t="n">
        <f aca="false">(parametros_manuales!$D$33*('Plan mensual'!D13+IF(parametros_manuales!$H$33="Todos",'Plan mensual'!D17,0))+parametros_manuales!$E$33*('Plan mensual'!D14+IF(parametros_manuales!$H$33="Todos",'Plan mensual'!D18,0))+parametros_manuales!$F$33*('Plan mensual'!D15+IF(parametros_manuales!$H$33="Todos",'Plan mensual'!D19,0))+parametros_manuales!$G$33*('Plan mensual'!D16+IF(parametros_manuales!$H$33="Todos",'Plan mensual'!D20,0)))*parametros_manuales!$I$33*parametros_manuales!$J$33</f>
        <v>1205.92384004</v>
      </c>
      <c r="C43" s="9" t="n">
        <f aca="false">(parametros_manuales!$D$33*('Plan mensual'!E13+IF(parametros_manuales!$H$33="Todos",'Plan mensual'!E17,0))+parametros_manuales!$E$33*('Plan mensual'!E14+IF(parametros_manuales!$H$33="Todos",'Plan mensual'!E18,0))+parametros_manuales!$F$33*('Plan mensual'!E15+IF(parametros_manuales!$H$33="Todos",'Plan mensual'!E19,0))+parametros_manuales!$G$33*('Plan mensual'!E16+IF(parametros_manuales!$H$33="Todos",'Plan mensual'!E20,0)))*parametros_manuales!$I$33*parametros_manuales!$J$33</f>
        <v>928.75524817</v>
      </c>
      <c r="D43" s="9" t="n">
        <f aca="false">(parametros_manuales!$D$33*('Plan mensual'!F13+IF(parametros_manuales!$H$33="Todos",'Plan mensual'!F17,0))+parametros_manuales!$E$33*('Plan mensual'!F14+IF(parametros_manuales!$H$33="Todos",'Plan mensual'!F18,0))+parametros_manuales!$F$33*('Plan mensual'!F15+IF(parametros_manuales!$H$33="Todos",'Plan mensual'!F19,0))+parametros_manuales!$G$33*('Plan mensual'!F16+IF(parametros_manuales!$H$33="Todos",'Plan mensual'!F20,0)))*parametros_manuales!$I$33*parametros_manuales!$J$33</f>
        <v>893.09457654</v>
      </c>
      <c r="E43" s="9" t="n">
        <f aca="false">(parametros_manuales!$D$33*('Plan mensual'!G13+IF(parametros_manuales!$H$33="Todos",'Plan mensual'!G17,0))+parametros_manuales!$E$33*('Plan mensual'!G14+IF(parametros_manuales!$H$33="Todos",'Plan mensual'!G18,0))+parametros_manuales!$F$33*('Plan mensual'!G15+IF(parametros_manuales!$H$33="Todos",'Plan mensual'!G19,0))+parametros_manuales!$G$33*('Plan mensual'!G16+IF(parametros_manuales!$H$33="Todos",'Plan mensual'!G20,0)))*parametros_manuales!$I$33*parametros_manuales!$J$33</f>
        <v>863.108056655</v>
      </c>
      <c r="F43" s="9" t="n">
        <f aca="false">(parametros_manuales!$D$33*('Plan mensual'!H13+IF(parametros_manuales!$H$33="Todos",'Plan mensual'!H17,0))+parametros_manuales!$E$33*('Plan mensual'!H14+IF(parametros_manuales!$H$33="Todos",'Plan mensual'!H18,0))+parametros_manuales!$F$33*('Plan mensual'!H15+IF(parametros_manuales!$H$33="Todos",'Plan mensual'!H19,0))+parametros_manuales!$G$33*('Plan mensual'!H16+IF(parametros_manuales!$H$33="Todos",'Plan mensual'!H20,0)))*parametros_manuales!$I$33*parametros_manuales!$J$33</f>
        <v>808.80916863</v>
      </c>
      <c r="G43" s="9" t="n">
        <f aca="false">(parametros_manuales!$D$33*('Plan mensual'!I13+IF(parametros_manuales!$H$33="Todos",'Plan mensual'!I17,0))+parametros_manuales!$E$33*('Plan mensual'!I14+IF(parametros_manuales!$H$33="Todos",'Plan mensual'!I18,0))+parametros_manuales!$F$33*('Plan mensual'!I15+IF(parametros_manuales!$H$33="Todos",'Plan mensual'!I19,0))+parametros_manuales!$G$33*('Plan mensual'!I16+IF(parametros_manuales!$H$33="Todos",'Plan mensual'!I20,0)))*parametros_manuales!$I$33*parametros_manuales!$J$33</f>
        <v>784.49680049</v>
      </c>
      <c r="H43" s="9" t="n">
        <f aca="false">(parametros_manuales!$D$33*('Plan mensual'!J13+IF(parametros_manuales!$H$33="Todos",'Plan mensual'!J17,0))+parametros_manuales!$E$33*('Plan mensual'!J14+IF(parametros_manuales!$H$33="Todos",'Plan mensual'!J18,0))+parametros_manuales!$F$33*('Plan mensual'!J15+IF(parametros_manuales!$H$33="Todos",'Plan mensual'!J19,0))+parametros_manuales!$G$33*('Plan mensual'!J16+IF(parametros_manuales!$H$33="Todos",'Plan mensual'!J20,0)))*parametros_manuales!$I$33*parametros_manuales!$J$33</f>
        <v>838.795688515</v>
      </c>
      <c r="I43" s="9" t="n">
        <f aca="false">(parametros_manuales!$D$33*('Plan mensual'!K13+IF(parametros_manuales!$H$33="Todos",'Plan mensual'!K17,0))+parametros_manuales!$E$33*('Plan mensual'!K14+IF(parametros_manuales!$H$33="Todos",'Plan mensual'!K18,0))+parametros_manuales!$F$33*('Plan mensual'!K15+IF(parametros_manuales!$H$33="Todos",'Plan mensual'!K19,0))+parametros_manuales!$G$33*('Plan mensual'!K16+IF(parametros_manuales!$H$33="Todos",'Plan mensual'!K20,0)))*parametros_manuales!$I$33*parametros_manuales!$J$33</f>
        <v>838.795688515</v>
      </c>
      <c r="J43" s="9" t="n">
        <f aca="false">(parametros_manuales!$D$33*('Plan mensual'!L13+IF(parametros_manuales!$H$33="Todos",'Plan mensual'!L17,0))+parametros_manuales!$E$33*('Plan mensual'!L14+IF(parametros_manuales!$H$33="Todos",'Plan mensual'!L18,0))+parametros_manuales!$F$33*('Plan mensual'!L15+IF(parametros_manuales!$H$33="Todos",'Plan mensual'!L19,0))+parametros_manuales!$G$33*('Plan mensual'!L16+IF(parametros_manuales!$H$33="Todos",'Plan mensual'!L20,0)))*parametros_manuales!$I$33*parametros_manuales!$J$33</f>
        <v>838.795688515</v>
      </c>
      <c r="K43" s="9" t="n">
        <f aca="false">(parametros_manuales!$D$33*('Plan mensual'!M13+IF(parametros_manuales!$H$33="Todos",'Plan mensual'!M17,0))+parametros_manuales!$E$33*('Plan mensual'!M14+IF(parametros_manuales!$H$33="Todos",'Plan mensual'!M18,0))+parametros_manuales!$F$33*('Plan mensual'!M15+IF(parametros_manuales!$H$33="Todos",'Plan mensual'!M19,0))+parametros_manuales!$G$33*('Plan mensual'!M16+IF(parametros_manuales!$H$33="Todos",'Plan mensual'!M20,0)))*parametros_manuales!$I$33*parametros_manuales!$J$33</f>
        <v>814.483320375</v>
      </c>
      <c r="L43" s="9" t="n">
        <f aca="false">(parametros_manuales!$D$33*('Plan mensual'!N13+IF(parametros_manuales!$H$33="Todos",'Plan mensual'!N17,0))+parametros_manuales!$E$33*('Plan mensual'!N14+IF(parametros_manuales!$H$33="Todos",'Plan mensual'!N18,0))+parametros_manuales!$F$33*('Plan mensual'!N15+IF(parametros_manuales!$H$33="Todos",'Plan mensual'!N19,0))+parametros_manuales!$G$33*('Plan mensual'!N16+IF(parametros_manuales!$H$33="Todos",'Plan mensual'!N20,0)))*parametros_manuales!$I$33*parametros_manuales!$J$33</f>
        <v>790.170952235</v>
      </c>
      <c r="M43" s="9" t="n">
        <f aca="false">(parametros_manuales!$D$33*('Plan mensual'!O13+IF(parametros_manuales!$H$33="Todos",'Plan mensual'!O17,0))+parametros_manuales!$E$33*('Plan mensual'!O14+IF(parametros_manuales!$H$33="Todos",'Plan mensual'!O18,0))+parametros_manuales!$F$33*('Plan mensual'!O15+IF(parametros_manuales!$H$33="Todos",'Plan mensual'!O19,0))+parametros_manuales!$G$33*('Plan mensual'!O16+IF(parametros_manuales!$H$33="Todos",'Plan mensual'!O20,0)))*parametros_manuales!$I$33*parametros_manuales!$J$33</f>
        <v>1254.54857632</v>
      </c>
      <c r="N43" s="9" t="n">
        <f aca="false">SUM(B43:M43)</f>
        <v>10859.777605</v>
      </c>
      <c r="O43" s="9" t="n">
        <f aca="false">MAX(B43:M43)</f>
        <v>1254.54857632</v>
      </c>
      <c r="P43" s="43" t="n">
        <f aca="false">O43/(parametros_manuales!$B$7)</f>
        <v>8.36365717546667</v>
      </c>
      <c r="Q43" s="8" t="str">
        <f aca="false">IF(O43=0,"-",INDEX($B$28:$M$28,MATCH(O43,B43:M43,0)))</f>
        <v>Dic</v>
      </c>
    </row>
    <row r="44" customFormat="false" ht="14.25" hidden="false" customHeight="true" outlineLevel="0" collapsed="false">
      <c r="A44" s="8" t="str">
        <f aca="false">parametros_manuales!$B$34</f>
        <v>Granallado</v>
      </c>
      <c r="B44" s="9" t="n">
        <f aca="false">(parametros_manuales!$D$34*('Plan mensual'!D13+IF(parametros_manuales!$H$34="Todos",'Plan mensual'!D17,0))+parametros_manuales!$E$34*('Plan mensual'!D14+IF(parametros_manuales!$H$34="Todos",'Plan mensual'!D18,0))+parametros_manuales!$F$34*('Plan mensual'!D15+IF(parametros_manuales!$H$34="Todos",'Plan mensual'!D19,0))+parametros_manuales!$G$34*('Plan mensual'!D16+IF(parametros_manuales!$H$34="Todos",'Plan mensual'!D20,0)))*parametros_manuales!$I$34*parametros_manuales!$J$34</f>
        <v>1205.92384004</v>
      </c>
      <c r="C44" s="9" t="n">
        <f aca="false">(parametros_manuales!$D$34*('Plan mensual'!E13+IF(parametros_manuales!$H$34="Todos",'Plan mensual'!E17,0))+parametros_manuales!$E$34*('Plan mensual'!E14+IF(parametros_manuales!$H$34="Todos",'Plan mensual'!E18,0))+parametros_manuales!$F$34*('Plan mensual'!E15+IF(parametros_manuales!$H$34="Todos",'Plan mensual'!E19,0))+parametros_manuales!$G$34*('Plan mensual'!E16+IF(parametros_manuales!$H$34="Todos",'Plan mensual'!E20,0)))*parametros_manuales!$I$34*parametros_manuales!$J$34</f>
        <v>928.75524817</v>
      </c>
      <c r="D44" s="9" t="n">
        <f aca="false">(parametros_manuales!$D$34*('Plan mensual'!F13+IF(parametros_manuales!$H$34="Todos",'Plan mensual'!F17,0))+parametros_manuales!$E$34*('Plan mensual'!F14+IF(parametros_manuales!$H$34="Todos",'Plan mensual'!F18,0))+parametros_manuales!$F$34*('Plan mensual'!F15+IF(parametros_manuales!$H$34="Todos",'Plan mensual'!F19,0))+parametros_manuales!$G$34*('Plan mensual'!F16+IF(parametros_manuales!$H$34="Todos",'Plan mensual'!F20,0)))*parametros_manuales!$I$34*parametros_manuales!$J$34</f>
        <v>893.09457654</v>
      </c>
      <c r="E44" s="9" t="n">
        <f aca="false">(parametros_manuales!$D$34*('Plan mensual'!G13+IF(parametros_manuales!$H$34="Todos",'Plan mensual'!G17,0))+parametros_manuales!$E$34*('Plan mensual'!G14+IF(parametros_manuales!$H$34="Todos",'Plan mensual'!G18,0))+parametros_manuales!$F$34*('Plan mensual'!G15+IF(parametros_manuales!$H$34="Todos",'Plan mensual'!G19,0))+parametros_manuales!$G$34*('Plan mensual'!G16+IF(parametros_manuales!$H$34="Todos",'Plan mensual'!G20,0)))*parametros_manuales!$I$34*parametros_manuales!$J$34</f>
        <v>863.108056655</v>
      </c>
      <c r="F44" s="9" t="n">
        <f aca="false">(parametros_manuales!$D$34*('Plan mensual'!H13+IF(parametros_manuales!$H$34="Todos",'Plan mensual'!H17,0))+parametros_manuales!$E$34*('Plan mensual'!H14+IF(parametros_manuales!$H$34="Todos",'Plan mensual'!H18,0))+parametros_manuales!$F$34*('Plan mensual'!H15+IF(parametros_manuales!$H$34="Todos",'Plan mensual'!H19,0))+parametros_manuales!$G$34*('Plan mensual'!H16+IF(parametros_manuales!$H$34="Todos",'Plan mensual'!H20,0)))*parametros_manuales!$I$34*parametros_manuales!$J$34</f>
        <v>808.80916863</v>
      </c>
      <c r="G44" s="9" t="n">
        <f aca="false">(parametros_manuales!$D$34*('Plan mensual'!I13+IF(parametros_manuales!$H$34="Todos",'Plan mensual'!I17,0))+parametros_manuales!$E$34*('Plan mensual'!I14+IF(parametros_manuales!$H$34="Todos",'Plan mensual'!I18,0))+parametros_manuales!$F$34*('Plan mensual'!I15+IF(parametros_manuales!$H$34="Todos",'Plan mensual'!I19,0))+parametros_manuales!$G$34*('Plan mensual'!I16+IF(parametros_manuales!$H$34="Todos",'Plan mensual'!I20,0)))*parametros_manuales!$I$34*parametros_manuales!$J$34</f>
        <v>784.49680049</v>
      </c>
      <c r="H44" s="9" t="n">
        <f aca="false">(parametros_manuales!$D$34*('Plan mensual'!J13+IF(parametros_manuales!$H$34="Todos",'Plan mensual'!J17,0))+parametros_manuales!$E$34*('Plan mensual'!J14+IF(parametros_manuales!$H$34="Todos",'Plan mensual'!J18,0))+parametros_manuales!$F$34*('Plan mensual'!J15+IF(parametros_manuales!$H$34="Todos",'Plan mensual'!J19,0))+parametros_manuales!$G$34*('Plan mensual'!J16+IF(parametros_manuales!$H$34="Todos",'Plan mensual'!J20,0)))*parametros_manuales!$I$34*parametros_manuales!$J$34</f>
        <v>838.795688515</v>
      </c>
      <c r="I44" s="9" t="n">
        <f aca="false">(parametros_manuales!$D$34*('Plan mensual'!K13+IF(parametros_manuales!$H$34="Todos",'Plan mensual'!K17,0))+parametros_manuales!$E$34*('Plan mensual'!K14+IF(parametros_manuales!$H$34="Todos",'Plan mensual'!K18,0))+parametros_manuales!$F$34*('Plan mensual'!K15+IF(parametros_manuales!$H$34="Todos",'Plan mensual'!K19,0))+parametros_manuales!$G$34*('Plan mensual'!K16+IF(parametros_manuales!$H$34="Todos",'Plan mensual'!K20,0)))*parametros_manuales!$I$34*parametros_manuales!$J$34</f>
        <v>838.795688515</v>
      </c>
      <c r="J44" s="9" t="n">
        <f aca="false">(parametros_manuales!$D$34*('Plan mensual'!L13+IF(parametros_manuales!$H$34="Todos",'Plan mensual'!L17,0))+parametros_manuales!$E$34*('Plan mensual'!L14+IF(parametros_manuales!$H$34="Todos",'Plan mensual'!L18,0))+parametros_manuales!$F$34*('Plan mensual'!L15+IF(parametros_manuales!$H$34="Todos",'Plan mensual'!L19,0))+parametros_manuales!$G$34*('Plan mensual'!L16+IF(parametros_manuales!$H$34="Todos",'Plan mensual'!L20,0)))*parametros_manuales!$I$34*parametros_manuales!$J$34</f>
        <v>838.795688515</v>
      </c>
      <c r="K44" s="9" t="n">
        <f aca="false">(parametros_manuales!$D$34*('Plan mensual'!M13+IF(parametros_manuales!$H$34="Todos",'Plan mensual'!M17,0))+parametros_manuales!$E$34*('Plan mensual'!M14+IF(parametros_manuales!$H$34="Todos",'Plan mensual'!M18,0))+parametros_manuales!$F$34*('Plan mensual'!M15+IF(parametros_manuales!$H$34="Todos",'Plan mensual'!M19,0))+parametros_manuales!$G$34*('Plan mensual'!M16+IF(parametros_manuales!$H$34="Todos",'Plan mensual'!M20,0)))*parametros_manuales!$I$34*parametros_manuales!$J$34</f>
        <v>814.483320375</v>
      </c>
      <c r="L44" s="9" t="n">
        <f aca="false">(parametros_manuales!$D$34*('Plan mensual'!N13+IF(parametros_manuales!$H$34="Todos",'Plan mensual'!N17,0))+parametros_manuales!$E$34*('Plan mensual'!N14+IF(parametros_manuales!$H$34="Todos",'Plan mensual'!N18,0))+parametros_manuales!$F$34*('Plan mensual'!N15+IF(parametros_manuales!$H$34="Todos",'Plan mensual'!N19,0))+parametros_manuales!$G$34*('Plan mensual'!N16+IF(parametros_manuales!$H$34="Todos",'Plan mensual'!N20,0)))*parametros_manuales!$I$34*parametros_manuales!$J$34</f>
        <v>790.170952235</v>
      </c>
      <c r="M44" s="9" t="n">
        <f aca="false">(parametros_manuales!$D$34*('Plan mensual'!O13+IF(parametros_manuales!$H$34="Todos",'Plan mensual'!O17,0))+parametros_manuales!$E$34*('Plan mensual'!O14+IF(parametros_manuales!$H$34="Todos",'Plan mensual'!O18,0))+parametros_manuales!$F$34*('Plan mensual'!O15+IF(parametros_manuales!$H$34="Todos",'Plan mensual'!O19,0))+parametros_manuales!$G$34*('Plan mensual'!O16+IF(parametros_manuales!$H$34="Todos",'Plan mensual'!O20,0)))*parametros_manuales!$I$34*parametros_manuales!$J$34</f>
        <v>1254.54857632</v>
      </c>
      <c r="N44" s="9" t="n">
        <f aca="false">SUM(B44:M44)</f>
        <v>10859.777605</v>
      </c>
      <c r="O44" s="9" t="n">
        <f aca="false">MAX(B44:M44)</f>
        <v>1254.54857632</v>
      </c>
      <c r="P44" s="43" t="n">
        <f aca="false">O44/(parametros_manuales!$B$7)</f>
        <v>8.36365717546667</v>
      </c>
      <c r="Q44" s="8" t="str">
        <f aca="false">IF(O44=0,"-",INDEX($B$28:$M$28,MATCH(O44,B44:M44,0)))</f>
        <v>Dic</v>
      </c>
    </row>
    <row r="45" customFormat="false" ht="14.25" hidden="false" customHeight="true" outlineLevel="0" collapsed="false">
      <c r="A45" s="8" t="str">
        <f aca="false">parametros_manuales!$B$35</f>
        <v>Detección de defectos</v>
      </c>
      <c r="B45" s="9" t="n">
        <f aca="false">(parametros_manuales!$D$35*('Plan mensual'!D13+IF(parametros_manuales!$H$35="Todos",'Plan mensual'!D17,0))+parametros_manuales!$E$35*('Plan mensual'!D14+IF(parametros_manuales!$H$35="Todos",'Plan mensual'!D18,0))+parametros_manuales!$F$35*('Plan mensual'!D15+IF(parametros_manuales!$H$35="Todos",'Plan mensual'!D19,0))+parametros_manuales!$G$35*('Plan mensual'!D16+IF(parametros_manuales!$H$35="Todos",'Plan mensual'!D20,0)))*parametros_manuales!$I$35*parametros_manuales!$J$35</f>
        <v>1205.92384004</v>
      </c>
      <c r="C45" s="9" t="n">
        <f aca="false">(parametros_manuales!$D$35*('Plan mensual'!E13+IF(parametros_manuales!$H$35="Todos",'Plan mensual'!E17,0))+parametros_manuales!$E$35*('Plan mensual'!E14+IF(parametros_manuales!$H$35="Todos",'Plan mensual'!E18,0))+parametros_manuales!$F$35*('Plan mensual'!E15+IF(parametros_manuales!$H$35="Todos",'Plan mensual'!E19,0))+parametros_manuales!$G$35*('Plan mensual'!E16+IF(parametros_manuales!$H$35="Todos",'Plan mensual'!E20,0)))*parametros_manuales!$I$35*parametros_manuales!$J$35</f>
        <v>928.75524817</v>
      </c>
      <c r="D45" s="9" t="n">
        <f aca="false">(parametros_manuales!$D$35*('Plan mensual'!F13+IF(parametros_manuales!$H$35="Todos",'Plan mensual'!F17,0))+parametros_manuales!$E$35*('Plan mensual'!F14+IF(parametros_manuales!$H$35="Todos",'Plan mensual'!F18,0))+parametros_manuales!$F$35*('Plan mensual'!F15+IF(parametros_manuales!$H$35="Todos",'Plan mensual'!F19,0))+parametros_manuales!$G$35*('Plan mensual'!F16+IF(parametros_manuales!$H$35="Todos",'Plan mensual'!F20,0)))*parametros_manuales!$I$35*parametros_manuales!$J$35</f>
        <v>893.09457654</v>
      </c>
      <c r="E45" s="9" t="n">
        <f aca="false">(parametros_manuales!$D$35*('Plan mensual'!G13+IF(parametros_manuales!$H$35="Todos",'Plan mensual'!G17,0))+parametros_manuales!$E$35*('Plan mensual'!G14+IF(parametros_manuales!$H$35="Todos",'Plan mensual'!G18,0))+parametros_manuales!$F$35*('Plan mensual'!G15+IF(parametros_manuales!$H$35="Todos",'Plan mensual'!G19,0))+parametros_manuales!$G$35*('Plan mensual'!G16+IF(parametros_manuales!$H$35="Todos",'Plan mensual'!G20,0)))*parametros_manuales!$I$35*parametros_manuales!$J$35</f>
        <v>863.108056655</v>
      </c>
      <c r="F45" s="9" t="n">
        <f aca="false">(parametros_manuales!$D$35*('Plan mensual'!H13+IF(parametros_manuales!$H$35="Todos",'Plan mensual'!H17,0))+parametros_manuales!$E$35*('Plan mensual'!H14+IF(parametros_manuales!$H$35="Todos",'Plan mensual'!H18,0))+parametros_manuales!$F$35*('Plan mensual'!H15+IF(parametros_manuales!$H$35="Todos",'Plan mensual'!H19,0))+parametros_manuales!$G$35*('Plan mensual'!H16+IF(parametros_manuales!$H$35="Todos",'Plan mensual'!H20,0)))*parametros_manuales!$I$35*parametros_manuales!$J$35</f>
        <v>808.80916863</v>
      </c>
      <c r="G45" s="9" t="n">
        <f aca="false">(parametros_manuales!$D$35*('Plan mensual'!I13+IF(parametros_manuales!$H$35="Todos",'Plan mensual'!I17,0))+parametros_manuales!$E$35*('Plan mensual'!I14+IF(parametros_manuales!$H$35="Todos",'Plan mensual'!I18,0))+parametros_manuales!$F$35*('Plan mensual'!I15+IF(parametros_manuales!$H$35="Todos",'Plan mensual'!I19,0))+parametros_manuales!$G$35*('Plan mensual'!I16+IF(parametros_manuales!$H$35="Todos",'Plan mensual'!I20,0)))*parametros_manuales!$I$35*parametros_manuales!$J$35</f>
        <v>784.49680049</v>
      </c>
      <c r="H45" s="9" t="n">
        <f aca="false">(parametros_manuales!$D$35*('Plan mensual'!J13+IF(parametros_manuales!$H$35="Todos",'Plan mensual'!J17,0))+parametros_manuales!$E$35*('Plan mensual'!J14+IF(parametros_manuales!$H$35="Todos",'Plan mensual'!J18,0))+parametros_manuales!$F$35*('Plan mensual'!J15+IF(parametros_manuales!$H$35="Todos",'Plan mensual'!J19,0))+parametros_manuales!$G$35*('Plan mensual'!J16+IF(parametros_manuales!$H$35="Todos",'Plan mensual'!J20,0)))*parametros_manuales!$I$35*parametros_manuales!$J$35</f>
        <v>838.795688515</v>
      </c>
      <c r="I45" s="9" t="n">
        <f aca="false">(parametros_manuales!$D$35*('Plan mensual'!K13+IF(parametros_manuales!$H$35="Todos",'Plan mensual'!K17,0))+parametros_manuales!$E$35*('Plan mensual'!K14+IF(parametros_manuales!$H$35="Todos",'Plan mensual'!K18,0))+parametros_manuales!$F$35*('Plan mensual'!K15+IF(parametros_manuales!$H$35="Todos",'Plan mensual'!K19,0))+parametros_manuales!$G$35*('Plan mensual'!K16+IF(parametros_manuales!$H$35="Todos",'Plan mensual'!K20,0)))*parametros_manuales!$I$35*parametros_manuales!$J$35</f>
        <v>838.795688515</v>
      </c>
      <c r="J45" s="9" t="n">
        <f aca="false">(parametros_manuales!$D$35*('Plan mensual'!L13+IF(parametros_manuales!$H$35="Todos",'Plan mensual'!L17,0))+parametros_manuales!$E$35*('Plan mensual'!L14+IF(parametros_manuales!$H$35="Todos",'Plan mensual'!L18,0))+parametros_manuales!$F$35*('Plan mensual'!L15+IF(parametros_manuales!$H$35="Todos",'Plan mensual'!L19,0))+parametros_manuales!$G$35*('Plan mensual'!L16+IF(parametros_manuales!$H$35="Todos",'Plan mensual'!L20,0)))*parametros_manuales!$I$35*parametros_manuales!$J$35</f>
        <v>838.795688515</v>
      </c>
      <c r="K45" s="9" t="n">
        <f aca="false">(parametros_manuales!$D$35*('Plan mensual'!M13+IF(parametros_manuales!$H$35="Todos",'Plan mensual'!M17,0))+parametros_manuales!$E$35*('Plan mensual'!M14+IF(parametros_manuales!$H$35="Todos",'Plan mensual'!M18,0))+parametros_manuales!$F$35*('Plan mensual'!M15+IF(parametros_manuales!$H$35="Todos",'Plan mensual'!M19,0))+parametros_manuales!$G$35*('Plan mensual'!M16+IF(parametros_manuales!$H$35="Todos",'Plan mensual'!M20,0)))*parametros_manuales!$I$35*parametros_manuales!$J$35</f>
        <v>814.483320375</v>
      </c>
      <c r="L45" s="9" t="n">
        <f aca="false">(parametros_manuales!$D$35*('Plan mensual'!N13+IF(parametros_manuales!$H$35="Todos",'Plan mensual'!N17,0))+parametros_manuales!$E$35*('Plan mensual'!N14+IF(parametros_manuales!$H$35="Todos",'Plan mensual'!N18,0))+parametros_manuales!$F$35*('Plan mensual'!N15+IF(parametros_manuales!$H$35="Todos",'Plan mensual'!N19,0))+parametros_manuales!$G$35*('Plan mensual'!N16+IF(parametros_manuales!$H$35="Todos",'Plan mensual'!N20,0)))*parametros_manuales!$I$35*parametros_manuales!$J$35</f>
        <v>790.170952235</v>
      </c>
      <c r="M45" s="9" t="n">
        <f aca="false">(parametros_manuales!$D$35*('Plan mensual'!O13+IF(parametros_manuales!$H$35="Todos",'Plan mensual'!O17,0))+parametros_manuales!$E$35*('Plan mensual'!O14+IF(parametros_manuales!$H$35="Todos",'Plan mensual'!O18,0))+parametros_manuales!$F$35*('Plan mensual'!O15+IF(parametros_manuales!$H$35="Todos",'Plan mensual'!O19,0))+parametros_manuales!$G$35*('Plan mensual'!O16+IF(parametros_manuales!$H$35="Todos",'Plan mensual'!O20,0)))*parametros_manuales!$I$35*parametros_manuales!$J$35</f>
        <v>1254.54857632</v>
      </c>
      <c r="N45" s="9" t="n">
        <f aca="false">SUM(B45:M45)</f>
        <v>10859.777605</v>
      </c>
      <c r="O45" s="9" t="n">
        <f aca="false">MAX(B45:M45)</f>
        <v>1254.54857632</v>
      </c>
      <c r="P45" s="43" t="n">
        <f aca="false">O45/(parametros_manuales!$B$7)</f>
        <v>8.36365717546667</v>
      </c>
      <c r="Q45" s="8" t="str">
        <f aca="false">IF(O45=0,"-",INDEX($B$28:$M$28,MATCH(O45,B45:M45,0)))</f>
        <v>Dic</v>
      </c>
    </row>
    <row r="46" customFormat="false" ht="14.25" hidden="false" customHeight="true" outlineLevel="0" collapsed="false">
      <c r="A46" s="8" t="str">
        <f aca="false">parametros_manuales!$B$36</f>
        <v>Corrección de defectos</v>
      </c>
      <c r="B46" s="9" t="n">
        <f aca="false">(parametros_manuales!$D$36*('Plan mensual'!D13+IF(parametros_manuales!$H$36="Todos",'Plan mensual'!D17,0))+parametros_manuales!$E$36*('Plan mensual'!D14+IF(parametros_manuales!$H$36="Todos",'Plan mensual'!D18,0))+parametros_manuales!$F$36*('Plan mensual'!D15+IF(parametros_manuales!$H$36="Todos",'Plan mensual'!D19,0))+parametros_manuales!$G$36*('Plan mensual'!D16+IF(parametros_manuales!$H$36="Todos",'Plan mensual'!D20,0)))*parametros_manuales!$I$36*parametros_manuales!$J$36</f>
        <v>60.296192002</v>
      </c>
      <c r="C46" s="9" t="n">
        <f aca="false">(parametros_manuales!$D$36*('Plan mensual'!E13+IF(parametros_manuales!$H$36="Todos",'Plan mensual'!E17,0))+parametros_manuales!$E$36*('Plan mensual'!E14+IF(parametros_manuales!$H$36="Todos",'Plan mensual'!E18,0))+parametros_manuales!$F$36*('Plan mensual'!E15+IF(parametros_manuales!$H$36="Todos",'Plan mensual'!E19,0))+parametros_manuales!$G$36*('Plan mensual'!E16+IF(parametros_manuales!$H$36="Todos",'Plan mensual'!E20,0)))*parametros_manuales!$I$36*parametros_manuales!$J$36</f>
        <v>46.4377624085</v>
      </c>
      <c r="D46" s="9" t="n">
        <f aca="false">(parametros_manuales!$D$36*('Plan mensual'!F13+IF(parametros_manuales!$H$36="Todos",'Plan mensual'!F17,0))+parametros_manuales!$E$36*('Plan mensual'!F14+IF(parametros_manuales!$H$36="Todos",'Plan mensual'!F18,0))+parametros_manuales!$F$36*('Plan mensual'!F15+IF(parametros_manuales!$H$36="Todos",'Plan mensual'!F19,0))+parametros_manuales!$G$36*('Plan mensual'!F16+IF(parametros_manuales!$H$36="Todos",'Plan mensual'!F20,0)))*parametros_manuales!$I$36*parametros_manuales!$J$36</f>
        <v>44.654728827</v>
      </c>
      <c r="E46" s="9" t="n">
        <f aca="false">(parametros_manuales!$D$36*('Plan mensual'!G13+IF(parametros_manuales!$H$36="Todos",'Plan mensual'!G17,0))+parametros_manuales!$E$36*('Plan mensual'!G14+IF(parametros_manuales!$H$36="Todos",'Plan mensual'!G18,0))+parametros_manuales!$F$36*('Plan mensual'!G15+IF(parametros_manuales!$H$36="Todos",'Plan mensual'!G19,0))+parametros_manuales!$G$36*('Plan mensual'!G16+IF(parametros_manuales!$H$36="Todos",'Plan mensual'!G20,0)))*parametros_manuales!$I$36*parametros_manuales!$J$36</f>
        <v>43.15540283275</v>
      </c>
      <c r="F46" s="9" t="n">
        <f aca="false">(parametros_manuales!$D$36*('Plan mensual'!H13+IF(parametros_manuales!$H$36="Todos",'Plan mensual'!H17,0))+parametros_manuales!$E$36*('Plan mensual'!H14+IF(parametros_manuales!$H$36="Todos",'Plan mensual'!H18,0))+parametros_manuales!$F$36*('Plan mensual'!H15+IF(parametros_manuales!$H$36="Todos",'Plan mensual'!H19,0))+parametros_manuales!$G$36*('Plan mensual'!H16+IF(parametros_manuales!$H$36="Todos",'Plan mensual'!H20,0)))*parametros_manuales!$I$36*parametros_manuales!$J$36</f>
        <v>40.4404584315</v>
      </c>
      <c r="G46" s="9" t="n">
        <f aca="false">(parametros_manuales!$D$36*('Plan mensual'!I13+IF(parametros_manuales!$H$36="Todos",'Plan mensual'!I17,0))+parametros_manuales!$E$36*('Plan mensual'!I14+IF(parametros_manuales!$H$36="Todos",'Plan mensual'!I18,0))+parametros_manuales!$F$36*('Plan mensual'!I15+IF(parametros_manuales!$H$36="Todos",'Plan mensual'!I19,0))+parametros_manuales!$G$36*('Plan mensual'!I16+IF(parametros_manuales!$H$36="Todos",'Plan mensual'!I20,0)))*parametros_manuales!$I$36*parametros_manuales!$J$36</f>
        <v>39.2248400245</v>
      </c>
      <c r="H46" s="9" t="n">
        <f aca="false">(parametros_manuales!$D$36*('Plan mensual'!J13+IF(parametros_manuales!$H$36="Todos",'Plan mensual'!J17,0))+parametros_manuales!$E$36*('Plan mensual'!J14+IF(parametros_manuales!$H$36="Todos",'Plan mensual'!J18,0))+parametros_manuales!$F$36*('Plan mensual'!J15+IF(parametros_manuales!$H$36="Todos",'Plan mensual'!J19,0))+parametros_manuales!$G$36*('Plan mensual'!J16+IF(parametros_manuales!$H$36="Todos",'Plan mensual'!J20,0)))*parametros_manuales!$I$36*parametros_manuales!$J$36</f>
        <v>41.93978442575</v>
      </c>
      <c r="I46" s="9" t="n">
        <f aca="false">(parametros_manuales!$D$36*('Plan mensual'!K13+IF(parametros_manuales!$H$36="Todos",'Plan mensual'!K17,0))+parametros_manuales!$E$36*('Plan mensual'!K14+IF(parametros_manuales!$H$36="Todos",'Plan mensual'!K18,0))+parametros_manuales!$F$36*('Plan mensual'!K15+IF(parametros_manuales!$H$36="Todos",'Plan mensual'!K19,0))+parametros_manuales!$G$36*('Plan mensual'!K16+IF(parametros_manuales!$H$36="Todos",'Plan mensual'!K20,0)))*parametros_manuales!$I$36*parametros_manuales!$J$36</f>
        <v>41.93978442575</v>
      </c>
      <c r="J46" s="9" t="n">
        <f aca="false">(parametros_manuales!$D$36*('Plan mensual'!L13+IF(parametros_manuales!$H$36="Todos",'Plan mensual'!L17,0))+parametros_manuales!$E$36*('Plan mensual'!L14+IF(parametros_manuales!$H$36="Todos",'Plan mensual'!L18,0))+parametros_manuales!$F$36*('Plan mensual'!L15+IF(parametros_manuales!$H$36="Todos",'Plan mensual'!L19,0))+parametros_manuales!$G$36*('Plan mensual'!L16+IF(parametros_manuales!$H$36="Todos",'Plan mensual'!L20,0)))*parametros_manuales!$I$36*parametros_manuales!$J$36</f>
        <v>41.93978442575</v>
      </c>
      <c r="K46" s="9" t="n">
        <f aca="false">(parametros_manuales!$D$36*('Plan mensual'!M13+IF(parametros_manuales!$H$36="Todos",'Plan mensual'!M17,0))+parametros_manuales!$E$36*('Plan mensual'!M14+IF(parametros_manuales!$H$36="Todos",'Plan mensual'!M18,0))+parametros_manuales!$F$36*('Plan mensual'!M15+IF(parametros_manuales!$H$36="Todos",'Plan mensual'!M19,0))+parametros_manuales!$G$36*('Plan mensual'!M16+IF(parametros_manuales!$H$36="Todos",'Plan mensual'!M20,0)))*parametros_manuales!$I$36*parametros_manuales!$J$36</f>
        <v>40.72416601875</v>
      </c>
      <c r="L46" s="9" t="n">
        <f aca="false">(parametros_manuales!$D$36*('Plan mensual'!N13+IF(parametros_manuales!$H$36="Todos",'Plan mensual'!N17,0))+parametros_manuales!$E$36*('Plan mensual'!N14+IF(parametros_manuales!$H$36="Todos",'Plan mensual'!N18,0))+parametros_manuales!$F$36*('Plan mensual'!N15+IF(parametros_manuales!$H$36="Todos",'Plan mensual'!N19,0))+parametros_manuales!$G$36*('Plan mensual'!N16+IF(parametros_manuales!$H$36="Todos",'Plan mensual'!N20,0)))*parametros_manuales!$I$36*parametros_manuales!$J$36</f>
        <v>39.50854761175</v>
      </c>
      <c r="M46" s="9" t="n">
        <f aca="false">(parametros_manuales!$D$36*('Plan mensual'!O13+IF(parametros_manuales!$H$36="Todos",'Plan mensual'!O17,0))+parametros_manuales!$E$36*('Plan mensual'!O14+IF(parametros_manuales!$H$36="Todos",'Plan mensual'!O18,0))+parametros_manuales!$F$36*('Plan mensual'!O15+IF(parametros_manuales!$H$36="Todos",'Plan mensual'!O19,0))+parametros_manuales!$G$36*('Plan mensual'!O16+IF(parametros_manuales!$H$36="Todos",'Plan mensual'!O20,0)))*parametros_manuales!$I$36*parametros_manuales!$J$36</f>
        <v>62.727428816</v>
      </c>
      <c r="N46" s="9" t="n">
        <f aca="false">SUM(B46:M46)</f>
        <v>542.98888025</v>
      </c>
      <c r="O46" s="9" t="n">
        <f aca="false">MAX(B46:M46)</f>
        <v>62.727428816</v>
      </c>
      <c r="P46" s="43" t="n">
        <f aca="false">O46/(parametros_manuales!$B$7)</f>
        <v>0.418182858773333</v>
      </c>
      <c r="Q46" s="8" t="str">
        <f aca="false">IF(O46=0,"-",INDEX($B$28:$M$28,MATCH(O46,B46:M46,0)))</f>
        <v>Dic</v>
      </c>
    </row>
    <row r="47" customFormat="false" ht="14.25" hidden="false" customHeight="true" outlineLevel="0" collapsed="false">
      <c r="A47" s="8" t="str">
        <f aca="false">parametros_manuales!$B$37</f>
        <v>Pintura en polvo + horno</v>
      </c>
      <c r="B47" s="9" t="n">
        <f aca="false">(parametros_manuales!$D$37*('Plan mensual'!D13+IF(parametros_manuales!$H$37="Todos",'Plan mensual'!D17,0))+parametros_manuales!$E$37*('Plan mensual'!D14+IF(parametros_manuales!$H$37="Todos",'Plan mensual'!D18,0))+parametros_manuales!$F$37*('Plan mensual'!D15+IF(parametros_manuales!$H$37="Todos",'Plan mensual'!D19,0))+parametros_manuales!$G$37*('Plan mensual'!D16+IF(parametros_manuales!$H$37="Todos",'Plan mensual'!D20,0)))*parametros_manuales!$I$37*parametros_manuales!$J$37</f>
        <v>1205.92384004</v>
      </c>
      <c r="C47" s="9" t="n">
        <f aca="false">(parametros_manuales!$D$37*('Plan mensual'!E13+IF(parametros_manuales!$H$37="Todos",'Plan mensual'!E17,0))+parametros_manuales!$E$37*('Plan mensual'!E14+IF(parametros_manuales!$H$37="Todos",'Plan mensual'!E18,0))+parametros_manuales!$F$37*('Plan mensual'!E15+IF(parametros_manuales!$H$37="Todos",'Plan mensual'!E19,0))+parametros_manuales!$G$37*('Plan mensual'!E16+IF(parametros_manuales!$H$37="Todos",'Plan mensual'!E20,0)))*parametros_manuales!$I$37*parametros_manuales!$J$37</f>
        <v>928.75524817</v>
      </c>
      <c r="D47" s="9" t="n">
        <f aca="false">(parametros_manuales!$D$37*('Plan mensual'!F13+IF(parametros_manuales!$H$37="Todos",'Plan mensual'!F17,0))+parametros_manuales!$E$37*('Plan mensual'!F14+IF(parametros_manuales!$H$37="Todos",'Plan mensual'!F18,0))+parametros_manuales!$F$37*('Plan mensual'!F15+IF(parametros_manuales!$H$37="Todos",'Plan mensual'!F19,0))+parametros_manuales!$G$37*('Plan mensual'!F16+IF(parametros_manuales!$H$37="Todos",'Plan mensual'!F20,0)))*parametros_manuales!$I$37*parametros_manuales!$J$37</f>
        <v>893.09457654</v>
      </c>
      <c r="E47" s="9" t="n">
        <f aca="false">(parametros_manuales!$D$37*('Plan mensual'!G13+IF(parametros_manuales!$H$37="Todos",'Plan mensual'!G17,0))+parametros_manuales!$E$37*('Plan mensual'!G14+IF(parametros_manuales!$H$37="Todos",'Plan mensual'!G18,0))+parametros_manuales!$F$37*('Plan mensual'!G15+IF(parametros_manuales!$H$37="Todos",'Plan mensual'!G19,0))+parametros_manuales!$G$37*('Plan mensual'!G16+IF(parametros_manuales!$H$37="Todos",'Plan mensual'!G20,0)))*parametros_manuales!$I$37*parametros_manuales!$J$37</f>
        <v>863.108056655</v>
      </c>
      <c r="F47" s="9" t="n">
        <f aca="false">(parametros_manuales!$D$37*('Plan mensual'!H13+IF(parametros_manuales!$H$37="Todos",'Plan mensual'!H17,0))+parametros_manuales!$E$37*('Plan mensual'!H14+IF(parametros_manuales!$H$37="Todos",'Plan mensual'!H18,0))+parametros_manuales!$F$37*('Plan mensual'!H15+IF(parametros_manuales!$H$37="Todos",'Plan mensual'!H19,0))+parametros_manuales!$G$37*('Plan mensual'!H16+IF(parametros_manuales!$H$37="Todos",'Plan mensual'!H20,0)))*parametros_manuales!$I$37*parametros_manuales!$J$37</f>
        <v>808.80916863</v>
      </c>
      <c r="G47" s="9" t="n">
        <f aca="false">(parametros_manuales!$D$37*('Plan mensual'!I13+IF(parametros_manuales!$H$37="Todos",'Plan mensual'!I17,0))+parametros_manuales!$E$37*('Plan mensual'!I14+IF(parametros_manuales!$H$37="Todos",'Plan mensual'!I18,0))+parametros_manuales!$F$37*('Plan mensual'!I15+IF(parametros_manuales!$H$37="Todos",'Plan mensual'!I19,0))+parametros_manuales!$G$37*('Plan mensual'!I16+IF(parametros_manuales!$H$37="Todos",'Plan mensual'!I20,0)))*parametros_manuales!$I$37*parametros_manuales!$J$37</f>
        <v>784.49680049</v>
      </c>
      <c r="H47" s="9" t="n">
        <f aca="false">(parametros_manuales!$D$37*('Plan mensual'!J13+IF(parametros_manuales!$H$37="Todos",'Plan mensual'!J17,0))+parametros_manuales!$E$37*('Plan mensual'!J14+IF(parametros_manuales!$H$37="Todos",'Plan mensual'!J18,0))+parametros_manuales!$F$37*('Plan mensual'!J15+IF(parametros_manuales!$H$37="Todos",'Plan mensual'!J19,0))+parametros_manuales!$G$37*('Plan mensual'!J16+IF(parametros_manuales!$H$37="Todos",'Plan mensual'!J20,0)))*parametros_manuales!$I$37*parametros_manuales!$J$37</f>
        <v>838.795688515</v>
      </c>
      <c r="I47" s="9" t="n">
        <f aca="false">(parametros_manuales!$D$37*('Plan mensual'!K13+IF(parametros_manuales!$H$37="Todos",'Plan mensual'!K17,0))+parametros_manuales!$E$37*('Plan mensual'!K14+IF(parametros_manuales!$H$37="Todos",'Plan mensual'!K18,0))+parametros_manuales!$F$37*('Plan mensual'!K15+IF(parametros_manuales!$H$37="Todos",'Plan mensual'!K19,0))+parametros_manuales!$G$37*('Plan mensual'!K16+IF(parametros_manuales!$H$37="Todos",'Plan mensual'!K20,0)))*parametros_manuales!$I$37*parametros_manuales!$J$37</f>
        <v>838.795688515</v>
      </c>
      <c r="J47" s="9" t="n">
        <f aca="false">(parametros_manuales!$D$37*('Plan mensual'!L13+IF(parametros_manuales!$H$37="Todos",'Plan mensual'!L17,0))+parametros_manuales!$E$37*('Plan mensual'!L14+IF(parametros_manuales!$H$37="Todos",'Plan mensual'!L18,0))+parametros_manuales!$F$37*('Plan mensual'!L15+IF(parametros_manuales!$H$37="Todos",'Plan mensual'!L19,0))+parametros_manuales!$G$37*('Plan mensual'!L16+IF(parametros_manuales!$H$37="Todos",'Plan mensual'!L20,0)))*parametros_manuales!$I$37*parametros_manuales!$J$37</f>
        <v>838.795688515</v>
      </c>
      <c r="K47" s="9" t="n">
        <f aca="false">(parametros_manuales!$D$37*('Plan mensual'!M13+IF(parametros_manuales!$H$37="Todos",'Plan mensual'!M17,0))+parametros_manuales!$E$37*('Plan mensual'!M14+IF(parametros_manuales!$H$37="Todos",'Plan mensual'!M18,0))+parametros_manuales!$F$37*('Plan mensual'!M15+IF(parametros_manuales!$H$37="Todos",'Plan mensual'!M19,0))+parametros_manuales!$G$37*('Plan mensual'!M16+IF(parametros_manuales!$H$37="Todos",'Plan mensual'!M20,0)))*parametros_manuales!$I$37*parametros_manuales!$J$37</f>
        <v>814.483320375</v>
      </c>
      <c r="L47" s="9" t="n">
        <f aca="false">(parametros_manuales!$D$37*('Plan mensual'!N13+IF(parametros_manuales!$H$37="Todos",'Plan mensual'!N17,0))+parametros_manuales!$E$37*('Plan mensual'!N14+IF(parametros_manuales!$H$37="Todos",'Plan mensual'!N18,0))+parametros_manuales!$F$37*('Plan mensual'!N15+IF(parametros_manuales!$H$37="Todos",'Plan mensual'!N19,0))+parametros_manuales!$G$37*('Plan mensual'!N16+IF(parametros_manuales!$H$37="Todos",'Plan mensual'!N20,0)))*parametros_manuales!$I$37*parametros_manuales!$J$37</f>
        <v>790.170952235</v>
      </c>
      <c r="M47" s="9" t="n">
        <f aca="false">(parametros_manuales!$D$37*('Plan mensual'!O13+IF(parametros_manuales!$H$37="Todos",'Plan mensual'!O17,0))+parametros_manuales!$E$37*('Plan mensual'!O14+IF(parametros_manuales!$H$37="Todos",'Plan mensual'!O18,0))+parametros_manuales!$F$37*('Plan mensual'!O15+IF(parametros_manuales!$H$37="Todos",'Plan mensual'!O19,0))+parametros_manuales!$G$37*('Plan mensual'!O16+IF(parametros_manuales!$H$37="Todos",'Plan mensual'!O20,0)))*parametros_manuales!$I$37*parametros_manuales!$J$37</f>
        <v>1254.54857632</v>
      </c>
      <c r="N47" s="9" t="n">
        <f aca="false">SUM(B47:M47)</f>
        <v>10859.777605</v>
      </c>
      <c r="O47" s="9" t="n">
        <f aca="false">MAX(B47:M47)</f>
        <v>1254.54857632</v>
      </c>
      <c r="P47" s="43" t="n">
        <f aca="false">O47/(parametros_manuales!$B$7)</f>
        <v>8.36365717546667</v>
      </c>
      <c r="Q47" s="8" t="str">
        <f aca="false">IF(O47=0,"-",INDEX($B$28:$M$28,MATCH(O47,B47:M47,0)))</f>
        <v>Dic</v>
      </c>
    </row>
    <row r="48" customFormat="false" ht="14.25" hidden="false" customHeight="true" outlineLevel="0" collapsed="false">
      <c r="A48" s="8" t="str">
        <f aca="false">parametros_manuales!$B$38</f>
        <v>Carga de polvo</v>
      </c>
      <c r="B48" s="9" t="n">
        <f aca="false">(parametros_manuales!$D$38*('Plan mensual'!D13+IF(parametros_manuales!$H$38="Todos",'Plan mensual'!D17,0))+parametros_manuales!$E$38*('Plan mensual'!D14+IF(parametros_manuales!$H$38="Todos",'Plan mensual'!D18,0))+parametros_manuales!$F$38*('Plan mensual'!D15+IF(parametros_manuales!$H$38="Todos",'Plan mensual'!D19,0))+parametros_manuales!$G$38*('Plan mensual'!D16+IF(parametros_manuales!$H$38="Todos",'Plan mensual'!D20,0)))*parametros_manuales!$I$38*parametros_manuales!$J$38</f>
        <v>1197.59984004</v>
      </c>
      <c r="C48" s="9" t="n">
        <f aca="false">(parametros_manuales!$D$38*('Plan mensual'!E13+IF(parametros_manuales!$H$38="Todos",'Plan mensual'!E17,0))+parametros_manuales!$E$38*('Plan mensual'!E14+IF(parametros_manuales!$H$38="Todos",'Plan mensual'!E18,0))+parametros_manuales!$F$38*('Plan mensual'!E15+IF(parametros_manuales!$H$38="Todos",'Plan mensual'!E19,0))+parametros_manuales!$G$38*('Plan mensual'!E16+IF(parametros_manuales!$H$38="Todos",'Plan mensual'!E20,0)))*parametros_manuales!$I$38*parametros_manuales!$J$38</f>
        <v>922.09604817</v>
      </c>
      <c r="D48" s="9" t="n">
        <f aca="false">(parametros_manuales!$D$38*('Plan mensual'!F13+IF(parametros_manuales!$H$38="Todos",'Plan mensual'!F17,0))+parametros_manuales!$E$38*('Plan mensual'!F14+IF(parametros_manuales!$H$38="Todos",'Plan mensual'!F18,0))+parametros_manuales!$F$38*('Plan mensual'!F15+IF(parametros_manuales!$H$38="Todos",'Plan mensual'!F19,0))+parametros_manuales!$G$38*('Plan mensual'!F16+IF(parametros_manuales!$H$38="Todos",'Plan mensual'!F20,0)))*parametros_manuales!$I$38*parametros_manuales!$J$38</f>
        <v>886.01917654</v>
      </c>
      <c r="E48" s="9" t="n">
        <f aca="false">(parametros_manuales!$D$38*('Plan mensual'!G13+IF(parametros_manuales!$H$38="Todos",'Plan mensual'!G17,0))+parametros_manuales!$E$38*('Plan mensual'!G14+IF(parametros_manuales!$H$38="Todos",'Plan mensual'!G18,0))+parametros_manuales!$F$38*('Plan mensual'!G15+IF(parametros_manuales!$H$38="Todos",'Plan mensual'!G19,0))+parametros_manuales!$G$38*('Plan mensual'!G16+IF(parametros_manuales!$H$38="Todos",'Plan mensual'!G20,0)))*parametros_manuales!$I$38*parametros_manuales!$J$38</f>
        <v>856.032656655</v>
      </c>
      <c r="F48" s="9" t="n">
        <f aca="false">(parametros_manuales!$D$38*('Plan mensual'!H13+IF(parametros_manuales!$H$38="Todos",'Plan mensual'!H17,0))+parametros_manuales!$E$38*('Plan mensual'!H14+IF(parametros_manuales!$H$38="Todos",'Plan mensual'!H18,0))+parametros_manuales!$F$38*('Plan mensual'!H15+IF(parametros_manuales!$H$38="Todos",'Plan mensual'!H19,0))+parametros_manuales!$G$38*('Plan mensual'!H16+IF(parametros_manuales!$H$38="Todos",'Plan mensual'!H20,0)))*parametros_manuales!$I$38*parametros_manuales!$J$38</f>
        <v>802.14996863</v>
      </c>
      <c r="G48" s="9" t="n">
        <f aca="false">(parametros_manuales!$D$38*('Plan mensual'!I13+IF(parametros_manuales!$H$38="Todos",'Plan mensual'!I17,0))+parametros_manuales!$E$38*('Plan mensual'!I14+IF(parametros_manuales!$H$38="Todos",'Plan mensual'!I18,0))+parametros_manuales!$F$38*('Plan mensual'!I15+IF(parametros_manuales!$H$38="Todos",'Plan mensual'!I19,0))+parametros_manuales!$G$38*('Plan mensual'!I16+IF(parametros_manuales!$H$38="Todos",'Plan mensual'!I20,0)))*parametros_manuales!$I$38*parametros_manuales!$J$38</f>
        <v>778.25380049</v>
      </c>
      <c r="H48" s="9" t="n">
        <f aca="false">(parametros_manuales!$D$38*('Plan mensual'!J13+IF(parametros_manuales!$H$38="Todos",'Plan mensual'!J17,0))+parametros_manuales!$E$38*('Plan mensual'!J14+IF(parametros_manuales!$H$38="Todos",'Plan mensual'!J18,0))+parametros_manuales!$F$38*('Plan mensual'!J15+IF(parametros_manuales!$H$38="Todos",'Plan mensual'!J19,0))+parametros_manuales!$G$38*('Plan mensual'!J16+IF(parametros_manuales!$H$38="Todos",'Plan mensual'!J20,0)))*parametros_manuales!$I$38*parametros_manuales!$J$38</f>
        <v>832.136488515</v>
      </c>
      <c r="I48" s="9" t="n">
        <f aca="false">(parametros_manuales!$D$38*('Plan mensual'!K13+IF(parametros_manuales!$H$38="Todos",'Plan mensual'!K17,0))+parametros_manuales!$E$38*('Plan mensual'!K14+IF(parametros_manuales!$H$38="Todos",'Plan mensual'!K18,0))+parametros_manuales!$F$38*('Plan mensual'!K15+IF(parametros_manuales!$H$38="Todos",'Plan mensual'!K19,0))+parametros_manuales!$G$38*('Plan mensual'!K16+IF(parametros_manuales!$H$38="Todos",'Plan mensual'!K20,0)))*parametros_manuales!$I$38*parametros_manuales!$J$38</f>
        <v>832.136488515</v>
      </c>
      <c r="J48" s="9" t="n">
        <f aca="false">(parametros_manuales!$D$38*('Plan mensual'!L13+IF(parametros_manuales!$H$38="Todos",'Plan mensual'!L17,0))+parametros_manuales!$E$38*('Plan mensual'!L14+IF(parametros_manuales!$H$38="Todos",'Plan mensual'!L18,0))+parametros_manuales!$F$38*('Plan mensual'!L15+IF(parametros_manuales!$H$38="Todos",'Plan mensual'!L19,0))+parametros_manuales!$G$38*('Plan mensual'!L16+IF(parametros_manuales!$H$38="Todos",'Plan mensual'!L20,0)))*parametros_manuales!$I$38*parametros_manuales!$J$38</f>
        <v>832.136488515</v>
      </c>
      <c r="K48" s="9" t="n">
        <f aca="false">(parametros_manuales!$D$38*('Plan mensual'!M13+IF(parametros_manuales!$H$38="Todos",'Plan mensual'!M17,0))+parametros_manuales!$E$38*('Plan mensual'!M14+IF(parametros_manuales!$H$38="Todos",'Plan mensual'!M18,0))+parametros_manuales!$F$38*('Plan mensual'!M15+IF(parametros_manuales!$H$38="Todos",'Plan mensual'!M19,0))+parametros_manuales!$G$38*('Plan mensual'!M16+IF(parametros_manuales!$H$38="Todos",'Plan mensual'!M20,0)))*parametros_manuales!$I$38*parametros_manuales!$J$38</f>
        <v>808.240320375</v>
      </c>
      <c r="L48" s="9" t="n">
        <f aca="false">(parametros_manuales!$D$38*('Plan mensual'!N13+IF(parametros_manuales!$H$38="Todos",'Plan mensual'!N17,0))+parametros_manuales!$E$38*('Plan mensual'!N14+IF(parametros_manuales!$H$38="Todos",'Plan mensual'!N18,0))+parametros_manuales!$F$38*('Plan mensual'!N15+IF(parametros_manuales!$H$38="Todos",'Plan mensual'!N19,0))+parametros_manuales!$G$38*('Plan mensual'!N16+IF(parametros_manuales!$H$38="Todos",'Plan mensual'!N20,0)))*parametros_manuales!$I$38*parametros_manuales!$J$38</f>
        <v>784.344152235</v>
      </c>
      <c r="M48" s="9" t="n">
        <f aca="false">(parametros_manuales!$D$38*('Plan mensual'!O13+IF(parametros_manuales!$H$38="Todos",'Plan mensual'!O17,0))+parametros_manuales!$E$38*('Plan mensual'!O14+IF(parametros_manuales!$H$38="Todos",'Plan mensual'!O18,0))+parametros_manuales!$F$38*('Plan mensual'!O15+IF(parametros_manuales!$H$38="Todos",'Plan mensual'!O19,0))+parametros_manuales!$G$38*('Plan mensual'!O16+IF(parametros_manuales!$H$38="Todos",'Plan mensual'!O20,0)))*parametros_manuales!$I$38*parametros_manuales!$J$38</f>
        <v>1245.39217632</v>
      </c>
      <c r="N48" s="9" t="n">
        <f aca="false">SUM(B48:M48)</f>
        <v>10776.537605</v>
      </c>
      <c r="O48" s="9" t="n">
        <f aca="false">MAX(B48:M48)</f>
        <v>1245.39217632</v>
      </c>
      <c r="P48" s="43" t="n">
        <f aca="false">O48/(parametros_manuales!$B$7)</f>
        <v>8.3026145088</v>
      </c>
      <c r="Q48" s="8" t="str">
        <f aca="false">IF(O48=0,"-",INDEX($B$28:$M$28,MATCH(O48,B48:M48,0)))</f>
        <v>Dic</v>
      </c>
    </row>
    <row r="49" customFormat="false" ht="14.25" hidden="false" customHeight="true" outlineLevel="0" collapsed="false">
      <c r="A49" s="8" t="str">
        <f aca="false">parametros_manuales!$B$39</f>
        <v>Ensamblaje</v>
      </c>
      <c r="B49" s="9" t="n">
        <f aca="false">(parametros_manuales!$D$39*('Plan mensual'!D13+IF(parametros_manuales!$H$39="Todos",'Plan mensual'!D17,0))+parametros_manuales!$E$39*('Plan mensual'!D14+IF(parametros_manuales!$H$39="Todos",'Plan mensual'!D18,0))+parametros_manuales!$F$39*('Plan mensual'!D15+IF(parametros_manuales!$H$39="Todos",'Plan mensual'!D19,0))+parametros_manuales!$G$39*('Plan mensual'!D16+IF(parametros_manuales!$H$39="Todos",'Plan mensual'!D20,0)))*parametros_manuales!$I$39*parametros_manuales!$J$39</f>
        <v>1197.59984004</v>
      </c>
      <c r="C49" s="9" t="n">
        <f aca="false">(parametros_manuales!$D$39*('Plan mensual'!E13+IF(parametros_manuales!$H$39="Todos",'Plan mensual'!E17,0))+parametros_manuales!$E$39*('Plan mensual'!E14+IF(parametros_manuales!$H$39="Todos",'Plan mensual'!E18,0))+parametros_manuales!$F$39*('Plan mensual'!E15+IF(parametros_manuales!$H$39="Todos",'Plan mensual'!E19,0))+parametros_manuales!$G$39*('Plan mensual'!E16+IF(parametros_manuales!$H$39="Todos",'Plan mensual'!E20,0)))*parametros_manuales!$I$39*parametros_manuales!$J$39</f>
        <v>922.09604817</v>
      </c>
      <c r="D49" s="9" t="n">
        <f aca="false">(parametros_manuales!$D$39*('Plan mensual'!F13+IF(parametros_manuales!$H$39="Todos",'Plan mensual'!F17,0))+parametros_manuales!$E$39*('Plan mensual'!F14+IF(parametros_manuales!$H$39="Todos",'Plan mensual'!F18,0))+parametros_manuales!$F$39*('Plan mensual'!F15+IF(parametros_manuales!$H$39="Todos",'Plan mensual'!F19,0))+parametros_manuales!$G$39*('Plan mensual'!F16+IF(parametros_manuales!$H$39="Todos",'Plan mensual'!F20,0)))*parametros_manuales!$I$39*parametros_manuales!$J$39</f>
        <v>886.01917654</v>
      </c>
      <c r="E49" s="9" t="n">
        <f aca="false">(parametros_manuales!$D$39*('Plan mensual'!G13+IF(parametros_manuales!$H$39="Todos",'Plan mensual'!G17,0))+parametros_manuales!$E$39*('Plan mensual'!G14+IF(parametros_manuales!$H$39="Todos",'Plan mensual'!G18,0))+parametros_manuales!$F$39*('Plan mensual'!G15+IF(parametros_manuales!$H$39="Todos",'Plan mensual'!G19,0))+parametros_manuales!$G$39*('Plan mensual'!G16+IF(parametros_manuales!$H$39="Todos",'Plan mensual'!G20,0)))*parametros_manuales!$I$39*parametros_manuales!$J$39</f>
        <v>856.032656655</v>
      </c>
      <c r="F49" s="9" t="n">
        <f aca="false">(parametros_manuales!$D$39*('Plan mensual'!H13+IF(parametros_manuales!$H$39="Todos",'Plan mensual'!H17,0))+parametros_manuales!$E$39*('Plan mensual'!H14+IF(parametros_manuales!$H$39="Todos",'Plan mensual'!H18,0))+parametros_manuales!$F$39*('Plan mensual'!H15+IF(parametros_manuales!$H$39="Todos",'Plan mensual'!H19,0))+parametros_manuales!$G$39*('Plan mensual'!H16+IF(parametros_manuales!$H$39="Todos",'Plan mensual'!H20,0)))*parametros_manuales!$I$39*parametros_manuales!$J$39</f>
        <v>802.14996863</v>
      </c>
      <c r="G49" s="9" t="n">
        <f aca="false">(parametros_manuales!$D$39*('Plan mensual'!I13+IF(parametros_manuales!$H$39="Todos",'Plan mensual'!I17,0))+parametros_manuales!$E$39*('Plan mensual'!I14+IF(parametros_manuales!$H$39="Todos",'Plan mensual'!I18,0))+parametros_manuales!$F$39*('Plan mensual'!I15+IF(parametros_manuales!$H$39="Todos",'Plan mensual'!I19,0))+parametros_manuales!$G$39*('Plan mensual'!I16+IF(parametros_manuales!$H$39="Todos",'Plan mensual'!I20,0)))*parametros_manuales!$I$39*parametros_manuales!$J$39</f>
        <v>778.25380049</v>
      </c>
      <c r="H49" s="9" t="n">
        <f aca="false">(parametros_manuales!$D$39*('Plan mensual'!J13+IF(parametros_manuales!$H$39="Todos",'Plan mensual'!J17,0))+parametros_manuales!$E$39*('Plan mensual'!J14+IF(parametros_manuales!$H$39="Todos",'Plan mensual'!J18,0))+parametros_manuales!$F$39*('Plan mensual'!J15+IF(parametros_manuales!$H$39="Todos",'Plan mensual'!J19,0))+parametros_manuales!$G$39*('Plan mensual'!J16+IF(parametros_manuales!$H$39="Todos",'Plan mensual'!J20,0)))*parametros_manuales!$I$39*parametros_manuales!$J$39</f>
        <v>832.136488515</v>
      </c>
      <c r="I49" s="9" t="n">
        <f aca="false">(parametros_manuales!$D$39*('Plan mensual'!K13+IF(parametros_manuales!$H$39="Todos",'Plan mensual'!K17,0))+parametros_manuales!$E$39*('Plan mensual'!K14+IF(parametros_manuales!$H$39="Todos",'Plan mensual'!K18,0))+parametros_manuales!$F$39*('Plan mensual'!K15+IF(parametros_manuales!$H$39="Todos",'Plan mensual'!K19,0))+parametros_manuales!$G$39*('Plan mensual'!K16+IF(parametros_manuales!$H$39="Todos",'Plan mensual'!K20,0)))*parametros_manuales!$I$39*parametros_manuales!$J$39</f>
        <v>832.136488515</v>
      </c>
      <c r="J49" s="9" t="n">
        <f aca="false">(parametros_manuales!$D$39*('Plan mensual'!L13+IF(parametros_manuales!$H$39="Todos",'Plan mensual'!L17,0))+parametros_manuales!$E$39*('Plan mensual'!L14+IF(parametros_manuales!$H$39="Todos",'Plan mensual'!L18,0))+parametros_manuales!$F$39*('Plan mensual'!L15+IF(parametros_manuales!$H$39="Todos",'Plan mensual'!L19,0))+parametros_manuales!$G$39*('Plan mensual'!L16+IF(parametros_manuales!$H$39="Todos",'Plan mensual'!L20,0)))*parametros_manuales!$I$39*parametros_manuales!$J$39</f>
        <v>832.136488515</v>
      </c>
      <c r="K49" s="9" t="n">
        <f aca="false">(parametros_manuales!$D$39*('Plan mensual'!M13+IF(parametros_manuales!$H$39="Todos",'Plan mensual'!M17,0))+parametros_manuales!$E$39*('Plan mensual'!M14+IF(parametros_manuales!$H$39="Todos",'Plan mensual'!M18,0))+parametros_manuales!$F$39*('Plan mensual'!M15+IF(parametros_manuales!$H$39="Todos",'Plan mensual'!M19,0))+parametros_manuales!$G$39*('Plan mensual'!M16+IF(parametros_manuales!$H$39="Todos",'Plan mensual'!M20,0)))*parametros_manuales!$I$39*parametros_manuales!$J$39</f>
        <v>808.240320375</v>
      </c>
      <c r="L49" s="9" t="n">
        <f aca="false">(parametros_manuales!$D$39*('Plan mensual'!N13+IF(parametros_manuales!$H$39="Todos",'Plan mensual'!N17,0))+parametros_manuales!$E$39*('Plan mensual'!N14+IF(parametros_manuales!$H$39="Todos",'Plan mensual'!N18,0))+parametros_manuales!$F$39*('Plan mensual'!N15+IF(parametros_manuales!$H$39="Todos",'Plan mensual'!N19,0))+parametros_manuales!$G$39*('Plan mensual'!N16+IF(parametros_manuales!$H$39="Todos",'Plan mensual'!N20,0)))*parametros_manuales!$I$39*parametros_manuales!$J$39</f>
        <v>784.344152235</v>
      </c>
      <c r="M49" s="9" t="n">
        <f aca="false">(parametros_manuales!$D$39*('Plan mensual'!O13+IF(parametros_manuales!$H$39="Todos",'Plan mensual'!O17,0))+parametros_manuales!$E$39*('Plan mensual'!O14+IF(parametros_manuales!$H$39="Todos",'Plan mensual'!O18,0))+parametros_manuales!$F$39*('Plan mensual'!O15+IF(parametros_manuales!$H$39="Todos",'Plan mensual'!O19,0))+parametros_manuales!$G$39*('Plan mensual'!O16+IF(parametros_manuales!$H$39="Todos",'Plan mensual'!O20,0)))*parametros_manuales!$I$39*parametros_manuales!$J$39</f>
        <v>1245.39217632</v>
      </c>
      <c r="N49" s="9" t="n">
        <f aca="false">SUM(B49:M49)</f>
        <v>10776.537605</v>
      </c>
      <c r="O49" s="9" t="n">
        <f aca="false">MAX(B49:M49)</f>
        <v>1245.39217632</v>
      </c>
      <c r="P49" s="43" t="n">
        <f aca="false">O49/(parametros_manuales!$B$7)</f>
        <v>8.3026145088</v>
      </c>
      <c r="Q49" s="8" t="str">
        <f aca="false">IF(O49=0,"-",INDEX($B$28:$M$28,MATCH(O49,B49:M49,0)))</f>
        <v>Dic</v>
      </c>
    </row>
    <row r="50" customFormat="false" ht="14.25" hidden="false" customHeight="true" outlineLevel="0" collapsed="false">
      <c r="A50" s="8" t="str">
        <f aca="false">parametros_manuales!$B$40</f>
        <v>Presurización</v>
      </c>
      <c r="B50" s="9" t="n">
        <f aca="false">(parametros_manuales!$D$40*('Plan mensual'!D13+IF(parametros_manuales!$H$40="Todos",'Plan mensual'!D17,0))+parametros_manuales!$E$40*('Plan mensual'!D14+IF(parametros_manuales!$H$40="Todos",'Plan mensual'!D18,0))+parametros_manuales!$F$40*('Plan mensual'!D15+IF(parametros_manuales!$H$40="Todos",'Plan mensual'!D19,0))+parametros_manuales!$G$40*('Plan mensual'!D16+IF(parametros_manuales!$H$40="Todos",'Plan mensual'!D20,0)))*parametros_manuales!$I$40*parametros_manuales!$J$40</f>
        <v>1197.59984004</v>
      </c>
      <c r="C50" s="9" t="n">
        <f aca="false">(parametros_manuales!$D$40*('Plan mensual'!E13+IF(parametros_manuales!$H$40="Todos",'Plan mensual'!E17,0))+parametros_manuales!$E$40*('Plan mensual'!E14+IF(parametros_manuales!$H$40="Todos",'Plan mensual'!E18,0))+parametros_manuales!$F$40*('Plan mensual'!E15+IF(parametros_manuales!$H$40="Todos",'Plan mensual'!E19,0))+parametros_manuales!$G$40*('Plan mensual'!E16+IF(parametros_manuales!$H$40="Todos",'Plan mensual'!E20,0)))*parametros_manuales!$I$40*parametros_manuales!$J$40</f>
        <v>922.09604817</v>
      </c>
      <c r="D50" s="9" t="n">
        <f aca="false">(parametros_manuales!$D$40*('Plan mensual'!F13+IF(parametros_manuales!$H$40="Todos",'Plan mensual'!F17,0))+parametros_manuales!$E$40*('Plan mensual'!F14+IF(parametros_manuales!$H$40="Todos",'Plan mensual'!F18,0))+parametros_manuales!$F$40*('Plan mensual'!F15+IF(parametros_manuales!$H$40="Todos",'Plan mensual'!F19,0))+parametros_manuales!$G$40*('Plan mensual'!F16+IF(parametros_manuales!$H$40="Todos",'Plan mensual'!F20,0)))*parametros_manuales!$I$40*parametros_manuales!$J$40</f>
        <v>886.01917654</v>
      </c>
      <c r="E50" s="9" t="n">
        <f aca="false">(parametros_manuales!$D$40*('Plan mensual'!G13+IF(parametros_manuales!$H$40="Todos",'Plan mensual'!G17,0))+parametros_manuales!$E$40*('Plan mensual'!G14+IF(parametros_manuales!$H$40="Todos",'Plan mensual'!G18,0))+parametros_manuales!$F$40*('Plan mensual'!G15+IF(parametros_manuales!$H$40="Todos",'Plan mensual'!G19,0))+parametros_manuales!$G$40*('Plan mensual'!G16+IF(parametros_manuales!$H$40="Todos",'Plan mensual'!G20,0)))*parametros_manuales!$I$40*parametros_manuales!$J$40</f>
        <v>856.032656655</v>
      </c>
      <c r="F50" s="9" t="n">
        <f aca="false">(parametros_manuales!$D$40*('Plan mensual'!H13+IF(parametros_manuales!$H$40="Todos",'Plan mensual'!H17,0))+parametros_manuales!$E$40*('Plan mensual'!H14+IF(parametros_manuales!$H$40="Todos",'Plan mensual'!H18,0))+parametros_manuales!$F$40*('Plan mensual'!H15+IF(parametros_manuales!$H$40="Todos",'Plan mensual'!H19,0))+parametros_manuales!$G$40*('Plan mensual'!H16+IF(parametros_manuales!$H$40="Todos",'Plan mensual'!H20,0)))*parametros_manuales!$I$40*parametros_manuales!$J$40</f>
        <v>802.14996863</v>
      </c>
      <c r="G50" s="9" t="n">
        <f aca="false">(parametros_manuales!$D$40*('Plan mensual'!I13+IF(parametros_manuales!$H$40="Todos",'Plan mensual'!I17,0))+parametros_manuales!$E$40*('Plan mensual'!I14+IF(parametros_manuales!$H$40="Todos",'Plan mensual'!I18,0))+parametros_manuales!$F$40*('Plan mensual'!I15+IF(parametros_manuales!$H$40="Todos",'Plan mensual'!I19,0))+parametros_manuales!$G$40*('Plan mensual'!I16+IF(parametros_manuales!$H$40="Todos",'Plan mensual'!I20,0)))*parametros_manuales!$I$40*parametros_manuales!$J$40</f>
        <v>778.25380049</v>
      </c>
      <c r="H50" s="9" t="n">
        <f aca="false">(parametros_manuales!$D$40*('Plan mensual'!J13+IF(parametros_manuales!$H$40="Todos",'Plan mensual'!J17,0))+parametros_manuales!$E$40*('Plan mensual'!J14+IF(parametros_manuales!$H$40="Todos",'Plan mensual'!J18,0))+parametros_manuales!$F$40*('Plan mensual'!J15+IF(parametros_manuales!$H$40="Todos",'Plan mensual'!J19,0))+parametros_manuales!$G$40*('Plan mensual'!J16+IF(parametros_manuales!$H$40="Todos",'Plan mensual'!J20,0)))*parametros_manuales!$I$40*parametros_manuales!$J$40</f>
        <v>832.136488515</v>
      </c>
      <c r="I50" s="9" t="n">
        <f aca="false">(parametros_manuales!$D$40*('Plan mensual'!K13+IF(parametros_manuales!$H$40="Todos",'Plan mensual'!K17,0))+parametros_manuales!$E$40*('Plan mensual'!K14+IF(parametros_manuales!$H$40="Todos",'Plan mensual'!K18,0))+parametros_manuales!$F$40*('Plan mensual'!K15+IF(parametros_manuales!$H$40="Todos",'Plan mensual'!K19,0))+parametros_manuales!$G$40*('Plan mensual'!K16+IF(parametros_manuales!$H$40="Todos",'Plan mensual'!K20,0)))*parametros_manuales!$I$40*parametros_manuales!$J$40</f>
        <v>832.136488515</v>
      </c>
      <c r="J50" s="9" t="n">
        <f aca="false">(parametros_manuales!$D$40*('Plan mensual'!L13+IF(parametros_manuales!$H$40="Todos",'Plan mensual'!L17,0))+parametros_manuales!$E$40*('Plan mensual'!L14+IF(parametros_manuales!$H$40="Todos",'Plan mensual'!L18,0))+parametros_manuales!$F$40*('Plan mensual'!L15+IF(parametros_manuales!$H$40="Todos",'Plan mensual'!L19,0))+parametros_manuales!$G$40*('Plan mensual'!L16+IF(parametros_manuales!$H$40="Todos",'Plan mensual'!L20,0)))*parametros_manuales!$I$40*parametros_manuales!$J$40</f>
        <v>832.136488515</v>
      </c>
      <c r="K50" s="9" t="n">
        <f aca="false">(parametros_manuales!$D$40*('Plan mensual'!M13+IF(parametros_manuales!$H$40="Todos",'Plan mensual'!M17,0))+parametros_manuales!$E$40*('Plan mensual'!M14+IF(parametros_manuales!$H$40="Todos",'Plan mensual'!M18,0))+parametros_manuales!$F$40*('Plan mensual'!M15+IF(parametros_manuales!$H$40="Todos",'Plan mensual'!M19,0))+parametros_manuales!$G$40*('Plan mensual'!M16+IF(parametros_manuales!$H$40="Todos",'Plan mensual'!M20,0)))*parametros_manuales!$I$40*parametros_manuales!$J$40</f>
        <v>808.240320375</v>
      </c>
      <c r="L50" s="9" t="n">
        <f aca="false">(parametros_manuales!$D$40*('Plan mensual'!N13+IF(parametros_manuales!$H$40="Todos",'Plan mensual'!N17,0))+parametros_manuales!$E$40*('Plan mensual'!N14+IF(parametros_manuales!$H$40="Todos",'Plan mensual'!N18,0))+parametros_manuales!$F$40*('Plan mensual'!N15+IF(parametros_manuales!$H$40="Todos",'Plan mensual'!N19,0))+parametros_manuales!$G$40*('Plan mensual'!N16+IF(parametros_manuales!$H$40="Todos",'Plan mensual'!N20,0)))*parametros_manuales!$I$40*parametros_manuales!$J$40</f>
        <v>784.344152235</v>
      </c>
      <c r="M50" s="9" t="n">
        <f aca="false">(parametros_manuales!$D$40*('Plan mensual'!O13+IF(parametros_manuales!$H$40="Todos",'Plan mensual'!O17,0))+parametros_manuales!$E$40*('Plan mensual'!O14+IF(parametros_manuales!$H$40="Todos",'Plan mensual'!O18,0))+parametros_manuales!$F$40*('Plan mensual'!O15+IF(parametros_manuales!$H$40="Todos",'Plan mensual'!O19,0))+parametros_manuales!$G$40*('Plan mensual'!O16+IF(parametros_manuales!$H$40="Todos",'Plan mensual'!O20,0)))*parametros_manuales!$I$40*parametros_manuales!$J$40</f>
        <v>1245.39217632</v>
      </c>
      <c r="N50" s="9" t="n">
        <f aca="false">SUM(B50:M50)</f>
        <v>10776.537605</v>
      </c>
      <c r="O50" s="9" t="n">
        <f aca="false">MAX(B50:M50)</f>
        <v>1245.39217632</v>
      </c>
      <c r="P50" s="43" t="n">
        <f aca="false">O50/(parametros_manuales!$B$7)</f>
        <v>8.3026145088</v>
      </c>
      <c r="Q50" s="8" t="str">
        <f aca="false">IF(O50=0,"-",INDEX($B$28:$M$28,MATCH(O50,B50:M50,0)))</f>
        <v>Dic</v>
      </c>
    </row>
    <row r="51" customFormat="false" ht="14.25" hidden="false" customHeight="true" outlineLevel="0" collapsed="false">
      <c r="A51" s="8" t="str">
        <f aca="false">parametros_manuales!$B$41</f>
        <v>Control de calidad — Ensayo de pérdidas</v>
      </c>
      <c r="B51" s="9" t="n">
        <f aca="false">(parametros_manuales!$D$41*('Plan mensual'!D13+IF(parametros_manuales!$H$41="Todos",'Plan mensual'!D17,0))+parametros_manuales!$E$41*('Plan mensual'!D14+IF(parametros_manuales!$H$41="Todos",'Plan mensual'!D18,0))+parametros_manuales!$F$41*('Plan mensual'!D15+IF(parametros_manuales!$H$41="Todos",'Plan mensual'!D19,0))+parametros_manuales!$G$41*('Plan mensual'!D16+IF(parametros_manuales!$H$41="Todos",'Plan mensual'!D20,0)))*parametros_manuales!$I$41*parametros_manuales!$J$41</f>
        <v>1197.59984004</v>
      </c>
      <c r="C51" s="9" t="n">
        <f aca="false">(parametros_manuales!$D$41*('Plan mensual'!E13+IF(parametros_manuales!$H$41="Todos",'Plan mensual'!E17,0))+parametros_manuales!$E$41*('Plan mensual'!E14+IF(parametros_manuales!$H$41="Todos",'Plan mensual'!E18,0))+parametros_manuales!$F$41*('Plan mensual'!E15+IF(parametros_manuales!$H$41="Todos",'Plan mensual'!E19,0))+parametros_manuales!$G$41*('Plan mensual'!E16+IF(parametros_manuales!$H$41="Todos",'Plan mensual'!E20,0)))*parametros_manuales!$I$41*parametros_manuales!$J$41</f>
        <v>922.09604817</v>
      </c>
      <c r="D51" s="9" t="n">
        <f aca="false">(parametros_manuales!$D$41*('Plan mensual'!F13+IF(parametros_manuales!$H$41="Todos",'Plan mensual'!F17,0))+parametros_manuales!$E$41*('Plan mensual'!F14+IF(parametros_manuales!$H$41="Todos",'Plan mensual'!F18,0))+parametros_manuales!$F$41*('Plan mensual'!F15+IF(parametros_manuales!$H$41="Todos",'Plan mensual'!F19,0))+parametros_manuales!$G$41*('Plan mensual'!F16+IF(parametros_manuales!$H$41="Todos",'Plan mensual'!F20,0)))*parametros_manuales!$I$41*parametros_manuales!$J$41</f>
        <v>886.01917654</v>
      </c>
      <c r="E51" s="9" t="n">
        <f aca="false">(parametros_manuales!$D$41*('Plan mensual'!G13+IF(parametros_manuales!$H$41="Todos",'Plan mensual'!G17,0))+parametros_manuales!$E$41*('Plan mensual'!G14+IF(parametros_manuales!$H$41="Todos",'Plan mensual'!G18,0))+parametros_manuales!$F$41*('Plan mensual'!G15+IF(parametros_manuales!$H$41="Todos",'Plan mensual'!G19,0))+parametros_manuales!$G$41*('Plan mensual'!G16+IF(parametros_manuales!$H$41="Todos",'Plan mensual'!G20,0)))*parametros_manuales!$I$41*parametros_manuales!$J$41</f>
        <v>856.032656655</v>
      </c>
      <c r="F51" s="9" t="n">
        <f aca="false">(parametros_manuales!$D$41*('Plan mensual'!H13+IF(parametros_manuales!$H$41="Todos",'Plan mensual'!H17,0))+parametros_manuales!$E$41*('Plan mensual'!H14+IF(parametros_manuales!$H$41="Todos",'Plan mensual'!H18,0))+parametros_manuales!$F$41*('Plan mensual'!H15+IF(parametros_manuales!$H$41="Todos",'Plan mensual'!H19,0))+parametros_manuales!$G$41*('Plan mensual'!H16+IF(parametros_manuales!$H$41="Todos",'Plan mensual'!H20,0)))*parametros_manuales!$I$41*parametros_manuales!$J$41</f>
        <v>802.14996863</v>
      </c>
      <c r="G51" s="9" t="n">
        <f aca="false">(parametros_manuales!$D$41*('Plan mensual'!I13+IF(parametros_manuales!$H$41="Todos",'Plan mensual'!I17,0))+parametros_manuales!$E$41*('Plan mensual'!I14+IF(parametros_manuales!$H$41="Todos",'Plan mensual'!I18,0))+parametros_manuales!$F$41*('Plan mensual'!I15+IF(parametros_manuales!$H$41="Todos",'Plan mensual'!I19,0))+parametros_manuales!$G$41*('Plan mensual'!I16+IF(parametros_manuales!$H$41="Todos",'Plan mensual'!I20,0)))*parametros_manuales!$I$41*parametros_manuales!$J$41</f>
        <v>778.25380049</v>
      </c>
      <c r="H51" s="9" t="n">
        <f aca="false">(parametros_manuales!$D$41*('Plan mensual'!J13+IF(parametros_manuales!$H$41="Todos",'Plan mensual'!J17,0))+parametros_manuales!$E$41*('Plan mensual'!J14+IF(parametros_manuales!$H$41="Todos",'Plan mensual'!J18,0))+parametros_manuales!$F$41*('Plan mensual'!J15+IF(parametros_manuales!$H$41="Todos",'Plan mensual'!J19,0))+parametros_manuales!$G$41*('Plan mensual'!J16+IF(parametros_manuales!$H$41="Todos",'Plan mensual'!J20,0)))*parametros_manuales!$I$41*parametros_manuales!$J$41</f>
        <v>832.136488515</v>
      </c>
      <c r="I51" s="9" t="n">
        <f aca="false">(parametros_manuales!$D$41*('Plan mensual'!K13+IF(parametros_manuales!$H$41="Todos",'Plan mensual'!K17,0))+parametros_manuales!$E$41*('Plan mensual'!K14+IF(parametros_manuales!$H$41="Todos",'Plan mensual'!K18,0))+parametros_manuales!$F$41*('Plan mensual'!K15+IF(parametros_manuales!$H$41="Todos",'Plan mensual'!K19,0))+parametros_manuales!$G$41*('Plan mensual'!K16+IF(parametros_manuales!$H$41="Todos",'Plan mensual'!K20,0)))*parametros_manuales!$I$41*parametros_manuales!$J$41</f>
        <v>832.136488515</v>
      </c>
      <c r="J51" s="9" t="n">
        <f aca="false">(parametros_manuales!$D$41*('Plan mensual'!L13+IF(parametros_manuales!$H$41="Todos",'Plan mensual'!L17,0))+parametros_manuales!$E$41*('Plan mensual'!L14+IF(parametros_manuales!$H$41="Todos",'Plan mensual'!L18,0))+parametros_manuales!$F$41*('Plan mensual'!L15+IF(parametros_manuales!$H$41="Todos",'Plan mensual'!L19,0))+parametros_manuales!$G$41*('Plan mensual'!L16+IF(parametros_manuales!$H$41="Todos",'Plan mensual'!L20,0)))*parametros_manuales!$I$41*parametros_manuales!$J$41</f>
        <v>832.136488515</v>
      </c>
      <c r="K51" s="9" t="n">
        <f aca="false">(parametros_manuales!$D$41*('Plan mensual'!M13+IF(parametros_manuales!$H$41="Todos",'Plan mensual'!M17,0))+parametros_manuales!$E$41*('Plan mensual'!M14+IF(parametros_manuales!$H$41="Todos",'Plan mensual'!M18,0))+parametros_manuales!$F$41*('Plan mensual'!M15+IF(parametros_manuales!$H$41="Todos",'Plan mensual'!M19,0))+parametros_manuales!$G$41*('Plan mensual'!M16+IF(parametros_manuales!$H$41="Todos",'Plan mensual'!M20,0)))*parametros_manuales!$I$41*parametros_manuales!$J$41</f>
        <v>808.240320375</v>
      </c>
      <c r="L51" s="9" t="n">
        <f aca="false">(parametros_manuales!$D$41*('Plan mensual'!N13+IF(parametros_manuales!$H$41="Todos",'Plan mensual'!N17,0))+parametros_manuales!$E$41*('Plan mensual'!N14+IF(parametros_manuales!$H$41="Todos",'Plan mensual'!N18,0))+parametros_manuales!$F$41*('Plan mensual'!N15+IF(parametros_manuales!$H$41="Todos",'Plan mensual'!N19,0))+parametros_manuales!$G$41*('Plan mensual'!N16+IF(parametros_manuales!$H$41="Todos",'Plan mensual'!N20,0)))*parametros_manuales!$I$41*parametros_manuales!$J$41</f>
        <v>784.344152235</v>
      </c>
      <c r="M51" s="9" t="n">
        <f aca="false">(parametros_manuales!$D$41*('Plan mensual'!O13+IF(parametros_manuales!$H$41="Todos",'Plan mensual'!O17,0))+parametros_manuales!$E$41*('Plan mensual'!O14+IF(parametros_manuales!$H$41="Todos",'Plan mensual'!O18,0))+parametros_manuales!$F$41*('Plan mensual'!O15+IF(parametros_manuales!$H$41="Todos",'Plan mensual'!O19,0))+parametros_manuales!$G$41*('Plan mensual'!O16+IF(parametros_manuales!$H$41="Todos",'Plan mensual'!O20,0)))*parametros_manuales!$I$41*parametros_manuales!$J$41</f>
        <v>1245.39217632</v>
      </c>
      <c r="N51" s="9" t="n">
        <f aca="false">SUM(B51:M51)</f>
        <v>10776.537605</v>
      </c>
      <c r="O51" s="9" t="n">
        <f aca="false">MAX(B51:M51)</f>
        <v>1245.39217632</v>
      </c>
      <c r="P51" s="43" t="n">
        <f aca="false">O51/(parametros_manuales!$B$7)</f>
        <v>8.3026145088</v>
      </c>
      <c r="Q51" s="8" t="str">
        <f aca="false">IF(O51=0,"-",INDEX($B$28:$M$28,MATCH(O51,B51:M51,0)))</f>
        <v>Dic</v>
      </c>
    </row>
    <row r="52" customFormat="false" ht="14.25" hidden="false" customHeight="true" outlineLevel="0" collapsed="false">
      <c r="A52" s="8" t="str">
        <f aca="false">parametros_manuales!$B$42</f>
        <v>Etiquetado</v>
      </c>
      <c r="B52" s="9" t="n">
        <f aca="false">(parametros_manuales!$D$42*('Plan mensual'!D13+IF(parametros_manuales!$H$42="Todos",'Plan mensual'!D17,0))+parametros_manuales!$E$42*('Plan mensual'!D14+IF(parametros_manuales!$H$42="Todos",'Plan mensual'!D18,0))+parametros_manuales!$F$42*('Plan mensual'!D15+IF(parametros_manuales!$H$42="Todos",'Plan mensual'!D19,0))+parametros_manuales!$G$42*('Plan mensual'!D16+IF(parametros_manuales!$H$42="Todos",'Plan mensual'!D20,0)))*parametros_manuales!$I$42*parametros_manuales!$J$42</f>
        <v>1197.59984004</v>
      </c>
      <c r="C52" s="9" t="n">
        <f aca="false">(parametros_manuales!$D$42*('Plan mensual'!E13+IF(parametros_manuales!$H$42="Todos",'Plan mensual'!E17,0))+parametros_manuales!$E$42*('Plan mensual'!E14+IF(parametros_manuales!$H$42="Todos",'Plan mensual'!E18,0))+parametros_manuales!$F$42*('Plan mensual'!E15+IF(parametros_manuales!$H$42="Todos",'Plan mensual'!E19,0))+parametros_manuales!$G$42*('Plan mensual'!E16+IF(parametros_manuales!$H$42="Todos",'Plan mensual'!E20,0)))*parametros_manuales!$I$42*parametros_manuales!$J$42</f>
        <v>922.09604817</v>
      </c>
      <c r="D52" s="9" t="n">
        <f aca="false">(parametros_manuales!$D$42*('Plan mensual'!F13+IF(parametros_manuales!$H$42="Todos",'Plan mensual'!F17,0))+parametros_manuales!$E$42*('Plan mensual'!F14+IF(parametros_manuales!$H$42="Todos",'Plan mensual'!F18,0))+parametros_manuales!$F$42*('Plan mensual'!F15+IF(parametros_manuales!$H$42="Todos",'Plan mensual'!F19,0))+parametros_manuales!$G$42*('Plan mensual'!F16+IF(parametros_manuales!$H$42="Todos",'Plan mensual'!F20,0)))*parametros_manuales!$I$42*parametros_manuales!$J$42</f>
        <v>886.01917654</v>
      </c>
      <c r="E52" s="9" t="n">
        <f aca="false">(parametros_manuales!$D$42*('Plan mensual'!G13+IF(parametros_manuales!$H$42="Todos",'Plan mensual'!G17,0))+parametros_manuales!$E$42*('Plan mensual'!G14+IF(parametros_manuales!$H$42="Todos",'Plan mensual'!G18,0))+parametros_manuales!$F$42*('Plan mensual'!G15+IF(parametros_manuales!$H$42="Todos",'Plan mensual'!G19,0))+parametros_manuales!$G$42*('Plan mensual'!G16+IF(parametros_manuales!$H$42="Todos",'Plan mensual'!G20,0)))*parametros_manuales!$I$42*parametros_manuales!$J$42</f>
        <v>856.032656655</v>
      </c>
      <c r="F52" s="9" t="n">
        <f aca="false">(parametros_manuales!$D$42*('Plan mensual'!H13+IF(parametros_manuales!$H$42="Todos",'Plan mensual'!H17,0))+parametros_manuales!$E$42*('Plan mensual'!H14+IF(parametros_manuales!$H$42="Todos",'Plan mensual'!H18,0))+parametros_manuales!$F$42*('Plan mensual'!H15+IF(parametros_manuales!$H$42="Todos",'Plan mensual'!H19,0))+parametros_manuales!$G$42*('Plan mensual'!H16+IF(parametros_manuales!$H$42="Todos",'Plan mensual'!H20,0)))*parametros_manuales!$I$42*parametros_manuales!$J$42</f>
        <v>802.14996863</v>
      </c>
      <c r="G52" s="9" t="n">
        <f aca="false">(parametros_manuales!$D$42*('Plan mensual'!I13+IF(parametros_manuales!$H$42="Todos",'Plan mensual'!I17,0))+parametros_manuales!$E$42*('Plan mensual'!I14+IF(parametros_manuales!$H$42="Todos",'Plan mensual'!I18,0))+parametros_manuales!$F$42*('Plan mensual'!I15+IF(parametros_manuales!$H$42="Todos",'Plan mensual'!I19,0))+parametros_manuales!$G$42*('Plan mensual'!I16+IF(parametros_manuales!$H$42="Todos",'Plan mensual'!I20,0)))*parametros_manuales!$I$42*parametros_manuales!$J$42</f>
        <v>778.25380049</v>
      </c>
      <c r="H52" s="9" t="n">
        <f aca="false">(parametros_manuales!$D$42*('Plan mensual'!J13+IF(parametros_manuales!$H$42="Todos",'Plan mensual'!J17,0))+parametros_manuales!$E$42*('Plan mensual'!J14+IF(parametros_manuales!$H$42="Todos",'Plan mensual'!J18,0))+parametros_manuales!$F$42*('Plan mensual'!J15+IF(parametros_manuales!$H$42="Todos",'Plan mensual'!J19,0))+parametros_manuales!$G$42*('Plan mensual'!J16+IF(parametros_manuales!$H$42="Todos",'Plan mensual'!J20,0)))*parametros_manuales!$I$42*parametros_manuales!$J$42</f>
        <v>832.136488515</v>
      </c>
      <c r="I52" s="9" t="n">
        <f aca="false">(parametros_manuales!$D$42*('Plan mensual'!K13+IF(parametros_manuales!$H$42="Todos",'Plan mensual'!K17,0))+parametros_manuales!$E$42*('Plan mensual'!K14+IF(parametros_manuales!$H$42="Todos",'Plan mensual'!K18,0))+parametros_manuales!$F$42*('Plan mensual'!K15+IF(parametros_manuales!$H$42="Todos",'Plan mensual'!K19,0))+parametros_manuales!$G$42*('Plan mensual'!K16+IF(parametros_manuales!$H$42="Todos",'Plan mensual'!K20,0)))*parametros_manuales!$I$42*parametros_manuales!$J$42</f>
        <v>832.136488515</v>
      </c>
      <c r="J52" s="9" t="n">
        <f aca="false">(parametros_manuales!$D$42*('Plan mensual'!L13+IF(parametros_manuales!$H$42="Todos",'Plan mensual'!L17,0))+parametros_manuales!$E$42*('Plan mensual'!L14+IF(parametros_manuales!$H$42="Todos",'Plan mensual'!L18,0))+parametros_manuales!$F$42*('Plan mensual'!L15+IF(parametros_manuales!$H$42="Todos",'Plan mensual'!L19,0))+parametros_manuales!$G$42*('Plan mensual'!L16+IF(parametros_manuales!$H$42="Todos",'Plan mensual'!L20,0)))*parametros_manuales!$I$42*parametros_manuales!$J$42</f>
        <v>832.136488515</v>
      </c>
      <c r="K52" s="9" t="n">
        <f aca="false">(parametros_manuales!$D$42*('Plan mensual'!M13+IF(parametros_manuales!$H$42="Todos",'Plan mensual'!M17,0))+parametros_manuales!$E$42*('Plan mensual'!M14+IF(parametros_manuales!$H$42="Todos",'Plan mensual'!M18,0))+parametros_manuales!$F$42*('Plan mensual'!M15+IF(parametros_manuales!$H$42="Todos",'Plan mensual'!M19,0))+parametros_manuales!$G$42*('Plan mensual'!M16+IF(parametros_manuales!$H$42="Todos",'Plan mensual'!M20,0)))*parametros_manuales!$I$42*parametros_manuales!$J$42</f>
        <v>808.240320375</v>
      </c>
      <c r="L52" s="9" t="n">
        <f aca="false">(parametros_manuales!$D$42*('Plan mensual'!N13+IF(parametros_manuales!$H$42="Todos",'Plan mensual'!N17,0))+parametros_manuales!$E$42*('Plan mensual'!N14+IF(parametros_manuales!$H$42="Todos",'Plan mensual'!N18,0))+parametros_manuales!$F$42*('Plan mensual'!N15+IF(parametros_manuales!$H$42="Todos",'Plan mensual'!N19,0))+parametros_manuales!$G$42*('Plan mensual'!N16+IF(parametros_manuales!$H$42="Todos",'Plan mensual'!N20,0)))*parametros_manuales!$I$42*parametros_manuales!$J$42</f>
        <v>784.344152235</v>
      </c>
      <c r="M52" s="9" t="n">
        <f aca="false">(parametros_manuales!$D$42*('Plan mensual'!O13+IF(parametros_manuales!$H$42="Todos",'Plan mensual'!O17,0))+parametros_manuales!$E$42*('Plan mensual'!O14+IF(parametros_manuales!$H$42="Todos",'Plan mensual'!O18,0))+parametros_manuales!$F$42*('Plan mensual'!O15+IF(parametros_manuales!$H$42="Todos",'Plan mensual'!O19,0))+parametros_manuales!$G$42*('Plan mensual'!O16+IF(parametros_manuales!$H$42="Todos",'Plan mensual'!O20,0)))*parametros_manuales!$I$42*parametros_manuales!$J$42</f>
        <v>1245.39217632</v>
      </c>
      <c r="N52" s="9" t="n">
        <f aca="false">SUM(B52:M52)</f>
        <v>10776.537605</v>
      </c>
      <c r="O52" s="9" t="n">
        <f aca="false">MAX(B52:M52)</f>
        <v>1245.39217632</v>
      </c>
      <c r="P52" s="43" t="n">
        <f aca="false">O52/(parametros_manuales!$B$7)</f>
        <v>8.3026145088</v>
      </c>
      <c r="Q52" s="8" t="str">
        <f aca="false">IF(O52=0,"-",INDEX($B$28:$M$28,MATCH(O52,B52:M52,0)))</f>
        <v>Dic</v>
      </c>
    </row>
    <row r="53" customFormat="false" ht="14.25" hidden="false" customHeight="true" outlineLevel="0" collapsed="false">
      <c r="A53" s="8" t="str">
        <f aca="false">parametros_manuales!$B$43</f>
        <v>Embalaje y paletizado</v>
      </c>
      <c r="B53" s="9" t="n">
        <f aca="false">(parametros_manuales!$D$43*('Plan mensual'!D13+IF(parametros_manuales!$H$43="Todos",'Plan mensual'!D17,0))+parametros_manuales!$E$43*('Plan mensual'!D14+IF(parametros_manuales!$H$43="Todos",'Plan mensual'!D18,0))+parametros_manuales!$F$43*('Plan mensual'!D15+IF(parametros_manuales!$H$43="Todos",'Plan mensual'!D19,0))+parametros_manuales!$G$43*('Plan mensual'!D16+IF(parametros_manuales!$H$43="Todos",'Plan mensual'!D20,0)))*parametros_manuales!$I$43*parametros_manuales!$J$43</f>
        <v>1205.92384004</v>
      </c>
      <c r="C53" s="9" t="n">
        <f aca="false">(parametros_manuales!$D$43*('Plan mensual'!E13+IF(parametros_manuales!$H$43="Todos",'Plan mensual'!E17,0))+parametros_manuales!$E$43*('Plan mensual'!E14+IF(parametros_manuales!$H$43="Todos",'Plan mensual'!E18,0))+parametros_manuales!$F$43*('Plan mensual'!E15+IF(parametros_manuales!$H$43="Todos",'Plan mensual'!E19,0))+parametros_manuales!$G$43*('Plan mensual'!E16+IF(parametros_manuales!$H$43="Todos",'Plan mensual'!E20,0)))*parametros_manuales!$I$43*parametros_manuales!$J$43</f>
        <v>928.75524817</v>
      </c>
      <c r="D53" s="9" t="n">
        <f aca="false">(parametros_manuales!$D$43*('Plan mensual'!F13+IF(parametros_manuales!$H$43="Todos",'Plan mensual'!F17,0))+parametros_manuales!$E$43*('Plan mensual'!F14+IF(parametros_manuales!$H$43="Todos",'Plan mensual'!F18,0))+parametros_manuales!$F$43*('Plan mensual'!F15+IF(parametros_manuales!$H$43="Todos",'Plan mensual'!F19,0))+parametros_manuales!$G$43*('Plan mensual'!F16+IF(parametros_manuales!$H$43="Todos",'Plan mensual'!F20,0)))*parametros_manuales!$I$43*parametros_manuales!$J$43</f>
        <v>893.09457654</v>
      </c>
      <c r="E53" s="9" t="n">
        <f aca="false">(parametros_manuales!$D$43*('Plan mensual'!G13+IF(parametros_manuales!$H$43="Todos",'Plan mensual'!G17,0))+parametros_manuales!$E$43*('Plan mensual'!G14+IF(parametros_manuales!$H$43="Todos",'Plan mensual'!G18,0))+parametros_manuales!$F$43*('Plan mensual'!G15+IF(parametros_manuales!$H$43="Todos",'Plan mensual'!G19,0))+parametros_manuales!$G$43*('Plan mensual'!G16+IF(parametros_manuales!$H$43="Todos",'Plan mensual'!G20,0)))*parametros_manuales!$I$43*parametros_manuales!$J$43</f>
        <v>863.108056655</v>
      </c>
      <c r="F53" s="9" t="n">
        <f aca="false">(parametros_manuales!$D$43*('Plan mensual'!H13+IF(parametros_manuales!$H$43="Todos",'Plan mensual'!H17,0))+parametros_manuales!$E$43*('Plan mensual'!H14+IF(parametros_manuales!$H$43="Todos",'Plan mensual'!H18,0))+parametros_manuales!$F$43*('Plan mensual'!H15+IF(parametros_manuales!$H$43="Todos",'Plan mensual'!H19,0))+parametros_manuales!$G$43*('Plan mensual'!H16+IF(parametros_manuales!$H$43="Todos",'Plan mensual'!H20,0)))*parametros_manuales!$I$43*parametros_manuales!$J$43</f>
        <v>808.80916863</v>
      </c>
      <c r="G53" s="9" t="n">
        <f aca="false">(parametros_manuales!$D$43*('Plan mensual'!I13+IF(parametros_manuales!$H$43="Todos",'Plan mensual'!I17,0))+parametros_manuales!$E$43*('Plan mensual'!I14+IF(parametros_manuales!$H$43="Todos",'Plan mensual'!I18,0))+parametros_manuales!$F$43*('Plan mensual'!I15+IF(parametros_manuales!$H$43="Todos",'Plan mensual'!I19,0))+parametros_manuales!$G$43*('Plan mensual'!I16+IF(parametros_manuales!$H$43="Todos",'Plan mensual'!I20,0)))*parametros_manuales!$I$43*parametros_manuales!$J$43</f>
        <v>784.49680049</v>
      </c>
      <c r="H53" s="9" t="n">
        <f aca="false">(parametros_manuales!$D$43*('Plan mensual'!J13+IF(parametros_manuales!$H$43="Todos",'Plan mensual'!J17,0))+parametros_manuales!$E$43*('Plan mensual'!J14+IF(parametros_manuales!$H$43="Todos",'Plan mensual'!J18,0))+parametros_manuales!$F$43*('Plan mensual'!J15+IF(parametros_manuales!$H$43="Todos",'Plan mensual'!J19,0))+parametros_manuales!$G$43*('Plan mensual'!J16+IF(parametros_manuales!$H$43="Todos",'Plan mensual'!J20,0)))*parametros_manuales!$I$43*parametros_manuales!$J$43</f>
        <v>838.795688515</v>
      </c>
      <c r="I53" s="9" t="n">
        <f aca="false">(parametros_manuales!$D$43*('Plan mensual'!K13+IF(parametros_manuales!$H$43="Todos",'Plan mensual'!K17,0))+parametros_manuales!$E$43*('Plan mensual'!K14+IF(parametros_manuales!$H$43="Todos",'Plan mensual'!K18,0))+parametros_manuales!$F$43*('Plan mensual'!K15+IF(parametros_manuales!$H$43="Todos",'Plan mensual'!K19,0))+parametros_manuales!$G$43*('Plan mensual'!K16+IF(parametros_manuales!$H$43="Todos",'Plan mensual'!K20,0)))*parametros_manuales!$I$43*parametros_manuales!$J$43</f>
        <v>838.795688515</v>
      </c>
      <c r="J53" s="9" t="n">
        <f aca="false">(parametros_manuales!$D$43*('Plan mensual'!L13+IF(parametros_manuales!$H$43="Todos",'Plan mensual'!L17,0))+parametros_manuales!$E$43*('Plan mensual'!L14+IF(parametros_manuales!$H$43="Todos",'Plan mensual'!L18,0))+parametros_manuales!$F$43*('Plan mensual'!L15+IF(parametros_manuales!$H$43="Todos",'Plan mensual'!L19,0))+parametros_manuales!$G$43*('Plan mensual'!L16+IF(parametros_manuales!$H$43="Todos",'Plan mensual'!L20,0)))*parametros_manuales!$I$43*parametros_manuales!$J$43</f>
        <v>838.795688515</v>
      </c>
      <c r="K53" s="9" t="n">
        <f aca="false">(parametros_manuales!$D$43*('Plan mensual'!M13+IF(parametros_manuales!$H$43="Todos",'Plan mensual'!M17,0))+parametros_manuales!$E$43*('Plan mensual'!M14+IF(parametros_manuales!$H$43="Todos",'Plan mensual'!M18,0))+parametros_manuales!$F$43*('Plan mensual'!M15+IF(parametros_manuales!$H$43="Todos",'Plan mensual'!M19,0))+parametros_manuales!$G$43*('Plan mensual'!M16+IF(parametros_manuales!$H$43="Todos",'Plan mensual'!M20,0)))*parametros_manuales!$I$43*parametros_manuales!$J$43</f>
        <v>814.483320375</v>
      </c>
      <c r="L53" s="9" t="n">
        <f aca="false">(parametros_manuales!$D$43*('Plan mensual'!N13+IF(parametros_manuales!$H$43="Todos",'Plan mensual'!N17,0))+parametros_manuales!$E$43*('Plan mensual'!N14+IF(parametros_manuales!$H$43="Todos",'Plan mensual'!N18,0))+parametros_manuales!$F$43*('Plan mensual'!N15+IF(parametros_manuales!$H$43="Todos",'Plan mensual'!N19,0))+parametros_manuales!$G$43*('Plan mensual'!N16+IF(parametros_manuales!$H$43="Todos",'Plan mensual'!N20,0)))*parametros_manuales!$I$43*parametros_manuales!$J$43</f>
        <v>790.170952235</v>
      </c>
      <c r="M53" s="9" t="n">
        <f aca="false">(parametros_manuales!$D$43*('Plan mensual'!O13+IF(parametros_manuales!$H$43="Todos",'Plan mensual'!O17,0))+parametros_manuales!$E$43*('Plan mensual'!O14+IF(parametros_manuales!$H$43="Todos",'Plan mensual'!O18,0))+parametros_manuales!$F$43*('Plan mensual'!O15+IF(parametros_manuales!$H$43="Todos",'Plan mensual'!O19,0))+parametros_manuales!$G$43*('Plan mensual'!O16+IF(parametros_manuales!$H$43="Todos",'Plan mensual'!O20,0)))*parametros_manuales!$I$43*parametros_manuales!$J$43</f>
        <v>1254.54857632</v>
      </c>
      <c r="N53" s="9" t="n">
        <f aca="false">SUM(B53:M53)</f>
        <v>10859.777605</v>
      </c>
      <c r="O53" s="9" t="n">
        <f aca="false">MAX(B53:M53)</f>
        <v>1254.54857632</v>
      </c>
      <c r="P53" s="43" t="n">
        <f aca="false">O53/(parametros_manuales!$B$7)</f>
        <v>8.36365717546667</v>
      </c>
      <c r="Q53" s="8" t="str">
        <f aca="false">IF(O53=0,"-",INDEX($B$28:$M$28,MATCH(O53,B53:M53,0)))</f>
        <v>Dic</v>
      </c>
    </row>
    <row r="54" customFormat="false" ht="14.25" hidden="false" customHeight="true" outlineLevel="0" collapsed="false"/>
    <row r="55" customFormat="false" ht="14.25" hidden="false" customHeight="true" outlineLevel="0" collapsed="false">
      <c r="A55" s="7" t="s">
        <v>192</v>
      </c>
      <c r="B55" s="7" t="s">
        <v>61</v>
      </c>
      <c r="C55" s="7" t="s">
        <v>62</v>
      </c>
      <c r="D55" s="7" t="s">
        <v>63</v>
      </c>
      <c r="E55" s="7" t="s">
        <v>64</v>
      </c>
      <c r="F55" s="7" t="s">
        <v>65</v>
      </c>
      <c r="G55" s="7" t="s">
        <v>66</v>
      </c>
      <c r="H55" s="7" t="s">
        <v>67</v>
      </c>
      <c r="I55" s="7" t="s">
        <v>68</v>
      </c>
      <c r="J55" s="7" t="s">
        <v>69</v>
      </c>
      <c r="K55" s="7" t="s">
        <v>70</v>
      </c>
      <c r="L55" s="7" t="s">
        <v>71</v>
      </c>
      <c r="M55" s="7" t="s">
        <v>72</v>
      </c>
      <c r="N55" s="7" t="s">
        <v>183</v>
      </c>
      <c r="O55" s="7" t="s">
        <v>188</v>
      </c>
      <c r="P55" s="7" t="s">
        <v>189</v>
      </c>
      <c r="Q55" s="7" t="s">
        <v>190</v>
      </c>
    </row>
    <row r="56" customFormat="false" ht="14.25" hidden="false" customHeight="true" outlineLevel="0" collapsed="false">
      <c r="A56" s="8" t="str">
        <f aca="false">parametros_manuales!$B$19</f>
        <v>Recepción de materia prima</v>
      </c>
      <c r="B56" s="9" t="n">
        <f aca="false">(parametros_manuales!$D$19*('Plan mensual'!D24+IF(parametros_manuales!$H$19="Todos",'Plan mensual'!D28,0))+parametros_manuales!$E$19*('Plan mensual'!D25+IF(parametros_manuales!$H$19="Todos",'Plan mensual'!D29,0))+parametros_manuales!$F$19*('Plan mensual'!D26+IF(parametros_manuales!$H$19="Todos",'Plan mensual'!D30,0))+parametros_manuales!$G$19*('Plan mensual'!D27+IF(parametros_manuales!$H$19="Todos",'Plan mensual'!D31,0)))*parametros_manuales!$I$19*parametros_manuales!$J$19</f>
        <v>2584.2681738</v>
      </c>
      <c r="C56" s="9" t="n">
        <f aca="false">(parametros_manuales!$D$19*('Plan mensual'!E24+IF(parametros_manuales!$H$19="Todos",'Plan mensual'!E28,0))+parametros_manuales!$E$19*('Plan mensual'!E25+IF(parametros_manuales!$H$19="Todos",'Plan mensual'!E29,0))+parametros_manuales!$F$19*('Plan mensual'!E26+IF(parametros_manuales!$H$19="Todos",'Plan mensual'!E30,0))+parametros_manuales!$G$19*('Plan mensual'!E27+IF(parametros_manuales!$H$19="Todos",'Plan mensual'!E31,0)))*parametros_manuales!$I$19*parametros_manuales!$J$19</f>
        <v>1980.329652492</v>
      </c>
      <c r="D56" s="9" t="n">
        <f aca="false">(parametros_manuales!$D$19*('Plan mensual'!F24+IF(parametros_manuales!$H$19="Todos",'Plan mensual'!F28,0))+parametros_manuales!$E$19*('Plan mensual'!F25+IF(parametros_manuales!$H$19="Todos",'Plan mensual'!F29,0))+parametros_manuales!$F$19*('Plan mensual'!F26+IF(parametros_manuales!$H$19="Todos",'Plan mensual'!F30,0))+parametros_manuales!$G$19*('Plan mensual'!F27+IF(parametros_manuales!$H$19="Todos",'Plan mensual'!F31,0)))*parametros_manuales!$I$19*parametros_manuales!$J$19</f>
        <v>1877.316697054</v>
      </c>
      <c r="E56" s="9" t="n">
        <f aca="false">(parametros_manuales!$D$19*('Plan mensual'!G24+IF(parametros_manuales!$H$19="Todos",'Plan mensual'!G28,0))+parametros_manuales!$E$19*('Plan mensual'!G25+IF(parametros_manuales!$H$19="Todos",'Plan mensual'!G29,0))+parametros_manuales!$F$19*('Plan mensual'!G26+IF(parametros_manuales!$H$19="Todos",'Plan mensual'!G30,0))+parametros_manuales!$G$19*('Plan mensual'!G27+IF(parametros_manuales!$H$19="Todos",'Plan mensual'!G31,0)))*parametros_manuales!$I$19*parametros_manuales!$J$19</f>
        <v>1804.745958264</v>
      </c>
      <c r="F56" s="9" t="n">
        <f aca="false">(parametros_manuales!$D$19*('Plan mensual'!H24+IF(parametros_manuales!$H$19="Todos",'Plan mensual'!H28,0))+parametros_manuales!$E$19*('Plan mensual'!H25+IF(parametros_manuales!$H$19="Todos",'Plan mensual'!H29,0))+parametros_manuales!$F$19*('Plan mensual'!H26+IF(parametros_manuales!$H$19="Todos",'Plan mensual'!H30,0))+parametros_manuales!$G$19*('Plan mensual'!H27+IF(parametros_manuales!$H$19="Todos",'Plan mensual'!H31,0)))*parametros_manuales!$I$19*parametros_manuales!$J$19</f>
        <v>1690.046697332</v>
      </c>
      <c r="G56" s="9" t="n">
        <f aca="false">(parametros_manuales!$D$19*('Plan mensual'!I24+IF(parametros_manuales!$H$19="Todos",'Plan mensual'!I28,0))+parametros_manuales!$E$19*('Plan mensual'!I25+IF(parametros_manuales!$H$19="Todos",'Plan mensual'!I29,0))+parametros_manuales!$F$19*('Plan mensual'!I26+IF(parametros_manuales!$H$19="Todos",'Plan mensual'!I30,0))+parametros_manuales!$G$19*('Plan mensual'!I27+IF(parametros_manuales!$H$19="Todos",'Plan mensual'!I31,0)))*parametros_manuales!$I$19*parametros_manuales!$J$19</f>
        <v>1647.91817519</v>
      </c>
      <c r="H56" s="9" t="n">
        <f aca="false">(parametros_manuales!$D$19*('Plan mensual'!J24+IF(parametros_manuales!$H$19="Todos",'Plan mensual'!J28,0))+parametros_manuales!$E$19*('Plan mensual'!J25+IF(parametros_manuales!$H$19="Todos",'Plan mensual'!J29,0))+parametros_manuales!$F$19*('Plan mensual'!J26+IF(parametros_manuales!$H$19="Todos",'Plan mensual'!J30,0))+parametros_manuales!$G$19*('Plan mensual'!J27+IF(parametros_manuales!$H$19="Todos",'Plan mensual'!J31,0)))*parametros_manuales!$I$19*parametros_manuales!$J$19</f>
        <v>1762.617436122</v>
      </c>
      <c r="I56" s="9" t="n">
        <f aca="false">(parametros_manuales!$D$19*('Plan mensual'!K24+IF(parametros_manuales!$H$19="Todos",'Plan mensual'!K28,0))+parametros_manuales!$E$19*('Plan mensual'!K25+IF(parametros_manuales!$H$19="Todos",'Plan mensual'!K29,0))+parametros_manuales!$F$19*('Plan mensual'!K26+IF(parametros_manuales!$H$19="Todos",'Plan mensual'!K30,0))+parametros_manuales!$G$19*('Plan mensual'!K27+IF(parametros_manuales!$H$19="Todos",'Plan mensual'!K31,0)))*parametros_manuales!$I$19*parametros_manuales!$J$19</f>
        <v>1762.617436122</v>
      </c>
      <c r="J56" s="9" t="n">
        <f aca="false">(parametros_manuales!$D$19*('Plan mensual'!L24+IF(parametros_manuales!$H$19="Todos",'Plan mensual'!L28,0))+parametros_manuales!$E$19*('Plan mensual'!L25+IF(parametros_manuales!$H$19="Todos",'Plan mensual'!L29,0))+parametros_manuales!$F$19*('Plan mensual'!L26+IF(parametros_manuales!$H$19="Todos",'Plan mensual'!L30,0))+parametros_manuales!$G$19*('Plan mensual'!L27+IF(parametros_manuales!$H$19="Todos",'Plan mensual'!L31,0)))*parametros_manuales!$I$19*parametros_manuales!$J$19</f>
        <v>1762.617436122</v>
      </c>
      <c r="K56" s="9" t="n">
        <f aca="false">(parametros_manuales!$D$19*('Plan mensual'!M24+IF(parametros_manuales!$H$19="Todos",'Plan mensual'!M28,0))+parametros_manuales!$E$19*('Plan mensual'!M25+IF(parametros_manuales!$H$19="Todos",'Plan mensual'!M29,0))+parametros_manuales!$F$19*('Plan mensual'!M26+IF(parametros_manuales!$H$19="Todos",'Plan mensual'!M30,0))+parametros_manuales!$G$19*('Plan mensual'!M27+IF(parametros_manuales!$H$19="Todos",'Plan mensual'!M31,0)))*parametros_manuales!$I$19*parametros_manuales!$J$19</f>
        <v>1720.48891398</v>
      </c>
      <c r="L56" s="9" t="n">
        <f aca="false">(parametros_manuales!$D$19*('Plan mensual'!N24+IF(parametros_manuales!$H$19="Todos",'Plan mensual'!N28,0))+parametros_manuales!$E$19*('Plan mensual'!N25+IF(parametros_manuales!$H$19="Todos",'Plan mensual'!N29,0))+parametros_manuales!$F$19*('Plan mensual'!N26+IF(parametros_manuales!$H$19="Todos",'Plan mensual'!N30,0))+parametros_manuales!$G$19*('Plan mensual'!N27+IF(parametros_manuales!$H$19="Todos",'Plan mensual'!N31,0)))*parametros_manuales!$I$19*parametros_manuales!$J$19</f>
        <v>1678.360391838</v>
      </c>
      <c r="M56" s="9" t="n">
        <f aca="false">(parametros_manuales!$D$19*('Plan mensual'!O24+IF(parametros_manuales!$H$19="Todos",'Plan mensual'!O28,0))+parametros_manuales!$E$19*('Plan mensual'!O25+IF(parametros_manuales!$H$19="Todos",'Plan mensual'!O29,0))+parametros_manuales!$F$19*('Plan mensual'!O26+IF(parametros_manuales!$H$19="Todos",'Plan mensual'!O30,0))+parametros_manuales!$G$19*('Plan mensual'!O27+IF(parametros_manuales!$H$19="Todos",'Plan mensual'!O31,0)))*parametros_manuales!$I$19*parametros_manuales!$J$19</f>
        <v>2668.525218084</v>
      </c>
      <c r="N56" s="9" t="n">
        <f aca="false">SUM(B56:M56)</f>
        <v>22939.8521864</v>
      </c>
      <c r="O56" s="9" t="n">
        <f aca="false">MAX(B56:M56)</f>
        <v>2668.525218084</v>
      </c>
      <c r="P56" s="43" t="n">
        <f aca="false">O56/(parametros_manuales!$B$7)</f>
        <v>17.79016812056</v>
      </c>
      <c r="Q56" s="8" t="str">
        <f aca="false">IF(O56=0,"-",INDEX($B$55:$M$55,MATCH(O56,B56:M56,0)))</f>
        <v>Dic</v>
      </c>
    </row>
    <row r="57" customFormat="false" ht="14.25" hidden="false" customHeight="true" outlineLevel="0" collapsed="false">
      <c r="A57" s="8" t="str">
        <f aca="false">parametros_manuales!$B$20</f>
        <v>Corte de chapa (guillotina) — 2,5 a 10 kg</v>
      </c>
      <c r="B57" s="9" t="n">
        <f aca="false">(parametros_manuales!$D$20*('Plan mensual'!D24+IF(parametros_manuales!$H$20="Todos",'Plan mensual'!D28,0))+parametros_manuales!$E$20*('Plan mensual'!D25+IF(parametros_manuales!$H$20="Todos",'Plan mensual'!D29,0))+parametros_manuales!$F$20*('Plan mensual'!D26+IF(parametros_manuales!$H$20="Todos",'Plan mensual'!D30,0))+parametros_manuales!$G$20*('Plan mensual'!D27+IF(parametros_manuales!$H$20="Todos",'Plan mensual'!D31,0)))*parametros_manuales!$I$20*parametros_manuales!$J$20</f>
        <v>842.57044284</v>
      </c>
      <c r="C57" s="9" t="n">
        <f aca="false">(parametros_manuales!$D$20*('Plan mensual'!E24+IF(parametros_manuales!$H$20="Todos",'Plan mensual'!E28,0))+parametros_manuales!$E$20*('Plan mensual'!E25+IF(parametros_manuales!$H$20="Todos",'Plan mensual'!E29,0))+parametros_manuales!$F$20*('Plan mensual'!E26+IF(parametros_manuales!$H$20="Todos",'Plan mensual'!E30,0))+parametros_manuales!$G$20*('Plan mensual'!E27+IF(parametros_manuales!$H$20="Todos",'Plan mensual'!E31,0)))*parametros_manuales!$I$20*parametros_manuales!$J$20</f>
        <v>674.056354272</v>
      </c>
      <c r="D57" s="9" t="n">
        <f aca="false">(parametros_manuales!$D$20*('Plan mensual'!F24+IF(parametros_manuales!$H$20="Todos",'Plan mensual'!F28,0))+parametros_manuales!$E$20*('Plan mensual'!F25+IF(parametros_manuales!$H$20="Todos",'Plan mensual'!F29,0))+parametros_manuales!$F$20*('Plan mensual'!F26+IF(parametros_manuales!$H$20="Todos",'Plan mensual'!F30,0))+parametros_manuales!$G$20*('Plan mensual'!F27+IF(parametros_manuales!$H$20="Todos",'Plan mensual'!F31,0)))*parametros_manuales!$I$20*parametros_manuales!$J$20</f>
        <v>716.184876414</v>
      </c>
      <c r="E57" s="9" t="n">
        <f aca="false">(parametros_manuales!$D$20*('Plan mensual'!G24+IF(parametros_manuales!$H$20="Todos",'Plan mensual'!G28,0))+parametros_manuales!$E$20*('Plan mensual'!G25+IF(parametros_manuales!$H$20="Todos",'Plan mensual'!G29,0))+parametros_manuales!$F$20*('Plan mensual'!G26+IF(parametros_manuales!$H$20="Todos",'Plan mensual'!G30,0))+parametros_manuales!$G$20*('Plan mensual'!G27+IF(parametros_manuales!$H$20="Todos",'Plan mensual'!G31,0)))*parametros_manuales!$I$20*parametros_manuales!$J$20</f>
        <v>716.184876414</v>
      </c>
      <c r="F57" s="9" t="n">
        <f aca="false">(parametros_manuales!$D$20*('Plan mensual'!H24+IF(parametros_manuales!$H$20="Todos",'Plan mensual'!H28,0))+parametros_manuales!$E$20*('Plan mensual'!H25+IF(parametros_manuales!$H$20="Todos",'Plan mensual'!H29,0))+parametros_manuales!$F$20*('Plan mensual'!H26+IF(parametros_manuales!$H$20="Todos",'Plan mensual'!H30,0))+parametros_manuales!$G$20*('Plan mensual'!H27+IF(parametros_manuales!$H$20="Todos",'Plan mensual'!H31,0)))*parametros_manuales!$I$20*parametros_manuales!$J$20</f>
        <v>674.056354272</v>
      </c>
      <c r="G57" s="9" t="n">
        <f aca="false">(parametros_manuales!$D$20*('Plan mensual'!I24+IF(parametros_manuales!$H$20="Todos",'Plan mensual'!I28,0))+parametros_manuales!$E$20*('Plan mensual'!I25+IF(parametros_manuales!$H$20="Todos",'Plan mensual'!I29,0))+parametros_manuales!$F$20*('Plan mensual'!I26+IF(parametros_manuales!$H$20="Todos",'Plan mensual'!I30,0))+parametros_manuales!$G$20*('Plan mensual'!I27+IF(parametros_manuales!$H$20="Todos",'Plan mensual'!I31,0)))*parametros_manuales!$I$20*parametros_manuales!$J$20</f>
        <v>631.92783213</v>
      </c>
      <c r="H57" s="9" t="n">
        <f aca="false">(parametros_manuales!$D$20*('Plan mensual'!J24+IF(parametros_manuales!$H$20="Todos",'Plan mensual'!J28,0))+parametros_manuales!$E$20*('Plan mensual'!J25+IF(parametros_manuales!$H$20="Todos",'Plan mensual'!J29,0))+parametros_manuales!$F$20*('Plan mensual'!J26+IF(parametros_manuales!$H$20="Todos",'Plan mensual'!J30,0))+parametros_manuales!$G$20*('Plan mensual'!J27+IF(parametros_manuales!$H$20="Todos",'Plan mensual'!J31,0)))*parametros_manuales!$I$20*parametros_manuales!$J$20</f>
        <v>674.056354272</v>
      </c>
      <c r="I57" s="9" t="n">
        <f aca="false">(parametros_manuales!$D$20*('Plan mensual'!K24+IF(parametros_manuales!$H$20="Todos",'Plan mensual'!K28,0))+parametros_manuales!$E$20*('Plan mensual'!K25+IF(parametros_manuales!$H$20="Todos",'Plan mensual'!K29,0))+parametros_manuales!$F$20*('Plan mensual'!K26+IF(parametros_manuales!$H$20="Todos",'Plan mensual'!K30,0))+parametros_manuales!$G$20*('Plan mensual'!K27+IF(parametros_manuales!$H$20="Todos",'Plan mensual'!K31,0)))*parametros_manuales!$I$20*parametros_manuales!$J$20</f>
        <v>674.056354272</v>
      </c>
      <c r="J57" s="9" t="n">
        <f aca="false">(parametros_manuales!$D$20*('Plan mensual'!L24+IF(parametros_manuales!$H$20="Todos",'Plan mensual'!L28,0))+parametros_manuales!$E$20*('Plan mensual'!L25+IF(parametros_manuales!$H$20="Todos",'Plan mensual'!L29,0))+parametros_manuales!$F$20*('Plan mensual'!L26+IF(parametros_manuales!$H$20="Todos",'Plan mensual'!L30,0))+parametros_manuales!$G$20*('Plan mensual'!L27+IF(parametros_manuales!$H$20="Todos",'Plan mensual'!L31,0)))*parametros_manuales!$I$20*parametros_manuales!$J$20</f>
        <v>674.056354272</v>
      </c>
      <c r="K57" s="9" t="n">
        <f aca="false">(parametros_manuales!$D$20*('Plan mensual'!M24+IF(parametros_manuales!$H$20="Todos",'Plan mensual'!M28,0))+parametros_manuales!$E$20*('Plan mensual'!M25+IF(parametros_manuales!$H$20="Todos",'Plan mensual'!M29,0))+parametros_manuales!$F$20*('Plan mensual'!M26+IF(parametros_manuales!$H$20="Todos",'Plan mensual'!M30,0))+parametros_manuales!$G$20*('Plan mensual'!M27+IF(parametros_manuales!$H$20="Todos",'Plan mensual'!M31,0)))*parametros_manuales!$I$20*parametros_manuales!$J$20</f>
        <v>631.92783213</v>
      </c>
      <c r="L57" s="9" t="n">
        <f aca="false">(parametros_manuales!$D$20*('Plan mensual'!N24+IF(parametros_manuales!$H$20="Todos",'Plan mensual'!N28,0))+parametros_manuales!$E$20*('Plan mensual'!N25+IF(parametros_manuales!$H$20="Todos",'Plan mensual'!N29,0))+parametros_manuales!$F$20*('Plan mensual'!N26+IF(parametros_manuales!$H$20="Todos",'Plan mensual'!N30,0))+parametros_manuales!$G$20*('Plan mensual'!N27+IF(parametros_manuales!$H$20="Todos",'Plan mensual'!N31,0)))*parametros_manuales!$I$20*parametros_manuales!$J$20</f>
        <v>589.799309988</v>
      </c>
      <c r="M57" s="9" t="n">
        <f aca="false">(parametros_manuales!$D$20*('Plan mensual'!O24+IF(parametros_manuales!$H$20="Todos",'Plan mensual'!O28,0))+parametros_manuales!$E$20*('Plan mensual'!O25+IF(parametros_manuales!$H$20="Todos",'Plan mensual'!O29,0))+parametros_manuales!$F$20*('Plan mensual'!O26+IF(parametros_manuales!$H$20="Todos",'Plan mensual'!O30,0))+parametros_manuales!$G$20*('Plan mensual'!O27+IF(parametros_manuales!$H$20="Todos",'Plan mensual'!O31,0)))*parametros_manuales!$I$20*parametros_manuales!$J$20</f>
        <v>926.827487124</v>
      </c>
      <c r="N57" s="9" t="n">
        <f aca="false">SUM(B57:M57)</f>
        <v>8425.7044284</v>
      </c>
      <c r="O57" s="9" t="n">
        <f aca="false">MAX(B57:M57)</f>
        <v>926.827487124</v>
      </c>
      <c r="P57" s="43" t="n">
        <f aca="false">O57/(parametros_manuales!$B$7)</f>
        <v>6.17884991416</v>
      </c>
      <c r="Q57" s="8" t="str">
        <f aca="false">IF(O57=0,"-",INDEX($B$55:$M$55,MATCH(O57,B57:M57,0)))</f>
        <v>Dic</v>
      </c>
    </row>
    <row r="58" customFormat="false" ht="14.25" hidden="false" customHeight="true" outlineLevel="0" collapsed="false">
      <c r="A58" s="8" t="str">
        <f aca="false">parametros_manuales!$B$21</f>
        <v>Corte de tubo — 1 kg</v>
      </c>
      <c r="B58" s="9" t="n">
        <f aca="false">(parametros_manuales!$D$21*('Plan mensual'!D24+IF(parametros_manuales!$H$21="Todos",'Plan mensual'!D28,0))+parametros_manuales!$E$21*('Plan mensual'!D25+IF(parametros_manuales!$H$21="Todos",'Plan mensual'!D29,0))+parametros_manuales!$F$21*('Plan mensual'!D26+IF(parametros_manuales!$H$21="Todos",'Plan mensual'!D30,0))+parametros_manuales!$G$21*('Plan mensual'!D27+IF(parametros_manuales!$H$21="Todos",'Plan mensual'!D31,0)))*parametros_manuales!$I$21*parametros_manuales!$J$21</f>
        <v>1741.69773096</v>
      </c>
      <c r="C58" s="9" t="n">
        <f aca="false">(parametros_manuales!$D$21*('Plan mensual'!E24+IF(parametros_manuales!$H$21="Todos",'Plan mensual'!E28,0))+parametros_manuales!$E$21*('Plan mensual'!E25+IF(parametros_manuales!$H$21="Todos",'Plan mensual'!E29,0))+parametros_manuales!$F$21*('Plan mensual'!E26+IF(parametros_manuales!$H$21="Todos",'Plan mensual'!E30,0))+parametros_manuales!$G$21*('Plan mensual'!E27+IF(parametros_manuales!$H$21="Todos",'Plan mensual'!E31,0)))*parametros_manuales!$I$21*parametros_manuales!$J$21</f>
        <v>1306.27329822</v>
      </c>
      <c r="D58" s="9" t="n">
        <f aca="false">(parametros_manuales!$D$21*('Plan mensual'!F24+IF(parametros_manuales!$H$21="Todos",'Plan mensual'!F28,0))+parametros_manuales!$E$21*('Plan mensual'!F25+IF(parametros_manuales!$H$21="Todos",'Plan mensual'!F29,0))+parametros_manuales!$F$21*('Plan mensual'!F26+IF(parametros_manuales!$H$21="Todos",'Plan mensual'!F30,0))+parametros_manuales!$G$21*('Plan mensual'!F27+IF(parametros_manuales!$H$21="Todos",'Plan mensual'!F31,0)))*parametros_manuales!$I$21*parametros_manuales!$J$21</f>
        <v>1161.13182064</v>
      </c>
      <c r="E58" s="9" t="n">
        <f aca="false">(parametros_manuales!$D$21*('Plan mensual'!G24+IF(parametros_manuales!$H$21="Todos",'Plan mensual'!G28,0))+parametros_manuales!$E$21*('Plan mensual'!G25+IF(parametros_manuales!$H$21="Todos",'Plan mensual'!G29,0))+parametros_manuales!$F$21*('Plan mensual'!G26+IF(parametros_manuales!$H$21="Todos",'Plan mensual'!G30,0))+parametros_manuales!$G$21*('Plan mensual'!G27+IF(parametros_manuales!$H$21="Todos",'Plan mensual'!G31,0)))*parametros_manuales!$I$21*parametros_manuales!$J$21</f>
        <v>1088.56108185</v>
      </c>
      <c r="F58" s="9" t="n">
        <f aca="false">(parametros_manuales!$D$21*('Plan mensual'!H24+IF(parametros_manuales!$H$21="Todos",'Plan mensual'!H28,0))+parametros_manuales!$E$21*('Plan mensual'!H25+IF(parametros_manuales!$H$21="Todos",'Plan mensual'!H29,0))+parametros_manuales!$F$21*('Plan mensual'!H26+IF(parametros_manuales!$H$21="Todos",'Plan mensual'!H30,0))+parametros_manuales!$G$21*('Plan mensual'!H27+IF(parametros_manuales!$H$21="Todos",'Plan mensual'!H31,0)))*parametros_manuales!$I$21*parametros_manuales!$J$21</f>
        <v>1015.99034306</v>
      </c>
      <c r="G58" s="9" t="n">
        <f aca="false">(parametros_manuales!$D$21*('Plan mensual'!I24+IF(parametros_manuales!$H$21="Todos",'Plan mensual'!I28,0))+parametros_manuales!$E$21*('Plan mensual'!I25+IF(parametros_manuales!$H$21="Todos",'Plan mensual'!I29,0))+parametros_manuales!$F$21*('Plan mensual'!I26+IF(parametros_manuales!$H$21="Todos",'Plan mensual'!I30,0))+parametros_manuales!$G$21*('Plan mensual'!I27+IF(parametros_manuales!$H$21="Todos",'Plan mensual'!I31,0)))*parametros_manuales!$I$21*parametros_manuales!$J$21</f>
        <v>1015.99034306</v>
      </c>
      <c r="H58" s="9" t="n">
        <f aca="false">(parametros_manuales!$D$21*('Plan mensual'!J24+IF(parametros_manuales!$H$21="Todos",'Plan mensual'!J28,0))+parametros_manuales!$E$21*('Plan mensual'!J25+IF(parametros_manuales!$H$21="Todos",'Plan mensual'!J29,0))+parametros_manuales!$F$21*('Plan mensual'!J26+IF(parametros_manuales!$H$21="Todos",'Plan mensual'!J30,0))+parametros_manuales!$G$21*('Plan mensual'!J27+IF(parametros_manuales!$H$21="Todos",'Plan mensual'!J31,0)))*parametros_manuales!$I$21*parametros_manuales!$J$21</f>
        <v>1088.56108185</v>
      </c>
      <c r="I58" s="9" t="n">
        <f aca="false">(parametros_manuales!$D$21*('Plan mensual'!K24+IF(parametros_manuales!$H$21="Todos",'Plan mensual'!K28,0))+parametros_manuales!$E$21*('Plan mensual'!K25+IF(parametros_manuales!$H$21="Todos",'Plan mensual'!K29,0))+parametros_manuales!$F$21*('Plan mensual'!K26+IF(parametros_manuales!$H$21="Todos",'Plan mensual'!K30,0))+parametros_manuales!$G$21*('Plan mensual'!K27+IF(parametros_manuales!$H$21="Todos",'Plan mensual'!K31,0)))*parametros_manuales!$I$21*parametros_manuales!$J$21</f>
        <v>1088.56108185</v>
      </c>
      <c r="J58" s="9" t="n">
        <f aca="false">(parametros_manuales!$D$21*('Plan mensual'!L24+IF(parametros_manuales!$H$21="Todos",'Plan mensual'!L28,0))+parametros_manuales!$E$21*('Plan mensual'!L25+IF(parametros_manuales!$H$21="Todos",'Plan mensual'!L29,0))+parametros_manuales!$F$21*('Plan mensual'!L26+IF(parametros_manuales!$H$21="Todos",'Plan mensual'!L30,0))+parametros_manuales!$G$21*('Plan mensual'!L27+IF(parametros_manuales!$H$21="Todos",'Plan mensual'!L31,0)))*parametros_manuales!$I$21*parametros_manuales!$J$21</f>
        <v>1088.56108185</v>
      </c>
      <c r="K58" s="9" t="n">
        <f aca="false">(parametros_manuales!$D$21*('Plan mensual'!M24+IF(parametros_manuales!$H$21="Todos",'Plan mensual'!M28,0))+parametros_manuales!$E$21*('Plan mensual'!M25+IF(parametros_manuales!$H$21="Todos",'Plan mensual'!M29,0))+parametros_manuales!$F$21*('Plan mensual'!M26+IF(parametros_manuales!$H$21="Todos",'Plan mensual'!M30,0))+parametros_manuales!$G$21*('Plan mensual'!M27+IF(parametros_manuales!$H$21="Todos",'Plan mensual'!M31,0)))*parametros_manuales!$I$21*parametros_manuales!$J$21</f>
        <v>1088.56108185</v>
      </c>
      <c r="L58" s="9" t="n">
        <f aca="false">(parametros_manuales!$D$21*('Plan mensual'!N24+IF(parametros_manuales!$H$21="Todos",'Plan mensual'!N28,0))+parametros_manuales!$E$21*('Plan mensual'!N25+IF(parametros_manuales!$H$21="Todos",'Plan mensual'!N29,0))+parametros_manuales!$F$21*('Plan mensual'!N26+IF(parametros_manuales!$H$21="Todos",'Plan mensual'!N30,0))+parametros_manuales!$G$21*('Plan mensual'!N27+IF(parametros_manuales!$H$21="Todos",'Plan mensual'!N31,0)))*parametros_manuales!$I$21*parametros_manuales!$J$21</f>
        <v>1088.56108185</v>
      </c>
      <c r="M58" s="9" t="n">
        <f aca="false">(parametros_manuales!$D$21*('Plan mensual'!O24+IF(parametros_manuales!$H$21="Todos",'Plan mensual'!O28,0))+parametros_manuales!$E$21*('Plan mensual'!O25+IF(parametros_manuales!$H$21="Todos",'Plan mensual'!O29,0))+parametros_manuales!$F$21*('Plan mensual'!O26+IF(parametros_manuales!$H$21="Todos",'Plan mensual'!O30,0))+parametros_manuales!$G$21*('Plan mensual'!O27+IF(parametros_manuales!$H$21="Todos",'Plan mensual'!O31,0)))*parametros_manuales!$I$21*parametros_manuales!$J$21</f>
        <v>1741.69773096</v>
      </c>
      <c r="N58" s="9" t="n">
        <f aca="false">SUM(B58:M58)</f>
        <v>14514.147758</v>
      </c>
      <c r="O58" s="9" t="n">
        <f aca="false">MAX(B58:M58)</f>
        <v>1741.69773096</v>
      </c>
      <c r="P58" s="43" t="n">
        <f aca="false">O58/(parametros_manuales!$B$7)</f>
        <v>11.6113182064</v>
      </c>
      <c r="Q58" s="8" t="str">
        <f aca="false">IF(O58=0,"-",INDEX($B$55:$M$55,MATCH(O58,B58:M58,0)))</f>
        <v>Ene</v>
      </c>
    </row>
    <row r="59" customFormat="false" ht="14.25" hidden="false" customHeight="true" outlineLevel="0" collapsed="false">
      <c r="A59" s="8" t="str">
        <f aca="false">parametros_manuales!$B$22</f>
        <v>Corte de disco y embutido (cúpula y fondo)</v>
      </c>
      <c r="B59" s="9" t="n">
        <f aca="false">(parametros_manuales!$D$22*('Plan mensual'!D24+IF(parametros_manuales!$H$22="Todos",'Plan mensual'!D28,0))+parametros_manuales!$E$22*('Plan mensual'!D25+IF(parametros_manuales!$H$22="Todos",'Plan mensual'!D29,0))+parametros_manuales!$F$22*('Plan mensual'!D26+IF(parametros_manuales!$H$22="Todos",'Plan mensual'!D30,0))+parametros_manuales!$G$22*('Plan mensual'!D27+IF(parametros_manuales!$H$22="Todos",'Plan mensual'!D31,0)))*parametros_manuales!$I$22*parametros_manuales!$J$22</f>
        <v>5168.5363476</v>
      </c>
      <c r="C59" s="9" t="n">
        <f aca="false">(parametros_manuales!$D$22*('Plan mensual'!E24+IF(parametros_manuales!$H$22="Todos",'Plan mensual'!E28,0))+parametros_manuales!$E$22*('Plan mensual'!E25+IF(parametros_manuales!$H$22="Todos",'Plan mensual'!E29,0))+parametros_manuales!$F$22*('Plan mensual'!E26+IF(parametros_manuales!$H$22="Todos",'Plan mensual'!E30,0))+parametros_manuales!$G$22*('Plan mensual'!E27+IF(parametros_manuales!$H$22="Todos",'Plan mensual'!E31,0)))*parametros_manuales!$I$22*parametros_manuales!$J$22</f>
        <v>3960.659304984</v>
      </c>
      <c r="D59" s="9" t="n">
        <f aca="false">(parametros_manuales!$D$22*('Plan mensual'!F24+IF(parametros_manuales!$H$22="Todos",'Plan mensual'!F28,0))+parametros_manuales!$E$22*('Plan mensual'!F25+IF(parametros_manuales!$H$22="Todos",'Plan mensual'!F29,0))+parametros_manuales!$F$22*('Plan mensual'!F26+IF(parametros_manuales!$H$22="Todos",'Plan mensual'!F30,0))+parametros_manuales!$G$22*('Plan mensual'!F27+IF(parametros_manuales!$H$22="Todos",'Plan mensual'!F31,0)))*parametros_manuales!$I$22*parametros_manuales!$J$22</f>
        <v>3754.633394108</v>
      </c>
      <c r="E59" s="9" t="n">
        <f aca="false">(parametros_manuales!$D$22*('Plan mensual'!G24+IF(parametros_manuales!$H$22="Todos",'Plan mensual'!G28,0))+parametros_manuales!$E$22*('Plan mensual'!G25+IF(parametros_manuales!$H$22="Todos",'Plan mensual'!G29,0))+parametros_manuales!$F$22*('Plan mensual'!G26+IF(parametros_manuales!$H$22="Todos",'Plan mensual'!G30,0))+parametros_manuales!$G$22*('Plan mensual'!G27+IF(parametros_manuales!$H$22="Todos",'Plan mensual'!G31,0)))*parametros_manuales!$I$22*parametros_manuales!$J$22</f>
        <v>3609.491916528</v>
      </c>
      <c r="F59" s="9" t="n">
        <f aca="false">(parametros_manuales!$D$22*('Plan mensual'!H24+IF(parametros_manuales!$H$22="Todos",'Plan mensual'!H28,0))+parametros_manuales!$E$22*('Plan mensual'!H25+IF(parametros_manuales!$H$22="Todos",'Plan mensual'!H29,0))+parametros_manuales!$F$22*('Plan mensual'!H26+IF(parametros_manuales!$H$22="Todos",'Plan mensual'!H30,0))+parametros_manuales!$G$22*('Plan mensual'!H27+IF(parametros_manuales!$H$22="Todos",'Plan mensual'!H31,0)))*parametros_manuales!$I$22*parametros_manuales!$J$22</f>
        <v>3380.093394664</v>
      </c>
      <c r="G59" s="9" t="n">
        <f aca="false">(parametros_manuales!$D$22*('Plan mensual'!I24+IF(parametros_manuales!$H$22="Todos",'Plan mensual'!I28,0))+parametros_manuales!$E$22*('Plan mensual'!I25+IF(parametros_manuales!$H$22="Todos",'Plan mensual'!I29,0))+parametros_manuales!$F$22*('Plan mensual'!I26+IF(parametros_manuales!$H$22="Todos",'Plan mensual'!I30,0))+parametros_manuales!$G$22*('Plan mensual'!I27+IF(parametros_manuales!$H$22="Todos",'Plan mensual'!I31,0)))*parametros_manuales!$I$22*parametros_manuales!$J$22</f>
        <v>3295.83635038</v>
      </c>
      <c r="H59" s="9" t="n">
        <f aca="false">(parametros_manuales!$D$22*('Plan mensual'!J24+IF(parametros_manuales!$H$22="Todos",'Plan mensual'!J28,0))+parametros_manuales!$E$22*('Plan mensual'!J25+IF(parametros_manuales!$H$22="Todos",'Plan mensual'!J29,0))+parametros_manuales!$F$22*('Plan mensual'!J26+IF(parametros_manuales!$H$22="Todos",'Plan mensual'!J30,0))+parametros_manuales!$G$22*('Plan mensual'!J27+IF(parametros_manuales!$H$22="Todos",'Plan mensual'!J31,0)))*parametros_manuales!$I$22*parametros_manuales!$J$22</f>
        <v>3525.234872244</v>
      </c>
      <c r="I59" s="9" t="n">
        <f aca="false">(parametros_manuales!$D$22*('Plan mensual'!K24+IF(parametros_manuales!$H$22="Todos",'Plan mensual'!K28,0))+parametros_manuales!$E$22*('Plan mensual'!K25+IF(parametros_manuales!$H$22="Todos",'Plan mensual'!K29,0))+parametros_manuales!$F$22*('Plan mensual'!K26+IF(parametros_manuales!$H$22="Todos",'Plan mensual'!K30,0))+parametros_manuales!$G$22*('Plan mensual'!K27+IF(parametros_manuales!$H$22="Todos",'Plan mensual'!K31,0)))*parametros_manuales!$I$22*parametros_manuales!$J$22</f>
        <v>3525.234872244</v>
      </c>
      <c r="J59" s="9" t="n">
        <f aca="false">(parametros_manuales!$D$22*('Plan mensual'!L24+IF(parametros_manuales!$H$22="Todos",'Plan mensual'!L28,0))+parametros_manuales!$E$22*('Plan mensual'!L25+IF(parametros_manuales!$H$22="Todos",'Plan mensual'!L29,0))+parametros_manuales!$F$22*('Plan mensual'!L26+IF(parametros_manuales!$H$22="Todos",'Plan mensual'!L30,0))+parametros_manuales!$G$22*('Plan mensual'!L27+IF(parametros_manuales!$H$22="Todos",'Plan mensual'!L31,0)))*parametros_manuales!$I$22*parametros_manuales!$J$22</f>
        <v>3525.234872244</v>
      </c>
      <c r="K59" s="9" t="n">
        <f aca="false">(parametros_manuales!$D$22*('Plan mensual'!M24+IF(parametros_manuales!$H$22="Todos",'Plan mensual'!M28,0))+parametros_manuales!$E$22*('Plan mensual'!M25+IF(parametros_manuales!$H$22="Todos",'Plan mensual'!M29,0))+parametros_manuales!$F$22*('Plan mensual'!M26+IF(parametros_manuales!$H$22="Todos",'Plan mensual'!M30,0))+parametros_manuales!$G$22*('Plan mensual'!M27+IF(parametros_manuales!$H$22="Todos",'Plan mensual'!M31,0)))*parametros_manuales!$I$22*parametros_manuales!$J$22</f>
        <v>3440.97782796</v>
      </c>
      <c r="L59" s="9" t="n">
        <f aca="false">(parametros_manuales!$D$22*('Plan mensual'!N24+IF(parametros_manuales!$H$22="Todos",'Plan mensual'!N28,0))+parametros_manuales!$E$22*('Plan mensual'!N25+IF(parametros_manuales!$H$22="Todos",'Plan mensual'!N29,0))+parametros_manuales!$F$22*('Plan mensual'!N26+IF(parametros_manuales!$H$22="Todos",'Plan mensual'!N30,0))+parametros_manuales!$G$22*('Plan mensual'!N27+IF(parametros_manuales!$H$22="Todos",'Plan mensual'!N31,0)))*parametros_manuales!$I$22*parametros_manuales!$J$22</f>
        <v>3356.720783676</v>
      </c>
      <c r="M59" s="9" t="n">
        <f aca="false">(parametros_manuales!$D$22*('Plan mensual'!O24+IF(parametros_manuales!$H$22="Todos",'Plan mensual'!O28,0))+parametros_manuales!$E$22*('Plan mensual'!O25+IF(parametros_manuales!$H$22="Todos",'Plan mensual'!O29,0))+parametros_manuales!$F$22*('Plan mensual'!O26+IF(parametros_manuales!$H$22="Todos",'Plan mensual'!O30,0))+parametros_manuales!$G$22*('Plan mensual'!O27+IF(parametros_manuales!$H$22="Todos",'Plan mensual'!O31,0)))*parametros_manuales!$I$22*parametros_manuales!$J$22</f>
        <v>5337.050436168</v>
      </c>
      <c r="N59" s="9" t="n">
        <f aca="false">SUM(B59:M59)</f>
        <v>45879.7043728</v>
      </c>
      <c r="O59" s="9" t="n">
        <f aca="false">MAX(B59:M59)</f>
        <v>5337.050436168</v>
      </c>
      <c r="P59" s="43" t="n">
        <f aca="false">O59/(parametros_manuales!$B$7)</f>
        <v>35.58033624112</v>
      </c>
      <c r="Q59" s="8" t="str">
        <f aca="false">IF(O59=0,"-",INDEX($B$55:$M$55,MATCH(O59,B59:M59,0)))</f>
        <v>Dic</v>
      </c>
    </row>
    <row r="60" customFormat="false" ht="14.25" hidden="false" customHeight="true" outlineLevel="0" collapsed="false">
      <c r="A60" s="8" t="str">
        <f aca="false">parametros_manuales!$B$23</f>
        <v>Preparación de cuello</v>
      </c>
      <c r="B60" s="9" t="n">
        <f aca="false">(parametros_manuales!$D$23*('Plan mensual'!D24+IF(parametros_manuales!$H$23="Todos",'Plan mensual'!D28,0))+parametros_manuales!$E$23*('Plan mensual'!D25+IF(parametros_manuales!$H$23="Todos",'Plan mensual'!D29,0))+parametros_manuales!$F$23*('Plan mensual'!D26+IF(parametros_manuales!$H$23="Todos",'Plan mensual'!D30,0))+parametros_manuales!$G$23*('Plan mensual'!D27+IF(parametros_manuales!$H$23="Todos",'Plan mensual'!D31,0)))*parametros_manuales!$I$23*parametros_manuales!$J$23</f>
        <v>2584.2681738</v>
      </c>
      <c r="C60" s="9" t="n">
        <f aca="false">(parametros_manuales!$D$23*('Plan mensual'!E24+IF(parametros_manuales!$H$23="Todos",'Plan mensual'!E28,0))+parametros_manuales!$E$23*('Plan mensual'!E25+IF(parametros_manuales!$H$23="Todos",'Plan mensual'!E29,0))+parametros_manuales!$F$23*('Plan mensual'!E26+IF(parametros_manuales!$H$23="Todos",'Plan mensual'!E30,0))+parametros_manuales!$G$23*('Plan mensual'!E27+IF(parametros_manuales!$H$23="Todos",'Plan mensual'!E31,0)))*parametros_manuales!$I$23*parametros_manuales!$J$23</f>
        <v>1980.329652492</v>
      </c>
      <c r="D60" s="9" t="n">
        <f aca="false">(parametros_manuales!$D$23*('Plan mensual'!F24+IF(parametros_manuales!$H$23="Todos",'Plan mensual'!F28,0))+parametros_manuales!$E$23*('Plan mensual'!F25+IF(parametros_manuales!$H$23="Todos",'Plan mensual'!F29,0))+parametros_manuales!$F$23*('Plan mensual'!F26+IF(parametros_manuales!$H$23="Todos",'Plan mensual'!F30,0))+parametros_manuales!$G$23*('Plan mensual'!F27+IF(parametros_manuales!$H$23="Todos",'Plan mensual'!F31,0)))*parametros_manuales!$I$23*parametros_manuales!$J$23</f>
        <v>1877.316697054</v>
      </c>
      <c r="E60" s="9" t="n">
        <f aca="false">(parametros_manuales!$D$23*('Plan mensual'!G24+IF(parametros_manuales!$H$23="Todos",'Plan mensual'!G28,0))+parametros_manuales!$E$23*('Plan mensual'!G25+IF(parametros_manuales!$H$23="Todos",'Plan mensual'!G29,0))+parametros_manuales!$F$23*('Plan mensual'!G26+IF(parametros_manuales!$H$23="Todos",'Plan mensual'!G30,0))+parametros_manuales!$G$23*('Plan mensual'!G27+IF(parametros_manuales!$H$23="Todos",'Plan mensual'!G31,0)))*parametros_manuales!$I$23*parametros_manuales!$J$23</f>
        <v>1804.745958264</v>
      </c>
      <c r="F60" s="9" t="n">
        <f aca="false">(parametros_manuales!$D$23*('Plan mensual'!H24+IF(parametros_manuales!$H$23="Todos",'Plan mensual'!H28,0))+parametros_manuales!$E$23*('Plan mensual'!H25+IF(parametros_manuales!$H$23="Todos",'Plan mensual'!H29,0))+parametros_manuales!$F$23*('Plan mensual'!H26+IF(parametros_manuales!$H$23="Todos",'Plan mensual'!H30,0))+parametros_manuales!$G$23*('Plan mensual'!H27+IF(parametros_manuales!$H$23="Todos",'Plan mensual'!H31,0)))*parametros_manuales!$I$23*parametros_manuales!$J$23</f>
        <v>1690.046697332</v>
      </c>
      <c r="G60" s="9" t="n">
        <f aca="false">(parametros_manuales!$D$23*('Plan mensual'!I24+IF(parametros_manuales!$H$23="Todos",'Plan mensual'!I28,0))+parametros_manuales!$E$23*('Plan mensual'!I25+IF(parametros_manuales!$H$23="Todos",'Plan mensual'!I29,0))+parametros_manuales!$F$23*('Plan mensual'!I26+IF(parametros_manuales!$H$23="Todos",'Plan mensual'!I30,0))+parametros_manuales!$G$23*('Plan mensual'!I27+IF(parametros_manuales!$H$23="Todos",'Plan mensual'!I31,0)))*parametros_manuales!$I$23*parametros_manuales!$J$23</f>
        <v>1647.91817519</v>
      </c>
      <c r="H60" s="9" t="n">
        <f aca="false">(parametros_manuales!$D$23*('Plan mensual'!J24+IF(parametros_manuales!$H$23="Todos",'Plan mensual'!J28,0))+parametros_manuales!$E$23*('Plan mensual'!J25+IF(parametros_manuales!$H$23="Todos",'Plan mensual'!J29,0))+parametros_manuales!$F$23*('Plan mensual'!J26+IF(parametros_manuales!$H$23="Todos",'Plan mensual'!J30,0))+parametros_manuales!$G$23*('Plan mensual'!J27+IF(parametros_manuales!$H$23="Todos",'Plan mensual'!J31,0)))*parametros_manuales!$I$23*parametros_manuales!$J$23</f>
        <v>1762.617436122</v>
      </c>
      <c r="I60" s="9" t="n">
        <f aca="false">(parametros_manuales!$D$23*('Plan mensual'!K24+IF(parametros_manuales!$H$23="Todos",'Plan mensual'!K28,0))+parametros_manuales!$E$23*('Plan mensual'!K25+IF(parametros_manuales!$H$23="Todos",'Plan mensual'!K29,0))+parametros_manuales!$F$23*('Plan mensual'!K26+IF(parametros_manuales!$H$23="Todos",'Plan mensual'!K30,0))+parametros_manuales!$G$23*('Plan mensual'!K27+IF(parametros_manuales!$H$23="Todos",'Plan mensual'!K31,0)))*parametros_manuales!$I$23*parametros_manuales!$J$23</f>
        <v>1762.617436122</v>
      </c>
      <c r="J60" s="9" t="n">
        <f aca="false">(parametros_manuales!$D$23*('Plan mensual'!L24+IF(parametros_manuales!$H$23="Todos",'Plan mensual'!L28,0))+parametros_manuales!$E$23*('Plan mensual'!L25+IF(parametros_manuales!$H$23="Todos",'Plan mensual'!L29,0))+parametros_manuales!$F$23*('Plan mensual'!L26+IF(parametros_manuales!$H$23="Todos",'Plan mensual'!L30,0))+parametros_manuales!$G$23*('Plan mensual'!L27+IF(parametros_manuales!$H$23="Todos",'Plan mensual'!L31,0)))*parametros_manuales!$I$23*parametros_manuales!$J$23</f>
        <v>1762.617436122</v>
      </c>
      <c r="K60" s="9" t="n">
        <f aca="false">(parametros_manuales!$D$23*('Plan mensual'!M24+IF(parametros_manuales!$H$23="Todos",'Plan mensual'!M28,0))+parametros_manuales!$E$23*('Plan mensual'!M25+IF(parametros_manuales!$H$23="Todos",'Plan mensual'!M29,0))+parametros_manuales!$F$23*('Plan mensual'!M26+IF(parametros_manuales!$H$23="Todos",'Plan mensual'!M30,0))+parametros_manuales!$G$23*('Plan mensual'!M27+IF(parametros_manuales!$H$23="Todos",'Plan mensual'!M31,0)))*parametros_manuales!$I$23*parametros_manuales!$J$23</f>
        <v>1720.48891398</v>
      </c>
      <c r="L60" s="9" t="n">
        <f aca="false">(parametros_manuales!$D$23*('Plan mensual'!N24+IF(parametros_manuales!$H$23="Todos",'Plan mensual'!N28,0))+parametros_manuales!$E$23*('Plan mensual'!N25+IF(parametros_manuales!$H$23="Todos",'Plan mensual'!N29,0))+parametros_manuales!$F$23*('Plan mensual'!N26+IF(parametros_manuales!$H$23="Todos",'Plan mensual'!N30,0))+parametros_manuales!$G$23*('Plan mensual'!N27+IF(parametros_manuales!$H$23="Todos",'Plan mensual'!N31,0)))*parametros_manuales!$I$23*parametros_manuales!$J$23</f>
        <v>1678.360391838</v>
      </c>
      <c r="M60" s="9" t="n">
        <f aca="false">(parametros_manuales!$D$23*('Plan mensual'!O24+IF(parametros_manuales!$H$23="Todos",'Plan mensual'!O28,0))+parametros_manuales!$E$23*('Plan mensual'!O25+IF(parametros_manuales!$H$23="Todos",'Plan mensual'!O29,0))+parametros_manuales!$F$23*('Plan mensual'!O26+IF(parametros_manuales!$H$23="Todos",'Plan mensual'!O30,0))+parametros_manuales!$G$23*('Plan mensual'!O27+IF(parametros_manuales!$H$23="Todos",'Plan mensual'!O31,0)))*parametros_manuales!$I$23*parametros_manuales!$J$23</f>
        <v>2668.525218084</v>
      </c>
      <c r="N60" s="9" t="n">
        <f aca="false">SUM(B60:M60)</f>
        <v>22939.8521864</v>
      </c>
      <c r="O60" s="9" t="n">
        <f aca="false">MAX(B60:M60)</f>
        <v>2668.525218084</v>
      </c>
      <c r="P60" s="43" t="n">
        <f aca="false">O60/(parametros_manuales!$B$7)</f>
        <v>17.79016812056</v>
      </c>
      <c r="Q60" s="8" t="str">
        <f aca="false">IF(O60=0,"-",INDEX($B$55:$M$55,MATCH(O60,B60:M60,0)))</f>
        <v>Dic</v>
      </c>
    </row>
    <row r="61" customFormat="false" ht="14.25" hidden="false" customHeight="true" outlineLevel="0" collapsed="false">
      <c r="A61" s="8" t="str">
        <f aca="false">parametros_manuales!$B$24</f>
        <v>Numerado de cúpula</v>
      </c>
      <c r="B61" s="9" t="n">
        <f aca="false">(parametros_manuales!$D$24*('Plan mensual'!D24+IF(parametros_manuales!$H$24="Todos",'Plan mensual'!D28,0))+parametros_manuales!$E$24*('Plan mensual'!D25+IF(parametros_manuales!$H$24="Todos",'Plan mensual'!D29,0))+parametros_manuales!$F$24*('Plan mensual'!D26+IF(parametros_manuales!$H$24="Todos",'Plan mensual'!D30,0))+parametros_manuales!$G$24*('Plan mensual'!D27+IF(parametros_manuales!$H$24="Todos",'Plan mensual'!D31,0)))*parametros_manuales!$I$24*parametros_manuales!$J$24</f>
        <v>2584.2681738</v>
      </c>
      <c r="C61" s="9" t="n">
        <f aca="false">(parametros_manuales!$D$24*('Plan mensual'!E24+IF(parametros_manuales!$H$24="Todos",'Plan mensual'!E28,0))+parametros_manuales!$E$24*('Plan mensual'!E25+IF(parametros_manuales!$H$24="Todos",'Plan mensual'!E29,0))+parametros_manuales!$F$24*('Plan mensual'!E26+IF(parametros_manuales!$H$24="Todos",'Plan mensual'!E30,0))+parametros_manuales!$G$24*('Plan mensual'!E27+IF(parametros_manuales!$H$24="Todos",'Plan mensual'!E31,0)))*parametros_manuales!$I$24*parametros_manuales!$J$24</f>
        <v>1980.329652492</v>
      </c>
      <c r="D61" s="9" t="n">
        <f aca="false">(parametros_manuales!$D$24*('Plan mensual'!F24+IF(parametros_manuales!$H$24="Todos",'Plan mensual'!F28,0))+parametros_manuales!$E$24*('Plan mensual'!F25+IF(parametros_manuales!$H$24="Todos",'Plan mensual'!F29,0))+parametros_manuales!$F$24*('Plan mensual'!F26+IF(parametros_manuales!$H$24="Todos",'Plan mensual'!F30,0))+parametros_manuales!$G$24*('Plan mensual'!F27+IF(parametros_manuales!$H$24="Todos",'Plan mensual'!F31,0)))*parametros_manuales!$I$24*parametros_manuales!$J$24</f>
        <v>1877.316697054</v>
      </c>
      <c r="E61" s="9" t="n">
        <f aca="false">(parametros_manuales!$D$24*('Plan mensual'!G24+IF(parametros_manuales!$H$24="Todos",'Plan mensual'!G28,0))+parametros_manuales!$E$24*('Plan mensual'!G25+IF(parametros_manuales!$H$24="Todos",'Plan mensual'!G29,0))+parametros_manuales!$F$24*('Plan mensual'!G26+IF(parametros_manuales!$H$24="Todos",'Plan mensual'!G30,0))+parametros_manuales!$G$24*('Plan mensual'!G27+IF(parametros_manuales!$H$24="Todos",'Plan mensual'!G31,0)))*parametros_manuales!$I$24*parametros_manuales!$J$24</f>
        <v>1804.745958264</v>
      </c>
      <c r="F61" s="9" t="n">
        <f aca="false">(parametros_manuales!$D$24*('Plan mensual'!H24+IF(parametros_manuales!$H$24="Todos",'Plan mensual'!H28,0))+parametros_manuales!$E$24*('Plan mensual'!H25+IF(parametros_manuales!$H$24="Todos",'Plan mensual'!H29,0))+parametros_manuales!$F$24*('Plan mensual'!H26+IF(parametros_manuales!$H$24="Todos",'Plan mensual'!H30,0))+parametros_manuales!$G$24*('Plan mensual'!H27+IF(parametros_manuales!$H$24="Todos",'Plan mensual'!H31,0)))*parametros_manuales!$I$24*parametros_manuales!$J$24</f>
        <v>1690.046697332</v>
      </c>
      <c r="G61" s="9" t="n">
        <f aca="false">(parametros_manuales!$D$24*('Plan mensual'!I24+IF(parametros_manuales!$H$24="Todos",'Plan mensual'!I28,0))+parametros_manuales!$E$24*('Plan mensual'!I25+IF(parametros_manuales!$H$24="Todos",'Plan mensual'!I29,0))+parametros_manuales!$F$24*('Plan mensual'!I26+IF(parametros_manuales!$H$24="Todos",'Plan mensual'!I30,0))+parametros_manuales!$G$24*('Plan mensual'!I27+IF(parametros_manuales!$H$24="Todos",'Plan mensual'!I31,0)))*parametros_manuales!$I$24*parametros_manuales!$J$24</f>
        <v>1647.91817519</v>
      </c>
      <c r="H61" s="9" t="n">
        <f aca="false">(parametros_manuales!$D$24*('Plan mensual'!J24+IF(parametros_manuales!$H$24="Todos",'Plan mensual'!J28,0))+parametros_manuales!$E$24*('Plan mensual'!J25+IF(parametros_manuales!$H$24="Todos",'Plan mensual'!J29,0))+parametros_manuales!$F$24*('Plan mensual'!J26+IF(parametros_manuales!$H$24="Todos",'Plan mensual'!J30,0))+parametros_manuales!$G$24*('Plan mensual'!J27+IF(parametros_manuales!$H$24="Todos",'Plan mensual'!J31,0)))*parametros_manuales!$I$24*parametros_manuales!$J$24</f>
        <v>1762.617436122</v>
      </c>
      <c r="I61" s="9" t="n">
        <f aca="false">(parametros_manuales!$D$24*('Plan mensual'!K24+IF(parametros_manuales!$H$24="Todos",'Plan mensual'!K28,0))+parametros_manuales!$E$24*('Plan mensual'!K25+IF(parametros_manuales!$H$24="Todos",'Plan mensual'!K29,0))+parametros_manuales!$F$24*('Plan mensual'!K26+IF(parametros_manuales!$H$24="Todos",'Plan mensual'!K30,0))+parametros_manuales!$G$24*('Plan mensual'!K27+IF(parametros_manuales!$H$24="Todos",'Plan mensual'!K31,0)))*parametros_manuales!$I$24*parametros_manuales!$J$24</f>
        <v>1762.617436122</v>
      </c>
      <c r="J61" s="9" t="n">
        <f aca="false">(parametros_manuales!$D$24*('Plan mensual'!L24+IF(parametros_manuales!$H$24="Todos",'Plan mensual'!L28,0))+parametros_manuales!$E$24*('Plan mensual'!L25+IF(parametros_manuales!$H$24="Todos",'Plan mensual'!L29,0))+parametros_manuales!$F$24*('Plan mensual'!L26+IF(parametros_manuales!$H$24="Todos",'Plan mensual'!L30,0))+parametros_manuales!$G$24*('Plan mensual'!L27+IF(parametros_manuales!$H$24="Todos",'Plan mensual'!L31,0)))*parametros_manuales!$I$24*parametros_manuales!$J$24</f>
        <v>1762.617436122</v>
      </c>
      <c r="K61" s="9" t="n">
        <f aca="false">(parametros_manuales!$D$24*('Plan mensual'!M24+IF(parametros_manuales!$H$24="Todos",'Plan mensual'!M28,0))+parametros_manuales!$E$24*('Plan mensual'!M25+IF(parametros_manuales!$H$24="Todos",'Plan mensual'!M29,0))+parametros_manuales!$F$24*('Plan mensual'!M26+IF(parametros_manuales!$H$24="Todos",'Plan mensual'!M30,0))+parametros_manuales!$G$24*('Plan mensual'!M27+IF(parametros_manuales!$H$24="Todos",'Plan mensual'!M31,0)))*parametros_manuales!$I$24*parametros_manuales!$J$24</f>
        <v>1720.48891398</v>
      </c>
      <c r="L61" s="9" t="n">
        <f aca="false">(parametros_manuales!$D$24*('Plan mensual'!N24+IF(parametros_manuales!$H$24="Todos",'Plan mensual'!N28,0))+parametros_manuales!$E$24*('Plan mensual'!N25+IF(parametros_manuales!$H$24="Todos",'Plan mensual'!N29,0))+parametros_manuales!$F$24*('Plan mensual'!N26+IF(parametros_manuales!$H$24="Todos",'Plan mensual'!N30,0))+parametros_manuales!$G$24*('Plan mensual'!N27+IF(parametros_manuales!$H$24="Todos",'Plan mensual'!N31,0)))*parametros_manuales!$I$24*parametros_manuales!$J$24</f>
        <v>1678.360391838</v>
      </c>
      <c r="M61" s="9" t="n">
        <f aca="false">(parametros_manuales!$D$24*('Plan mensual'!O24+IF(parametros_manuales!$H$24="Todos",'Plan mensual'!O28,0))+parametros_manuales!$E$24*('Plan mensual'!O25+IF(parametros_manuales!$H$24="Todos",'Plan mensual'!O29,0))+parametros_manuales!$F$24*('Plan mensual'!O26+IF(parametros_manuales!$H$24="Todos",'Plan mensual'!O30,0))+parametros_manuales!$G$24*('Plan mensual'!O27+IF(parametros_manuales!$H$24="Todos",'Plan mensual'!O31,0)))*parametros_manuales!$I$24*parametros_manuales!$J$24</f>
        <v>2668.525218084</v>
      </c>
      <c r="N61" s="9" t="n">
        <f aca="false">SUM(B61:M61)</f>
        <v>22939.8521864</v>
      </c>
      <c r="O61" s="9" t="n">
        <f aca="false">MAX(B61:M61)</f>
        <v>2668.525218084</v>
      </c>
      <c r="P61" s="43" t="n">
        <f aca="false">O61/(parametros_manuales!$B$7)</f>
        <v>17.79016812056</v>
      </c>
      <c r="Q61" s="8" t="str">
        <f aca="false">IF(O61=0,"-",INDEX($B$55:$M$55,MATCH(O61,B61:M61,0)))</f>
        <v>Dic</v>
      </c>
    </row>
    <row r="62" customFormat="false" ht="14.25" hidden="false" customHeight="true" outlineLevel="0" collapsed="false">
      <c r="A62" s="8" t="str">
        <f aca="false">parametros_manuales!$B$25</f>
        <v>Soldadura del cuello a la cúpula</v>
      </c>
      <c r="B62" s="9" t="n">
        <f aca="false">(parametros_manuales!$D$25*('Plan mensual'!D24+IF(parametros_manuales!$H$25="Todos",'Plan mensual'!D28,0))+parametros_manuales!$E$25*('Plan mensual'!D25+IF(parametros_manuales!$H$25="Todos",'Plan mensual'!D29,0))+parametros_manuales!$F$25*('Plan mensual'!D26+IF(parametros_manuales!$H$25="Todos",'Plan mensual'!D30,0))+parametros_manuales!$G$25*('Plan mensual'!D27+IF(parametros_manuales!$H$25="Todos",'Plan mensual'!D31,0)))*parametros_manuales!$I$25*parametros_manuales!$J$25</f>
        <v>2584.2681738</v>
      </c>
      <c r="C62" s="9" t="n">
        <f aca="false">(parametros_manuales!$D$25*('Plan mensual'!E24+IF(parametros_manuales!$H$25="Todos",'Plan mensual'!E28,0))+parametros_manuales!$E$25*('Plan mensual'!E25+IF(parametros_manuales!$H$25="Todos",'Plan mensual'!E29,0))+parametros_manuales!$F$25*('Plan mensual'!E26+IF(parametros_manuales!$H$25="Todos",'Plan mensual'!E30,0))+parametros_manuales!$G$25*('Plan mensual'!E27+IF(parametros_manuales!$H$25="Todos",'Plan mensual'!E31,0)))*parametros_manuales!$I$25*parametros_manuales!$J$25</f>
        <v>1980.329652492</v>
      </c>
      <c r="D62" s="9" t="n">
        <f aca="false">(parametros_manuales!$D$25*('Plan mensual'!F24+IF(parametros_manuales!$H$25="Todos",'Plan mensual'!F28,0))+parametros_manuales!$E$25*('Plan mensual'!F25+IF(parametros_manuales!$H$25="Todos",'Plan mensual'!F29,0))+parametros_manuales!$F$25*('Plan mensual'!F26+IF(parametros_manuales!$H$25="Todos",'Plan mensual'!F30,0))+parametros_manuales!$G$25*('Plan mensual'!F27+IF(parametros_manuales!$H$25="Todos",'Plan mensual'!F31,0)))*parametros_manuales!$I$25*parametros_manuales!$J$25</f>
        <v>1877.316697054</v>
      </c>
      <c r="E62" s="9" t="n">
        <f aca="false">(parametros_manuales!$D$25*('Plan mensual'!G24+IF(parametros_manuales!$H$25="Todos",'Plan mensual'!G28,0))+parametros_manuales!$E$25*('Plan mensual'!G25+IF(parametros_manuales!$H$25="Todos",'Plan mensual'!G29,0))+parametros_manuales!$F$25*('Plan mensual'!G26+IF(parametros_manuales!$H$25="Todos",'Plan mensual'!G30,0))+parametros_manuales!$G$25*('Plan mensual'!G27+IF(parametros_manuales!$H$25="Todos",'Plan mensual'!G31,0)))*parametros_manuales!$I$25*parametros_manuales!$J$25</f>
        <v>1804.745958264</v>
      </c>
      <c r="F62" s="9" t="n">
        <f aca="false">(parametros_manuales!$D$25*('Plan mensual'!H24+IF(parametros_manuales!$H$25="Todos",'Plan mensual'!H28,0))+parametros_manuales!$E$25*('Plan mensual'!H25+IF(parametros_manuales!$H$25="Todos",'Plan mensual'!H29,0))+parametros_manuales!$F$25*('Plan mensual'!H26+IF(parametros_manuales!$H$25="Todos",'Plan mensual'!H30,0))+parametros_manuales!$G$25*('Plan mensual'!H27+IF(parametros_manuales!$H$25="Todos",'Plan mensual'!H31,0)))*parametros_manuales!$I$25*parametros_manuales!$J$25</f>
        <v>1690.046697332</v>
      </c>
      <c r="G62" s="9" t="n">
        <f aca="false">(parametros_manuales!$D$25*('Plan mensual'!I24+IF(parametros_manuales!$H$25="Todos",'Plan mensual'!I28,0))+parametros_manuales!$E$25*('Plan mensual'!I25+IF(parametros_manuales!$H$25="Todos",'Plan mensual'!I29,0))+parametros_manuales!$F$25*('Plan mensual'!I26+IF(parametros_manuales!$H$25="Todos",'Plan mensual'!I30,0))+parametros_manuales!$G$25*('Plan mensual'!I27+IF(parametros_manuales!$H$25="Todos",'Plan mensual'!I31,0)))*parametros_manuales!$I$25*parametros_manuales!$J$25</f>
        <v>1647.91817519</v>
      </c>
      <c r="H62" s="9" t="n">
        <f aca="false">(parametros_manuales!$D$25*('Plan mensual'!J24+IF(parametros_manuales!$H$25="Todos",'Plan mensual'!J28,0))+parametros_manuales!$E$25*('Plan mensual'!J25+IF(parametros_manuales!$H$25="Todos",'Plan mensual'!J29,0))+parametros_manuales!$F$25*('Plan mensual'!J26+IF(parametros_manuales!$H$25="Todos",'Plan mensual'!J30,0))+parametros_manuales!$G$25*('Plan mensual'!J27+IF(parametros_manuales!$H$25="Todos",'Plan mensual'!J31,0)))*parametros_manuales!$I$25*parametros_manuales!$J$25</f>
        <v>1762.617436122</v>
      </c>
      <c r="I62" s="9" t="n">
        <f aca="false">(parametros_manuales!$D$25*('Plan mensual'!K24+IF(parametros_manuales!$H$25="Todos",'Plan mensual'!K28,0))+parametros_manuales!$E$25*('Plan mensual'!K25+IF(parametros_manuales!$H$25="Todos",'Plan mensual'!K29,0))+parametros_manuales!$F$25*('Plan mensual'!K26+IF(parametros_manuales!$H$25="Todos",'Plan mensual'!K30,0))+parametros_manuales!$G$25*('Plan mensual'!K27+IF(parametros_manuales!$H$25="Todos",'Plan mensual'!K31,0)))*parametros_manuales!$I$25*parametros_manuales!$J$25</f>
        <v>1762.617436122</v>
      </c>
      <c r="J62" s="9" t="n">
        <f aca="false">(parametros_manuales!$D$25*('Plan mensual'!L24+IF(parametros_manuales!$H$25="Todos",'Plan mensual'!L28,0))+parametros_manuales!$E$25*('Plan mensual'!L25+IF(parametros_manuales!$H$25="Todos",'Plan mensual'!L29,0))+parametros_manuales!$F$25*('Plan mensual'!L26+IF(parametros_manuales!$H$25="Todos",'Plan mensual'!L30,0))+parametros_manuales!$G$25*('Plan mensual'!L27+IF(parametros_manuales!$H$25="Todos",'Plan mensual'!L31,0)))*parametros_manuales!$I$25*parametros_manuales!$J$25</f>
        <v>1762.617436122</v>
      </c>
      <c r="K62" s="9" t="n">
        <f aca="false">(parametros_manuales!$D$25*('Plan mensual'!M24+IF(parametros_manuales!$H$25="Todos",'Plan mensual'!M28,0))+parametros_manuales!$E$25*('Plan mensual'!M25+IF(parametros_manuales!$H$25="Todos",'Plan mensual'!M29,0))+parametros_manuales!$F$25*('Plan mensual'!M26+IF(parametros_manuales!$H$25="Todos",'Plan mensual'!M30,0))+parametros_manuales!$G$25*('Plan mensual'!M27+IF(parametros_manuales!$H$25="Todos",'Plan mensual'!M31,0)))*parametros_manuales!$I$25*parametros_manuales!$J$25</f>
        <v>1720.48891398</v>
      </c>
      <c r="L62" s="9" t="n">
        <f aca="false">(parametros_manuales!$D$25*('Plan mensual'!N24+IF(parametros_manuales!$H$25="Todos",'Plan mensual'!N28,0))+parametros_manuales!$E$25*('Plan mensual'!N25+IF(parametros_manuales!$H$25="Todos",'Plan mensual'!N29,0))+parametros_manuales!$F$25*('Plan mensual'!N26+IF(parametros_manuales!$H$25="Todos",'Plan mensual'!N30,0))+parametros_manuales!$G$25*('Plan mensual'!N27+IF(parametros_manuales!$H$25="Todos",'Plan mensual'!N31,0)))*parametros_manuales!$I$25*parametros_manuales!$J$25</f>
        <v>1678.360391838</v>
      </c>
      <c r="M62" s="9" t="n">
        <f aca="false">(parametros_manuales!$D$25*('Plan mensual'!O24+IF(parametros_manuales!$H$25="Todos",'Plan mensual'!O28,0))+parametros_manuales!$E$25*('Plan mensual'!O25+IF(parametros_manuales!$H$25="Todos",'Plan mensual'!O29,0))+parametros_manuales!$F$25*('Plan mensual'!O26+IF(parametros_manuales!$H$25="Todos",'Plan mensual'!O30,0))+parametros_manuales!$G$25*('Plan mensual'!O27+IF(parametros_manuales!$H$25="Todos",'Plan mensual'!O31,0)))*parametros_manuales!$I$25*parametros_manuales!$J$25</f>
        <v>2668.525218084</v>
      </c>
      <c r="N62" s="9" t="n">
        <f aca="false">SUM(B62:M62)</f>
        <v>22939.8521864</v>
      </c>
      <c r="O62" s="9" t="n">
        <f aca="false">MAX(B62:M62)</f>
        <v>2668.525218084</v>
      </c>
      <c r="P62" s="43" t="n">
        <f aca="false">O62/(parametros_manuales!$B$7)</f>
        <v>17.79016812056</v>
      </c>
      <c r="Q62" s="8" t="str">
        <f aca="false">IF(O62=0,"-",INDEX($B$55:$M$55,MATCH(O62,B62:M62,0)))</f>
        <v>Dic</v>
      </c>
    </row>
    <row r="63" customFormat="false" ht="14.25" hidden="false" customHeight="true" outlineLevel="0" collapsed="false">
      <c r="A63" s="8" t="str">
        <f aca="false">parametros_manuales!$B$26</f>
        <v>Cilindrado</v>
      </c>
      <c r="B63" s="9" t="n">
        <f aca="false">(parametros_manuales!$D$26*('Plan mensual'!D24+IF(parametros_manuales!$H$26="Todos",'Plan mensual'!D28,0))+parametros_manuales!$E$26*('Plan mensual'!D25+IF(parametros_manuales!$H$26="Todos",'Plan mensual'!D29,0))+parametros_manuales!$F$26*('Plan mensual'!D26+IF(parametros_manuales!$H$26="Todos",'Plan mensual'!D30,0))+parametros_manuales!$G$26*('Plan mensual'!D27+IF(parametros_manuales!$H$26="Todos",'Plan mensual'!D31,0)))*parametros_manuales!$I$26*parametros_manuales!$J$26</f>
        <v>842.57044284</v>
      </c>
      <c r="C63" s="9" t="n">
        <f aca="false">(parametros_manuales!$D$26*('Plan mensual'!E24+IF(parametros_manuales!$H$26="Todos",'Plan mensual'!E28,0))+parametros_manuales!$E$26*('Plan mensual'!E25+IF(parametros_manuales!$H$26="Todos",'Plan mensual'!E29,0))+parametros_manuales!$F$26*('Plan mensual'!E26+IF(parametros_manuales!$H$26="Todos",'Plan mensual'!E30,0))+parametros_manuales!$G$26*('Plan mensual'!E27+IF(parametros_manuales!$H$26="Todos",'Plan mensual'!E31,0)))*parametros_manuales!$I$26*parametros_manuales!$J$26</f>
        <v>674.056354272</v>
      </c>
      <c r="D63" s="9" t="n">
        <f aca="false">(parametros_manuales!$D$26*('Plan mensual'!F24+IF(parametros_manuales!$H$26="Todos",'Plan mensual'!F28,0))+parametros_manuales!$E$26*('Plan mensual'!F25+IF(parametros_manuales!$H$26="Todos",'Plan mensual'!F29,0))+parametros_manuales!$F$26*('Plan mensual'!F26+IF(parametros_manuales!$H$26="Todos",'Plan mensual'!F30,0))+parametros_manuales!$G$26*('Plan mensual'!F27+IF(parametros_manuales!$H$26="Todos",'Plan mensual'!F31,0)))*parametros_manuales!$I$26*parametros_manuales!$J$26</f>
        <v>716.184876414</v>
      </c>
      <c r="E63" s="9" t="n">
        <f aca="false">(parametros_manuales!$D$26*('Plan mensual'!G24+IF(parametros_manuales!$H$26="Todos",'Plan mensual'!G28,0))+parametros_manuales!$E$26*('Plan mensual'!G25+IF(parametros_manuales!$H$26="Todos",'Plan mensual'!G29,0))+parametros_manuales!$F$26*('Plan mensual'!G26+IF(parametros_manuales!$H$26="Todos",'Plan mensual'!G30,0))+parametros_manuales!$G$26*('Plan mensual'!G27+IF(parametros_manuales!$H$26="Todos",'Plan mensual'!G31,0)))*parametros_manuales!$I$26*parametros_manuales!$J$26</f>
        <v>716.184876414</v>
      </c>
      <c r="F63" s="9" t="n">
        <f aca="false">(parametros_manuales!$D$26*('Plan mensual'!H24+IF(parametros_manuales!$H$26="Todos",'Plan mensual'!H28,0))+parametros_manuales!$E$26*('Plan mensual'!H25+IF(parametros_manuales!$H$26="Todos",'Plan mensual'!H29,0))+parametros_manuales!$F$26*('Plan mensual'!H26+IF(parametros_manuales!$H$26="Todos",'Plan mensual'!H30,0))+parametros_manuales!$G$26*('Plan mensual'!H27+IF(parametros_manuales!$H$26="Todos",'Plan mensual'!H31,0)))*parametros_manuales!$I$26*parametros_manuales!$J$26</f>
        <v>674.056354272</v>
      </c>
      <c r="G63" s="9" t="n">
        <f aca="false">(parametros_manuales!$D$26*('Plan mensual'!I24+IF(parametros_manuales!$H$26="Todos",'Plan mensual'!I28,0))+parametros_manuales!$E$26*('Plan mensual'!I25+IF(parametros_manuales!$H$26="Todos",'Plan mensual'!I29,0))+parametros_manuales!$F$26*('Plan mensual'!I26+IF(parametros_manuales!$H$26="Todos",'Plan mensual'!I30,0))+parametros_manuales!$G$26*('Plan mensual'!I27+IF(parametros_manuales!$H$26="Todos",'Plan mensual'!I31,0)))*parametros_manuales!$I$26*parametros_manuales!$J$26</f>
        <v>631.92783213</v>
      </c>
      <c r="H63" s="9" t="n">
        <f aca="false">(parametros_manuales!$D$26*('Plan mensual'!J24+IF(parametros_manuales!$H$26="Todos",'Plan mensual'!J28,0))+parametros_manuales!$E$26*('Plan mensual'!J25+IF(parametros_manuales!$H$26="Todos",'Plan mensual'!J29,0))+parametros_manuales!$F$26*('Plan mensual'!J26+IF(parametros_manuales!$H$26="Todos",'Plan mensual'!J30,0))+parametros_manuales!$G$26*('Plan mensual'!J27+IF(parametros_manuales!$H$26="Todos",'Plan mensual'!J31,0)))*parametros_manuales!$I$26*parametros_manuales!$J$26</f>
        <v>674.056354272</v>
      </c>
      <c r="I63" s="9" t="n">
        <f aca="false">(parametros_manuales!$D$26*('Plan mensual'!K24+IF(parametros_manuales!$H$26="Todos",'Plan mensual'!K28,0))+parametros_manuales!$E$26*('Plan mensual'!K25+IF(parametros_manuales!$H$26="Todos",'Plan mensual'!K29,0))+parametros_manuales!$F$26*('Plan mensual'!K26+IF(parametros_manuales!$H$26="Todos",'Plan mensual'!K30,0))+parametros_manuales!$G$26*('Plan mensual'!K27+IF(parametros_manuales!$H$26="Todos",'Plan mensual'!K31,0)))*parametros_manuales!$I$26*parametros_manuales!$J$26</f>
        <v>674.056354272</v>
      </c>
      <c r="J63" s="9" t="n">
        <f aca="false">(parametros_manuales!$D$26*('Plan mensual'!L24+IF(parametros_manuales!$H$26="Todos",'Plan mensual'!L28,0))+parametros_manuales!$E$26*('Plan mensual'!L25+IF(parametros_manuales!$H$26="Todos",'Plan mensual'!L29,0))+parametros_manuales!$F$26*('Plan mensual'!L26+IF(parametros_manuales!$H$26="Todos",'Plan mensual'!L30,0))+parametros_manuales!$G$26*('Plan mensual'!L27+IF(parametros_manuales!$H$26="Todos",'Plan mensual'!L31,0)))*parametros_manuales!$I$26*parametros_manuales!$J$26</f>
        <v>674.056354272</v>
      </c>
      <c r="K63" s="9" t="n">
        <f aca="false">(parametros_manuales!$D$26*('Plan mensual'!M24+IF(parametros_manuales!$H$26="Todos",'Plan mensual'!M28,0))+parametros_manuales!$E$26*('Plan mensual'!M25+IF(parametros_manuales!$H$26="Todos",'Plan mensual'!M29,0))+parametros_manuales!$F$26*('Plan mensual'!M26+IF(parametros_manuales!$H$26="Todos",'Plan mensual'!M30,0))+parametros_manuales!$G$26*('Plan mensual'!M27+IF(parametros_manuales!$H$26="Todos",'Plan mensual'!M31,0)))*parametros_manuales!$I$26*parametros_manuales!$J$26</f>
        <v>631.92783213</v>
      </c>
      <c r="L63" s="9" t="n">
        <f aca="false">(parametros_manuales!$D$26*('Plan mensual'!N24+IF(parametros_manuales!$H$26="Todos",'Plan mensual'!N28,0))+parametros_manuales!$E$26*('Plan mensual'!N25+IF(parametros_manuales!$H$26="Todos",'Plan mensual'!N29,0))+parametros_manuales!$F$26*('Plan mensual'!N26+IF(parametros_manuales!$H$26="Todos",'Plan mensual'!N30,0))+parametros_manuales!$G$26*('Plan mensual'!N27+IF(parametros_manuales!$H$26="Todos",'Plan mensual'!N31,0)))*parametros_manuales!$I$26*parametros_manuales!$J$26</f>
        <v>589.799309988</v>
      </c>
      <c r="M63" s="9" t="n">
        <f aca="false">(parametros_manuales!$D$26*('Plan mensual'!O24+IF(parametros_manuales!$H$26="Todos",'Plan mensual'!O28,0))+parametros_manuales!$E$26*('Plan mensual'!O25+IF(parametros_manuales!$H$26="Todos",'Plan mensual'!O29,0))+parametros_manuales!$F$26*('Plan mensual'!O26+IF(parametros_manuales!$H$26="Todos",'Plan mensual'!O30,0))+parametros_manuales!$G$26*('Plan mensual'!O27+IF(parametros_manuales!$H$26="Todos",'Plan mensual'!O31,0)))*parametros_manuales!$I$26*parametros_manuales!$J$26</f>
        <v>926.827487124</v>
      </c>
      <c r="N63" s="9" t="n">
        <f aca="false">SUM(B63:M63)</f>
        <v>8425.7044284</v>
      </c>
      <c r="O63" s="9" t="n">
        <f aca="false">MAX(B63:M63)</f>
        <v>926.827487124</v>
      </c>
      <c r="P63" s="43" t="n">
        <f aca="false">O63/(parametros_manuales!$B$7)</f>
        <v>6.17884991416</v>
      </c>
      <c r="Q63" s="8" t="str">
        <f aca="false">IF(O63=0,"-",INDEX($B$55:$M$55,MATCH(O63,B63:M63,0)))</f>
        <v>Dic</v>
      </c>
    </row>
    <row r="64" customFormat="false" ht="14.25" hidden="false" customHeight="true" outlineLevel="0" collapsed="false">
      <c r="A64" s="8" t="str">
        <f aca="false">parametros_manuales!$B$27</f>
        <v>Soldadura longitudinal</v>
      </c>
      <c r="B64" s="9" t="n">
        <f aca="false">(parametros_manuales!$D$27*('Plan mensual'!D24+IF(parametros_manuales!$H$27="Todos",'Plan mensual'!D28,0))+parametros_manuales!$E$27*('Plan mensual'!D25+IF(parametros_manuales!$H$27="Todos",'Plan mensual'!D29,0))+parametros_manuales!$F$27*('Plan mensual'!D26+IF(parametros_manuales!$H$27="Todos",'Plan mensual'!D30,0))+parametros_manuales!$G$27*('Plan mensual'!D27+IF(parametros_manuales!$H$27="Todos",'Plan mensual'!D31,0)))*parametros_manuales!$I$27*parametros_manuales!$J$27</f>
        <v>842.57044284</v>
      </c>
      <c r="C64" s="9" t="n">
        <f aca="false">(parametros_manuales!$D$27*('Plan mensual'!E24+IF(parametros_manuales!$H$27="Todos",'Plan mensual'!E28,0))+parametros_manuales!$E$27*('Plan mensual'!E25+IF(parametros_manuales!$H$27="Todos",'Plan mensual'!E29,0))+parametros_manuales!$F$27*('Plan mensual'!E26+IF(parametros_manuales!$H$27="Todos",'Plan mensual'!E30,0))+parametros_manuales!$G$27*('Plan mensual'!E27+IF(parametros_manuales!$H$27="Todos",'Plan mensual'!E31,0)))*parametros_manuales!$I$27*parametros_manuales!$J$27</f>
        <v>674.056354272</v>
      </c>
      <c r="D64" s="9" t="n">
        <f aca="false">(parametros_manuales!$D$27*('Plan mensual'!F24+IF(parametros_manuales!$H$27="Todos",'Plan mensual'!F28,0))+parametros_manuales!$E$27*('Plan mensual'!F25+IF(parametros_manuales!$H$27="Todos",'Plan mensual'!F29,0))+parametros_manuales!$F$27*('Plan mensual'!F26+IF(parametros_manuales!$H$27="Todos",'Plan mensual'!F30,0))+parametros_manuales!$G$27*('Plan mensual'!F27+IF(parametros_manuales!$H$27="Todos",'Plan mensual'!F31,0)))*parametros_manuales!$I$27*parametros_manuales!$J$27</f>
        <v>716.184876414</v>
      </c>
      <c r="E64" s="9" t="n">
        <f aca="false">(parametros_manuales!$D$27*('Plan mensual'!G24+IF(parametros_manuales!$H$27="Todos",'Plan mensual'!G28,0))+parametros_manuales!$E$27*('Plan mensual'!G25+IF(parametros_manuales!$H$27="Todos",'Plan mensual'!G29,0))+parametros_manuales!$F$27*('Plan mensual'!G26+IF(parametros_manuales!$H$27="Todos",'Plan mensual'!G30,0))+parametros_manuales!$G$27*('Plan mensual'!G27+IF(parametros_manuales!$H$27="Todos",'Plan mensual'!G31,0)))*parametros_manuales!$I$27*parametros_manuales!$J$27</f>
        <v>716.184876414</v>
      </c>
      <c r="F64" s="9" t="n">
        <f aca="false">(parametros_manuales!$D$27*('Plan mensual'!H24+IF(parametros_manuales!$H$27="Todos",'Plan mensual'!H28,0))+parametros_manuales!$E$27*('Plan mensual'!H25+IF(parametros_manuales!$H$27="Todos",'Plan mensual'!H29,0))+parametros_manuales!$F$27*('Plan mensual'!H26+IF(parametros_manuales!$H$27="Todos",'Plan mensual'!H30,0))+parametros_manuales!$G$27*('Plan mensual'!H27+IF(parametros_manuales!$H$27="Todos",'Plan mensual'!H31,0)))*parametros_manuales!$I$27*parametros_manuales!$J$27</f>
        <v>674.056354272</v>
      </c>
      <c r="G64" s="9" t="n">
        <f aca="false">(parametros_manuales!$D$27*('Plan mensual'!I24+IF(parametros_manuales!$H$27="Todos",'Plan mensual'!I28,0))+parametros_manuales!$E$27*('Plan mensual'!I25+IF(parametros_manuales!$H$27="Todos",'Plan mensual'!I29,0))+parametros_manuales!$F$27*('Plan mensual'!I26+IF(parametros_manuales!$H$27="Todos",'Plan mensual'!I30,0))+parametros_manuales!$G$27*('Plan mensual'!I27+IF(parametros_manuales!$H$27="Todos",'Plan mensual'!I31,0)))*parametros_manuales!$I$27*parametros_manuales!$J$27</f>
        <v>631.92783213</v>
      </c>
      <c r="H64" s="9" t="n">
        <f aca="false">(parametros_manuales!$D$27*('Plan mensual'!J24+IF(parametros_manuales!$H$27="Todos",'Plan mensual'!J28,0))+parametros_manuales!$E$27*('Plan mensual'!J25+IF(parametros_manuales!$H$27="Todos",'Plan mensual'!J29,0))+parametros_manuales!$F$27*('Plan mensual'!J26+IF(parametros_manuales!$H$27="Todos",'Plan mensual'!J30,0))+parametros_manuales!$G$27*('Plan mensual'!J27+IF(parametros_manuales!$H$27="Todos",'Plan mensual'!J31,0)))*parametros_manuales!$I$27*parametros_manuales!$J$27</f>
        <v>674.056354272</v>
      </c>
      <c r="I64" s="9" t="n">
        <f aca="false">(parametros_manuales!$D$27*('Plan mensual'!K24+IF(parametros_manuales!$H$27="Todos",'Plan mensual'!K28,0))+parametros_manuales!$E$27*('Plan mensual'!K25+IF(parametros_manuales!$H$27="Todos",'Plan mensual'!K29,0))+parametros_manuales!$F$27*('Plan mensual'!K26+IF(parametros_manuales!$H$27="Todos",'Plan mensual'!K30,0))+parametros_manuales!$G$27*('Plan mensual'!K27+IF(parametros_manuales!$H$27="Todos",'Plan mensual'!K31,0)))*parametros_manuales!$I$27*parametros_manuales!$J$27</f>
        <v>674.056354272</v>
      </c>
      <c r="J64" s="9" t="n">
        <f aca="false">(parametros_manuales!$D$27*('Plan mensual'!L24+IF(parametros_manuales!$H$27="Todos",'Plan mensual'!L28,0))+parametros_manuales!$E$27*('Plan mensual'!L25+IF(parametros_manuales!$H$27="Todos",'Plan mensual'!L29,0))+parametros_manuales!$F$27*('Plan mensual'!L26+IF(parametros_manuales!$H$27="Todos",'Plan mensual'!L30,0))+parametros_manuales!$G$27*('Plan mensual'!L27+IF(parametros_manuales!$H$27="Todos",'Plan mensual'!L31,0)))*parametros_manuales!$I$27*parametros_manuales!$J$27</f>
        <v>674.056354272</v>
      </c>
      <c r="K64" s="9" t="n">
        <f aca="false">(parametros_manuales!$D$27*('Plan mensual'!M24+IF(parametros_manuales!$H$27="Todos",'Plan mensual'!M28,0))+parametros_manuales!$E$27*('Plan mensual'!M25+IF(parametros_manuales!$H$27="Todos",'Plan mensual'!M29,0))+parametros_manuales!$F$27*('Plan mensual'!M26+IF(parametros_manuales!$H$27="Todos",'Plan mensual'!M30,0))+parametros_manuales!$G$27*('Plan mensual'!M27+IF(parametros_manuales!$H$27="Todos",'Plan mensual'!M31,0)))*parametros_manuales!$I$27*parametros_manuales!$J$27</f>
        <v>631.92783213</v>
      </c>
      <c r="L64" s="9" t="n">
        <f aca="false">(parametros_manuales!$D$27*('Plan mensual'!N24+IF(parametros_manuales!$H$27="Todos",'Plan mensual'!N28,0))+parametros_manuales!$E$27*('Plan mensual'!N25+IF(parametros_manuales!$H$27="Todos",'Plan mensual'!N29,0))+parametros_manuales!$F$27*('Plan mensual'!N26+IF(parametros_manuales!$H$27="Todos",'Plan mensual'!N30,0))+parametros_manuales!$G$27*('Plan mensual'!N27+IF(parametros_manuales!$H$27="Todos",'Plan mensual'!N31,0)))*parametros_manuales!$I$27*parametros_manuales!$J$27</f>
        <v>589.799309988</v>
      </c>
      <c r="M64" s="9" t="n">
        <f aca="false">(parametros_manuales!$D$27*('Plan mensual'!O24+IF(parametros_manuales!$H$27="Todos",'Plan mensual'!O28,0))+parametros_manuales!$E$27*('Plan mensual'!O25+IF(parametros_manuales!$H$27="Todos",'Plan mensual'!O29,0))+parametros_manuales!$F$27*('Plan mensual'!O26+IF(parametros_manuales!$H$27="Todos",'Plan mensual'!O30,0))+parametros_manuales!$G$27*('Plan mensual'!O27+IF(parametros_manuales!$H$27="Todos",'Plan mensual'!O31,0)))*parametros_manuales!$I$27*parametros_manuales!$J$27</f>
        <v>926.827487124</v>
      </c>
      <c r="N64" s="9" t="n">
        <f aca="false">SUM(B64:M64)</f>
        <v>8425.7044284</v>
      </c>
      <c r="O64" s="9" t="n">
        <f aca="false">MAX(B64:M64)</f>
        <v>926.827487124</v>
      </c>
      <c r="P64" s="43" t="n">
        <f aca="false">O64/(parametros_manuales!$B$7)</f>
        <v>6.17884991416</v>
      </c>
      <c r="Q64" s="8" t="str">
        <f aca="false">IF(O64=0,"-",INDEX($B$55:$M$55,MATCH(O64,B64:M64,0)))</f>
        <v>Dic</v>
      </c>
    </row>
    <row r="65" customFormat="false" ht="14.25" hidden="false" customHeight="true" outlineLevel="0" collapsed="false">
      <c r="A65" s="8" t="str">
        <f aca="false">parametros_manuales!$B$28</f>
        <v>Encastre de fondo</v>
      </c>
      <c r="B65" s="9" t="n">
        <f aca="false">(parametros_manuales!$D$28*('Plan mensual'!D24+IF(parametros_manuales!$H$28="Todos",'Plan mensual'!D28,0))+parametros_manuales!$E$28*('Plan mensual'!D25+IF(parametros_manuales!$H$28="Todos",'Plan mensual'!D29,0))+parametros_manuales!$F$28*('Plan mensual'!D26+IF(parametros_manuales!$H$28="Todos",'Plan mensual'!D30,0))+parametros_manuales!$G$28*('Plan mensual'!D27+IF(parametros_manuales!$H$28="Todos",'Plan mensual'!D31,0)))*parametros_manuales!$I$28*parametros_manuales!$J$28</f>
        <v>2584.2681738</v>
      </c>
      <c r="C65" s="9" t="n">
        <f aca="false">(parametros_manuales!$D$28*('Plan mensual'!E24+IF(parametros_manuales!$H$28="Todos",'Plan mensual'!E28,0))+parametros_manuales!$E$28*('Plan mensual'!E25+IF(parametros_manuales!$H$28="Todos",'Plan mensual'!E29,0))+parametros_manuales!$F$28*('Plan mensual'!E26+IF(parametros_manuales!$H$28="Todos",'Plan mensual'!E30,0))+parametros_manuales!$G$28*('Plan mensual'!E27+IF(parametros_manuales!$H$28="Todos",'Plan mensual'!E31,0)))*parametros_manuales!$I$28*parametros_manuales!$J$28</f>
        <v>1980.329652492</v>
      </c>
      <c r="D65" s="9" t="n">
        <f aca="false">(parametros_manuales!$D$28*('Plan mensual'!F24+IF(parametros_manuales!$H$28="Todos",'Plan mensual'!F28,0))+parametros_manuales!$E$28*('Plan mensual'!F25+IF(parametros_manuales!$H$28="Todos",'Plan mensual'!F29,0))+parametros_manuales!$F$28*('Plan mensual'!F26+IF(parametros_manuales!$H$28="Todos",'Plan mensual'!F30,0))+parametros_manuales!$G$28*('Plan mensual'!F27+IF(parametros_manuales!$H$28="Todos",'Plan mensual'!F31,0)))*parametros_manuales!$I$28*parametros_manuales!$J$28</f>
        <v>1877.316697054</v>
      </c>
      <c r="E65" s="9" t="n">
        <f aca="false">(parametros_manuales!$D$28*('Plan mensual'!G24+IF(parametros_manuales!$H$28="Todos",'Plan mensual'!G28,0))+parametros_manuales!$E$28*('Plan mensual'!G25+IF(parametros_manuales!$H$28="Todos",'Plan mensual'!G29,0))+parametros_manuales!$F$28*('Plan mensual'!G26+IF(parametros_manuales!$H$28="Todos",'Plan mensual'!G30,0))+parametros_manuales!$G$28*('Plan mensual'!G27+IF(parametros_manuales!$H$28="Todos",'Plan mensual'!G31,0)))*parametros_manuales!$I$28*parametros_manuales!$J$28</f>
        <v>1804.745958264</v>
      </c>
      <c r="F65" s="9" t="n">
        <f aca="false">(parametros_manuales!$D$28*('Plan mensual'!H24+IF(parametros_manuales!$H$28="Todos",'Plan mensual'!H28,0))+parametros_manuales!$E$28*('Plan mensual'!H25+IF(parametros_manuales!$H$28="Todos",'Plan mensual'!H29,0))+parametros_manuales!$F$28*('Plan mensual'!H26+IF(parametros_manuales!$H$28="Todos",'Plan mensual'!H30,0))+parametros_manuales!$G$28*('Plan mensual'!H27+IF(parametros_manuales!$H$28="Todos",'Plan mensual'!H31,0)))*parametros_manuales!$I$28*parametros_manuales!$J$28</f>
        <v>1690.046697332</v>
      </c>
      <c r="G65" s="9" t="n">
        <f aca="false">(parametros_manuales!$D$28*('Plan mensual'!I24+IF(parametros_manuales!$H$28="Todos",'Plan mensual'!I28,0))+parametros_manuales!$E$28*('Plan mensual'!I25+IF(parametros_manuales!$H$28="Todos",'Plan mensual'!I29,0))+parametros_manuales!$F$28*('Plan mensual'!I26+IF(parametros_manuales!$H$28="Todos",'Plan mensual'!I30,0))+parametros_manuales!$G$28*('Plan mensual'!I27+IF(parametros_manuales!$H$28="Todos",'Plan mensual'!I31,0)))*parametros_manuales!$I$28*parametros_manuales!$J$28</f>
        <v>1647.91817519</v>
      </c>
      <c r="H65" s="9" t="n">
        <f aca="false">(parametros_manuales!$D$28*('Plan mensual'!J24+IF(parametros_manuales!$H$28="Todos",'Plan mensual'!J28,0))+parametros_manuales!$E$28*('Plan mensual'!J25+IF(parametros_manuales!$H$28="Todos",'Plan mensual'!J29,0))+parametros_manuales!$F$28*('Plan mensual'!J26+IF(parametros_manuales!$H$28="Todos",'Plan mensual'!J30,0))+parametros_manuales!$G$28*('Plan mensual'!J27+IF(parametros_manuales!$H$28="Todos",'Plan mensual'!J31,0)))*parametros_manuales!$I$28*parametros_manuales!$J$28</f>
        <v>1762.617436122</v>
      </c>
      <c r="I65" s="9" t="n">
        <f aca="false">(parametros_manuales!$D$28*('Plan mensual'!K24+IF(parametros_manuales!$H$28="Todos",'Plan mensual'!K28,0))+parametros_manuales!$E$28*('Plan mensual'!K25+IF(parametros_manuales!$H$28="Todos",'Plan mensual'!K29,0))+parametros_manuales!$F$28*('Plan mensual'!K26+IF(parametros_manuales!$H$28="Todos",'Plan mensual'!K30,0))+parametros_manuales!$G$28*('Plan mensual'!K27+IF(parametros_manuales!$H$28="Todos",'Plan mensual'!K31,0)))*parametros_manuales!$I$28*parametros_manuales!$J$28</f>
        <v>1762.617436122</v>
      </c>
      <c r="J65" s="9" t="n">
        <f aca="false">(parametros_manuales!$D$28*('Plan mensual'!L24+IF(parametros_manuales!$H$28="Todos",'Plan mensual'!L28,0))+parametros_manuales!$E$28*('Plan mensual'!L25+IF(parametros_manuales!$H$28="Todos",'Plan mensual'!L29,0))+parametros_manuales!$F$28*('Plan mensual'!L26+IF(parametros_manuales!$H$28="Todos",'Plan mensual'!L30,0))+parametros_manuales!$G$28*('Plan mensual'!L27+IF(parametros_manuales!$H$28="Todos",'Plan mensual'!L31,0)))*parametros_manuales!$I$28*parametros_manuales!$J$28</f>
        <v>1762.617436122</v>
      </c>
      <c r="K65" s="9" t="n">
        <f aca="false">(parametros_manuales!$D$28*('Plan mensual'!M24+IF(parametros_manuales!$H$28="Todos",'Plan mensual'!M28,0))+parametros_manuales!$E$28*('Plan mensual'!M25+IF(parametros_manuales!$H$28="Todos",'Plan mensual'!M29,0))+parametros_manuales!$F$28*('Plan mensual'!M26+IF(parametros_manuales!$H$28="Todos",'Plan mensual'!M30,0))+parametros_manuales!$G$28*('Plan mensual'!M27+IF(parametros_manuales!$H$28="Todos",'Plan mensual'!M31,0)))*parametros_manuales!$I$28*parametros_manuales!$J$28</f>
        <v>1720.48891398</v>
      </c>
      <c r="L65" s="9" t="n">
        <f aca="false">(parametros_manuales!$D$28*('Plan mensual'!N24+IF(parametros_manuales!$H$28="Todos",'Plan mensual'!N28,0))+parametros_manuales!$E$28*('Plan mensual'!N25+IF(parametros_manuales!$H$28="Todos",'Plan mensual'!N29,0))+parametros_manuales!$F$28*('Plan mensual'!N26+IF(parametros_manuales!$H$28="Todos",'Plan mensual'!N30,0))+parametros_manuales!$G$28*('Plan mensual'!N27+IF(parametros_manuales!$H$28="Todos",'Plan mensual'!N31,0)))*parametros_manuales!$I$28*parametros_manuales!$J$28</f>
        <v>1678.360391838</v>
      </c>
      <c r="M65" s="9" t="n">
        <f aca="false">(parametros_manuales!$D$28*('Plan mensual'!O24+IF(parametros_manuales!$H$28="Todos",'Plan mensual'!O28,0))+parametros_manuales!$E$28*('Plan mensual'!O25+IF(parametros_manuales!$H$28="Todos",'Plan mensual'!O29,0))+parametros_manuales!$F$28*('Plan mensual'!O26+IF(parametros_manuales!$H$28="Todos",'Plan mensual'!O30,0))+parametros_manuales!$G$28*('Plan mensual'!O27+IF(parametros_manuales!$H$28="Todos",'Plan mensual'!O31,0)))*parametros_manuales!$I$28*parametros_manuales!$J$28</f>
        <v>2668.525218084</v>
      </c>
      <c r="N65" s="9" t="n">
        <f aca="false">SUM(B65:M65)</f>
        <v>22939.8521864</v>
      </c>
      <c r="O65" s="9" t="n">
        <f aca="false">MAX(B65:M65)</f>
        <v>2668.525218084</v>
      </c>
      <c r="P65" s="43" t="n">
        <f aca="false">O65/(parametros_manuales!$B$7)</f>
        <v>17.79016812056</v>
      </c>
      <c r="Q65" s="8" t="str">
        <f aca="false">IF(O65=0,"-",INDEX($B$55:$M$55,MATCH(O65,B65:M65,0)))</f>
        <v>Dic</v>
      </c>
    </row>
    <row r="66" customFormat="false" ht="14.25" hidden="false" customHeight="true" outlineLevel="0" collapsed="false">
      <c r="A66" s="8" t="str">
        <f aca="false">parametros_manuales!$B$29</f>
        <v>Bordoneado</v>
      </c>
      <c r="B66" s="9" t="n">
        <f aca="false">(parametros_manuales!$D$29*('Plan mensual'!D24+IF(parametros_manuales!$H$29="Todos",'Plan mensual'!D28,0))+parametros_manuales!$E$29*('Plan mensual'!D25+IF(parametros_manuales!$H$29="Todos",'Plan mensual'!D29,0))+parametros_manuales!$F$29*('Plan mensual'!D26+IF(parametros_manuales!$H$29="Todos",'Plan mensual'!D30,0))+parametros_manuales!$G$29*('Plan mensual'!D27+IF(parametros_manuales!$H$29="Todos",'Plan mensual'!D31,0)))*parametros_manuales!$I$29*parametros_manuales!$J$29</f>
        <v>2584.2681738</v>
      </c>
      <c r="C66" s="9" t="n">
        <f aca="false">(parametros_manuales!$D$29*('Plan mensual'!E24+IF(parametros_manuales!$H$29="Todos",'Plan mensual'!E28,0))+parametros_manuales!$E$29*('Plan mensual'!E25+IF(parametros_manuales!$H$29="Todos",'Plan mensual'!E29,0))+parametros_manuales!$F$29*('Plan mensual'!E26+IF(parametros_manuales!$H$29="Todos",'Plan mensual'!E30,0))+parametros_manuales!$G$29*('Plan mensual'!E27+IF(parametros_manuales!$H$29="Todos",'Plan mensual'!E31,0)))*parametros_manuales!$I$29*parametros_manuales!$J$29</f>
        <v>1980.329652492</v>
      </c>
      <c r="D66" s="9" t="n">
        <f aca="false">(parametros_manuales!$D$29*('Plan mensual'!F24+IF(parametros_manuales!$H$29="Todos",'Plan mensual'!F28,0))+parametros_manuales!$E$29*('Plan mensual'!F25+IF(parametros_manuales!$H$29="Todos",'Plan mensual'!F29,0))+parametros_manuales!$F$29*('Plan mensual'!F26+IF(parametros_manuales!$H$29="Todos",'Plan mensual'!F30,0))+parametros_manuales!$G$29*('Plan mensual'!F27+IF(parametros_manuales!$H$29="Todos",'Plan mensual'!F31,0)))*parametros_manuales!$I$29*parametros_manuales!$J$29</f>
        <v>1877.316697054</v>
      </c>
      <c r="E66" s="9" t="n">
        <f aca="false">(parametros_manuales!$D$29*('Plan mensual'!G24+IF(parametros_manuales!$H$29="Todos",'Plan mensual'!G28,0))+parametros_manuales!$E$29*('Plan mensual'!G25+IF(parametros_manuales!$H$29="Todos",'Plan mensual'!G29,0))+parametros_manuales!$F$29*('Plan mensual'!G26+IF(parametros_manuales!$H$29="Todos",'Plan mensual'!G30,0))+parametros_manuales!$G$29*('Plan mensual'!G27+IF(parametros_manuales!$H$29="Todos",'Plan mensual'!G31,0)))*parametros_manuales!$I$29*parametros_manuales!$J$29</f>
        <v>1804.745958264</v>
      </c>
      <c r="F66" s="9" t="n">
        <f aca="false">(parametros_manuales!$D$29*('Plan mensual'!H24+IF(parametros_manuales!$H$29="Todos",'Plan mensual'!H28,0))+parametros_manuales!$E$29*('Plan mensual'!H25+IF(parametros_manuales!$H$29="Todos",'Plan mensual'!H29,0))+parametros_manuales!$F$29*('Plan mensual'!H26+IF(parametros_manuales!$H$29="Todos",'Plan mensual'!H30,0))+parametros_manuales!$G$29*('Plan mensual'!H27+IF(parametros_manuales!$H$29="Todos",'Plan mensual'!H31,0)))*parametros_manuales!$I$29*parametros_manuales!$J$29</f>
        <v>1690.046697332</v>
      </c>
      <c r="G66" s="9" t="n">
        <f aca="false">(parametros_manuales!$D$29*('Plan mensual'!I24+IF(parametros_manuales!$H$29="Todos",'Plan mensual'!I28,0))+parametros_manuales!$E$29*('Plan mensual'!I25+IF(parametros_manuales!$H$29="Todos",'Plan mensual'!I29,0))+parametros_manuales!$F$29*('Plan mensual'!I26+IF(parametros_manuales!$H$29="Todos",'Plan mensual'!I30,0))+parametros_manuales!$G$29*('Plan mensual'!I27+IF(parametros_manuales!$H$29="Todos",'Plan mensual'!I31,0)))*parametros_manuales!$I$29*parametros_manuales!$J$29</f>
        <v>1647.91817519</v>
      </c>
      <c r="H66" s="9" t="n">
        <f aca="false">(parametros_manuales!$D$29*('Plan mensual'!J24+IF(parametros_manuales!$H$29="Todos",'Plan mensual'!J28,0))+parametros_manuales!$E$29*('Plan mensual'!J25+IF(parametros_manuales!$H$29="Todos",'Plan mensual'!J29,0))+parametros_manuales!$F$29*('Plan mensual'!J26+IF(parametros_manuales!$H$29="Todos",'Plan mensual'!J30,0))+parametros_manuales!$G$29*('Plan mensual'!J27+IF(parametros_manuales!$H$29="Todos",'Plan mensual'!J31,0)))*parametros_manuales!$I$29*parametros_manuales!$J$29</f>
        <v>1762.617436122</v>
      </c>
      <c r="I66" s="9" t="n">
        <f aca="false">(parametros_manuales!$D$29*('Plan mensual'!K24+IF(parametros_manuales!$H$29="Todos",'Plan mensual'!K28,0))+parametros_manuales!$E$29*('Plan mensual'!K25+IF(parametros_manuales!$H$29="Todos",'Plan mensual'!K29,0))+parametros_manuales!$F$29*('Plan mensual'!K26+IF(parametros_manuales!$H$29="Todos",'Plan mensual'!K30,0))+parametros_manuales!$G$29*('Plan mensual'!K27+IF(parametros_manuales!$H$29="Todos",'Plan mensual'!K31,0)))*parametros_manuales!$I$29*parametros_manuales!$J$29</f>
        <v>1762.617436122</v>
      </c>
      <c r="J66" s="9" t="n">
        <f aca="false">(parametros_manuales!$D$29*('Plan mensual'!L24+IF(parametros_manuales!$H$29="Todos",'Plan mensual'!L28,0))+parametros_manuales!$E$29*('Plan mensual'!L25+IF(parametros_manuales!$H$29="Todos",'Plan mensual'!L29,0))+parametros_manuales!$F$29*('Plan mensual'!L26+IF(parametros_manuales!$H$29="Todos",'Plan mensual'!L30,0))+parametros_manuales!$G$29*('Plan mensual'!L27+IF(parametros_manuales!$H$29="Todos",'Plan mensual'!L31,0)))*parametros_manuales!$I$29*parametros_manuales!$J$29</f>
        <v>1762.617436122</v>
      </c>
      <c r="K66" s="9" t="n">
        <f aca="false">(parametros_manuales!$D$29*('Plan mensual'!M24+IF(parametros_manuales!$H$29="Todos",'Plan mensual'!M28,0))+parametros_manuales!$E$29*('Plan mensual'!M25+IF(parametros_manuales!$H$29="Todos",'Plan mensual'!M29,0))+parametros_manuales!$F$29*('Plan mensual'!M26+IF(parametros_manuales!$H$29="Todos",'Plan mensual'!M30,0))+parametros_manuales!$G$29*('Plan mensual'!M27+IF(parametros_manuales!$H$29="Todos",'Plan mensual'!M31,0)))*parametros_manuales!$I$29*parametros_manuales!$J$29</f>
        <v>1720.48891398</v>
      </c>
      <c r="L66" s="9" t="n">
        <f aca="false">(parametros_manuales!$D$29*('Plan mensual'!N24+IF(parametros_manuales!$H$29="Todos",'Plan mensual'!N28,0))+parametros_manuales!$E$29*('Plan mensual'!N25+IF(parametros_manuales!$H$29="Todos",'Plan mensual'!N29,0))+parametros_manuales!$F$29*('Plan mensual'!N26+IF(parametros_manuales!$H$29="Todos",'Plan mensual'!N30,0))+parametros_manuales!$G$29*('Plan mensual'!N27+IF(parametros_manuales!$H$29="Todos",'Plan mensual'!N31,0)))*parametros_manuales!$I$29*parametros_manuales!$J$29</f>
        <v>1678.360391838</v>
      </c>
      <c r="M66" s="9" t="n">
        <f aca="false">(parametros_manuales!$D$29*('Plan mensual'!O24+IF(parametros_manuales!$H$29="Todos",'Plan mensual'!O28,0))+parametros_manuales!$E$29*('Plan mensual'!O25+IF(parametros_manuales!$H$29="Todos",'Plan mensual'!O29,0))+parametros_manuales!$F$29*('Plan mensual'!O26+IF(parametros_manuales!$H$29="Todos",'Plan mensual'!O30,0))+parametros_manuales!$G$29*('Plan mensual'!O27+IF(parametros_manuales!$H$29="Todos",'Plan mensual'!O31,0)))*parametros_manuales!$I$29*parametros_manuales!$J$29</f>
        <v>2668.525218084</v>
      </c>
      <c r="N66" s="9" t="n">
        <f aca="false">SUM(B66:M66)</f>
        <v>22939.8521864</v>
      </c>
      <c r="O66" s="9" t="n">
        <f aca="false">MAX(B66:M66)</f>
        <v>2668.525218084</v>
      </c>
      <c r="P66" s="43" t="n">
        <f aca="false">O66/(parametros_manuales!$B$7)</f>
        <v>17.79016812056</v>
      </c>
      <c r="Q66" s="8" t="str">
        <f aca="false">IF(O66=0,"-",INDEX($B$55:$M$55,MATCH(O66,B66:M66,0)))</f>
        <v>Dic</v>
      </c>
    </row>
    <row r="67" customFormat="false" ht="14.25" hidden="false" customHeight="true" outlineLevel="0" collapsed="false">
      <c r="A67" s="8" t="str">
        <f aca="false">parametros_manuales!$B$30</f>
        <v>Soldadura circunferencial de cúpula y fondo</v>
      </c>
      <c r="B67" s="9" t="n">
        <f aca="false">(parametros_manuales!$D$30*('Plan mensual'!D24+IF(parametros_manuales!$H$30="Todos",'Plan mensual'!D28,0))+parametros_manuales!$E$30*('Plan mensual'!D25+IF(parametros_manuales!$H$30="Todos",'Plan mensual'!D29,0))+parametros_manuales!$F$30*('Plan mensual'!D26+IF(parametros_manuales!$H$30="Todos",'Plan mensual'!D30,0))+parametros_manuales!$G$30*('Plan mensual'!D27+IF(parametros_manuales!$H$30="Todos",'Plan mensual'!D31,0)))*parametros_manuales!$I$30*parametros_manuales!$J$30</f>
        <v>2584.2681738</v>
      </c>
      <c r="C67" s="9" t="n">
        <f aca="false">(parametros_manuales!$D$30*('Plan mensual'!E24+IF(parametros_manuales!$H$30="Todos",'Plan mensual'!E28,0))+parametros_manuales!$E$30*('Plan mensual'!E25+IF(parametros_manuales!$H$30="Todos",'Plan mensual'!E29,0))+parametros_manuales!$F$30*('Plan mensual'!E26+IF(parametros_manuales!$H$30="Todos",'Plan mensual'!E30,0))+parametros_manuales!$G$30*('Plan mensual'!E27+IF(parametros_manuales!$H$30="Todos",'Plan mensual'!E31,0)))*parametros_manuales!$I$30*parametros_manuales!$J$30</f>
        <v>1980.329652492</v>
      </c>
      <c r="D67" s="9" t="n">
        <f aca="false">(parametros_manuales!$D$30*('Plan mensual'!F24+IF(parametros_manuales!$H$30="Todos",'Plan mensual'!F28,0))+parametros_manuales!$E$30*('Plan mensual'!F25+IF(parametros_manuales!$H$30="Todos",'Plan mensual'!F29,0))+parametros_manuales!$F$30*('Plan mensual'!F26+IF(parametros_manuales!$H$30="Todos",'Plan mensual'!F30,0))+parametros_manuales!$G$30*('Plan mensual'!F27+IF(parametros_manuales!$H$30="Todos",'Plan mensual'!F31,0)))*parametros_manuales!$I$30*parametros_manuales!$J$30</f>
        <v>1877.316697054</v>
      </c>
      <c r="E67" s="9" t="n">
        <f aca="false">(parametros_manuales!$D$30*('Plan mensual'!G24+IF(parametros_manuales!$H$30="Todos",'Plan mensual'!G28,0))+parametros_manuales!$E$30*('Plan mensual'!G25+IF(parametros_manuales!$H$30="Todos",'Plan mensual'!G29,0))+parametros_manuales!$F$30*('Plan mensual'!G26+IF(parametros_manuales!$H$30="Todos",'Plan mensual'!G30,0))+parametros_manuales!$G$30*('Plan mensual'!G27+IF(parametros_manuales!$H$30="Todos",'Plan mensual'!G31,0)))*parametros_manuales!$I$30*parametros_manuales!$J$30</f>
        <v>1804.745958264</v>
      </c>
      <c r="F67" s="9" t="n">
        <f aca="false">(parametros_manuales!$D$30*('Plan mensual'!H24+IF(parametros_manuales!$H$30="Todos",'Plan mensual'!H28,0))+parametros_manuales!$E$30*('Plan mensual'!H25+IF(parametros_manuales!$H$30="Todos",'Plan mensual'!H29,0))+parametros_manuales!$F$30*('Plan mensual'!H26+IF(parametros_manuales!$H$30="Todos",'Plan mensual'!H30,0))+parametros_manuales!$G$30*('Plan mensual'!H27+IF(parametros_manuales!$H$30="Todos",'Plan mensual'!H31,0)))*parametros_manuales!$I$30*parametros_manuales!$J$30</f>
        <v>1690.046697332</v>
      </c>
      <c r="G67" s="9" t="n">
        <f aca="false">(parametros_manuales!$D$30*('Plan mensual'!I24+IF(parametros_manuales!$H$30="Todos",'Plan mensual'!I28,0))+parametros_manuales!$E$30*('Plan mensual'!I25+IF(parametros_manuales!$H$30="Todos",'Plan mensual'!I29,0))+parametros_manuales!$F$30*('Plan mensual'!I26+IF(parametros_manuales!$H$30="Todos",'Plan mensual'!I30,0))+parametros_manuales!$G$30*('Plan mensual'!I27+IF(parametros_manuales!$H$30="Todos",'Plan mensual'!I31,0)))*parametros_manuales!$I$30*parametros_manuales!$J$30</f>
        <v>1647.91817519</v>
      </c>
      <c r="H67" s="9" t="n">
        <f aca="false">(parametros_manuales!$D$30*('Plan mensual'!J24+IF(parametros_manuales!$H$30="Todos",'Plan mensual'!J28,0))+parametros_manuales!$E$30*('Plan mensual'!J25+IF(parametros_manuales!$H$30="Todos",'Plan mensual'!J29,0))+parametros_manuales!$F$30*('Plan mensual'!J26+IF(parametros_manuales!$H$30="Todos",'Plan mensual'!J30,0))+parametros_manuales!$G$30*('Plan mensual'!J27+IF(parametros_manuales!$H$30="Todos",'Plan mensual'!J31,0)))*parametros_manuales!$I$30*parametros_manuales!$J$30</f>
        <v>1762.617436122</v>
      </c>
      <c r="I67" s="9" t="n">
        <f aca="false">(parametros_manuales!$D$30*('Plan mensual'!K24+IF(parametros_manuales!$H$30="Todos",'Plan mensual'!K28,0))+parametros_manuales!$E$30*('Plan mensual'!K25+IF(parametros_manuales!$H$30="Todos",'Plan mensual'!K29,0))+parametros_manuales!$F$30*('Plan mensual'!K26+IF(parametros_manuales!$H$30="Todos",'Plan mensual'!K30,0))+parametros_manuales!$G$30*('Plan mensual'!K27+IF(parametros_manuales!$H$30="Todos",'Plan mensual'!K31,0)))*parametros_manuales!$I$30*parametros_manuales!$J$30</f>
        <v>1762.617436122</v>
      </c>
      <c r="J67" s="9" t="n">
        <f aca="false">(parametros_manuales!$D$30*('Plan mensual'!L24+IF(parametros_manuales!$H$30="Todos",'Plan mensual'!L28,0))+parametros_manuales!$E$30*('Plan mensual'!L25+IF(parametros_manuales!$H$30="Todos",'Plan mensual'!L29,0))+parametros_manuales!$F$30*('Plan mensual'!L26+IF(parametros_manuales!$H$30="Todos",'Plan mensual'!L30,0))+parametros_manuales!$G$30*('Plan mensual'!L27+IF(parametros_manuales!$H$30="Todos",'Plan mensual'!L31,0)))*parametros_manuales!$I$30*parametros_manuales!$J$30</f>
        <v>1762.617436122</v>
      </c>
      <c r="K67" s="9" t="n">
        <f aca="false">(parametros_manuales!$D$30*('Plan mensual'!M24+IF(parametros_manuales!$H$30="Todos",'Plan mensual'!M28,0))+parametros_manuales!$E$30*('Plan mensual'!M25+IF(parametros_manuales!$H$30="Todos",'Plan mensual'!M29,0))+parametros_manuales!$F$30*('Plan mensual'!M26+IF(parametros_manuales!$H$30="Todos",'Plan mensual'!M30,0))+parametros_manuales!$G$30*('Plan mensual'!M27+IF(parametros_manuales!$H$30="Todos",'Plan mensual'!M31,0)))*parametros_manuales!$I$30*parametros_manuales!$J$30</f>
        <v>1720.48891398</v>
      </c>
      <c r="L67" s="9" t="n">
        <f aca="false">(parametros_manuales!$D$30*('Plan mensual'!N24+IF(parametros_manuales!$H$30="Todos",'Plan mensual'!N28,0))+parametros_manuales!$E$30*('Plan mensual'!N25+IF(parametros_manuales!$H$30="Todos",'Plan mensual'!N29,0))+parametros_manuales!$F$30*('Plan mensual'!N26+IF(parametros_manuales!$H$30="Todos",'Plan mensual'!N30,0))+parametros_manuales!$G$30*('Plan mensual'!N27+IF(parametros_manuales!$H$30="Todos",'Plan mensual'!N31,0)))*parametros_manuales!$I$30*parametros_manuales!$J$30</f>
        <v>1678.360391838</v>
      </c>
      <c r="M67" s="9" t="n">
        <f aca="false">(parametros_manuales!$D$30*('Plan mensual'!O24+IF(parametros_manuales!$H$30="Todos",'Plan mensual'!O28,0))+parametros_manuales!$E$30*('Plan mensual'!O25+IF(parametros_manuales!$H$30="Todos",'Plan mensual'!O29,0))+parametros_manuales!$F$30*('Plan mensual'!O26+IF(parametros_manuales!$H$30="Todos",'Plan mensual'!O30,0))+parametros_manuales!$G$30*('Plan mensual'!O27+IF(parametros_manuales!$H$30="Todos",'Plan mensual'!O31,0)))*parametros_manuales!$I$30*parametros_manuales!$J$30</f>
        <v>2668.525218084</v>
      </c>
      <c r="N67" s="9" t="n">
        <f aca="false">SUM(B67:M67)</f>
        <v>22939.8521864</v>
      </c>
      <c r="O67" s="9" t="n">
        <f aca="false">MAX(B67:M67)</f>
        <v>2668.525218084</v>
      </c>
      <c r="P67" s="43" t="n">
        <f aca="false">O67/(parametros_manuales!$B$7)</f>
        <v>17.79016812056</v>
      </c>
      <c r="Q67" s="8" t="str">
        <f aca="false">IF(O67=0,"-",INDEX($B$55:$M$55,MATCH(O67,B67:M67,0)))</f>
        <v>Dic</v>
      </c>
    </row>
    <row r="68" customFormat="false" ht="14.25" hidden="false" customHeight="true" outlineLevel="0" collapsed="false">
      <c r="A68" s="8" t="str">
        <f aca="false">parametros_manuales!$B$31</f>
        <v>Control de calidad — Espesor</v>
      </c>
      <c r="B68" s="9" t="n">
        <f aca="false">(parametros_manuales!$D$31*('Plan mensual'!D24+IF(parametros_manuales!$H$31="Todos",'Plan mensual'!D28,0))+parametros_manuales!$E$31*('Plan mensual'!D25+IF(parametros_manuales!$H$31="Todos",'Plan mensual'!D29,0))+parametros_manuales!$F$31*('Plan mensual'!D26+IF(parametros_manuales!$H$31="Todos",'Plan mensual'!D30,0))+parametros_manuales!$G$31*('Plan mensual'!D27+IF(parametros_manuales!$H$31="Todos",'Plan mensual'!D31,0)))*parametros_manuales!$I$31*parametros_manuales!$J$31</f>
        <v>51.685363476</v>
      </c>
      <c r="C68" s="9" t="n">
        <f aca="false">(parametros_manuales!$D$31*('Plan mensual'!E24+IF(parametros_manuales!$H$31="Todos",'Plan mensual'!E28,0))+parametros_manuales!$E$31*('Plan mensual'!E25+IF(parametros_manuales!$H$31="Todos",'Plan mensual'!E29,0))+parametros_manuales!$F$31*('Plan mensual'!E26+IF(parametros_manuales!$H$31="Todos",'Plan mensual'!E30,0))+parametros_manuales!$G$31*('Plan mensual'!E27+IF(parametros_manuales!$H$31="Todos",'Plan mensual'!E31,0)))*parametros_manuales!$I$31*parametros_manuales!$J$31</f>
        <v>39.60659304984</v>
      </c>
      <c r="D68" s="9" t="n">
        <f aca="false">(parametros_manuales!$D$31*('Plan mensual'!F24+IF(parametros_manuales!$H$31="Todos",'Plan mensual'!F28,0))+parametros_manuales!$E$31*('Plan mensual'!F25+IF(parametros_manuales!$H$31="Todos",'Plan mensual'!F29,0))+parametros_manuales!$F$31*('Plan mensual'!F26+IF(parametros_manuales!$H$31="Todos",'Plan mensual'!F30,0))+parametros_manuales!$G$31*('Plan mensual'!F27+IF(parametros_manuales!$H$31="Todos",'Plan mensual'!F31,0)))*parametros_manuales!$I$31*parametros_manuales!$J$31</f>
        <v>37.54633394108</v>
      </c>
      <c r="E68" s="9" t="n">
        <f aca="false">(parametros_manuales!$D$31*('Plan mensual'!G24+IF(parametros_manuales!$H$31="Todos",'Plan mensual'!G28,0))+parametros_manuales!$E$31*('Plan mensual'!G25+IF(parametros_manuales!$H$31="Todos",'Plan mensual'!G29,0))+parametros_manuales!$F$31*('Plan mensual'!G26+IF(parametros_manuales!$H$31="Todos",'Plan mensual'!G30,0))+parametros_manuales!$G$31*('Plan mensual'!G27+IF(parametros_manuales!$H$31="Todos",'Plan mensual'!G31,0)))*parametros_manuales!$I$31*parametros_manuales!$J$31</f>
        <v>36.09491916528</v>
      </c>
      <c r="F68" s="9" t="n">
        <f aca="false">(parametros_manuales!$D$31*('Plan mensual'!H24+IF(parametros_manuales!$H$31="Todos",'Plan mensual'!H28,0))+parametros_manuales!$E$31*('Plan mensual'!H25+IF(parametros_manuales!$H$31="Todos",'Plan mensual'!H29,0))+parametros_manuales!$F$31*('Plan mensual'!H26+IF(parametros_manuales!$H$31="Todos",'Plan mensual'!H30,0))+parametros_manuales!$G$31*('Plan mensual'!H27+IF(parametros_manuales!$H$31="Todos",'Plan mensual'!H31,0)))*parametros_manuales!$I$31*parametros_manuales!$J$31</f>
        <v>33.80093394664</v>
      </c>
      <c r="G68" s="9" t="n">
        <f aca="false">(parametros_manuales!$D$31*('Plan mensual'!I24+IF(parametros_manuales!$H$31="Todos",'Plan mensual'!I28,0))+parametros_manuales!$E$31*('Plan mensual'!I25+IF(parametros_manuales!$H$31="Todos",'Plan mensual'!I29,0))+parametros_manuales!$F$31*('Plan mensual'!I26+IF(parametros_manuales!$H$31="Todos",'Plan mensual'!I30,0))+parametros_manuales!$G$31*('Plan mensual'!I27+IF(parametros_manuales!$H$31="Todos",'Plan mensual'!I31,0)))*parametros_manuales!$I$31*parametros_manuales!$J$31</f>
        <v>32.9583635038</v>
      </c>
      <c r="H68" s="9" t="n">
        <f aca="false">(parametros_manuales!$D$31*('Plan mensual'!J24+IF(parametros_manuales!$H$31="Todos",'Plan mensual'!J28,0))+parametros_manuales!$E$31*('Plan mensual'!J25+IF(parametros_manuales!$H$31="Todos",'Plan mensual'!J29,0))+parametros_manuales!$F$31*('Plan mensual'!J26+IF(parametros_manuales!$H$31="Todos",'Plan mensual'!J30,0))+parametros_manuales!$G$31*('Plan mensual'!J27+IF(parametros_manuales!$H$31="Todos",'Plan mensual'!J31,0)))*parametros_manuales!$I$31*parametros_manuales!$J$31</f>
        <v>35.25234872244</v>
      </c>
      <c r="I68" s="9" t="n">
        <f aca="false">(parametros_manuales!$D$31*('Plan mensual'!K24+IF(parametros_manuales!$H$31="Todos",'Plan mensual'!K28,0))+parametros_manuales!$E$31*('Plan mensual'!K25+IF(parametros_manuales!$H$31="Todos",'Plan mensual'!K29,0))+parametros_manuales!$F$31*('Plan mensual'!K26+IF(parametros_manuales!$H$31="Todos",'Plan mensual'!K30,0))+parametros_manuales!$G$31*('Plan mensual'!K27+IF(parametros_manuales!$H$31="Todos",'Plan mensual'!K31,0)))*parametros_manuales!$I$31*parametros_manuales!$J$31</f>
        <v>35.25234872244</v>
      </c>
      <c r="J68" s="9" t="n">
        <f aca="false">(parametros_manuales!$D$31*('Plan mensual'!L24+IF(parametros_manuales!$H$31="Todos",'Plan mensual'!L28,0))+parametros_manuales!$E$31*('Plan mensual'!L25+IF(parametros_manuales!$H$31="Todos",'Plan mensual'!L29,0))+parametros_manuales!$F$31*('Plan mensual'!L26+IF(parametros_manuales!$H$31="Todos",'Plan mensual'!L30,0))+parametros_manuales!$G$31*('Plan mensual'!L27+IF(parametros_manuales!$H$31="Todos",'Plan mensual'!L31,0)))*parametros_manuales!$I$31*parametros_manuales!$J$31</f>
        <v>35.25234872244</v>
      </c>
      <c r="K68" s="9" t="n">
        <f aca="false">(parametros_manuales!$D$31*('Plan mensual'!M24+IF(parametros_manuales!$H$31="Todos",'Plan mensual'!M28,0))+parametros_manuales!$E$31*('Plan mensual'!M25+IF(parametros_manuales!$H$31="Todos",'Plan mensual'!M29,0))+parametros_manuales!$F$31*('Plan mensual'!M26+IF(parametros_manuales!$H$31="Todos",'Plan mensual'!M30,0))+parametros_manuales!$G$31*('Plan mensual'!M27+IF(parametros_manuales!$H$31="Todos",'Plan mensual'!M31,0)))*parametros_manuales!$I$31*parametros_manuales!$J$31</f>
        <v>34.4097782796</v>
      </c>
      <c r="L68" s="9" t="n">
        <f aca="false">(parametros_manuales!$D$31*('Plan mensual'!N24+IF(parametros_manuales!$H$31="Todos",'Plan mensual'!N28,0))+parametros_manuales!$E$31*('Plan mensual'!N25+IF(parametros_manuales!$H$31="Todos",'Plan mensual'!N29,0))+parametros_manuales!$F$31*('Plan mensual'!N26+IF(parametros_manuales!$H$31="Todos",'Plan mensual'!N30,0))+parametros_manuales!$G$31*('Plan mensual'!N27+IF(parametros_manuales!$H$31="Todos",'Plan mensual'!N31,0)))*parametros_manuales!$I$31*parametros_manuales!$J$31</f>
        <v>33.56720783676</v>
      </c>
      <c r="M68" s="9" t="n">
        <f aca="false">(parametros_manuales!$D$31*('Plan mensual'!O24+IF(parametros_manuales!$H$31="Todos",'Plan mensual'!O28,0))+parametros_manuales!$E$31*('Plan mensual'!O25+IF(parametros_manuales!$H$31="Todos",'Plan mensual'!O29,0))+parametros_manuales!$F$31*('Plan mensual'!O26+IF(parametros_manuales!$H$31="Todos",'Plan mensual'!O30,0))+parametros_manuales!$G$31*('Plan mensual'!O27+IF(parametros_manuales!$H$31="Todos",'Plan mensual'!O31,0)))*parametros_manuales!$I$31*parametros_manuales!$J$31</f>
        <v>53.37050436168</v>
      </c>
      <c r="N68" s="9" t="n">
        <f aca="false">SUM(B68:M68)</f>
        <v>458.797043728</v>
      </c>
      <c r="O68" s="9" t="n">
        <f aca="false">MAX(B68:M68)</f>
        <v>53.37050436168</v>
      </c>
      <c r="P68" s="43" t="n">
        <f aca="false">O68/(parametros_manuales!$B$7)</f>
        <v>0.3558033624112</v>
      </c>
      <c r="Q68" s="8" t="str">
        <f aca="false">IF(O68=0,"-",INDEX($B$55:$M$55,MATCH(O68,B68:M68,0)))</f>
        <v>Dic</v>
      </c>
    </row>
    <row r="69" customFormat="false" ht="14.25" hidden="false" customHeight="true" outlineLevel="0" collapsed="false">
      <c r="A69" s="8" t="str">
        <f aca="false">parametros_manuales!$B$32</f>
        <v>Prueba hidráulica</v>
      </c>
      <c r="B69" s="9" t="n">
        <f aca="false">(parametros_manuales!$D$32*('Plan mensual'!D24+IF(parametros_manuales!$H$32="Todos",'Plan mensual'!D28,0))+parametros_manuales!$E$32*('Plan mensual'!D25+IF(parametros_manuales!$H$32="Todos",'Plan mensual'!D29,0))+parametros_manuales!$F$32*('Plan mensual'!D26+IF(parametros_manuales!$H$32="Todos",'Plan mensual'!D30,0))+parametros_manuales!$G$32*('Plan mensual'!D27+IF(parametros_manuales!$H$32="Todos",'Plan mensual'!D31,0)))*parametros_manuales!$I$32*parametros_manuales!$J$32</f>
        <v>2584.2681738</v>
      </c>
      <c r="C69" s="9" t="n">
        <f aca="false">(parametros_manuales!$D$32*('Plan mensual'!E24+IF(parametros_manuales!$H$32="Todos",'Plan mensual'!E28,0))+parametros_manuales!$E$32*('Plan mensual'!E25+IF(parametros_manuales!$H$32="Todos",'Plan mensual'!E29,0))+parametros_manuales!$F$32*('Plan mensual'!E26+IF(parametros_manuales!$H$32="Todos",'Plan mensual'!E30,0))+parametros_manuales!$G$32*('Plan mensual'!E27+IF(parametros_manuales!$H$32="Todos",'Plan mensual'!E31,0)))*parametros_manuales!$I$32*parametros_manuales!$J$32</f>
        <v>1980.329652492</v>
      </c>
      <c r="D69" s="9" t="n">
        <f aca="false">(parametros_manuales!$D$32*('Plan mensual'!F24+IF(parametros_manuales!$H$32="Todos",'Plan mensual'!F28,0))+parametros_manuales!$E$32*('Plan mensual'!F25+IF(parametros_manuales!$H$32="Todos",'Plan mensual'!F29,0))+parametros_manuales!$F$32*('Plan mensual'!F26+IF(parametros_manuales!$H$32="Todos",'Plan mensual'!F30,0))+parametros_manuales!$G$32*('Plan mensual'!F27+IF(parametros_manuales!$H$32="Todos",'Plan mensual'!F31,0)))*parametros_manuales!$I$32*parametros_manuales!$J$32</f>
        <v>1877.316697054</v>
      </c>
      <c r="E69" s="9" t="n">
        <f aca="false">(parametros_manuales!$D$32*('Plan mensual'!G24+IF(parametros_manuales!$H$32="Todos",'Plan mensual'!G28,0))+parametros_manuales!$E$32*('Plan mensual'!G25+IF(parametros_manuales!$H$32="Todos",'Plan mensual'!G29,0))+parametros_manuales!$F$32*('Plan mensual'!G26+IF(parametros_manuales!$H$32="Todos",'Plan mensual'!G30,0))+parametros_manuales!$G$32*('Plan mensual'!G27+IF(parametros_manuales!$H$32="Todos",'Plan mensual'!G31,0)))*parametros_manuales!$I$32*parametros_manuales!$J$32</f>
        <v>1804.745958264</v>
      </c>
      <c r="F69" s="9" t="n">
        <f aca="false">(parametros_manuales!$D$32*('Plan mensual'!H24+IF(parametros_manuales!$H$32="Todos",'Plan mensual'!H28,0))+parametros_manuales!$E$32*('Plan mensual'!H25+IF(parametros_manuales!$H$32="Todos",'Plan mensual'!H29,0))+parametros_manuales!$F$32*('Plan mensual'!H26+IF(parametros_manuales!$H$32="Todos",'Plan mensual'!H30,0))+parametros_manuales!$G$32*('Plan mensual'!H27+IF(parametros_manuales!$H$32="Todos",'Plan mensual'!H31,0)))*parametros_manuales!$I$32*parametros_manuales!$J$32</f>
        <v>1690.046697332</v>
      </c>
      <c r="G69" s="9" t="n">
        <f aca="false">(parametros_manuales!$D$32*('Plan mensual'!I24+IF(parametros_manuales!$H$32="Todos",'Plan mensual'!I28,0))+parametros_manuales!$E$32*('Plan mensual'!I25+IF(parametros_manuales!$H$32="Todos",'Plan mensual'!I29,0))+parametros_manuales!$F$32*('Plan mensual'!I26+IF(parametros_manuales!$H$32="Todos",'Plan mensual'!I30,0))+parametros_manuales!$G$32*('Plan mensual'!I27+IF(parametros_manuales!$H$32="Todos",'Plan mensual'!I31,0)))*parametros_manuales!$I$32*parametros_manuales!$J$32</f>
        <v>1647.91817519</v>
      </c>
      <c r="H69" s="9" t="n">
        <f aca="false">(parametros_manuales!$D$32*('Plan mensual'!J24+IF(parametros_manuales!$H$32="Todos",'Plan mensual'!J28,0))+parametros_manuales!$E$32*('Plan mensual'!J25+IF(parametros_manuales!$H$32="Todos",'Plan mensual'!J29,0))+parametros_manuales!$F$32*('Plan mensual'!J26+IF(parametros_manuales!$H$32="Todos",'Plan mensual'!J30,0))+parametros_manuales!$G$32*('Plan mensual'!J27+IF(parametros_manuales!$H$32="Todos",'Plan mensual'!J31,0)))*parametros_manuales!$I$32*parametros_manuales!$J$32</f>
        <v>1762.617436122</v>
      </c>
      <c r="I69" s="9" t="n">
        <f aca="false">(parametros_manuales!$D$32*('Plan mensual'!K24+IF(parametros_manuales!$H$32="Todos",'Plan mensual'!K28,0))+parametros_manuales!$E$32*('Plan mensual'!K25+IF(parametros_manuales!$H$32="Todos",'Plan mensual'!K29,0))+parametros_manuales!$F$32*('Plan mensual'!K26+IF(parametros_manuales!$H$32="Todos",'Plan mensual'!K30,0))+parametros_manuales!$G$32*('Plan mensual'!K27+IF(parametros_manuales!$H$32="Todos",'Plan mensual'!K31,0)))*parametros_manuales!$I$32*parametros_manuales!$J$32</f>
        <v>1762.617436122</v>
      </c>
      <c r="J69" s="9" t="n">
        <f aca="false">(parametros_manuales!$D$32*('Plan mensual'!L24+IF(parametros_manuales!$H$32="Todos",'Plan mensual'!L28,0))+parametros_manuales!$E$32*('Plan mensual'!L25+IF(parametros_manuales!$H$32="Todos",'Plan mensual'!L29,0))+parametros_manuales!$F$32*('Plan mensual'!L26+IF(parametros_manuales!$H$32="Todos",'Plan mensual'!L30,0))+parametros_manuales!$G$32*('Plan mensual'!L27+IF(parametros_manuales!$H$32="Todos",'Plan mensual'!L31,0)))*parametros_manuales!$I$32*parametros_manuales!$J$32</f>
        <v>1762.617436122</v>
      </c>
      <c r="K69" s="9" t="n">
        <f aca="false">(parametros_manuales!$D$32*('Plan mensual'!M24+IF(parametros_manuales!$H$32="Todos",'Plan mensual'!M28,0))+parametros_manuales!$E$32*('Plan mensual'!M25+IF(parametros_manuales!$H$32="Todos",'Plan mensual'!M29,0))+parametros_manuales!$F$32*('Plan mensual'!M26+IF(parametros_manuales!$H$32="Todos",'Plan mensual'!M30,0))+parametros_manuales!$G$32*('Plan mensual'!M27+IF(parametros_manuales!$H$32="Todos",'Plan mensual'!M31,0)))*parametros_manuales!$I$32*parametros_manuales!$J$32</f>
        <v>1720.48891398</v>
      </c>
      <c r="L69" s="9" t="n">
        <f aca="false">(parametros_manuales!$D$32*('Plan mensual'!N24+IF(parametros_manuales!$H$32="Todos",'Plan mensual'!N28,0))+parametros_manuales!$E$32*('Plan mensual'!N25+IF(parametros_manuales!$H$32="Todos",'Plan mensual'!N29,0))+parametros_manuales!$F$32*('Plan mensual'!N26+IF(parametros_manuales!$H$32="Todos",'Plan mensual'!N30,0))+parametros_manuales!$G$32*('Plan mensual'!N27+IF(parametros_manuales!$H$32="Todos",'Plan mensual'!N31,0)))*parametros_manuales!$I$32*parametros_manuales!$J$32</f>
        <v>1678.360391838</v>
      </c>
      <c r="M69" s="9" t="n">
        <f aca="false">(parametros_manuales!$D$32*('Plan mensual'!O24+IF(parametros_manuales!$H$32="Todos",'Plan mensual'!O28,0))+parametros_manuales!$E$32*('Plan mensual'!O25+IF(parametros_manuales!$H$32="Todos",'Plan mensual'!O29,0))+parametros_manuales!$F$32*('Plan mensual'!O26+IF(parametros_manuales!$H$32="Todos",'Plan mensual'!O30,0))+parametros_manuales!$G$32*('Plan mensual'!O27+IF(parametros_manuales!$H$32="Todos",'Plan mensual'!O31,0)))*parametros_manuales!$I$32*parametros_manuales!$J$32</f>
        <v>2668.525218084</v>
      </c>
      <c r="N69" s="9" t="n">
        <f aca="false">SUM(B69:M69)</f>
        <v>22939.8521864</v>
      </c>
      <c r="O69" s="9" t="n">
        <f aca="false">MAX(B69:M69)</f>
        <v>2668.525218084</v>
      </c>
      <c r="P69" s="43" t="n">
        <f aca="false">O69/(parametros_manuales!$B$7)</f>
        <v>17.79016812056</v>
      </c>
      <c r="Q69" s="8" t="str">
        <f aca="false">IF(O69=0,"-",INDEX($B$55:$M$55,MATCH(O69,B69:M69,0)))</f>
        <v>Dic</v>
      </c>
    </row>
    <row r="70" customFormat="false" ht="14.25" hidden="false" customHeight="true" outlineLevel="0" collapsed="false">
      <c r="A70" s="8" t="str">
        <f aca="false">parametros_manuales!$B$33</f>
        <v>Secado</v>
      </c>
      <c r="B70" s="9" t="n">
        <f aca="false">(parametros_manuales!$D$33*('Plan mensual'!D24+IF(parametros_manuales!$H$33="Todos",'Plan mensual'!D28,0))+parametros_manuales!$E$33*('Plan mensual'!D25+IF(parametros_manuales!$H$33="Todos",'Plan mensual'!D29,0))+parametros_manuales!$F$33*('Plan mensual'!D26+IF(parametros_manuales!$H$33="Todos",'Plan mensual'!D30,0))+parametros_manuales!$G$33*('Plan mensual'!D27+IF(parametros_manuales!$H$33="Todos",'Plan mensual'!D31,0)))*parametros_manuales!$I$33*parametros_manuales!$J$33</f>
        <v>2584.2681738</v>
      </c>
      <c r="C70" s="9" t="n">
        <f aca="false">(parametros_manuales!$D$33*('Plan mensual'!E24+IF(parametros_manuales!$H$33="Todos",'Plan mensual'!E28,0))+parametros_manuales!$E$33*('Plan mensual'!E25+IF(parametros_manuales!$H$33="Todos",'Plan mensual'!E29,0))+parametros_manuales!$F$33*('Plan mensual'!E26+IF(parametros_manuales!$H$33="Todos",'Plan mensual'!E30,0))+parametros_manuales!$G$33*('Plan mensual'!E27+IF(parametros_manuales!$H$33="Todos",'Plan mensual'!E31,0)))*parametros_manuales!$I$33*parametros_manuales!$J$33</f>
        <v>1980.329652492</v>
      </c>
      <c r="D70" s="9" t="n">
        <f aca="false">(parametros_manuales!$D$33*('Plan mensual'!F24+IF(parametros_manuales!$H$33="Todos",'Plan mensual'!F28,0))+parametros_manuales!$E$33*('Plan mensual'!F25+IF(parametros_manuales!$H$33="Todos",'Plan mensual'!F29,0))+parametros_manuales!$F$33*('Plan mensual'!F26+IF(parametros_manuales!$H$33="Todos",'Plan mensual'!F30,0))+parametros_manuales!$G$33*('Plan mensual'!F27+IF(parametros_manuales!$H$33="Todos",'Plan mensual'!F31,0)))*parametros_manuales!$I$33*parametros_manuales!$J$33</f>
        <v>1877.316697054</v>
      </c>
      <c r="E70" s="9" t="n">
        <f aca="false">(parametros_manuales!$D$33*('Plan mensual'!G24+IF(parametros_manuales!$H$33="Todos",'Plan mensual'!G28,0))+parametros_manuales!$E$33*('Plan mensual'!G25+IF(parametros_manuales!$H$33="Todos",'Plan mensual'!G29,0))+parametros_manuales!$F$33*('Plan mensual'!G26+IF(parametros_manuales!$H$33="Todos",'Plan mensual'!G30,0))+parametros_manuales!$G$33*('Plan mensual'!G27+IF(parametros_manuales!$H$33="Todos",'Plan mensual'!G31,0)))*parametros_manuales!$I$33*parametros_manuales!$J$33</f>
        <v>1804.745958264</v>
      </c>
      <c r="F70" s="9" t="n">
        <f aca="false">(parametros_manuales!$D$33*('Plan mensual'!H24+IF(parametros_manuales!$H$33="Todos",'Plan mensual'!H28,0))+parametros_manuales!$E$33*('Plan mensual'!H25+IF(parametros_manuales!$H$33="Todos",'Plan mensual'!H29,0))+parametros_manuales!$F$33*('Plan mensual'!H26+IF(parametros_manuales!$H$33="Todos",'Plan mensual'!H30,0))+parametros_manuales!$G$33*('Plan mensual'!H27+IF(parametros_manuales!$H$33="Todos",'Plan mensual'!H31,0)))*parametros_manuales!$I$33*parametros_manuales!$J$33</f>
        <v>1690.046697332</v>
      </c>
      <c r="G70" s="9" t="n">
        <f aca="false">(parametros_manuales!$D$33*('Plan mensual'!I24+IF(parametros_manuales!$H$33="Todos",'Plan mensual'!I28,0))+parametros_manuales!$E$33*('Plan mensual'!I25+IF(parametros_manuales!$H$33="Todos",'Plan mensual'!I29,0))+parametros_manuales!$F$33*('Plan mensual'!I26+IF(parametros_manuales!$H$33="Todos",'Plan mensual'!I30,0))+parametros_manuales!$G$33*('Plan mensual'!I27+IF(parametros_manuales!$H$33="Todos",'Plan mensual'!I31,0)))*parametros_manuales!$I$33*parametros_manuales!$J$33</f>
        <v>1647.91817519</v>
      </c>
      <c r="H70" s="9" t="n">
        <f aca="false">(parametros_manuales!$D$33*('Plan mensual'!J24+IF(parametros_manuales!$H$33="Todos",'Plan mensual'!J28,0))+parametros_manuales!$E$33*('Plan mensual'!J25+IF(parametros_manuales!$H$33="Todos",'Plan mensual'!J29,0))+parametros_manuales!$F$33*('Plan mensual'!J26+IF(parametros_manuales!$H$33="Todos",'Plan mensual'!J30,0))+parametros_manuales!$G$33*('Plan mensual'!J27+IF(parametros_manuales!$H$33="Todos",'Plan mensual'!J31,0)))*parametros_manuales!$I$33*parametros_manuales!$J$33</f>
        <v>1762.617436122</v>
      </c>
      <c r="I70" s="9" t="n">
        <f aca="false">(parametros_manuales!$D$33*('Plan mensual'!K24+IF(parametros_manuales!$H$33="Todos",'Plan mensual'!K28,0))+parametros_manuales!$E$33*('Plan mensual'!K25+IF(parametros_manuales!$H$33="Todos",'Plan mensual'!K29,0))+parametros_manuales!$F$33*('Plan mensual'!K26+IF(parametros_manuales!$H$33="Todos",'Plan mensual'!K30,0))+parametros_manuales!$G$33*('Plan mensual'!K27+IF(parametros_manuales!$H$33="Todos",'Plan mensual'!K31,0)))*parametros_manuales!$I$33*parametros_manuales!$J$33</f>
        <v>1762.617436122</v>
      </c>
      <c r="J70" s="9" t="n">
        <f aca="false">(parametros_manuales!$D$33*('Plan mensual'!L24+IF(parametros_manuales!$H$33="Todos",'Plan mensual'!L28,0))+parametros_manuales!$E$33*('Plan mensual'!L25+IF(parametros_manuales!$H$33="Todos",'Plan mensual'!L29,0))+parametros_manuales!$F$33*('Plan mensual'!L26+IF(parametros_manuales!$H$33="Todos",'Plan mensual'!L30,0))+parametros_manuales!$G$33*('Plan mensual'!L27+IF(parametros_manuales!$H$33="Todos",'Plan mensual'!L31,0)))*parametros_manuales!$I$33*parametros_manuales!$J$33</f>
        <v>1762.617436122</v>
      </c>
      <c r="K70" s="9" t="n">
        <f aca="false">(parametros_manuales!$D$33*('Plan mensual'!M24+IF(parametros_manuales!$H$33="Todos",'Plan mensual'!M28,0))+parametros_manuales!$E$33*('Plan mensual'!M25+IF(parametros_manuales!$H$33="Todos",'Plan mensual'!M29,0))+parametros_manuales!$F$33*('Plan mensual'!M26+IF(parametros_manuales!$H$33="Todos",'Plan mensual'!M30,0))+parametros_manuales!$G$33*('Plan mensual'!M27+IF(parametros_manuales!$H$33="Todos",'Plan mensual'!M31,0)))*parametros_manuales!$I$33*parametros_manuales!$J$33</f>
        <v>1720.48891398</v>
      </c>
      <c r="L70" s="9" t="n">
        <f aca="false">(parametros_manuales!$D$33*('Plan mensual'!N24+IF(parametros_manuales!$H$33="Todos",'Plan mensual'!N28,0))+parametros_manuales!$E$33*('Plan mensual'!N25+IF(parametros_manuales!$H$33="Todos",'Plan mensual'!N29,0))+parametros_manuales!$F$33*('Plan mensual'!N26+IF(parametros_manuales!$H$33="Todos",'Plan mensual'!N30,0))+parametros_manuales!$G$33*('Plan mensual'!N27+IF(parametros_manuales!$H$33="Todos",'Plan mensual'!N31,0)))*parametros_manuales!$I$33*parametros_manuales!$J$33</f>
        <v>1678.360391838</v>
      </c>
      <c r="M70" s="9" t="n">
        <f aca="false">(parametros_manuales!$D$33*('Plan mensual'!O24+IF(parametros_manuales!$H$33="Todos",'Plan mensual'!O28,0))+parametros_manuales!$E$33*('Plan mensual'!O25+IF(parametros_manuales!$H$33="Todos",'Plan mensual'!O29,0))+parametros_manuales!$F$33*('Plan mensual'!O26+IF(parametros_manuales!$H$33="Todos",'Plan mensual'!O30,0))+parametros_manuales!$G$33*('Plan mensual'!O27+IF(parametros_manuales!$H$33="Todos",'Plan mensual'!O31,0)))*parametros_manuales!$I$33*parametros_manuales!$J$33</f>
        <v>2668.525218084</v>
      </c>
      <c r="N70" s="9" t="n">
        <f aca="false">SUM(B70:M70)</f>
        <v>22939.8521864</v>
      </c>
      <c r="O70" s="9" t="n">
        <f aca="false">MAX(B70:M70)</f>
        <v>2668.525218084</v>
      </c>
      <c r="P70" s="43" t="n">
        <f aca="false">O70/(parametros_manuales!$B$7)</f>
        <v>17.79016812056</v>
      </c>
      <c r="Q70" s="8" t="str">
        <f aca="false">IF(O70=0,"-",INDEX($B$55:$M$55,MATCH(O70,B70:M70,0)))</f>
        <v>Dic</v>
      </c>
    </row>
    <row r="71" customFormat="false" ht="14.25" hidden="false" customHeight="true" outlineLevel="0" collapsed="false">
      <c r="A71" s="8" t="str">
        <f aca="false">parametros_manuales!$B$34</f>
        <v>Granallado</v>
      </c>
      <c r="B71" s="9" t="n">
        <f aca="false">(parametros_manuales!$D$34*('Plan mensual'!D24+IF(parametros_manuales!$H$34="Todos",'Plan mensual'!D28,0))+parametros_manuales!$E$34*('Plan mensual'!D25+IF(parametros_manuales!$H$34="Todos",'Plan mensual'!D29,0))+parametros_manuales!$F$34*('Plan mensual'!D26+IF(parametros_manuales!$H$34="Todos",'Plan mensual'!D30,0))+parametros_manuales!$G$34*('Plan mensual'!D27+IF(parametros_manuales!$H$34="Todos",'Plan mensual'!D31,0)))*parametros_manuales!$I$34*parametros_manuales!$J$34</f>
        <v>2584.2681738</v>
      </c>
      <c r="C71" s="9" t="n">
        <f aca="false">(parametros_manuales!$D$34*('Plan mensual'!E24+IF(parametros_manuales!$H$34="Todos",'Plan mensual'!E28,0))+parametros_manuales!$E$34*('Plan mensual'!E25+IF(parametros_manuales!$H$34="Todos",'Plan mensual'!E29,0))+parametros_manuales!$F$34*('Plan mensual'!E26+IF(parametros_manuales!$H$34="Todos",'Plan mensual'!E30,0))+parametros_manuales!$G$34*('Plan mensual'!E27+IF(parametros_manuales!$H$34="Todos",'Plan mensual'!E31,0)))*parametros_manuales!$I$34*parametros_manuales!$J$34</f>
        <v>1980.329652492</v>
      </c>
      <c r="D71" s="9" t="n">
        <f aca="false">(parametros_manuales!$D$34*('Plan mensual'!F24+IF(parametros_manuales!$H$34="Todos",'Plan mensual'!F28,0))+parametros_manuales!$E$34*('Plan mensual'!F25+IF(parametros_manuales!$H$34="Todos",'Plan mensual'!F29,0))+parametros_manuales!$F$34*('Plan mensual'!F26+IF(parametros_manuales!$H$34="Todos",'Plan mensual'!F30,0))+parametros_manuales!$G$34*('Plan mensual'!F27+IF(parametros_manuales!$H$34="Todos",'Plan mensual'!F31,0)))*parametros_manuales!$I$34*parametros_manuales!$J$34</f>
        <v>1877.316697054</v>
      </c>
      <c r="E71" s="9" t="n">
        <f aca="false">(parametros_manuales!$D$34*('Plan mensual'!G24+IF(parametros_manuales!$H$34="Todos",'Plan mensual'!G28,0))+parametros_manuales!$E$34*('Plan mensual'!G25+IF(parametros_manuales!$H$34="Todos",'Plan mensual'!G29,0))+parametros_manuales!$F$34*('Plan mensual'!G26+IF(parametros_manuales!$H$34="Todos",'Plan mensual'!G30,0))+parametros_manuales!$G$34*('Plan mensual'!G27+IF(parametros_manuales!$H$34="Todos",'Plan mensual'!G31,0)))*parametros_manuales!$I$34*parametros_manuales!$J$34</f>
        <v>1804.745958264</v>
      </c>
      <c r="F71" s="9" t="n">
        <f aca="false">(parametros_manuales!$D$34*('Plan mensual'!H24+IF(parametros_manuales!$H$34="Todos",'Plan mensual'!H28,0))+parametros_manuales!$E$34*('Plan mensual'!H25+IF(parametros_manuales!$H$34="Todos",'Plan mensual'!H29,0))+parametros_manuales!$F$34*('Plan mensual'!H26+IF(parametros_manuales!$H$34="Todos",'Plan mensual'!H30,0))+parametros_manuales!$G$34*('Plan mensual'!H27+IF(parametros_manuales!$H$34="Todos",'Plan mensual'!H31,0)))*parametros_manuales!$I$34*parametros_manuales!$J$34</f>
        <v>1690.046697332</v>
      </c>
      <c r="G71" s="9" t="n">
        <f aca="false">(parametros_manuales!$D$34*('Plan mensual'!I24+IF(parametros_manuales!$H$34="Todos",'Plan mensual'!I28,0))+parametros_manuales!$E$34*('Plan mensual'!I25+IF(parametros_manuales!$H$34="Todos",'Plan mensual'!I29,0))+parametros_manuales!$F$34*('Plan mensual'!I26+IF(parametros_manuales!$H$34="Todos",'Plan mensual'!I30,0))+parametros_manuales!$G$34*('Plan mensual'!I27+IF(parametros_manuales!$H$34="Todos",'Plan mensual'!I31,0)))*parametros_manuales!$I$34*parametros_manuales!$J$34</f>
        <v>1647.91817519</v>
      </c>
      <c r="H71" s="9" t="n">
        <f aca="false">(parametros_manuales!$D$34*('Plan mensual'!J24+IF(parametros_manuales!$H$34="Todos",'Plan mensual'!J28,0))+parametros_manuales!$E$34*('Plan mensual'!J25+IF(parametros_manuales!$H$34="Todos",'Plan mensual'!J29,0))+parametros_manuales!$F$34*('Plan mensual'!J26+IF(parametros_manuales!$H$34="Todos",'Plan mensual'!J30,0))+parametros_manuales!$G$34*('Plan mensual'!J27+IF(parametros_manuales!$H$34="Todos",'Plan mensual'!J31,0)))*parametros_manuales!$I$34*parametros_manuales!$J$34</f>
        <v>1762.617436122</v>
      </c>
      <c r="I71" s="9" t="n">
        <f aca="false">(parametros_manuales!$D$34*('Plan mensual'!K24+IF(parametros_manuales!$H$34="Todos",'Plan mensual'!K28,0))+parametros_manuales!$E$34*('Plan mensual'!K25+IF(parametros_manuales!$H$34="Todos",'Plan mensual'!K29,0))+parametros_manuales!$F$34*('Plan mensual'!K26+IF(parametros_manuales!$H$34="Todos",'Plan mensual'!K30,0))+parametros_manuales!$G$34*('Plan mensual'!K27+IF(parametros_manuales!$H$34="Todos",'Plan mensual'!K31,0)))*parametros_manuales!$I$34*parametros_manuales!$J$34</f>
        <v>1762.617436122</v>
      </c>
      <c r="J71" s="9" t="n">
        <f aca="false">(parametros_manuales!$D$34*('Plan mensual'!L24+IF(parametros_manuales!$H$34="Todos",'Plan mensual'!L28,0))+parametros_manuales!$E$34*('Plan mensual'!L25+IF(parametros_manuales!$H$34="Todos",'Plan mensual'!L29,0))+parametros_manuales!$F$34*('Plan mensual'!L26+IF(parametros_manuales!$H$34="Todos",'Plan mensual'!L30,0))+parametros_manuales!$G$34*('Plan mensual'!L27+IF(parametros_manuales!$H$34="Todos",'Plan mensual'!L31,0)))*parametros_manuales!$I$34*parametros_manuales!$J$34</f>
        <v>1762.617436122</v>
      </c>
      <c r="K71" s="9" t="n">
        <f aca="false">(parametros_manuales!$D$34*('Plan mensual'!M24+IF(parametros_manuales!$H$34="Todos",'Plan mensual'!M28,0))+parametros_manuales!$E$34*('Plan mensual'!M25+IF(parametros_manuales!$H$34="Todos",'Plan mensual'!M29,0))+parametros_manuales!$F$34*('Plan mensual'!M26+IF(parametros_manuales!$H$34="Todos",'Plan mensual'!M30,0))+parametros_manuales!$G$34*('Plan mensual'!M27+IF(parametros_manuales!$H$34="Todos",'Plan mensual'!M31,0)))*parametros_manuales!$I$34*parametros_manuales!$J$34</f>
        <v>1720.48891398</v>
      </c>
      <c r="L71" s="9" t="n">
        <f aca="false">(parametros_manuales!$D$34*('Plan mensual'!N24+IF(parametros_manuales!$H$34="Todos",'Plan mensual'!N28,0))+parametros_manuales!$E$34*('Plan mensual'!N25+IF(parametros_manuales!$H$34="Todos",'Plan mensual'!N29,0))+parametros_manuales!$F$34*('Plan mensual'!N26+IF(parametros_manuales!$H$34="Todos",'Plan mensual'!N30,0))+parametros_manuales!$G$34*('Plan mensual'!N27+IF(parametros_manuales!$H$34="Todos",'Plan mensual'!N31,0)))*parametros_manuales!$I$34*parametros_manuales!$J$34</f>
        <v>1678.360391838</v>
      </c>
      <c r="M71" s="9" t="n">
        <f aca="false">(parametros_manuales!$D$34*('Plan mensual'!O24+IF(parametros_manuales!$H$34="Todos",'Plan mensual'!O28,0))+parametros_manuales!$E$34*('Plan mensual'!O25+IF(parametros_manuales!$H$34="Todos",'Plan mensual'!O29,0))+parametros_manuales!$F$34*('Plan mensual'!O26+IF(parametros_manuales!$H$34="Todos",'Plan mensual'!O30,0))+parametros_manuales!$G$34*('Plan mensual'!O27+IF(parametros_manuales!$H$34="Todos",'Plan mensual'!O31,0)))*parametros_manuales!$I$34*parametros_manuales!$J$34</f>
        <v>2668.525218084</v>
      </c>
      <c r="N71" s="9" t="n">
        <f aca="false">SUM(B71:M71)</f>
        <v>22939.8521864</v>
      </c>
      <c r="O71" s="9" t="n">
        <f aca="false">MAX(B71:M71)</f>
        <v>2668.525218084</v>
      </c>
      <c r="P71" s="43" t="n">
        <f aca="false">O71/(parametros_manuales!$B$7)</f>
        <v>17.79016812056</v>
      </c>
      <c r="Q71" s="8" t="str">
        <f aca="false">IF(O71=0,"-",INDEX($B$55:$M$55,MATCH(O71,B71:M71,0)))</f>
        <v>Dic</v>
      </c>
    </row>
    <row r="72" customFormat="false" ht="14.25" hidden="false" customHeight="true" outlineLevel="0" collapsed="false">
      <c r="A72" s="8" t="str">
        <f aca="false">parametros_manuales!$B$35</f>
        <v>Detección de defectos</v>
      </c>
      <c r="B72" s="9" t="n">
        <f aca="false">(parametros_manuales!$D$35*('Plan mensual'!D24+IF(parametros_manuales!$H$35="Todos",'Plan mensual'!D28,0))+parametros_manuales!$E$35*('Plan mensual'!D25+IF(parametros_manuales!$H$35="Todos",'Plan mensual'!D29,0))+parametros_manuales!$F$35*('Plan mensual'!D26+IF(parametros_manuales!$H$35="Todos",'Plan mensual'!D30,0))+parametros_manuales!$G$35*('Plan mensual'!D27+IF(parametros_manuales!$H$35="Todos",'Plan mensual'!D31,0)))*parametros_manuales!$I$35*parametros_manuales!$J$35</f>
        <v>2584.2681738</v>
      </c>
      <c r="C72" s="9" t="n">
        <f aca="false">(parametros_manuales!$D$35*('Plan mensual'!E24+IF(parametros_manuales!$H$35="Todos",'Plan mensual'!E28,0))+parametros_manuales!$E$35*('Plan mensual'!E25+IF(parametros_manuales!$H$35="Todos",'Plan mensual'!E29,0))+parametros_manuales!$F$35*('Plan mensual'!E26+IF(parametros_manuales!$H$35="Todos",'Plan mensual'!E30,0))+parametros_manuales!$G$35*('Plan mensual'!E27+IF(parametros_manuales!$H$35="Todos",'Plan mensual'!E31,0)))*parametros_manuales!$I$35*parametros_manuales!$J$35</f>
        <v>1980.329652492</v>
      </c>
      <c r="D72" s="9" t="n">
        <f aca="false">(parametros_manuales!$D$35*('Plan mensual'!F24+IF(parametros_manuales!$H$35="Todos",'Plan mensual'!F28,0))+parametros_manuales!$E$35*('Plan mensual'!F25+IF(parametros_manuales!$H$35="Todos",'Plan mensual'!F29,0))+parametros_manuales!$F$35*('Plan mensual'!F26+IF(parametros_manuales!$H$35="Todos",'Plan mensual'!F30,0))+parametros_manuales!$G$35*('Plan mensual'!F27+IF(parametros_manuales!$H$35="Todos",'Plan mensual'!F31,0)))*parametros_manuales!$I$35*parametros_manuales!$J$35</f>
        <v>1877.316697054</v>
      </c>
      <c r="E72" s="9" t="n">
        <f aca="false">(parametros_manuales!$D$35*('Plan mensual'!G24+IF(parametros_manuales!$H$35="Todos",'Plan mensual'!G28,0))+parametros_manuales!$E$35*('Plan mensual'!G25+IF(parametros_manuales!$H$35="Todos",'Plan mensual'!G29,0))+parametros_manuales!$F$35*('Plan mensual'!G26+IF(parametros_manuales!$H$35="Todos",'Plan mensual'!G30,0))+parametros_manuales!$G$35*('Plan mensual'!G27+IF(parametros_manuales!$H$35="Todos",'Plan mensual'!G31,0)))*parametros_manuales!$I$35*parametros_manuales!$J$35</f>
        <v>1804.745958264</v>
      </c>
      <c r="F72" s="9" t="n">
        <f aca="false">(parametros_manuales!$D$35*('Plan mensual'!H24+IF(parametros_manuales!$H$35="Todos",'Plan mensual'!H28,0))+parametros_manuales!$E$35*('Plan mensual'!H25+IF(parametros_manuales!$H$35="Todos",'Plan mensual'!H29,0))+parametros_manuales!$F$35*('Plan mensual'!H26+IF(parametros_manuales!$H$35="Todos",'Plan mensual'!H30,0))+parametros_manuales!$G$35*('Plan mensual'!H27+IF(parametros_manuales!$H$35="Todos",'Plan mensual'!H31,0)))*parametros_manuales!$I$35*parametros_manuales!$J$35</f>
        <v>1690.046697332</v>
      </c>
      <c r="G72" s="9" t="n">
        <f aca="false">(parametros_manuales!$D$35*('Plan mensual'!I24+IF(parametros_manuales!$H$35="Todos",'Plan mensual'!I28,0))+parametros_manuales!$E$35*('Plan mensual'!I25+IF(parametros_manuales!$H$35="Todos",'Plan mensual'!I29,0))+parametros_manuales!$F$35*('Plan mensual'!I26+IF(parametros_manuales!$H$35="Todos",'Plan mensual'!I30,0))+parametros_manuales!$G$35*('Plan mensual'!I27+IF(parametros_manuales!$H$35="Todos",'Plan mensual'!I31,0)))*parametros_manuales!$I$35*parametros_manuales!$J$35</f>
        <v>1647.91817519</v>
      </c>
      <c r="H72" s="9" t="n">
        <f aca="false">(parametros_manuales!$D$35*('Plan mensual'!J24+IF(parametros_manuales!$H$35="Todos",'Plan mensual'!J28,0))+parametros_manuales!$E$35*('Plan mensual'!J25+IF(parametros_manuales!$H$35="Todos",'Plan mensual'!J29,0))+parametros_manuales!$F$35*('Plan mensual'!J26+IF(parametros_manuales!$H$35="Todos",'Plan mensual'!J30,0))+parametros_manuales!$G$35*('Plan mensual'!J27+IF(parametros_manuales!$H$35="Todos",'Plan mensual'!J31,0)))*parametros_manuales!$I$35*parametros_manuales!$J$35</f>
        <v>1762.617436122</v>
      </c>
      <c r="I72" s="9" t="n">
        <f aca="false">(parametros_manuales!$D$35*('Plan mensual'!K24+IF(parametros_manuales!$H$35="Todos",'Plan mensual'!K28,0))+parametros_manuales!$E$35*('Plan mensual'!K25+IF(parametros_manuales!$H$35="Todos",'Plan mensual'!K29,0))+parametros_manuales!$F$35*('Plan mensual'!K26+IF(parametros_manuales!$H$35="Todos",'Plan mensual'!K30,0))+parametros_manuales!$G$35*('Plan mensual'!K27+IF(parametros_manuales!$H$35="Todos",'Plan mensual'!K31,0)))*parametros_manuales!$I$35*parametros_manuales!$J$35</f>
        <v>1762.617436122</v>
      </c>
      <c r="J72" s="9" t="n">
        <f aca="false">(parametros_manuales!$D$35*('Plan mensual'!L24+IF(parametros_manuales!$H$35="Todos",'Plan mensual'!L28,0))+parametros_manuales!$E$35*('Plan mensual'!L25+IF(parametros_manuales!$H$35="Todos",'Plan mensual'!L29,0))+parametros_manuales!$F$35*('Plan mensual'!L26+IF(parametros_manuales!$H$35="Todos",'Plan mensual'!L30,0))+parametros_manuales!$G$35*('Plan mensual'!L27+IF(parametros_manuales!$H$35="Todos",'Plan mensual'!L31,0)))*parametros_manuales!$I$35*parametros_manuales!$J$35</f>
        <v>1762.617436122</v>
      </c>
      <c r="K72" s="9" t="n">
        <f aca="false">(parametros_manuales!$D$35*('Plan mensual'!M24+IF(parametros_manuales!$H$35="Todos",'Plan mensual'!M28,0))+parametros_manuales!$E$35*('Plan mensual'!M25+IF(parametros_manuales!$H$35="Todos",'Plan mensual'!M29,0))+parametros_manuales!$F$35*('Plan mensual'!M26+IF(parametros_manuales!$H$35="Todos",'Plan mensual'!M30,0))+parametros_manuales!$G$35*('Plan mensual'!M27+IF(parametros_manuales!$H$35="Todos",'Plan mensual'!M31,0)))*parametros_manuales!$I$35*parametros_manuales!$J$35</f>
        <v>1720.48891398</v>
      </c>
      <c r="L72" s="9" t="n">
        <f aca="false">(parametros_manuales!$D$35*('Plan mensual'!N24+IF(parametros_manuales!$H$35="Todos",'Plan mensual'!N28,0))+parametros_manuales!$E$35*('Plan mensual'!N25+IF(parametros_manuales!$H$35="Todos",'Plan mensual'!N29,0))+parametros_manuales!$F$35*('Plan mensual'!N26+IF(parametros_manuales!$H$35="Todos",'Plan mensual'!N30,0))+parametros_manuales!$G$35*('Plan mensual'!N27+IF(parametros_manuales!$H$35="Todos",'Plan mensual'!N31,0)))*parametros_manuales!$I$35*parametros_manuales!$J$35</f>
        <v>1678.360391838</v>
      </c>
      <c r="M72" s="9" t="n">
        <f aca="false">(parametros_manuales!$D$35*('Plan mensual'!O24+IF(parametros_manuales!$H$35="Todos",'Plan mensual'!O28,0))+parametros_manuales!$E$35*('Plan mensual'!O25+IF(parametros_manuales!$H$35="Todos",'Plan mensual'!O29,0))+parametros_manuales!$F$35*('Plan mensual'!O26+IF(parametros_manuales!$H$35="Todos",'Plan mensual'!O30,0))+parametros_manuales!$G$35*('Plan mensual'!O27+IF(parametros_manuales!$H$35="Todos",'Plan mensual'!O31,0)))*parametros_manuales!$I$35*parametros_manuales!$J$35</f>
        <v>2668.525218084</v>
      </c>
      <c r="N72" s="9" t="n">
        <f aca="false">SUM(B72:M72)</f>
        <v>22939.8521864</v>
      </c>
      <c r="O72" s="9" t="n">
        <f aca="false">MAX(B72:M72)</f>
        <v>2668.525218084</v>
      </c>
      <c r="P72" s="43" t="n">
        <f aca="false">O72/(parametros_manuales!$B$7)</f>
        <v>17.79016812056</v>
      </c>
      <c r="Q72" s="8" t="str">
        <f aca="false">IF(O72=0,"-",INDEX($B$55:$M$55,MATCH(O72,B72:M72,0)))</f>
        <v>Dic</v>
      </c>
    </row>
    <row r="73" customFormat="false" ht="14.25" hidden="false" customHeight="true" outlineLevel="0" collapsed="false">
      <c r="A73" s="8" t="str">
        <f aca="false">parametros_manuales!$B$36</f>
        <v>Corrección de defectos</v>
      </c>
      <c r="B73" s="9" t="n">
        <f aca="false">(parametros_manuales!$D$36*('Plan mensual'!D24+IF(parametros_manuales!$H$36="Todos",'Plan mensual'!D28,0))+parametros_manuales!$E$36*('Plan mensual'!D25+IF(parametros_manuales!$H$36="Todos",'Plan mensual'!D29,0))+parametros_manuales!$F$36*('Plan mensual'!D26+IF(parametros_manuales!$H$36="Todos",'Plan mensual'!D30,0))+parametros_manuales!$G$36*('Plan mensual'!D27+IF(parametros_manuales!$H$36="Todos",'Plan mensual'!D31,0)))*parametros_manuales!$I$36*parametros_manuales!$J$36</f>
        <v>129.21340869</v>
      </c>
      <c r="C73" s="9" t="n">
        <f aca="false">(parametros_manuales!$D$36*('Plan mensual'!E24+IF(parametros_manuales!$H$36="Todos",'Plan mensual'!E28,0))+parametros_manuales!$E$36*('Plan mensual'!E25+IF(parametros_manuales!$H$36="Todos",'Plan mensual'!E29,0))+parametros_manuales!$F$36*('Plan mensual'!E26+IF(parametros_manuales!$H$36="Todos",'Plan mensual'!E30,0))+parametros_manuales!$G$36*('Plan mensual'!E27+IF(parametros_manuales!$H$36="Todos",'Plan mensual'!E31,0)))*parametros_manuales!$I$36*parametros_manuales!$J$36</f>
        <v>99.0164826246</v>
      </c>
      <c r="D73" s="9" t="n">
        <f aca="false">(parametros_manuales!$D$36*('Plan mensual'!F24+IF(parametros_manuales!$H$36="Todos",'Plan mensual'!F28,0))+parametros_manuales!$E$36*('Plan mensual'!F25+IF(parametros_manuales!$H$36="Todos",'Plan mensual'!F29,0))+parametros_manuales!$F$36*('Plan mensual'!F26+IF(parametros_manuales!$H$36="Todos",'Plan mensual'!F30,0))+parametros_manuales!$G$36*('Plan mensual'!F27+IF(parametros_manuales!$H$36="Todos",'Plan mensual'!F31,0)))*parametros_manuales!$I$36*parametros_manuales!$J$36</f>
        <v>93.8658348527</v>
      </c>
      <c r="E73" s="9" t="n">
        <f aca="false">(parametros_manuales!$D$36*('Plan mensual'!G24+IF(parametros_manuales!$H$36="Todos",'Plan mensual'!G28,0))+parametros_manuales!$E$36*('Plan mensual'!G25+IF(parametros_manuales!$H$36="Todos",'Plan mensual'!G29,0))+parametros_manuales!$F$36*('Plan mensual'!G26+IF(parametros_manuales!$H$36="Todos",'Plan mensual'!G30,0))+parametros_manuales!$G$36*('Plan mensual'!G27+IF(parametros_manuales!$H$36="Todos",'Plan mensual'!G31,0)))*parametros_manuales!$I$36*parametros_manuales!$J$36</f>
        <v>90.2372979132</v>
      </c>
      <c r="F73" s="9" t="n">
        <f aca="false">(parametros_manuales!$D$36*('Plan mensual'!H24+IF(parametros_manuales!$H$36="Todos",'Plan mensual'!H28,0))+parametros_manuales!$E$36*('Plan mensual'!H25+IF(parametros_manuales!$H$36="Todos",'Plan mensual'!H29,0))+parametros_manuales!$F$36*('Plan mensual'!H26+IF(parametros_manuales!$H$36="Todos",'Plan mensual'!H30,0))+parametros_manuales!$G$36*('Plan mensual'!H27+IF(parametros_manuales!$H$36="Todos",'Plan mensual'!H31,0)))*parametros_manuales!$I$36*parametros_manuales!$J$36</f>
        <v>84.5023348666</v>
      </c>
      <c r="G73" s="9" t="n">
        <f aca="false">(parametros_manuales!$D$36*('Plan mensual'!I24+IF(parametros_manuales!$H$36="Todos",'Plan mensual'!I28,0))+parametros_manuales!$E$36*('Plan mensual'!I25+IF(parametros_manuales!$H$36="Todos",'Plan mensual'!I29,0))+parametros_manuales!$F$36*('Plan mensual'!I26+IF(parametros_manuales!$H$36="Todos",'Plan mensual'!I30,0))+parametros_manuales!$G$36*('Plan mensual'!I27+IF(parametros_manuales!$H$36="Todos",'Plan mensual'!I31,0)))*parametros_manuales!$I$36*parametros_manuales!$J$36</f>
        <v>82.3959087595</v>
      </c>
      <c r="H73" s="9" t="n">
        <f aca="false">(parametros_manuales!$D$36*('Plan mensual'!J24+IF(parametros_manuales!$H$36="Todos",'Plan mensual'!J28,0))+parametros_manuales!$E$36*('Plan mensual'!J25+IF(parametros_manuales!$H$36="Todos",'Plan mensual'!J29,0))+parametros_manuales!$F$36*('Plan mensual'!J26+IF(parametros_manuales!$H$36="Todos",'Plan mensual'!J30,0))+parametros_manuales!$G$36*('Plan mensual'!J27+IF(parametros_manuales!$H$36="Todos",'Plan mensual'!J31,0)))*parametros_manuales!$I$36*parametros_manuales!$J$36</f>
        <v>88.1308718061</v>
      </c>
      <c r="I73" s="9" t="n">
        <f aca="false">(parametros_manuales!$D$36*('Plan mensual'!K24+IF(parametros_manuales!$H$36="Todos",'Plan mensual'!K28,0))+parametros_manuales!$E$36*('Plan mensual'!K25+IF(parametros_manuales!$H$36="Todos",'Plan mensual'!K29,0))+parametros_manuales!$F$36*('Plan mensual'!K26+IF(parametros_manuales!$H$36="Todos",'Plan mensual'!K30,0))+parametros_manuales!$G$36*('Plan mensual'!K27+IF(parametros_manuales!$H$36="Todos",'Plan mensual'!K31,0)))*parametros_manuales!$I$36*parametros_manuales!$J$36</f>
        <v>88.1308718061</v>
      </c>
      <c r="J73" s="9" t="n">
        <f aca="false">(parametros_manuales!$D$36*('Plan mensual'!L24+IF(parametros_manuales!$H$36="Todos",'Plan mensual'!L28,0))+parametros_manuales!$E$36*('Plan mensual'!L25+IF(parametros_manuales!$H$36="Todos",'Plan mensual'!L29,0))+parametros_manuales!$F$36*('Plan mensual'!L26+IF(parametros_manuales!$H$36="Todos",'Plan mensual'!L30,0))+parametros_manuales!$G$36*('Plan mensual'!L27+IF(parametros_manuales!$H$36="Todos",'Plan mensual'!L31,0)))*parametros_manuales!$I$36*parametros_manuales!$J$36</f>
        <v>88.1308718061</v>
      </c>
      <c r="K73" s="9" t="n">
        <f aca="false">(parametros_manuales!$D$36*('Plan mensual'!M24+IF(parametros_manuales!$H$36="Todos",'Plan mensual'!M28,0))+parametros_manuales!$E$36*('Plan mensual'!M25+IF(parametros_manuales!$H$36="Todos",'Plan mensual'!M29,0))+parametros_manuales!$F$36*('Plan mensual'!M26+IF(parametros_manuales!$H$36="Todos",'Plan mensual'!M30,0))+parametros_manuales!$G$36*('Plan mensual'!M27+IF(parametros_manuales!$H$36="Todos",'Plan mensual'!M31,0)))*parametros_manuales!$I$36*parametros_manuales!$J$36</f>
        <v>86.024445699</v>
      </c>
      <c r="L73" s="9" t="n">
        <f aca="false">(parametros_manuales!$D$36*('Plan mensual'!N24+IF(parametros_manuales!$H$36="Todos",'Plan mensual'!N28,0))+parametros_manuales!$E$36*('Plan mensual'!N25+IF(parametros_manuales!$H$36="Todos",'Plan mensual'!N29,0))+parametros_manuales!$F$36*('Plan mensual'!N26+IF(parametros_manuales!$H$36="Todos",'Plan mensual'!N30,0))+parametros_manuales!$G$36*('Plan mensual'!N27+IF(parametros_manuales!$H$36="Todos",'Plan mensual'!N31,0)))*parametros_manuales!$I$36*parametros_manuales!$J$36</f>
        <v>83.9180195919</v>
      </c>
      <c r="M73" s="9" t="n">
        <f aca="false">(parametros_manuales!$D$36*('Plan mensual'!O24+IF(parametros_manuales!$H$36="Todos",'Plan mensual'!O28,0))+parametros_manuales!$E$36*('Plan mensual'!O25+IF(parametros_manuales!$H$36="Todos",'Plan mensual'!O29,0))+parametros_manuales!$F$36*('Plan mensual'!O26+IF(parametros_manuales!$H$36="Todos",'Plan mensual'!O30,0))+parametros_manuales!$G$36*('Plan mensual'!O27+IF(parametros_manuales!$H$36="Todos",'Plan mensual'!O31,0)))*parametros_manuales!$I$36*parametros_manuales!$J$36</f>
        <v>133.4262609042</v>
      </c>
      <c r="N73" s="9" t="n">
        <f aca="false">SUM(B73:M73)</f>
        <v>1146.99260932</v>
      </c>
      <c r="O73" s="9" t="n">
        <f aca="false">MAX(B73:M73)</f>
        <v>133.4262609042</v>
      </c>
      <c r="P73" s="43" t="n">
        <f aca="false">O73/(parametros_manuales!$B$7)</f>
        <v>0.889508406028</v>
      </c>
      <c r="Q73" s="8" t="str">
        <f aca="false">IF(O73=0,"-",INDEX($B$55:$M$55,MATCH(O73,B73:M73,0)))</f>
        <v>Dic</v>
      </c>
    </row>
    <row r="74" customFormat="false" ht="14.25" hidden="false" customHeight="true" outlineLevel="0" collapsed="false">
      <c r="A74" s="8" t="str">
        <f aca="false">parametros_manuales!$B$37</f>
        <v>Pintura en polvo + horno</v>
      </c>
      <c r="B74" s="9" t="n">
        <f aca="false">(parametros_manuales!$D$37*('Plan mensual'!D24+IF(parametros_manuales!$H$37="Todos",'Plan mensual'!D28,0))+parametros_manuales!$E$37*('Plan mensual'!D25+IF(parametros_manuales!$H$37="Todos",'Plan mensual'!D29,0))+parametros_manuales!$F$37*('Plan mensual'!D26+IF(parametros_manuales!$H$37="Todos",'Plan mensual'!D30,0))+parametros_manuales!$G$37*('Plan mensual'!D27+IF(parametros_manuales!$H$37="Todos",'Plan mensual'!D31,0)))*parametros_manuales!$I$37*parametros_manuales!$J$37</f>
        <v>2584.2681738</v>
      </c>
      <c r="C74" s="9" t="n">
        <f aca="false">(parametros_manuales!$D$37*('Plan mensual'!E24+IF(parametros_manuales!$H$37="Todos",'Plan mensual'!E28,0))+parametros_manuales!$E$37*('Plan mensual'!E25+IF(parametros_manuales!$H$37="Todos",'Plan mensual'!E29,0))+parametros_manuales!$F$37*('Plan mensual'!E26+IF(parametros_manuales!$H$37="Todos",'Plan mensual'!E30,0))+parametros_manuales!$G$37*('Plan mensual'!E27+IF(parametros_manuales!$H$37="Todos",'Plan mensual'!E31,0)))*parametros_manuales!$I$37*parametros_manuales!$J$37</f>
        <v>1980.329652492</v>
      </c>
      <c r="D74" s="9" t="n">
        <f aca="false">(parametros_manuales!$D$37*('Plan mensual'!F24+IF(parametros_manuales!$H$37="Todos",'Plan mensual'!F28,0))+parametros_manuales!$E$37*('Plan mensual'!F25+IF(parametros_manuales!$H$37="Todos",'Plan mensual'!F29,0))+parametros_manuales!$F$37*('Plan mensual'!F26+IF(parametros_manuales!$H$37="Todos",'Plan mensual'!F30,0))+parametros_manuales!$G$37*('Plan mensual'!F27+IF(parametros_manuales!$H$37="Todos",'Plan mensual'!F31,0)))*parametros_manuales!$I$37*parametros_manuales!$J$37</f>
        <v>1877.316697054</v>
      </c>
      <c r="E74" s="9" t="n">
        <f aca="false">(parametros_manuales!$D$37*('Plan mensual'!G24+IF(parametros_manuales!$H$37="Todos",'Plan mensual'!G28,0))+parametros_manuales!$E$37*('Plan mensual'!G25+IF(parametros_manuales!$H$37="Todos",'Plan mensual'!G29,0))+parametros_manuales!$F$37*('Plan mensual'!G26+IF(parametros_manuales!$H$37="Todos",'Plan mensual'!G30,0))+parametros_manuales!$G$37*('Plan mensual'!G27+IF(parametros_manuales!$H$37="Todos",'Plan mensual'!G31,0)))*parametros_manuales!$I$37*parametros_manuales!$J$37</f>
        <v>1804.745958264</v>
      </c>
      <c r="F74" s="9" t="n">
        <f aca="false">(parametros_manuales!$D$37*('Plan mensual'!H24+IF(parametros_manuales!$H$37="Todos",'Plan mensual'!H28,0))+parametros_manuales!$E$37*('Plan mensual'!H25+IF(parametros_manuales!$H$37="Todos",'Plan mensual'!H29,0))+parametros_manuales!$F$37*('Plan mensual'!H26+IF(parametros_manuales!$H$37="Todos",'Plan mensual'!H30,0))+parametros_manuales!$G$37*('Plan mensual'!H27+IF(parametros_manuales!$H$37="Todos",'Plan mensual'!H31,0)))*parametros_manuales!$I$37*parametros_manuales!$J$37</f>
        <v>1690.046697332</v>
      </c>
      <c r="G74" s="9" t="n">
        <f aca="false">(parametros_manuales!$D$37*('Plan mensual'!I24+IF(parametros_manuales!$H$37="Todos",'Plan mensual'!I28,0))+parametros_manuales!$E$37*('Plan mensual'!I25+IF(parametros_manuales!$H$37="Todos",'Plan mensual'!I29,0))+parametros_manuales!$F$37*('Plan mensual'!I26+IF(parametros_manuales!$H$37="Todos",'Plan mensual'!I30,0))+parametros_manuales!$G$37*('Plan mensual'!I27+IF(parametros_manuales!$H$37="Todos",'Plan mensual'!I31,0)))*parametros_manuales!$I$37*parametros_manuales!$J$37</f>
        <v>1647.91817519</v>
      </c>
      <c r="H74" s="9" t="n">
        <f aca="false">(parametros_manuales!$D$37*('Plan mensual'!J24+IF(parametros_manuales!$H$37="Todos",'Plan mensual'!J28,0))+parametros_manuales!$E$37*('Plan mensual'!J25+IF(parametros_manuales!$H$37="Todos",'Plan mensual'!J29,0))+parametros_manuales!$F$37*('Plan mensual'!J26+IF(parametros_manuales!$H$37="Todos",'Plan mensual'!J30,0))+parametros_manuales!$G$37*('Plan mensual'!J27+IF(parametros_manuales!$H$37="Todos",'Plan mensual'!J31,0)))*parametros_manuales!$I$37*parametros_manuales!$J$37</f>
        <v>1762.617436122</v>
      </c>
      <c r="I74" s="9" t="n">
        <f aca="false">(parametros_manuales!$D$37*('Plan mensual'!K24+IF(parametros_manuales!$H$37="Todos",'Plan mensual'!K28,0))+parametros_manuales!$E$37*('Plan mensual'!K25+IF(parametros_manuales!$H$37="Todos",'Plan mensual'!K29,0))+parametros_manuales!$F$37*('Plan mensual'!K26+IF(parametros_manuales!$H$37="Todos",'Plan mensual'!K30,0))+parametros_manuales!$G$37*('Plan mensual'!K27+IF(parametros_manuales!$H$37="Todos",'Plan mensual'!K31,0)))*parametros_manuales!$I$37*parametros_manuales!$J$37</f>
        <v>1762.617436122</v>
      </c>
      <c r="J74" s="9" t="n">
        <f aca="false">(parametros_manuales!$D$37*('Plan mensual'!L24+IF(parametros_manuales!$H$37="Todos",'Plan mensual'!L28,0))+parametros_manuales!$E$37*('Plan mensual'!L25+IF(parametros_manuales!$H$37="Todos",'Plan mensual'!L29,0))+parametros_manuales!$F$37*('Plan mensual'!L26+IF(parametros_manuales!$H$37="Todos",'Plan mensual'!L30,0))+parametros_manuales!$G$37*('Plan mensual'!L27+IF(parametros_manuales!$H$37="Todos",'Plan mensual'!L31,0)))*parametros_manuales!$I$37*parametros_manuales!$J$37</f>
        <v>1762.617436122</v>
      </c>
      <c r="K74" s="9" t="n">
        <f aca="false">(parametros_manuales!$D$37*('Plan mensual'!M24+IF(parametros_manuales!$H$37="Todos",'Plan mensual'!M28,0))+parametros_manuales!$E$37*('Plan mensual'!M25+IF(parametros_manuales!$H$37="Todos",'Plan mensual'!M29,0))+parametros_manuales!$F$37*('Plan mensual'!M26+IF(parametros_manuales!$H$37="Todos",'Plan mensual'!M30,0))+parametros_manuales!$G$37*('Plan mensual'!M27+IF(parametros_manuales!$H$37="Todos",'Plan mensual'!M31,0)))*parametros_manuales!$I$37*parametros_manuales!$J$37</f>
        <v>1720.48891398</v>
      </c>
      <c r="L74" s="9" t="n">
        <f aca="false">(parametros_manuales!$D$37*('Plan mensual'!N24+IF(parametros_manuales!$H$37="Todos",'Plan mensual'!N28,0))+parametros_manuales!$E$37*('Plan mensual'!N25+IF(parametros_manuales!$H$37="Todos",'Plan mensual'!N29,0))+parametros_manuales!$F$37*('Plan mensual'!N26+IF(parametros_manuales!$H$37="Todos",'Plan mensual'!N30,0))+parametros_manuales!$G$37*('Plan mensual'!N27+IF(parametros_manuales!$H$37="Todos",'Plan mensual'!N31,0)))*parametros_manuales!$I$37*parametros_manuales!$J$37</f>
        <v>1678.360391838</v>
      </c>
      <c r="M74" s="9" t="n">
        <f aca="false">(parametros_manuales!$D$37*('Plan mensual'!O24+IF(parametros_manuales!$H$37="Todos",'Plan mensual'!O28,0))+parametros_manuales!$E$37*('Plan mensual'!O25+IF(parametros_manuales!$H$37="Todos",'Plan mensual'!O29,0))+parametros_manuales!$F$37*('Plan mensual'!O26+IF(parametros_manuales!$H$37="Todos",'Plan mensual'!O30,0))+parametros_manuales!$G$37*('Plan mensual'!O27+IF(parametros_manuales!$H$37="Todos",'Plan mensual'!O31,0)))*parametros_manuales!$I$37*parametros_manuales!$J$37</f>
        <v>2668.525218084</v>
      </c>
      <c r="N74" s="9" t="n">
        <f aca="false">SUM(B74:M74)</f>
        <v>22939.8521864</v>
      </c>
      <c r="O74" s="9" t="n">
        <f aca="false">MAX(B74:M74)</f>
        <v>2668.525218084</v>
      </c>
      <c r="P74" s="43" t="n">
        <f aca="false">O74/(parametros_manuales!$B$7)</f>
        <v>17.79016812056</v>
      </c>
      <c r="Q74" s="8" t="str">
        <f aca="false">IF(O74=0,"-",INDEX($B$55:$M$55,MATCH(O74,B74:M74,0)))</f>
        <v>Dic</v>
      </c>
    </row>
    <row r="75" customFormat="false" ht="14.25" hidden="false" customHeight="true" outlineLevel="0" collapsed="false">
      <c r="A75" s="8" t="str">
        <f aca="false">parametros_manuales!$B$38</f>
        <v>Carga de polvo</v>
      </c>
      <c r="B75" s="9" t="n">
        <f aca="false">(parametros_manuales!$D$38*('Plan mensual'!D24+IF(parametros_manuales!$H$38="Todos",'Plan mensual'!D28,0))+parametros_manuales!$E$38*('Plan mensual'!D25+IF(parametros_manuales!$H$38="Todos",'Plan mensual'!D29,0))+parametros_manuales!$F$38*('Plan mensual'!D26+IF(parametros_manuales!$H$38="Todos",'Plan mensual'!D30,0))+parametros_manuales!$G$38*('Plan mensual'!D27+IF(parametros_manuales!$H$38="Todos",'Plan mensual'!D31,0)))*parametros_manuales!$I$38*parametros_manuales!$J$38</f>
        <v>1463.4281738</v>
      </c>
      <c r="C75" s="9" t="n">
        <f aca="false">(parametros_manuales!$D$38*('Plan mensual'!E24+IF(parametros_manuales!$H$38="Todos",'Plan mensual'!E28,0))+parametros_manuales!$E$38*('Plan mensual'!E25+IF(parametros_manuales!$H$38="Todos",'Plan mensual'!E29,0))+parametros_manuales!$F$38*('Plan mensual'!E26+IF(parametros_manuales!$H$38="Todos",'Plan mensual'!E30,0))+parametros_manuales!$G$38*('Plan mensual'!E27+IF(parametros_manuales!$H$38="Todos",'Plan mensual'!E31,0)))*parametros_manuales!$I$38*parametros_manuales!$J$38</f>
        <v>1129.632052492</v>
      </c>
      <c r="D75" s="9" t="n">
        <f aca="false">(parametros_manuales!$D$38*('Plan mensual'!F24+IF(parametros_manuales!$H$38="Todos",'Plan mensual'!F28,0))+parametros_manuales!$E$38*('Plan mensual'!F25+IF(parametros_manuales!$H$38="Todos",'Plan mensual'!F29,0))+parametros_manuales!$F$38*('Plan mensual'!F26+IF(parametros_manuales!$H$38="Todos",'Plan mensual'!F30,0))+parametros_manuales!$G$38*('Plan mensual'!F27+IF(parametros_manuales!$H$38="Todos",'Plan mensual'!F31,0)))*parametros_manuales!$I$38*parametros_manuales!$J$38</f>
        <v>1093.175497054</v>
      </c>
      <c r="E75" s="9" t="n">
        <f aca="false">(parametros_manuales!$D$38*('Plan mensual'!G24+IF(parametros_manuales!$H$38="Todos",'Plan mensual'!G28,0))+parametros_manuales!$E$38*('Plan mensual'!G25+IF(parametros_manuales!$H$38="Todos",'Plan mensual'!G29,0))+parametros_manuales!$F$38*('Plan mensual'!G26+IF(parametros_manuales!$H$38="Todos",'Plan mensual'!G30,0))+parametros_manuales!$G$38*('Plan mensual'!G27+IF(parametros_manuales!$H$38="Todos",'Plan mensual'!G31,0)))*parametros_manuales!$I$38*parametros_manuales!$J$38</f>
        <v>1058.916758264</v>
      </c>
      <c r="F75" s="9" t="n">
        <f aca="false">(parametros_manuales!$D$38*('Plan mensual'!H24+IF(parametros_manuales!$H$38="Todos",'Plan mensual'!H28,0))+parametros_manuales!$E$38*('Plan mensual'!H25+IF(parametros_manuales!$H$38="Todos",'Plan mensual'!H29,0))+parametros_manuales!$F$38*('Plan mensual'!H26+IF(parametros_manuales!$H$38="Todos",'Plan mensual'!H30,0))+parametros_manuales!$G$38*('Plan mensual'!H27+IF(parametros_manuales!$H$38="Todos",'Plan mensual'!H31,0)))*parametros_manuales!$I$38*parametros_manuales!$J$38</f>
        <v>992.597097332</v>
      </c>
      <c r="G75" s="9" t="n">
        <f aca="false">(parametros_manuales!$D$38*('Plan mensual'!I24+IF(parametros_manuales!$H$38="Todos",'Plan mensual'!I28,0))+parametros_manuales!$E$38*('Plan mensual'!I25+IF(parametros_manuales!$H$38="Todos",'Plan mensual'!I29,0))+parametros_manuales!$F$38*('Plan mensual'!I26+IF(parametros_manuales!$H$38="Todos",'Plan mensual'!I30,0))+parametros_manuales!$G$38*('Plan mensual'!I27+IF(parametros_manuales!$H$38="Todos",'Plan mensual'!I31,0)))*parametros_manuales!$I$38*parametros_manuales!$J$38</f>
        <v>960.53617519</v>
      </c>
      <c r="H75" s="9" t="n">
        <f aca="false">(parametros_manuales!$D$38*('Plan mensual'!J24+IF(parametros_manuales!$H$38="Todos",'Plan mensual'!J28,0))+parametros_manuales!$E$38*('Plan mensual'!J25+IF(parametros_manuales!$H$38="Todos",'Plan mensual'!J29,0))+parametros_manuales!$F$38*('Plan mensual'!J26+IF(parametros_manuales!$H$38="Todos",'Plan mensual'!J30,0))+parametros_manuales!$G$38*('Plan mensual'!J27+IF(parametros_manuales!$H$38="Todos",'Plan mensual'!J31,0)))*parametros_manuales!$I$38*parametros_manuales!$J$38</f>
        <v>1026.855836122</v>
      </c>
      <c r="I75" s="9" t="n">
        <f aca="false">(parametros_manuales!$D$38*('Plan mensual'!K24+IF(parametros_manuales!$H$38="Todos",'Plan mensual'!K28,0))+parametros_manuales!$E$38*('Plan mensual'!K25+IF(parametros_manuales!$H$38="Todos",'Plan mensual'!K29,0))+parametros_manuales!$F$38*('Plan mensual'!K26+IF(parametros_manuales!$H$38="Todos",'Plan mensual'!K30,0))+parametros_manuales!$G$38*('Plan mensual'!K27+IF(parametros_manuales!$H$38="Todos",'Plan mensual'!K31,0)))*parametros_manuales!$I$38*parametros_manuales!$J$38</f>
        <v>1026.855836122</v>
      </c>
      <c r="J75" s="9" t="n">
        <f aca="false">(parametros_manuales!$D$38*('Plan mensual'!L24+IF(parametros_manuales!$H$38="Todos",'Plan mensual'!L28,0))+parametros_manuales!$E$38*('Plan mensual'!L25+IF(parametros_manuales!$H$38="Todos",'Plan mensual'!L29,0))+parametros_manuales!$F$38*('Plan mensual'!L26+IF(parametros_manuales!$H$38="Todos",'Plan mensual'!L30,0))+parametros_manuales!$G$38*('Plan mensual'!L27+IF(parametros_manuales!$H$38="Todos",'Plan mensual'!L31,0)))*parametros_manuales!$I$38*parametros_manuales!$J$38</f>
        <v>1026.855836122</v>
      </c>
      <c r="K75" s="9" t="n">
        <f aca="false">(parametros_manuales!$D$38*('Plan mensual'!M24+IF(parametros_manuales!$H$38="Todos",'Plan mensual'!M28,0))+parametros_manuales!$E$38*('Plan mensual'!M25+IF(parametros_manuales!$H$38="Todos",'Plan mensual'!M29,0))+parametros_manuales!$F$38*('Plan mensual'!M26+IF(parametros_manuales!$H$38="Todos",'Plan mensual'!M30,0))+parametros_manuales!$G$38*('Plan mensual'!M27+IF(parametros_manuales!$H$38="Todos",'Plan mensual'!M31,0)))*parametros_manuales!$I$38*parametros_manuales!$J$38</f>
        <v>994.79491398</v>
      </c>
      <c r="L75" s="9" t="n">
        <f aca="false">(parametros_manuales!$D$38*('Plan mensual'!N24+IF(parametros_manuales!$H$38="Todos",'Plan mensual'!N28,0))+parametros_manuales!$E$38*('Plan mensual'!N25+IF(parametros_manuales!$H$38="Todos",'Plan mensual'!N29,0))+parametros_manuales!$F$38*('Plan mensual'!N26+IF(parametros_manuales!$H$38="Todos",'Plan mensual'!N30,0))+parametros_manuales!$G$38*('Plan mensual'!N27+IF(parametros_manuales!$H$38="Todos",'Plan mensual'!N31,0)))*parametros_manuales!$I$38*parametros_manuales!$J$38</f>
        <v>962.733991838</v>
      </c>
      <c r="M75" s="9" t="n">
        <f aca="false">(parametros_manuales!$D$38*('Plan mensual'!O24+IF(parametros_manuales!$H$38="Todos",'Plan mensual'!O28,0))+parametros_manuales!$E$38*('Plan mensual'!O25+IF(parametros_manuales!$H$38="Todos",'Plan mensual'!O29,0))+parametros_manuales!$F$38*('Plan mensual'!O26+IF(parametros_manuales!$H$38="Todos",'Plan mensual'!O30,0))+parametros_manuales!$G$38*('Plan mensual'!O27+IF(parametros_manuales!$H$38="Todos",'Plan mensual'!O31,0)))*parametros_manuales!$I$38*parametros_manuales!$J$38</f>
        <v>1527.550018084</v>
      </c>
      <c r="N75" s="9" t="n">
        <f aca="false">SUM(B75:M75)</f>
        <v>13263.9321864</v>
      </c>
      <c r="O75" s="9" t="n">
        <f aca="false">MAX(B75:M75)</f>
        <v>1527.550018084</v>
      </c>
      <c r="P75" s="43" t="n">
        <f aca="false">O75/(parametros_manuales!$B$7)</f>
        <v>10.1836667872267</v>
      </c>
      <c r="Q75" s="8" t="str">
        <f aca="false">IF(O75=0,"-",INDEX($B$55:$M$55,MATCH(O75,B75:M75,0)))</f>
        <v>Dic</v>
      </c>
    </row>
    <row r="76" customFormat="false" ht="14.25" hidden="false" customHeight="true" outlineLevel="0" collapsed="false">
      <c r="A76" s="8" t="str">
        <f aca="false">parametros_manuales!$B$39</f>
        <v>Ensamblaje</v>
      </c>
      <c r="B76" s="9" t="n">
        <f aca="false">(parametros_manuales!$D$39*('Plan mensual'!D24+IF(parametros_manuales!$H$39="Todos",'Plan mensual'!D28,0))+parametros_manuales!$E$39*('Plan mensual'!D25+IF(parametros_manuales!$H$39="Todos",'Plan mensual'!D29,0))+parametros_manuales!$F$39*('Plan mensual'!D26+IF(parametros_manuales!$H$39="Todos",'Plan mensual'!D30,0))+parametros_manuales!$G$39*('Plan mensual'!D27+IF(parametros_manuales!$H$39="Todos",'Plan mensual'!D31,0)))*parametros_manuales!$I$39*parametros_manuales!$J$39</f>
        <v>1463.4281738</v>
      </c>
      <c r="C76" s="9" t="n">
        <f aca="false">(parametros_manuales!$D$39*('Plan mensual'!E24+IF(parametros_manuales!$H$39="Todos",'Plan mensual'!E28,0))+parametros_manuales!$E$39*('Plan mensual'!E25+IF(parametros_manuales!$H$39="Todos",'Plan mensual'!E29,0))+parametros_manuales!$F$39*('Plan mensual'!E26+IF(parametros_manuales!$H$39="Todos",'Plan mensual'!E30,0))+parametros_manuales!$G$39*('Plan mensual'!E27+IF(parametros_manuales!$H$39="Todos",'Plan mensual'!E31,0)))*parametros_manuales!$I$39*parametros_manuales!$J$39</f>
        <v>1129.632052492</v>
      </c>
      <c r="D76" s="9" t="n">
        <f aca="false">(parametros_manuales!$D$39*('Plan mensual'!F24+IF(parametros_manuales!$H$39="Todos",'Plan mensual'!F28,0))+parametros_manuales!$E$39*('Plan mensual'!F25+IF(parametros_manuales!$H$39="Todos",'Plan mensual'!F29,0))+parametros_manuales!$F$39*('Plan mensual'!F26+IF(parametros_manuales!$H$39="Todos",'Plan mensual'!F30,0))+parametros_manuales!$G$39*('Plan mensual'!F27+IF(parametros_manuales!$H$39="Todos",'Plan mensual'!F31,0)))*parametros_manuales!$I$39*parametros_manuales!$J$39</f>
        <v>1093.175497054</v>
      </c>
      <c r="E76" s="9" t="n">
        <f aca="false">(parametros_manuales!$D$39*('Plan mensual'!G24+IF(parametros_manuales!$H$39="Todos",'Plan mensual'!G28,0))+parametros_manuales!$E$39*('Plan mensual'!G25+IF(parametros_manuales!$H$39="Todos",'Plan mensual'!G29,0))+parametros_manuales!$F$39*('Plan mensual'!G26+IF(parametros_manuales!$H$39="Todos",'Plan mensual'!G30,0))+parametros_manuales!$G$39*('Plan mensual'!G27+IF(parametros_manuales!$H$39="Todos",'Plan mensual'!G31,0)))*parametros_manuales!$I$39*parametros_manuales!$J$39</f>
        <v>1058.916758264</v>
      </c>
      <c r="F76" s="9" t="n">
        <f aca="false">(parametros_manuales!$D$39*('Plan mensual'!H24+IF(parametros_manuales!$H$39="Todos",'Plan mensual'!H28,0))+parametros_manuales!$E$39*('Plan mensual'!H25+IF(parametros_manuales!$H$39="Todos",'Plan mensual'!H29,0))+parametros_manuales!$F$39*('Plan mensual'!H26+IF(parametros_manuales!$H$39="Todos",'Plan mensual'!H30,0))+parametros_manuales!$G$39*('Plan mensual'!H27+IF(parametros_manuales!$H$39="Todos",'Plan mensual'!H31,0)))*parametros_manuales!$I$39*parametros_manuales!$J$39</f>
        <v>992.597097332</v>
      </c>
      <c r="G76" s="9" t="n">
        <f aca="false">(parametros_manuales!$D$39*('Plan mensual'!I24+IF(parametros_manuales!$H$39="Todos",'Plan mensual'!I28,0))+parametros_manuales!$E$39*('Plan mensual'!I25+IF(parametros_manuales!$H$39="Todos",'Plan mensual'!I29,0))+parametros_manuales!$F$39*('Plan mensual'!I26+IF(parametros_manuales!$H$39="Todos",'Plan mensual'!I30,0))+parametros_manuales!$G$39*('Plan mensual'!I27+IF(parametros_manuales!$H$39="Todos",'Plan mensual'!I31,0)))*parametros_manuales!$I$39*parametros_manuales!$J$39</f>
        <v>960.53617519</v>
      </c>
      <c r="H76" s="9" t="n">
        <f aca="false">(parametros_manuales!$D$39*('Plan mensual'!J24+IF(parametros_manuales!$H$39="Todos",'Plan mensual'!J28,0))+parametros_manuales!$E$39*('Plan mensual'!J25+IF(parametros_manuales!$H$39="Todos",'Plan mensual'!J29,0))+parametros_manuales!$F$39*('Plan mensual'!J26+IF(parametros_manuales!$H$39="Todos",'Plan mensual'!J30,0))+parametros_manuales!$G$39*('Plan mensual'!J27+IF(parametros_manuales!$H$39="Todos",'Plan mensual'!J31,0)))*parametros_manuales!$I$39*parametros_manuales!$J$39</f>
        <v>1026.855836122</v>
      </c>
      <c r="I76" s="9" t="n">
        <f aca="false">(parametros_manuales!$D$39*('Plan mensual'!K24+IF(parametros_manuales!$H$39="Todos",'Plan mensual'!K28,0))+parametros_manuales!$E$39*('Plan mensual'!K25+IF(parametros_manuales!$H$39="Todos",'Plan mensual'!K29,0))+parametros_manuales!$F$39*('Plan mensual'!K26+IF(parametros_manuales!$H$39="Todos",'Plan mensual'!K30,0))+parametros_manuales!$G$39*('Plan mensual'!K27+IF(parametros_manuales!$H$39="Todos",'Plan mensual'!K31,0)))*parametros_manuales!$I$39*parametros_manuales!$J$39</f>
        <v>1026.855836122</v>
      </c>
      <c r="J76" s="9" t="n">
        <f aca="false">(parametros_manuales!$D$39*('Plan mensual'!L24+IF(parametros_manuales!$H$39="Todos",'Plan mensual'!L28,0))+parametros_manuales!$E$39*('Plan mensual'!L25+IF(parametros_manuales!$H$39="Todos",'Plan mensual'!L29,0))+parametros_manuales!$F$39*('Plan mensual'!L26+IF(parametros_manuales!$H$39="Todos",'Plan mensual'!L30,0))+parametros_manuales!$G$39*('Plan mensual'!L27+IF(parametros_manuales!$H$39="Todos",'Plan mensual'!L31,0)))*parametros_manuales!$I$39*parametros_manuales!$J$39</f>
        <v>1026.855836122</v>
      </c>
      <c r="K76" s="9" t="n">
        <f aca="false">(parametros_manuales!$D$39*('Plan mensual'!M24+IF(parametros_manuales!$H$39="Todos",'Plan mensual'!M28,0))+parametros_manuales!$E$39*('Plan mensual'!M25+IF(parametros_manuales!$H$39="Todos",'Plan mensual'!M29,0))+parametros_manuales!$F$39*('Plan mensual'!M26+IF(parametros_manuales!$H$39="Todos",'Plan mensual'!M30,0))+parametros_manuales!$G$39*('Plan mensual'!M27+IF(parametros_manuales!$H$39="Todos",'Plan mensual'!M31,0)))*parametros_manuales!$I$39*parametros_manuales!$J$39</f>
        <v>994.79491398</v>
      </c>
      <c r="L76" s="9" t="n">
        <f aca="false">(parametros_manuales!$D$39*('Plan mensual'!N24+IF(parametros_manuales!$H$39="Todos",'Plan mensual'!N28,0))+parametros_manuales!$E$39*('Plan mensual'!N25+IF(parametros_manuales!$H$39="Todos",'Plan mensual'!N29,0))+parametros_manuales!$F$39*('Plan mensual'!N26+IF(parametros_manuales!$H$39="Todos",'Plan mensual'!N30,0))+parametros_manuales!$G$39*('Plan mensual'!N27+IF(parametros_manuales!$H$39="Todos",'Plan mensual'!N31,0)))*parametros_manuales!$I$39*parametros_manuales!$J$39</f>
        <v>962.733991838</v>
      </c>
      <c r="M76" s="9" t="n">
        <f aca="false">(parametros_manuales!$D$39*('Plan mensual'!O24+IF(parametros_manuales!$H$39="Todos",'Plan mensual'!O28,0))+parametros_manuales!$E$39*('Plan mensual'!O25+IF(parametros_manuales!$H$39="Todos",'Plan mensual'!O29,0))+parametros_manuales!$F$39*('Plan mensual'!O26+IF(parametros_manuales!$H$39="Todos",'Plan mensual'!O30,0))+parametros_manuales!$G$39*('Plan mensual'!O27+IF(parametros_manuales!$H$39="Todos",'Plan mensual'!O31,0)))*parametros_manuales!$I$39*parametros_manuales!$J$39</f>
        <v>1527.550018084</v>
      </c>
      <c r="N76" s="9" t="n">
        <f aca="false">SUM(B76:M76)</f>
        <v>13263.9321864</v>
      </c>
      <c r="O76" s="9" t="n">
        <f aca="false">MAX(B76:M76)</f>
        <v>1527.550018084</v>
      </c>
      <c r="P76" s="43" t="n">
        <f aca="false">O76/(parametros_manuales!$B$7)</f>
        <v>10.1836667872267</v>
      </c>
      <c r="Q76" s="8" t="str">
        <f aca="false">IF(O76=0,"-",INDEX($B$55:$M$55,MATCH(O76,B76:M76,0)))</f>
        <v>Dic</v>
      </c>
    </row>
    <row r="77" customFormat="false" ht="14.25" hidden="false" customHeight="true" outlineLevel="0" collapsed="false">
      <c r="A77" s="8" t="str">
        <f aca="false">parametros_manuales!$B$40</f>
        <v>Presurización</v>
      </c>
      <c r="B77" s="9" t="n">
        <f aca="false">(parametros_manuales!$D$40*('Plan mensual'!D24+IF(parametros_manuales!$H$40="Todos",'Plan mensual'!D28,0))+parametros_manuales!$E$40*('Plan mensual'!D25+IF(parametros_manuales!$H$40="Todos",'Plan mensual'!D29,0))+parametros_manuales!$F$40*('Plan mensual'!D26+IF(parametros_manuales!$H$40="Todos",'Plan mensual'!D30,0))+parametros_manuales!$G$40*('Plan mensual'!D27+IF(parametros_manuales!$H$40="Todos",'Plan mensual'!D31,0)))*parametros_manuales!$I$40*parametros_manuales!$J$40</f>
        <v>1463.4281738</v>
      </c>
      <c r="C77" s="9" t="n">
        <f aca="false">(parametros_manuales!$D$40*('Plan mensual'!E24+IF(parametros_manuales!$H$40="Todos",'Plan mensual'!E28,0))+parametros_manuales!$E$40*('Plan mensual'!E25+IF(parametros_manuales!$H$40="Todos",'Plan mensual'!E29,0))+parametros_manuales!$F$40*('Plan mensual'!E26+IF(parametros_manuales!$H$40="Todos",'Plan mensual'!E30,0))+parametros_manuales!$G$40*('Plan mensual'!E27+IF(parametros_manuales!$H$40="Todos",'Plan mensual'!E31,0)))*parametros_manuales!$I$40*parametros_manuales!$J$40</f>
        <v>1129.632052492</v>
      </c>
      <c r="D77" s="9" t="n">
        <f aca="false">(parametros_manuales!$D$40*('Plan mensual'!F24+IF(parametros_manuales!$H$40="Todos",'Plan mensual'!F28,0))+parametros_manuales!$E$40*('Plan mensual'!F25+IF(parametros_manuales!$H$40="Todos",'Plan mensual'!F29,0))+parametros_manuales!$F$40*('Plan mensual'!F26+IF(parametros_manuales!$H$40="Todos",'Plan mensual'!F30,0))+parametros_manuales!$G$40*('Plan mensual'!F27+IF(parametros_manuales!$H$40="Todos",'Plan mensual'!F31,0)))*parametros_manuales!$I$40*parametros_manuales!$J$40</f>
        <v>1093.175497054</v>
      </c>
      <c r="E77" s="9" t="n">
        <f aca="false">(parametros_manuales!$D$40*('Plan mensual'!G24+IF(parametros_manuales!$H$40="Todos",'Plan mensual'!G28,0))+parametros_manuales!$E$40*('Plan mensual'!G25+IF(parametros_manuales!$H$40="Todos",'Plan mensual'!G29,0))+parametros_manuales!$F$40*('Plan mensual'!G26+IF(parametros_manuales!$H$40="Todos",'Plan mensual'!G30,0))+parametros_manuales!$G$40*('Plan mensual'!G27+IF(parametros_manuales!$H$40="Todos",'Plan mensual'!G31,0)))*parametros_manuales!$I$40*parametros_manuales!$J$40</f>
        <v>1058.916758264</v>
      </c>
      <c r="F77" s="9" t="n">
        <f aca="false">(parametros_manuales!$D$40*('Plan mensual'!H24+IF(parametros_manuales!$H$40="Todos",'Plan mensual'!H28,0))+parametros_manuales!$E$40*('Plan mensual'!H25+IF(parametros_manuales!$H$40="Todos",'Plan mensual'!H29,0))+parametros_manuales!$F$40*('Plan mensual'!H26+IF(parametros_manuales!$H$40="Todos",'Plan mensual'!H30,0))+parametros_manuales!$G$40*('Plan mensual'!H27+IF(parametros_manuales!$H$40="Todos",'Plan mensual'!H31,0)))*parametros_manuales!$I$40*parametros_manuales!$J$40</f>
        <v>992.597097332</v>
      </c>
      <c r="G77" s="9" t="n">
        <f aca="false">(parametros_manuales!$D$40*('Plan mensual'!I24+IF(parametros_manuales!$H$40="Todos",'Plan mensual'!I28,0))+parametros_manuales!$E$40*('Plan mensual'!I25+IF(parametros_manuales!$H$40="Todos",'Plan mensual'!I29,0))+parametros_manuales!$F$40*('Plan mensual'!I26+IF(parametros_manuales!$H$40="Todos",'Plan mensual'!I30,0))+parametros_manuales!$G$40*('Plan mensual'!I27+IF(parametros_manuales!$H$40="Todos",'Plan mensual'!I31,0)))*parametros_manuales!$I$40*parametros_manuales!$J$40</f>
        <v>960.53617519</v>
      </c>
      <c r="H77" s="9" t="n">
        <f aca="false">(parametros_manuales!$D$40*('Plan mensual'!J24+IF(parametros_manuales!$H$40="Todos",'Plan mensual'!J28,0))+parametros_manuales!$E$40*('Plan mensual'!J25+IF(parametros_manuales!$H$40="Todos",'Plan mensual'!J29,0))+parametros_manuales!$F$40*('Plan mensual'!J26+IF(parametros_manuales!$H$40="Todos",'Plan mensual'!J30,0))+parametros_manuales!$G$40*('Plan mensual'!J27+IF(parametros_manuales!$H$40="Todos",'Plan mensual'!J31,0)))*parametros_manuales!$I$40*parametros_manuales!$J$40</f>
        <v>1026.855836122</v>
      </c>
      <c r="I77" s="9" t="n">
        <f aca="false">(parametros_manuales!$D$40*('Plan mensual'!K24+IF(parametros_manuales!$H$40="Todos",'Plan mensual'!K28,0))+parametros_manuales!$E$40*('Plan mensual'!K25+IF(parametros_manuales!$H$40="Todos",'Plan mensual'!K29,0))+parametros_manuales!$F$40*('Plan mensual'!K26+IF(parametros_manuales!$H$40="Todos",'Plan mensual'!K30,0))+parametros_manuales!$G$40*('Plan mensual'!K27+IF(parametros_manuales!$H$40="Todos",'Plan mensual'!K31,0)))*parametros_manuales!$I$40*parametros_manuales!$J$40</f>
        <v>1026.855836122</v>
      </c>
      <c r="J77" s="9" t="n">
        <f aca="false">(parametros_manuales!$D$40*('Plan mensual'!L24+IF(parametros_manuales!$H$40="Todos",'Plan mensual'!L28,0))+parametros_manuales!$E$40*('Plan mensual'!L25+IF(parametros_manuales!$H$40="Todos",'Plan mensual'!L29,0))+parametros_manuales!$F$40*('Plan mensual'!L26+IF(parametros_manuales!$H$40="Todos",'Plan mensual'!L30,0))+parametros_manuales!$G$40*('Plan mensual'!L27+IF(parametros_manuales!$H$40="Todos",'Plan mensual'!L31,0)))*parametros_manuales!$I$40*parametros_manuales!$J$40</f>
        <v>1026.855836122</v>
      </c>
      <c r="K77" s="9" t="n">
        <f aca="false">(parametros_manuales!$D$40*('Plan mensual'!M24+IF(parametros_manuales!$H$40="Todos",'Plan mensual'!M28,0))+parametros_manuales!$E$40*('Plan mensual'!M25+IF(parametros_manuales!$H$40="Todos",'Plan mensual'!M29,0))+parametros_manuales!$F$40*('Plan mensual'!M26+IF(parametros_manuales!$H$40="Todos",'Plan mensual'!M30,0))+parametros_manuales!$G$40*('Plan mensual'!M27+IF(parametros_manuales!$H$40="Todos",'Plan mensual'!M31,0)))*parametros_manuales!$I$40*parametros_manuales!$J$40</f>
        <v>994.79491398</v>
      </c>
      <c r="L77" s="9" t="n">
        <f aca="false">(parametros_manuales!$D$40*('Plan mensual'!N24+IF(parametros_manuales!$H$40="Todos",'Plan mensual'!N28,0))+parametros_manuales!$E$40*('Plan mensual'!N25+IF(parametros_manuales!$H$40="Todos",'Plan mensual'!N29,0))+parametros_manuales!$F$40*('Plan mensual'!N26+IF(parametros_manuales!$H$40="Todos",'Plan mensual'!N30,0))+parametros_manuales!$G$40*('Plan mensual'!N27+IF(parametros_manuales!$H$40="Todos",'Plan mensual'!N31,0)))*parametros_manuales!$I$40*parametros_manuales!$J$40</f>
        <v>962.733991838</v>
      </c>
      <c r="M77" s="9" t="n">
        <f aca="false">(parametros_manuales!$D$40*('Plan mensual'!O24+IF(parametros_manuales!$H$40="Todos",'Plan mensual'!O28,0))+parametros_manuales!$E$40*('Plan mensual'!O25+IF(parametros_manuales!$H$40="Todos",'Plan mensual'!O29,0))+parametros_manuales!$F$40*('Plan mensual'!O26+IF(parametros_manuales!$H$40="Todos",'Plan mensual'!O30,0))+parametros_manuales!$G$40*('Plan mensual'!O27+IF(parametros_manuales!$H$40="Todos",'Plan mensual'!O31,0)))*parametros_manuales!$I$40*parametros_manuales!$J$40</f>
        <v>1527.550018084</v>
      </c>
      <c r="N77" s="9" t="n">
        <f aca="false">SUM(B77:M77)</f>
        <v>13263.9321864</v>
      </c>
      <c r="O77" s="9" t="n">
        <f aca="false">MAX(B77:M77)</f>
        <v>1527.550018084</v>
      </c>
      <c r="P77" s="43" t="n">
        <f aca="false">O77/(parametros_manuales!$B$7)</f>
        <v>10.1836667872267</v>
      </c>
      <c r="Q77" s="8" t="str">
        <f aca="false">IF(O77=0,"-",INDEX($B$55:$M$55,MATCH(O77,B77:M77,0)))</f>
        <v>Dic</v>
      </c>
    </row>
    <row r="78" customFormat="false" ht="14.25" hidden="false" customHeight="true" outlineLevel="0" collapsed="false">
      <c r="A78" s="8" t="str">
        <f aca="false">parametros_manuales!$B$41</f>
        <v>Control de calidad — Ensayo de pérdidas</v>
      </c>
      <c r="B78" s="9" t="n">
        <f aca="false">(parametros_manuales!$D$41*('Plan mensual'!D24+IF(parametros_manuales!$H$41="Todos",'Plan mensual'!D28,0))+parametros_manuales!$E$41*('Plan mensual'!D25+IF(parametros_manuales!$H$41="Todos",'Plan mensual'!D29,0))+parametros_manuales!$F$41*('Plan mensual'!D26+IF(parametros_manuales!$H$41="Todos",'Plan mensual'!D30,0))+parametros_manuales!$G$41*('Plan mensual'!D27+IF(parametros_manuales!$H$41="Todos",'Plan mensual'!D31,0)))*parametros_manuales!$I$41*parametros_manuales!$J$41</f>
        <v>1463.4281738</v>
      </c>
      <c r="C78" s="9" t="n">
        <f aca="false">(parametros_manuales!$D$41*('Plan mensual'!E24+IF(parametros_manuales!$H$41="Todos",'Plan mensual'!E28,0))+parametros_manuales!$E$41*('Plan mensual'!E25+IF(parametros_manuales!$H$41="Todos",'Plan mensual'!E29,0))+parametros_manuales!$F$41*('Plan mensual'!E26+IF(parametros_manuales!$H$41="Todos",'Plan mensual'!E30,0))+parametros_manuales!$G$41*('Plan mensual'!E27+IF(parametros_manuales!$H$41="Todos",'Plan mensual'!E31,0)))*parametros_manuales!$I$41*parametros_manuales!$J$41</f>
        <v>1129.632052492</v>
      </c>
      <c r="D78" s="9" t="n">
        <f aca="false">(parametros_manuales!$D$41*('Plan mensual'!F24+IF(parametros_manuales!$H$41="Todos",'Plan mensual'!F28,0))+parametros_manuales!$E$41*('Plan mensual'!F25+IF(parametros_manuales!$H$41="Todos",'Plan mensual'!F29,0))+parametros_manuales!$F$41*('Plan mensual'!F26+IF(parametros_manuales!$H$41="Todos",'Plan mensual'!F30,0))+parametros_manuales!$G$41*('Plan mensual'!F27+IF(parametros_manuales!$H$41="Todos",'Plan mensual'!F31,0)))*parametros_manuales!$I$41*parametros_manuales!$J$41</f>
        <v>1093.175497054</v>
      </c>
      <c r="E78" s="9" t="n">
        <f aca="false">(parametros_manuales!$D$41*('Plan mensual'!G24+IF(parametros_manuales!$H$41="Todos",'Plan mensual'!G28,0))+parametros_manuales!$E$41*('Plan mensual'!G25+IF(parametros_manuales!$H$41="Todos",'Plan mensual'!G29,0))+parametros_manuales!$F$41*('Plan mensual'!G26+IF(parametros_manuales!$H$41="Todos",'Plan mensual'!G30,0))+parametros_manuales!$G$41*('Plan mensual'!G27+IF(parametros_manuales!$H$41="Todos",'Plan mensual'!G31,0)))*parametros_manuales!$I$41*parametros_manuales!$J$41</f>
        <v>1058.916758264</v>
      </c>
      <c r="F78" s="9" t="n">
        <f aca="false">(parametros_manuales!$D$41*('Plan mensual'!H24+IF(parametros_manuales!$H$41="Todos",'Plan mensual'!H28,0))+parametros_manuales!$E$41*('Plan mensual'!H25+IF(parametros_manuales!$H$41="Todos",'Plan mensual'!H29,0))+parametros_manuales!$F$41*('Plan mensual'!H26+IF(parametros_manuales!$H$41="Todos",'Plan mensual'!H30,0))+parametros_manuales!$G$41*('Plan mensual'!H27+IF(parametros_manuales!$H$41="Todos",'Plan mensual'!H31,0)))*parametros_manuales!$I$41*parametros_manuales!$J$41</f>
        <v>992.597097332</v>
      </c>
      <c r="G78" s="9" t="n">
        <f aca="false">(parametros_manuales!$D$41*('Plan mensual'!I24+IF(parametros_manuales!$H$41="Todos",'Plan mensual'!I28,0))+parametros_manuales!$E$41*('Plan mensual'!I25+IF(parametros_manuales!$H$41="Todos",'Plan mensual'!I29,0))+parametros_manuales!$F$41*('Plan mensual'!I26+IF(parametros_manuales!$H$41="Todos",'Plan mensual'!I30,0))+parametros_manuales!$G$41*('Plan mensual'!I27+IF(parametros_manuales!$H$41="Todos",'Plan mensual'!I31,0)))*parametros_manuales!$I$41*parametros_manuales!$J$41</f>
        <v>960.53617519</v>
      </c>
      <c r="H78" s="9" t="n">
        <f aca="false">(parametros_manuales!$D$41*('Plan mensual'!J24+IF(parametros_manuales!$H$41="Todos",'Plan mensual'!J28,0))+parametros_manuales!$E$41*('Plan mensual'!J25+IF(parametros_manuales!$H$41="Todos",'Plan mensual'!J29,0))+parametros_manuales!$F$41*('Plan mensual'!J26+IF(parametros_manuales!$H$41="Todos",'Plan mensual'!J30,0))+parametros_manuales!$G$41*('Plan mensual'!J27+IF(parametros_manuales!$H$41="Todos",'Plan mensual'!J31,0)))*parametros_manuales!$I$41*parametros_manuales!$J$41</f>
        <v>1026.855836122</v>
      </c>
      <c r="I78" s="9" t="n">
        <f aca="false">(parametros_manuales!$D$41*('Plan mensual'!K24+IF(parametros_manuales!$H$41="Todos",'Plan mensual'!K28,0))+parametros_manuales!$E$41*('Plan mensual'!K25+IF(parametros_manuales!$H$41="Todos",'Plan mensual'!K29,0))+parametros_manuales!$F$41*('Plan mensual'!K26+IF(parametros_manuales!$H$41="Todos",'Plan mensual'!K30,0))+parametros_manuales!$G$41*('Plan mensual'!K27+IF(parametros_manuales!$H$41="Todos",'Plan mensual'!K31,0)))*parametros_manuales!$I$41*parametros_manuales!$J$41</f>
        <v>1026.855836122</v>
      </c>
      <c r="J78" s="9" t="n">
        <f aca="false">(parametros_manuales!$D$41*('Plan mensual'!L24+IF(parametros_manuales!$H$41="Todos",'Plan mensual'!L28,0))+parametros_manuales!$E$41*('Plan mensual'!L25+IF(parametros_manuales!$H$41="Todos",'Plan mensual'!L29,0))+parametros_manuales!$F$41*('Plan mensual'!L26+IF(parametros_manuales!$H$41="Todos",'Plan mensual'!L30,0))+parametros_manuales!$G$41*('Plan mensual'!L27+IF(parametros_manuales!$H$41="Todos",'Plan mensual'!L31,0)))*parametros_manuales!$I$41*parametros_manuales!$J$41</f>
        <v>1026.855836122</v>
      </c>
      <c r="K78" s="9" t="n">
        <f aca="false">(parametros_manuales!$D$41*('Plan mensual'!M24+IF(parametros_manuales!$H$41="Todos",'Plan mensual'!M28,0))+parametros_manuales!$E$41*('Plan mensual'!M25+IF(parametros_manuales!$H$41="Todos",'Plan mensual'!M29,0))+parametros_manuales!$F$41*('Plan mensual'!M26+IF(parametros_manuales!$H$41="Todos",'Plan mensual'!M30,0))+parametros_manuales!$G$41*('Plan mensual'!M27+IF(parametros_manuales!$H$41="Todos",'Plan mensual'!M31,0)))*parametros_manuales!$I$41*parametros_manuales!$J$41</f>
        <v>994.79491398</v>
      </c>
      <c r="L78" s="9" t="n">
        <f aca="false">(parametros_manuales!$D$41*('Plan mensual'!N24+IF(parametros_manuales!$H$41="Todos",'Plan mensual'!N28,0))+parametros_manuales!$E$41*('Plan mensual'!N25+IF(parametros_manuales!$H$41="Todos",'Plan mensual'!N29,0))+parametros_manuales!$F$41*('Plan mensual'!N26+IF(parametros_manuales!$H$41="Todos",'Plan mensual'!N30,0))+parametros_manuales!$G$41*('Plan mensual'!N27+IF(parametros_manuales!$H$41="Todos",'Plan mensual'!N31,0)))*parametros_manuales!$I$41*parametros_manuales!$J$41</f>
        <v>962.733991838</v>
      </c>
      <c r="M78" s="9" t="n">
        <f aca="false">(parametros_manuales!$D$41*('Plan mensual'!O24+IF(parametros_manuales!$H$41="Todos",'Plan mensual'!O28,0))+parametros_manuales!$E$41*('Plan mensual'!O25+IF(parametros_manuales!$H$41="Todos",'Plan mensual'!O29,0))+parametros_manuales!$F$41*('Plan mensual'!O26+IF(parametros_manuales!$H$41="Todos",'Plan mensual'!O30,0))+parametros_manuales!$G$41*('Plan mensual'!O27+IF(parametros_manuales!$H$41="Todos",'Plan mensual'!O31,0)))*parametros_manuales!$I$41*parametros_manuales!$J$41</f>
        <v>1527.550018084</v>
      </c>
      <c r="N78" s="9" t="n">
        <f aca="false">SUM(B78:M78)</f>
        <v>13263.9321864</v>
      </c>
      <c r="O78" s="9" t="n">
        <f aca="false">MAX(B78:M78)</f>
        <v>1527.550018084</v>
      </c>
      <c r="P78" s="43" t="n">
        <f aca="false">O78/(parametros_manuales!$B$7)</f>
        <v>10.1836667872267</v>
      </c>
      <c r="Q78" s="8" t="str">
        <f aca="false">IF(O78=0,"-",INDEX($B$55:$M$55,MATCH(O78,B78:M78,0)))</f>
        <v>Dic</v>
      </c>
    </row>
    <row r="79" customFormat="false" ht="14.25" hidden="false" customHeight="true" outlineLevel="0" collapsed="false">
      <c r="A79" s="8" t="str">
        <f aca="false">parametros_manuales!$B$42</f>
        <v>Etiquetado</v>
      </c>
      <c r="B79" s="9" t="n">
        <f aca="false">(parametros_manuales!$D$42*('Plan mensual'!D24+IF(parametros_manuales!$H$42="Todos",'Plan mensual'!D28,0))+parametros_manuales!$E$42*('Plan mensual'!D25+IF(parametros_manuales!$H$42="Todos",'Plan mensual'!D29,0))+parametros_manuales!$F$42*('Plan mensual'!D26+IF(parametros_manuales!$H$42="Todos",'Plan mensual'!D30,0))+parametros_manuales!$G$42*('Plan mensual'!D27+IF(parametros_manuales!$H$42="Todos",'Plan mensual'!D31,0)))*parametros_manuales!$I$42*parametros_manuales!$J$42</f>
        <v>1463.4281738</v>
      </c>
      <c r="C79" s="9" t="n">
        <f aca="false">(parametros_manuales!$D$42*('Plan mensual'!E24+IF(parametros_manuales!$H$42="Todos",'Plan mensual'!E28,0))+parametros_manuales!$E$42*('Plan mensual'!E25+IF(parametros_manuales!$H$42="Todos",'Plan mensual'!E29,0))+parametros_manuales!$F$42*('Plan mensual'!E26+IF(parametros_manuales!$H$42="Todos",'Plan mensual'!E30,0))+parametros_manuales!$G$42*('Plan mensual'!E27+IF(parametros_manuales!$H$42="Todos",'Plan mensual'!E31,0)))*parametros_manuales!$I$42*parametros_manuales!$J$42</f>
        <v>1129.632052492</v>
      </c>
      <c r="D79" s="9" t="n">
        <f aca="false">(parametros_manuales!$D$42*('Plan mensual'!F24+IF(parametros_manuales!$H$42="Todos",'Plan mensual'!F28,0))+parametros_manuales!$E$42*('Plan mensual'!F25+IF(parametros_manuales!$H$42="Todos",'Plan mensual'!F29,0))+parametros_manuales!$F$42*('Plan mensual'!F26+IF(parametros_manuales!$H$42="Todos",'Plan mensual'!F30,0))+parametros_manuales!$G$42*('Plan mensual'!F27+IF(parametros_manuales!$H$42="Todos",'Plan mensual'!F31,0)))*parametros_manuales!$I$42*parametros_manuales!$J$42</f>
        <v>1093.175497054</v>
      </c>
      <c r="E79" s="9" t="n">
        <f aca="false">(parametros_manuales!$D$42*('Plan mensual'!G24+IF(parametros_manuales!$H$42="Todos",'Plan mensual'!G28,0))+parametros_manuales!$E$42*('Plan mensual'!G25+IF(parametros_manuales!$H$42="Todos",'Plan mensual'!G29,0))+parametros_manuales!$F$42*('Plan mensual'!G26+IF(parametros_manuales!$H$42="Todos",'Plan mensual'!G30,0))+parametros_manuales!$G$42*('Plan mensual'!G27+IF(parametros_manuales!$H$42="Todos",'Plan mensual'!G31,0)))*parametros_manuales!$I$42*parametros_manuales!$J$42</f>
        <v>1058.916758264</v>
      </c>
      <c r="F79" s="9" t="n">
        <f aca="false">(parametros_manuales!$D$42*('Plan mensual'!H24+IF(parametros_manuales!$H$42="Todos",'Plan mensual'!H28,0))+parametros_manuales!$E$42*('Plan mensual'!H25+IF(parametros_manuales!$H$42="Todos",'Plan mensual'!H29,0))+parametros_manuales!$F$42*('Plan mensual'!H26+IF(parametros_manuales!$H$42="Todos",'Plan mensual'!H30,0))+parametros_manuales!$G$42*('Plan mensual'!H27+IF(parametros_manuales!$H$42="Todos",'Plan mensual'!H31,0)))*parametros_manuales!$I$42*parametros_manuales!$J$42</f>
        <v>992.597097332</v>
      </c>
      <c r="G79" s="9" t="n">
        <f aca="false">(parametros_manuales!$D$42*('Plan mensual'!I24+IF(parametros_manuales!$H$42="Todos",'Plan mensual'!I28,0))+parametros_manuales!$E$42*('Plan mensual'!I25+IF(parametros_manuales!$H$42="Todos",'Plan mensual'!I29,0))+parametros_manuales!$F$42*('Plan mensual'!I26+IF(parametros_manuales!$H$42="Todos",'Plan mensual'!I30,0))+parametros_manuales!$G$42*('Plan mensual'!I27+IF(parametros_manuales!$H$42="Todos",'Plan mensual'!I31,0)))*parametros_manuales!$I$42*parametros_manuales!$J$42</f>
        <v>960.53617519</v>
      </c>
      <c r="H79" s="9" t="n">
        <f aca="false">(parametros_manuales!$D$42*('Plan mensual'!J24+IF(parametros_manuales!$H$42="Todos",'Plan mensual'!J28,0))+parametros_manuales!$E$42*('Plan mensual'!J25+IF(parametros_manuales!$H$42="Todos",'Plan mensual'!J29,0))+parametros_manuales!$F$42*('Plan mensual'!J26+IF(parametros_manuales!$H$42="Todos",'Plan mensual'!J30,0))+parametros_manuales!$G$42*('Plan mensual'!J27+IF(parametros_manuales!$H$42="Todos",'Plan mensual'!J31,0)))*parametros_manuales!$I$42*parametros_manuales!$J$42</f>
        <v>1026.855836122</v>
      </c>
      <c r="I79" s="9" t="n">
        <f aca="false">(parametros_manuales!$D$42*('Plan mensual'!K24+IF(parametros_manuales!$H$42="Todos",'Plan mensual'!K28,0))+parametros_manuales!$E$42*('Plan mensual'!K25+IF(parametros_manuales!$H$42="Todos",'Plan mensual'!K29,0))+parametros_manuales!$F$42*('Plan mensual'!K26+IF(parametros_manuales!$H$42="Todos",'Plan mensual'!K30,0))+parametros_manuales!$G$42*('Plan mensual'!K27+IF(parametros_manuales!$H$42="Todos",'Plan mensual'!K31,0)))*parametros_manuales!$I$42*parametros_manuales!$J$42</f>
        <v>1026.855836122</v>
      </c>
      <c r="J79" s="9" t="n">
        <f aca="false">(parametros_manuales!$D$42*('Plan mensual'!L24+IF(parametros_manuales!$H$42="Todos",'Plan mensual'!L28,0))+parametros_manuales!$E$42*('Plan mensual'!L25+IF(parametros_manuales!$H$42="Todos",'Plan mensual'!L29,0))+parametros_manuales!$F$42*('Plan mensual'!L26+IF(parametros_manuales!$H$42="Todos",'Plan mensual'!L30,0))+parametros_manuales!$G$42*('Plan mensual'!L27+IF(parametros_manuales!$H$42="Todos",'Plan mensual'!L31,0)))*parametros_manuales!$I$42*parametros_manuales!$J$42</f>
        <v>1026.855836122</v>
      </c>
      <c r="K79" s="9" t="n">
        <f aca="false">(parametros_manuales!$D$42*('Plan mensual'!M24+IF(parametros_manuales!$H$42="Todos",'Plan mensual'!M28,0))+parametros_manuales!$E$42*('Plan mensual'!M25+IF(parametros_manuales!$H$42="Todos",'Plan mensual'!M29,0))+parametros_manuales!$F$42*('Plan mensual'!M26+IF(parametros_manuales!$H$42="Todos",'Plan mensual'!M30,0))+parametros_manuales!$G$42*('Plan mensual'!M27+IF(parametros_manuales!$H$42="Todos",'Plan mensual'!M31,0)))*parametros_manuales!$I$42*parametros_manuales!$J$42</f>
        <v>994.79491398</v>
      </c>
      <c r="L79" s="9" t="n">
        <f aca="false">(parametros_manuales!$D$42*('Plan mensual'!N24+IF(parametros_manuales!$H$42="Todos",'Plan mensual'!N28,0))+parametros_manuales!$E$42*('Plan mensual'!N25+IF(parametros_manuales!$H$42="Todos",'Plan mensual'!N29,0))+parametros_manuales!$F$42*('Plan mensual'!N26+IF(parametros_manuales!$H$42="Todos",'Plan mensual'!N30,0))+parametros_manuales!$G$42*('Plan mensual'!N27+IF(parametros_manuales!$H$42="Todos",'Plan mensual'!N31,0)))*parametros_manuales!$I$42*parametros_manuales!$J$42</f>
        <v>962.733991838</v>
      </c>
      <c r="M79" s="9" t="n">
        <f aca="false">(parametros_manuales!$D$42*('Plan mensual'!O24+IF(parametros_manuales!$H$42="Todos",'Plan mensual'!O28,0))+parametros_manuales!$E$42*('Plan mensual'!O25+IF(parametros_manuales!$H$42="Todos",'Plan mensual'!O29,0))+parametros_manuales!$F$42*('Plan mensual'!O26+IF(parametros_manuales!$H$42="Todos",'Plan mensual'!O30,0))+parametros_manuales!$G$42*('Plan mensual'!O27+IF(parametros_manuales!$H$42="Todos",'Plan mensual'!O31,0)))*parametros_manuales!$I$42*parametros_manuales!$J$42</f>
        <v>1527.550018084</v>
      </c>
      <c r="N79" s="9" t="n">
        <f aca="false">SUM(B79:M79)</f>
        <v>13263.9321864</v>
      </c>
      <c r="O79" s="9" t="n">
        <f aca="false">MAX(B79:M79)</f>
        <v>1527.550018084</v>
      </c>
      <c r="P79" s="43" t="n">
        <f aca="false">O79/(parametros_manuales!$B$7)</f>
        <v>10.1836667872267</v>
      </c>
      <c r="Q79" s="8" t="str">
        <f aca="false">IF(O79=0,"-",INDEX($B$55:$M$55,MATCH(O79,B79:M79,0)))</f>
        <v>Dic</v>
      </c>
    </row>
    <row r="80" customFormat="false" ht="14.25" hidden="false" customHeight="true" outlineLevel="0" collapsed="false">
      <c r="A80" s="8" t="str">
        <f aca="false">parametros_manuales!$B$43</f>
        <v>Embalaje y paletizado</v>
      </c>
      <c r="B80" s="9" t="n">
        <f aca="false">(parametros_manuales!$D$43*('Plan mensual'!D24+IF(parametros_manuales!$H$43="Todos",'Plan mensual'!D28,0))+parametros_manuales!$E$43*('Plan mensual'!D25+IF(parametros_manuales!$H$43="Todos",'Plan mensual'!D29,0))+parametros_manuales!$F$43*('Plan mensual'!D26+IF(parametros_manuales!$H$43="Todos",'Plan mensual'!D30,0))+parametros_manuales!$G$43*('Plan mensual'!D27+IF(parametros_manuales!$H$43="Todos",'Plan mensual'!D31,0)))*parametros_manuales!$I$43*parametros_manuales!$J$43</f>
        <v>2584.2681738</v>
      </c>
      <c r="C80" s="9" t="n">
        <f aca="false">(parametros_manuales!$D$43*('Plan mensual'!E24+IF(parametros_manuales!$H$43="Todos",'Plan mensual'!E28,0))+parametros_manuales!$E$43*('Plan mensual'!E25+IF(parametros_manuales!$H$43="Todos",'Plan mensual'!E29,0))+parametros_manuales!$F$43*('Plan mensual'!E26+IF(parametros_manuales!$H$43="Todos",'Plan mensual'!E30,0))+parametros_manuales!$G$43*('Plan mensual'!E27+IF(parametros_manuales!$H$43="Todos",'Plan mensual'!E31,0)))*parametros_manuales!$I$43*parametros_manuales!$J$43</f>
        <v>1980.329652492</v>
      </c>
      <c r="D80" s="9" t="n">
        <f aca="false">(parametros_manuales!$D$43*('Plan mensual'!F24+IF(parametros_manuales!$H$43="Todos",'Plan mensual'!F28,0))+parametros_manuales!$E$43*('Plan mensual'!F25+IF(parametros_manuales!$H$43="Todos",'Plan mensual'!F29,0))+parametros_manuales!$F$43*('Plan mensual'!F26+IF(parametros_manuales!$H$43="Todos",'Plan mensual'!F30,0))+parametros_manuales!$G$43*('Plan mensual'!F27+IF(parametros_manuales!$H$43="Todos",'Plan mensual'!F31,0)))*parametros_manuales!$I$43*parametros_manuales!$J$43</f>
        <v>1877.316697054</v>
      </c>
      <c r="E80" s="9" t="n">
        <f aca="false">(parametros_manuales!$D$43*('Plan mensual'!G24+IF(parametros_manuales!$H$43="Todos",'Plan mensual'!G28,0))+parametros_manuales!$E$43*('Plan mensual'!G25+IF(parametros_manuales!$H$43="Todos",'Plan mensual'!G29,0))+parametros_manuales!$F$43*('Plan mensual'!G26+IF(parametros_manuales!$H$43="Todos",'Plan mensual'!G30,0))+parametros_manuales!$G$43*('Plan mensual'!G27+IF(parametros_manuales!$H$43="Todos",'Plan mensual'!G31,0)))*parametros_manuales!$I$43*parametros_manuales!$J$43</f>
        <v>1804.745958264</v>
      </c>
      <c r="F80" s="9" t="n">
        <f aca="false">(parametros_manuales!$D$43*('Plan mensual'!H24+IF(parametros_manuales!$H$43="Todos",'Plan mensual'!H28,0))+parametros_manuales!$E$43*('Plan mensual'!H25+IF(parametros_manuales!$H$43="Todos",'Plan mensual'!H29,0))+parametros_manuales!$F$43*('Plan mensual'!H26+IF(parametros_manuales!$H$43="Todos",'Plan mensual'!H30,0))+parametros_manuales!$G$43*('Plan mensual'!H27+IF(parametros_manuales!$H$43="Todos",'Plan mensual'!H31,0)))*parametros_manuales!$I$43*parametros_manuales!$J$43</f>
        <v>1690.046697332</v>
      </c>
      <c r="G80" s="9" t="n">
        <f aca="false">(parametros_manuales!$D$43*('Plan mensual'!I24+IF(parametros_manuales!$H$43="Todos",'Plan mensual'!I28,0))+parametros_manuales!$E$43*('Plan mensual'!I25+IF(parametros_manuales!$H$43="Todos",'Plan mensual'!I29,0))+parametros_manuales!$F$43*('Plan mensual'!I26+IF(parametros_manuales!$H$43="Todos",'Plan mensual'!I30,0))+parametros_manuales!$G$43*('Plan mensual'!I27+IF(parametros_manuales!$H$43="Todos",'Plan mensual'!I31,0)))*parametros_manuales!$I$43*parametros_manuales!$J$43</f>
        <v>1647.91817519</v>
      </c>
      <c r="H80" s="9" t="n">
        <f aca="false">(parametros_manuales!$D$43*('Plan mensual'!J24+IF(parametros_manuales!$H$43="Todos",'Plan mensual'!J28,0))+parametros_manuales!$E$43*('Plan mensual'!J25+IF(parametros_manuales!$H$43="Todos",'Plan mensual'!J29,0))+parametros_manuales!$F$43*('Plan mensual'!J26+IF(parametros_manuales!$H$43="Todos",'Plan mensual'!J30,0))+parametros_manuales!$G$43*('Plan mensual'!J27+IF(parametros_manuales!$H$43="Todos",'Plan mensual'!J31,0)))*parametros_manuales!$I$43*parametros_manuales!$J$43</f>
        <v>1762.617436122</v>
      </c>
      <c r="I80" s="9" t="n">
        <f aca="false">(parametros_manuales!$D$43*('Plan mensual'!K24+IF(parametros_manuales!$H$43="Todos",'Plan mensual'!K28,0))+parametros_manuales!$E$43*('Plan mensual'!K25+IF(parametros_manuales!$H$43="Todos",'Plan mensual'!K29,0))+parametros_manuales!$F$43*('Plan mensual'!K26+IF(parametros_manuales!$H$43="Todos",'Plan mensual'!K30,0))+parametros_manuales!$G$43*('Plan mensual'!K27+IF(parametros_manuales!$H$43="Todos",'Plan mensual'!K31,0)))*parametros_manuales!$I$43*parametros_manuales!$J$43</f>
        <v>1762.617436122</v>
      </c>
      <c r="J80" s="9" t="n">
        <f aca="false">(parametros_manuales!$D$43*('Plan mensual'!L24+IF(parametros_manuales!$H$43="Todos",'Plan mensual'!L28,0))+parametros_manuales!$E$43*('Plan mensual'!L25+IF(parametros_manuales!$H$43="Todos",'Plan mensual'!L29,0))+parametros_manuales!$F$43*('Plan mensual'!L26+IF(parametros_manuales!$H$43="Todos",'Plan mensual'!L30,0))+parametros_manuales!$G$43*('Plan mensual'!L27+IF(parametros_manuales!$H$43="Todos",'Plan mensual'!L31,0)))*parametros_manuales!$I$43*parametros_manuales!$J$43</f>
        <v>1762.617436122</v>
      </c>
      <c r="K80" s="9" t="n">
        <f aca="false">(parametros_manuales!$D$43*('Plan mensual'!M24+IF(parametros_manuales!$H$43="Todos",'Plan mensual'!M28,0))+parametros_manuales!$E$43*('Plan mensual'!M25+IF(parametros_manuales!$H$43="Todos",'Plan mensual'!M29,0))+parametros_manuales!$F$43*('Plan mensual'!M26+IF(parametros_manuales!$H$43="Todos",'Plan mensual'!M30,0))+parametros_manuales!$G$43*('Plan mensual'!M27+IF(parametros_manuales!$H$43="Todos",'Plan mensual'!M31,0)))*parametros_manuales!$I$43*parametros_manuales!$J$43</f>
        <v>1720.48891398</v>
      </c>
      <c r="L80" s="9" t="n">
        <f aca="false">(parametros_manuales!$D$43*('Plan mensual'!N24+IF(parametros_manuales!$H$43="Todos",'Plan mensual'!N28,0))+parametros_manuales!$E$43*('Plan mensual'!N25+IF(parametros_manuales!$H$43="Todos",'Plan mensual'!N29,0))+parametros_manuales!$F$43*('Plan mensual'!N26+IF(parametros_manuales!$H$43="Todos",'Plan mensual'!N30,0))+parametros_manuales!$G$43*('Plan mensual'!N27+IF(parametros_manuales!$H$43="Todos",'Plan mensual'!N31,0)))*parametros_manuales!$I$43*parametros_manuales!$J$43</f>
        <v>1678.360391838</v>
      </c>
      <c r="M80" s="9" t="n">
        <f aca="false">(parametros_manuales!$D$43*('Plan mensual'!O24+IF(parametros_manuales!$H$43="Todos",'Plan mensual'!O28,0))+parametros_manuales!$E$43*('Plan mensual'!O25+IF(parametros_manuales!$H$43="Todos",'Plan mensual'!O29,0))+parametros_manuales!$F$43*('Plan mensual'!O26+IF(parametros_manuales!$H$43="Todos",'Plan mensual'!O30,0))+parametros_manuales!$G$43*('Plan mensual'!O27+IF(parametros_manuales!$H$43="Todos",'Plan mensual'!O31,0)))*parametros_manuales!$I$43*parametros_manuales!$J$43</f>
        <v>2668.525218084</v>
      </c>
      <c r="N80" s="9" t="n">
        <f aca="false">SUM(B80:M80)</f>
        <v>22939.8521864</v>
      </c>
      <c r="O80" s="9" t="n">
        <f aca="false">MAX(B80:M80)</f>
        <v>2668.525218084</v>
      </c>
      <c r="P80" s="43" t="n">
        <f aca="false">O80/(parametros_manuales!$B$7)</f>
        <v>17.79016812056</v>
      </c>
      <c r="Q80" s="8" t="str">
        <f aca="false">IF(O80=0,"-",INDEX($B$55:$M$55,MATCH(O80,B80:M80,0)))</f>
        <v>Dic</v>
      </c>
    </row>
    <row r="81" customFormat="false" ht="14.25" hidden="false" customHeight="true" outlineLevel="0" collapsed="false"/>
    <row r="82" customFormat="false" ht="14.25" hidden="false" customHeight="true" outlineLevel="0" collapsed="false">
      <c r="A82" s="7" t="s">
        <v>193</v>
      </c>
      <c r="B82" s="7" t="s">
        <v>61</v>
      </c>
      <c r="C82" s="7" t="s">
        <v>62</v>
      </c>
      <c r="D82" s="7" t="s">
        <v>63</v>
      </c>
      <c r="E82" s="7" t="s">
        <v>64</v>
      </c>
      <c r="F82" s="7" t="s">
        <v>65</v>
      </c>
      <c r="G82" s="7" t="s">
        <v>66</v>
      </c>
      <c r="H82" s="7" t="s">
        <v>67</v>
      </c>
      <c r="I82" s="7" t="s">
        <v>68</v>
      </c>
      <c r="J82" s="7" t="s">
        <v>69</v>
      </c>
      <c r="K82" s="7" t="s">
        <v>70</v>
      </c>
      <c r="L82" s="7" t="s">
        <v>71</v>
      </c>
      <c r="M82" s="7" t="s">
        <v>72</v>
      </c>
      <c r="N82" s="7" t="s">
        <v>183</v>
      </c>
      <c r="O82" s="7" t="s">
        <v>188</v>
      </c>
      <c r="P82" s="7" t="s">
        <v>189</v>
      </c>
      <c r="Q82" s="7" t="s">
        <v>190</v>
      </c>
    </row>
    <row r="83" customFormat="false" ht="14.25" hidden="false" customHeight="true" outlineLevel="0" collapsed="false">
      <c r="A83" s="8" t="str">
        <f aca="false">parametros_manuales!$B$19</f>
        <v>Recepción de materia prima</v>
      </c>
      <c r="B83" s="9" t="n">
        <f aca="false">(parametros_manuales!$D$19*('Plan mensual'!D35+IF(parametros_manuales!$H$19="Todos",'Plan mensual'!D39,0))+parametros_manuales!$E$19*('Plan mensual'!D36+IF(parametros_manuales!$H$19="Todos",'Plan mensual'!D40,0))+parametros_manuales!$F$19*('Plan mensual'!D37+IF(parametros_manuales!$H$19="Todos",'Plan mensual'!D41,0))+parametros_manuales!$G$19*('Plan mensual'!D38+IF(parametros_manuales!$H$19="Todos",'Plan mensual'!D42,0)))*parametros_manuales!$I$19*parametros_manuales!$J$19</f>
        <v>5775.02166399</v>
      </c>
      <c r="C83" s="9" t="n">
        <f aca="false">(parametros_manuales!$D$19*('Plan mensual'!E35+IF(parametros_manuales!$H$19="Todos",'Plan mensual'!E39,0))+parametros_manuales!$E$19*('Plan mensual'!E36+IF(parametros_manuales!$H$19="Todos",'Plan mensual'!E40,0))+parametros_manuales!$F$19*('Plan mensual'!E37+IF(parametros_manuales!$H$19="Todos",'Plan mensual'!E41,0))+parametros_manuales!$G$19*('Plan mensual'!E38+IF(parametros_manuales!$H$19="Todos",'Plan mensual'!E42,0)))*parametros_manuales!$I$19*parametros_manuales!$J$19</f>
        <v>4409.045717898</v>
      </c>
      <c r="D83" s="9" t="n">
        <f aca="false">(parametros_manuales!$D$19*('Plan mensual'!F35+IF(parametros_manuales!$H$19="Todos",'Plan mensual'!F39,0))+parametros_manuales!$E$19*('Plan mensual'!F36+IF(parametros_manuales!$H$19="Todos",'Plan mensual'!F40,0))+parametros_manuales!$F$19*('Plan mensual'!F37+IF(parametros_manuales!$H$19="Todos",'Plan mensual'!F41,0))+parametros_manuales!$G$19*('Plan mensual'!F38+IF(parametros_manuales!$H$19="Todos",'Plan mensual'!F42,0)))*parametros_manuales!$I$19*parametros_manuales!$J$19</f>
        <v>4135.2058323135</v>
      </c>
      <c r="E83" s="9" t="n">
        <f aca="false">(parametros_manuales!$D$19*('Plan mensual'!G35+IF(parametros_manuales!$H$19="Todos",'Plan mensual'!G39,0))+parametros_manuales!$E$19*('Plan mensual'!G36+IF(parametros_manuales!$H$19="Todos",'Plan mensual'!G40,0))+parametros_manuales!$F$19*('Plan mensual'!G37+IF(parametros_manuales!$H$19="Todos",'Plan mensual'!G41,0))+parametros_manuales!$G$19*('Plan mensual'!G38+IF(parametros_manuales!$H$19="Todos",'Plan mensual'!G42,0)))*parametros_manuales!$I$19*parametros_manuales!$J$19</f>
        <v>3959.3961545685</v>
      </c>
      <c r="F83" s="9" t="n">
        <f aca="false">(parametros_manuales!$D$19*('Plan mensual'!H35+IF(parametros_manuales!$H$19="Todos",'Plan mensual'!H39,0))+parametros_manuales!$E$19*('Plan mensual'!H36+IF(parametros_manuales!$H$19="Todos",'Plan mensual'!H40,0))+parametros_manuales!$F$19*('Plan mensual'!H37+IF(parametros_manuales!$H$19="Todos",'Plan mensual'!H41,0))+parametros_manuales!$G$19*('Plan mensual'!H38+IF(parametros_manuales!$H$19="Todos",'Plan mensual'!H42,0)))*parametros_manuales!$I$19*parametros_manuales!$J$19</f>
        <v>3705.807006918</v>
      </c>
      <c r="G83" s="9" t="n">
        <f aca="false">(parametros_manuales!$D$19*('Plan mensual'!I35+IF(parametros_manuales!$H$19="Todos",'Plan mensual'!I39,0))+parametros_manuales!$E$19*('Plan mensual'!I36+IF(parametros_manuales!$H$19="Todos",'Plan mensual'!I40,0))+parametros_manuales!$F$19*('Plan mensual'!I37+IF(parametros_manuales!$H$19="Todos",'Plan mensual'!I41,0))+parametros_manuales!$G$19*('Plan mensual'!I38+IF(parametros_manuales!$H$19="Todos",'Plan mensual'!I42,0)))*parametros_manuales!$I$19*parametros_manuales!$J$19</f>
        <v>3628.0275370125</v>
      </c>
      <c r="H83" s="9" t="n">
        <f aca="false">(parametros_manuales!$D$19*('Plan mensual'!J35+IF(parametros_manuales!$H$19="Todos",'Plan mensual'!J39,0))+parametros_manuales!$E$19*('Plan mensual'!J36+IF(parametros_manuales!$H$19="Todos",'Plan mensual'!J40,0))+parametros_manuales!$F$19*('Plan mensual'!J37+IF(parametros_manuales!$H$19="Todos",'Plan mensual'!J41,0))+parametros_manuales!$G$19*('Plan mensual'!J38+IF(parametros_manuales!$H$19="Todos",'Plan mensual'!J42,0)))*parametros_manuales!$I$19*parametros_manuales!$J$19</f>
        <v>3881.616684663</v>
      </c>
      <c r="I83" s="9" t="n">
        <f aca="false">(parametros_manuales!$D$19*('Plan mensual'!K35+IF(parametros_manuales!$H$19="Todos",'Plan mensual'!K39,0))+parametros_manuales!$E$19*('Plan mensual'!K36+IF(parametros_manuales!$H$19="Todos",'Plan mensual'!K40,0))+parametros_manuales!$F$19*('Plan mensual'!K37+IF(parametros_manuales!$H$19="Todos",'Plan mensual'!K41,0))+parametros_manuales!$G$19*('Plan mensual'!K38+IF(parametros_manuales!$H$19="Todos",'Plan mensual'!K42,0)))*parametros_manuales!$I$19*parametros_manuales!$J$19</f>
        <v>3881.616684663</v>
      </c>
      <c r="J83" s="9" t="n">
        <f aca="false">(parametros_manuales!$D$19*('Plan mensual'!L35+IF(parametros_manuales!$H$19="Todos",'Plan mensual'!L39,0))+parametros_manuales!$E$19*('Plan mensual'!L36+IF(parametros_manuales!$H$19="Todos",'Plan mensual'!L40,0))+parametros_manuales!$F$19*('Plan mensual'!L37+IF(parametros_manuales!$H$19="Todos",'Plan mensual'!L41,0))+parametros_manuales!$G$19*('Plan mensual'!L38+IF(parametros_manuales!$H$19="Todos",'Plan mensual'!L42,0)))*parametros_manuales!$I$19*parametros_manuales!$J$19</f>
        <v>3881.616684663</v>
      </c>
      <c r="K83" s="9" t="n">
        <f aca="false">(parametros_manuales!$D$19*('Plan mensual'!M35+IF(parametros_manuales!$H$19="Todos",'Plan mensual'!M39,0))+parametros_manuales!$E$19*('Plan mensual'!M36+IF(parametros_manuales!$H$19="Todos",'Plan mensual'!M40,0))+parametros_manuales!$F$19*('Plan mensual'!M37+IF(parametros_manuales!$H$19="Todos",'Plan mensual'!M41,0))+parametros_manuales!$G$19*('Plan mensual'!M38+IF(parametros_manuales!$H$19="Todos",'Plan mensual'!M42,0)))*parametros_manuales!$I$19*parametros_manuales!$J$19</f>
        <v>3803.8372147575</v>
      </c>
      <c r="L83" s="9" t="n">
        <f aca="false">(parametros_manuales!$D$19*('Plan mensual'!N35+IF(parametros_manuales!$H$19="Todos",'Plan mensual'!N39,0))+parametros_manuales!$E$19*('Plan mensual'!N36+IF(parametros_manuales!$H$19="Todos",'Plan mensual'!N40,0))+parametros_manuales!$F$19*('Plan mensual'!N37+IF(parametros_manuales!$H$19="Todos",'Plan mensual'!N41,0))+parametros_manuales!$G$19*('Plan mensual'!N38+IF(parametros_manuales!$H$19="Todos",'Plan mensual'!N42,0)))*parametros_manuales!$I$19*parametros_manuales!$J$19</f>
        <v>3726.057744852</v>
      </c>
      <c r="M83" s="9" t="n">
        <f aca="false">(parametros_manuales!$D$19*('Plan mensual'!O35+IF(parametros_manuales!$H$19="Todos",'Plan mensual'!O39,0))+parametros_manuales!$E$19*('Plan mensual'!O36+IF(parametros_manuales!$H$19="Todos",'Plan mensual'!O40,0))+parametros_manuales!$F$19*('Plan mensual'!O37+IF(parametros_manuales!$H$19="Todos",'Plan mensual'!O41,0))+parametros_manuales!$G$19*('Plan mensual'!O38+IF(parametros_manuales!$H$19="Todos",'Plan mensual'!O42,0)))*parametros_manuales!$I$19*parametros_manuales!$J$19</f>
        <v>5930.580603801</v>
      </c>
      <c r="N83" s="9" t="n">
        <f aca="false">SUM(B83:M83)</f>
        <v>50717.8295301</v>
      </c>
      <c r="O83" s="9" t="n">
        <f aca="false">MAX(B83:M83)</f>
        <v>5930.580603801</v>
      </c>
      <c r="P83" s="43" t="n">
        <f aca="false">O83/(parametros_manuales!$B$7)</f>
        <v>39.53720402534</v>
      </c>
      <c r="Q83" s="8" t="str">
        <f aca="false">IF(O83=0,"-",INDEX($B$82:$M$82,MATCH(O83,B83:M83,0)))</f>
        <v>Dic</v>
      </c>
    </row>
    <row r="84" customFormat="false" ht="14.25" hidden="false" customHeight="true" outlineLevel="0" collapsed="false">
      <c r="A84" s="8" t="str">
        <f aca="false">parametros_manuales!$B$20</f>
        <v>Corte de chapa (guillotina) — 2,5 a 10 kg</v>
      </c>
      <c r="B84" s="9" t="n">
        <f aca="false">(parametros_manuales!$D$20*('Plan mensual'!D35+IF(parametros_manuales!$H$20="Todos",'Plan mensual'!D39,0))+parametros_manuales!$E$20*('Plan mensual'!D36+IF(parametros_manuales!$H$20="Todos",'Plan mensual'!D40,0))+parametros_manuales!$F$20*('Plan mensual'!D37+IF(parametros_manuales!$H$20="Todos",'Plan mensual'!D41,0))+parametros_manuales!$G$20*('Plan mensual'!D38+IF(parametros_manuales!$H$20="Todos",'Plan mensual'!D42,0)))*parametros_manuales!$I$20*parametros_manuales!$J$20</f>
        <v>1555.58939811</v>
      </c>
      <c r="C84" s="9" t="n">
        <f aca="false">(parametros_manuales!$D$20*('Plan mensual'!E35+IF(parametros_manuales!$H$20="Todos",'Plan mensual'!E39,0))+parametros_manuales!$E$20*('Plan mensual'!E36+IF(parametros_manuales!$H$20="Todos",'Plan mensual'!E40,0))+parametros_manuales!$F$20*('Plan mensual'!E37+IF(parametros_manuales!$H$20="Todos",'Plan mensual'!E41,0))+parametros_manuales!$G$20*('Plan mensual'!E38+IF(parametros_manuales!$H$20="Todos",'Plan mensual'!E42,0)))*parametros_manuales!$I$20*parametros_manuales!$J$20</f>
        <v>1244.471518488</v>
      </c>
      <c r="D84" s="9" t="n">
        <f aca="false">(parametros_manuales!$D$20*('Plan mensual'!F35+IF(parametros_manuales!$H$20="Todos",'Plan mensual'!F39,0))+parametros_manuales!$E$20*('Plan mensual'!F36+IF(parametros_manuales!$H$20="Todos",'Plan mensual'!F40,0))+parametros_manuales!$F$20*('Plan mensual'!F37+IF(parametros_manuales!$H$20="Todos",'Plan mensual'!F41,0))+parametros_manuales!$G$20*('Plan mensual'!F38+IF(parametros_manuales!$H$20="Todos",'Plan mensual'!F42,0)))*parametros_manuales!$I$20*parametros_manuales!$J$20</f>
        <v>1322.2509883935</v>
      </c>
      <c r="E84" s="9" t="n">
        <f aca="false">(parametros_manuales!$D$20*('Plan mensual'!G35+IF(parametros_manuales!$H$20="Todos",'Plan mensual'!G39,0))+parametros_manuales!$E$20*('Plan mensual'!G36+IF(parametros_manuales!$H$20="Todos",'Plan mensual'!G40,0))+parametros_manuales!$F$20*('Plan mensual'!G37+IF(parametros_manuales!$H$20="Todos",'Plan mensual'!G41,0))+parametros_manuales!$G$20*('Plan mensual'!G38+IF(parametros_manuales!$H$20="Todos",'Plan mensual'!G42,0)))*parametros_manuales!$I$20*parametros_manuales!$J$20</f>
        <v>1322.2509883935</v>
      </c>
      <c r="F84" s="9" t="n">
        <f aca="false">(parametros_manuales!$D$20*('Plan mensual'!H35+IF(parametros_manuales!$H$20="Todos",'Plan mensual'!H39,0))+parametros_manuales!$E$20*('Plan mensual'!H36+IF(parametros_manuales!$H$20="Todos",'Plan mensual'!H40,0))+parametros_manuales!$F$20*('Plan mensual'!H37+IF(parametros_manuales!$H$20="Todos",'Plan mensual'!H41,0))+parametros_manuales!$G$20*('Plan mensual'!H38+IF(parametros_manuales!$H$20="Todos",'Plan mensual'!H42,0)))*parametros_manuales!$I$20*parametros_manuales!$J$20</f>
        <v>1244.471518488</v>
      </c>
      <c r="G84" s="9" t="n">
        <f aca="false">(parametros_manuales!$D$20*('Plan mensual'!I35+IF(parametros_manuales!$H$20="Todos",'Plan mensual'!I39,0))+parametros_manuales!$E$20*('Plan mensual'!I36+IF(parametros_manuales!$H$20="Todos",'Plan mensual'!I40,0))+parametros_manuales!$F$20*('Plan mensual'!I37+IF(parametros_manuales!$H$20="Todos",'Plan mensual'!I41,0))+parametros_manuales!$G$20*('Plan mensual'!I38+IF(parametros_manuales!$H$20="Todos",'Plan mensual'!I42,0)))*parametros_manuales!$I$20*parametros_manuales!$J$20</f>
        <v>1166.6920485825</v>
      </c>
      <c r="H84" s="9" t="n">
        <f aca="false">(parametros_manuales!$D$20*('Plan mensual'!J35+IF(parametros_manuales!$H$20="Todos",'Plan mensual'!J39,0))+parametros_manuales!$E$20*('Plan mensual'!J36+IF(parametros_manuales!$H$20="Todos",'Plan mensual'!J40,0))+parametros_manuales!$F$20*('Plan mensual'!J37+IF(parametros_manuales!$H$20="Todos",'Plan mensual'!J41,0))+parametros_manuales!$G$20*('Plan mensual'!J38+IF(parametros_manuales!$H$20="Todos",'Plan mensual'!J42,0)))*parametros_manuales!$I$20*parametros_manuales!$J$20</f>
        <v>1244.471518488</v>
      </c>
      <c r="I84" s="9" t="n">
        <f aca="false">(parametros_manuales!$D$20*('Plan mensual'!K35+IF(parametros_manuales!$H$20="Todos",'Plan mensual'!K39,0))+parametros_manuales!$E$20*('Plan mensual'!K36+IF(parametros_manuales!$H$20="Todos",'Plan mensual'!K40,0))+parametros_manuales!$F$20*('Plan mensual'!K37+IF(parametros_manuales!$H$20="Todos",'Plan mensual'!K41,0))+parametros_manuales!$G$20*('Plan mensual'!K38+IF(parametros_manuales!$H$20="Todos",'Plan mensual'!K42,0)))*parametros_manuales!$I$20*parametros_manuales!$J$20</f>
        <v>1244.471518488</v>
      </c>
      <c r="J84" s="9" t="n">
        <f aca="false">(parametros_manuales!$D$20*('Plan mensual'!L35+IF(parametros_manuales!$H$20="Todos",'Plan mensual'!L39,0))+parametros_manuales!$E$20*('Plan mensual'!L36+IF(parametros_manuales!$H$20="Todos",'Plan mensual'!L40,0))+parametros_manuales!$F$20*('Plan mensual'!L37+IF(parametros_manuales!$H$20="Todos",'Plan mensual'!L41,0))+parametros_manuales!$G$20*('Plan mensual'!L38+IF(parametros_manuales!$H$20="Todos",'Plan mensual'!L42,0)))*parametros_manuales!$I$20*parametros_manuales!$J$20</f>
        <v>1244.471518488</v>
      </c>
      <c r="K84" s="9" t="n">
        <f aca="false">(parametros_manuales!$D$20*('Plan mensual'!M35+IF(parametros_manuales!$H$20="Todos",'Plan mensual'!M39,0))+parametros_manuales!$E$20*('Plan mensual'!M36+IF(parametros_manuales!$H$20="Todos",'Plan mensual'!M40,0))+parametros_manuales!$F$20*('Plan mensual'!M37+IF(parametros_manuales!$H$20="Todos",'Plan mensual'!M41,0))+parametros_manuales!$G$20*('Plan mensual'!M38+IF(parametros_manuales!$H$20="Todos",'Plan mensual'!M42,0)))*parametros_manuales!$I$20*parametros_manuales!$J$20</f>
        <v>1166.6920485825</v>
      </c>
      <c r="L84" s="9" t="n">
        <f aca="false">(parametros_manuales!$D$20*('Plan mensual'!N35+IF(parametros_manuales!$H$20="Todos",'Plan mensual'!N39,0))+parametros_manuales!$E$20*('Plan mensual'!N36+IF(parametros_manuales!$H$20="Todos",'Plan mensual'!N40,0))+parametros_manuales!$F$20*('Plan mensual'!N37+IF(parametros_manuales!$H$20="Todos",'Plan mensual'!N41,0))+parametros_manuales!$G$20*('Plan mensual'!N38+IF(parametros_manuales!$H$20="Todos",'Plan mensual'!N42,0)))*parametros_manuales!$I$20*parametros_manuales!$J$20</f>
        <v>1088.912578677</v>
      </c>
      <c r="M84" s="9" t="n">
        <f aca="false">(parametros_manuales!$D$20*('Plan mensual'!O35+IF(parametros_manuales!$H$20="Todos",'Plan mensual'!O39,0))+parametros_manuales!$E$20*('Plan mensual'!O36+IF(parametros_manuales!$H$20="Todos",'Plan mensual'!O40,0))+parametros_manuales!$F$20*('Plan mensual'!O37+IF(parametros_manuales!$H$20="Todos",'Plan mensual'!O41,0))+parametros_manuales!$G$20*('Plan mensual'!O38+IF(parametros_manuales!$H$20="Todos",'Plan mensual'!O42,0)))*parametros_manuales!$I$20*parametros_manuales!$J$20</f>
        <v>1711.148337921</v>
      </c>
      <c r="N84" s="9" t="n">
        <f aca="false">SUM(B84:M84)</f>
        <v>15555.8939811</v>
      </c>
      <c r="O84" s="9" t="n">
        <f aca="false">MAX(B84:M84)</f>
        <v>1711.148337921</v>
      </c>
      <c r="P84" s="43" t="n">
        <f aca="false">O84/(parametros_manuales!$B$7)</f>
        <v>11.40765558614</v>
      </c>
      <c r="Q84" s="8" t="str">
        <f aca="false">IF(O84=0,"-",INDEX($B$82:$M$82,MATCH(O84,B84:M84,0)))</f>
        <v>Dic</v>
      </c>
    </row>
    <row r="85" customFormat="false" ht="14.25" hidden="false" customHeight="true" outlineLevel="0" collapsed="false">
      <c r="A85" s="8" t="str">
        <f aca="false">parametros_manuales!$B$21</f>
        <v>Corte de tubo — 1 kg</v>
      </c>
      <c r="B85" s="9" t="n">
        <f aca="false">(parametros_manuales!$D$21*('Plan mensual'!D35+IF(parametros_manuales!$H$21="Todos",'Plan mensual'!D39,0))+parametros_manuales!$E$21*('Plan mensual'!D36+IF(parametros_manuales!$H$21="Todos",'Plan mensual'!D40,0))+parametros_manuales!$F$21*('Plan mensual'!D37+IF(parametros_manuales!$H$21="Todos",'Plan mensual'!D41,0))+parametros_manuales!$G$21*('Plan mensual'!D38+IF(parametros_manuales!$H$21="Todos",'Plan mensual'!D42,0)))*parametros_manuales!$I$21*parametros_manuales!$J$21</f>
        <v>4219.43226588</v>
      </c>
      <c r="C85" s="9" t="n">
        <f aca="false">(parametros_manuales!$D$21*('Plan mensual'!E35+IF(parametros_manuales!$H$21="Todos",'Plan mensual'!E39,0))+parametros_manuales!$E$21*('Plan mensual'!E36+IF(parametros_manuales!$H$21="Todos",'Plan mensual'!E40,0))+parametros_manuales!$F$21*('Plan mensual'!E37+IF(parametros_manuales!$H$21="Todos",'Plan mensual'!E41,0))+parametros_manuales!$G$21*('Plan mensual'!E38+IF(parametros_manuales!$H$21="Todos",'Plan mensual'!E42,0)))*parametros_manuales!$I$21*parametros_manuales!$J$21</f>
        <v>3164.57419941</v>
      </c>
      <c r="D85" s="9" t="n">
        <f aca="false">(parametros_manuales!$D$21*('Plan mensual'!F35+IF(parametros_manuales!$H$21="Todos",'Plan mensual'!F39,0))+parametros_manuales!$E$21*('Plan mensual'!F36+IF(parametros_manuales!$H$21="Todos",'Plan mensual'!F40,0))+parametros_manuales!$F$21*('Plan mensual'!F37+IF(parametros_manuales!$H$21="Todos",'Plan mensual'!F41,0))+parametros_manuales!$G$21*('Plan mensual'!F38+IF(parametros_manuales!$H$21="Todos",'Plan mensual'!F42,0)))*parametros_manuales!$I$21*parametros_manuales!$J$21</f>
        <v>2812.95484392</v>
      </c>
      <c r="E85" s="9" t="n">
        <f aca="false">(parametros_manuales!$D$21*('Plan mensual'!G35+IF(parametros_manuales!$H$21="Todos",'Plan mensual'!G39,0))+parametros_manuales!$E$21*('Plan mensual'!G36+IF(parametros_manuales!$H$21="Todos",'Plan mensual'!G40,0))+parametros_manuales!$F$21*('Plan mensual'!G37+IF(parametros_manuales!$H$21="Todos",'Plan mensual'!G41,0))+parametros_manuales!$G$21*('Plan mensual'!G38+IF(parametros_manuales!$H$21="Todos",'Plan mensual'!G42,0)))*parametros_manuales!$I$21*parametros_manuales!$J$21</f>
        <v>2637.145166175</v>
      </c>
      <c r="F85" s="9" t="n">
        <f aca="false">(parametros_manuales!$D$21*('Plan mensual'!H35+IF(parametros_manuales!$H$21="Todos",'Plan mensual'!H39,0))+parametros_manuales!$E$21*('Plan mensual'!H36+IF(parametros_manuales!$H$21="Todos",'Plan mensual'!H40,0))+parametros_manuales!$F$21*('Plan mensual'!H37+IF(parametros_manuales!$H$21="Todos",'Plan mensual'!H41,0))+parametros_manuales!$G$21*('Plan mensual'!H38+IF(parametros_manuales!$H$21="Todos",'Plan mensual'!H42,0)))*parametros_manuales!$I$21*parametros_manuales!$J$21</f>
        <v>2461.33548843</v>
      </c>
      <c r="G85" s="9" t="n">
        <f aca="false">(parametros_manuales!$D$21*('Plan mensual'!I35+IF(parametros_manuales!$H$21="Todos",'Plan mensual'!I39,0))+parametros_manuales!$E$21*('Plan mensual'!I36+IF(parametros_manuales!$H$21="Todos",'Plan mensual'!I40,0))+parametros_manuales!$F$21*('Plan mensual'!I37+IF(parametros_manuales!$H$21="Todos",'Plan mensual'!I41,0))+parametros_manuales!$G$21*('Plan mensual'!I38+IF(parametros_manuales!$H$21="Todos",'Plan mensual'!I42,0)))*parametros_manuales!$I$21*parametros_manuales!$J$21</f>
        <v>2461.33548843</v>
      </c>
      <c r="H85" s="9" t="n">
        <f aca="false">(parametros_manuales!$D$21*('Plan mensual'!J35+IF(parametros_manuales!$H$21="Todos",'Plan mensual'!J39,0))+parametros_manuales!$E$21*('Plan mensual'!J36+IF(parametros_manuales!$H$21="Todos",'Plan mensual'!J40,0))+parametros_manuales!$F$21*('Plan mensual'!J37+IF(parametros_manuales!$H$21="Todos",'Plan mensual'!J41,0))+parametros_manuales!$G$21*('Plan mensual'!J38+IF(parametros_manuales!$H$21="Todos",'Plan mensual'!J42,0)))*parametros_manuales!$I$21*parametros_manuales!$J$21</f>
        <v>2637.145166175</v>
      </c>
      <c r="I85" s="9" t="n">
        <f aca="false">(parametros_manuales!$D$21*('Plan mensual'!K35+IF(parametros_manuales!$H$21="Todos",'Plan mensual'!K39,0))+parametros_manuales!$E$21*('Plan mensual'!K36+IF(parametros_manuales!$H$21="Todos",'Plan mensual'!K40,0))+parametros_manuales!$F$21*('Plan mensual'!K37+IF(parametros_manuales!$H$21="Todos",'Plan mensual'!K41,0))+parametros_manuales!$G$21*('Plan mensual'!K38+IF(parametros_manuales!$H$21="Todos",'Plan mensual'!K42,0)))*parametros_manuales!$I$21*parametros_manuales!$J$21</f>
        <v>2637.145166175</v>
      </c>
      <c r="J85" s="9" t="n">
        <f aca="false">(parametros_manuales!$D$21*('Plan mensual'!L35+IF(parametros_manuales!$H$21="Todos",'Plan mensual'!L39,0))+parametros_manuales!$E$21*('Plan mensual'!L36+IF(parametros_manuales!$H$21="Todos",'Plan mensual'!L40,0))+parametros_manuales!$F$21*('Plan mensual'!L37+IF(parametros_manuales!$H$21="Todos",'Plan mensual'!L41,0))+parametros_manuales!$G$21*('Plan mensual'!L38+IF(parametros_manuales!$H$21="Todos",'Plan mensual'!L42,0)))*parametros_manuales!$I$21*parametros_manuales!$J$21</f>
        <v>2637.145166175</v>
      </c>
      <c r="K85" s="9" t="n">
        <f aca="false">(parametros_manuales!$D$21*('Plan mensual'!M35+IF(parametros_manuales!$H$21="Todos",'Plan mensual'!M39,0))+parametros_manuales!$E$21*('Plan mensual'!M36+IF(parametros_manuales!$H$21="Todos",'Plan mensual'!M40,0))+parametros_manuales!$F$21*('Plan mensual'!M37+IF(parametros_manuales!$H$21="Todos",'Plan mensual'!M41,0))+parametros_manuales!$G$21*('Plan mensual'!M38+IF(parametros_manuales!$H$21="Todos",'Plan mensual'!M42,0)))*parametros_manuales!$I$21*parametros_manuales!$J$21</f>
        <v>2637.145166175</v>
      </c>
      <c r="L85" s="9" t="n">
        <f aca="false">(parametros_manuales!$D$21*('Plan mensual'!N35+IF(parametros_manuales!$H$21="Todos",'Plan mensual'!N39,0))+parametros_manuales!$E$21*('Plan mensual'!N36+IF(parametros_manuales!$H$21="Todos",'Plan mensual'!N40,0))+parametros_manuales!$F$21*('Plan mensual'!N37+IF(parametros_manuales!$H$21="Todos",'Plan mensual'!N41,0))+parametros_manuales!$G$21*('Plan mensual'!N38+IF(parametros_manuales!$H$21="Todos",'Plan mensual'!N42,0)))*parametros_manuales!$I$21*parametros_manuales!$J$21</f>
        <v>2637.145166175</v>
      </c>
      <c r="M85" s="9" t="n">
        <f aca="false">(parametros_manuales!$D$21*('Plan mensual'!O35+IF(parametros_manuales!$H$21="Todos",'Plan mensual'!O39,0))+parametros_manuales!$E$21*('Plan mensual'!O36+IF(parametros_manuales!$H$21="Todos",'Plan mensual'!O40,0))+parametros_manuales!$F$21*('Plan mensual'!O37+IF(parametros_manuales!$H$21="Todos",'Plan mensual'!O41,0))+parametros_manuales!$G$21*('Plan mensual'!O38+IF(parametros_manuales!$H$21="Todos",'Plan mensual'!O42,0)))*parametros_manuales!$I$21*parametros_manuales!$J$21</f>
        <v>4219.43226588</v>
      </c>
      <c r="N85" s="9" t="n">
        <f aca="false">SUM(B85:M85)</f>
        <v>35161.935549</v>
      </c>
      <c r="O85" s="9" t="n">
        <f aca="false">MAX(B85:M85)</f>
        <v>4219.43226588</v>
      </c>
      <c r="P85" s="43" t="n">
        <f aca="false">O85/(parametros_manuales!$B$7)</f>
        <v>28.1295484392</v>
      </c>
      <c r="Q85" s="8" t="str">
        <f aca="false">IF(O85=0,"-",INDEX($B$82:$M$82,MATCH(O85,B85:M85,0)))</f>
        <v>Ene</v>
      </c>
    </row>
    <row r="86" customFormat="false" ht="14.25" hidden="false" customHeight="true" outlineLevel="0" collapsed="false">
      <c r="A86" s="8" t="str">
        <f aca="false">parametros_manuales!$B$22</f>
        <v>Corte de disco y embutido (cúpula y fondo)</v>
      </c>
      <c r="B86" s="9" t="n">
        <f aca="false">(parametros_manuales!$D$22*('Plan mensual'!D35+IF(parametros_manuales!$H$22="Todos",'Plan mensual'!D39,0))+parametros_manuales!$E$22*('Plan mensual'!D36+IF(parametros_manuales!$H$22="Todos",'Plan mensual'!D40,0))+parametros_manuales!$F$22*('Plan mensual'!D37+IF(parametros_manuales!$H$22="Todos",'Plan mensual'!D41,0))+parametros_manuales!$G$22*('Plan mensual'!D38+IF(parametros_manuales!$H$22="Todos",'Plan mensual'!D42,0)))*parametros_manuales!$I$22*parametros_manuales!$J$22</f>
        <v>11550.04332798</v>
      </c>
      <c r="C86" s="9" t="n">
        <f aca="false">(parametros_manuales!$D$22*('Plan mensual'!E35+IF(parametros_manuales!$H$22="Todos",'Plan mensual'!E39,0))+parametros_manuales!$E$22*('Plan mensual'!E36+IF(parametros_manuales!$H$22="Todos",'Plan mensual'!E40,0))+parametros_manuales!$F$22*('Plan mensual'!E37+IF(parametros_manuales!$H$22="Todos",'Plan mensual'!E41,0))+parametros_manuales!$G$22*('Plan mensual'!E38+IF(parametros_manuales!$H$22="Todos",'Plan mensual'!E42,0)))*parametros_manuales!$I$22*parametros_manuales!$J$22</f>
        <v>8818.091435796</v>
      </c>
      <c r="D86" s="9" t="n">
        <f aca="false">(parametros_manuales!$D$22*('Plan mensual'!F35+IF(parametros_manuales!$H$22="Todos",'Plan mensual'!F39,0))+parametros_manuales!$E$22*('Plan mensual'!F36+IF(parametros_manuales!$H$22="Todos",'Plan mensual'!F40,0))+parametros_manuales!$F$22*('Plan mensual'!F37+IF(parametros_manuales!$H$22="Todos",'Plan mensual'!F41,0))+parametros_manuales!$G$22*('Plan mensual'!F38+IF(parametros_manuales!$H$22="Todos",'Plan mensual'!F42,0)))*parametros_manuales!$I$22*parametros_manuales!$J$22</f>
        <v>8270.411664627</v>
      </c>
      <c r="E86" s="9" t="n">
        <f aca="false">(parametros_manuales!$D$22*('Plan mensual'!G35+IF(parametros_manuales!$H$22="Todos",'Plan mensual'!G39,0))+parametros_manuales!$E$22*('Plan mensual'!G36+IF(parametros_manuales!$H$22="Todos",'Plan mensual'!G40,0))+parametros_manuales!$F$22*('Plan mensual'!G37+IF(parametros_manuales!$H$22="Todos",'Plan mensual'!G41,0))+parametros_manuales!$G$22*('Plan mensual'!G38+IF(parametros_manuales!$H$22="Todos",'Plan mensual'!G42,0)))*parametros_manuales!$I$22*parametros_manuales!$J$22</f>
        <v>7918.792309137</v>
      </c>
      <c r="F86" s="9" t="n">
        <f aca="false">(parametros_manuales!$D$22*('Plan mensual'!H35+IF(parametros_manuales!$H$22="Todos",'Plan mensual'!H39,0))+parametros_manuales!$E$22*('Plan mensual'!H36+IF(parametros_manuales!$H$22="Todos",'Plan mensual'!H40,0))+parametros_manuales!$F$22*('Plan mensual'!H37+IF(parametros_manuales!$H$22="Todos",'Plan mensual'!H41,0))+parametros_manuales!$G$22*('Plan mensual'!H38+IF(parametros_manuales!$H$22="Todos",'Plan mensual'!H42,0)))*parametros_manuales!$I$22*parametros_manuales!$J$22</f>
        <v>7411.614013836</v>
      </c>
      <c r="G86" s="9" t="n">
        <f aca="false">(parametros_manuales!$D$22*('Plan mensual'!I35+IF(parametros_manuales!$H$22="Todos",'Plan mensual'!I39,0))+parametros_manuales!$E$22*('Plan mensual'!I36+IF(parametros_manuales!$H$22="Todos",'Plan mensual'!I40,0))+parametros_manuales!$F$22*('Plan mensual'!I37+IF(parametros_manuales!$H$22="Todos",'Plan mensual'!I41,0))+parametros_manuales!$G$22*('Plan mensual'!I38+IF(parametros_manuales!$H$22="Todos",'Plan mensual'!I42,0)))*parametros_manuales!$I$22*parametros_manuales!$J$22</f>
        <v>7256.055074025</v>
      </c>
      <c r="H86" s="9" t="n">
        <f aca="false">(parametros_manuales!$D$22*('Plan mensual'!J35+IF(parametros_manuales!$H$22="Todos",'Plan mensual'!J39,0))+parametros_manuales!$E$22*('Plan mensual'!J36+IF(parametros_manuales!$H$22="Todos",'Plan mensual'!J40,0))+parametros_manuales!$F$22*('Plan mensual'!J37+IF(parametros_manuales!$H$22="Todos",'Plan mensual'!J41,0))+parametros_manuales!$G$22*('Plan mensual'!J38+IF(parametros_manuales!$H$22="Todos",'Plan mensual'!J42,0)))*parametros_manuales!$I$22*parametros_manuales!$J$22</f>
        <v>7763.233369326</v>
      </c>
      <c r="I86" s="9" t="n">
        <f aca="false">(parametros_manuales!$D$22*('Plan mensual'!K35+IF(parametros_manuales!$H$22="Todos",'Plan mensual'!K39,0))+parametros_manuales!$E$22*('Plan mensual'!K36+IF(parametros_manuales!$H$22="Todos",'Plan mensual'!K40,0))+parametros_manuales!$F$22*('Plan mensual'!K37+IF(parametros_manuales!$H$22="Todos",'Plan mensual'!K41,0))+parametros_manuales!$G$22*('Plan mensual'!K38+IF(parametros_manuales!$H$22="Todos",'Plan mensual'!K42,0)))*parametros_manuales!$I$22*parametros_manuales!$J$22</f>
        <v>7763.233369326</v>
      </c>
      <c r="J86" s="9" t="n">
        <f aca="false">(parametros_manuales!$D$22*('Plan mensual'!L35+IF(parametros_manuales!$H$22="Todos",'Plan mensual'!L39,0))+parametros_manuales!$E$22*('Plan mensual'!L36+IF(parametros_manuales!$H$22="Todos",'Plan mensual'!L40,0))+parametros_manuales!$F$22*('Plan mensual'!L37+IF(parametros_manuales!$H$22="Todos",'Plan mensual'!L41,0))+parametros_manuales!$G$22*('Plan mensual'!L38+IF(parametros_manuales!$H$22="Todos",'Plan mensual'!L42,0)))*parametros_manuales!$I$22*parametros_manuales!$J$22</f>
        <v>7763.233369326</v>
      </c>
      <c r="K86" s="9" t="n">
        <f aca="false">(parametros_manuales!$D$22*('Plan mensual'!M35+IF(parametros_manuales!$H$22="Todos",'Plan mensual'!M39,0))+parametros_manuales!$E$22*('Plan mensual'!M36+IF(parametros_manuales!$H$22="Todos",'Plan mensual'!M40,0))+parametros_manuales!$F$22*('Plan mensual'!M37+IF(parametros_manuales!$H$22="Todos",'Plan mensual'!M41,0))+parametros_manuales!$G$22*('Plan mensual'!M38+IF(parametros_manuales!$H$22="Todos",'Plan mensual'!M42,0)))*parametros_manuales!$I$22*parametros_manuales!$J$22</f>
        <v>7607.674429515</v>
      </c>
      <c r="L86" s="9" t="n">
        <f aca="false">(parametros_manuales!$D$22*('Plan mensual'!N35+IF(parametros_manuales!$H$22="Todos",'Plan mensual'!N39,0))+parametros_manuales!$E$22*('Plan mensual'!N36+IF(parametros_manuales!$H$22="Todos",'Plan mensual'!N40,0))+parametros_manuales!$F$22*('Plan mensual'!N37+IF(parametros_manuales!$H$22="Todos",'Plan mensual'!N41,0))+parametros_manuales!$G$22*('Plan mensual'!N38+IF(parametros_manuales!$H$22="Todos",'Plan mensual'!N42,0)))*parametros_manuales!$I$22*parametros_manuales!$J$22</f>
        <v>7452.115489704</v>
      </c>
      <c r="M86" s="9" t="n">
        <f aca="false">(parametros_manuales!$D$22*('Plan mensual'!O35+IF(parametros_manuales!$H$22="Todos",'Plan mensual'!O39,0))+parametros_manuales!$E$22*('Plan mensual'!O36+IF(parametros_manuales!$H$22="Todos",'Plan mensual'!O40,0))+parametros_manuales!$F$22*('Plan mensual'!O37+IF(parametros_manuales!$H$22="Todos",'Plan mensual'!O41,0))+parametros_manuales!$G$22*('Plan mensual'!O38+IF(parametros_manuales!$H$22="Todos",'Plan mensual'!O42,0)))*parametros_manuales!$I$22*parametros_manuales!$J$22</f>
        <v>11861.161207602</v>
      </c>
      <c r="N86" s="9" t="n">
        <f aca="false">SUM(B86:M86)</f>
        <v>101435.6590602</v>
      </c>
      <c r="O86" s="9" t="n">
        <f aca="false">MAX(B86:M86)</f>
        <v>11861.161207602</v>
      </c>
      <c r="P86" s="43" t="n">
        <f aca="false">O86/(parametros_manuales!$B$7)</f>
        <v>79.07440805068</v>
      </c>
      <c r="Q86" s="8" t="str">
        <f aca="false">IF(O86=0,"-",INDEX($B$82:$M$82,MATCH(O86,B86:M86,0)))</f>
        <v>Dic</v>
      </c>
    </row>
    <row r="87" customFormat="false" ht="14.25" hidden="false" customHeight="true" outlineLevel="0" collapsed="false">
      <c r="A87" s="8" t="str">
        <f aca="false">parametros_manuales!$B$23</f>
        <v>Preparación de cuello</v>
      </c>
      <c r="B87" s="9" t="n">
        <f aca="false">(parametros_manuales!$D$23*('Plan mensual'!D35+IF(parametros_manuales!$H$23="Todos",'Plan mensual'!D39,0))+parametros_manuales!$E$23*('Plan mensual'!D36+IF(parametros_manuales!$H$23="Todos",'Plan mensual'!D40,0))+parametros_manuales!$F$23*('Plan mensual'!D37+IF(parametros_manuales!$H$23="Todos",'Plan mensual'!D41,0))+parametros_manuales!$G$23*('Plan mensual'!D38+IF(parametros_manuales!$H$23="Todos",'Plan mensual'!D42,0)))*parametros_manuales!$I$23*parametros_manuales!$J$23</f>
        <v>5775.02166399</v>
      </c>
      <c r="C87" s="9" t="n">
        <f aca="false">(parametros_manuales!$D$23*('Plan mensual'!E35+IF(parametros_manuales!$H$23="Todos",'Plan mensual'!E39,0))+parametros_manuales!$E$23*('Plan mensual'!E36+IF(parametros_manuales!$H$23="Todos",'Plan mensual'!E40,0))+parametros_manuales!$F$23*('Plan mensual'!E37+IF(parametros_manuales!$H$23="Todos",'Plan mensual'!E41,0))+parametros_manuales!$G$23*('Plan mensual'!E38+IF(parametros_manuales!$H$23="Todos",'Plan mensual'!E42,0)))*parametros_manuales!$I$23*parametros_manuales!$J$23</f>
        <v>4409.045717898</v>
      </c>
      <c r="D87" s="9" t="n">
        <f aca="false">(parametros_manuales!$D$23*('Plan mensual'!F35+IF(parametros_manuales!$H$23="Todos",'Plan mensual'!F39,0))+parametros_manuales!$E$23*('Plan mensual'!F36+IF(parametros_manuales!$H$23="Todos",'Plan mensual'!F40,0))+parametros_manuales!$F$23*('Plan mensual'!F37+IF(parametros_manuales!$H$23="Todos",'Plan mensual'!F41,0))+parametros_manuales!$G$23*('Plan mensual'!F38+IF(parametros_manuales!$H$23="Todos",'Plan mensual'!F42,0)))*parametros_manuales!$I$23*parametros_manuales!$J$23</f>
        <v>4135.2058323135</v>
      </c>
      <c r="E87" s="9" t="n">
        <f aca="false">(parametros_manuales!$D$23*('Plan mensual'!G35+IF(parametros_manuales!$H$23="Todos",'Plan mensual'!G39,0))+parametros_manuales!$E$23*('Plan mensual'!G36+IF(parametros_manuales!$H$23="Todos",'Plan mensual'!G40,0))+parametros_manuales!$F$23*('Plan mensual'!G37+IF(parametros_manuales!$H$23="Todos",'Plan mensual'!G41,0))+parametros_manuales!$G$23*('Plan mensual'!G38+IF(parametros_manuales!$H$23="Todos",'Plan mensual'!G42,0)))*parametros_manuales!$I$23*parametros_manuales!$J$23</f>
        <v>3959.3961545685</v>
      </c>
      <c r="F87" s="9" t="n">
        <f aca="false">(parametros_manuales!$D$23*('Plan mensual'!H35+IF(parametros_manuales!$H$23="Todos",'Plan mensual'!H39,0))+parametros_manuales!$E$23*('Plan mensual'!H36+IF(parametros_manuales!$H$23="Todos",'Plan mensual'!H40,0))+parametros_manuales!$F$23*('Plan mensual'!H37+IF(parametros_manuales!$H$23="Todos",'Plan mensual'!H41,0))+parametros_manuales!$G$23*('Plan mensual'!H38+IF(parametros_manuales!$H$23="Todos",'Plan mensual'!H42,0)))*parametros_manuales!$I$23*parametros_manuales!$J$23</f>
        <v>3705.807006918</v>
      </c>
      <c r="G87" s="9" t="n">
        <f aca="false">(parametros_manuales!$D$23*('Plan mensual'!I35+IF(parametros_manuales!$H$23="Todos",'Plan mensual'!I39,0))+parametros_manuales!$E$23*('Plan mensual'!I36+IF(parametros_manuales!$H$23="Todos",'Plan mensual'!I40,0))+parametros_manuales!$F$23*('Plan mensual'!I37+IF(parametros_manuales!$H$23="Todos",'Plan mensual'!I41,0))+parametros_manuales!$G$23*('Plan mensual'!I38+IF(parametros_manuales!$H$23="Todos",'Plan mensual'!I42,0)))*parametros_manuales!$I$23*parametros_manuales!$J$23</f>
        <v>3628.0275370125</v>
      </c>
      <c r="H87" s="9" t="n">
        <f aca="false">(parametros_manuales!$D$23*('Plan mensual'!J35+IF(parametros_manuales!$H$23="Todos",'Plan mensual'!J39,0))+parametros_manuales!$E$23*('Plan mensual'!J36+IF(parametros_manuales!$H$23="Todos",'Plan mensual'!J40,0))+parametros_manuales!$F$23*('Plan mensual'!J37+IF(parametros_manuales!$H$23="Todos",'Plan mensual'!J41,0))+parametros_manuales!$G$23*('Plan mensual'!J38+IF(parametros_manuales!$H$23="Todos",'Plan mensual'!J42,0)))*parametros_manuales!$I$23*parametros_manuales!$J$23</f>
        <v>3881.616684663</v>
      </c>
      <c r="I87" s="9" t="n">
        <f aca="false">(parametros_manuales!$D$23*('Plan mensual'!K35+IF(parametros_manuales!$H$23="Todos",'Plan mensual'!K39,0))+parametros_manuales!$E$23*('Plan mensual'!K36+IF(parametros_manuales!$H$23="Todos",'Plan mensual'!K40,0))+parametros_manuales!$F$23*('Plan mensual'!K37+IF(parametros_manuales!$H$23="Todos",'Plan mensual'!K41,0))+parametros_manuales!$G$23*('Plan mensual'!K38+IF(parametros_manuales!$H$23="Todos",'Plan mensual'!K42,0)))*parametros_manuales!$I$23*parametros_manuales!$J$23</f>
        <v>3881.616684663</v>
      </c>
      <c r="J87" s="9" t="n">
        <f aca="false">(parametros_manuales!$D$23*('Plan mensual'!L35+IF(parametros_manuales!$H$23="Todos",'Plan mensual'!L39,0))+parametros_manuales!$E$23*('Plan mensual'!L36+IF(parametros_manuales!$H$23="Todos",'Plan mensual'!L40,0))+parametros_manuales!$F$23*('Plan mensual'!L37+IF(parametros_manuales!$H$23="Todos",'Plan mensual'!L41,0))+parametros_manuales!$G$23*('Plan mensual'!L38+IF(parametros_manuales!$H$23="Todos",'Plan mensual'!L42,0)))*parametros_manuales!$I$23*parametros_manuales!$J$23</f>
        <v>3881.616684663</v>
      </c>
      <c r="K87" s="9" t="n">
        <f aca="false">(parametros_manuales!$D$23*('Plan mensual'!M35+IF(parametros_manuales!$H$23="Todos",'Plan mensual'!M39,0))+parametros_manuales!$E$23*('Plan mensual'!M36+IF(parametros_manuales!$H$23="Todos",'Plan mensual'!M40,0))+parametros_manuales!$F$23*('Plan mensual'!M37+IF(parametros_manuales!$H$23="Todos",'Plan mensual'!M41,0))+parametros_manuales!$G$23*('Plan mensual'!M38+IF(parametros_manuales!$H$23="Todos",'Plan mensual'!M42,0)))*parametros_manuales!$I$23*parametros_manuales!$J$23</f>
        <v>3803.8372147575</v>
      </c>
      <c r="L87" s="9" t="n">
        <f aca="false">(parametros_manuales!$D$23*('Plan mensual'!N35+IF(parametros_manuales!$H$23="Todos",'Plan mensual'!N39,0))+parametros_manuales!$E$23*('Plan mensual'!N36+IF(parametros_manuales!$H$23="Todos",'Plan mensual'!N40,0))+parametros_manuales!$F$23*('Plan mensual'!N37+IF(parametros_manuales!$H$23="Todos",'Plan mensual'!N41,0))+parametros_manuales!$G$23*('Plan mensual'!N38+IF(parametros_manuales!$H$23="Todos",'Plan mensual'!N42,0)))*parametros_manuales!$I$23*parametros_manuales!$J$23</f>
        <v>3726.057744852</v>
      </c>
      <c r="M87" s="9" t="n">
        <f aca="false">(parametros_manuales!$D$23*('Plan mensual'!O35+IF(parametros_manuales!$H$23="Todos",'Plan mensual'!O39,0))+parametros_manuales!$E$23*('Plan mensual'!O36+IF(parametros_manuales!$H$23="Todos",'Plan mensual'!O40,0))+parametros_manuales!$F$23*('Plan mensual'!O37+IF(parametros_manuales!$H$23="Todos",'Plan mensual'!O41,0))+parametros_manuales!$G$23*('Plan mensual'!O38+IF(parametros_manuales!$H$23="Todos",'Plan mensual'!O42,0)))*parametros_manuales!$I$23*parametros_manuales!$J$23</f>
        <v>5930.580603801</v>
      </c>
      <c r="N87" s="9" t="n">
        <f aca="false">SUM(B87:M87)</f>
        <v>50717.8295301</v>
      </c>
      <c r="O87" s="9" t="n">
        <f aca="false">MAX(B87:M87)</f>
        <v>5930.580603801</v>
      </c>
      <c r="P87" s="43" t="n">
        <f aca="false">O87/(parametros_manuales!$B$7)</f>
        <v>39.53720402534</v>
      </c>
      <c r="Q87" s="8" t="str">
        <f aca="false">IF(O87=0,"-",INDEX($B$82:$M$82,MATCH(O87,B87:M87,0)))</f>
        <v>Dic</v>
      </c>
    </row>
    <row r="88" customFormat="false" ht="14.25" hidden="false" customHeight="true" outlineLevel="0" collapsed="false">
      <c r="A88" s="8" t="str">
        <f aca="false">parametros_manuales!$B$24</f>
        <v>Numerado de cúpula</v>
      </c>
      <c r="B88" s="9" t="n">
        <f aca="false">(parametros_manuales!$D$24*('Plan mensual'!D35+IF(parametros_manuales!$H$24="Todos",'Plan mensual'!D39,0))+parametros_manuales!$E$24*('Plan mensual'!D36+IF(parametros_manuales!$H$24="Todos",'Plan mensual'!D40,0))+parametros_manuales!$F$24*('Plan mensual'!D37+IF(parametros_manuales!$H$24="Todos",'Plan mensual'!D41,0))+parametros_manuales!$G$24*('Plan mensual'!D38+IF(parametros_manuales!$H$24="Todos",'Plan mensual'!D42,0)))*parametros_manuales!$I$24*parametros_manuales!$J$24</f>
        <v>5775.02166399</v>
      </c>
      <c r="C88" s="9" t="n">
        <f aca="false">(parametros_manuales!$D$24*('Plan mensual'!E35+IF(parametros_manuales!$H$24="Todos",'Plan mensual'!E39,0))+parametros_manuales!$E$24*('Plan mensual'!E36+IF(parametros_manuales!$H$24="Todos",'Plan mensual'!E40,0))+parametros_manuales!$F$24*('Plan mensual'!E37+IF(parametros_manuales!$H$24="Todos",'Plan mensual'!E41,0))+parametros_manuales!$G$24*('Plan mensual'!E38+IF(parametros_manuales!$H$24="Todos",'Plan mensual'!E42,0)))*parametros_manuales!$I$24*parametros_manuales!$J$24</f>
        <v>4409.045717898</v>
      </c>
      <c r="D88" s="9" t="n">
        <f aca="false">(parametros_manuales!$D$24*('Plan mensual'!F35+IF(parametros_manuales!$H$24="Todos",'Plan mensual'!F39,0))+parametros_manuales!$E$24*('Plan mensual'!F36+IF(parametros_manuales!$H$24="Todos",'Plan mensual'!F40,0))+parametros_manuales!$F$24*('Plan mensual'!F37+IF(parametros_manuales!$H$24="Todos",'Plan mensual'!F41,0))+parametros_manuales!$G$24*('Plan mensual'!F38+IF(parametros_manuales!$H$24="Todos",'Plan mensual'!F42,0)))*parametros_manuales!$I$24*parametros_manuales!$J$24</f>
        <v>4135.2058323135</v>
      </c>
      <c r="E88" s="9" t="n">
        <f aca="false">(parametros_manuales!$D$24*('Plan mensual'!G35+IF(parametros_manuales!$H$24="Todos",'Plan mensual'!G39,0))+parametros_manuales!$E$24*('Plan mensual'!G36+IF(parametros_manuales!$H$24="Todos",'Plan mensual'!G40,0))+parametros_manuales!$F$24*('Plan mensual'!G37+IF(parametros_manuales!$H$24="Todos",'Plan mensual'!G41,0))+parametros_manuales!$G$24*('Plan mensual'!G38+IF(parametros_manuales!$H$24="Todos",'Plan mensual'!G42,0)))*parametros_manuales!$I$24*parametros_manuales!$J$24</f>
        <v>3959.3961545685</v>
      </c>
      <c r="F88" s="9" t="n">
        <f aca="false">(parametros_manuales!$D$24*('Plan mensual'!H35+IF(parametros_manuales!$H$24="Todos",'Plan mensual'!H39,0))+parametros_manuales!$E$24*('Plan mensual'!H36+IF(parametros_manuales!$H$24="Todos",'Plan mensual'!H40,0))+parametros_manuales!$F$24*('Plan mensual'!H37+IF(parametros_manuales!$H$24="Todos",'Plan mensual'!H41,0))+parametros_manuales!$G$24*('Plan mensual'!H38+IF(parametros_manuales!$H$24="Todos",'Plan mensual'!H42,0)))*parametros_manuales!$I$24*parametros_manuales!$J$24</f>
        <v>3705.807006918</v>
      </c>
      <c r="G88" s="9" t="n">
        <f aca="false">(parametros_manuales!$D$24*('Plan mensual'!I35+IF(parametros_manuales!$H$24="Todos",'Plan mensual'!I39,0))+parametros_manuales!$E$24*('Plan mensual'!I36+IF(parametros_manuales!$H$24="Todos",'Plan mensual'!I40,0))+parametros_manuales!$F$24*('Plan mensual'!I37+IF(parametros_manuales!$H$24="Todos",'Plan mensual'!I41,0))+parametros_manuales!$G$24*('Plan mensual'!I38+IF(parametros_manuales!$H$24="Todos",'Plan mensual'!I42,0)))*parametros_manuales!$I$24*parametros_manuales!$J$24</f>
        <v>3628.0275370125</v>
      </c>
      <c r="H88" s="9" t="n">
        <f aca="false">(parametros_manuales!$D$24*('Plan mensual'!J35+IF(parametros_manuales!$H$24="Todos",'Plan mensual'!J39,0))+parametros_manuales!$E$24*('Plan mensual'!J36+IF(parametros_manuales!$H$24="Todos",'Plan mensual'!J40,0))+parametros_manuales!$F$24*('Plan mensual'!J37+IF(parametros_manuales!$H$24="Todos",'Plan mensual'!J41,0))+parametros_manuales!$G$24*('Plan mensual'!J38+IF(parametros_manuales!$H$24="Todos",'Plan mensual'!J42,0)))*parametros_manuales!$I$24*parametros_manuales!$J$24</f>
        <v>3881.616684663</v>
      </c>
      <c r="I88" s="9" t="n">
        <f aca="false">(parametros_manuales!$D$24*('Plan mensual'!K35+IF(parametros_manuales!$H$24="Todos",'Plan mensual'!K39,0))+parametros_manuales!$E$24*('Plan mensual'!K36+IF(parametros_manuales!$H$24="Todos",'Plan mensual'!K40,0))+parametros_manuales!$F$24*('Plan mensual'!K37+IF(parametros_manuales!$H$24="Todos",'Plan mensual'!K41,0))+parametros_manuales!$G$24*('Plan mensual'!K38+IF(parametros_manuales!$H$24="Todos",'Plan mensual'!K42,0)))*parametros_manuales!$I$24*parametros_manuales!$J$24</f>
        <v>3881.616684663</v>
      </c>
      <c r="J88" s="9" t="n">
        <f aca="false">(parametros_manuales!$D$24*('Plan mensual'!L35+IF(parametros_manuales!$H$24="Todos",'Plan mensual'!L39,0))+parametros_manuales!$E$24*('Plan mensual'!L36+IF(parametros_manuales!$H$24="Todos",'Plan mensual'!L40,0))+parametros_manuales!$F$24*('Plan mensual'!L37+IF(parametros_manuales!$H$24="Todos",'Plan mensual'!L41,0))+parametros_manuales!$G$24*('Plan mensual'!L38+IF(parametros_manuales!$H$24="Todos",'Plan mensual'!L42,0)))*parametros_manuales!$I$24*parametros_manuales!$J$24</f>
        <v>3881.616684663</v>
      </c>
      <c r="K88" s="9" t="n">
        <f aca="false">(parametros_manuales!$D$24*('Plan mensual'!M35+IF(parametros_manuales!$H$24="Todos",'Plan mensual'!M39,0))+parametros_manuales!$E$24*('Plan mensual'!M36+IF(parametros_manuales!$H$24="Todos",'Plan mensual'!M40,0))+parametros_manuales!$F$24*('Plan mensual'!M37+IF(parametros_manuales!$H$24="Todos",'Plan mensual'!M41,0))+parametros_manuales!$G$24*('Plan mensual'!M38+IF(parametros_manuales!$H$24="Todos",'Plan mensual'!M42,0)))*parametros_manuales!$I$24*parametros_manuales!$J$24</f>
        <v>3803.8372147575</v>
      </c>
      <c r="L88" s="9" t="n">
        <f aca="false">(parametros_manuales!$D$24*('Plan mensual'!N35+IF(parametros_manuales!$H$24="Todos",'Plan mensual'!N39,0))+parametros_manuales!$E$24*('Plan mensual'!N36+IF(parametros_manuales!$H$24="Todos",'Plan mensual'!N40,0))+parametros_manuales!$F$24*('Plan mensual'!N37+IF(parametros_manuales!$H$24="Todos",'Plan mensual'!N41,0))+parametros_manuales!$G$24*('Plan mensual'!N38+IF(parametros_manuales!$H$24="Todos",'Plan mensual'!N42,0)))*parametros_manuales!$I$24*parametros_manuales!$J$24</f>
        <v>3726.057744852</v>
      </c>
      <c r="M88" s="9" t="n">
        <f aca="false">(parametros_manuales!$D$24*('Plan mensual'!O35+IF(parametros_manuales!$H$24="Todos",'Plan mensual'!O39,0))+parametros_manuales!$E$24*('Plan mensual'!O36+IF(parametros_manuales!$H$24="Todos",'Plan mensual'!O40,0))+parametros_manuales!$F$24*('Plan mensual'!O37+IF(parametros_manuales!$H$24="Todos",'Plan mensual'!O41,0))+parametros_manuales!$G$24*('Plan mensual'!O38+IF(parametros_manuales!$H$24="Todos",'Plan mensual'!O42,0)))*parametros_manuales!$I$24*parametros_manuales!$J$24</f>
        <v>5930.580603801</v>
      </c>
      <c r="N88" s="9" t="n">
        <f aca="false">SUM(B88:M88)</f>
        <v>50717.8295301</v>
      </c>
      <c r="O88" s="9" t="n">
        <f aca="false">MAX(B88:M88)</f>
        <v>5930.580603801</v>
      </c>
      <c r="P88" s="43" t="n">
        <f aca="false">O88/(parametros_manuales!$B$7)</f>
        <v>39.53720402534</v>
      </c>
      <c r="Q88" s="8" t="str">
        <f aca="false">IF(O88=0,"-",INDEX($B$82:$M$82,MATCH(O88,B88:M88,0)))</f>
        <v>Dic</v>
      </c>
    </row>
    <row r="89" customFormat="false" ht="14.25" hidden="false" customHeight="true" outlineLevel="0" collapsed="false">
      <c r="A89" s="8" t="str">
        <f aca="false">parametros_manuales!$B$25</f>
        <v>Soldadura del cuello a la cúpula</v>
      </c>
      <c r="B89" s="9" t="n">
        <f aca="false">(parametros_manuales!$D$25*('Plan mensual'!D35+IF(parametros_manuales!$H$25="Todos",'Plan mensual'!D39,0))+parametros_manuales!$E$25*('Plan mensual'!D36+IF(parametros_manuales!$H$25="Todos",'Plan mensual'!D40,0))+parametros_manuales!$F$25*('Plan mensual'!D37+IF(parametros_manuales!$H$25="Todos",'Plan mensual'!D41,0))+parametros_manuales!$G$25*('Plan mensual'!D38+IF(parametros_manuales!$H$25="Todos",'Plan mensual'!D42,0)))*parametros_manuales!$I$25*parametros_manuales!$J$25</f>
        <v>5775.02166399</v>
      </c>
      <c r="C89" s="9" t="n">
        <f aca="false">(parametros_manuales!$D$25*('Plan mensual'!E35+IF(parametros_manuales!$H$25="Todos",'Plan mensual'!E39,0))+parametros_manuales!$E$25*('Plan mensual'!E36+IF(parametros_manuales!$H$25="Todos",'Plan mensual'!E40,0))+parametros_manuales!$F$25*('Plan mensual'!E37+IF(parametros_manuales!$H$25="Todos",'Plan mensual'!E41,0))+parametros_manuales!$G$25*('Plan mensual'!E38+IF(parametros_manuales!$H$25="Todos",'Plan mensual'!E42,0)))*parametros_manuales!$I$25*parametros_manuales!$J$25</f>
        <v>4409.045717898</v>
      </c>
      <c r="D89" s="9" t="n">
        <f aca="false">(parametros_manuales!$D$25*('Plan mensual'!F35+IF(parametros_manuales!$H$25="Todos",'Plan mensual'!F39,0))+parametros_manuales!$E$25*('Plan mensual'!F36+IF(parametros_manuales!$H$25="Todos",'Plan mensual'!F40,0))+parametros_manuales!$F$25*('Plan mensual'!F37+IF(parametros_manuales!$H$25="Todos",'Plan mensual'!F41,0))+parametros_manuales!$G$25*('Plan mensual'!F38+IF(parametros_manuales!$H$25="Todos",'Plan mensual'!F42,0)))*parametros_manuales!$I$25*parametros_manuales!$J$25</f>
        <v>4135.2058323135</v>
      </c>
      <c r="E89" s="9" t="n">
        <f aca="false">(parametros_manuales!$D$25*('Plan mensual'!G35+IF(parametros_manuales!$H$25="Todos",'Plan mensual'!G39,0))+parametros_manuales!$E$25*('Plan mensual'!G36+IF(parametros_manuales!$H$25="Todos",'Plan mensual'!G40,0))+parametros_manuales!$F$25*('Plan mensual'!G37+IF(parametros_manuales!$H$25="Todos",'Plan mensual'!G41,0))+parametros_manuales!$G$25*('Plan mensual'!G38+IF(parametros_manuales!$H$25="Todos",'Plan mensual'!G42,0)))*parametros_manuales!$I$25*parametros_manuales!$J$25</f>
        <v>3959.3961545685</v>
      </c>
      <c r="F89" s="9" t="n">
        <f aca="false">(parametros_manuales!$D$25*('Plan mensual'!H35+IF(parametros_manuales!$H$25="Todos",'Plan mensual'!H39,0))+parametros_manuales!$E$25*('Plan mensual'!H36+IF(parametros_manuales!$H$25="Todos",'Plan mensual'!H40,0))+parametros_manuales!$F$25*('Plan mensual'!H37+IF(parametros_manuales!$H$25="Todos",'Plan mensual'!H41,0))+parametros_manuales!$G$25*('Plan mensual'!H38+IF(parametros_manuales!$H$25="Todos",'Plan mensual'!H42,0)))*parametros_manuales!$I$25*parametros_manuales!$J$25</f>
        <v>3705.807006918</v>
      </c>
      <c r="G89" s="9" t="n">
        <f aca="false">(parametros_manuales!$D$25*('Plan mensual'!I35+IF(parametros_manuales!$H$25="Todos",'Plan mensual'!I39,0))+parametros_manuales!$E$25*('Plan mensual'!I36+IF(parametros_manuales!$H$25="Todos",'Plan mensual'!I40,0))+parametros_manuales!$F$25*('Plan mensual'!I37+IF(parametros_manuales!$H$25="Todos",'Plan mensual'!I41,0))+parametros_manuales!$G$25*('Plan mensual'!I38+IF(parametros_manuales!$H$25="Todos",'Plan mensual'!I42,0)))*parametros_manuales!$I$25*parametros_manuales!$J$25</f>
        <v>3628.0275370125</v>
      </c>
      <c r="H89" s="9" t="n">
        <f aca="false">(parametros_manuales!$D$25*('Plan mensual'!J35+IF(parametros_manuales!$H$25="Todos",'Plan mensual'!J39,0))+parametros_manuales!$E$25*('Plan mensual'!J36+IF(parametros_manuales!$H$25="Todos",'Plan mensual'!J40,0))+parametros_manuales!$F$25*('Plan mensual'!J37+IF(parametros_manuales!$H$25="Todos",'Plan mensual'!J41,0))+parametros_manuales!$G$25*('Plan mensual'!J38+IF(parametros_manuales!$H$25="Todos",'Plan mensual'!J42,0)))*parametros_manuales!$I$25*parametros_manuales!$J$25</f>
        <v>3881.616684663</v>
      </c>
      <c r="I89" s="9" t="n">
        <f aca="false">(parametros_manuales!$D$25*('Plan mensual'!K35+IF(parametros_manuales!$H$25="Todos",'Plan mensual'!K39,0))+parametros_manuales!$E$25*('Plan mensual'!K36+IF(parametros_manuales!$H$25="Todos",'Plan mensual'!K40,0))+parametros_manuales!$F$25*('Plan mensual'!K37+IF(parametros_manuales!$H$25="Todos",'Plan mensual'!K41,0))+parametros_manuales!$G$25*('Plan mensual'!K38+IF(parametros_manuales!$H$25="Todos",'Plan mensual'!K42,0)))*parametros_manuales!$I$25*parametros_manuales!$J$25</f>
        <v>3881.616684663</v>
      </c>
      <c r="J89" s="9" t="n">
        <f aca="false">(parametros_manuales!$D$25*('Plan mensual'!L35+IF(parametros_manuales!$H$25="Todos",'Plan mensual'!L39,0))+parametros_manuales!$E$25*('Plan mensual'!L36+IF(parametros_manuales!$H$25="Todos",'Plan mensual'!L40,0))+parametros_manuales!$F$25*('Plan mensual'!L37+IF(parametros_manuales!$H$25="Todos",'Plan mensual'!L41,0))+parametros_manuales!$G$25*('Plan mensual'!L38+IF(parametros_manuales!$H$25="Todos",'Plan mensual'!L42,0)))*parametros_manuales!$I$25*parametros_manuales!$J$25</f>
        <v>3881.616684663</v>
      </c>
      <c r="K89" s="9" t="n">
        <f aca="false">(parametros_manuales!$D$25*('Plan mensual'!M35+IF(parametros_manuales!$H$25="Todos",'Plan mensual'!M39,0))+parametros_manuales!$E$25*('Plan mensual'!M36+IF(parametros_manuales!$H$25="Todos",'Plan mensual'!M40,0))+parametros_manuales!$F$25*('Plan mensual'!M37+IF(parametros_manuales!$H$25="Todos",'Plan mensual'!M41,0))+parametros_manuales!$G$25*('Plan mensual'!M38+IF(parametros_manuales!$H$25="Todos",'Plan mensual'!M42,0)))*parametros_manuales!$I$25*parametros_manuales!$J$25</f>
        <v>3803.8372147575</v>
      </c>
      <c r="L89" s="9" t="n">
        <f aca="false">(parametros_manuales!$D$25*('Plan mensual'!N35+IF(parametros_manuales!$H$25="Todos",'Plan mensual'!N39,0))+parametros_manuales!$E$25*('Plan mensual'!N36+IF(parametros_manuales!$H$25="Todos",'Plan mensual'!N40,0))+parametros_manuales!$F$25*('Plan mensual'!N37+IF(parametros_manuales!$H$25="Todos",'Plan mensual'!N41,0))+parametros_manuales!$G$25*('Plan mensual'!N38+IF(parametros_manuales!$H$25="Todos",'Plan mensual'!N42,0)))*parametros_manuales!$I$25*parametros_manuales!$J$25</f>
        <v>3726.057744852</v>
      </c>
      <c r="M89" s="9" t="n">
        <f aca="false">(parametros_manuales!$D$25*('Plan mensual'!O35+IF(parametros_manuales!$H$25="Todos",'Plan mensual'!O39,0))+parametros_manuales!$E$25*('Plan mensual'!O36+IF(parametros_manuales!$H$25="Todos",'Plan mensual'!O40,0))+parametros_manuales!$F$25*('Plan mensual'!O37+IF(parametros_manuales!$H$25="Todos",'Plan mensual'!O41,0))+parametros_manuales!$G$25*('Plan mensual'!O38+IF(parametros_manuales!$H$25="Todos",'Plan mensual'!O42,0)))*parametros_manuales!$I$25*parametros_manuales!$J$25</f>
        <v>5930.580603801</v>
      </c>
      <c r="N89" s="9" t="n">
        <f aca="false">SUM(B89:M89)</f>
        <v>50717.8295301</v>
      </c>
      <c r="O89" s="9" t="n">
        <f aca="false">MAX(B89:M89)</f>
        <v>5930.580603801</v>
      </c>
      <c r="P89" s="43" t="n">
        <f aca="false">O89/(parametros_manuales!$B$7)</f>
        <v>39.53720402534</v>
      </c>
      <c r="Q89" s="8" t="str">
        <f aca="false">IF(O89=0,"-",INDEX($B$82:$M$82,MATCH(O89,B89:M89,0)))</f>
        <v>Dic</v>
      </c>
    </row>
    <row r="90" customFormat="false" ht="14.25" hidden="false" customHeight="true" outlineLevel="0" collapsed="false">
      <c r="A90" s="8" t="str">
        <f aca="false">parametros_manuales!$B$26</f>
        <v>Cilindrado</v>
      </c>
      <c r="B90" s="9" t="n">
        <f aca="false">(parametros_manuales!$D$26*('Plan mensual'!D35+IF(parametros_manuales!$H$26="Todos",'Plan mensual'!D39,0))+parametros_manuales!$E$26*('Plan mensual'!D36+IF(parametros_manuales!$H$26="Todos",'Plan mensual'!D40,0))+parametros_manuales!$F$26*('Plan mensual'!D37+IF(parametros_manuales!$H$26="Todos",'Plan mensual'!D41,0))+parametros_manuales!$G$26*('Plan mensual'!D38+IF(parametros_manuales!$H$26="Todos",'Plan mensual'!D42,0)))*parametros_manuales!$I$26*parametros_manuales!$J$26</f>
        <v>1555.58939811</v>
      </c>
      <c r="C90" s="9" t="n">
        <f aca="false">(parametros_manuales!$D$26*('Plan mensual'!E35+IF(parametros_manuales!$H$26="Todos",'Plan mensual'!E39,0))+parametros_manuales!$E$26*('Plan mensual'!E36+IF(parametros_manuales!$H$26="Todos",'Plan mensual'!E40,0))+parametros_manuales!$F$26*('Plan mensual'!E37+IF(parametros_manuales!$H$26="Todos",'Plan mensual'!E41,0))+parametros_manuales!$G$26*('Plan mensual'!E38+IF(parametros_manuales!$H$26="Todos",'Plan mensual'!E42,0)))*parametros_manuales!$I$26*parametros_manuales!$J$26</f>
        <v>1244.471518488</v>
      </c>
      <c r="D90" s="9" t="n">
        <f aca="false">(parametros_manuales!$D$26*('Plan mensual'!F35+IF(parametros_manuales!$H$26="Todos",'Plan mensual'!F39,0))+parametros_manuales!$E$26*('Plan mensual'!F36+IF(parametros_manuales!$H$26="Todos",'Plan mensual'!F40,0))+parametros_manuales!$F$26*('Plan mensual'!F37+IF(parametros_manuales!$H$26="Todos",'Plan mensual'!F41,0))+parametros_manuales!$G$26*('Plan mensual'!F38+IF(parametros_manuales!$H$26="Todos",'Plan mensual'!F42,0)))*parametros_manuales!$I$26*parametros_manuales!$J$26</f>
        <v>1322.2509883935</v>
      </c>
      <c r="E90" s="9" t="n">
        <f aca="false">(parametros_manuales!$D$26*('Plan mensual'!G35+IF(parametros_manuales!$H$26="Todos",'Plan mensual'!G39,0))+parametros_manuales!$E$26*('Plan mensual'!G36+IF(parametros_manuales!$H$26="Todos",'Plan mensual'!G40,0))+parametros_manuales!$F$26*('Plan mensual'!G37+IF(parametros_manuales!$H$26="Todos",'Plan mensual'!G41,0))+parametros_manuales!$G$26*('Plan mensual'!G38+IF(parametros_manuales!$H$26="Todos",'Plan mensual'!G42,0)))*parametros_manuales!$I$26*parametros_manuales!$J$26</f>
        <v>1322.2509883935</v>
      </c>
      <c r="F90" s="9" t="n">
        <f aca="false">(parametros_manuales!$D$26*('Plan mensual'!H35+IF(parametros_manuales!$H$26="Todos",'Plan mensual'!H39,0))+parametros_manuales!$E$26*('Plan mensual'!H36+IF(parametros_manuales!$H$26="Todos",'Plan mensual'!H40,0))+parametros_manuales!$F$26*('Plan mensual'!H37+IF(parametros_manuales!$H$26="Todos",'Plan mensual'!H41,0))+parametros_manuales!$G$26*('Plan mensual'!H38+IF(parametros_manuales!$H$26="Todos",'Plan mensual'!H42,0)))*parametros_manuales!$I$26*parametros_manuales!$J$26</f>
        <v>1244.471518488</v>
      </c>
      <c r="G90" s="9" t="n">
        <f aca="false">(parametros_manuales!$D$26*('Plan mensual'!I35+IF(parametros_manuales!$H$26="Todos",'Plan mensual'!I39,0))+parametros_manuales!$E$26*('Plan mensual'!I36+IF(parametros_manuales!$H$26="Todos",'Plan mensual'!I40,0))+parametros_manuales!$F$26*('Plan mensual'!I37+IF(parametros_manuales!$H$26="Todos",'Plan mensual'!I41,0))+parametros_manuales!$G$26*('Plan mensual'!I38+IF(parametros_manuales!$H$26="Todos",'Plan mensual'!I42,0)))*parametros_manuales!$I$26*parametros_manuales!$J$26</f>
        <v>1166.6920485825</v>
      </c>
      <c r="H90" s="9" t="n">
        <f aca="false">(parametros_manuales!$D$26*('Plan mensual'!J35+IF(parametros_manuales!$H$26="Todos",'Plan mensual'!J39,0))+parametros_manuales!$E$26*('Plan mensual'!J36+IF(parametros_manuales!$H$26="Todos",'Plan mensual'!J40,0))+parametros_manuales!$F$26*('Plan mensual'!J37+IF(parametros_manuales!$H$26="Todos",'Plan mensual'!J41,0))+parametros_manuales!$G$26*('Plan mensual'!J38+IF(parametros_manuales!$H$26="Todos",'Plan mensual'!J42,0)))*parametros_manuales!$I$26*parametros_manuales!$J$26</f>
        <v>1244.471518488</v>
      </c>
      <c r="I90" s="9" t="n">
        <f aca="false">(parametros_manuales!$D$26*('Plan mensual'!K35+IF(parametros_manuales!$H$26="Todos",'Plan mensual'!K39,0))+parametros_manuales!$E$26*('Plan mensual'!K36+IF(parametros_manuales!$H$26="Todos",'Plan mensual'!K40,0))+parametros_manuales!$F$26*('Plan mensual'!K37+IF(parametros_manuales!$H$26="Todos",'Plan mensual'!K41,0))+parametros_manuales!$G$26*('Plan mensual'!K38+IF(parametros_manuales!$H$26="Todos",'Plan mensual'!K42,0)))*parametros_manuales!$I$26*parametros_manuales!$J$26</f>
        <v>1244.471518488</v>
      </c>
      <c r="J90" s="9" t="n">
        <f aca="false">(parametros_manuales!$D$26*('Plan mensual'!L35+IF(parametros_manuales!$H$26="Todos",'Plan mensual'!L39,0))+parametros_manuales!$E$26*('Plan mensual'!L36+IF(parametros_manuales!$H$26="Todos",'Plan mensual'!L40,0))+parametros_manuales!$F$26*('Plan mensual'!L37+IF(parametros_manuales!$H$26="Todos",'Plan mensual'!L41,0))+parametros_manuales!$G$26*('Plan mensual'!L38+IF(parametros_manuales!$H$26="Todos",'Plan mensual'!L42,0)))*parametros_manuales!$I$26*parametros_manuales!$J$26</f>
        <v>1244.471518488</v>
      </c>
      <c r="K90" s="9" t="n">
        <f aca="false">(parametros_manuales!$D$26*('Plan mensual'!M35+IF(parametros_manuales!$H$26="Todos",'Plan mensual'!M39,0))+parametros_manuales!$E$26*('Plan mensual'!M36+IF(parametros_manuales!$H$26="Todos",'Plan mensual'!M40,0))+parametros_manuales!$F$26*('Plan mensual'!M37+IF(parametros_manuales!$H$26="Todos",'Plan mensual'!M41,0))+parametros_manuales!$G$26*('Plan mensual'!M38+IF(parametros_manuales!$H$26="Todos",'Plan mensual'!M42,0)))*parametros_manuales!$I$26*parametros_manuales!$J$26</f>
        <v>1166.6920485825</v>
      </c>
      <c r="L90" s="9" t="n">
        <f aca="false">(parametros_manuales!$D$26*('Plan mensual'!N35+IF(parametros_manuales!$H$26="Todos",'Plan mensual'!N39,0))+parametros_manuales!$E$26*('Plan mensual'!N36+IF(parametros_manuales!$H$26="Todos",'Plan mensual'!N40,0))+parametros_manuales!$F$26*('Plan mensual'!N37+IF(parametros_manuales!$H$26="Todos",'Plan mensual'!N41,0))+parametros_manuales!$G$26*('Plan mensual'!N38+IF(parametros_manuales!$H$26="Todos",'Plan mensual'!N42,0)))*parametros_manuales!$I$26*parametros_manuales!$J$26</f>
        <v>1088.912578677</v>
      </c>
      <c r="M90" s="9" t="n">
        <f aca="false">(parametros_manuales!$D$26*('Plan mensual'!O35+IF(parametros_manuales!$H$26="Todos",'Plan mensual'!O39,0))+parametros_manuales!$E$26*('Plan mensual'!O36+IF(parametros_manuales!$H$26="Todos",'Plan mensual'!O40,0))+parametros_manuales!$F$26*('Plan mensual'!O37+IF(parametros_manuales!$H$26="Todos",'Plan mensual'!O41,0))+parametros_manuales!$G$26*('Plan mensual'!O38+IF(parametros_manuales!$H$26="Todos",'Plan mensual'!O42,0)))*parametros_manuales!$I$26*parametros_manuales!$J$26</f>
        <v>1711.148337921</v>
      </c>
      <c r="N90" s="9" t="n">
        <f aca="false">SUM(B90:M90)</f>
        <v>15555.8939811</v>
      </c>
      <c r="O90" s="9" t="n">
        <f aca="false">MAX(B90:M90)</f>
        <v>1711.148337921</v>
      </c>
      <c r="P90" s="43" t="n">
        <f aca="false">O90/(parametros_manuales!$B$7)</f>
        <v>11.40765558614</v>
      </c>
      <c r="Q90" s="8" t="str">
        <f aca="false">IF(O90=0,"-",INDEX($B$82:$M$82,MATCH(O90,B90:M90,0)))</f>
        <v>Dic</v>
      </c>
    </row>
    <row r="91" customFormat="false" ht="14.25" hidden="false" customHeight="true" outlineLevel="0" collapsed="false">
      <c r="A91" s="8" t="str">
        <f aca="false">parametros_manuales!$B$27</f>
        <v>Soldadura longitudinal</v>
      </c>
      <c r="B91" s="9" t="n">
        <f aca="false">(parametros_manuales!$D$27*('Plan mensual'!D35+IF(parametros_manuales!$H$27="Todos",'Plan mensual'!D39,0))+parametros_manuales!$E$27*('Plan mensual'!D36+IF(parametros_manuales!$H$27="Todos",'Plan mensual'!D40,0))+parametros_manuales!$F$27*('Plan mensual'!D37+IF(parametros_manuales!$H$27="Todos",'Plan mensual'!D41,0))+parametros_manuales!$G$27*('Plan mensual'!D38+IF(parametros_manuales!$H$27="Todos",'Plan mensual'!D42,0)))*parametros_manuales!$I$27*parametros_manuales!$J$27</f>
        <v>1555.58939811</v>
      </c>
      <c r="C91" s="9" t="n">
        <f aca="false">(parametros_manuales!$D$27*('Plan mensual'!E35+IF(parametros_manuales!$H$27="Todos",'Plan mensual'!E39,0))+parametros_manuales!$E$27*('Plan mensual'!E36+IF(parametros_manuales!$H$27="Todos",'Plan mensual'!E40,0))+parametros_manuales!$F$27*('Plan mensual'!E37+IF(parametros_manuales!$H$27="Todos",'Plan mensual'!E41,0))+parametros_manuales!$G$27*('Plan mensual'!E38+IF(parametros_manuales!$H$27="Todos",'Plan mensual'!E42,0)))*parametros_manuales!$I$27*parametros_manuales!$J$27</f>
        <v>1244.471518488</v>
      </c>
      <c r="D91" s="9" t="n">
        <f aca="false">(parametros_manuales!$D$27*('Plan mensual'!F35+IF(parametros_manuales!$H$27="Todos",'Plan mensual'!F39,0))+parametros_manuales!$E$27*('Plan mensual'!F36+IF(parametros_manuales!$H$27="Todos",'Plan mensual'!F40,0))+parametros_manuales!$F$27*('Plan mensual'!F37+IF(parametros_manuales!$H$27="Todos",'Plan mensual'!F41,0))+parametros_manuales!$G$27*('Plan mensual'!F38+IF(parametros_manuales!$H$27="Todos",'Plan mensual'!F42,0)))*parametros_manuales!$I$27*parametros_manuales!$J$27</f>
        <v>1322.2509883935</v>
      </c>
      <c r="E91" s="9" t="n">
        <f aca="false">(parametros_manuales!$D$27*('Plan mensual'!G35+IF(parametros_manuales!$H$27="Todos",'Plan mensual'!G39,0))+parametros_manuales!$E$27*('Plan mensual'!G36+IF(parametros_manuales!$H$27="Todos",'Plan mensual'!G40,0))+parametros_manuales!$F$27*('Plan mensual'!G37+IF(parametros_manuales!$H$27="Todos",'Plan mensual'!G41,0))+parametros_manuales!$G$27*('Plan mensual'!G38+IF(parametros_manuales!$H$27="Todos",'Plan mensual'!G42,0)))*parametros_manuales!$I$27*parametros_manuales!$J$27</f>
        <v>1322.2509883935</v>
      </c>
      <c r="F91" s="9" t="n">
        <f aca="false">(parametros_manuales!$D$27*('Plan mensual'!H35+IF(parametros_manuales!$H$27="Todos",'Plan mensual'!H39,0))+parametros_manuales!$E$27*('Plan mensual'!H36+IF(parametros_manuales!$H$27="Todos",'Plan mensual'!H40,0))+parametros_manuales!$F$27*('Plan mensual'!H37+IF(parametros_manuales!$H$27="Todos",'Plan mensual'!H41,0))+parametros_manuales!$G$27*('Plan mensual'!H38+IF(parametros_manuales!$H$27="Todos",'Plan mensual'!H42,0)))*parametros_manuales!$I$27*parametros_manuales!$J$27</f>
        <v>1244.471518488</v>
      </c>
      <c r="G91" s="9" t="n">
        <f aca="false">(parametros_manuales!$D$27*('Plan mensual'!I35+IF(parametros_manuales!$H$27="Todos",'Plan mensual'!I39,0))+parametros_manuales!$E$27*('Plan mensual'!I36+IF(parametros_manuales!$H$27="Todos",'Plan mensual'!I40,0))+parametros_manuales!$F$27*('Plan mensual'!I37+IF(parametros_manuales!$H$27="Todos",'Plan mensual'!I41,0))+parametros_manuales!$G$27*('Plan mensual'!I38+IF(parametros_manuales!$H$27="Todos",'Plan mensual'!I42,0)))*parametros_manuales!$I$27*parametros_manuales!$J$27</f>
        <v>1166.6920485825</v>
      </c>
      <c r="H91" s="9" t="n">
        <f aca="false">(parametros_manuales!$D$27*('Plan mensual'!J35+IF(parametros_manuales!$H$27="Todos",'Plan mensual'!J39,0))+parametros_manuales!$E$27*('Plan mensual'!J36+IF(parametros_manuales!$H$27="Todos",'Plan mensual'!J40,0))+parametros_manuales!$F$27*('Plan mensual'!J37+IF(parametros_manuales!$H$27="Todos",'Plan mensual'!J41,0))+parametros_manuales!$G$27*('Plan mensual'!J38+IF(parametros_manuales!$H$27="Todos",'Plan mensual'!J42,0)))*parametros_manuales!$I$27*parametros_manuales!$J$27</f>
        <v>1244.471518488</v>
      </c>
      <c r="I91" s="9" t="n">
        <f aca="false">(parametros_manuales!$D$27*('Plan mensual'!K35+IF(parametros_manuales!$H$27="Todos",'Plan mensual'!K39,0))+parametros_manuales!$E$27*('Plan mensual'!K36+IF(parametros_manuales!$H$27="Todos",'Plan mensual'!K40,0))+parametros_manuales!$F$27*('Plan mensual'!K37+IF(parametros_manuales!$H$27="Todos",'Plan mensual'!K41,0))+parametros_manuales!$G$27*('Plan mensual'!K38+IF(parametros_manuales!$H$27="Todos",'Plan mensual'!K42,0)))*parametros_manuales!$I$27*parametros_manuales!$J$27</f>
        <v>1244.471518488</v>
      </c>
      <c r="J91" s="9" t="n">
        <f aca="false">(parametros_manuales!$D$27*('Plan mensual'!L35+IF(parametros_manuales!$H$27="Todos",'Plan mensual'!L39,0))+parametros_manuales!$E$27*('Plan mensual'!L36+IF(parametros_manuales!$H$27="Todos",'Plan mensual'!L40,0))+parametros_manuales!$F$27*('Plan mensual'!L37+IF(parametros_manuales!$H$27="Todos",'Plan mensual'!L41,0))+parametros_manuales!$G$27*('Plan mensual'!L38+IF(parametros_manuales!$H$27="Todos",'Plan mensual'!L42,0)))*parametros_manuales!$I$27*parametros_manuales!$J$27</f>
        <v>1244.471518488</v>
      </c>
      <c r="K91" s="9" t="n">
        <f aca="false">(parametros_manuales!$D$27*('Plan mensual'!M35+IF(parametros_manuales!$H$27="Todos",'Plan mensual'!M39,0))+parametros_manuales!$E$27*('Plan mensual'!M36+IF(parametros_manuales!$H$27="Todos",'Plan mensual'!M40,0))+parametros_manuales!$F$27*('Plan mensual'!M37+IF(parametros_manuales!$H$27="Todos",'Plan mensual'!M41,0))+parametros_manuales!$G$27*('Plan mensual'!M38+IF(parametros_manuales!$H$27="Todos",'Plan mensual'!M42,0)))*parametros_manuales!$I$27*parametros_manuales!$J$27</f>
        <v>1166.6920485825</v>
      </c>
      <c r="L91" s="9" t="n">
        <f aca="false">(parametros_manuales!$D$27*('Plan mensual'!N35+IF(parametros_manuales!$H$27="Todos",'Plan mensual'!N39,0))+parametros_manuales!$E$27*('Plan mensual'!N36+IF(parametros_manuales!$H$27="Todos",'Plan mensual'!N40,0))+parametros_manuales!$F$27*('Plan mensual'!N37+IF(parametros_manuales!$H$27="Todos",'Plan mensual'!N41,0))+parametros_manuales!$G$27*('Plan mensual'!N38+IF(parametros_manuales!$H$27="Todos",'Plan mensual'!N42,0)))*parametros_manuales!$I$27*parametros_manuales!$J$27</f>
        <v>1088.912578677</v>
      </c>
      <c r="M91" s="9" t="n">
        <f aca="false">(parametros_manuales!$D$27*('Plan mensual'!O35+IF(parametros_manuales!$H$27="Todos",'Plan mensual'!O39,0))+parametros_manuales!$E$27*('Plan mensual'!O36+IF(parametros_manuales!$H$27="Todos",'Plan mensual'!O40,0))+parametros_manuales!$F$27*('Plan mensual'!O37+IF(parametros_manuales!$H$27="Todos",'Plan mensual'!O41,0))+parametros_manuales!$G$27*('Plan mensual'!O38+IF(parametros_manuales!$H$27="Todos",'Plan mensual'!O42,0)))*parametros_manuales!$I$27*parametros_manuales!$J$27</f>
        <v>1711.148337921</v>
      </c>
      <c r="N91" s="9" t="n">
        <f aca="false">SUM(B91:M91)</f>
        <v>15555.8939811</v>
      </c>
      <c r="O91" s="9" t="n">
        <f aca="false">MAX(B91:M91)</f>
        <v>1711.148337921</v>
      </c>
      <c r="P91" s="43" t="n">
        <f aca="false">O91/(parametros_manuales!$B$7)</f>
        <v>11.40765558614</v>
      </c>
      <c r="Q91" s="8" t="str">
        <f aca="false">IF(O91=0,"-",INDEX($B$82:$M$82,MATCH(O91,B91:M91,0)))</f>
        <v>Dic</v>
      </c>
    </row>
    <row r="92" customFormat="false" ht="14.25" hidden="false" customHeight="true" outlineLevel="0" collapsed="false">
      <c r="A92" s="8" t="str">
        <f aca="false">parametros_manuales!$B$28</f>
        <v>Encastre de fondo</v>
      </c>
      <c r="B92" s="9" t="n">
        <f aca="false">(parametros_manuales!$D$28*('Plan mensual'!D35+IF(parametros_manuales!$H$28="Todos",'Plan mensual'!D39,0))+parametros_manuales!$E$28*('Plan mensual'!D36+IF(parametros_manuales!$H$28="Todos",'Plan mensual'!D40,0))+parametros_manuales!$F$28*('Plan mensual'!D37+IF(parametros_manuales!$H$28="Todos",'Plan mensual'!D41,0))+parametros_manuales!$G$28*('Plan mensual'!D38+IF(parametros_manuales!$H$28="Todos",'Plan mensual'!D42,0)))*parametros_manuales!$I$28*parametros_manuales!$J$28</f>
        <v>5775.02166399</v>
      </c>
      <c r="C92" s="9" t="n">
        <f aca="false">(parametros_manuales!$D$28*('Plan mensual'!E35+IF(parametros_manuales!$H$28="Todos",'Plan mensual'!E39,0))+parametros_manuales!$E$28*('Plan mensual'!E36+IF(parametros_manuales!$H$28="Todos",'Plan mensual'!E40,0))+parametros_manuales!$F$28*('Plan mensual'!E37+IF(parametros_manuales!$H$28="Todos",'Plan mensual'!E41,0))+parametros_manuales!$G$28*('Plan mensual'!E38+IF(parametros_manuales!$H$28="Todos",'Plan mensual'!E42,0)))*parametros_manuales!$I$28*parametros_manuales!$J$28</f>
        <v>4409.045717898</v>
      </c>
      <c r="D92" s="9" t="n">
        <f aca="false">(parametros_manuales!$D$28*('Plan mensual'!F35+IF(parametros_manuales!$H$28="Todos",'Plan mensual'!F39,0))+parametros_manuales!$E$28*('Plan mensual'!F36+IF(parametros_manuales!$H$28="Todos",'Plan mensual'!F40,0))+parametros_manuales!$F$28*('Plan mensual'!F37+IF(parametros_manuales!$H$28="Todos",'Plan mensual'!F41,0))+parametros_manuales!$G$28*('Plan mensual'!F38+IF(parametros_manuales!$H$28="Todos",'Plan mensual'!F42,0)))*parametros_manuales!$I$28*parametros_manuales!$J$28</f>
        <v>4135.2058323135</v>
      </c>
      <c r="E92" s="9" t="n">
        <f aca="false">(parametros_manuales!$D$28*('Plan mensual'!G35+IF(parametros_manuales!$H$28="Todos",'Plan mensual'!G39,0))+parametros_manuales!$E$28*('Plan mensual'!G36+IF(parametros_manuales!$H$28="Todos",'Plan mensual'!G40,0))+parametros_manuales!$F$28*('Plan mensual'!G37+IF(parametros_manuales!$H$28="Todos",'Plan mensual'!G41,0))+parametros_manuales!$G$28*('Plan mensual'!G38+IF(parametros_manuales!$H$28="Todos",'Plan mensual'!G42,0)))*parametros_manuales!$I$28*parametros_manuales!$J$28</f>
        <v>3959.3961545685</v>
      </c>
      <c r="F92" s="9" t="n">
        <f aca="false">(parametros_manuales!$D$28*('Plan mensual'!H35+IF(parametros_manuales!$H$28="Todos",'Plan mensual'!H39,0))+parametros_manuales!$E$28*('Plan mensual'!H36+IF(parametros_manuales!$H$28="Todos",'Plan mensual'!H40,0))+parametros_manuales!$F$28*('Plan mensual'!H37+IF(parametros_manuales!$H$28="Todos",'Plan mensual'!H41,0))+parametros_manuales!$G$28*('Plan mensual'!H38+IF(parametros_manuales!$H$28="Todos",'Plan mensual'!H42,0)))*parametros_manuales!$I$28*parametros_manuales!$J$28</f>
        <v>3705.807006918</v>
      </c>
      <c r="G92" s="9" t="n">
        <f aca="false">(parametros_manuales!$D$28*('Plan mensual'!I35+IF(parametros_manuales!$H$28="Todos",'Plan mensual'!I39,0))+parametros_manuales!$E$28*('Plan mensual'!I36+IF(parametros_manuales!$H$28="Todos",'Plan mensual'!I40,0))+parametros_manuales!$F$28*('Plan mensual'!I37+IF(parametros_manuales!$H$28="Todos",'Plan mensual'!I41,0))+parametros_manuales!$G$28*('Plan mensual'!I38+IF(parametros_manuales!$H$28="Todos",'Plan mensual'!I42,0)))*parametros_manuales!$I$28*parametros_manuales!$J$28</f>
        <v>3628.0275370125</v>
      </c>
      <c r="H92" s="9" t="n">
        <f aca="false">(parametros_manuales!$D$28*('Plan mensual'!J35+IF(parametros_manuales!$H$28="Todos",'Plan mensual'!J39,0))+parametros_manuales!$E$28*('Plan mensual'!J36+IF(parametros_manuales!$H$28="Todos",'Plan mensual'!J40,0))+parametros_manuales!$F$28*('Plan mensual'!J37+IF(parametros_manuales!$H$28="Todos",'Plan mensual'!J41,0))+parametros_manuales!$G$28*('Plan mensual'!J38+IF(parametros_manuales!$H$28="Todos",'Plan mensual'!J42,0)))*parametros_manuales!$I$28*parametros_manuales!$J$28</f>
        <v>3881.616684663</v>
      </c>
      <c r="I92" s="9" t="n">
        <f aca="false">(parametros_manuales!$D$28*('Plan mensual'!K35+IF(parametros_manuales!$H$28="Todos",'Plan mensual'!K39,0))+parametros_manuales!$E$28*('Plan mensual'!K36+IF(parametros_manuales!$H$28="Todos",'Plan mensual'!K40,0))+parametros_manuales!$F$28*('Plan mensual'!K37+IF(parametros_manuales!$H$28="Todos",'Plan mensual'!K41,0))+parametros_manuales!$G$28*('Plan mensual'!K38+IF(parametros_manuales!$H$28="Todos",'Plan mensual'!K42,0)))*parametros_manuales!$I$28*parametros_manuales!$J$28</f>
        <v>3881.616684663</v>
      </c>
      <c r="J92" s="9" t="n">
        <f aca="false">(parametros_manuales!$D$28*('Plan mensual'!L35+IF(parametros_manuales!$H$28="Todos",'Plan mensual'!L39,0))+parametros_manuales!$E$28*('Plan mensual'!L36+IF(parametros_manuales!$H$28="Todos",'Plan mensual'!L40,0))+parametros_manuales!$F$28*('Plan mensual'!L37+IF(parametros_manuales!$H$28="Todos",'Plan mensual'!L41,0))+parametros_manuales!$G$28*('Plan mensual'!L38+IF(parametros_manuales!$H$28="Todos",'Plan mensual'!L42,0)))*parametros_manuales!$I$28*parametros_manuales!$J$28</f>
        <v>3881.616684663</v>
      </c>
      <c r="K92" s="9" t="n">
        <f aca="false">(parametros_manuales!$D$28*('Plan mensual'!M35+IF(parametros_manuales!$H$28="Todos",'Plan mensual'!M39,0))+parametros_manuales!$E$28*('Plan mensual'!M36+IF(parametros_manuales!$H$28="Todos",'Plan mensual'!M40,0))+parametros_manuales!$F$28*('Plan mensual'!M37+IF(parametros_manuales!$H$28="Todos",'Plan mensual'!M41,0))+parametros_manuales!$G$28*('Plan mensual'!M38+IF(parametros_manuales!$H$28="Todos",'Plan mensual'!M42,0)))*parametros_manuales!$I$28*parametros_manuales!$J$28</f>
        <v>3803.8372147575</v>
      </c>
      <c r="L92" s="9" t="n">
        <f aca="false">(parametros_manuales!$D$28*('Plan mensual'!N35+IF(parametros_manuales!$H$28="Todos",'Plan mensual'!N39,0))+parametros_manuales!$E$28*('Plan mensual'!N36+IF(parametros_manuales!$H$28="Todos",'Plan mensual'!N40,0))+parametros_manuales!$F$28*('Plan mensual'!N37+IF(parametros_manuales!$H$28="Todos",'Plan mensual'!N41,0))+parametros_manuales!$G$28*('Plan mensual'!N38+IF(parametros_manuales!$H$28="Todos",'Plan mensual'!N42,0)))*parametros_manuales!$I$28*parametros_manuales!$J$28</f>
        <v>3726.057744852</v>
      </c>
      <c r="M92" s="9" t="n">
        <f aca="false">(parametros_manuales!$D$28*('Plan mensual'!O35+IF(parametros_manuales!$H$28="Todos",'Plan mensual'!O39,0))+parametros_manuales!$E$28*('Plan mensual'!O36+IF(parametros_manuales!$H$28="Todos",'Plan mensual'!O40,0))+parametros_manuales!$F$28*('Plan mensual'!O37+IF(parametros_manuales!$H$28="Todos",'Plan mensual'!O41,0))+parametros_manuales!$G$28*('Plan mensual'!O38+IF(parametros_manuales!$H$28="Todos",'Plan mensual'!O42,0)))*parametros_manuales!$I$28*parametros_manuales!$J$28</f>
        <v>5930.580603801</v>
      </c>
      <c r="N92" s="9" t="n">
        <f aca="false">SUM(B92:M92)</f>
        <v>50717.8295301</v>
      </c>
      <c r="O92" s="9" t="n">
        <f aca="false">MAX(B92:M92)</f>
        <v>5930.580603801</v>
      </c>
      <c r="P92" s="43" t="n">
        <f aca="false">O92/(parametros_manuales!$B$7)</f>
        <v>39.53720402534</v>
      </c>
      <c r="Q92" s="8" t="str">
        <f aca="false">IF(O92=0,"-",INDEX($B$82:$M$82,MATCH(O92,B92:M92,0)))</f>
        <v>Dic</v>
      </c>
    </row>
    <row r="93" customFormat="false" ht="14.25" hidden="false" customHeight="true" outlineLevel="0" collapsed="false">
      <c r="A93" s="8" t="str">
        <f aca="false">parametros_manuales!$B$29</f>
        <v>Bordoneado</v>
      </c>
      <c r="B93" s="9" t="n">
        <f aca="false">(parametros_manuales!$D$29*('Plan mensual'!D35+IF(parametros_manuales!$H$29="Todos",'Plan mensual'!D39,0))+parametros_manuales!$E$29*('Plan mensual'!D36+IF(parametros_manuales!$H$29="Todos",'Plan mensual'!D40,0))+parametros_manuales!$F$29*('Plan mensual'!D37+IF(parametros_manuales!$H$29="Todos",'Plan mensual'!D41,0))+parametros_manuales!$G$29*('Plan mensual'!D38+IF(parametros_manuales!$H$29="Todos",'Plan mensual'!D42,0)))*parametros_manuales!$I$29*parametros_manuales!$J$29</f>
        <v>5775.02166399</v>
      </c>
      <c r="C93" s="9" t="n">
        <f aca="false">(parametros_manuales!$D$29*('Plan mensual'!E35+IF(parametros_manuales!$H$29="Todos",'Plan mensual'!E39,0))+parametros_manuales!$E$29*('Plan mensual'!E36+IF(parametros_manuales!$H$29="Todos",'Plan mensual'!E40,0))+parametros_manuales!$F$29*('Plan mensual'!E37+IF(parametros_manuales!$H$29="Todos",'Plan mensual'!E41,0))+parametros_manuales!$G$29*('Plan mensual'!E38+IF(parametros_manuales!$H$29="Todos",'Plan mensual'!E42,0)))*parametros_manuales!$I$29*parametros_manuales!$J$29</f>
        <v>4409.045717898</v>
      </c>
      <c r="D93" s="9" t="n">
        <f aca="false">(parametros_manuales!$D$29*('Plan mensual'!F35+IF(parametros_manuales!$H$29="Todos",'Plan mensual'!F39,0))+parametros_manuales!$E$29*('Plan mensual'!F36+IF(parametros_manuales!$H$29="Todos",'Plan mensual'!F40,0))+parametros_manuales!$F$29*('Plan mensual'!F37+IF(parametros_manuales!$H$29="Todos",'Plan mensual'!F41,0))+parametros_manuales!$G$29*('Plan mensual'!F38+IF(parametros_manuales!$H$29="Todos",'Plan mensual'!F42,0)))*parametros_manuales!$I$29*parametros_manuales!$J$29</f>
        <v>4135.2058323135</v>
      </c>
      <c r="E93" s="9" t="n">
        <f aca="false">(parametros_manuales!$D$29*('Plan mensual'!G35+IF(parametros_manuales!$H$29="Todos",'Plan mensual'!G39,0))+parametros_manuales!$E$29*('Plan mensual'!G36+IF(parametros_manuales!$H$29="Todos",'Plan mensual'!G40,0))+parametros_manuales!$F$29*('Plan mensual'!G37+IF(parametros_manuales!$H$29="Todos",'Plan mensual'!G41,0))+parametros_manuales!$G$29*('Plan mensual'!G38+IF(parametros_manuales!$H$29="Todos",'Plan mensual'!G42,0)))*parametros_manuales!$I$29*parametros_manuales!$J$29</f>
        <v>3959.3961545685</v>
      </c>
      <c r="F93" s="9" t="n">
        <f aca="false">(parametros_manuales!$D$29*('Plan mensual'!H35+IF(parametros_manuales!$H$29="Todos",'Plan mensual'!H39,0))+parametros_manuales!$E$29*('Plan mensual'!H36+IF(parametros_manuales!$H$29="Todos",'Plan mensual'!H40,0))+parametros_manuales!$F$29*('Plan mensual'!H37+IF(parametros_manuales!$H$29="Todos",'Plan mensual'!H41,0))+parametros_manuales!$G$29*('Plan mensual'!H38+IF(parametros_manuales!$H$29="Todos",'Plan mensual'!H42,0)))*parametros_manuales!$I$29*parametros_manuales!$J$29</f>
        <v>3705.807006918</v>
      </c>
      <c r="G93" s="9" t="n">
        <f aca="false">(parametros_manuales!$D$29*('Plan mensual'!I35+IF(parametros_manuales!$H$29="Todos",'Plan mensual'!I39,0))+parametros_manuales!$E$29*('Plan mensual'!I36+IF(parametros_manuales!$H$29="Todos",'Plan mensual'!I40,0))+parametros_manuales!$F$29*('Plan mensual'!I37+IF(parametros_manuales!$H$29="Todos",'Plan mensual'!I41,0))+parametros_manuales!$G$29*('Plan mensual'!I38+IF(parametros_manuales!$H$29="Todos",'Plan mensual'!I42,0)))*parametros_manuales!$I$29*parametros_manuales!$J$29</f>
        <v>3628.0275370125</v>
      </c>
      <c r="H93" s="9" t="n">
        <f aca="false">(parametros_manuales!$D$29*('Plan mensual'!J35+IF(parametros_manuales!$H$29="Todos",'Plan mensual'!J39,0))+parametros_manuales!$E$29*('Plan mensual'!J36+IF(parametros_manuales!$H$29="Todos",'Plan mensual'!J40,0))+parametros_manuales!$F$29*('Plan mensual'!J37+IF(parametros_manuales!$H$29="Todos",'Plan mensual'!J41,0))+parametros_manuales!$G$29*('Plan mensual'!J38+IF(parametros_manuales!$H$29="Todos",'Plan mensual'!J42,0)))*parametros_manuales!$I$29*parametros_manuales!$J$29</f>
        <v>3881.616684663</v>
      </c>
      <c r="I93" s="9" t="n">
        <f aca="false">(parametros_manuales!$D$29*('Plan mensual'!K35+IF(parametros_manuales!$H$29="Todos",'Plan mensual'!K39,0))+parametros_manuales!$E$29*('Plan mensual'!K36+IF(parametros_manuales!$H$29="Todos",'Plan mensual'!K40,0))+parametros_manuales!$F$29*('Plan mensual'!K37+IF(parametros_manuales!$H$29="Todos",'Plan mensual'!K41,0))+parametros_manuales!$G$29*('Plan mensual'!K38+IF(parametros_manuales!$H$29="Todos",'Plan mensual'!K42,0)))*parametros_manuales!$I$29*parametros_manuales!$J$29</f>
        <v>3881.616684663</v>
      </c>
      <c r="J93" s="9" t="n">
        <f aca="false">(parametros_manuales!$D$29*('Plan mensual'!L35+IF(parametros_manuales!$H$29="Todos",'Plan mensual'!L39,0))+parametros_manuales!$E$29*('Plan mensual'!L36+IF(parametros_manuales!$H$29="Todos",'Plan mensual'!L40,0))+parametros_manuales!$F$29*('Plan mensual'!L37+IF(parametros_manuales!$H$29="Todos",'Plan mensual'!L41,0))+parametros_manuales!$G$29*('Plan mensual'!L38+IF(parametros_manuales!$H$29="Todos",'Plan mensual'!L42,0)))*parametros_manuales!$I$29*parametros_manuales!$J$29</f>
        <v>3881.616684663</v>
      </c>
      <c r="K93" s="9" t="n">
        <f aca="false">(parametros_manuales!$D$29*('Plan mensual'!M35+IF(parametros_manuales!$H$29="Todos",'Plan mensual'!M39,0))+parametros_manuales!$E$29*('Plan mensual'!M36+IF(parametros_manuales!$H$29="Todos",'Plan mensual'!M40,0))+parametros_manuales!$F$29*('Plan mensual'!M37+IF(parametros_manuales!$H$29="Todos",'Plan mensual'!M41,0))+parametros_manuales!$G$29*('Plan mensual'!M38+IF(parametros_manuales!$H$29="Todos",'Plan mensual'!M42,0)))*parametros_manuales!$I$29*parametros_manuales!$J$29</f>
        <v>3803.8372147575</v>
      </c>
      <c r="L93" s="9" t="n">
        <f aca="false">(parametros_manuales!$D$29*('Plan mensual'!N35+IF(parametros_manuales!$H$29="Todos",'Plan mensual'!N39,0))+parametros_manuales!$E$29*('Plan mensual'!N36+IF(parametros_manuales!$H$29="Todos",'Plan mensual'!N40,0))+parametros_manuales!$F$29*('Plan mensual'!N37+IF(parametros_manuales!$H$29="Todos",'Plan mensual'!N41,0))+parametros_manuales!$G$29*('Plan mensual'!N38+IF(parametros_manuales!$H$29="Todos",'Plan mensual'!N42,0)))*parametros_manuales!$I$29*parametros_manuales!$J$29</f>
        <v>3726.057744852</v>
      </c>
      <c r="M93" s="9" t="n">
        <f aca="false">(parametros_manuales!$D$29*('Plan mensual'!O35+IF(parametros_manuales!$H$29="Todos",'Plan mensual'!O39,0))+parametros_manuales!$E$29*('Plan mensual'!O36+IF(parametros_manuales!$H$29="Todos",'Plan mensual'!O40,0))+parametros_manuales!$F$29*('Plan mensual'!O37+IF(parametros_manuales!$H$29="Todos",'Plan mensual'!O41,0))+parametros_manuales!$G$29*('Plan mensual'!O38+IF(parametros_manuales!$H$29="Todos",'Plan mensual'!O42,0)))*parametros_manuales!$I$29*parametros_manuales!$J$29</f>
        <v>5930.580603801</v>
      </c>
      <c r="N93" s="9" t="n">
        <f aca="false">SUM(B93:M93)</f>
        <v>50717.8295301</v>
      </c>
      <c r="O93" s="9" t="n">
        <f aca="false">MAX(B93:M93)</f>
        <v>5930.580603801</v>
      </c>
      <c r="P93" s="43" t="n">
        <f aca="false">O93/(parametros_manuales!$B$7)</f>
        <v>39.53720402534</v>
      </c>
      <c r="Q93" s="8" t="str">
        <f aca="false">IF(O93=0,"-",INDEX($B$82:$M$82,MATCH(O93,B93:M93,0)))</f>
        <v>Dic</v>
      </c>
    </row>
    <row r="94" customFormat="false" ht="14.25" hidden="false" customHeight="true" outlineLevel="0" collapsed="false">
      <c r="A94" s="8" t="str">
        <f aca="false">parametros_manuales!$B$30</f>
        <v>Soldadura circunferencial de cúpula y fondo</v>
      </c>
      <c r="B94" s="9" t="n">
        <f aca="false">(parametros_manuales!$D$30*('Plan mensual'!D35+IF(parametros_manuales!$H$30="Todos",'Plan mensual'!D39,0))+parametros_manuales!$E$30*('Plan mensual'!D36+IF(parametros_manuales!$H$30="Todos",'Plan mensual'!D40,0))+parametros_manuales!$F$30*('Plan mensual'!D37+IF(parametros_manuales!$H$30="Todos",'Plan mensual'!D41,0))+parametros_manuales!$G$30*('Plan mensual'!D38+IF(parametros_manuales!$H$30="Todos",'Plan mensual'!D42,0)))*parametros_manuales!$I$30*parametros_manuales!$J$30</f>
        <v>5775.02166399</v>
      </c>
      <c r="C94" s="9" t="n">
        <f aca="false">(parametros_manuales!$D$30*('Plan mensual'!E35+IF(parametros_manuales!$H$30="Todos",'Plan mensual'!E39,0))+parametros_manuales!$E$30*('Plan mensual'!E36+IF(parametros_manuales!$H$30="Todos",'Plan mensual'!E40,0))+parametros_manuales!$F$30*('Plan mensual'!E37+IF(parametros_manuales!$H$30="Todos",'Plan mensual'!E41,0))+parametros_manuales!$G$30*('Plan mensual'!E38+IF(parametros_manuales!$H$30="Todos",'Plan mensual'!E42,0)))*parametros_manuales!$I$30*parametros_manuales!$J$30</f>
        <v>4409.045717898</v>
      </c>
      <c r="D94" s="9" t="n">
        <f aca="false">(parametros_manuales!$D$30*('Plan mensual'!F35+IF(parametros_manuales!$H$30="Todos",'Plan mensual'!F39,0))+parametros_manuales!$E$30*('Plan mensual'!F36+IF(parametros_manuales!$H$30="Todos",'Plan mensual'!F40,0))+parametros_manuales!$F$30*('Plan mensual'!F37+IF(parametros_manuales!$H$30="Todos",'Plan mensual'!F41,0))+parametros_manuales!$G$30*('Plan mensual'!F38+IF(parametros_manuales!$H$30="Todos",'Plan mensual'!F42,0)))*parametros_manuales!$I$30*parametros_manuales!$J$30</f>
        <v>4135.2058323135</v>
      </c>
      <c r="E94" s="9" t="n">
        <f aca="false">(parametros_manuales!$D$30*('Plan mensual'!G35+IF(parametros_manuales!$H$30="Todos",'Plan mensual'!G39,0))+parametros_manuales!$E$30*('Plan mensual'!G36+IF(parametros_manuales!$H$30="Todos",'Plan mensual'!G40,0))+parametros_manuales!$F$30*('Plan mensual'!G37+IF(parametros_manuales!$H$30="Todos",'Plan mensual'!G41,0))+parametros_manuales!$G$30*('Plan mensual'!G38+IF(parametros_manuales!$H$30="Todos",'Plan mensual'!G42,0)))*parametros_manuales!$I$30*parametros_manuales!$J$30</f>
        <v>3959.3961545685</v>
      </c>
      <c r="F94" s="9" t="n">
        <f aca="false">(parametros_manuales!$D$30*('Plan mensual'!H35+IF(parametros_manuales!$H$30="Todos",'Plan mensual'!H39,0))+parametros_manuales!$E$30*('Plan mensual'!H36+IF(parametros_manuales!$H$30="Todos",'Plan mensual'!H40,0))+parametros_manuales!$F$30*('Plan mensual'!H37+IF(parametros_manuales!$H$30="Todos",'Plan mensual'!H41,0))+parametros_manuales!$G$30*('Plan mensual'!H38+IF(parametros_manuales!$H$30="Todos",'Plan mensual'!H42,0)))*parametros_manuales!$I$30*parametros_manuales!$J$30</f>
        <v>3705.807006918</v>
      </c>
      <c r="G94" s="9" t="n">
        <f aca="false">(parametros_manuales!$D$30*('Plan mensual'!I35+IF(parametros_manuales!$H$30="Todos",'Plan mensual'!I39,0))+parametros_manuales!$E$30*('Plan mensual'!I36+IF(parametros_manuales!$H$30="Todos",'Plan mensual'!I40,0))+parametros_manuales!$F$30*('Plan mensual'!I37+IF(parametros_manuales!$H$30="Todos",'Plan mensual'!I41,0))+parametros_manuales!$G$30*('Plan mensual'!I38+IF(parametros_manuales!$H$30="Todos",'Plan mensual'!I42,0)))*parametros_manuales!$I$30*parametros_manuales!$J$30</f>
        <v>3628.0275370125</v>
      </c>
      <c r="H94" s="9" t="n">
        <f aca="false">(parametros_manuales!$D$30*('Plan mensual'!J35+IF(parametros_manuales!$H$30="Todos",'Plan mensual'!J39,0))+parametros_manuales!$E$30*('Plan mensual'!J36+IF(parametros_manuales!$H$30="Todos",'Plan mensual'!J40,0))+parametros_manuales!$F$30*('Plan mensual'!J37+IF(parametros_manuales!$H$30="Todos",'Plan mensual'!J41,0))+parametros_manuales!$G$30*('Plan mensual'!J38+IF(parametros_manuales!$H$30="Todos",'Plan mensual'!J42,0)))*parametros_manuales!$I$30*parametros_manuales!$J$30</f>
        <v>3881.616684663</v>
      </c>
      <c r="I94" s="9" t="n">
        <f aca="false">(parametros_manuales!$D$30*('Plan mensual'!K35+IF(parametros_manuales!$H$30="Todos",'Plan mensual'!K39,0))+parametros_manuales!$E$30*('Plan mensual'!K36+IF(parametros_manuales!$H$30="Todos",'Plan mensual'!K40,0))+parametros_manuales!$F$30*('Plan mensual'!K37+IF(parametros_manuales!$H$30="Todos",'Plan mensual'!K41,0))+parametros_manuales!$G$30*('Plan mensual'!K38+IF(parametros_manuales!$H$30="Todos",'Plan mensual'!K42,0)))*parametros_manuales!$I$30*parametros_manuales!$J$30</f>
        <v>3881.616684663</v>
      </c>
      <c r="J94" s="9" t="n">
        <f aca="false">(parametros_manuales!$D$30*('Plan mensual'!L35+IF(parametros_manuales!$H$30="Todos",'Plan mensual'!L39,0))+parametros_manuales!$E$30*('Plan mensual'!L36+IF(parametros_manuales!$H$30="Todos",'Plan mensual'!L40,0))+parametros_manuales!$F$30*('Plan mensual'!L37+IF(parametros_manuales!$H$30="Todos",'Plan mensual'!L41,0))+parametros_manuales!$G$30*('Plan mensual'!L38+IF(parametros_manuales!$H$30="Todos",'Plan mensual'!L42,0)))*parametros_manuales!$I$30*parametros_manuales!$J$30</f>
        <v>3881.616684663</v>
      </c>
      <c r="K94" s="9" t="n">
        <f aca="false">(parametros_manuales!$D$30*('Plan mensual'!M35+IF(parametros_manuales!$H$30="Todos",'Plan mensual'!M39,0))+parametros_manuales!$E$30*('Plan mensual'!M36+IF(parametros_manuales!$H$30="Todos",'Plan mensual'!M40,0))+parametros_manuales!$F$30*('Plan mensual'!M37+IF(parametros_manuales!$H$30="Todos",'Plan mensual'!M41,0))+parametros_manuales!$G$30*('Plan mensual'!M38+IF(parametros_manuales!$H$30="Todos",'Plan mensual'!M42,0)))*parametros_manuales!$I$30*parametros_manuales!$J$30</f>
        <v>3803.8372147575</v>
      </c>
      <c r="L94" s="9" t="n">
        <f aca="false">(parametros_manuales!$D$30*('Plan mensual'!N35+IF(parametros_manuales!$H$30="Todos",'Plan mensual'!N39,0))+parametros_manuales!$E$30*('Plan mensual'!N36+IF(parametros_manuales!$H$30="Todos",'Plan mensual'!N40,0))+parametros_manuales!$F$30*('Plan mensual'!N37+IF(parametros_manuales!$H$30="Todos",'Plan mensual'!N41,0))+parametros_manuales!$G$30*('Plan mensual'!N38+IF(parametros_manuales!$H$30="Todos",'Plan mensual'!N42,0)))*parametros_manuales!$I$30*parametros_manuales!$J$30</f>
        <v>3726.057744852</v>
      </c>
      <c r="M94" s="9" t="n">
        <f aca="false">(parametros_manuales!$D$30*('Plan mensual'!O35+IF(parametros_manuales!$H$30="Todos",'Plan mensual'!O39,0))+parametros_manuales!$E$30*('Plan mensual'!O36+IF(parametros_manuales!$H$30="Todos",'Plan mensual'!O40,0))+parametros_manuales!$F$30*('Plan mensual'!O37+IF(parametros_manuales!$H$30="Todos",'Plan mensual'!O41,0))+parametros_manuales!$G$30*('Plan mensual'!O38+IF(parametros_manuales!$H$30="Todos",'Plan mensual'!O42,0)))*parametros_manuales!$I$30*parametros_manuales!$J$30</f>
        <v>5930.580603801</v>
      </c>
      <c r="N94" s="9" t="n">
        <f aca="false">SUM(B94:M94)</f>
        <v>50717.8295301</v>
      </c>
      <c r="O94" s="9" t="n">
        <f aca="false">MAX(B94:M94)</f>
        <v>5930.580603801</v>
      </c>
      <c r="P94" s="43" t="n">
        <f aca="false">O94/(parametros_manuales!$B$7)</f>
        <v>39.53720402534</v>
      </c>
      <c r="Q94" s="8" t="str">
        <f aca="false">IF(O94=0,"-",INDEX($B$82:$M$82,MATCH(O94,B94:M94,0)))</f>
        <v>Dic</v>
      </c>
    </row>
    <row r="95" customFormat="false" ht="14.25" hidden="false" customHeight="true" outlineLevel="0" collapsed="false">
      <c r="A95" s="8" t="str">
        <f aca="false">parametros_manuales!$B$31</f>
        <v>Control de calidad — Espesor</v>
      </c>
      <c r="B95" s="9" t="n">
        <f aca="false">(parametros_manuales!$D$31*('Plan mensual'!D35+IF(parametros_manuales!$H$31="Todos",'Plan mensual'!D39,0))+parametros_manuales!$E$31*('Plan mensual'!D36+IF(parametros_manuales!$H$31="Todos",'Plan mensual'!D40,0))+parametros_manuales!$F$31*('Plan mensual'!D37+IF(parametros_manuales!$H$31="Todos",'Plan mensual'!D41,0))+parametros_manuales!$G$31*('Plan mensual'!D38+IF(parametros_manuales!$H$31="Todos",'Plan mensual'!D42,0)))*parametros_manuales!$I$31*parametros_manuales!$J$31</f>
        <v>115.5004332798</v>
      </c>
      <c r="C95" s="9" t="n">
        <f aca="false">(parametros_manuales!$D$31*('Plan mensual'!E35+IF(parametros_manuales!$H$31="Todos",'Plan mensual'!E39,0))+parametros_manuales!$E$31*('Plan mensual'!E36+IF(parametros_manuales!$H$31="Todos",'Plan mensual'!E40,0))+parametros_manuales!$F$31*('Plan mensual'!E37+IF(parametros_manuales!$H$31="Todos",'Plan mensual'!E41,0))+parametros_manuales!$G$31*('Plan mensual'!E38+IF(parametros_manuales!$H$31="Todos",'Plan mensual'!E42,0)))*parametros_manuales!$I$31*parametros_manuales!$J$31</f>
        <v>88.18091435796</v>
      </c>
      <c r="D95" s="9" t="n">
        <f aca="false">(parametros_manuales!$D$31*('Plan mensual'!F35+IF(parametros_manuales!$H$31="Todos",'Plan mensual'!F39,0))+parametros_manuales!$E$31*('Plan mensual'!F36+IF(parametros_manuales!$H$31="Todos",'Plan mensual'!F40,0))+parametros_manuales!$F$31*('Plan mensual'!F37+IF(parametros_manuales!$H$31="Todos",'Plan mensual'!F41,0))+parametros_manuales!$G$31*('Plan mensual'!F38+IF(parametros_manuales!$H$31="Todos",'Plan mensual'!F42,0)))*parametros_manuales!$I$31*parametros_manuales!$J$31</f>
        <v>82.70411664627</v>
      </c>
      <c r="E95" s="9" t="n">
        <f aca="false">(parametros_manuales!$D$31*('Plan mensual'!G35+IF(parametros_manuales!$H$31="Todos",'Plan mensual'!G39,0))+parametros_manuales!$E$31*('Plan mensual'!G36+IF(parametros_manuales!$H$31="Todos",'Plan mensual'!G40,0))+parametros_manuales!$F$31*('Plan mensual'!G37+IF(parametros_manuales!$H$31="Todos",'Plan mensual'!G41,0))+parametros_manuales!$G$31*('Plan mensual'!G38+IF(parametros_manuales!$H$31="Todos",'Plan mensual'!G42,0)))*parametros_manuales!$I$31*parametros_manuales!$J$31</f>
        <v>79.18792309137</v>
      </c>
      <c r="F95" s="9" t="n">
        <f aca="false">(parametros_manuales!$D$31*('Plan mensual'!H35+IF(parametros_manuales!$H$31="Todos",'Plan mensual'!H39,0))+parametros_manuales!$E$31*('Plan mensual'!H36+IF(parametros_manuales!$H$31="Todos",'Plan mensual'!H40,0))+parametros_manuales!$F$31*('Plan mensual'!H37+IF(parametros_manuales!$H$31="Todos",'Plan mensual'!H41,0))+parametros_manuales!$G$31*('Plan mensual'!H38+IF(parametros_manuales!$H$31="Todos",'Plan mensual'!H42,0)))*parametros_manuales!$I$31*parametros_manuales!$J$31</f>
        <v>74.11614013836</v>
      </c>
      <c r="G95" s="9" t="n">
        <f aca="false">(parametros_manuales!$D$31*('Plan mensual'!I35+IF(parametros_manuales!$H$31="Todos",'Plan mensual'!I39,0))+parametros_manuales!$E$31*('Plan mensual'!I36+IF(parametros_manuales!$H$31="Todos",'Plan mensual'!I40,0))+parametros_manuales!$F$31*('Plan mensual'!I37+IF(parametros_manuales!$H$31="Todos",'Plan mensual'!I41,0))+parametros_manuales!$G$31*('Plan mensual'!I38+IF(parametros_manuales!$H$31="Todos",'Plan mensual'!I42,0)))*parametros_manuales!$I$31*parametros_manuales!$J$31</f>
        <v>72.56055074025</v>
      </c>
      <c r="H95" s="9" t="n">
        <f aca="false">(parametros_manuales!$D$31*('Plan mensual'!J35+IF(parametros_manuales!$H$31="Todos",'Plan mensual'!J39,0))+parametros_manuales!$E$31*('Plan mensual'!J36+IF(parametros_manuales!$H$31="Todos",'Plan mensual'!J40,0))+parametros_manuales!$F$31*('Plan mensual'!J37+IF(parametros_manuales!$H$31="Todos",'Plan mensual'!J41,0))+parametros_manuales!$G$31*('Plan mensual'!J38+IF(parametros_manuales!$H$31="Todos",'Plan mensual'!J42,0)))*parametros_manuales!$I$31*parametros_manuales!$J$31</f>
        <v>77.63233369326</v>
      </c>
      <c r="I95" s="9" t="n">
        <f aca="false">(parametros_manuales!$D$31*('Plan mensual'!K35+IF(parametros_manuales!$H$31="Todos",'Plan mensual'!K39,0))+parametros_manuales!$E$31*('Plan mensual'!K36+IF(parametros_manuales!$H$31="Todos",'Plan mensual'!K40,0))+parametros_manuales!$F$31*('Plan mensual'!K37+IF(parametros_manuales!$H$31="Todos",'Plan mensual'!K41,0))+parametros_manuales!$G$31*('Plan mensual'!K38+IF(parametros_manuales!$H$31="Todos",'Plan mensual'!K42,0)))*parametros_manuales!$I$31*parametros_manuales!$J$31</f>
        <v>77.63233369326</v>
      </c>
      <c r="J95" s="9" t="n">
        <f aca="false">(parametros_manuales!$D$31*('Plan mensual'!L35+IF(parametros_manuales!$H$31="Todos",'Plan mensual'!L39,0))+parametros_manuales!$E$31*('Plan mensual'!L36+IF(parametros_manuales!$H$31="Todos",'Plan mensual'!L40,0))+parametros_manuales!$F$31*('Plan mensual'!L37+IF(parametros_manuales!$H$31="Todos",'Plan mensual'!L41,0))+parametros_manuales!$G$31*('Plan mensual'!L38+IF(parametros_manuales!$H$31="Todos",'Plan mensual'!L42,0)))*parametros_manuales!$I$31*parametros_manuales!$J$31</f>
        <v>77.63233369326</v>
      </c>
      <c r="K95" s="9" t="n">
        <f aca="false">(parametros_manuales!$D$31*('Plan mensual'!M35+IF(parametros_manuales!$H$31="Todos",'Plan mensual'!M39,0))+parametros_manuales!$E$31*('Plan mensual'!M36+IF(parametros_manuales!$H$31="Todos",'Plan mensual'!M40,0))+parametros_manuales!$F$31*('Plan mensual'!M37+IF(parametros_manuales!$H$31="Todos",'Plan mensual'!M41,0))+parametros_manuales!$G$31*('Plan mensual'!M38+IF(parametros_manuales!$H$31="Todos",'Plan mensual'!M42,0)))*parametros_manuales!$I$31*parametros_manuales!$J$31</f>
        <v>76.07674429515</v>
      </c>
      <c r="L95" s="9" t="n">
        <f aca="false">(parametros_manuales!$D$31*('Plan mensual'!N35+IF(parametros_manuales!$H$31="Todos",'Plan mensual'!N39,0))+parametros_manuales!$E$31*('Plan mensual'!N36+IF(parametros_manuales!$H$31="Todos",'Plan mensual'!N40,0))+parametros_manuales!$F$31*('Plan mensual'!N37+IF(parametros_manuales!$H$31="Todos",'Plan mensual'!N41,0))+parametros_manuales!$G$31*('Plan mensual'!N38+IF(parametros_manuales!$H$31="Todos",'Plan mensual'!N42,0)))*parametros_manuales!$I$31*parametros_manuales!$J$31</f>
        <v>74.52115489704</v>
      </c>
      <c r="M95" s="9" t="n">
        <f aca="false">(parametros_manuales!$D$31*('Plan mensual'!O35+IF(parametros_manuales!$H$31="Todos",'Plan mensual'!O39,0))+parametros_manuales!$E$31*('Plan mensual'!O36+IF(parametros_manuales!$H$31="Todos",'Plan mensual'!O40,0))+parametros_manuales!$F$31*('Plan mensual'!O37+IF(parametros_manuales!$H$31="Todos",'Plan mensual'!O41,0))+parametros_manuales!$G$31*('Plan mensual'!O38+IF(parametros_manuales!$H$31="Todos",'Plan mensual'!O42,0)))*parametros_manuales!$I$31*parametros_manuales!$J$31</f>
        <v>118.61161207602</v>
      </c>
      <c r="N95" s="9" t="n">
        <f aca="false">SUM(B95:M95)</f>
        <v>1014.356590602</v>
      </c>
      <c r="O95" s="9" t="n">
        <f aca="false">MAX(B95:M95)</f>
        <v>118.61161207602</v>
      </c>
      <c r="P95" s="43" t="n">
        <f aca="false">O95/(parametros_manuales!$B$7)</f>
        <v>0.7907440805068</v>
      </c>
      <c r="Q95" s="8" t="str">
        <f aca="false">IF(O95=0,"-",INDEX($B$82:$M$82,MATCH(O95,B95:M95,0)))</f>
        <v>Dic</v>
      </c>
    </row>
    <row r="96" customFormat="false" ht="14.25" hidden="false" customHeight="true" outlineLevel="0" collapsed="false">
      <c r="A96" s="8" t="str">
        <f aca="false">parametros_manuales!$B$32</f>
        <v>Prueba hidráulica</v>
      </c>
      <c r="B96" s="9" t="n">
        <f aca="false">(parametros_manuales!$D$32*('Plan mensual'!D35+IF(parametros_manuales!$H$32="Todos",'Plan mensual'!D39,0))+parametros_manuales!$E$32*('Plan mensual'!D36+IF(parametros_manuales!$H$32="Todos",'Plan mensual'!D40,0))+parametros_manuales!$F$32*('Plan mensual'!D37+IF(parametros_manuales!$H$32="Todos",'Plan mensual'!D41,0))+parametros_manuales!$G$32*('Plan mensual'!D38+IF(parametros_manuales!$H$32="Todos",'Plan mensual'!D42,0)))*parametros_manuales!$I$32*parametros_manuales!$J$32</f>
        <v>5775.02166399</v>
      </c>
      <c r="C96" s="9" t="n">
        <f aca="false">(parametros_manuales!$D$32*('Plan mensual'!E35+IF(parametros_manuales!$H$32="Todos",'Plan mensual'!E39,0))+parametros_manuales!$E$32*('Plan mensual'!E36+IF(parametros_manuales!$H$32="Todos",'Plan mensual'!E40,0))+parametros_manuales!$F$32*('Plan mensual'!E37+IF(parametros_manuales!$H$32="Todos",'Plan mensual'!E41,0))+parametros_manuales!$G$32*('Plan mensual'!E38+IF(parametros_manuales!$H$32="Todos",'Plan mensual'!E42,0)))*parametros_manuales!$I$32*parametros_manuales!$J$32</f>
        <v>4409.045717898</v>
      </c>
      <c r="D96" s="9" t="n">
        <f aca="false">(parametros_manuales!$D$32*('Plan mensual'!F35+IF(parametros_manuales!$H$32="Todos",'Plan mensual'!F39,0))+parametros_manuales!$E$32*('Plan mensual'!F36+IF(parametros_manuales!$H$32="Todos",'Plan mensual'!F40,0))+parametros_manuales!$F$32*('Plan mensual'!F37+IF(parametros_manuales!$H$32="Todos",'Plan mensual'!F41,0))+parametros_manuales!$G$32*('Plan mensual'!F38+IF(parametros_manuales!$H$32="Todos",'Plan mensual'!F42,0)))*parametros_manuales!$I$32*parametros_manuales!$J$32</f>
        <v>4135.2058323135</v>
      </c>
      <c r="E96" s="9" t="n">
        <f aca="false">(parametros_manuales!$D$32*('Plan mensual'!G35+IF(parametros_manuales!$H$32="Todos",'Plan mensual'!G39,0))+parametros_manuales!$E$32*('Plan mensual'!G36+IF(parametros_manuales!$H$32="Todos",'Plan mensual'!G40,0))+parametros_manuales!$F$32*('Plan mensual'!G37+IF(parametros_manuales!$H$32="Todos",'Plan mensual'!G41,0))+parametros_manuales!$G$32*('Plan mensual'!G38+IF(parametros_manuales!$H$32="Todos",'Plan mensual'!G42,0)))*parametros_manuales!$I$32*parametros_manuales!$J$32</f>
        <v>3959.3961545685</v>
      </c>
      <c r="F96" s="9" t="n">
        <f aca="false">(parametros_manuales!$D$32*('Plan mensual'!H35+IF(parametros_manuales!$H$32="Todos",'Plan mensual'!H39,0))+parametros_manuales!$E$32*('Plan mensual'!H36+IF(parametros_manuales!$H$32="Todos",'Plan mensual'!H40,0))+parametros_manuales!$F$32*('Plan mensual'!H37+IF(parametros_manuales!$H$32="Todos",'Plan mensual'!H41,0))+parametros_manuales!$G$32*('Plan mensual'!H38+IF(parametros_manuales!$H$32="Todos",'Plan mensual'!H42,0)))*parametros_manuales!$I$32*parametros_manuales!$J$32</f>
        <v>3705.807006918</v>
      </c>
      <c r="G96" s="9" t="n">
        <f aca="false">(parametros_manuales!$D$32*('Plan mensual'!I35+IF(parametros_manuales!$H$32="Todos",'Plan mensual'!I39,0))+parametros_manuales!$E$32*('Plan mensual'!I36+IF(parametros_manuales!$H$32="Todos",'Plan mensual'!I40,0))+parametros_manuales!$F$32*('Plan mensual'!I37+IF(parametros_manuales!$H$32="Todos",'Plan mensual'!I41,0))+parametros_manuales!$G$32*('Plan mensual'!I38+IF(parametros_manuales!$H$32="Todos",'Plan mensual'!I42,0)))*parametros_manuales!$I$32*parametros_manuales!$J$32</f>
        <v>3628.0275370125</v>
      </c>
      <c r="H96" s="9" t="n">
        <f aca="false">(parametros_manuales!$D$32*('Plan mensual'!J35+IF(parametros_manuales!$H$32="Todos",'Plan mensual'!J39,0))+parametros_manuales!$E$32*('Plan mensual'!J36+IF(parametros_manuales!$H$32="Todos",'Plan mensual'!J40,0))+parametros_manuales!$F$32*('Plan mensual'!J37+IF(parametros_manuales!$H$32="Todos",'Plan mensual'!J41,0))+parametros_manuales!$G$32*('Plan mensual'!J38+IF(parametros_manuales!$H$32="Todos",'Plan mensual'!J42,0)))*parametros_manuales!$I$32*parametros_manuales!$J$32</f>
        <v>3881.616684663</v>
      </c>
      <c r="I96" s="9" t="n">
        <f aca="false">(parametros_manuales!$D$32*('Plan mensual'!K35+IF(parametros_manuales!$H$32="Todos",'Plan mensual'!K39,0))+parametros_manuales!$E$32*('Plan mensual'!K36+IF(parametros_manuales!$H$32="Todos",'Plan mensual'!K40,0))+parametros_manuales!$F$32*('Plan mensual'!K37+IF(parametros_manuales!$H$32="Todos",'Plan mensual'!K41,0))+parametros_manuales!$G$32*('Plan mensual'!K38+IF(parametros_manuales!$H$32="Todos",'Plan mensual'!K42,0)))*parametros_manuales!$I$32*parametros_manuales!$J$32</f>
        <v>3881.616684663</v>
      </c>
      <c r="J96" s="9" t="n">
        <f aca="false">(parametros_manuales!$D$32*('Plan mensual'!L35+IF(parametros_manuales!$H$32="Todos",'Plan mensual'!L39,0))+parametros_manuales!$E$32*('Plan mensual'!L36+IF(parametros_manuales!$H$32="Todos",'Plan mensual'!L40,0))+parametros_manuales!$F$32*('Plan mensual'!L37+IF(parametros_manuales!$H$32="Todos",'Plan mensual'!L41,0))+parametros_manuales!$G$32*('Plan mensual'!L38+IF(parametros_manuales!$H$32="Todos",'Plan mensual'!L42,0)))*parametros_manuales!$I$32*parametros_manuales!$J$32</f>
        <v>3881.616684663</v>
      </c>
      <c r="K96" s="9" t="n">
        <f aca="false">(parametros_manuales!$D$32*('Plan mensual'!M35+IF(parametros_manuales!$H$32="Todos",'Plan mensual'!M39,0))+parametros_manuales!$E$32*('Plan mensual'!M36+IF(parametros_manuales!$H$32="Todos",'Plan mensual'!M40,0))+parametros_manuales!$F$32*('Plan mensual'!M37+IF(parametros_manuales!$H$32="Todos",'Plan mensual'!M41,0))+parametros_manuales!$G$32*('Plan mensual'!M38+IF(parametros_manuales!$H$32="Todos",'Plan mensual'!M42,0)))*parametros_manuales!$I$32*parametros_manuales!$J$32</f>
        <v>3803.8372147575</v>
      </c>
      <c r="L96" s="9" t="n">
        <f aca="false">(parametros_manuales!$D$32*('Plan mensual'!N35+IF(parametros_manuales!$H$32="Todos",'Plan mensual'!N39,0))+parametros_manuales!$E$32*('Plan mensual'!N36+IF(parametros_manuales!$H$32="Todos",'Plan mensual'!N40,0))+parametros_manuales!$F$32*('Plan mensual'!N37+IF(parametros_manuales!$H$32="Todos",'Plan mensual'!N41,0))+parametros_manuales!$G$32*('Plan mensual'!N38+IF(parametros_manuales!$H$32="Todos",'Plan mensual'!N42,0)))*parametros_manuales!$I$32*parametros_manuales!$J$32</f>
        <v>3726.057744852</v>
      </c>
      <c r="M96" s="9" t="n">
        <f aca="false">(parametros_manuales!$D$32*('Plan mensual'!O35+IF(parametros_manuales!$H$32="Todos",'Plan mensual'!O39,0))+parametros_manuales!$E$32*('Plan mensual'!O36+IF(parametros_manuales!$H$32="Todos",'Plan mensual'!O40,0))+parametros_manuales!$F$32*('Plan mensual'!O37+IF(parametros_manuales!$H$32="Todos",'Plan mensual'!O41,0))+parametros_manuales!$G$32*('Plan mensual'!O38+IF(parametros_manuales!$H$32="Todos",'Plan mensual'!O42,0)))*parametros_manuales!$I$32*parametros_manuales!$J$32</f>
        <v>5930.580603801</v>
      </c>
      <c r="N96" s="9" t="n">
        <f aca="false">SUM(B96:M96)</f>
        <v>50717.8295301</v>
      </c>
      <c r="O96" s="9" t="n">
        <f aca="false">MAX(B96:M96)</f>
        <v>5930.580603801</v>
      </c>
      <c r="P96" s="43" t="n">
        <f aca="false">O96/(parametros_manuales!$B$7)</f>
        <v>39.53720402534</v>
      </c>
      <c r="Q96" s="8" t="str">
        <f aca="false">IF(O96=0,"-",INDEX($B$82:$M$82,MATCH(O96,B96:M96,0)))</f>
        <v>Dic</v>
      </c>
    </row>
    <row r="97" customFormat="false" ht="14.25" hidden="false" customHeight="true" outlineLevel="0" collapsed="false">
      <c r="A97" s="8" t="str">
        <f aca="false">parametros_manuales!$B$33</f>
        <v>Secado</v>
      </c>
      <c r="B97" s="9" t="n">
        <f aca="false">(parametros_manuales!$D$33*('Plan mensual'!D35+IF(parametros_manuales!$H$33="Todos",'Plan mensual'!D39,0))+parametros_manuales!$E$33*('Plan mensual'!D36+IF(parametros_manuales!$H$33="Todos",'Plan mensual'!D40,0))+parametros_manuales!$F$33*('Plan mensual'!D37+IF(parametros_manuales!$H$33="Todos",'Plan mensual'!D41,0))+parametros_manuales!$G$33*('Plan mensual'!D38+IF(parametros_manuales!$H$33="Todos",'Plan mensual'!D42,0)))*parametros_manuales!$I$33*parametros_manuales!$J$33</f>
        <v>5775.02166399</v>
      </c>
      <c r="C97" s="9" t="n">
        <f aca="false">(parametros_manuales!$D$33*('Plan mensual'!E35+IF(parametros_manuales!$H$33="Todos",'Plan mensual'!E39,0))+parametros_manuales!$E$33*('Plan mensual'!E36+IF(parametros_manuales!$H$33="Todos",'Plan mensual'!E40,0))+parametros_manuales!$F$33*('Plan mensual'!E37+IF(parametros_manuales!$H$33="Todos",'Plan mensual'!E41,0))+parametros_manuales!$G$33*('Plan mensual'!E38+IF(parametros_manuales!$H$33="Todos",'Plan mensual'!E42,0)))*parametros_manuales!$I$33*parametros_manuales!$J$33</f>
        <v>4409.045717898</v>
      </c>
      <c r="D97" s="9" t="n">
        <f aca="false">(parametros_manuales!$D$33*('Plan mensual'!F35+IF(parametros_manuales!$H$33="Todos",'Plan mensual'!F39,0))+parametros_manuales!$E$33*('Plan mensual'!F36+IF(parametros_manuales!$H$33="Todos",'Plan mensual'!F40,0))+parametros_manuales!$F$33*('Plan mensual'!F37+IF(parametros_manuales!$H$33="Todos",'Plan mensual'!F41,0))+parametros_manuales!$G$33*('Plan mensual'!F38+IF(parametros_manuales!$H$33="Todos",'Plan mensual'!F42,0)))*parametros_manuales!$I$33*parametros_manuales!$J$33</f>
        <v>4135.2058323135</v>
      </c>
      <c r="E97" s="9" t="n">
        <f aca="false">(parametros_manuales!$D$33*('Plan mensual'!G35+IF(parametros_manuales!$H$33="Todos",'Plan mensual'!G39,0))+parametros_manuales!$E$33*('Plan mensual'!G36+IF(parametros_manuales!$H$33="Todos",'Plan mensual'!G40,0))+parametros_manuales!$F$33*('Plan mensual'!G37+IF(parametros_manuales!$H$33="Todos",'Plan mensual'!G41,0))+parametros_manuales!$G$33*('Plan mensual'!G38+IF(parametros_manuales!$H$33="Todos",'Plan mensual'!G42,0)))*parametros_manuales!$I$33*parametros_manuales!$J$33</f>
        <v>3959.3961545685</v>
      </c>
      <c r="F97" s="9" t="n">
        <f aca="false">(parametros_manuales!$D$33*('Plan mensual'!H35+IF(parametros_manuales!$H$33="Todos",'Plan mensual'!H39,0))+parametros_manuales!$E$33*('Plan mensual'!H36+IF(parametros_manuales!$H$33="Todos",'Plan mensual'!H40,0))+parametros_manuales!$F$33*('Plan mensual'!H37+IF(parametros_manuales!$H$33="Todos",'Plan mensual'!H41,0))+parametros_manuales!$G$33*('Plan mensual'!H38+IF(parametros_manuales!$H$33="Todos",'Plan mensual'!H42,0)))*parametros_manuales!$I$33*parametros_manuales!$J$33</f>
        <v>3705.807006918</v>
      </c>
      <c r="G97" s="9" t="n">
        <f aca="false">(parametros_manuales!$D$33*('Plan mensual'!I35+IF(parametros_manuales!$H$33="Todos",'Plan mensual'!I39,0))+parametros_manuales!$E$33*('Plan mensual'!I36+IF(parametros_manuales!$H$33="Todos",'Plan mensual'!I40,0))+parametros_manuales!$F$33*('Plan mensual'!I37+IF(parametros_manuales!$H$33="Todos",'Plan mensual'!I41,0))+parametros_manuales!$G$33*('Plan mensual'!I38+IF(parametros_manuales!$H$33="Todos",'Plan mensual'!I42,0)))*parametros_manuales!$I$33*parametros_manuales!$J$33</f>
        <v>3628.0275370125</v>
      </c>
      <c r="H97" s="9" t="n">
        <f aca="false">(parametros_manuales!$D$33*('Plan mensual'!J35+IF(parametros_manuales!$H$33="Todos",'Plan mensual'!J39,0))+parametros_manuales!$E$33*('Plan mensual'!J36+IF(parametros_manuales!$H$33="Todos",'Plan mensual'!J40,0))+parametros_manuales!$F$33*('Plan mensual'!J37+IF(parametros_manuales!$H$33="Todos",'Plan mensual'!J41,0))+parametros_manuales!$G$33*('Plan mensual'!J38+IF(parametros_manuales!$H$33="Todos",'Plan mensual'!J42,0)))*parametros_manuales!$I$33*parametros_manuales!$J$33</f>
        <v>3881.616684663</v>
      </c>
      <c r="I97" s="9" t="n">
        <f aca="false">(parametros_manuales!$D$33*('Plan mensual'!K35+IF(parametros_manuales!$H$33="Todos",'Plan mensual'!K39,0))+parametros_manuales!$E$33*('Plan mensual'!K36+IF(parametros_manuales!$H$33="Todos",'Plan mensual'!K40,0))+parametros_manuales!$F$33*('Plan mensual'!K37+IF(parametros_manuales!$H$33="Todos",'Plan mensual'!K41,0))+parametros_manuales!$G$33*('Plan mensual'!K38+IF(parametros_manuales!$H$33="Todos",'Plan mensual'!K42,0)))*parametros_manuales!$I$33*parametros_manuales!$J$33</f>
        <v>3881.616684663</v>
      </c>
      <c r="J97" s="9" t="n">
        <f aca="false">(parametros_manuales!$D$33*('Plan mensual'!L35+IF(parametros_manuales!$H$33="Todos",'Plan mensual'!L39,0))+parametros_manuales!$E$33*('Plan mensual'!L36+IF(parametros_manuales!$H$33="Todos",'Plan mensual'!L40,0))+parametros_manuales!$F$33*('Plan mensual'!L37+IF(parametros_manuales!$H$33="Todos",'Plan mensual'!L41,0))+parametros_manuales!$G$33*('Plan mensual'!L38+IF(parametros_manuales!$H$33="Todos",'Plan mensual'!L42,0)))*parametros_manuales!$I$33*parametros_manuales!$J$33</f>
        <v>3881.616684663</v>
      </c>
      <c r="K97" s="9" t="n">
        <f aca="false">(parametros_manuales!$D$33*('Plan mensual'!M35+IF(parametros_manuales!$H$33="Todos",'Plan mensual'!M39,0))+parametros_manuales!$E$33*('Plan mensual'!M36+IF(parametros_manuales!$H$33="Todos",'Plan mensual'!M40,0))+parametros_manuales!$F$33*('Plan mensual'!M37+IF(parametros_manuales!$H$33="Todos",'Plan mensual'!M41,0))+parametros_manuales!$G$33*('Plan mensual'!M38+IF(parametros_manuales!$H$33="Todos",'Plan mensual'!M42,0)))*parametros_manuales!$I$33*parametros_manuales!$J$33</f>
        <v>3803.8372147575</v>
      </c>
      <c r="L97" s="9" t="n">
        <f aca="false">(parametros_manuales!$D$33*('Plan mensual'!N35+IF(parametros_manuales!$H$33="Todos",'Plan mensual'!N39,0))+parametros_manuales!$E$33*('Plan mensual'!N36+IF(parametros_manuales!$H$33="Todos",'Plan mensual'!N40,0))+parametros_manuales!$F$33*('Plan mensual'!N37+IF(parametros_manuales!$H$33="Todos",'Plan mensual'!N41,0))+parametros_manuales!$G$33*('Plan mensual'!N38+IF(parametros_manuales!$H$33="Todos",'Plan mensual'!N42,0)))*parametros_manuales!$I$33*parametros_manuales!$J$33</f>
        <v>3726.057744852</v>
      </c>
      <c r="M97" s="9" t="n">
        <f aca="false">(parametros_manuales!$D$33*('Plan mensual'!O35+IF(parametros_manuales!$H$33="Todos",'Plan mensual'!O39,0))+parametros_manuales!$E$33*('Plan mensual'!O36+IF(parametros_manuales!$H$33="Todos",'Plan mensual'!O40,0))+parametros_manuales!$F$33*('Plan mensual'!O37+IF(parametros_manuales!$H$33="Todos",'Plan mensual'!O41,0))+parametros_manuales!$G$33*('Plan mensual'!O38+IF(parametros_manuales!$H$33="Todos",'Plan mensual'!O42,0)))*parametros_manuales!$I$33*parametros_manuales!$J$33</f>
        <v>5930.580603801</v>
      </c>
      <c r="N97" s="9" t="n">
        <f aca="false">SUM(B97:M97)</f>
        <v>50717.8295301</v>
      </c>
      <c r="O97" s="9" t="n">
        <f aca="false">MAX(B97:M97)</f>
        <v>5930.580603801</v>
      </c>
      <c r="P97" s="43" t="n">
        <f aca="false">O97/(parametros_manuales!$B$7)</f>
        <v>39.53720402534</v>
      </c>
      <c r="Q97" s="8" t="str">
        <f aca="false">IF(O97=0,"-",INDEX($B$82:$M$82,MATCH(O97,B97:M97,0)))</f>
        <v>Dic</v>
      </c>
    </row>
    <row r="98" customFormat="false" ht="14.25" hidden="false" customHeight="true" outlineLevel="0" collapsed="false">
      <c r="A98" s="8" t="str">
        <f aca="false">parametros_manuales!$B$34</f>
        <v>Granallado</v>
      </c>
      <c r="B98" s="9" t="n">
        <f aca="false">(parametros_manuales!$D$34*('Plan mensual'!D35+IF(parametros_manuales!$H$34="Todos",'Plan mensual'!D39,0))+parametros_manuales!$E$34*('Plan mensual'!D36+IF(parametros_manuales!$H$34="Todos",'Plan mensual'!D40,0))+parametros_manuales!$F$34*('Plan mensual'!D37+IF(parametros_manuales!$H$34="Todos",'Plan mensual'!D41,0))+parametros_manuales!$G$34*('Plan mensual'!D38+IF(parametros_manuales!$H$34="Todos",'Plan mensual'!D42,0)))*parametros_manuales!$I$34*parametros_manuales!$J$34</f>
        <v>5775.02166399</v>
      </c>
      <c r="C98" s="9" t="n">
        <f aca="false">(parametros_manuales!$D$34*('Plan mensual'!E35+IF(parametros_manuales!$H$34="Todos",'Plan mensual'!E39,0))+parametros_manuales!$E$34*('Plan mensual'!E36+IF(parametros_manuales!$H$34="Todos",'Plan mensual'!E40,0))+parametros_manuales!$F$34*('Plan mensual'!E37+IF(parametros_manuales!$H$34="Todos",'Plan mensual'!E41,0))+parametros_manuales!$G$34*('Plan mensual'!E38+IF(parametros_manuales!$H$34="Todos",'Plan mensual'!E42,0)))*parametros_manuales!$I$34*parametros_manuales!$J$34</f>
        <v>4409.045717898</v>
      </c>
      <c r="D98" s="9" t="n">
        <f aca="false">(parametros_manuales!$D$34*('Plan mensual'!F35+IF(parametros_manuales!$H$34="Todos",'Plan mensual'!F39,0))+parametros_manuales!$E$34*('Plan mensual'!F36+IF(parametros_manuales!$H$34="Todos",'Plan mensual'!F40,0))+parametros_manuales!$F$34*('Plan mensual'!F37+IF(parametros_manuales!$H$34="Todos",'Plan mensual'!F41,0))+parametros_manuales!$G$34*('Plan mensual'!F38+IF(parametros_manuales!$H$34="Todos",'Plan mensual'!F42,0)))*parametros_manuales!$I$34*parametros_manuales!$J$34</f>
        <v>4135.2058323135</v>
      </c>
      <c r="E98" s="9" t="n">
        <f aca="false">(parametros_manuales!$D$34*('Plan mensual'!G35+IF(parametros_manuales!$H$34="Todos",'Plan mensual'!G39,0))+parametros_manuales!$E$34*('Plan mensual'!G36+IF(parametros_manuales!$H$34="Todos",'Plan mensual'!G40,0))+parametros_manuales!$F$34*('Plan mensual'!G37+IF(parametros_manuales!$H$34="Todos",'Plan mensual'!G41,0))+parametros_manuales!$G$34*('Plan mensual'!G38+IF(parametros_manuales!$H$34="Todos",'Plan mensual'!G42,0)))*parametros_manuales!$I$34*parametros_manuales!$J$34</f>
        <v>3959.3961545685</v>
      </c>
      <c r="F98" s="9" t="n">
        <f aca="false">(parametros_manuales!$D$34*('Plan mensual'!H35+IF(parametros_manuales!$H$34="Todos",'Plan mensual'!H39,0))+parametros_manuales!$E$34*('Plan mensual'!H36+IF(parametros_manuales!$H$34="Todos",'Plan mensual'!H40,0))+parametros_manuales!$F$34*('Plan mensual'!H37+IF(parametros_manuales!$H$34="Todos",'Plan mensual'!H41,0))+parametros_manuales!$G$34*('Plan mensual'!H38+IF(parametros_manuales!$H$34="Todos",'Plan mensual'!H42,0)))*parametros_manuales!$I$34*parametros_manuales!$J$34</f>
        <v>3705.807006918</v>
      </c>
      <c r="G98" s="9" t="n">
        <f aca="false">(parametros_manuales!$D$34*('Plan mensual'!I35+IF(parametros_manuales!$H$34="Todos",'Plan mensual'!I39,0))+parametros_manuales!$E$34*('Plan mensual'!I36+IF(parametros_manuales!$H$34="Todos",'Plan mensual'!I40,0))+parametros_manuales!$F$34*('Plan mensual'!I37+IF(parametros_manuales!$H$34="Todos",'Plan mensual'!I41,0))+parametros_manuales!$G$34*('Plan mensual'!I38+IF(parametros_manuales!$H$34="Todos",'Plan mensual'!I42,0)))*parametros_manuales!$I$34*parametros_manuales!$J$34</f>
        <v>3628.0275370125</v>
      </c>
      <c r="H98" s="9" t="n">
        <f aca="false">(parametros_manuales!$D$34*('Plan mensual'!J35+IF(parametros_manuales!$H$34="Todos",'Plan mensual'!J39,0))+parametros_manuales!$E$34*('Plan mensual'!J36+IF(parametros_manuales!$H$34="Todos",'Plan mensual'!J40,0))+parametros_manuales!$F$34*('Plan mensual'!J37+IF(parametros_manuales!$H$34="Todos",'Plan mensual'!J41,0))+parametros_manuales!$G$34*('Plan mensual'!J38+IF(parametros_manuales!$H$34="Todos",'Plan mensual'!J42,0)))*parametros_manuales!$I$34*parametros_manuales!$J$34</f>
        <v>3881.616684663</v>
      </c>
      <c r="I98" s="9" t="n">
        <f aca="false">(parametros_manuales!$D$34*('Plan mensual'!K35+IF(parametros_manuales!$H$34="Todos",'Plan mensual'!K39,0))+parametros_manuales!$E$34*('Plan mensual'!K36+IF(parametros_manuales!$H$34="Todos",'Plan mensual'!K40,0))+parametros_manuales!$F$34*('Plan mensual'!K37+IF(parametros_manuales!$H$34="Todos",'Plan mensual'!K41,0))+parametros_manuales!$G$34*('Plan mensual'!K38+IF(parametros_manuales!$H$34="Todos",'Plan mensual'!K42,0)))*parametros_manuales!$I$34*parametros_manuales!$J$34</f>
        <v>3881.616684663</v>
      </c>
      <c r="J98" s="9" t="n">
        <f aca="false">(parametros_manuales!$D$34*('Plan mensual'!L35+IF(parametros_manuales!$H$34="Todos",'Plan mensual'!L39,0))+parametros_manuales!$E$34*('Plan mensual'!L36+IF(parametros_manuales!$H$34="Todos",'Plan mensual'!L40,0))+parametros_manuales!$F$34*('Plan mensual'!L37+IF(parametros_manuales!$H$34="Todos",'Plan mensual'!L41,0))+parametros_manuales!$G$34*('Plan mensual'!L38+IF(parametros_manuales!$H$34="Todos",'Plan mensual'!L42,0)))*parametros_manuales!$I$34*parametros_manuales!$J$34</f>
        <v>3881.616684663</v>
      </c>
      <c r="K98" s="9" t="n">
        <f aca="false">(parametros_manuales!$D$34*('Plan mensual'!M35+IF(parametros_manuales!$H$34="Todos",'Plan mensual'!M39,0))+parametros_manuales!$E$34*('Plan mensual'!M36+IF(parametros_manuales!$H$34="Todos",'Plan mensual'!M40,0))+parametros_manuales!$F$34*('Plan mensual'!M37+IF(parametros_manuales!$H$34="Todos",'Plan mensual'!M41,0))+parametros_manuales!$G$34*('Plan mensual'!M38+IF(parametros_manuales!$H$34="Todos",'Plan mensual'!M42,0)))*parametros_manuales!$I$34*parametros_manuales!$J$34</f>
        <v>3803.8372147575</v>
      </c>
      <c r="L98" s="9" t="n">
        <f aca="false">(parametros_manuales!$D$34*('Plan mensual'!N35+IF(parametros_manuales!$H$34="Todos",'Plan mensual'!N39,0))+parametros_manuales!$E$34*('Plan mensual'!N36+IF(parametros_manuales!$H$34="Todos",'Plan mensual'!N40,0))+parametros_manuales!$F$34*('Plan mensual'!N37+IF(parametros_manuales!$H$34="Todos",'Plan mensual'!N41,0))+parametros_manuales!$G$34*('Plan mensual'!N38+IF(parametros_manuales!$H$34="Todos",'Plan mensual'!N42,0)))*parametros_manuales!$I$34*parametros_manuales!$J$34</f>
        <v>3726.057744852</v>
      </c>
      <c r="M98" s="9" t="n">
        <f aca="false">(parametros_manuales!$D$34*('Plan mensual'!O35+IF(parametros_manuales!$H$34="Todos",'Plan mensual'!O39,0))+parametros_manuales!$E$34*('Plan mensual'!O36+IF(parametros_manuales!$H$34="Todos",'Plan mensual'!O40,0))+parametros_manuales!$F$34*('Plan mensual'!O37+IF(parametros_manuales!$H$34="Todos",'Plan mensual'!O41,0))+parametros_manuales!$G$34*('Plan mensual'!O38+IF(parametros_manuales!$H$34="Todos",'Plan mensual'!O42,0)))*parametros_manuales!$I$34*parametros_manuales!$J$34</f>
        <v>5930.580603801</v>
      </c>
      <c r="N98" s="9" t="n">
        <f aca="false">SUM(B98:M98)</f>
        <v>50717.8295301</v>
      </c>
      <c r="O98" s="9" t="n">
        <f aca="false">MAX(B98:M98)</f>
        <v>5930.580603801</v>
      </c>
      <c r="P98" s="43" t="n">
        <f aca="false">O98/(parametros_manuales!$B$7)</f>
        <v>39.53720402534</v>
      </c>
      <c r="Q98" s="8" t="str">
        <f aca="false">IF(O98=0,"-",INDEX($B$82:$M$82,MATCH(O98,B98:M98,0)))</f>
        <v>Dic</v>
      </c>
    </row>
    <row r="99" customFormat="false" ht="14.25" hidden="false" customHeight="true" outlineLevel="0" collapsed="false">
      <c r="A99" s="8" t="str">
        <f aca="false">parametros_manuales!$B$35</f>
        <v>Detección de defectos</v>
      </c>
      <c r="B99" s="9" t="n">
        <f aca="false">(parametros_manuales!$D$35*('Plan mensual'!D35+IF(parametros_manuales!$H$35="Todos",'Plan mensual'!D39,0))+parametros_manuales!$E$35*('Plan mensual'!D36+IF(parametros_manuales!$H$35="Todos",'Plan mensual'!D40,0))+parametros_manuales!$F$35*('Plan mensual'!D37+IF(parametros_manuales!$H$35="Todos",'Plan mensual'!D41,0))+parametros_manuales!$G$35*('Plan mensual'!D38+IF(parametros_manuales!$H$35="Todos",'Plan mensual'!D42,0)))*parametros_manuales!$I$35*parametros_manuales!$J$35</f>
        <v>5775.02166399</v>
      </c>
      <c r="C99" s="9" t="n">
        <f aca="false">(parametros_manuales!$D$35*('Plan mensual'!E35+IF(parametros_manuales!$H$35="Todos",'Plan mensual'!E39,0))+parametros_manuales!$E$35*('Plan mensual'!E36+IF(parametros_manuales!$H$35="Todos",'Plan mensual'!E40,0))+parametros_manuales!$F$35*('Plan mensual'!E37+IF(parametros_manuales!$H$35="Todos",'Plan mensual'!E41,0))+parametros_manuales!$G$35*('Plan mensual'!E38+IF(parametros_manuales!$H$35="Todos",'Plan mensual'!E42,0)))*parametros_manuales!$I$35*parametros_manuales!$J$35</f>
        <v>4409.045717898</v>
      </c>
      <c r="D99" s="9" t="n">
        <f aca="false">(parametros_manuales!$D$35*('Plan mensual'!F35+IF(parametros_manuales!$H$35="Todos",'Plan mensual'!F39,0))+parametros_manuales!$E$35*('Plan mensual'!F36+IF(parametros_manuales!$H$35="Todos",'Plan mensual'!F40,0))+parametros_manuales!$F$35*('Plan mensual'!F37+IF(parametros_manuales!$H$35="Todos",'Plan mensual'!F41,0))+parametros_manuales!$G$35*('Plan mensual'!F38+IF(parametros_manuales!$H$35="Todos",'Plan mensual'!F42,0)))*parametros_manuales!$I$35*parametros_manuales!$J$35</f>
        <v>4135.2058323135</v>
      </c>
      <c r="E99" s="9" t="n">
        <f aca="false">(parametros_manuales!$D$35*('Plan mensual'!G35+IF(parametros_manuales!$H$35="Todos",'Plan mensual'!G39,0))+parametros_manuales!$E$35*('Plan mensual'!G36+IF(parametros_manuales!$H$35="Todos",'Plan mensual'!G40,0))+parametros_manuales!$F$35*('Plan mensual'!G37+IF(parametros_manuales!$H$35="Todos",'Plan mensual'!G41,0))+parametros_manuales!$G$35*('Plan mensual'!G38+IF(parametros_manuales!$H$35="Todos",'Plan mensual'!G42,0)))*parametros_manuales!$I$35*parametros_manuales!$J$35</f>
        <v>3959.3961545685</v>
      </c>
      <c r="F99" s="9" t="n">
        <f aca="false">(parametros_manuales!$D$35*('Plan mensual'!H35+IF(parametros_manuales!$H$35="Todos",'Plan mensual'!H39,0))+parametros_manuales!$E$35*('Plan mensual'!H36+IF(parametros_manuales!$H$35="Todos",'Plan mensual'!H40,0))+parametros_manuales!$F$35*('Plan mensual'!H37+IF(parametros_manuales!$H$35="Todos",'Plan mensual'!H41,0))+parametros_manuales!$G$35*('Plan mensual'!H38+IF(parametros_manuales!$H$35="Todos",'Plan mensual'!H42,0)))*parametros_manuales!$I$35*parametros_manuales!$J$35</f>
        <v>3705.807006918</v>
      </c>
      <c r="G99" s="9" t="n">
        <f aca="false">(parametros_manuales!$D$35*('Plan mensual'!I35+IF(parametros_manuales!$H$35="Todos",'Plan mensual'!I39,0))+parametros_manuales!$E$35*('Plan mensual'!I36+IF(parametros_manuales!$H$35="Todos",'Plan mensual'!I40,0))+parametros_manuales!$F$35*('Plan mensual'!I37+IF(parametros_manuales!$H$35="Todos",'Plan mensual'!I41,0))+parametros_manuales!$G$35*('Plan mensual'!I38+IF(parametros_manuales!$H$35="Todos",'Plan mensual'!I42,0)))*parametros_manuales!$I$35*parametros_manuales!$J$35</f>
        <v>3628.0275370125</v>
      </c>
      <c r="H99" s="9" t="n">
        <f aca="false">(parametros_manuales!$D$35*('Plan mensual'!J35+IF(parametros_manuales!$H$35="Todos",'Plan mensual'!J39,0))+parametros_manuales!$E$35*('Plan mensual'!J36+IF(parametros_manuales!$H$35="Todos",'Plan mensual'!J40,0))+parametros_manuales!$F$35*('Plan mensual'!J37+IF(parametros_manuales!$H$35="Todos",'Plan mensual'!J41,0))+parametros_manuales!$G$35*('Plan mensual'!J38+IF(parametros_manuales!$H$35="Todos",'Plan mensual'!J42,0)))*parametros_manuales!$I$35*parametros_manuales!$J$35</f>
        <v>3881.616684663</v>
      </c>
      <c r="I99" s="9" t="n">
        <f aca="false">(parametros_manuales!$D$35*('Plan mensual'!K35+IF(parametros_manuales!$H$35="Todos",'Plan mensual'!K39,0))+parametros_manuales!$E$35*('Plan mensual'!K36+IF(parametros_manuales!$H$35="Todos",'Plan mensual'!K40,0))+parametros_manuales!$F$35*('Plan mensual'!K37+IF(parametros_manuales!$H$35="Todos",'Plan mensual'!K41,0))+parametros_manuales!$G$35*('Plan mensual'!K38+IF(parametros_manuales!$H$35="Todos",'Plan mensual'!K42,0)))*parametros_manuales!$I$35*parametros_manuales!$J$35</f>
        <v>3881.616684663</v>
      </c>
      <c r="J99" s="9" t="n">
        <f aca="false">(parametros_manuales!$D$35*('Plan mensual'!L35+IF(parametros_manuales!$H$35="Todos",'Plan mensual'!L39,0))+parametros_manuales!$E$35*('Plan mensual'!L36+IF(parametros_manuales!$H$35="Todos",'Plan mensual'!L40,0))+parametros_manuales!$F$35*('Plan mensual'!L37+IF(parametros_manuales!$H$35="Todos",'Plan mensual'!L41,0))+parametros_manuales!$G$35*('Plan mensual'!L38+IF(parametros_manuales!$H$35="Todos",'Plan mensual'!L42,0)))*parametros_manuales!$I$35*parametros_manuales!$J$35</f>
        <v>3881.616684663</v>
      </c>
      <c r="K99" s="9" t="n">
        <f aca="false">(parametros_manuales!$D$35*('Plan mensual'!M35+IF(parametros_manuales!$H$35="Todos",'Plan mensual'!M39,0))+parametros_manuales!$E$35*('Plan mensual'!M36+IF(parametros_manuales!$H$35="Todos",'Plan mensual'!M40,0))+parametros_manuales!$F$35*('Plan mensual'!M37+IF(parametros_manuales!$H$35="Todos",'Plan mensual'!M41,0))+parametros_manuales!$G$35*('Plan mensual'!M38+IF(parametros_manuales!$H$35="Todos",'Plan mensual'!M42,0)))*parametros_manuales!$I$35*parametros_manuales!$J$35</f>
        <v>3803.8372147575</v>
      </c>
      <c r="L99" s="9" t="n">
        <f aca="false">(parametros_manuales!$D$35*('Plan mensual'!N35+IF(parametros_manuales!$H$35="Todos",'Plan mensual'!N39,0))+parametros_manuales!$E$35*('Plan mensual'!N36+IF(parametros_manuales!$H$35="Todos",'Plan mensual'!N40,0))+parametros_manuales!$F$35*('Plan mensual'!N37+IF(parametros_manuales!$H$35="Todos",'Plan mensual'!N41,0))+parametros_manuales!$G$35*('Plan mensual'!N38+IF(parametros_manuales!$H$35="Todos",'Plan mensual'!N42,0)))*parametros_manuales!$I$35*parametros_manuales!$J$35</f>
        <v>3726.057744852</v>
      </c>
      <c r="M99" s="9" t="n">
        <f aca="false">(parametros_manuales!$D$35*('Plan mensual'!O35+IF(parametros_manuales!$H$35="Todos",'Plan mensual'!O39,0))+parametros_manuales!$E$35*('Plan mensual'!O36+IF(parametros_manuales!$H$35="Todos",'Plan mensual'!O40,0))+parametros_manuales!$F$35*('Plan mensual'!O37+IF(parametros_manuales!$H$35="Todos",'Plan mensual'!O41,0))+parametros_manuales!$G$35*('Plan mensual'!O38+IF(parametros_manuales!$H$35="Todos",'Plan mensual'!O42,0)))*parametros_manuales!$I$35*parametros_manuales!$J$35</f>
        <v>5930.580603801</v>
      </c>
      <c r="N99" s="9" t="n">
        <f aca="false">SUM(B99:M99)</f>
        <v>50717.8295301</v>
      </c>
      <c r="O99" s="9" t="n">
        <f aca="false">MAX(B99:M99)</f>
        <v>5930.580603801</v>
      </c>
      <c r="P99" s="43" t="n">
        <f aca="false">O99/(parametros_manuales!$B$7)</f>
        <v>39.53720402534</v>
      </c>
      <c r="Q99" s="8" t="str">
        <f aca="false">IF(O99=0,"-",INDEX($B$82:$M$82,MATCH(O99,B99:M99,0)))</f>
        <v>Dic</v>
      </c>
    </row>
    <row r="100" customFormat="false" ht="14.25" hidden="false" customHeight="true" outlineLevel="0" collapsed="false">
      <c r="A100" s="8" t="str">
        <f aca="false">parametros_manuales!$B$36</f>
        <v>Corrección de defectos</v>
      </c>
      <c r="B100" s="9" t="n">
        <f aca="false">(parametros_manuales!$D$36*('Plan mensual'!D35+IF(parametros_manuales!$H$36="Todos",'Plan mensual'!D39,0))+parametros_manuales!$E$36*('Plan mensual'!D36+IF(parametros_manuales!$H$36="Todos",'Plan mensual'!D40,0))+parametros_manuales!$F$36*('Plan mensual'!D37+IF(parametros_manuales!$H$36="Todos",'Plan mensual'!D41,0))+parametros_manuales!$G$36*('Plan mensual'!D38+IF(parametros_manuales!$H$36="Todos",'Plan mensual'!D42,0)))*parametros_manuales!$I$36*parametros_manuales!$J$36</f>
        <v>288.7510831995</v>
      </c>
      <c r="C100" s="9" t="n">
        <f aca="false">(parametros_manuales!$D$36*('Plan mensual'!E35+IF(parametros_manuales!$H$36="Todos",'Plan mensual'!E39,0))+parametros_manuales!$E$36*('Plan mensual'!E36+IF(parametros_manuales!$H$36="Todos",'Plan mensual'!E40,0))+parametros_manuales!$F$36*('Plan mensual'!E37+IF(parametros_manuales!$H$36="Todos",'Plan mensual'!E41,0))+parametros_manuales!$G$36*('Plan mensual'!E38+IF(parametros_manuales!$H$36="Todos",'Plan mensual'!E42,0)))*parametros_manuales!$I$36*parametros_manuales!$J$36</f>
        <v>220.4522858949</v>
      </c>
      <c r="D100" s="9" t="n">
        <f aca="false">(parametros_manuales!$D$36*('Plan mensual'!F35+IF(parametros_manuales!$H$36="Todos",'Plan mensual'!F39,0))+parametros_manuales!$E$36*('Plan mensual'!F36+IF(parametros_manuales!$H$36="Todos",'Plan mensual'!F40,0))+parametros_manuales!$F$36*('Plan mensual'!F37+IF(parametros_manuales!$H$36="Todos",'Plan mensual'!F41,0))+parametros_manuales!$G$36*('Plan mensual'!F38+IF(parametros_manuales!$H$36="Todos",'Plan mensual'!F42,0)))*parametros_manuales!$I$36*parametros_manuales!$J$36</f>
        <v>206.760291615675</v>
      </c>
      <c r="E100" s="9" t="n">
        <f aca="false">(parametros_manuales!$D$36*('Plan mensual'!G35+IF(parametros_manuales!$H$36="Todos",'Plan mensual'!G39,0))+parametros_manuales!$E$36*('Plan mensual'!G36+IF(parametros_manuales!$H$36="Todos",'Plan mensual'!G40,0))+parametros_manuales!$F$36*('Plan mensual'!G37+IF(parametros_manuales!$H$36="Todos",'Plan mensual'!G41,0))+parametros_manuales!$G$36*('Plan mensual'!G38+IF(parametros_manuales!$H$36="Todos",'Plan mensual'!G42,0)))*parametros_manuales!$I$36*parametros_manuales!$J$36</f>
        <v>197.969807728425</v>
      </c>
      <c r="F100" s="9" t="n">
        <f aca="false">(parametros_manuales!$D$36*('Plan mensual'!H35+IF(parametros_manuales!$H$36="Todos",'Plan mensual'!H39,0))+parametros_manuales!$E$36*('Plan mensual'!H36+IF(parametros_manuales!$H$36="Todos",'Plan mensual'!H40,0))+parametros_manuales!$F$36*('Plan mensual'!H37+IF(parametros_manuales!$H$36="Todos",'Plan mensual'!H41,0))+parametros_manuales!$G$36*('Plan mensual'!H38+IF(parametros_manuales!$H$36="Todos",'Plan mensual'!H42,0)))*parametros_manuales!$I$36*parametros_manuales!$J$36</f>
        <v>185.2903503459</v>
      </c>
      <c r="G100" s="9" t="n">
        <f aca="false">(parametros_manuales!$D$36*('Plan mensual'!I35+IF(parametros_manuales!$H$36="Todos",'Plan mensual'!I39,0))+parametros_manuales!$E$36*('Plan mensual'!I36+IF(parametros_manuales!$H$36="Todos",'Plan mensual'!I40,0))+parametros_manuales!$F$36*('Plan mensual'!I37+IF(parametros_manuales!$H$36="Todos",'Plan mensual'!I41,0))+parametros_manuales!$G$36*('Plan mensual'!I38+IF(parametros_manuales!$H$36="Todos",'Plan mensual'!I42,0)))*parametros_manuales!$I$36*parametros_manuales!$J$36</f>
        <v>181.401376850625</v>
      </c>
      <c r="H100" s="9" t="n">
        <f aca="false">(parametros_manuales!$D$36*('Plan mensual'!J35+IF(parametros_manuales!$H$36="Todos",'Plan mensual'!J39,0))+parametros_manuales!$E$36*('Plan mensual'!J36+IF(parametros_manuales!$H$36="Todos",'Plan mensual'!J40,0))+parametros_manuales!$F$36*('Plan mensual'!J37+IF(parametros_manuales!$H$36="Todos",'Plan mensual'!J41,0))+parametros_manuales!$G$36*('Plan mensual'!J38+IF(parametros_manuales!$H$36="Todos",'Plan mensual'!J42,0)))*parametros_manuales!$I$36*parametros_manuales!$J$36</f>
        <v>194.08083423315</v>
      </c>
      <c r="I100" s="9" t="n">
        <f aca="false">(parametros_manuales!$D$36*('Plan mensual'!K35+IF(parametros_manuales!$H$36="Todos",'Plan mensual'!K39,0))+parametros_manuales!$E$36*('Plan mensual'!K36+IF(parametros_manuales!$H$36="Todos",'Plan mensual'!K40,0))+parametros_manuales!$F$36*('Plan mensual'!K37+IF(parametros_manuales!$H$36="Todos",'Plan mensual'!K41,0))+parametros_manuales!$G$36*('Plan mensual'!K38+IF(parametros_manuales!$H$36="Todos",'Plan mensual'!K42,0)))*parametros_manuales!$I$36*parametros_manuales!$J$36</f>
        <v>194.08083423315</v>
      </c>
      <c r="J100" s="9" t="n">
        <f aca="false">(parametros_manuales!$D$36*('Plan mensual'!L35+IF(parametros_manuales!$H$36="Todos",'Plan mensual'!L39,0))+parametros_manuales!$E$36*('Plan mensual'!L36+IF(parametros_manuales!$H$36="Todos",'Plan mensual'!L40,0))+parametros_manuales!$F$36*('Plan mensual'!L37+IF(parametros_manuales!$H$36="Todos",'Plan mensual'!L41,0))+parametros_manuales!$G$36*('Plan mensual'!L38+IF(parametros_manuales!$H$36="Todos",'Plan mensual'!L42,0)))*parametros_manuales!$I$36*parametros_manuales!$J$36</f>
        <v>194.08083423315</v>
      </c>
      <c r="K100" s="9" t="n">
        <f aca="false">(parametros_manuales!$D$36*('Plan mensual'!M35+IF(parametros_manuales!$H$36="Todos",'Plan mensual'!M39,0))+parametros_manuales!$E$36*('Plan mensual'!M36+IF(parametros_manuales!$H$36="Todos",'Plan mensual'!M40,0))+parametros_manuales!$F$36*('Plan mensual'!M37+IF(parametros_manuales!$H$36="Todos",'Plan mensual'!M41,0))+parametros_manuales!$G$36*('Plan mensual'!M38+IF(parametros_manuales!$H$36="Todos",'Plan mensual'!M42,0)))*parametros_manuales!$I$36*parametros_manuales!$J$36</f>
        <v>190.191860737875</v>
      </c>
      <c r="L100" s="9" t="n">
        <f aca="false">(parametros_manuales!$D$36*('Plan mensual'!N35+IF(parametros_manuales!$H$36="Todos",'Plan mensual'!N39,0))+parametros_manuales!$E$36*('Plan mensual'!N36+IF(parametros_manuales!$H$36="Todos",'Plan mensual'!N40,0))+parametros_manuales!$F$36*('Plan mensual'!N37+IF(parametros_manuales!$H$36="Todos",'Plan mensual'!N41,0))+parametros_manuales!$G$36*('Plan mensual'!N38+IF(parametros_manuales!$H$36="Todos",'Plan mensual'!N42,0)))*parametros_manuales!$I$36*parametros_manuales!$J$36</f>
        <v>186.3028872426</v>
      </c>
      <c r="M100" s="9" t="n">
        <f aca="false">(parametros_manuales!$D$36*('Plan mensual'!O35+IF(parametros_manuales!$H$36="Todos",'Plan mensual'!O39,0))+parametros_manuales!$E$36*('Plan mensual'!O36+IF(parametros_manuales!$H$36="Todos",'Plan mensual'!O40,0))+parametros_manuales!$F$36*('Plan mensual'!O37+IF(parametros_manuales!$H$36="Todos",'Plan mensual'!O41,0))+parametros_manuales!$G$36*('Plan mensual'!O38+IF(parametros_manuales!$H$36="Todos",'Plan mensual'!O42,0)))*parametros_manuales!$I$36*parametros_manuales!$J$36</f>
        <v>296.52903019005</v>
      </c>
      <c r="N100" s="9" t="n">
        <f aca="false">SUM(B100:M100)</f>
        <v>2535.891476505</v>
      </c>
      <c r="O100" s="9" t="n">
        <f aca="false">MAX(B100:M100)</f>
        <v>296.52903019005</v>
      </c>
      <c r="P100" s="43" t="n">
        <f aca="false">O100/(parametros_manuales!$B$7)</f>
        <v>1.976860201267</v>
      </c>
      <c r="Q100" s="8" t="str">
        <f aca="false">IF(O100=0,"-",INDEX($B$82:$M$82,MATCH(O100,B100:M100,0)))</f>
        <v>Dic</v>
      </c>
    </row>
    <row r="101" customFormat="false" ht="14.25" hidden="false" customHeight="true" outlineLevel="0" collapsed="false">
      <c r="A101" s="8" t="str">
        <f aca="false">parametros_manuales!$B$37</f>
        <v>Pintura en polvo + horno</v>
      </c>
      <c r="B101" s="9" t="n">
        <f aca="false">(parametros_manuales!$D$37*('Plan mensual'!D35+IF(parametros_manuales!$H$37="Todos",'Plan mensual'!D39,0))+parametros_manuales!$E$37*('Plan mensual'!D36+IF(parametros_manuales!$H$37="Todos",'Plan mensual'!D40,0))+parametros_manuales!$F$37*('Plan mensual'!D37+IF(parametros_manuales!$H$37="Todos",'Plan mensual'!D41,0))+parametros_manuales!$G$37*('Plan mensual'!D38+IF(parametros_manuales!$H$37="Todos",'Plan mensual'!D42,0)))*parametros_manuales!$I$37*parametros_manuales!$J$37</f>
        <v>5775.02166399</v>
      </c>
      <c r="C101" s="9" t="n">
        <f aca="false">(parametros_manuales!$D$37*('Plan mensual'!E35+IF(parametros_manuales!$H$37="Todos",'Plan mensual'!E39,0))+parametros_manuales!$E$37*('Plan mensual'!E36+IF(parametros_manuales!$H$37="Todos",'Plan mensual'!E40,0))+parametros_manuales!$F$37*('Plan mensual'!E37+IF(parametros_manuales!$H$37="Todos",'Plan mensual'!E41,0))+parametros_manuales!$G$37*('Plan mensual'!E38+IF(parametros_manuales!$H$37="Todos",'Plan mensual'!E42,0)))*parametros_manuales!$I$37*parametros_manuales!$J$37</f>
        <v>4409.045717898</v>
      </c>
      <c r="D101" s="9" t="n">
        <f aca="false">(parametros_manuales!$D$37*('Plan mensual'!F35+IF(parametros_manuales!$H$37="Todos",'Plan mensual'!F39,0))+parametros_manuales!$E$37*('Plan mensual'!F36+IF(parametros_manuales!$H$37="Todos",'Plan mensual'!F40,0))+parametros_manuales!$F$37*('Plan mensual'!F37+IF(parametros_manuales!$H$37="Todos",'Plan mensual'!F41,0))+parametros_manuales!$G$37*('Plan mensual'!F38+IF(parametros_manuales!$H$37="Todos",'Plan mensual'!F42,0)))*parametros_manuales!$I$37*parametros_manuales!$J$37</f>
        <v>4135.2058323135</v>
      </c>
      <c r="E101" s="9" t="n">
        <f aca="false">(parametros_manuales!$D$37*('Plan mensual'!G35+IF(parametros_manuales!$H$37="Todos",'Plan mensual'!G39,0))+parametros_manuales!$E$37*('Plan mensual'!G36+IF(parametros_manuales!$H$37="Todos",'Plan mensual'!G40,0))+parametros_manuales!$F$37*('Plan mensual'!G37+IF(parametros_manuales!$H$37="Todos",'Plan mensual'!G41,0))+parametros_manuales!$G$37*('Plan mensual'!G38+IF(parametros_manuales!$H$37="Todos",'Plan mensual'!G42,0)))*parametros_manuales!$I$37*parametros_manuales!$J$37</f>
        <v>3959.3961545685</v>
      </c>
      <c r="F101" s="9" t="n">
        <f aca="false">(parametros_manuales!$D$37*('Plan mensual'!H35+IF(parametros_manuales!$H$37="Todos",'Plan mensual'!H39,0))+parametros_manuales!$E$37*('Plan mensual'!H36+IF(parametros_manuales!$H$37="Todos",'Plan mensual'!H40,0))+parametros_manuales!$F$37*('Plan mensual'!H37+IF(parametros_manuales!$H$37="Todos",'Plan mensual'!H41,0))+parametros_manuales!$G$37*('Plan mensual'!H38+IF(parametros_manuales!$H$37="Todos",'Plan mensual'!H42,0)))*parametros_manuales!$I$37*parametros_manuales!$J$37</f>
        <v>3705.807006918</v>
      </c>
      <c r="G101" s="9" t="n">
        <f aca="false">(parametros_manuales!$D$37*('Plan mensual'!I35+IF(parametros_manuales!$H$37="Todos",'Plan mensual'!I39,0))+parametros_manuales!$E$37*('Plan mensual'!I36+IF(parametros_manuales!$H$37="Todos",'Plan mensual'!I40,0))+parametros_manuales!$F$37*('Plan mensual'!I37+IF(parametros_manuales!$H$37="Todos",'Plan mensual'!I41,0))+parametros_manuales!$G$37*('Plan mensual'!I38+IF(parametros_manuales!$H$37="Todos",'Plan mensual'!I42,0)))*parametros_manuales!$I$37*parametros_manuales!$J$37</f>
        <v>3628.0275370125</v>
      </c>
      <c r="H101" s="9" t="n">
        <f aca="false">(parametros_manuales!$D$37*('Plan mensual'!J35+IF(parametros_manuales!$H$37="Todos",'Plan mensual'!J39,0))+parametros_manuales!$E$37*('Plan mensual'!J36+IF(parametros_manuales!$H$37="Todos",'Plan mensual'!J40,0))+parametros_manuales!$F$37*('Plan mensual'!J37+IF(parametros_manuales!$H$37="Todos",'Plan mensual'!J41,0))+parametros_manuales!$G$37*('Plan mensual'!J38+IF(parametros_manuales!$H$37="Todos",'Plan mensual'!J42,0)))*parametros_manuales!$I$37*parametros_manuales!$J$37</f>
        <v>3881.616684663</v>
      </c>
      <c r="I101" s="9" t="n">
        <f aca="false">(parametros_manuales!$D$37*('Plan mensual'!K35+IF(parametros_manuales!$H$37="Todos",'Plan mensual'!K39,0))+parametros_manuales!$E$37*('Plan mensual'!K36+IF(parametros_manuales!$H$37="Todos",'Plan mensual'!K40,0))+parametros_manuales!$F$37*('Plan mensual'!K37+IF(parametros_manuales!$H$37="Todos",'Plan mensual'!K41,0))+parametros_manuales!$G$37*('Plan mensual'!K38+IF(parametros_manuales!$H$37="Todos",'Plan mensual'!K42,0)))*parametros_manuales!$I$37*parametros_manuales!$J$37</f>
        <v>3881.616684663</v>
      </c>
      <c r="J101" s="9" t="n">
        <f aca="false">(parametros_manuales!$D$37*('Plan mensual'!L35+IF(parametros_manuales!$H$37="Todos",'Plan mensual'!L39,0))+parametros_manuales!$E$37*('Plan mensual'!L36+IF(parametros_manuales!$H$37="Todos",'Plan mensual'!L40,0))+parametros_manuales!$F$37*('Plan mensual'!L37+IF(parametros_manuales!$H$37="Todos",'Plan mensual'!L41,0))+parametros_manuales!$G$37*('Plan mensual'!L38+IF(parametros_manuales!$H$37="Todos",'Plan mensual'!L42,0)))*parametros_manuales!$I$37*parametros_manuales!$J$37</f>
        <v>3881.616684663</v>
      </c>
      <c r="K101" s="9" t="n">
        <f aca="false">(parametros_manuales!$D$37*('Plan mensual'!M35+IF(parametros_manuales!$H$37="Todos",'Plan mensual'!M39,0))+parametros_manuales!$E$37*('Plan mensual'!M36+IF(parametros_manuales!$H$37="Todos",'Plan mensual'!M40,0))+parametros_manuales!$F$37*('Plan mensual'!M37+IF(parametros_manuales!$H$37="Todos",'Plan mensual'!M41,0))+parametros_manuales!$G$37*('Plan mensual'!M38+IF(parametros_manuales!$H$37="Todos",'Plan mensual'!M42,0)))*parametros_manuales!$I$37*parametros_manuales!$J$37</f>
        <v>3803.8372147575</v>
      </c>
      <c r="L101" s="9" t="n">
        <f aca="false">(parametros_manuales!$D$37*('Plan mensual'!N35+IF(parametros_manuales!$H$37="Todos",'Plan mensual'!N39,0))+parametros_manuales!$E$37*('Plan mensual'!N36+IF(parametros_manuales!$H$37="Todos",'Plan mensual'!N40,0))+parametros_manuales!$F$37*('Plan mensual'!N37+IF(parametros_manuales!$H$37="Todos",'Plan mensual'!N41,0))+parametros_manuales!$G$37*('Plan mensual'!N38+IF(parametros_manuales!$H$37="Todos",'Plan mensual'!N42,0)))*parametros_manuales!$I$37*parametros_manuales!$J$37</f>
        <v>3726.057744852</v>
      </c>
      <c r="M101" s="9" t="n">
        <f aca="false">(parametros_manuales!$D$37*('Plan mensual'!O35+IF(parametros_manuales!$H$37="Todos",'Plan mensual'!O39,0))+parametros_manuales!$E$37*('Plan mensual'!O36+IF(parametros_manuales!$H$37="Todos",'Plan mensual'!O40,0))+parametros_manuales!$F$37*('Plan mensual'!O37+IF(parametros_manuales!$H$37="Todos",'Plan mensual'!O41,0))+parametros_manuales!$G$37*('Plan mensual'!O38+IF(parametros_manuales!$H$37="Todos",'Plan mensual'!O42,0)))*parametros_manuales!$I$37*parametros_manuales!$J$37</f>
        <v>5930.580603801</v>
      </c>
      <c r="N101" s="9" t="n">
        <f aca="false">SUM(B101:M101)</f>
        <v>50717.8295301</v>
      </c>
      <c r="O101" s="9" t="n">
        <f aca="false">MAX(B101:M101)</f>
        <v>5930.580603801</v>
      </c>
      <c r="P101" s="43" t="n">
        <f aca="false">O101/(parametros_manuales!$B$7)</f>
        <v>39.53720402534</v>
      </c>
      <c r="Q101" s="8" t="str">
        <f aca="false">IF(O101=0,"-",INDEX($B$82:$M$82,MATCH(O101,B101:M101,0)))</f>
        <v>Dic</v>
      </c>
    </row>
    <row r="102" customFormat="false" ht="14.25" hidden="false" customHeight="true" outlineLevel="0" collapsed="false">
      <c r="A102" s="8" t="str">
        <f aca="false">parametros_manuales!$B$38</f>
        <v>Carga de polvo</v>
      </c>
      <c r="B102" s="9" t="n">
        <f aca="false">(parametros_manuales!$D$38*('Plan mensual'!D35+IF(parametros_manuales!$H$38="Todos",'Plan mensual'!D39,0))+parametros_manuales!$E$38*('Plan mensual'!D36+IF(parametros_manuales!$H$38="Todos",'Plan mensual'!D40,0))+parametros_manuales!$F$38*('Plan mensual'!D37+IF(parametros_manuales!$H$38="Todos",'Plan mensual'!D41,0))+parametros_manuales!$G$38*('Plan mensual'!D38+IF(parametros_manuales!$H$38="Todos",'Plan mensual'!D42,0)))*parametros_manuales!$I$38*parametros_manuales!$J$38</f>
        <v>1897.00566399</v>
      </c>
      <c r="C102" s="9" t="n">
        <f aca="false">(parametros_manuales!$D$38*('Plan mensual'!E35+IF(parametros_manuales!$H$38="Todos",'Plan mensual'!E39,0))+parametros_manuales!$E$38*('Plan mensual'!E36+IF(parametros_manuales!$H$38="Todos",'Plan mensual'!E40,0))+parametros_manuales!$F$38*('Plan mensual'!E37+IF(parametros_manuales!$H$38="Todos",'Plan mensual'!E41,0))+parametros_manuales!$G$38*('Plan mensual'!E38+IF(parametros_manuales!$H$38="Todos",'Plan mensual'!E42,0)))*parametros_manuales!$I$38*parametros_manuales!$J$38</f>
        <v>1466.801717898</v>
      </c>
      <c r="D102" s="9" t="n">
        <f aca="false">(parametros_manuales!$D$38*('Plan mensual'!F35+IF(parametros_manuales!$H$38="Todos",'Plan mensual'!F39,0))+parametros_manuales!$E$38*('Plan mensual'!F36+IF(parametros_manuales!$H$38="Todos",'Plan mensual'!F40,0))+parametros_manuales!$F$38*('Plan mensual'!F37+IF(parametros_manuales!$H$38="Todos",'Plan mensual'!F41,0))+parametros_manuales!$G$38*('Plan mensual'!F38+IF(parametros_manuales!$H$38="Todos",'Plan mensual'!F42,0)))*parametros_manuales!$I$38*parametros_manuales!$J$38</f>
        <v>1426.1778323135</v>
      </c>
      <c r="E102" s="9" t="n">
        <f aca="false">(parametros_manuales!$D$38*('Plan mensual'!G35+IF(parametros_manuales!$H$38="Todos",'Plan mensual'!G39,0))+parametros_manuales!$E$38*('Plan mensual'!G36+IF(parametros_manuales!$H$38="Todos",'Plan mensual'!G40,0))+parametros_manuales!$F$38*('Plan mensual'!G37+IF(parametros_manuales!$H$38="Todos",'Plan mensual'!G41,0))+parametros_manuales!$G$38*('Plan mensual'!G38+IF(parametros_manuales!$H$38="Todos",'Plan mensual'!G42,0)))*parametros_manuales!$I$38*parametros_manuales!$J$38</f>
        <v>1383.8421545685</v>
      </c>
      <c r="F102" s="9" t="n">
        <f aca="false">(parametros_manuales!$D$38*('Plan mensual'!H35+IF(parametros_manuales!$H$38="Todos",'Plan mensual'!H39,0))+parametros_manuales!$E$38*('Plan mensual'!H36+IF(parametros_manuales!$H$38="Todos",'Plan mensual'!H40,0))+parametros_manuales!$F$38*('Plan mensual'!H37+IF(parametros_manuales!$H$38="Todos",'Plan mensual'!H41,0))+parametros_manuales!$G$38*('Plan mensual'!H38+IF(parametros_manuales!$H$38="Todos",'Plan mensual'!H42,0)))*parametros_manuales!$I$38*parametros_manuales!$J$38</f>
        <v>1297.459006918</v>
      </c>
      <c r="G102" s="9" t="n">
        <f aca="false">(parametros_manuales!$D$38*('Plan mensual'!I35+IF(parametros_manuales!$H$38="Todos",'Plan mensual'!I39,0))+parametros_manuales!$E$38*('Plan mensual'!I36+IF(parametros_manuales!$H$38="Todos",'Plan mensual'!I40,0))+parametros_manuales!$F$38*('Plan mensual'!I37+IF(parametros_manuales!$H$38="Todos",'Plan mensual'!I41,0))+parametros_manuales!$G$38*('Plan mensual'!I38+IF(parametros_manuales!$H$38="Todos",'Plan mensual'!I42,0)))*parametros_manuales!$I$38*parametros_manuales!$J$38</f>
        <v>1253.4115370125</v>
      </c>
      <c r="H102" s="9" t="n">
        <f aca="false">(parametros_manuales!$D$38*('Plan mensual'!J35+IF(parametros_manuales!$H$38="Todos",'Plan mensual'!J39,0))+parametros_manuales!$E$38*('Plan mensual'!J36+IF(parametros_manuales!$H$38="Todos",'Plan mensual'!J40,0))+parametros_manuales!$F$38*('Plan mensual'!J37+IF(parametros_manuales!$H$38="Todos",'Plan mensual'!J41,0))+parametros_manuales!$G$38*('Plan mensual'!J38+IF(parametros_manuales!$H$38="Todos",'Plan mensual'!J42,0)))*parametros_manuales!$I$38*parametros_manuales!$J$38</f>
        <v>1339.794684663</v>
      </c>
      <c r="I102" s="9" t="n">
        <f aca="false">(parametros_manuales!$D$38*('Plan mensual'!K35+IF(parametros_manuales!$H$38="Todos",'Plan mensual'!K39,0))+parametros_manuales!$E$38*('Plan mensual'!K36+IF(parametros_manuales!$H$38="Todos",'Plan mensual'!K40,0))+parametros_manuales!$F$38*('Plan mensual'!K37+IF(parametros_manuales!$H$38="Todos",'Plan mensual'!K41,0))+parametros_manuales!$G$38*('Plan mensual'!K38+IF(parametros_manuales!$H$38="Todos",'Plan mensual'!K42,0)))*parametros_manuales!$I$38*parametros_manuales!$J$38</f>
        <v>1339.794684663</v>
      </c>
      <c r="J102" s="9" t="n">
        <f aca="false">(parametros_manuales!$D$38*('Plan mensual'!L35+IF(parametros_manuales!$H$38="Todos",'Plan mensual'!L39,0))+parametros_manuales!$E$38*('Plan mensual'!L36+IF(parametros_manuales!$H$38="Todos",'Plan mensual'!L40,0))+parametros_manuales!$F$38*('Plan mensual'!L37+IF(parametros_manuales!$H$38="Todos",'Plan mensual'!L41,0))+parametros_manuales!$G$38*('Plan mensual'!L38+IF(parametros_manuales!$H$38="Todos",'Plan mensual'!L42,0)))*parametros_manuales!$I$38*parametros_manuales!$J$38</f>
        <v>1339.794684663</v>
      </c>
      <c r="K102" s="9" t="n">
        <f aca="false">(parametros_manuales!$D$38*('Plan mensual'!M35+IF(parametros_manuales!$H$38="Todos",'Plan mensual'!M39,0))+parametros_manuales!$E$38*('Plan mensual'!M36+IF(parametros_manuales!$H$38="Todos",'Plan mensual'!M40,0))+parametros_manuales!$F$38*('Plan mensual'!M37+IF(parametros_manuales!$H$38="Todos",'Plan mensual'!M41,0))+parametros_manuales!$G$38*('Plan mensual'!M38+IF(parametros_manuales!$H$38="Todos",'Plan mensual'!M42,0)))*parametros_manuales!$I$38*parametros_manuales!$J$38</f>
        <v>1295.7472147575</v>
      </c>
      <c r="L102" s="9" t="n">
        <f aca="false">(parametros_manuales!$D$38*('Plan mensual'!N35+IF(parametros_manuales!$H$38="Todos",'Plan mensual'!N39,0))+parametros_manuales!$E$38*('Plan mensual'!N36+IF(parametros_manuales!$H$38="Todos",'Plan mensual'!N40,0))+parametros_manuales!$F$38*('Plan mensual'!N37+IF(parametros_manuales!$H$38="Todos",'Plan mensual'!N41,0))+parametros_manuales!$G$38*('Plan mensual'!N38+IF(parametros_manuales!$H$38="Todos",'Plan mensual'!N42,0)))*parametros_manuales!$I$38*parametros_manuales!$J$38</f>
        <v>1251.699744852</v>
      </c>
      <c r="M102" s="9" t="n">
        <f aca="false">(parametros_manuales!$D$38*('Plan mensual'!O35+IF(parametros_manuales!$H$38="Todos",'Plan mensual'!O39,0))+parametros_manuales!$E$38*('Plan mensual'!O36+IF(parametros_manuales!$H$38="Todos",'Plan mensual'!O40,0))+parametros_manuales!$F$38*('Plan mensual'!O37+IF(parametros_manuales!$H$38="Todos",'Plan mensual'!O41,0))+parametros_manuales!$G$38*('Plan mensual'!O38+IF(parametros_manuales!$H$38="Todos",'Plan mensual'!O42,0)))*parametros_manuales!$I$38*parametros_manuales!$J$38</f>
        <v>1985.100603801</v>
      </c>
      <c r="N102" s="9" t="n">
        <f aca="false">SUM(B102:M102)</f>
        <v>17276.6295301</v>
      </c>
      <c r="O102" s="9" t="n">
        <f aca="false">MAX(B102:M102)</f>
        <v>1985.100603801</v>
      </c>
      <c r="P102" s="43" t="n">
        <f aca="false">O102/(parametros_manuales!$B$7)</f>
        <v>13.23400402534</v>
      </c>
      <c r="Q102" s="8" t="str">
        <f aca="false">IF(O102=0,"-",INDEX($B$82:$M$82,MATCH(O102,B102:M102,0)))</f>
        <v>Dic</v>
      </c>
    </row>
    <row r="103" customFormat="false" ht="14.25" hidden="false" customHeight="true" outlineLevel="0" collapsed="false">
      <c r="A103" s="8" t="str">
        <f aca="false">parametros_manuales!$B$39</f>
        <v>Ensamblaje</v>
      </c>
      <c r="B103" s="9" t="n">
        <f aca="false">(parametros_manuales!$D$39*('Plan mensual'!D35+IF(parametros_manuales!$H$39="Todos",'Plan mensual'!D39,0))+parametros_manuales!$E$39*('Plan mensual'!D36+IF(parametros_manuales!$H$39="Todos",'Plan mensual'!D40,0))+parametros_manuales!$F$39*('Plan mensual'!D37+IF(parametros_manuales!$H$39="Todos",'Plan mensual'!D41,0))+parametros_manuales!$G$39*('Plan mensual'!D38+IF(parametros_manuales!$H$39="Todos",'Plan mensual'!D42,0)))*parametros_manuales!$I$39*parametros_manuales!$J$39</f>
        <v>1897.00566399</v>
      </c>
      <c r="C103" s="9" t="n">
        <f aca="false">(parametros_manuales!$D$39*('Plan mensual'!E35+IF(parametros_manuales!$H$39="Todos",'Plan mensual'!E39,0))+parametros_manuales!$E$39*('Plan mensual'!E36+IF(parametros_manuales!$H$39="Todos",'Plan mensual'!E40,0))+parametros_manuales!$F$39*('Plan mensual'!E37+IF(parametros_manuales!$H$39="Todos",'Plan mensual'!E41,0))+parametros_manuales!$G$39*('Plan mensual'!E38+IF(parametros_manuales!$H$39="Todos",'Plan mensual'!E42,0)))*parametros_manuales!$I$39*parametros_manuales!$J$39</f>
        <v>1466.801717898</v>
      </c>
      <c r="D103" s="9" t="n">
        <f aca="false">(parametros_manuales!$D$39*('Plan mensual'!F35+IF(parametros_manuales!$H$39="Todos",'Plan mensual'!F39,0))+parametros_manuales!$E$39*('Plan mensual'!F36+IF(parametros_manuales!$H$39="Todos",'Plan mensual'!F40,0))+parametros_manuales!$F$39*('Plan mensual'!F37+IF(parametros_manuales!$H$39="Todos",'Plan mensual'!F41,0))+parametros_manuales!$G$39*('Plan mensual'!F38+IF(parametros_manuales!$H$39="Todos",'Plan mensual'!F42,0)))*parametros_manuales!$I$39*parametros_manuales!$J$39</f>
        <v>1426.1778323135</v>
      </c>
      <c r="E103" s="9" t="n">
        <f aca="false">(parametros_manuales!$D$39*('Plan mensual'!G35+IF(parametros_manuales!$H$39="Todos",'Plan mensual'!G39,0))+parametros_manuales!$E$39*('Plan mensual'!G36+IF(parametros_manuales!$H$39="Todos",'Plan mensual'!G40,0))+parametros_manuales!$F$39*('Plan mensual'!G37+IF(parametros_manuales!$H$39="Todos",'Plan mensual'!G41,0))+parametros_manuales!$G$39*('Plan mensual'!G38+IF(parametros_manuales!$H$39="Todos",'Plan mensual'!G42,0)))*parametros_manuales!$I$39*parametros_manuales!$J$39</f>
        <v>1383.8421545685</v>
      </c>
      <c r="F103" s="9" t="n">
        <f aca="false">(parametros_manuales!$D$39*('Plan mensual'!H35+IF(parametros_manuales!$H$39="Todos",'Plan mensual'!H39,0))+parametros_manuales!$E$39*('Plan mensual'!H36+IF(parametros_manuales!$H$39="Todos",'Plan mensual'!H40,0))+parametros_manuales!$F$39*('Plan mensual'!H37+IF(parametros_manuales!$H$39="Todos",'Plan mensual'!H41,0))+parametros_manuales!$G$39*('Plan mensual'!H38+IF(parametros_manuales!$H$39="Todos",'Plan mensual'!H42,0)))*parametros_manuales!$I$39*parametros_manuales!$J$39</f>
        <v>1297.459006918</v>
      </c>
      <c r="G103" s="9" t="n">
        <f aca="false">(parametros_manuales!$D$39*('Plan mensual'!I35+IF(parametros_manuales!$H$39="Todos",'Plan mensual'!I39,0))+parametros_manuales!$E$39*('Plan mensual'!I36+IF(parametros_manuales!$H$39="Todos",'Plan mensual'!I40,0))+parametros_manuales!$F$39*('Plan mensual'!I37+IF(parametros_manuales!$H$39="Todos",'Plan mensual'!I41,0))+parametros_manuales!$G$39*('Plan mensual'!I38+IF(parametros_manuales!$H$39="Todos",'Plan mensual'!I42,0)))*parametros_manuales!$I$39*parametros_manuales!$J$39</f>
        <v>1253.4115370125</v>
      </c>
      <c r="H103" s="9" t="n">
        <f aca="false">(parametros_manuales!$D$39*('Plan mensual'!J35+IF(parametros_manuales!$H$39="Todos",'Plan mensual'!J39,0))+parametros_manuales!$E$39*('Plan mensual'!J36+IF(parametros_manuales!$H$39="Todos",'Plan mensual'!J40,0))+parametros_manuales!$F$39*('Plan mensual'!J37+IF(parametros_manuales!$H$39="Todos",'Plan mensual'!J41,0))+parametros_manuales!$G$39*('Plan mensual'!J38+IF(parametros_manuales!$H$39="Todos",'Plan mensual'!J42,0)))*parametros_manuales!$I$39*parametros_manuales!$J$39</f>
        <v>1339.794684663</v>
      </c>
      <c r="I103" s="9" t="n">
        <f aca="false">(parametros_manuales!$D$39*('Plan mensual'!K35+IF(parametros_manuales!$H$39="Todos",'Plan mensual'!K39,0))+parametros_manuales!$E$39*('Plan mensual'!K36+IF(parametros_manuales!$H$39="Todos",'Plan mensual'!K40,0))+parametros_manuales!$F$39*('Plan mensual'!K37+IF(parametros_manuales!$H$39="Todos",'Plan mensual'!K41,0))+parametros_manuales!$G$39*('Plan mensual'!K38+IF(parametros_manuales!$H$39="Todos",'Plan mensual'!K42,0)))*parametros_manuales!$I$39*parametros_manuales!$J$39</f>
        <v>1339.794684663</v>
      </c>
      <c r="J103" s="9" t="n">
        <f aca="false">(parametros_manuales!$D$39*('Plan mensual'!L35+IF(parametros_manuales!$H$39="Todos",'Plan mensual'!L39,0))+parametros_manuales!$E$39*('Plan mensual'!L36+IF(parametros_manuales!$H$39="Todos",'Plan mensual'!L40,0))+parametros_manuales!$F$39*('Plan mensual'!L37+IF(parametros_manuales!$H$39="Todos",'Plan mensual'!L41,0))+parametros_manuales!$G$39*('Plan mensual'!L38+IF(parametros_manuales!$H$39="Todos",'Plan mensual'!L42,0)))*parametros_manuales!$I$39*parametros_manuales!$J$39</f>
        <v>1339.794684663</v>
      </c>
      <c r="K103" s="9" t="n">
        <f aca="false">(parametros_manuales!$D$39*('Plan mensual'!M35+IF(parametros_manuales!$H$39="Todos",'Plan mensual'!M39,0))+parametros_manuales!$E$39*('Plan mensual'!M36+IF(parametros_manuales!$H$39="Todos",'Plan mensual'!M40,0))+parametros_manuales!$F$39*('Plan mensual'!M37+IF(parametros_manuales!$H$39="Todos",'Plan mensual'!M41,0))+parametros_manuales!$G$39*('Plan mensual'!M38+IF(parametros_manuales!$H$39="Todos",'Plan mensual'!M42,0)))*parametros_manuales!$I$39*parametros_manuales!$J$39</f>
        <v>1295.7472147575</v>
      </c>
      <c r="L103" s="9" t="n">
        <f aca="false">(parametros_manuales!$D$39*('Plan mensual'!N35+IF(parametros_manuales!$H$39="Todos",'Plan mensual'!N39,0))+parametros_manuales!$E$39*('Plan mensual'!N36+IF(parametros_manuales!$H$39="Todos",'Plan mensual'!N40,0))+parametros_manuales!$F$39*('Plan mensual'!N37+IF(parametros_manuales!$H$39="Todos",'Plan mensual'!N41,0))+parametros_manuales!$G$39*('Plan mensual'!N38+IF(parametros_manuales!$H$39="Todos",'Plan mensual'!N42,0)))*parametros_manuales!$I$39*parametros_manuales!$J$39</f>
        <v>1251.699744852</v>
      </c>
      <c r="M103" s="9" t="n">
        <f aca="false">(parametros_manuales!$D$39*('Plan mensual'!O35+IF(parametros_manuales!$H$39="Todos",'Plan mensual'!O39,0))+parametros_manuales!$E$39*('Plan mensual'!O36+IF(parametros_manuales!$H$39="Todos",'Plan mensual'!O40,0))+parametros_manuales!$F$39*('Plan mensual'!O37+IF(parametros_manuales!$H$39="Todos",'Plan mensual'!O41,0))+parametros_manuales!$G$39*('Plan mensual'!O38+IF(parametros_manuales!$H$39="Todos",'Plan mensual'!O42,0)))*parametros_manuales!$I$39*parametros_manuales!$J$39</f>
        <v>1985.100603801</v>
      </c>
      <c r="N103" s="9" t="n">
        <f aca="false">SUM(B103:M103)</f>
        <v>17276.6295301</v>
      </c>
      <c r="O103" s="9" t="n">
        <f aca="false">MAX(B103:M103)</f>
        <v>1985.100603801</v>
      </c>
      <c r="P103" s="43" t="n">
        <f aca="false">O103/(parametros_manuales!$B$7)</f>
        <v>13.23400402534</v>
      </c>
      <c r="Q103" s="8" t="str">
        <f aca="false">IF(O103=0,"-",INDEX($B$82:$M$82,MATCH(O103,B103:M103,0)))</f>
        <v>Dic</v>
      </c>
    </row>
    <row r="104" customFormat="false" ht="14.25" hidden="false" customHeight="true" outlineLevel="0" collapsed="false">
      <c r="A104" s="8" t="str">
        <f aca="false">parametros_manuales!$B$40</f>
        <v>Presurización</v>
      </c>
      <c r="B104" s="9" t="n">
        <f aca="false">(parametros_manuales!$D$40*('Plan mensual'!D35+IF(parametros_manuales!$H$40="Todos",'Plan mensual'!D39,0))+parametros_manuales!$E$40*('Plan mensual'!D36+IF(parametros_manuales!$H$40="Todos",'Plan mensual'!D40,0))+parametros_manuales!$F$40*('Plan mensual'!D37+IF(parametros_manuales!$H$40="Todos",'Plan mensual'!D41,0))+parametros_manuales!$G$40*('Plan mensual'!D38+IF(parametros_manuales!$H$40="Todos",'Plan mensual'!D42,0)))*parametros_manuales!$I$40*parametros_manuales!$J$40</f>
        <v>1897.00566399</v>
      </c>
      <c r="C104" s="9" t="n">
        <f aca="false">(parametros_manuales!$D$40*('Plan mensual'!E35+IF(parametros_manuales!$H$40="Todos",'Plan mensual'!E39,0))+parametros_manuales!$E$40*('Plan mensual'!E36+IF(parametros_manuales!$H$40="Todos",'Plan mensual'!E40,0))+parametros_manuales!$F$40*('Plan mensual'!E37+IF(parametros_manuales!$H$40="Todos",'Plan mensual'!E41,0))+parametros_manuales!$G$40*('Plan mensual'!E38+IF(parametros_manuales!$H$40="Todos",'Plan mensual'!E42,0)))*parametros_manuales!$I$40*parametros_manuales!$J$40</f>
        <v>1466.801717898</v>
      </c>
      <c r="D104" s="9" t="n">
        <f aca="false">(parametros_manuales!$D$40*('Plan mensual'!F35+IF(parametros_manuales!$H$40="Todos",'Plan mensual'!F39,0))+parametros_manuales!$E$40*('Plan mensual'!F36+IF(parametros_manuales!$H$40="Todos",'Plan mensual'!F40,0))+parametros_manuales!$F$40*('Plan mensual'!F37+IF(parametros_manuales!$H$40="Todos",'Plan mensual'!F41,0))+parametros_manuales!$G$40*('Plan mensual'!F38+IF(parametros_manuales!$H$40="Todos",'Plan mensual'!F42,0)))*parametros_manuales!$I$40*parametros_manuales!$J$40</f>
        <v>1426.1778323135</v>
      </c>
      <c r="E104" s="9" t="n">
        <f aca="false">(parametros_manuales!$D$40*('Plan mensual'!G35+IF(parametros_manuales!$H$40="Todos",'Plan mensual'!G39,0))+parametros_manuales!$E$40*('Plan mensual'!G36+IF(parametros_manuales!$H$40="Todos",'Plan mensual'!G40,0))+parametros_manuales!$F$40*('Plan mensual'!G37+IF(parametros_manuales!$H$40="Todos",'Plan mensual'!G41,0))+parametros_manuales!$G$40*('Plan mensual'!G38+IF(parametros_manuales!$H$40="Todos",'Plan mensual'!G42,0)))*parametros_manuales!$I$40*parametros_manuales!$J$40</f>
        <v>1383.8421545685</v>
      </c>
      <c r="F104" s="9" t="n">
        <f aca="false">(parametros_manuales!$D$40*('Plan mensual'!H35+IF(parametros_manuales!$H$40="Todos",'Plan mensual'!H39,0))+parametros_manuales!$E$40*('Plan mensual'!H36+IF(parametros_manuales!$H$40="Todos",'Plan mensual'!H40,0))+parametros_manuales!$F$40*('Plan mensual'!H37+IF(parametros_manuales!$H$40="Todos",'Plan mensual'!H41,0))+parametros_manuales!$G$40*('Plan mensual'!H38+IF(parametros_manuales!$H$40="Todos",'Plan mensual'!H42,0)))*parametros_manuales!$I$40*parametros_manuales!$J$40</f>
        <v>1297.459006918</v>
      </c>
      <c r="G104" s="9" t="n">
        <f aca="false">(parametros_manuales!$D$40*('Plan mensual'!I35+IF(parametros_manuales!$H$40="Todos",'Plan mensual'!I39,0))+parametros_manuales!$E$40*('Plan mensual'!I36+IF(parametros_manuales!$H$40="Todos",'Plan mensual'!I40,0))+parametros_manuales!$F$40*('Plan mensual'!I37+IF(parametros_manuales!$H$40="Todos",'Plan mensual'!I41,0))+parametros_manuales!$G$40*('Plan mensual'!I38+IF(parametros_manuales!$H$40="Todos",'Plan mensual'!I42,0)))*parametros_manuales!$I$40*parametros_manuales!$J$40</f>
        <v>1253.4115370125</v>
      </c>
      <c r="H104" s="9" t="n">
        <f aca="false">(parametros_manuales!$D$40*('Plan mensual'!J35+IF(parametros_manuales!$H$40="Todos",'Plan mensual'!J39,0))+parametros_manuales!$E$40*('Plan mensual'!J36+IF(parametros_manuales!$H$40="Todos",'Plan mensual'!J40,0))+parametros_manuales!$F$40*('Plan mensual'!J37+IF(parametros_manuales!$H$40="Todos",'Plan mensual'!J41,0))+parametros_manuales!$G$40*('Plan mensual'!J38+IF(parametros_manuales!$H$40="Todos",'Plan mensual'!J42,0)))*parametros_manuales!$I$40*parametros_manuales!$J$40</f>
        <v>1339.794684663</v>
      </c>
      <c r="I104" s="9" t="n">
        <f aca="false">(parametros_manuales!$D$40*('Plan mensual'!K35+IF(parametros_manuales!$H$40="Todos",'Plan mensual'!K39,0))+parametros_manuales!$E$40*('Plan mensual'!K36+IF(parametros_manuales!$H$40="Todos",'Plan mensual'!K40,0))+parametros_manuales!$F$40*('Plan mensual'!K37+IF(parametros_manuales!$H$40="Todos",'Plan mensual'!K41,0))+parametros_manuales!$G$40*('Plan mensual'!K38+IF(parametros_manuales!$H$40="Todos",'Plan mensual'!K42,0)))*parametros_manuales!$I$40*parametros_manuales!$J$40</f>
        <v>1339.794684663</v>
      </c>
      <c r="J104" s="9" t="n">
        <f aca="false">(parametros_manuales!$D$40*('Plan mensual'!L35+IF(parametros_manuales!$H$40="Todos",'Plan mensual'!L39,0))+parametros_manuales!$E$40*('Plan mensual'!L36+IF(parametros_manuales!$H$40="Todos",'Plan mensual'!L40,0))+parametros_manuales!$F$40*('Plan mensual'!L37+IF(parametros_manuales!$H$40="Todos",'Plan mensual'!L41,0))+parametros_manuales!$G$40*('Plan mensual'!L38+IF(parametros_manuales!$H$40="Todos",'Plan mensual'!L42,0)))*parametros_manuales!$I$40*parametros_manuales!$J$40</f>
        <v>1339.794684663</v>
      </c>
      <c r="K104" s="9" t="n">
        <f aca="false">(parametros_manuales!$D$40*('Plan mensual'!M35+IF(parametros_manuales!$H$40="Todos",'Plan mensual'!M39,0))+parametros_manuales!$E$40*('Plan mensual'!M36+IF(parametros_manuales!$H$40="Todos",'Plan mensual'!M40,0))+parametros_manuales!$F$40*('Plan mensual'!M37+IF(parametros_manuales!$H$40="Todos",'Plan mensual'!M41,0))+parametros_manuales!$G$40*('Plan mensual'!M38+IF(parametros_manuales!$H$40="Todos",'Plan mensual'!M42,0)))*parametros_manuales!$I$40*parametros_manuales!$J$40</f>
        <v>1295.7472147575</v>
      </c>
      <c r="L104" s="9" t="n">
        <f aca="false">(parametros_manuales!$D$40*('Plan mensual'!N35+IF(parametros_manuales!$H$40="Todos",'Plan mensual'!N39,0))+parametros_manuales!$E$40*('Plan mensual'!N36+IF(parametros_manuales!$H$40="Todos",'Plan mensual'!N40,0))+parametros_manuales!$F$40*('Plan mensual'!N37+IF(parametros_manuales!$H$40="Todos",'Plan mensual'!N41,0))+parametros_manuales!$G$40*('Plan mensual'!N38+IF(parametros_manuales!$H$40="Todos",'Plan mensual'!N42,0)))*parametros_manuales!$I$40*parametros_manuales!$J$40</f>
        <v>1251.699744852</v>
      </c>
      <c r="M104" s="9" t="n">
        <f aca="false">(parametros_manuales!$D$40*('Plan mensual'!O35+IF(parametros_manuales!$H$40="Todos",'Plan mensual'!O39,0))+parametros_manuales!$E$40*('Plan mensual'!O36+IF(parametros_manuales!$H$40="Todos",'Plan mensual'!O40,0))+parametros_manuales!$F$40*('Plan mensual'!O37+IF(parametros_manuales!$H$40="Todos",'Plan mensual'!O41,0))+parametros_manuales!$G$40*('Plan mensual'!O38+IF(parametros_manuales!$H$40="Todos",'Plan mensual'!O42,0)))*parametros_manuales!$I$40*parametros_manuales!$J$40</f>
        <v>1985.100603801</v>
      </c>
      <c r="N104" s="9" t="n">
        <f aca="false">SUM(B104:M104)</f>
        <v>17276.6295301</v>
      </c>
      <c r="O104" s="9" t="n">
        <f aca="false">MAX(B104:M104)</f>
        <v>1985.100603801</v>
      </c>
      <c r="P104" s="43" t="n">
        <f aca="false">O104/(parametros_manuales!$B$7)</f>
        <v>13.23400402534</v>
      </c>
      <c r="Q104" s="8" t="str">
        <f aca="false">IF(O104=0,"-",INDEX($B$82:$M$82,MATCH(O104,B104:M104,0)))</f>
        <v>Dic</v>
      </c>
    </row>
    <row r="105" customFormat="false" ht="14.25" hidden="false" customHeight="true" outlineLevel="0" collapsed="false">
      <c r="A105" s="8" t="str">
        <f aca="false">parametros_manuales!$B$41</f>
        <v>Control de calidad — Ensayo de pérdidas</v>
      </c>
      <c r="B105" s="9" t="n">
        <f aca="false">(parametros_manuales!$D$41*('Plan mensual'!D35+IF(parametros_manuales!$H$41="Todos",'Plan mensual'!D39,0))+parametros_manuales!$E$41*('Plan mensual'!D36+IF(parametros_manuales!$H$41="Todos",'Plan mensual'!D40,0))+parametros_manuales!$F$41*('Plan mensual'!D37+IF(parametros_manuales!$H$41="Todos",'Plan mensual'!D41,0))+parametros_manuales!$G$41*('Plan mensual'!D38+IF(parametros_manuales!$H$41="Todos",'Plan mensual'!D42,0)))*parametros_manuales!$I$41*parametros_manuales!$J$41</f>
        <v>1897.00566399</v>
      </c>
      <c r="C105" s="9" t="n">
        <f aca="false">(parametros_manuales!$D$41*('Plan mensual'!E35+IF(parametros_manuales!$H$41="Todos",'Plan mensual'!E39,0))+parametros_manuales!$E$41*('Plan mensual'!E36+IF(parametros_manuales!$H$41="Todos",'Plan mensual'!E40,0))+parametros_manuales!$F$41*('Plan mensual'!E37+IF(parametros_manuales!$H$41="Todos",'Plan mensual'!E41,0))+parametros_manuales!$G$41*('Plan mensual'!E38+IF(parametros_manuales!$H$41="Todos",'Plan mensual'!E42,0)))*parametros_manuales!$I$41*parametros_manuales!$J$41</f>
        <v>1466.801717898</v>
      </c>
      <c r="D105" s="9" t="n">
        <f aca="false">(parametros_manuales!$D$41*('Plan mensual'!F35+IF(parametros_manuales!$H$41="Todos",'Plan mensual'!F39,0))+parametros_manuales!$E$41*('Plan mensual'!F36+IF(parametros_manuales!$H$41="Todos",'Plan mensual'!F40,0))+parametros_manuales!$F$41*('Plan mensual'!F37+IF(parametros_manuales!$H$41="Todos",'Plan mensual'!F41,0))+parametros_manuales!$G$41*('Plan mensual'!F38+IF(parametros_manuales!$H$41="Todos",'Plan mensual'!F42,0)))*parametros_manuales!$I$41*parametros_manuales!$J$41</f>
        <v>1426.1778323135</v>
      </c>
      <c r="E105" s="9" t="n">
        <f aca="false">(parametros_manuales!$D$41*('Plan mensual'!G35+IF(parametros_manuales!$H$41="Todos",'Plan mensual'!G39,0))+parametros_manuales!$E$41*('Plan mensual'!G36+IF(parametros_manuales!$H$41="Todos",'Plan mensual'!G40,0))+parametros_manuales!$F$41*('Plan mensual'!G37+IF(parametros_manuales!$H$41="Todos",'Plan mensual'!G41,0))+parametros_manuales!$G$41*('Plan mensual'!G38+IF(parametros_manuales!$H$41="Todos",'Plan mensual'!G42,0)))*parametros_manuales!$I$41*parametros_manuales!$J$41</f>
        <v>1383.8421545685</v>
      </c>
      <c r="F105" s="9" t="n">
        <f aca="false">(parametros_manuales!$D$41*('Plan mensual'!H35+IF(parametros_manuales!$H$41="Todos",'Plan mensual'!H39,0))+parametros_manuales!$E$41*('Plan mensual'!H36+IF(parametros_manuales!$H$41="Todos",'Plan mensual'!H40,0))+parametros_manuales!$F$41*('Plan mensual'!H37+IF(parametros_manuales!$H$41="Todos",'Plan mensual'!H41,0))+parametros_manuales!$G$41*('Plan mensual'!H38+IF(parametros_manuales!$H$41="Todos",'Plan mensual'!H42,0)))*parametros_manuales!$I$41*parametros_manuales!$J$41</f>
        <v>1297.459006918</v>
      </c>
      <c r="G105" s="9" t="n">
        <f aca="false">(parametros_manuales!$D$41*('Plan mensual'!I35+IF(parametros_manuales!$H$41="Todos",'Plan mensual'!I39,0))+parametros_manuales!$E$41*('Plan mensual'!I36+IF(parametros_manuales!$H$41="Todos",'Plan mensual'!I40,0))+parametros_manuales!$F$41*('Plan mensual'!I37+IF(parametros_manuales!$H$41="Todos",'Plan mensual'!I41,0))+parametros_manuales!$G$41*('Plan mensual'!I38+IF(parametros_manuales!$H$41="Todos",'Plan mensual'!I42,0)))*parametros_manuales!$I$41*parametros_manuales!$J$41</f>
        <v>1253.4115370125</v>
      </c>
      <c r="H105" s="9" t="n">
        <f aca="false">(parametros_manuales!$D$41*('Plan mensual'!J35+IF(parametros_manuales!$H$41="Todos",'Plan mensual'!J39,0))+parametros_manuales!$E$41*('Plan mensual'!J36+IF(parametros_manuales!$H$41="Todos",'Plan mensual'!J40,0))+parametros_manuales!$F$41*('Plan mensual'!J37+IF(parametros_manuales!$H$41="Todos",'Plan mensual'!J41,0))+parametros_manuales!$G$41*('Plan mensual'!J38+IF(parametros_manuales!$H$41="Todos",'Plan mensual'!J42,0)))*parametros_manuales!$I$41*parametros_manuales!$J$41</f>
        <v>1339.794684663</v>
      </c>
      <c r="I105" s="9" t="n">
        <f aca="false">(parametros_manuales!$D$41*('Plan mensual'!K35+IF(parametros_manuales!$H$41="Todos",'Plan mensual'!K39,0))+parametros_manuales!$E$41*('Plan mensual'!K36+IF(parametros_manuales!$H$41="Todos",'Plan mensual'!K40,0))+parametros_manuales!$F$41*('Plan mensual'!K37+IF(parametros_manuales!$H$41="Todos",'Plan mensual'!K41,0))+parametros_manuales!$G$41*('Plan mensual'!K38+IF(parametros_manuales!$H$41="Todos",'Plan mensual'!K42,0)))*parametros_manuales!$I$41*parametros_manuales!$J$41</f>
        <v>1339.794684663</v>
      </c>
      <c r="J105" s="9" t="n">
        <f aca="false">(parametros_manuales!$D$41*('Plan mensual'!L35+IF(parametros_manuales!$H$41="Todos",'Plan mensual'!L39,0))+parametros_manuales!$E$41*('Plan mensual'!L36+IF(parametros_manuales!$H$41="Todos",'Plan mensual'!L40,0))+parametros_manuales!$F$41*('Plan mensual'!L37+IF(parametros_manuales!$H$41="Todos",'Plan mensual'!L41,0))+parametros_manuales!$G$41*('Plan mensual'!L38+IF(parametros_manuales!$H$41="Todos",'Plan mensual'!L42,0)))*parametros_manuales!$I$41*parametros_manuales!$J$41</f>
        <v>1339.794684663</v>
      </c>
      <c r="K105" s="9" t="n">
        <f aca="false">(parametros_manuales!$D$41*('Plan mensual'!M35+IF(parametros_manuales!$H$41="Todos",'Plan mensual'!M39,0))+parametros_manuales!$E$41*('Plan mensual'!M36+IF(parametros_manuales!$H$41="Todos",'Plan mensual'!M40,0))+parametros_manuales!$F$41*('Plan mensual'!M37+IF(parametros_manuales!$H$41="Todos",'Plan mensual'!M41,0))+parametros_manuales!$G$41*('Plan mensual'!M38+IF(parametros_manuales!$H$41="Todos",'Plan mensual'!M42,0)))*parametros_manuales!$I$41*parametros_manuales!$J$41</f>
        <v>1295.7472147575</v>
      </c>
      <c r="L105" s="9" t="n">
        <f aca="false">(parametros_manuales!$D$41*('Plan mensual'!N35+IF(parametros_manuales!$H$41="Todos",'Plan mensual'!N39,0))+parametros_manuales!$E$41*('Plan mensual'!N36+IF(parametros_manuales!$H$41="Todos",'Plan mensual'!N40,0))+parametros_manuales!$F$41*('Plan mensual'!N37+IF(parametros_manuales!$H$41="Todos",'Plan mensual'!N41,0))+parametros_manuales!$G$41*('Plan mensual'!N38+IF(parametros_manuales!$H$41="Todos",'Plan mensual'!N42,0)))*parametros_manuales!$I$41*parametros_manuales!$J$41</f>
        <v>1251.699744852</v>
      </c>
      <c r="M105" s="9" t="n">
        <f aca="false">(parametros_manuales!$D$41*('Plan mensual'!O35+IF(parametros_manuales!$H$41="Todos",'Plan mensual'!O39,0))+parametros_manuales!$E$41*('Plan mensual'!O36+IF(parametros_manuales!$H$41="Todos",'Plan mensual'!O40,0))+parametros_manuales!$F$41*('Plan mensual'!O37+IF(parametros_manuales!$H$41="Todos",'Plan mensual'!O41,0))+parametros_manuales!$G$41*('Plan mensual'!O38+IF(parametros_manuales!$H$41="Todos",'Plan mensual'!O42,0)))*parametros_manuales!$I$41*parametros_manuales!$J$41</f>
        <v>1985.100603801</v>
      </c>
      <c r="N105" s="9" t="n">
        <f aca="false">SUM(B105:M105)</f>
        <v>17276.6295301</v>
      </c>
      <c r="O105" s="9" t="n">
        <f aca="false">MAX(B105:M105)</f>
        <v>1985.100603801</v>
      </c>
      <c r="P105" s="43" t="n">
        <f aca="false">O105/(parametros_manuales!$B$7)</f>
        <v>13.23400402534</v>
      </c>
      <c r="Q105" s="8" t="str">
        <f aca="false">IF(O105=0,"-",INDEX($B$82:$M$82,MATCH(O105,B105:M105,0)))</f>
        <v>Dic</v>
      </c>
    </row>
    <row r="106" customFormat="false" ht="14.25" hidden="false" customHeight="true" outlineLevel="0" collapsed="false">
      <c r="A106" s="8" t="str">
        <f aca="false">parametros_manuales!$B$42</f>
        <v>Etiquetado</v>
      </c>
      <c r="B106" s="9" t="n">
        <f aca="false">(parametros_manuales!$D$42*('Plan mensual'!D35+IF(parametros_manuales!$H$42="Todos",'Plan mensual'!D39,0))+parametros_manuales!$E$42*('Plan mensual'!D36+IF(parametros_manuales!$H$42="Todos",'Plan mensual'!D40,0))+parametros_manuales!$F$42*('Plan mensual'!D37+IF(parametros_manuales!$H$42="Todos",'Plan mensual'!D41,0))+parametros_manuales!$G$42*('Plan mensual'!D38+IF(parametros_manuales!$H$42="Todos",'Plan mensual'!D42,0)))*parametros_manuales!$I$42*parametros_manuales!$J$42</f>
        <v>1897.00566399</v>
      </c>
      <c r="C106" s="9" t="n">
        <f aca="false">(parametros_manuales!$D$42*('Plan mensual'!E35+IF(parametros_manuales!$H$42="Todos",'Plan mensual'!E39,0))+parametros_manuales!$E$42*('Plan mensual'!E36+IF(parametros_manuales!$H$42="Todos",'Plan mensual'!E40,0))+parametros_manuales!$F$42*('Plan mensual'!E37+IF(parametros_manuales!$H$42="Todos",'Plan mensual'!E41,0))+parametros_manuales!$G$42*('Plan mensual'!E38+IF(parametros_manuales!$H$42="Todos",'Plan mensual'!E42,0)))*parametros_manuales!$I$42*parametros_manuales!$J$42</f>
        <v>1466.801717898</v>
      </c>
      <c r="D106" s="9" t="n">
        <f aca="false">(parametros_manuales!$D$42*('Plan mensual'!F35+IF(parametros_manuales!$H$42="Todos",'Plan mensual'!F39,0))+parametros_manuales!$E$42*('Plan mensual'!F36+IF(parametros_manuales!$H$42="Todos",'Plan mensual'!F40,0))+parametros_manuales!$F$42*('Plan mensual'!F37+IF(parametros_manuales!$H$42="Todos",'Plan mensual'!F41,0))+parametros_manuales!$G$42*('Plan mensual'!F38+IF(parametros_manuales!$H$42="Todos",'Plan mensual'!F42,0)))*parametros_manuales!$I$42*parametros_manuales!$J$42</f>
        <v>1426.1778323135</v>
      </c>
      <c r="E106" s="9" t="n">
        <f aca="false">(parametros_manuales!$D$42*('Plan mensual'!G35+IF(parametros_manuales!$H$42="Todos",'Plan mensual'!G39,0))+parametros_manuales!$E$42*('Plan mensual'!G36+IF(parametros_manuales!$H$42="Todos",'Plan mensual'!G40,0))+parametros_manuales!$F$42*('Plan mensual'!G37+IF(parametros_manuales!$H$42="Todos",'Plan mensual'!G41,0))+parametros_manuales!$G$42*('Plan mensual'!G38+IF(parametros_manuales!$H$42="Todos",'Plan mensual'!G42,0)))*parametros_manuales!$I$42*parametros_manuales!$J$42</f>
        <v>1383.8421545685</v>
      </c>
      <c r="F106" s="9" t="n">
        <f aca="false">(parametros_manuales!$D$42*('Plan mensual'!H35+IF(parametros_manuales!$H$42="Todos",'Plan mensual'!H39,0))+parametros_manuales!$E$42*('Plan mensual'!H36+IF(parametros_manuales!$H$42="Todos",'Plan mensual'!H40,0))+parametros_manuales!$F$42*('Plan mensual'!H37+IF(parametros_manuales!$H$42="Todos",'Plan mensual'!H41,0))+parametros_manuales!$G$42*('Plan mensual'!H38+IF(parametros_manuales!$H$42="Todos",'Plan mensual'!H42,0)))*parametros_manuales!$I$42*parametros_manuales!$J$42</f>
        <v>1297.459006918</v>
      </c>
      <c r="G106" s="9" t="n">
        <f aca="false">(parametros_manuales!$D$42*('Plan mensual'!I35+IF(parametros_manuales!$H$42="Todos",'Plan mensual'!I39,0))+parametros_manuales!$E$42*('Plan mensual'!I36+IF(parametros_manuales!$H$42="Todos",'Plan mensual'!I40,0))+parametros_manuales!$F$42*('Plan mensual'!I37+IF(parametros_manuales!$H$42="Todos",'Plan mensual'!I41,0))+parametros_manuales!$G$42*('Plan mensual'!I38+IF(parametros_manuales!$H$42="Todos",'Plan mensual'!I42,0)))*parametros_manuales!$I$42*parametros_manuales!$J$42</f>
        <v>1253.4115370125</v>
      </c>
      <c r="H106" s="9" t="n">
        <f aca="false">(parametros_manuales!$D$42*('Plan mensual'!J35+IF(parametros_manuales!$H$42="Todos",'Plan mensual'!J39,0))+parametros_manuales!$E$42*('Plan mensual'!J36+IF(parametros_manuales!$H$42="Todos",'Plan mensual'!J40,0))+parametros_manuales!$F$42*('Plan mensual'!J37+IF(parametros_manuales!$H$42="Todos",'Plan mensual'!J41,0))+parametros_manuales!$G$42*('Plan mensual'!J38+IF(parametros_manuales!$H$42="Todos",'Plan mensual'!J42,0)))*parametros_manuales!$I$42*parametros_manuales!$J$42</f>
        <v>1339.794684663</v>
      </c>
      <c r="I106" s="9" t="n">
        <f aca="false">(parametros_manuales!$D$42*('Plan mensual'!K35+IF(parametros_manuales!$H$42="Todos",'Plan mensual'!K39,0))+parametros_manuales!$E$42*('Plan mensual'!K36+IF(parametros_manuales!$H$42="Todos",'Plan mensual'!K40,0))+parametros_manuales!$F$42*('Plan mensual'!K37+IF(parametros_manuales!$H$42="Todos",'Plan mensual'!K41,0))+parametros_manuales!$G$42*('Plan mensual'!K38+IF(parametros_manuales!$H$42="Todos",'Plan mensual'!K42,0)))*parametros_manuales!$I$42*parametros_manuales!$J$42</f>
        <v>1339.794684663</v>
      </c>
      <c r="J106" s="9" t="n">
        <f aca="false">(parametros_manuales!$D$42*('Plan mensual'!L35+IF(parametros_manuales!$H$42="Todos",'Plan mensual'!L39,0))+parametros_manuales!$E$42*('Plan mensual'!L36+IF(parametros_manuales!$H$42="Todos",'Plan mensual'!L40,0))+parametros_manuales!$F$42*('Plan mensual'!L37+IF(parametros_manuales!$H$42="Todos",'Plan mensual'!L41,0))+parametros_manuales!$G$42*('Plan mensual'!L38+IF(parametros_manuales!$H$42="Todos",'Plan mensual'!L42,0)))*parametros_manuales!$I$42*parametros_manuales!$J$42</f>
        <v>1339.794684663</v>
      </c>
      <c r="K106" s="9" t="n">
        <f aca="false">(parametros_manuales!$D$42*('Plan mensual'!M35+IF(parametros_manuales!$H$42="Todos",'Plan mensual'!M39,0))+parametros_manuales!$E$42*('Plan mensual'!M36+IF(parametros_manuales!$H$42="Todos",'Plan mensual'!M40,0))+parametros_manuales!$F$42*('Plan mensual'!M37+IF(parametros_manuales!$H$42="Todos",'Plan mensual'!M41,0))+parametros_manuales!$G$42*('Plan mensual'!M38+IF(parametros_manuales!$H$42="Todos",'Plan mensual'!M42,0)))*parametros_manuales!$I$42*parametros_manuales!$J$42</f>
        <v>1295.7472147575</v>
      </c>
      <c r="L106" s="9" t="n">
        <f aca="false">(parametros_manuales!$D$42*('Plan mensual'!N35+IF(parametros_manuales!$H$42="Todos",'Plan mensual'!N39,0))+parametros_manuales!$E$42*('Plan mensual'!N36+IF(parametros_manuales!$H$42="Todos",'Plan mensual'!N40,0))+parametros_manuales!$F$42*('Plan mensual'!N37+IF(parametros_manuales!$H$42="Todos",'Plan mensual'!N41,0))+parametros_manuales!$G$42*('Plan mensual'!N38+IF(parametros_manuales!$H$42="Todos",'Plan mensual'!N42,0)))*parametros_manuales!$I$42*parametros_manuales!$J$42</f>
        <v>1251.699744852</v>
      </c>
      <c r="M106" s="9" t="n">
        <f aca="false">(parametros_manuales!$D$42*('Plan mensual'!O35+IF(parametros_manuales!$H$42="Todos",'Plan mensual'!O39,0))+parametros_manuales!$E$42*('Plan mensual'!O36+IF(parametros_manuales!$H$42="Todos",'Plan mensual'!O40,0))+parametros_manuales!$F$42*('Plan mensual'!O37+IF(parametros_manuales!$H$42="Todos",'Plan mensual'!O41,0))+parametros_manuales!$G$42*('Plan mensual'!O38+IF(parametros_manuales!$H$42="Todos",'Plan mensual'!O42,0)))*parametros_manuales!$I$42*parametros_manuales!$J$42</f>
        <v>1985.100603801</v>
      </c>
      <c r="N106" s="9" t="n">
        <f aca="false">SUM(B106:M106)</f>
        <v>17276.6295301</v>
      </c>
      <c r="O106" s="9" t="n">
        <f aca="false">MAX(B106:M106)</f>
        <v>1985.100603801</v>
      </c>
      <c r="P106" s="43" t="n">
        <f aca="false">O106/(parametros_manuales!$B$7)</f>
        <v>13.23400402534</v>
      </c>
      <c r="Q106" s="8" t="str">
        <f aca="false">IF(O106=0,"-",INDEX($B$82:$M$82,MATCH(O106,B106:M106,0)))</f>
        <v>Dic</v>
      </c>
    </row>
    <row r="107" customFormat="false" ht="14.25" hidden="false" customHeight="true" outlineLevel="0" collapsed="false">
      <c r="A107" s="8" t="str">
        <f aca="false">parametros_manuales!$B$43</f>
        <v>Embalaje y paletizado</v>
      </c>
      <c r="B107" s="9" t="n">
        <f aca="false">(parametros_manuales!$D$43*('Plan mensual'!D35+IF(parametros_manuales!$H$43="Todos",'Plan mensual'!D39,0))+parametros_manuales!$E$43*('Plan mensual'!D36+IF(parametros_manuales!$H$43="Todos",'Plan mensual'!D40,0))+parametros_manuales!$F$43*('Plan mensual'!D37+IF(parametros_manuales!$H$43="Todos",'Plan mensual'!D41,0))+parametros_manuales!$G$43*('Plan mensual'!D38+IF(parametros_manuales!$H$43="Todos",'Plan mensual'!D42,0)))*parametros_manuales!$I$43*parametros_manuales!$J$43</f>
        <v>5775.02166399</v>
      </c>
      <c r="C107" s="9" t="n">
        <f aca="false">(parametros_manuales!$D$43*('Plan mensual'!E35+IF(parametros_manuales!$H$43="Todos",'Plan mensual'!E39,0))+parametros_manuales!$E$43*('Plan mensual'!E36+IF(parametros_manuales!$H$43="Todos",'Plan mensual'!E40,0))+parametros_manuales!$F$43*('Plan mensual'!E37+IF(parametros_manuales!$H$43="Todos",'Plan mensual'!E41,0))+parametros_manuales!$G$43*('Plan mensual'!E38+IF(parametros_manuales!$H$43="Todos",'Plan mensual'!E42,0)))*parametros_manuales!$I$43*parametros_manuales!$J$43</f>
        <v>4409.045717898</v>
      </c>
      <c r="D107" s="9" t="n">
        <f aca="false">(parametros_manuales!$D$43*('Plan mensual'!F35+IF(parametros_manuales!$H$43="Todos",'Plan mensual'!F39,0))+parametros_manuales!$E$43*('Plan mensual'!F36+IF(parametros_manuales!$H$43="Todos",'Plan mensual'!F40,0))+parametros_manuales!$F$43*('Plan mensual'!F37+IF(parametros_manuales!$H$43="Todos",'Plan mensual'!F41,0))+parametros_manuales!$G$43*('Plan mensual'!F38+IF(parametros_manuales!$H$43="Todos",'Plan mensual'!F42,0)))*parametros_manuales!$I$43*parametros_manuales!$J$43</f>
        <v>4135.2058323135</v>
      </c>
      <c r="E107" s="9" t="n">
        <f aca="false">(parametros_manuales!$D$43*('Plan mensual'!G35+IF(parametros_manuales!$H$43="Todos",'Plan mensual'!G39,0))+parametros_manuales!$E$43*('Plan mensual'!G36+IF(parametros_manuales!$H$43="Todos",'Plan mensual'!G40,0))+parametros_manuales!$F$43*('Plan mensual'!G37+IF(parametros_manuales!$H$43="Todos",'Plan mensual'!G41,0))+parametros_manuales!$G$43*('Plan mensual'!G38+IF(parametros_manuales!$H$43="Todos",'Plan mensual'!G42,0)))*parametros_manuales!$I$43*parametros_manuales!$J$43</f>
        <v>3959.3961545685</v>
      </c>
      <c r="F107" s="9" t="n">
        <f aca="false">(parametros_manuales!$D$43*('Plan mensual'!H35+IF(parametros_manuales!$H$43="Todos",'Plan mensual'!H39,0))+parametros_manuales!$E$43*('Plan mensual'!H36+IF(parametros_manuales!$H$43="Todos",'Plan mensual'!H40,0))+parametros_manuales!$F$43*('Plan mensual'!H37+IF(parametros_manuales!$H$43="Todos",'Plan mensual'!H41,0))+parametros_manuales!$G$43*('Plan mensual'!H38+IF(parametros_manuales!$H$43="Todos",'Plan mensual'!H42,0)))*parametros_manuales!$I$43*parametros_manuales!$J$43</f>
        <v>3705.807006918</v>
      </c>
      <c r="G107" s="9" t="n">
        <f aca="false">(parametros_manuales!$D$43*('Plan mensual'!I35+IF(parametros_manuales!$H$43="Todos",'Plan mensual'!I39,0))+parametros_manuales!$E$43*('Plan mensual'!I36+IF(parametros_manuales!$H$43="Todos",'Plan mensual'!I40,0))+parametros_manuales!$F$43*('Plan mensual'!I37+IF(parametros_manuales!$H$43="Todos",'Plan mensual'!I41,0))+parametros_manuales!$G$43*('Plan mensual'!I38+IF(parametros_manuales!$H$43="Todos",'Plan mensual'!I42,0)))*parametros_manuales!$I$43*parametros_manuales!$J$43</f>
        <v>3628.0275370125</v>
      </c>
      <c r="H107" s="9" t="n">
        <f aca="false">(parametros_manuales!$D$43*('Plan mensual'!J35+IF(parametros_manuales!$H$43="Todos",'Plan mensual'!J39,0))+parametros_manuales!$E$43*('Plan mensual'!J36+IF(parametros_manuales!$H$43="Todos",'Plan mensual'!J40,0))+parametros_manuales!$F$43*('Plan mensual'!J37+IF(parametros_manuales!$H$43="Todos",'Plan mensual'!J41,0))+parametros_manuales!$G$43*('Plan mensual'!J38+IF(parametros_manuales!$H$43="Todos",'Plan mensual'!J42,0)))*parametros_manuales!$I$43*parametros_manuales!$J$43</f>
        <v>3881.616684663</v>
      </c>
      <c r="I107" s="9" t="n">
        <f aca="false">(parametros_manuales!$D$43*('Plan mensual'!K35+IF(parametros_manuales!$H$43="Todos",'Plan mensual'!K39,0))+parametros_manuales!$E$43*('Plan mensual'!K36+IF(parametros_manuales!$H$43="Todos",'Plan mensual'!K40,0))+parametros_manuales!$F$43*('Plan mensual'!K37+IF(parametros_manuales!$H$43="Todos",'Plan mensual'!K41,0))+parametros_manuales!$G$43*('Plan mensual'!K38+IF(parametros_manuales!$H$43="Todos",'Plan mensual'!K42,0)))*parametros_manuales!$I$43*parametros_manuales!$J$43</f>
        <v>3881.616684663</v>
      </c>
      <c r="J107" s="9" t="n">
        <f aca="false">(parametros_manuales!$D$43*('Plan mensual'!L35+IF(parametros_manuales!$H$43="Todos",'Plan mensual'!L39,0))+parametros_manuales!$E$43*('Plan mensual'!L36+IF(parametros_manuales!$H$43="Todos",'Plan mensual'!L40,0))+parametros_manuales!$F$43*('Plan mensual'!L37+IF(parametros_manuales!$H$43="Todos",'Plan mensual'!L41,0))+parametros_manuales!$G$43*('Plan mensual'!L38+IF(parametros_manuales!$H$43="Todos",'Plan mensual'!L42,0)))*parametros_manuales!$I$43*parametros_manuales!$J$43</f>
        <v>3881.616684663</v>
      </c>
      <c r="K107" s="9" t="n">
        <f aca="false">(parametros_manuales!$D$43*('Plan mensual'!M35+IF(parametros_manuales!$H$43="Todos",'Plan mensual'!M39,0))+parametros_manuales!$E$43*('Plan mensual'!M36+IF(parametros_manuales!$H$43="Todos",'Plan mensual'!M40,0))+parametros_manuales!$F$43*('Plan mensual'!M37+IF(parametros_manuales!$H$43="Todos",'Plan mensual'!M41,0))+parametros_manuales!$G$43*('Plan mensual'!M38+IF(parametros_manuales!$H$43="Todos",'Plan mensual'!M42,0)))*parametros_manuales!$I$43*parametros_manuales!$J$43</f>
        <v>3803.8372147575</v>
      </c>
      <c r="L107" s="9" t="n">
        <f aca="false">(parametros_manuales!$D$43*('Plan mensual'!N35+IF(parametros_manuales!$H$43="Todos",'Plan mensual'!N39,0))+parametros_manuales!$E$43*('Plan mensual'!N36+IF(parametros_manuales!$H$43="Todos",'Plan mensual'!N40,0))+parametros_manuales!$F$43*('Plan mensual'!N37+IF(parametros_manuales!$H$43="Todos",'Plan mensual'!N41,0))+parametros_manuales!$G$43*('Plan mensual'!N38+IF(parametros_manuales!$H$43="Todos",'Plan mensual'!N42,0)))*parametros_manuales!$I$43*parametros_manuales!$J$43</f>
        <v>3726.057744852</v>
      </c>
      <c r="M107" s="9" t="n">
        <f aca="false">(parametros_manuales!$D$43*('Plan mensual'!O35+IF(parametros_manuales!$H$43="Todos",'Plan mensual'!O39,0))+parametros_manuales!$E$43*('Plan mensual'!O36+IF(parametros_manuales!$H$43="Todos",'Plan mensual'!O40,0))+parametros_manuales!$F$43*('Plan mensual'!O37+IF(parametros_manuales!$H$43="Todos",'Plan mensual'!O41,0))+parametros_manuales!$G$43*('Plan mensual'!O38+IF(parametros_manuales!$H$43="Todos",'Plan mensual'!O42,0)))*parametros_manuales!$I$43*parametros_manuales!$J$43</f>
        <v>5930.580603801</v>
      </c>
      <c r="N107" s="9" t="n">
        <f aca="false">SUM(B107:M107)</f>
        <v>50717.8295301</v>
      </c>
      <c r="O107" s="9" t="n">
        <f aca="false">MAX(B107:M107)</f>
        <v>5930.580603801</v>
      </c>
      <c r="P107" s="43" t="n">
        <f aca="false">O107/(parametros_manuales!$B$7)</f>
        <v>39.53720402534</v>
      </c>
      <c r="Q107" s="8" t="str">
        <f aca="false">IF(O107=0,"-",INDEX($B$82:$M$82,MATCH(O107,B107:M107,0)))</f>
        <v>Dic</v>
      </c>
    </row>
    <row r="108" customFormat="false" ht="14.25" hidden="false" customHeight="true" outlineLevel="0" collapsed="false"/>
    <row r="109" customFormat="false" ht="14.25" hidden="false" customHeight="true" outlineLevel="0" collapsed="false">
      <c r="A109" s="7" t="s">
        <v>194</v>
      </c>
      <c r="B109" s="7" t="s">
        <v>61</v>
      </c>
      <c r="C109" s="7" t="s">
        <v>62</v>
      </c>
      <c r="D109" s="7" t="s">
        <v>63</v>
      </c>
      <c r="E109" s="7" t="s">
        <v>64</v>
      </c>
      <c r="F109" s="7" t="s">
        <v>65</v>
      </c>
      <c r="G109" s="7" t="s">
        <v>66</v>
      </c>
      <c r="H109" s="7" t="s">
        <v>67</v>
      </c>
      <c r="I109" s="7" t="s">
        <v>68</v>
      </c>
      <c r="J109" s="7" t="s">
        <v>69</v>
      </c>
      <c r="K109" s="7" t="s">
        <v>70</v>
      </c>
      <c r="L109" s="7" t="s">
        <v>71</v>
      </c>
      <c r="M109" s="7" t="s">
        <v>72</v>
      </c>
      <c r="N109" s="7" t="s">
        <v>183</v>
      </c>
      <c r="O109" s="7" t="s">
        <v>188</v>
      </c>
      <c r="P109" s="7" t="s">
        <v>189</v>
      </c>
      <c r="Q109" s="7" t="s">
        <v>190</v>
      </c>
    </row>
    <row r="110" customFormat="false" ht="14.25" hidden="false" customHeight="true" outlineLevel="0" collapsed="false">
      <c r="A110" s="8" t="str">
        <f aca="false">parametros_manuales!$B$19</f>
        <v>Recepción de materia prima</v>
      </c>
      <c r="B110" s="9" t="n">
        <f aca="false">(parametros_manuales!$D$19*('Plan mensual'!D46+IF(parametros_manuales!$H$19="Todos",'Plan mensual'!D50,0))+parametros_manuales!$E$19*('Plan mensual'!D47+IF(parametros_manuales!$H$19="Todos",'Plan mensual'!D51,0))+parametros_manuales!$F$19*('Plan mensual'!D48+IF(parametros_manuales!$H$19="Todos",'Plan mensual'!D52,0))+parametros_manuales!$G$19*('Plan mensual'!D49+IF(parametros_manuales!$H$19="Todos",'Plan mensual'!D53,0)))*parametros_manuales!$I$19*parametros_manuales!$J$19</f>
        <v>10069.83320699</v>
      </c>
      <c r="C110" s="9" t="n">
        <f aca="false">(parametros_manuales!$D$19*('Plan mensual'!E46+IF(parametros_manuales!$H$19="Todos",'Plan mensual'!E50,0))+parametros_manuales!$E$19*('Plan mensual'!E47+IF(parametros_manuales!$H$19="Todos",'Plan mensual'!E51,0))+parametros_manuales!$F$19*('Plan mensual'!E48+IF(parametros_manuales!$H$19="Todos",'Plan mensual'!E52,0))+parametros_manuales!$G$19*('Plan mensual'!E49+IF(parametros_manuales!$H$19="Todos",'Plan mensual'!E53,0)))*parametros_manuales!$I$19*parametros_manuales!$J$19</f>
        <v>7683.173969332</v>
      </c>
      <c r="D110" s="9" t="n">
        <f aca="false">(parametros_manuales!$D$19*('Plan mensual'!F46+IF(parametros_manuales!$H$19="Todos",'Plan mensual'!F50,0))+parametros_manuales!$E$19*('Plan mensual'!F47+IF(parametros_manuales!$H$19="Todos",'Plan mensual'!F51,0))+parametros_manuales!$F$19*('Plan mensual'!F48+IF(parametros_manuales!$H$19="Todos",'Plan mensual'!F52,0))+parametros_manuales!$G$19*('Plan mensual'!F49+IF(parametros_manuales!$H$19="Todos",'Plan mensual'!F53,0)))*parametros_manuales!$I$19*parametros_manuales!$J$19</f>
        <v>7192.8187063215</v>
      </c>
      <c r="E110" s="9" t="n">
        <f aca="false">(parametros_manuales!$D$19*('Plan mensual'!G46+IF(parametros_manuales!$H$19="Todos",'Plan mensual'!G50,0))+parametros_manuales!$E$19*('Plan mensual'!G47+IF(parametros_manuales!$H$19="Todos",'Plan mensual'!G51,0))+parametros_manuales!$F$19*('Plan mensual'!G48+IF(parametros_manuales!$H$19="Todos",'Plan mensual'!G52,0))+parametros_manuales!$G$19*('Plan mensual'!G49+IF(parametros_manuales!$H$19="Todos",'Plan mensual'!G53,0)))*parametros_manuales!$I$19*parametros_manuales!$J$19</f>
        <v>6882.2415427715</v>
      </c>
      <c r="F110" s="9" t="n">
        <f aca="false">(parametros_manuales!$D$19*('Plan mensual'!H46+IF(parametros_manuales!$H$19="Todos",'Plan mensual'!H50,0))+parametros_manuales!$E$19*('Plan mensual'!H47+IF(parametros_manuales!$H$19="Todos",'Plan mensual'!H51,0))+parametros_manuales!$F$19*('Plan mensual'!H48+IF(parametros_manuales!$H$19="Todos",'Plan mensual'!H52,0))+parametros_manuales!$G$19*('Plan mensual'!H49+IF(parametros_manuales!$H$19="Todos",'Plan mensual'!H53,0)))*parametros_manuales!$I$19*parametros_manuales!$J$19</f>
        <v>6440.865315132</v>
      </c>
      <c r="G110" s="9" t="n">
        <f aca="false">(parametros_manuales!$D$19*('Plan mensual'!I46+IF(parametros_manuales!$H$19="Todos",'Plan mensual'!I50,0))+parametros_manuales!$E$19*('Plan mensual'!I47+IF(parametros_manuales!$H$19="Todos",'Plan mensual'!I51,0))+parametros_manuales!$F$19*('Plan mensual'!I48+IF(parametros_manuales!$H$19="Todos",'Plan mensual'!I52,0))+parametros_manuales!$G$19*('Plan mensual'!I49+IF(parametros_manuales!$H$19="Todos",'Plan mensual'!I53,0)))*parametros_manuales!$I$19*parametros_manuales!$J$19</f>
        <v>6310.0662510425</v>
      </c>
      <c r="H110" s="9" t="n">
        <f aca="false">(parametros_manuales!$D$19*('Plan mensual'!J46+IF(parametros_manuales!$H$19="Todos",'Plan mensual'!J50,0))+parametros_manuales!$E$19*('Plan mensual'!J47+IF(parametros_manuales!$H$19="Todos",'Plan mensual'!J51,0))+parametros_manuales!$F$19*('Plan mensual'!J48+IF(parametros_manuales!$H$19="Todos",'Plan mensual'!J52,0))+parametros_manuales!$G$19*('Plan mensual'!J49+IF(parametros_manuales!$H$19="Todos",'Plan mensual'!J53,0)))*parametros_manuales!$I$19*parametros_manuales!$J$19</f>
        <v>6751.442478682</v>
      </c>
      <c r="I110" s="9" t="n">
        <f aca="false">(parametros_manuales!$D$19*('Plan mensual'!K46+IF(parametros_manuales!$H$19="Todos",'Plan mensual'!K50,0))+parametros_manuales!$E$19*('Plan mensual'!K47+IF(parametros_manuales!$H$19="Todos",'Plan mensual'!K51,0))+parametros_manuales!$F$19*('Plan mensual'!K48+IF(parametros_manuales!$H$19="Todos",'Plan mensual'!K52,0))+parametros_manuales!$G$19*('Plan mensual'!K49+IF(parametros_manuales!$H$19="Todos",'Plan mensual'!K53,0)))*parametros_manuales!$I$19*parametros_manuales!$J$19</f>
        <v>6751.442478682</v>
      </c>
      <c r="J110" s="9" t="n">
        <f aca="false">(parametros_manuales!$D$19*('Plan mensual'!L46+IF(parametros_manuales!$H$19="Todos",'Plan mensual'!L50,0))+parametros_manuales!$E$19*('Plan mensual'!L47+IF(parametros_manuales!$H$19="Todos",'Plan mensual'!L51,0))+parametros_manuales!$F$19*('Plan mensual'!L48+IF(parametros_manuales!$H$19="Todos",'Plan mensual'!L52,0))+parametros_manuales!$G$19*('Plan mensual'!L49+IF(parametros_manuales!$H$19="Todos",'Plan mensual'!L53,0)))*parametros_manuales!$I$19*parametros_manuales!$J$19</f>
        <v>6751.442478682</v>
      </c>
      <c r="K110" s="9" t="n">
        <f aca="false">(parametros_manuales!$D$19*('Plan mensual'!M46+IF(parametros_manuales!$H$19="Todos",'Plan mensual'!M50,0))+parametros_manuales!$E$19*('Plan mensual'!M47+IF(parametros_manuales!$H$19="Todos",'Plan mensual'!M51,0))+parametros_manuales!$F$19*('Plan mensual'!M48+IF(parametros_manuales!$H$19="Todos",'Plan mensual'!M52,0))+parametros_manuales!$G$19*('Plan mensual'!M49+IF(parametros_manuales!$H$19="Todos",'Plan mensual'!M53,0)))*parametros_manuales!$I$19*parametros_manuales!$J$19</f>
        <v>6620.6434145925</v>
      </c>
      <c r="L110" s="9" t="n">
        <f aca="false">(parametros_manuales!$D$19*('Plan mensual'!N46+IF(parametros_manuales!$H$19="Todos",'Plan mensual'!N50,0))+parametros_manuales!$E$19*('Plan mensual'!N47+IF(parametros_manuales!$H$19="Todos",'Plan mensual'!N51,0))+parametros_manuales!$F$19*('Plan mensual'!N48+IF(parametros_manuales!$H$19="Todos",'Plan mensual'!N52,0))+parametros_manuales!$G$19*('Plan mensual'!N49+IF(parametros_manuales!$H$19="Todos",'Plan mensual'!N53,0)))*parametros_manuales!$I$19*parametros_manuales!$J$19</f>
        <v>6489.844350503</v>
      </c>
      <c r="M110" s="9" t="n">
        <f aca="false">(parametros_manuales!$D$19*('Plan mensual'!O46+IF(parametros_manuales!$H$19="Todos",'Plan mensual'!O50,0))+parametros_manuales!$E$19*('Plan mensual'!O47+IF(parametros_manuales!$H$19="Todos",'Plan mensual'!O51,0))+parametros_manuales!$F$19*('Plan mensual'!O48+IF(parametros_manuales!$H$19="Todos",'Plan mensual'!O52,0))+parametros_manuales!$G$19*('Plan mensual'!O49+IF(parametros_manuales!$H$19="Todos",'Plan mensual'!O53,0)))*parametros_manuales!$I$19*parametros_manuales!$J$19</f>
        <v>10331.431335169</v>
      </c>
      <c r="N110" s="9" t="n">
        <f aca="false">SUM(B110:M110)</f>
        <v>88275.2455279</v>
      </c>
      <c r="O110" s="9" t="n">
        <f aca="false">MAX(B110:M110)</f>
        <v>10331.431335169</v>
      </c>
      <c r="P110" s="43" t="n">
        <f aca="false">O110/(parametros_manuales!$B$7)</f>
        <v>68.8762089011267</v>
      </c>
      <c r="Q110" s="8" t="str">
        <f aca="false">IF(O110=0,"-",INDEX($B$109:$M$109,MATCH(O110,B110:M110,0)))</f>
        <v>Dic</v>
      </c>
    </row>
    <row r="111" customFormat="false" ht="14.25" hidden="false" customHeight="true" outlineLevel="0" collapsed="false">
      <c r="A111" s="8" t="str">
        <f aca="false">parametros_manuales!$B$20</f>
        <v>Corte de chapa (guillotina) — 2,5 a 10 kg</v>
      </c>
      <c r="B111" s="9" t="n">
        <f aca="false">(parametros_manuales!$D$20*('Plan mensual'!D46+IF(parametros_manuales!$H$20="Todos",'Plan mensual'!D50,0))+parametros_manuales!$E$20*('Plan mensual'!D47+IF(parametros_manuales!$H$20="Todos",'Plan mensual'!D51,0))+parametros_manuales!$F$20*('Plan mensual'!D48+IF(parametros_manuales!$H$20="Todos",'Plan mensual'!D52,0))+parametros_manuales!$G$20*('Plan mensual'!D49+IF(parametros_manuales!$H$20="Todos",'Plan mensual'!D53,0)))*parametros_manuales!$I$20*parametros_manuales!$J$20</f>
        <v>2615.98128179</v>
      </c>
      <c r="C111" s="9" t="n">
        <f aca="false">(parametros_manuales!$D$20*('Plan mensual'!E46+IF(parametros_manuales!$H$20="Todos",'Plan mensual'!E50,0))+parametros_manuales!$E$20*('Plan mensual'!E47+IF(parametros_manuales!$H$20="Todos",'Plan mensual'!E51,0))+parametros_manuales!$F$20*('Plan mensual'!E48+IF(parametros_manuales!$H$20="Todos",'Plan mensual'!E52,0))+parametros_manuales!$G$20*('Plan mensual'!E49+IF(parametros_manuales!$H$20="Todos",'Plan mensual'!E53,0)))*parametros_manuales!$I$20*parametros_manuales!$J$20</f>
        <v>2092.785025432</v>
      </c>
      <c r="D111" s="9" t="n">
        <f aca="false">(parametros_manuales!$D$20*('Plan mensual'!F46+IF(parametros_manuales!$H$20="Todos",'Plan mensual'!F50,0))+parametros_manuales!$E$20*('Plan mensual'!F47+IF(parametros_manuales!$H$20="Todos",'Plan mensual'!F51,0))+parametros_manuales!$F$20*('Plan mensual'!F48+IF(parametros_manuales!$H$20="Todos",'Plan mensual'!F52,0))+parametros_manuales!$G$20*('Plan mensual'!F49+IF(parametros_manuales!$H$20="Todos",'Plan mensual'!F53,0)))*parametros_manuales!$I$20*parametros_manuales!$J$20</f>
        <v>2223.5840895215</v>
      </c>
      <c r="E111" s="9" t="n">
        <f aca="false">(parametros_manuales!$D$20*('Plan mensual'!G46+IF(parametros_manuales!$H$20="Todos",'Plan mensual'!G50,0))+parametros_manuales!$E$20*('Plan mensual'!G47+IF(parametros_manuales!$H$20="Todos",'Plan mensual'!G51,0))+parametros_manuales!$F$20*('Plan mensual'!G48+IF(parametros_manuales!$H$20="Todos",'Plan mensual'!G52,0))+parametros_manuales!$G$20*('Plan mensual'!G49+IF(parametros_manuales!$H$20="Todos",'Plan mensual'!G53,0)))*parametros_manuales!$I$20*parametros_manuales!$J$20</f>
        <v>2223.5840895215</v>
      </c>
      <c r="F111" s="9" t="n">
        <f aca="false">(parametros_manuales!$D$20*('Plan mensual'!H46+IF(parametros_manuales!$H$20="Todos",'Plan mensual'!H50,0))+parametros_manuales!$E$20*('Plan mensual'!H47+IF(parametros_manuales!$H$20="Todos",'Plan mensual'!H51,0))+parametros_manuales!$F$20*('Plan mensual'!H48+IF(parametros_manuales!$H$20="Todos",'Plan mensual'!H52,0))+parametros_manuales!$G$20*('Plan mensual'!H49+IF(parametros_manuales!$H$20="Todos",'Plan mensual'!H53,0)))*parametros_manuales!$I$20*parametros_manuales!$J$20</f>
        <v>2092.785025432</v>
      </c>
      <c r="G111" s="9" t="n">
        <f aca="false">(parametros_manuales!$D$20*('Plan mensual'!I46+IF(parametros_manuales!$H$20="Todos",'Plan mensual'!I50,0))+parametros_manuales!$E$20*('Plan mensual'!I47+IF(parametros_manuales!$H$20="Todos",'Plan mensual'!I51,0))+parametros_manuales!$F$20*('Plan mensual'!I48+IF(parametros_manuales!$H$20="Todos",'Plan mensual'!I52,0))+parametros_manuales!$G$20*('Plan mensual'!I49+IF(parametros_manuales!$H$20="Todos",'Plan mensual'!I53,0)))*parametros_manuales!$I$20*parametros_manuales!$J$20</f>
        <v>1961.9859613425</v>
      </c>
      <c r="H111" s="9" t="n">
        <f aca="false">(parametros_manuales!$D$20*('Plan mensual'!J46+IF(parametros_manuales!$H$20="Todos",'Plan mensual'!J50,0))+parametros_manuales!$E$20*('Plan mensual'!J47+IF(parametros_manuales!$H$20="Todos",'Plan mensual'!J51,0))+parametros_manuales!$F$20*('Plan mensual'!J48+IF(parametros_manuales!$H$20="Todos",'Plan mensual'!J52,0))+parametros_manuales!$G$20*('Plan mensual'!J49+IF(parametros_manuales!$H$20="Todos",'Plan mensual'!J53,0)))*parametros_manuales!$I$20*parametros_manuales!$J$20</f>
        <v>2092.785025432</v>
      </c>
      <c r="I111" s="9" t="n">
        <f aca="false">(parametros_manuales!$D$20*('Plan mensual'!K46+IF(parametros_manuales!$H$20="Todos",'Plan mensual'!K50,0))+parametros_manuales!$E$20*('Plan mensual'!K47+IF(parametros_manuales!$H$20="Todos",'Plan mensual'!K51,0))+parametros_manuales!$F$20*('Plan mensual'!K48+IF(parametros_manuales!$H$20="Todos",'Plan mensual'!K52,0))+parametros_manuales!$G$20*('Plan mensual'!K49+IF(parametros_manuales!$H$20="Todos",'Plan mensual'!K53,0)))*parametros_manuales!$I$20*parametros_manuales!$J$20</f>
        <v>2092.785025432</v>
      </c>
      <c r="J111" s="9" t="n">
        <f aca="false">(parametros_manuales!$D$20*('Plan mensual'!L46+IF(parametros_manuales!$H$20="Todos",'Plan mensual'!L50,0))+parametros_manuales!$E$20*('Plan mensual'!L47+IF(parametros_manuales!$H$20="Todos",'Plan mensual'!L51,0))+parametros_manuales!$F$20*('Plan mensual'!L48+IF(parametros_manuales!$H$20="Todos",'Plan mensual'!L52,0))+parametros_manuales!$G$20*('Plan mensual'!L49+IF(parametros_manuales!$H$20="Todos",'Plan mensual'!L53,0)))*parametros_manuales!$I$20*parametros_manuales!$J$20</f>
        <v>2092.785025432</v>
      </c>
      <c r="K111" s="9" t="n">
        <f aca="false">(parametros_manuales!$D$20*('Plan mensual'!M46+IF(parametros_manuales!$H$20="Todos",'Plan mensual'!M50,0))+parametros_manuales!$E$20*('Plan mensual'!M47+IF(parametros_manuales!$H$20="Todos",'Plan mensual'!M51,0))+parametros_manuales!$F$20*('Plan mensual'!M48+IF(parametros_manuales!$H$20="Todos",'Plan mensual'!M52,0))+parametros_manuales!$G$20*('Plan mensual'!M49+IF(parametros_manuales!$H$20="Todos",'Plan mensual'!M53,0)))*parametros_manuales!$I$20*parametros_manuales!$J$20</f>
        <v>1961.9859613425</v>
      </c>
      <c r="L111" s="9" t="n">
        <f aca="false">(parametros_manuales!$D$20*('Plan mensual'!N46+IF(parametros_manuales!$H$20="Todos",'Plan mensual'!N50,0))+parametros_manuales!$E$20*('Plan mensual'!N47+IF(parametros_manuales!$H$20="Todos",'Plan mensual'!N51,0))+parametros_manuales!$F$20*('Plan mensual'!N48+IF(parametros_manuales!$H$20="Todos",'Plan mensual'!N52,0))+parametros_manuales!$G$20*('Plan mensual'!N49+IF(parametros_manuales!$H$20="Todos",'Plan mensual'!N53,0)))*parametros_manuales!$I$20*parametros_manuales!$J$20</f>
        <v>1831.186897253</v>
      </c>
      <c r="M111" s="9" t="n">
        <f aca="false">(parametros_manuales!$D$20*('Plan mensual'!O46+IF(parametros_manuales!$H$20="Todos",'Plan mensual'!O50,0))+parametros_manuales!$E$20*('Plan mensual'!O47+IF(parametros_manuales!$H$20="Todos",'Plan mensual'!O51,0))+parametros_manuales!$F$20*('Plan mensual'!O48+IF(parametros_manuales!$H$20="Todos",'Plan mensual'!O52,0))+parametros_manuales!$G$20*('Plan mensual'!O49+IF(parametros_manuales!$H$20="Todos",'Plan mensual'!O53,0)))*parametros_manuales!$I$20*parametros_manuales!$J$20</f>
        <v>2877.579409969</v>
      </c>
      <c r="N111" s="9" t="n">
        <f aca="false">SUM(B111:M111)</f>
        <v>26159.8128179</v>
      </c>
      <c r="O111" s="9" t="n">
        <f aca="false">MAX(B111:M111)</f>
        <v>2877.579409969</v>
      </c>
      <c r="P111" s="43" t="n">
        <f aca="false">O111/(parametros_manuales!$B$7)</f>
        <v>19.1838627331267</v>
      </c>
      <c r="Q111" s="8" t="str">
        <f aca="false">IF(O111=0,"-",INDEX($B$109:$M$109,MATCH(O111,B111:M111,0)))</f>
        <v>Dic</v>
      </c>
    </row>
    <row r="112" customFormat="false" ht="14.25" hidden="false" customHeight="true" outlineLevel="0" collapsed="false">
      <c r="A112" s="8" t="str">
        <f aca="false">parametros_manuales!$B$21</f>
        <v>Corte de tubo — 1 kg</v>
      </c>
      <c r="B112" s="9" t="n">
        <f aca="false">(parametros_manuales!$D$21*('Plan mensual'!D46+IF(parametros_manuales!$H$21="Todos",'Plan mensual'!D50,0))+parametros_manuales!$E$21*('Plan mensual'!D47+IF(parametros_manuales!$H$21="Todos",'Plan mensual'!D51,0))+parametros_manuales!$F$21*('Plan mensual'!D48+IF(parametros_manuales!$H$21="Todos",'Plan mensual'!D52,0))+parametros_manuales!$G$21*('Plan mensual'!D49+IF(parametros_manuales!$H$21="Todos",'Plan mensual'!D53,0)))*parametros_manuales!$I$21*parametros_manuales!$J$21</f>
        <v>7453.8519252</v>
      </c>
      <c r="C112" s="9" t="n">
        <f aca="false">(parametros_manuales!$D$21*('Plan mensual'!E46+IF(parametros_manuales!$H$21="Todos",'Plan mensual'!E50,0))+parametros_manuales!$E$21*('Plan mensual'!E47+IF(parametros_manuales!$H$21="Todos",'Plan mensual'!E51,0))+parametros_manuales!$F$21*('Plan mensual'!E48+IF(parametros_manuales!$H$21="Todos",'Plan mensual'!E52,0))+parametros_manuales!$G$21*('Plan mensual'!E49+IF(parametros_manuales!$H$21="Todos",'Plan mensual'!E53,0)))*parametros_manuales!$I$21*parametros_manuales!$J$21</f>
        <v>5590.3889439</v>
      </c>
      <c r="D112" s="9" t="n">
        <f aca="false">(parametros_manuales!$D$21*('Plan mensual'!F46+IF(parametros_manuales!$H$21="Todos",'Plan mensual'!F50,0))+parametros_manuales!$E$21*('Plan mensual'!F47+IF(parametros_manuales!$H$21="Todos",'Plan mensual'!F51,0))+parametros_manuales!$F$21*('Plan mensual'!F48+IF(parametros_manuales!$H$21="Todos",'Plan mensual'!F52,0))+parametros_manuales!$G$21*('Plan mensual'!F49+IF(parametros_manuales!$H$21="Todos",'Plan mensual'!F53,0)))*parametros_manuales!$I$21*parametros_manuales!$J$21</f>
        <v>4969.2346168</v>
      </c>
      <c r="E112" s="9" t="n">
        <f aca="false">(parametros_manuales!$D$21*('Plan mensual'!G46+IF(parametros_manuales!$H$21="Todos",'Plan mensual'!G50,0))+parametros_manuales!$E$21*('Plan mensual'!G47+IF(parametros_manuales!$H$21="Todos",'Plan mensual'!G51,0))+parametros_manuales!$F$21*('Plan mensual'!G48+IF(parametros_manuales!$H$21="Todos",'Plan mensual'!G52,0))+parametros_manuales!$G$21*('Plan mensual'!G49+IF(parametros_manuales!$H$21="Todos",'Plan mensual'!G53,0)))*parametros_manuales!$I$21*parametros_manuales!$J$21</f>
        <v>4658.65745325</v>
      </c>
      <c r="F112" s="9" t="n">
        <f aca="false">(parametros_manuales!$D$21*('Plan mensual'!H46+IF(parametros_manuales!$H$21="Todos",'Plan mensual'!H50,0))+parametros_manuales!$E$21*('Plan mensual'!H47+IF(parametros_manuales!$H$21="Todos",'Plan mensual'!H51,0))+parametros_manuales!$F$21*('Plan mensual'!H48+IF(parametros_manuales!$H$21="Todos",'Plan mensual'!H52,0))+parametros_manuales!$G$21*('Plan mensual'!H49+IF(parametros_manuales!$H$21="Todos",'Plan mensual'!H53,0)))*parametros_manuales!$I$21*parametros_manuales!$J$21</f>
        <v>4348.0802897</v>
      </c>
      <c r="G112" s="9" t="n">
        <f aca="false">(parametros_manuales!$D$21*('Plan mensual'!I46+IF(parametros_manuales!$H$21="Todos",'Plan mensual'!I50,0))+parametros_manuales!$E$21*('Plan mensual'!I47+IF(parametros_manuales!$H$21="Todos",'Plan mensual'!I51,0))+parametros_manuales!$F$21*('Plan mensual'!I48+IF(parametros_manuales!$H$21="Todos",'Plan mensual'!I52,0))+parametros_manuales!$G$21*('Plan mensual'!I49+IF(parametros_manuales!$H$21="Todos",'Plan mensual'!I53,0)))*parametros_manuales!$I$21*parametros_manuales!$J$21</f>
        <v>4348.0802897</v>
      </c>
      <c r="H112" s="9" t="n">
        <f aca="false">(parametros_manuales!$D$21*('Plan mensual'!J46+IF(parametros_manuales!$H$21="Todos",'Plan mensual'!J50,0))+parametros_manuales!$E$21*('Plan mensual'!J47+IF(parametros_manuales!$H$21="Todos",'Plan mensual'!J51,0))+parametros_manuales!$F$21*('Plan mensual'!J48+IF(parametros_manuales!$H$21="Todos",'Plan mensual'!J52,0))+parametros_manuales!$G$21*('Plan mensual'!J49+IF(parametros_manuales!$H$21="Todos",'Plan mensual'!J53,0)))*parametros_manuales!$I$21*parametros_manuales!$J$21</f>
        <v>4658.65745325</v>
      </c>
      <c r="I112" s="9" t="n">
        <f aca="false">(parametros_manuales!$D$21*('Plan mensual'!K46+IF(parametros_manuales!$H$21="Todos",'Plan mensual'!K50,0))+parametros_manuales!$E$21*('Plan mensual'!K47+IF(parametros_manuales!$H$21="Todos",'Plan mensual'!K51,0))+parametros_manuales!$F$21*('Plan mensual'!K48+IF(parametros_manuales!$H$21="Todos",'Plan mensual'!K52,0))+parametros_manuales!$G$21*('Plan mensual'!K49+IF(parametros_manuales!$H$21="Todos",'Plan mensual'!K53,0)))*parametros_manuales!$I$21*parametros_manuales!$J$21</f>
        <v>4658.65745325</v>
      </c>
      <c r="J112" s="9" t="n">
        <f aca="false">(parametros_manuales!$D$21*('Plan mensual'!L46+IF(parametros_manuales!$H$21="Todos",'Plan mensual'!L50,0))+parametros_manuales!$E$21*('Plan mensual'!L47+IF(parametros_manuales!$H$21="Todos",'Plan mensual'!L51,0))+parametros_manuales!$F$21*('Plan mensual'!L48+IF(parametros_manuales!$H$21="Todos",'Plan mensual'!L52,0))+parametros_manuales!$G$21*('Plan mensual'!L49+IF(parametros_manuales!$H$21="Todos",'Plan mensual'!L53,0)))*parametros_manuales!$I$21*parametros_manuales!$J$21</f>
        <v>4658.65745325</v>
      </c>
      <c r="K112" s="9" t="n">
        <f aca="false">(parametros_manuales!$D$21*('Plan mensual'!M46+IF(parametros_manuales!$H$21="Todos",'Plan mensual'!M50,0))+parametros_manuales!$E$21*('Plan mensual'!M47+IF(parametros_manuales!$H$21="Todos",'Plan mensual'!M51,0))+parametros_manuales!$F$21*('Plan mensual'!M48+IF(parametros_manuales!$H$21="Todos",'Plan mensual'!M52,0))+parametros_manuales!$G$21*('Plan mensual'!M49+IF(parametros_manuales!$H$21="Todos",'Plan mensual'!M53,0)))*parametros_manuales!$I$21*parametros_manuales!$J$21</f>
        <v>4658.65745325</v>
      </c>
      <c r="L112" s="9" t="n">
        <f aca="false">(parametros_manuales!$D$21*('Plan mensual'!N46+IF(parametros_manuales!$H$21="Todos",'Plan mensual'!N50,0))+parametros_manuales!$E$21*('Plan mensual'!N47+IF(parametros_manuales!$H$21="Todos",'Plan mensual'!N51,0))+parametros_manuales!$F$21*('Plan mensual'!N48+IF(parametros_manuales!$H$21="Todos",'Plan mensual'!N52,0))+parametros_manuales!$G$21*('Plan mensual'!N49+IF(parametros_manuales!$H$21="Todos",'Plan mensual'!N53,0)))*parametros_manuales!$I$21*parametros_manuales!$J$21</f>
        <v>4658.65745325</v>
      </c>
      <c r="M112" s="9" t="n">
        <f aca="false">(parametros_manuales!$D$21*('Plan mensual'!O46+IF(parametros_manuales!$H$21="Todos",'Plan mensual'!O50,0))+parametros_manuales!$E$21*('Plan mensual'!O47+IF(parametros_manuales!$H$21="Todos",'Plan mensual'!O51,0))+parametros_manuales!$F$21*('Plan mensual'!O48+IF(parametros_manuales!$H$21="Todos",'Plan mensual'!O52,0))+parametros_manuales!$G$21*('Plan mensual'!O49+IF(parametros_manuales!$H$21="Todos",'Plan mensual'!O53,0)))*parametros_manuales!$I$21*parametros_manuales!$J$21</f>
        <v>7453.8519252</v>
      </c>
      <c r="N112" s="9" t="n">
        <f aca="false">SUM(B112:M112)</f>
        <v>62115.43271</v>
      </c>
      <c r="O112" s="9" t="n">
        <f aca="false">MAX(B112:M112)</f>
        <v>7453.8519252</v>
      </c>
      <c r="P112" s="43" t="n">
        <f aca="false">O112/(parametros_manuales!$B$7)</f>
        <v>49.692346168</v>
      </c>
      <c r="Q112" s="8" t="str">
        <f aca="false">IF(O112=0,"-",INDEX($B$109:$M$109,MATCH(O112,B112:M112,0)))</f>
        <v>Ene</v>
      </c>
    </row>
    <row r="113" customFormat="false" ht="14.25" hidden="false" customHeight="true" outlineLevel="0" collapsed="false">
      <c r="A113" s="8" t="str">
        <f aca="false">parametros_manuales!$B$22</f>
        <v>Corte de disco y embutido (cúpula y fondo)</v>
      </c>
      <c r="B113" s="9" t="n">
        <f aca="false">(parametros_manuales!$D$22*('Plan mensual'!D46+IF(parametros_manuales!$H$22="Todos",'Plan mensual'!D50,0))+parametros_manuales!$E$22*('Plan mensual'!D47+IF(parametros_manuales!$H$22="Todos",'Plan mensual'!D51,0))+parametros_manuales!$F$22*('Plan mensual'!D48+IF(parametros_manuales!$H$22="Todos",'Plan mensual'!D52,0))+parametros_manuales!$G$22*('Plan mensual'!D49+IF(parametros_manuales!$H$22="Todos",'Plan mensual'!D53,0)))*parametros_manuales!$I$22*parametros_manuales!$J$22</f>
        <v>20139.66641398</v>
      </c>
      <c r="C113" s="9" t="n">
        <f aca="false">(parametros_manuales!$D$22*('Plan mensual'!E46+IF(parametros_manuales!$H$22="Todos",'Plan mensual'!E50,0))+parametros_manuales!$E$22*('Plan mensual'!E47+IF(parametros_manuales!$H$22="Todos",'Plan mensual'!E51,0))+parametros_manuales!$F$22*('Plan mensual'!E48+IF(parametros_manuales!$H$22="Todos",'Plan mensual'!E52,0))+parametros_manuales!$G$22*('Plan mensual'!E49+IF(parametros_manuales!$H$22="Todos",'Plan mensual'!E53,0)))*parametros_manuales!$I$22*parametros_manuales!$J$22</f>
        <v>15366.347938664</v>
      </c>
      <c r="D113" s="9" t="n">
        <f aca="false">(parametros_manuales!$D$22*('Plan mensual'!F46+IF(parametros_manuales!$H$22="Todos",'Plan mensual'!F50,0))+parametros_manuales!$E$22*('Plan mensual'!F47+IF(parametros_manuales!$H$22="Todos",'Plan mensual'!F51,0))+parametros_manuales!$F$22*('Plan mensual'!F48+IF(parametros_manuales!$H$22="Todos",'Plan mensual'!F52,0))+parametros_manuales!$G$22*('Plan mensual'!F49+IF(parametros_manuales!$H$22="Todos",'Plan mensual'!F53,0)))*parametros_manuales!$I$22*parametros_manuales!$J$22</f>
        <v>14385.637412643</v>
      </c>
      <c r="E113" s="9" t="n">
        <f aca="false">(parametros_manuales!$D$22*('Plan mensual'!G46+IF(parametros_manuales!$H$22="Todos",'Plan mensual'!G50,0))+parametros_manuales!$E$22*('Plan mensual'!G47+IF(parametros_manuales!$H$22="Todos",'Plan mensual'!G51,0))+parametros_manuales!$F$22*('Plan mensual'!G48+IF(parametros_manuales!$H$22="Todos",'Plan mensual'!G52,0))+parametros_manuales!$G$22*('Plan mensual'!G49+IF(parametros_manuales!$H$22="Todos",'Plan mensual'!G53,0)))*parametros_manuales!$I$22*parametros_manuales!$J$22</f>
        <v>13764.483085543</v>
      </c>
      <c r="F113" s="9" t="n">
        <f aca="false">(parametros_manuales!$D$22*('Plan mensual'!H46+IF(parametros_manuales!$H$22="Todos",'Plan mensual'!H50,0))+parametros_manuales!$E$22*('Plan mensual'!H47+IF(parametros_manuales!$H$22="Todos",'Plan mensual'!H51,0))+parametros_manuales!$F$22*('Plan mensual'!H48+IF(parametros_manuales!$H$22="Todos",'Plan mensual'!H52,0))+parametros_manuales!$G$22*('Plan mensual'!H49+IF(parametros_manuales!$H$22="Todos",'Plan mensual'!H53,0)))*parametros_manuales!$I$22*parametros_manuales!$J$22</f>
        <v>12881.730630264</v>
      </c>
      <c r="G113" s="9" t="n">
        <f aca="false">(parametros_manuales!$D$22*('Plan mensual'!I46+IF(parametros_manuales!$H$22="Todos",'Plan mensual'!I50,0))+parametros_manuales!$E$22*('Plan mensual'!I47+IF(parametros_manuales!$H$22="Todos",'Plan mensual'!I51,0))+parametros_manuales!$F$22*('Plan mensual'!I48+IF(parametros_manuales!$H$22="Todos",'Plan mensual'!I52,0))+parametros_manuales!$G$22*('Plan mensual'!I49+IF(parametros_manuales!$H$22="Todos",'Plan mensual'!I53,0)))*parametros_manuales!$I$22*parametros_manuales!$J$22</f>
        <v>12620.132502085</v>
      </c>
      <c r="H113" s="9" t="n">
        <f aca="false">(parametros_manuales!$D$22*('Plan mensual'!J46+IF(parametros_manuales!$H$22="Todos",'Plan mensual'!J50,0))+parametros_manuales!$E$22*('Plan mensual'!J47+IF(parametros_manuales!$H$22="Todos",'Plan mensual'!J51,0))+parametros_manuales!$F$22*('Plan mensual'!J48+IF(parametros_manuales!$H$22="Todos",'Plan mensual'!J52,0))+parametros_manuales!$G$22*('Plan mensual'!J49+IF(parametros_manuales!$H$22="Todos",'Plan mensual'!J53,0)))*parametros_manuales!$I$22*parametros_manuales!$J$22</f>
        <v>13502.884957364</v>
      </c>
      <c r="I113" s="9" t="n">
        <f aca="false">(parametros_manuales!$D$22*('Plan mensual'!K46+IF(parametros_manuales!$H$22="Todos",'Plan mensual'!K50,0))+parametros_manuales!$E$22*('Plan mensual'!K47+IF(parametros_manuales!$H$22="Todos",'Plan mensual'!K51,0))+parametros_manuales!$F$22*('Plan mensual'!K48+IF(parametros_manuales!$H$22="Todos",'Plan mensual'!K52,0))+parametros_manuales!$G$22*('Plan mensual'!K49+IF(parametros_manuales!$H$22="Todos",'Plan mensual'!K53,0)))*parametros_manuales!$I$22*parametros_manuales!$J$22</f>
        <v>13502.884957364</v>
      </c>
      <c r="J113" s="9" t="n">
        <f aca="false">(parametros_manuales!$D$22*('Plan mensual'!L46+IF(parametros_manuales!$H$22="Todos",'Plan mensual'!L50,0))+parametros_manuales!$E$22*('Plan mensual'!L47+IF(parametros_manuales!$H$22="Todos",'Plan mensual'!L51,0))+parametros_manuales!$F$22*('Plan mensual'!L48+IF(parametros_manuales!$H$22="Todos",'Plan mensual'!L52,0))+parametros_manuales!$G$22*('Plan mensual'!L49+IF(parametros_manuales!$H$22="Todos",'Plan mensual'!L53,0)))*parametros_manuales!$I$22*parametros_manuales!$J$22</f>
        <v>13502.884957364</v>
      </c>
      <c r="K113" s="9" t="n">
        <f aca="false">(parametros_manuales!$D$22*('Plan mensual'!M46+IF(parametros_manuales!$H$22="Todos",'Plan mensual'!M50,0))+parametros_manuales!$E$22*('Plan mensual'!M47+IF(parametros_manuales!$H$22="Todos",'Plan mensual'!M51,0))+parametros_manuales!$F$22*('Plan mensual'!M48+IF(parametros_manuales!$H$22="Todos",'Plan mensual'!M52,0))+parametros_manuales!$G$22*('Plan mensual'!M49+IF(parametros_manuales!$H$22="Todos",'Plan mensual'!M53,0)))*parametros_manuales!$I$22*parametros_manuales!$J$22</f>
        <v>13241.286829185</v>
      </c>
      <c r="L113" s="9" t="n">
        <f aca="false">(parametros_manuales!$D$22*('Plan mensual'!N46+IF(parametros_manuales!$H$22="Todos",'Plan mensual'!N50,0))+parametros_manuales!$E$22*('Plan mensual'!N47+IF(parametros_manuales!$H$22="Todos",'Plan mensual'!N51,0))+parametros_manuales!$F$22*('Plan mensual'!N48+IF(parametros_manuales!$H$22="Todos",'Plan mensual'!N52,0))+parametros_manuales!$G$22*('Plan mensual'!N49+IF(parametros_manuales!$H$22="Todos",'Plan mensual'!N53,0)))*parametros_manuales!$I$22*parametros_manuales!$J$22</f>
        <v>12979.688701006</v>
      </c>
      <c r="M113" s="9" t="n">
        <f aca="false">(parametros_manuales!$D$22*('Plan mensual'!O46+IF(parametros_manuales!$H$22="Todos",'Plan mensual'!O50,0))+parametros_manuales!$E$22*('Plan mensual'!O47+IF(parametros_manuales!$H$22="Todos",'Plan mensual'!O51,0))+parametros_manuales!$F$22*('Plan mensual'!O48+IF(parametros_manuales!$H$22="Todos",'Plan mensual'!O52,0))+parametros_manuales!$G$22*('Plan mensual'!O49+IF(parametros_manuales!$H$22="Todos",'Plan mensual'!O53,0)))*parametros_manuales!$I$22*parametros_manuales!$J$22</f>
        <v>20662.862670338</v>
      </c>
      <c r="N113" s="9" t="n">
        <f aca="false">SUM(B113:M113)</f>
        <v>176550.4910558</v>
      </c>
      <c r="O113" s="9" t="n">
        <f aca="false">MAX(B113:M113)</f>
        <v>20662.862670338</v>
      </c>
      <c r="P113" s="43" t="n">
        <f aca="false">O113/(parametros_manuales!$B$7)</f>
        <v>137.752417802253</v>
      </c>
      <c r="Q113" s="8" t="str">
        <f aca="false">IF(O113=0,"-",INDEX($B$109:$M$109,MATCH(O113,B113:M113,0)))</f>
        <v>Dic</v>
      </c>
    </row>
    <row r="114" customFormat="false" ht="14.25" hidden="false" customHeight="true" outlineLevel="0" collapsed="false">
      <c r="A114" s="8" t="str">
        <f aca="false">parametros_manuales!$B$23</f>
        <v>Preparación de cuello</v>
      </c>
      <c r="B114" s="9" t="n">
        <f aca="false">(parametros_manuales!$D$23*('Plan mensual'!D46+IF(parametros_manuales!$H$23="Todos",'Plan mensual'!D50,0))+parametros_manuales!$E$23*('Plan mensual'!D47+IF(parametros_manuales!$H$23="Todos",'Plan mensual'!D51,0))+parametros_manuales!$F$23*('Plan mensual'!D48+IF(parametros_manuales!$H$23="Todos",'Plan mensual'!D52,0))+parametros_manuales!$G$23*('Plan mensual'!D49+IF(parametros_manuales!$H$23="Todos",'Plan mensual'!D53,0)))*parametros_manuales!$I$23*parametros_manuales!$J$23</f>
        <v>10069.83320699</v>
      </c>
      <c r="C114" s="9" t="n">
        <f aca="false">(parametros_manuales!$D$23*('Plan mensual'!E46+IF(parametros_manuales!$H$23="Todos",'Plan mensual'!E50,0))+parametros_manuales!$E$23*('Plan mensual'!E47+IF(parametros_manuales!$H$23="Todos",'Plan mensual'!E51,0))+parametros_manuales!$F$23*('Plan mensual'!E48+IF(parametros_manuales!$H$23="Todos",'Plan mensual'!E52,0))+parametros_manuales!$G$23*('Plan mensual'!E49+IF(parametros_manuales!$H$23="Todos",'Plan mensual'!E53,0)))*parametros_manuales!$I$23*parametros_manuales!$J$23</f>
        <v>7683.173969332</v>
      </c>
      <c r="D114" s="9" t="n">
        <f aca="false">(parametros_manuales!$D$23*('Plan mensual'!F46+IF(parametros_manuales!$H$23="Todos",'Plan mensual'!F50,0))+parametros_manuales!$E$23*('Plan mensual'!F47+IF(parametros_manuales!$H$23="Todos",'Plan mensual'!F51,0))+parametros_manuales!$F$23*('Plan mensual'!F48+IF(parametros_manuales!$H$23="Todos",'Plan mensual'!F52,0))+parametros_manuales!$G$23*('Plan mensual'!F49+IF(parametros_manuales!$H$23="Todos",'Plan mensual'!F53,0)))*parametros_manuales!$I$23*parametros_manuales!$J$23</f>
        <v>7192.8187063215</v>
      </c>
      <c r="E114" s="9" t="n">
        <f aca="false">(parametros_manuales!$D$23*('Plan mensual'!G46+IF(parametros_manuales!$H$23="Todos",'Plan mensual'!G50,0))+parametros_manuales!$E$23*('Plan mensual'!G47+IF(parametros_manuales!$H$23="Todos",'Plan mensual'!G51,0))+parametros_manuales!$F$23*('Plan mensual'!G48+IF(parametros_manuales!$H$23="Todos",'Plan mensual'!G52,0))+parametros_manuales!$G$23*('Plan mensual'!G49+IF(parametros_manuales!$H$23="Todos",'Plan mensual'!G53,0)))*parametros_manuales!$I$23*parametros_manuales!$J$23</f>
        <v>6882.2415427715</v>
      </c>
      <c r="F114" s="9" t="n">
        <f aca="false">(parametros_manuales!$D$23*('Plan mensual'!H46+IF(parametros_manuales!$H$23="Todos",'Plan mensual'!H50,0))+parametros_manuales!$E$23*('Plan mensual'!H47+IF(parametros_manuales!$H$23="Todos",'Plan mensual'!H51,0))+parametros_manuales!$F$23*('Plan mensual'!H48+IF(parametros_manuales!$H$23="Todos",'Plan mensual'!H52,0))+parametros_manuales!$G$23*('Plan mensual'!H49+IF(parametros_manuales!$H$23="Todos",'Plan mensual'!H53,0)))*parametros_manuales!$I$23*parametros_manuales!$J$23</f>
        <v>6440.865315132</v>
      </c>
      <c r="G114" s="9" t="n">
        <f aca="false">(parametros_manuales!$D$23*('Plan mensual'!I46+IF(parametros_manuales!$H$23="Todos",'Plan mensual'!I50,0))+parametros_manuales!$E$23*('Plan mensual'!I47+IF(parametros_manuales!$H$23="Todos",'Plan mensual'!I51,0))+parametros_manuales!$F$23*('Plan mensual'!I48+IF(parametros_manuales!$H$23="Todos",'Plan mensual'!I52,0))+parametros_manuales!$G$23*('Plan mensual'!I49+IF(parametros_manuales!$H$23="Todos",'Plan mensual'!I53,0)))*parametros_manuales!$I$23*parametros_manuales!$J$23</f>
        <v>6310.0662510425</v>
      </c>
      <c r="H114" s="9" t="n">
        <f aca="false">(parametros_manuales!$D$23*('Plan mensual'!J46+IF(parametros_manuales!$H$23="Todos",'Plan mensual'!J50,0))+parametros_manuales!$E$23*('Plan mensual'!J47+IF(parametros_manuales!$H$23="Todos",'Plan mensual'!J51,0))+parametros_manuales!$F$23*('Plan mensual'!J48+IF(parametros_manuales!$H$23="Todos",'Plan mensual'!J52,0))+parametros_manuales!$G$23*('Plan mensual'!J49+IF(parametros_manuales!$H$23="Todos",'Plan mensual'!J53,0)))*parametros_manuales!$I$23*parametros_manuales!$J$23</f>
        <v>6751.442478682</v>
      </c>
      <c r="I114" s="9" t="n">
        <f aca="false">(parametros_manuales!$D$23*('Plan mensual'!K46+IF(parametros_manuales!$H$23="Todos",'Plan mensual'!K50,0))+parametros_manuales!$E$23*('Plan mensual'!K47+IF(parametros_manuales!$H$23="Todos",'Plan mensual'!K51,0))+parametros_manuales!$F$23*('Plan mensual'!K48+IF(parametros_manuales!$H$23="Todos",'Plan mensual'!K52,0))+parametros_manuales!$G$23*('Plan mensual'!K49+IF(parametros_manuales!$H$23="Todos",'Plan mensual'!K53,0)))*parametros_manuales!$I$23*parametros_manuales!$J$23</f>
        <v>6751.442478682</v>
      </c>
      <c r="J114" s="9" t="n">
        <f aca="false">(parametros_manuales!$D$23*('Plan mensual'!L46+IF(parametros_manuales!$H$23="Todos",'Plan mensual'!L50,0))+parametros_manuales!$E$23*('Plan mensual'!L47+IF(parametros_manuales!$H$23="Todos",'Plan mensual'!L51,0))+parametros_manuales!$F$23*('Plan mensual'!L48+IF(parametros_manuales!$H$23="Todos",'Plan mensual'!L52,0))+parametros_manuales!$G$23*('Plan mensual'!L49+IF(parametros_manuales!$H$23="Todos",'Plan mensual'!L53,0)))*parametros_manuales!$I$23*parametros_manuales!$J$23</f>
        <v>6751.442478682</v>
      </c>
      <c r="K114" s="9" t="n">
        <f aca="false">(parametros_manuales!$D$23*('Plan mensual'!M46+IF(parametros_manuales!$H$23="Todos",'Plan mensual'!M50,0))+parametros_manuales!$E$23*('Plan mensual'!M47+IF(parametros_manuales!$H$23="Todos",'Plan mensual'!M51,0))+parametros_manuales!$F$23*('Plan mensual'!M48+IF(parametros_manuales!$H$23="Todos",'Plan mensual'!M52,0))+parametros_manuales!$G$23*('Plan mensual'!M49+IF(parametros_manuales!$H$23="Todos",'Plan mensual'!M53,0)))*parametros_manuales!$I$23*parametros_manuales!$J$23</f>
        <v>6620.6434145925</v>
      </c>
      <c r="L114" s="9" t="n">
        <f aca="false">(parametros_manuales!$D$23*('Plan mensual'!N46+IF(parametros_manuales!$H$23="Todos",'Plan mensual'!N50,0))+parametros_manuales!$E$23*('Plan mensual'!N47+IF(parametros_manuales!$H$23="Todos",'Plan mensual'!N51,0))+parametros_manuales!$F$23*('Plan mensual'!N48+IF(parametros_manuales!$H$23="Todos",'Plan mensual'!N52,0))+parametros_manuales!$G$23*('Plan mensual'!N49+IF(parametros_manuales!$H$23="Todos",'Plan mensual'!N53,0)))*parametros_manuales!$I$23*parametros_manuales!$J$23</f>
        <v>6489.844350503</v>
      </c>
      <c r="M114" s="9" t="n">
        <f aca="false">(parametros_manuales!$D$23*('Plan mensual'!O46+IF(parametros_manuales!$H$23="Todos",'Plan mensual'!O50,0))+parametros_manuales!$E$23*('Plan mensual'!O47+IF(parametros_manuales!$H$23="Todos",'Plan mensual'!O51,0))+parametros_manuales!$F$23*('Plan mensual'!O48+IF(parametros_manuales!$H$23="Todos",'Plan mensual'!O52,0))+parametros_manuales!$G$23*('Plan mensual'!O49+IF(parametros_manuales!$H$23="Todos",'Plan mensual'!O53,0)))*parametros_manuales!$I$23*parametros_manuales!$J$23</f>
        <v>10331.431335169</v>
      </c>
      <c r="N114" s="9" t="n">
        <f aca="false">SUM(B114:M114)</f>
        <v>88275.2455279</v>
      </c>
      <c r="O114" s="9" t="n">
        <f aca="false">MAX(B114:M114)</f>
        <v>10331.431335169</v>
      </c>
      <c r="P114" s="43" t="n">
        <f aca="false">O114/(parametros_manuales!$B$7)</f>
        <v>68.8762089011267</v>
      </c>
      <c r="Q114" s="8" t="str">
        <f aca="false">IF(O114=0,"-",INDEX($B$109:$M$109,MATCH(O114,B114:M114,0)))</f>
        <v>Dic</v>
      </c>
    </row>
    <row r="115" customFormat="false" ht="14.25" hidden="false" customHeight="true" outlineLevel="0" collapsed="false">
      <c r="A115" s="8" t="str">
        <f aca="false">parametros_manuales!$B$24</f>
        <v>Numerado de cúpula</v>
      </c>
      <c r="B115" s="9" t="n">
        <f aca="false">(parametros_manuales!$D$24*('Plan mensual'!D46+IF(parametros_manuales!$H$24="Todos",'Plan mensual'!D50,0))+parametros_manuales!$E$24*('Plan mensual'!D47+IF(parametros_manuales!$H$24="Todos",'Plan mensual'!D51,0))+parametros_manuales!$F$24*('Plan mensual'!D48+IF(parametros_manuales!$H$24="Todos",'Plan mensual'!D52,0))+parametros_manuales!$G$24*('Plan mensual'!D49+IF(parametros_manuales!$H$24="Todos",'Plan mensual'!D53,0)))*parametros_manuales!$I$24*parametros_manuales!$J$24</f>
        <v>10069.83320699</v>
      </c>
      <c r="C115" s="9" t="n">
        <f aca="false">(parametros_manuales!$D$24*('Plan mensual'!E46+IF(parametros_manuales!$H$24="Todos",'Plan mensual'!E50,0))+parametros_manuales!$E$24*('Plan mensual'!E47+IF(parametros_manuales!$H$24="Todos",'Plan mensual'!E51,0))+parametros_manuales!$F$24*('Plan mensual'!E48+IF(parametros_manuales!$H$24="Todos",'Plan mensual'!E52,0))+parametros_manuales!$G$24*('Plan mensual'!E49+IF(parametros_manuales!$H$24="Todos",'Plan mensual'!E53,0)))*parametros_manuales!$I$24*parametros_manuales!$J$24</f>
        <v>7683.173969332</v>
      </c>
      <c r="D115" s="9" t="n">
        <f aca="false">(parametros_manuales!$D$24*('Plan mensual'!F46+IF(parametros_manuales!$H$24="Todos",'Plan mensual'!F50,0))+parametros_manuales!$E$24*('Plan mensual'!F47+IF(parametros_manuales!$H$24="Todos",'Plan mensual'!F51,0))+parametros_manuales!$F$24*('Plan mensual'!F48+IF(parametros_manuales!$H$24="Todos",'Plan mensual'!F52,0))+parametros_manuales!$G$24*('Plan mensual'!F49+IF(parametros_manuales!$H$24="Todos",'Plan mensual'!F53,0)))*parametros_manuales!$I$24*parametros_manuales!$J$24</f>
        <v>7192.8187063215</v>
      </c>
      <c r="E115" s="9" t="n">
        <f aca="false">(parametros_manuales!$D$24*('Plan mensual'!G46+IF(parametros_manuales!$H$24="Todos",'Plan mensual'!G50,0))+parametros_manuales!$E$24*('Plan mensual'!G47+IF(parametros_manuales!$H$24="Todos",'Plan mensual'!G51,0))+parametros_manuales!$F$24*('Plan mensual'!G48+IF(parametros_manuales!$H$24="Todos",'Plan mensual'!G52,0))+parametros_manuales!$G$24*('Plan mensual'!G49+IF(parametros_manuales!$H$24="Todos",'Plan mensual'!G53,0)))*parametros_manuales!$I$24*parametros_manuales!$J$24</f>
        <v>6882.2415427715</v>
      </c>
      <c r="F115" s="9" t="n">
        <f aca="false">(parametros_manuales!$D$24*('Plan mensual'!H46+IF(parametros_manuales!$H$24="Todos",'Plan mensual'!H50,0))+parametros_manuales!$E$24*('Plan mensual'!H47+IF(parametros_manuales!$H$24="Todos",'Plan mensual'!H51,0))+parametros_manuales!$F$24*('Plan mensual'!H48+IF(parametros_manuales!$H$24="Todos",'Plan mensual'!H52,0))+parametros_manuales!$G$24*('Plan mensual'!H49+IF(parametros_manuales!$H$24="Todos",'Plan mensual'!H53,0)))*parametros_manuales!$I$24*parametros_manuales!$J$24</f>
        <v>6440.865315132</v>
      </c>
      <c r="G115" s="9" t="n">
        <f aca="false">(parametros_manuales!$D$24*('Plan mensual'!I46+IF(parametros_manuales!$H$24="Todos",'Plan mensual'!I50,0))+parametros_manuales!$E$24*('Plan mensual'!I47+IF(parametros_manuales!$H$24="Todos",'Plan mensual'!I51,0))+parametros_manuales!$F$24*('Plan mensual'!I48+IF(parametros_manuales!$H$24="Todos",'Plan mensual'!I52,0))+parametros_manuales!$G$24*('Plan mensual'!I49+IF(parametros_manuales!$H$24="Todos",'Plan mensual'!I53,0)))*parametros_manuales!$I$24*parametros_manuales!$J$24</f>
        <v>6310.0662510425</v>
      </c>
      <c r="H115" s="9" t="n">
        <f aca="false">(parametros_manuales!$D$24*('Plan mensual'!J46+IF(parametros_manuales!$H$24="Todos",'Plan mensual'!J50,0))+parametros_manuales!$E$24*('Plan mensual'!J47+IF(parametros_manuales!$H$24="Todos",'Plan mensual'!J51,0))+parametros_manuales!$F$24*('Plan mensual'!J48+IF(parametros_manuales!$H$24="Todos",'Plan mensual'!J52,0))+parametros_manuales!$G$24*('Plan mensual'!J49+IF(parametros_manuales!$H$24="Todos",'Plan mensual'!J53,0)))*parametros_manuales!$I$24*parametros_manuales!$J$24</f>
        <v>6751.442478682</v>
      </c>
      <c r="I115" s="9" t="n">
        <f aca="false">(parametros_manuales!$D$24*('Plan mensual'!K46+IF(parametros_manuales!$H$24="Todos",'Plan mensual'!K50,0))+parametros_manuales!$E$24*('Plan mensual'!K47+IF(parametros_manuales!$H$24="Todos",'Plan mensual'!K51,0))+parametros_manuales!$F$24*('Plan mensual'!K48+IF(parametros_manuales!$H$24="Todos",'Plan mensual'!K52,0))+parametros_manuales!$G$24*('Plan mensual'!K49+IF(parametros_manuales!$H$24="Todos",'Plan mensual'!K53,0)))*parametros_manuales!$I$24*parametros_manuales!$J$24</f>
        <v>6751.442478682</v>
      </c>
      <c r="J115" s="9" t="n">
        <f aca="false">(parametros_manuales!$D$24*('Plan mensual'!L46+IF(parametros_manuales!$H$24="Todos",'Plan mensual'!L50,0))+parametros_manuales!$E$24*('Plan mensual'!L47+IF(parametros_manuales!$H$24="Todos",'Plan mensual'!L51,0))+parametros_manuales!$F$24*('Plan mensual'!L48+IF(parametros_manuales!$H$24="Todos",'Plan mensual'!L52,0))+parametros_manuales!$G$24*('Plan mensual'!L49+IF(parametros_manuales!$H$24="Todos",'Plan mensual'!L53,0)))*parametros_manuales!$I$24*parametros_manuales!$J$24</f>
        <v>6751.442478682</v>
      </c>
      <c r="K115" s="9" t="n">
        <f aca="false">(parametros_manuales!$D$24*('Plan mensual'!M46+IF(parametros_manuales!$H$24="Todos",'Plan mensual'!M50,0))+parametros_manuales!$E$24*('Plan mensual'!M47+IF(parametros_manuales!$H$24="Todos",'Plan mensual'!M51,0))+parametros_manuales!$F$24*('Plan mensual'!M48+IF(parametros_manuales!$H$24="Todos",'Plan mensual'!M52,0))+parametros_manuales!$G$24*('Plan mensual'!M49+IF(parametros_manuales!$H$24="Todos",'Plan mensual'!M53,0)))*parametros_manuales!$I$24*parametros_manuales!$J$24</f>
        <v>6620.6434145925</v>
      </c>
      <c r="L115" s="9" t="n">
        <f aca="false">(parametros_manuales!$D$24*('Plan mensual'!N46+IF(parametros_manuales!$H$24="Todos",'Plan mensual'!N50,0))+parametros_manuales!$E$24*('Plan mensual'!N47+IF(parametros_manuales!$H$24="Todos",'Plan mensual'!N51,0))+parametros_manuales!$F$24*('Plan mensual'!N48+IF(parametros_manuales!$H$24="Todos",'Plan mensual'!N52,0))+parametros_manuales!$G$24*('Plan mensual'!N49+IF(parametros_manuales!$H$24="Todos",'Plan mensual'!N53,0)))*parametros_manuales!$I$24*parametros_manuales!$J$24</f>
        <v>6489.844350503</v>
      </c>
      <c r="M115" s="9" t="n">
        <f aca="false">(parametros_manuales!$D$24*('Plan mensual'!O46+IF(parametros_manuales!$H$24="Todos",'Plan mensual'!O50,0))+parametros_manuales!$E$24*('Plan mensual'!O47+IF(parametros_manuales!$H$24="Todos",'Plan mensual'!O51,0))+parametros_manuales!$F$24*('Plan mensual'!O48+IF(parametros_manuales!$H$24="Todos",'Plan mensual'!O52,0))+parametros_manuales!$G$24*('Plan mensual'!O49+IF(parametros_manuales!$H$24="Todos",'Plan mensual'!O53,0)))*parametros_manuales!$I$24*parametros_manuales!$J$24</f>
        <v>10331.431335169</v>
      </c>
      <c r="N115" s="9" t="n">
        <f aca="false">SUM(B115:M115)</f>
        <v>88275.2455279</v>
      </c>
      <c r="O115" s="9" t="n">
        <f aca="false">MAX(B115:M115)</f>
        <v>10331.431335169</v>
      </c>
      <c r="P115" s="43" t="n">
        <f aca="false">O115/(parametros_manuales!$B$7)</f>
        <v>68.8762089011267</v>
      </c>
      <c r="Q115" s="8" t="str">
        <f aca="false">IF(O115=0,"-",INDEX($B$109:$M$109,MATCH(O115,B115:M115,0)))</f>
        <v>Dic</v>
      </c>
    </row>
    <row r="116" customFormat="false" ht="14.25" hidden="false" customHeight="true" outlineLevel="0" collapsed="false">
      <c r="A116" s="8" t="str">
        <f aca="false">parametros_manuales!$B$25</f>
        <v>Soldadura del cuello a la cúpula</v>
      </c>
      <c r="B116" s="9" t="n">
        <f aca="false">(parametros_manuales!$D$25*('Plan mensual'!D46+IF(parametros_manuales!$H$25="Todos",'Plan mensual'!D50,0))+parametros_manuales!$E$25*('Plan mensual'!D47+IF(parametros_manuales!$H$25="Todos",'Plan mensual'!D51,0))+parametros_manuales!$F$25*('Plan mensual'!D48+IF(parametros_manuales!$H$25="Todos",'Plan mensual'!D52,0))+parametros_manuales!$G$25*('Plan mensual'!D49+IF(parametros_manuales!$H$25="Todos",'Plan mensual'!D53,0)))*parametros_manuales!$I$25*parametros_manuales!$J$25</f>
        <v>10069.83320699</v>
      </c>
      <c r="C116" s="9" t="n">
        <f aca="false">(parametros_manuales!$D$25*('Plan mensual'!E46+IF(parametros_manuales!$H$25="Todos",'Plan mensual'!E50,0))+parametros_manuales!$E$25*('Plan mensual'!E47+IF(parametros_manuales!$H$25="Todos",'Plan mensual'!E51,0))+parametros_manuales!$F$25*('Plan mensual'!E48+IF(parametros_manuales!$H$25="Todos",'Plan mensual'!E52,0))+parametros_manuales!$G$25*('Plan mensual'!E49+IF(parametros_manuales!$H$25="Todos",'Plan mensual'!E53,0)))*parametros_manuales!$I$25*parametros_manuales!$J$25</f>
        <v>7683.173969332</v>
      </c>
      <c r="D116" s="9" t="n">
        <f aca="false">(parametros_manuales!$D$25*('Plan mensual'!F46+IF(parametros_manuales!$H$25="Todos",'Plan mensual'!F50,0))+parametros_manuales!$E$25*('Plan mensual'!F47+IF(parametros_manuales!$H$25="Todos",'Plan mensual'!F51,0))+parametros_manuales!$F$25*('Plan mensual'!F48+IF(parametros_manuales!$H$25="Todos",'Plan mensual'!F52,0))+parametros_manuales!$G$25*('Plan mensual'!F49+IF(parametros_manuales!$H$25="Todos",'Plan mensual'!F53,0)))*parametros_manuales!$I$25*parametros_manuales!$J$25</f>
        <v>7192.8187063215</v>
      </c>
      <c r="E116" s="9" t="n">
        <f aca="false">(parametros_manuales!$D$25*('Plan mensual'!G46+IF(parametros_manuales!$H$25="Todos",'Plan mensual'!G50,0))+parametros_manuales!$E$25*('Plan mensual'!G47+IF(parametros_manuales!$H$25="Todos",'Plan mensual'!G51,0))+parametros_manuales!$F$25*('Plan mensual'!G48+IF(parametros_manuales!$H$25="Todos",'Plan mensual'!G52,0))+parametros_manuales!$G$25*('Plan mensual'!G49+IF(parametros_manuales!$H$25="Todos",'Plan mensual'!G53,0)))*parametros_manuales!$I$25*parametros_manuales!$J$25</f>
        <v>6882.2415427715</v>
      </c>
      <c r="F116" s="9" t="n">
        <f aca="false">(parametros_manuales!$D$25*('Plan mensual'!H46+IF(parametros_manuales!$H$25="Todos",'Plan mensual'!H50,0))+parametros_manuales!$E$25*('Plan mensual'!H47+IF(parametros_manuales!$H$25="Todos",'Plan mensual'!H51,0))+parametros_manuales!$F$25*('Plan mensual'!H48+IF(parametros_manuales!$H$25="Todos",'Plan mensual'!H52,0))+parametros_manuales!$G$25*('Plan mensual'!H49+IF(parametros_manuales!$H$25="Todos",'Plan mensual'!H53,0)))*parametros_manuales!$I$25*parametros_manuales!$J$25</f>
        <v>6440.865315132</v>
      </c>
      <c r="G116" s="9" t="n">
        <f aca="false">(parametros_manuales!$D$25*('Plan mensual'!I46+IF(parametros_manuales!$H$25="Todos",'Plan mensual'!I50,0))+parametros_manuales!$E$25*('Plan mensual'!I47+IF(parametros_manuales!$H$25="Todos",'Plan mensual'!I51,0))+parametros_manuales!$F$25*('Plan mensual'!I48+IF(parametros_manuales!$H$25="Todos",'Plan mensual'!I52,0))+parametros_manuales!$G$25*('Plan mensual'!I49+IF(parametros_manuales!$H$25="Todos",'Plan mensual'!I53,0)))*parametros_manuales!$I$25*parametros_manuales!$J$25</f>
        <v>6310.0662510425</v>
      </c>
      <c r="H116" s="9" t="n">
        <f aca="false">(parametros_manuales!$D$25*('Plan mensual'!J46+IF(parametros_manuales!$H$25="Todos",'Plan mensual'!J50,0))+parametros_manuales!$E$25*('Plan mensual'!J47+IF(parametros_manuales!$H$25="Todos",'Plan mensual'!J51,0))+parametros_manuales!$F$25*('Plan mensual'!J48+IF(parametros_manuales!$H$25="Todos",'Plan mensual'!J52,0))+parametros_manuales!$G$25*('Plan mensual'!J49+IF(parametros_manuales!$H$25="Todos",'Plan mensual'!J53,0)))*parametros_manuales!$I$25*parametros_manuales!$J$25</f>
        <v>6751.442478682</v>
      </c>
      <c r="I116" s="9" t="n">
        <f aca="false">(parametros_manuales!$D$25*('Plan mensual'!K46+IF(parametros_manuales!$H$25="Todos",'Plan mensual'!K50,0))+parametros_manuales!$E$25*('Plan mensual'!K47+IF(parametros_manuales!$H$25="Todos",'Plan mensual'!K51,0))+parametros_manuales!$F$25*('Plan mensual'!K48+IF(parametros_manuales!$H$25="Todos",'Plan mensual'!K52,0))+parametros_manuales!$G$25*('Plan mensual'!K49+IF(parametros_manuales!$H$25="Todos",'Plan mensual'!K53,0)))*parametros_manuales!$I$25*parametros_manuales!$J$25</f>
        <v>6751.442478682</v>
      </c>
      <c r="J116" s="9" t="n">
        <f aca="false">(parametros_manuales!$D$25*('Plan mensual'!L46+IF(parametros_manuales!$H$25="Todos",'Plan mensual'!L50,0))+parametros_manuales!$E$25*('Plan mensual'!L47+IF(parametros_manuales!$H$25="Todos",'Plan mensual'!L51,0))+parametros_manuales!$F$25*('Plan mensual'!L48+IF(parametros_manuales!$H$25="Todos",'Plan mensual'!L52,0))+parametros_manuales!$G$25*('Plan mensual'!L49+IF(parametros_manuales!$H$25="Todos",'Plan mensual'!L53,0)))*parametros_manuales!$I$25*parametros_manuales!$J$25</f>
        <v>6751.442478682</v>
      </c>
      <c r="K116" s="9" t="n">
        <f aca="false">(parametros_manuales!$D$25*('Plan mensual'!M46+IF(parametros_manuales!$H$25="Todos",'Plan mensual'!M50,0))+parametros_manuales!$E$25*('Plan mensual'!M47+IF(parametros_manuales!$H$25="Todos",'Plan mensual'!M51,0))+parametros_manuales!$F$25*('Plan mensual'!M48+IF(parametros_manuales!$H$25="Todos",'Plan mensual'!M52,0))+parametros_manuales!$G$25*('Plan mensual'!M49+IF(parametros_manuales!$H$25="Todos",'Plan mensual'!M53,0)))*parametros_manuales!$I$25*parametros_manuales!$J$25</f>
        <v>6620.6434145925</v>
      </c>
      <c r="L116" s="9" t="n">
        <f aca="false">(parametros_manuales!$D$25*('Plan mensual'!N46+IF(parametros_manuales!$H$25="Todos",'Plan mensual'!N50,0))+parametros_manuales!$E$25*('Plan mensual'!N47+IF(parametros_manuales!$H$25="Todos",'Plan mensual'!N51,0))+parametros_manuales!$F$25*('Plan mensual'!N48+IF(parametros_manuales!$H$25="Todos",'Plan mensual'!N52,0))+parametros_manuales!$G$25*('Plan mensual'!N49+IF(parametros_manuales!$H$25="Todos",'Plan mensual'!N53,0)))*parametros_manuales!$I$25*parametros_manuales!$J$25</f>
        <v>6489.844350503</v>
      </c>
      <c r="M116" s="9" t="n">
        <f aca="false">(parametros_manuales!$D$25*('Plan mensual'!O46+IF(parametros_manuales!$H$25="Todos",'Plan mensual'!O50,0))+parametros_manuales!$E$25*('Plan mensual'!O47+IF(parametros_manuales!$H$25="Todos",'Plan mensual'!O51,0))+parametros_manuales!$F$25*('Plan mensual'!O48+IF(parametros_manuales!$H$25="Todos",'Plan mensual'!O52,0))+parametros_manuales!$G$25*('Plan mensual'!O49+IF(parametros_manuales!$H$25="Todos",'Plan mensual'!O53,0)))*parametros_manuales!$I$25*parametros_manuales!$J$25</f>
        <v>10331.431335169</v>
      </c>
      <c r="N116" s="9" t="n">
        <f aca="false">SUM(B116:M116)</f>
        <v>88275.2455279</v>
      </c>
      <c r="O116" s="9" t="n">
        <f aca="false">MAX(B116:M116)</f>
        <v>10331.431335169</v>
      </c>
      <c r="P116" s="43" t="n">
        <f aca="false">O116/(parametros_manuales!$B$7)</f>
        <v>68.8762089011267</v>
      </c>
      <c r="Q116" s="8" t="str">
        <f aca="false">IF(O116=0,"-",INDEX($B$109:$M$109,MATCH(O116,B116:M116,0)))</f>
        <v>Dic</v>
      </c>
    </row>
    <row r="117" customFormat="false" ht="14.25" hidden="false" customHeight="true" outlineLevel="0" collapsed="false">
      <c r="A117" s="8" t="str">
        <f aca="false">parametros_manuales!$B$26</f>
        <v>Cilindrado</v>
      </c>
      <c r="B117" s="9" t="n">
        <f aca="false">(parametros_manuales!$D$26*('Plan mensual'!D46+IF(parametros_manuales!$H$26="Todos",'Plan mensual'!D50,0))+parametros_manuales!$E$26*('Plan mensual'!D47+IF(parametros_manuales!$H$26="Todos",'Plan mensual'!D51,0))+parametros_manuales!$F$26*('Plan mensual'!D48+IF(parametros_manuales!$H$26="Todos",'Plan mensual'!D52,0))+parametros_manuales!$G$26*('Plan mensual'!D49+IF(parametros_manuales!$H$26="Todos",'Plan mensual'!D53,0)))*parametros_manuales!$I$26*parametros_manuales!$J$26</f>
        <v>2615.98128179</v>
      </c>
      <c r="C117" s="9" t="n">
        <f aca="false">(parametros_manuales!$D$26*('Plan mensual'!E46+IF(parametros_manuales!$H$26="Todos",'Plan mensual'!E50,0))+parametros_manuales!$E$26*('Plan mensual'!E47+IF(parametros_manuales!$H$26="Todos",'Plan mensual'!E51,0))+parametros_manuales!$F$26*('Plan mensual'!E48+IF(parametros_manuales!$H$26="Todos",'Plan mensual'!E52,0))+parametros_manuales!$G$26*('Plan mensual'!E49+IF(parametros_manuales!$H$26="Todos",'Plan mensual'!E53,0)))*parametros_manuales!$I$26*parametros_manuales!$J$26</f>
        <v>2092.785025432</v>
      </c>
      <c r="D117" s="9" t="n">
        <f aca="false">(parametros_manuales!$D$26*('Plan mensual'!F46+IF(parametros_manuales!$H$26="Todos",'Plan mensual'!F50,0))+parametros_manuales!$E$26*('Plan mensual'!F47+IF(parametros_manuales!$H$26="Todos",'Plan mensual'!F51,0))+parametros_manuales!$F$26*('Plan mensual'!F48+IF(parametros_manuales!$H$26="Todos",'Plan mensual'!F52,0))+parametros_manuales!$G$26*('Plan mensual'!F49+IF(parametros_manuales!$H$26="Todos",'Plan mensual'!F53,0)))*parametros_manuales!$I$26*parametros_manuales!$J$26</f>
        <v>2223.5840895215</v>
      </c>
      <c r="E117" s="9" t="n">
        <f aca="false">(parametros_manuales!$D$26*('Plan mensual'!G46+IF(parametros_manuales!$H$26="Todos",'Plan mensual'!G50,0))+parametros_manuales!$E$26*('Plan mensual'!G47+IF(parametros_manuales!$H$26="Todos",'Plan mensual'!G51,0))+parametros_manuales!$F$26*('Plan mensual'!G48+IF(parametros_manuales!$H$26="Todos",'Plan mensual'!G52,0))+parametros_manuales!$G$26*('Plan mensual'!G49+IF(parametros_manuales!$H$26="Todos",'Plan mensual'!G53,0)))*parametros_manuales!$I$26*parametros_manuales!$J$26</f>
        <v>2223.5840895215</v>
      </c>
      <c r="F117" s="9" t="n">
        <f aca="false">(parametros_manuales!$D$26*('Plan mensual'!H46+IF(parametros_manuales!$H$26="Todos",'Plan mensual'!H50,0))+parametros_manuales!$E$26*('Plan mensual'!H47+IF(parametros_manuales!$H$26="Todos",'Plan mensual'!H51,0))+parametros_manuales!$F$26*('Plan mensual'!H48+IF(parametros_manuales!$H$26="Todos",'Plan mensual'!H52,0))+parametros_manuales!$G$26*('Plan mensual'!H49+IF(parametros_manuales!$H$26="Todos",'Plan mensual'!H53,0)))*parametros_manuales!$I$26*parametros_manuales!$J$26</f>
        <v>2092.785025432</v>
      </c>
      <c r="G117" s="9" t="n">
        <f aca="false">(parametros_manuales!$D$26*('Plan mensual'!I46+IF(parametros_manuales!$H$26="Todos",'Plan mensual'!I50,0))+parametros_manuales!$E$26*('Plan mensual'!I47+IF(parametros_manuales!$H$26="Todos",'Plan mensual'!I51,0))+parametros_manuales!$F$26*('Plan mensual'!I48+IF(parametros_manuales!$H$26="Todos",'Plan mensual'!I52,0))+parametros_manuales!$G$26*('Plan mensual'!I49+IF(parametros_manuales!$H$26="Todos",'Plan mensual'!I53,0)))*parametros_manuales!$I$26*parametros_manuales!$J$26</f>
        <v>1961.9859613425</v>
      </c>
      <c r="H117" s="9" t="n">
        <f aca="false">(parametros_manuales!$D$26*('Plan mensual'!J46+IF(parametros_manuales!$H$26="Todos",'Plan mensual'!J50,0))+parametros_manuales!$E$26*('Plan mensual'!J47+IF(parametros_manuales!$H$26="Todos",'Plan mensual'!J51,0))+parametros_manuales!$F$26*('Plan mensual'!J48+IF(parametros_manuales!$H$26="Todos",'Plan mensual'!J52,0))+parametros_manuales!$G$26*('Plan mensual'!J49+IF(parametros_manuales!$H$26="Todos",'Plan mensual'!J53,0)))*parametros_manuales!$I$26*parametros_manuales!$J$26</f>
        <v>2092.785025432</v>
      </c>
      <c r="I117" s="9" t="n">
        <f aca="false">(parametros_manuales!$D$26*('Plan mensual'!K46+IF(parametros_manuales!$H$26="Todos",'Plan mensual'!K50,0))+parametros_manuales!$E$26*('Plan mensual'!K47+IF(parametros_manuales!$H$26="Todos",'Plan mensual'!K51,0))+parametros_manuales!$F$26*('Plan mensual'!K48+IF(parametros_manuales!$H$26="Todos",'Plan mensual'!K52,0))+parametros_manuales!$G$26*('Plan mensual'!K49+IF(parametros_manuales!$H$26="Todos",'Plan mensual'!K53,0)))*parametros_manuales!$I$26*parametros_manuales!$J$26</f>
        <v>2092.785025432</v>
      </c>
      <c r="J117" s="9" t="n">
        <f aca="false">(parametros_manuales!$D$26*('Plan mensual'!L46+IF(parametros_manuales!$H$26="Todos",'Plan mensual'!L50,0))+parametros_manuales!$E$26*('Plan mensual'!L47+IF(parametros_manuales!$H$26="Todos",'Plan mensual'!L51,0))+parametros_manuales!$F$26*('Plan mensual'!L48+IF(parametros_manuales!$H$26="Todos",'Plan mensual'!L52,0))+parametros_manuales!$G$26*('Plan mensual'!L49+IF(parametros_manuales!$H$26="Todos",'Plan mensual'!L53,0)))*parametros_manuales!$I$26*parametros_manuales!$J$26</f>
        <v>2092.785025432</v>
      </c>
      <c r="K117" s="9" t="n">
        <f aca="false">(parametros_manuales!$D$26*('Plan mensual'!M46+IF(parametros_manuales!$H$26="Todos",'Plan mensual'!M50,0))+parametros_manuales!$E$26*('Plan mensual'!M47+IF(parametros_manuales!$H$26="Todos",'Plan mensual'!M51,0))+parametros_manuales!$F$26*('Plan mensual'!M48+IF(parametros_manuales!$H$26="Todos",'Plan mensual'!M52,0))+parametros_manuales!$G$26*('Plan mensual'!M49+IF(parametros_manuales!$H$26="Todos",'Plan mensual'!M53,0)))*parametros_manuales!$I$26*parametros_manuales!$J$26</f>
        <v>1961.9859613425</v>
      </c>
      <c r="L117" s="9" t="n">
        <f aca="false">(parametros_manuales!$D$26*('Plan mensual'!N46+IF(parametros_manuales!$H$26="Todos",'Plan mensual'!N50,0))+parametros_manuales!$E$26*('Plan mensual'!N47+IF(parametros_manuales!$H$26="Todos",'Plan mensual'!N51,0))+parametros_manuales!$F$26*('Plan mensual'!N48+IF(parametros_manuales!$H$26="Todos",'Plan mensual'!N52,0))+parametros_manuales!$G$26*('Plan mensual'!N49+IF(parametros_manuales!$H$26="Todos",'Plan mensual'!N53,0)))*parametros_manuales!$I$26*parametros_manuales!$J$26</f>
        <v>1831.186897253</v>
      </c>
      <c r="M117" s="9" t="n">
        <f aca="false">(parametros_manuales!$D$26*('Plan mensual'!O46+IF(parametros_manuales!$H$26="Todos",'Plan mensual'!O50,0))+parametros_manuales!$E$26*('Plan mensual'!O47+IF(parametros_manuales!$H$26="Todos",'Plan mensual'!O51,0))+parametros_manuales!$F$26*('Plan mensual'!O48+IF(parametros_manuales!$H$26="Todos",'Plan mensual'!O52,0))+parametros_manuales!$G$26*('Plan mensual'!O49+IF(parametros_manuales!$H$26="Todos",'Plan mensual'!O53,0)))*parametros_manuales!$I$26*parametros_manuales!$J$26</f>
        <v>2877.579409969</v>
      </c>
      <c r="N117" s="9" t="n">
        <f aca="false">SUM(B117:M117)</f>
        <v>26159.8128179</v>
      </c>
      <c r="O117" s="9" t="n">
        <f aca="false">MAX(B117:M117)</f>
        <v>2877.579409969</v>
      </c>
      <c r="P117" s="43" t="n">
        <f aca="false">O117/(parametros_manuales!$B$7)</f>
        <v>19.1838627331267</v>
      </c>
      <c r="Q117" s="8" t="str">
        <f aca="false">IF(O117=0,"-",INDEX($B$109:$M$109,MATCH(O117,B117:M117,0)))</f>
        <v>Dic</v>
      </c>
    </row>
    <row r="118" customFormat="false" ht="14.25" hidden="false" customHeight="true" outlineLevel="0" collapsed="false">
      <c r="A118" s="8" t="str">
        <f aca="false">parametros_manuales!$B$27</f>
        <v>Soldadura longitudinal</v>
      </c>
      <c r="B118" s="9" t="n">
        <f aca="false">(parametros_manuales!$D$27*('Plan mensual'!D46+IF(parametros_manuales!$H$27="Todos",'Plan mensual'!D50,0))+parametros_manuales!$E$27*('Plan mensual'!D47+IF(parametros_manuales!$H$27="Todos",'Plan mensual'!D51,0))+parametros_manuales!$F$27*('Plan mensual'!D48+IF(parametros_manuales!$H$27="Todos",'Plan mensual'!D52,0))+parametros_manuales!$G$27*('Plan mensual'!D49+IF(parametros_manuales!$H$27="Todos",'Plan mensual'!D53,0)))*parametros_manuales!$I$27*parametros_manuales!$J$27</f>
        <v>2615.98128179</v>
      </c>
      <c r="C118" s="9" t="n">
        <f aca="false">(parametros_manuales!$D$27*('Plan mensual'!E46+IF(parametros_manuales!$H$27="Todos",'Plan mensual'!E50,0))+parametros_manuales!$E$27*('Plan mensual'!E47+IF(parametros_manuales!$H$27="Todos",'Plan mensual'!E51,0))+parametros_manuales!$F$27*('Plan mensual'!E48+IF(parametros_manuales!$H$27="Todos",'Plan mensual'!E52,0))+parametros_manuales!$G$27*('Plan mensual'!E49+IF(parametros_manuales!$H$27="Todos",'Plan mensual'!E53,0)))*parametros_manuales!$I$27*parametros_manuales!$J$27</f>
        <v>2092.785025432</v>
      </c>
      <c r="D118" s="9" t="n">
        <f aca="false">(parametros_manuales!$D$27*('Plan mensual'!F46+IF(parametros_manuales!$H$27="Todos",'Plan mensual'!F50,0))+parametros_manuales!$E$27*('Plan mensual'!F47+IF(parametros_manuales!$H$27="Todos",'Plan mensual'!F51,0))+parametros_manuales!$F$27*('Plan mensual'!F48+IF(parametros_manuales!$H$27="Todos",'Plan mensual'!F52,0))+parametros_manuales!$G$27*('Plan mensual'!F49+IF(parametros_manuales!$H$27="Todos",'Plan mensual'!F53,0)))*parametros_manuales!$I$27*parametros_manuales!$J$27</f>
        <v>2223.5840895215</v>
      </c>
      <c r="E118" s="9" t="n">
        <f aca="false">(parametros_manuales!$D$27*('Plan mensual'!G46+IF(parametros_manuales!$H$27="Todos",'Plan mensual'!G50,0))+parametros_manuales!$E$27*('Plan mensual'!G47+IF(parametros_manuales!$H$27="Todos",'Plan mensual'!G51,0))+parametros_manuales!$F$27*('Plan mensual'!G48+IF(parametros_manuales!$H$27="Todos",'Plan mensual'!G52,0))+parametros_manuales!$G$27*('Plan mensual'!G49+IF(parametros_manuales!$H$27="Todos",'Plan mensual'!G53,0)))*parametros_manuales!$I$27*parametros_manuales!$J$27</f>
        <v>2223.5840895215</v>
      </c>
      <c r="F118" s="9" t="n">
        <f aca="false">(parametros_manuales!$D$27*('Plan mensual'!H46+IF(parametros_manuales!$H$27="Todos",'Plan mensual'!H50,0))+parametros_manuales!$E$27*('Plan mensual'!H47+IF(parametros_manuales!$H$27="Todos",'Plan mensual'!H51,0))+parametros_manuales!$F$27*('Plan mensual'!H48+IF(parametros_manuales!$H$27="Todos",'Plan mensual'!H52,0))+parametros_manuales!$G$27*('Plan mensual'!H49+IF(parametros_manuales!$H$27="Todos",'Plan mensual'!H53,0)))*parametros_manuales!$I$27*parametros_manuales!$J$27</f>
        <v>2092.785025432</v>
      </c>
      <c r="G118" s="9" t="n">
        <f aca="false">(parametros_manuales!$D$27*('Plan mensual'!I46+IF(parametros_manuales!$H$27="Todos",'Plan mensual'!I50,0))+parametros_manuales!$E$27*('Plan mensual'!I47+IF(parametros_manuales!$H$27="Todos",'Plan mensual'!I51,0))+parametros_manuales!$F$27*('Plan mensual'!I48+IF(parametros_manuales!$H$27="Todos",'Plan mensual'!I52,0))+parametros_manuales!$G$27*('Plan mensual'!I49+IF(parametros_manuales!$H$27="Todos",'Plan mensual'!I53,0)))*parametros_manuales!$I$27*parametros_manuales!$J$27</f>
        <v>1961.9859613425</v>
      </c>
      <c r="H118" s="9" t="n">
        <f aca="false">(parametros_manuales!$D$27*('Plan mensual'!J46+IF(parametros_manuales!$H$27="Todos",'Plan mensual'!J50,0))+parametros_manuales!$E$27*('Plan mensual'!J47+IF(parametros_manuales!$H$27="Todos",'Plan mensual'!J51,0))+parametros_manuales!$F$27*('Plan mensual'!J48+IF(parametros_manuales!$H$27="Todos",'Plan mensual'!J52,0))+parametros_manuales!$G$27*('Plan mensual'!J49+IF(parametros_manuales!$H$27="Todos",'Plan mensual'!J53,0)))*parametros_manuales!$I$27*parametros_manuales!$J$27</f>
        <v>2092.785025432</v>
      </c>
      <c r="I118" s="9" t="n">
        <f aca="false">(parametros_manuales!$D$27*('Plan mensual'!K46+IF(parametros_manuales!$H$27="Todos",'Plan mensual'!K50,0))+parametros_manuales!$E$27*('Plan mensual'!K47+IF(parametros_manuales!$H$27="Todos",'Plan mensual'!K51,0))+parametros_manuales!$F$27*('Plan mensual'!K48+IF(parametros_manuales!$H$27="Todos",'Plan mensual'!K52,0))+parametros_manuales!$G$27*('Plan mensual'!K49+IF(parametros_manuales!$H$27="Todos",'Plan mensual'!K53,0)))*parametros_manuales!$I$27*parametros_manuales!$J$27</f>
        <v>2092.785025432</v>
      </c>
      <c r="J118" s="9" t="n">
        <f aca="false">(parametros_manuales!$D$27*('Plan mensual'!L46+IF(parametros_manuales!$H$27="Todos",'Plan mensual'!L50,0))+parametros_manuales!$E$27*('Plan mensual'!L47+IF(parametros_manuales!$H$27="Todos",'Plan mensual'!L51,0))+parametros_manuales!$F$27*('Plan mensual'!L48+IF(parametros_manuales!$H$27="Todos",'Plan mensual'!L52,0))+parametros_manuales!$G$27*('Plan mensual'!L49+IF(parametros_manuales!$H$27="Todos",'Plan mensual'!L53,0)))*parametros_manuales!$I$27*parametros_manuales!$J$27</f>
        <v>2092.785025432</v>
      </c>
      <c r="K118" s="9" t="n">
        <f aca="false">(parametros_manuales!$D$27*('Plan mensual'!M46+IF(parametros_manuales!$H$27="Todos",'Plan mensual'!M50,0))+parametros_manuales!$E$27*('Plan mensual'!M47+IF(parametros_manuales!$H$27="Todos",'Plan mensual'!M51,0))+parametros_manuales!$F$27*('Plan mensual'!M48+IF(parametros_manuales!$H$27="Todos",'Plan mensual'!M52,0))+parametros_manuales!$G$27*('Plan mensual'!M49+IF(parametros_manuales!$H$27="Todos",'Plan mensual'!M53,0)))*parametros_manuales!$I$27*parametros_manuales!$J$27</f>
        <v>1961.9859613425</v>
      </c>
      <c r="L118" s="9" t="n">
        <f aca="false">(parametros_manuales!$D$27*('Plan mensual'!N46+IF(parametros_manuales!$H$27="Todos",'Plan mensual'!N50,0))+parametros_manuales!$E$27*('Plan mensual'!N47+IF(parametros_manuales!$H$27="Todos",'Plan mensual'!N51,0))+parametros_manuales!$F$27*('Plan mensual'!N48+IF(parametros_manuales!$H$27="Todos",'Plan mensual'!N52,0))+parametros_manuales!$G$27*('Plan mensual'!N49+IF(parametros_manuales!$H$27="Todos",'Plan mensual'!N53,0)))*parametros_manuales!$I$27*parametros_manuales!$J$27</f>
        <v>1831.186897253</v>
      </c>
      <c r="M118" s="9" t="n">
        <f aca="false">(parametros_manuales!$D$27*('Plan mensual'!O46+IF(parametros_manuales!$H$27="Todos",'Plan mensual'!O50,0))+parametros_manuales!$E$27*('Plan mensual'!O47+IF(parametros_manuales!$H$27="Todos",'Plan mensual'!O51,0))+parametros_manuales!$F$27*('Plan mensual'!O48+IF(parametros_manuales!$H$27="Todos",'Plan mensual'!O52,0))+parametros_manuales!$G$27*('Plan mensual'!O49+IF(parametros_manuales!$H$27="Todos",'Plan mensual'!O53,0)))*parametros_manuales!$I$27*parametros_manuales!$J$27</f>
        <v>2877.579409969</v>
      </c>
      <c r="N118" s="9" t="n">
        <f aca="false">SUM(B118:M118)</f>
        <v>26159.8128179</v>
      </c>
      <c r="O118" s="9" t="n">
        <f aca="false">MAX(B118:M118)</f>
        <v>2877.579409969</v>
      </c>
      <c r="P118" s="43" t="n">
        <f aca="false">O118/(parametros_manuales!$B$7)</f>
        <v>19.1838627331267</v>
      </c>
      <c r="Q118" s="8" t="str">
        <f aca="false">IF(O118=0,"-",INDEX($B$109:$M$109,MATCH(O118,B118:M118,0)))</f>
        <v>Dic</v>
      </c>
    </row>
    <row r="119" customFormat="false" ht="14.25" hidden="false" customHeight="true" outlineLevel="0" collapsed="false">
      <c r="A119" s="8" t="str">
        <f aca="false">parametros_manuales!$B$28</f>
        <v>Encastre de fondo</v>
      </c>
      <c r="B119" s="9" t="n">
        <f aca="false">(parametros_manuales!$D$28*('Plan mensual'!D46+IF(parametros_manuales!$H$28="Todos",'Plan mensual'!D50,0))+parametros_manuales!$E$28*('Plan mensual'!D47+IF(parametros_manuales!$H$28="Todos",'Plan mensual'!D51,0))+parametros_manuales!$F$28*('Plan mensual'!D48+IF(parametros_manuales!$H$28="Todos",'Plan mensual'!D52,0))+parametros_manuales!$G$28*('Plan mensual'!D49+IF(parametros_manuales!$H$28="Todos",'Plan mensual'!D53,0)))*parametros_manuales!$I$28*parametros_manuales!$J$28</f>
        <v>10069.83320699</v>
      </c>
      <c r="C119" s="9" t="n">
        <f aca="false">(parametros_manuales!$D$28*('Plan mensual'!E46+IF(parametros_manuales!$H$28="Todos",'Plan mensual'!E50,0))+parametros_manuales!$E$28*('Plan mensual'!E47+IF(parametros_manuales!$H$28="Todos",'Plan mensual'!E51,0))+parametros_manuales!$F$28*('Plan mensual'!E48+IF(parametros_manuales!$H$28="Todos",'Plan mensual'!E52,0))+parametros_manuales!$G$28*('Plan mensual'!E49+IF(parametros_manuales!$H$28="Todos",'Plan mensual'!E53,0)))*parametros_manuales!$I$28*parametros_manuales!$J$28</f>
        <v>7683.173969332</v>
      </c>
      <c r="D119" s="9" t="n">
        <f aca="false">(parametros_manuales!$D$28*('Plan mensual'!F46+IF(parametros_manuales!$H$28="Todos",'Plan mensual'!F50,0))+parametros_manuales!$E$28*('Plan mensual'!F47+IF(parametros_manuales!$H$28="Todos",'Plan mensual'!F51,0))+parametros_manuales!$F$28*('Plan mensual'!F48+IF(parametros_manuales!$H$28="Todos",'Plan mensual'!F52,0))+parametros_manuales!$G$28*('Plan mensual'!F49+IF(parametros_manuales!$H$28="Todos",'Plan mensual'!F53,0)))*parametros_manuales!$I$28*parametros_manuales!$J$28</f>
        <v>7192.8187063215</v>
      </c>
      <c r="E119" s="9" t="n">
        <f aca="false">(parametros_manuales!$D$28*('Plan mensual'!G46+IF(parametros_manuales!$H$28="Todos",'Plan mensual'!G50,0))+parametros_manuales!$E$28*('Plan mensual'!G47+IF(parametros_manuales!$H$28="Todos",'Plan mensual'!G51,0))+parametros_manuales!$F$28*('Plan mensual'!G48+IF(parametros_manuales!$H$28="Todos",'Plan mensual'!G52,0))+parametros_manuales!$G$28*('Plan mensual'!G49+IF(parametros_manuales!$H$28="Todos",'Plan mensual'!G53,0)))*parametros_manuales!$I$28*parametros_manuales!$J$28</f>
        <v>6882.2415427715</v>
      </c>
      <c r="F119" s="9" t="n">
        <f aca="false">(parametros_manuales!$D$28*('Plan mensual'!H46+IF(parametros_manuales!$H$28="Todos",'Plan mensual'!H50,0))+parametros_manuales!$E$28*('Plan mensual'!H47+IF(parametros_manuales!$H$28="Todos",'Plan mensual'!H51,0))+parametros_manuales!$F$28*('Plan mensual'!H48+IF(parametros_manuales!$H$28="Todos",'Plan mensual'!H52,0))+parametros_manuales!$G$28*('Plan mensual'!H49+IF(parametros_manuales!$H$28="Todos",'Plan mensual'!H53,0)))*parametros_manuales!$I$28*parametros_manuales!$J$28</f>
        <v>6440.865315132</v>
      </c>
      <c r="G119" s="9" t="n">
        <f aca="false">(parametros_manuales!$D$28*('Plan mensual'!I46+IF(parametros_manuales!$H$28="Todos",'Plan mensual'!I50,0))+parametros_manuales!$E$28*('Plan mensual'!I47+IF(parametros_manuales!$H$28="Todos",'Plan mensual'!I51,0))+parametros_manuales!$F$28*('Plan mensual'!I48+IF(parametros_manuales!$H$28="Todos",'Plan mensual'!I52,0))+parametros_manuales!$G$28*('Plan mensual'!I49+IF(parametros_manuales!$H$28="Todos",'Plan mensual'!I53,0)))*parametros_manuales!$I$28*parametros_manuales!$J$28</f>
        <v>6310.0662510425</v>
      </c>
      <c r="H119" s="9" t="n">
        <f aca="false">(parametros_manuales!$D$28*('Plan mensual'!J46+IF(parametros_manuales!$H$28="Todos",'Plan mensual'!J50,0))+parametros_manuales!$E$28*('Plan mensual'!J47+IF(parametros_manuales!$H$28="Todos",'Plan mensual'!J51,0))+parametros_manuales!$F$28*('Plan mensual'!J48+IF(parametros_manuales!$H$28="Todos",'Plan mensual'!J52,0))+parametros_manuales!$G$28*('Plan mensual'!J49+IF(parametros_manuales!$H$28="Todos",'Plan mensual'!J53,0)))*parametros_manuales!$I$28*parametros_manuales!$J$28</f>
        <v>6751.442478682</v>
      </c>
      <c r="I119" s="9" t="n">
        <f aca="false">(parametros_manuales!$D$28*('Plan mensual'!K46+IF(parametros_manuales!$H$28="Todos",'Plan mensual'!K50,0))+parametros_manuales!$E$28*('Plan mensual'!K47+IF(parametros_manuales!$H$28="Todos",'Plan mensual'!K51,0))+parametros_manuales!$F$28*('Plan mensual'!K48+IF(parametros_manuales!$H$28="Todos",'Plan mensual'!K52,0))+parametros_manuales!$G$28*('Plan mensual'!K49+IF(parametros_manuales!$H$28="Todos",'Plan mensual'!K53,0)))*parametros_manuales!$I$28*parametros_manuales!$J$28</f>
        <v>6751.442478682</v>
      </c>
      <c r="J119" s="9" t="n">
        <f aca="false">(parametros_manuales!$D$28*('Plan mensual'!L46+IF(parametros_manuales!$H$28="Todos",'Plan mensual'!L50,0))+parametros_manuales!$E$28*('Plan mensual'!L47+IF(parametros_manuales!$H$28="Todos",'Plan mensual'!L51,0))+parametros_manuales!$F$28*('Plan mensual'!L48+IF(parametros_manuales!$H$28="Todos",'Plan mensual'!L52,0))+parametros_manuales!$G$28*('Plan mensual'!L49+IF(parametros_manuales!$H$28="Todos",'Plan mensual'!L53,0)))*parametros_manuales!$I$28*parametros_manuales!$J$28</f>
        <v>6751.442478682</v>
      </c>
      <c r="K119" s="9" t="n">
        <f aca="false">(parametros_manuales!$D$28*('Plan mensual'!M46+IF(parametros_manuales!$H$28="Todos",'Plan mensual'!M50,0))+parametros_manuales!$E$28*('Plan mensual'!M47+IF(parametros_manuales!$H$28="Todos",'Plan mensual'!M51,0))+parametros_manuales!$F$28*('Plan mensual'!M48+IF(parametros_manuales!$H$28="Todos",'Plan mensual'!M52,0))+parametros_manuales!$G$28*('Plan mensual'!M49+IF(parametros_manuales!$H$28="Todos",'Plan mensual'!M53,0)))*parametros_manuales!$I$28*parametros_manuales!$J$28</f>
        <v>6620.6434145925</v>
      </c>
      <c r="L119" s="9" t="n">
        <f aca="false">(parametros_manuales!$D$28*('Plan mensual'!N46+IF(parametros_manuales!$H$28="Todos",'Plan mensual'!N50,0))+parametros_manuales!$E$28*('Plan mensual'!N47+IF(parametros_manuales!$H$28="Todos",'Plan mensual'!N51,0))+parametros_manuales!$F$28*('Plan mensual'!N48+IF(parametros_manuales!$H$28="Todos",'Plan mensual'!N52,0))+parametros_manuales!$G$28*('Plan mensual'!N49+IF(parametros_manuales!$H$28="Todos",'Plan mensual'!N53,0)))*parametros_manuales!$I$28*parametros_manuales!$J$28</f>
        <v>6489.844350503</v>
      </c>
      <c r="M119" s="9" t="n">
        <f aca="false">(parametros_manuales!$D$28*('Plan mensual'!O46+IF(parametros_manuales!$H$28="Todos",'Plan mensual'!O50,0))+parametros_manuales!$E$28*('Plan mensual'!O47+IF(parametros_manuales!$H$28="Todos",'Plan mensual'!O51,0))+parametros_manuales!$F$28*('Plan mensual'!O48+IF(parametros_manuales!$H$28="Todos",'Plan mensual'!O52,0))+parametros_manuales!$G$28*('Plan mensual'!O49+IF(parametros_manuales!$H$28="Todos",'Plan mensual'!O53,0)))*parametros_manuales!$I$28*parametros_manuales!$J$28</f>
        <v>10331.431335169</v>
      </c>
      <c r="N119" s="9" t="n">
        <f aca="false">SUM(B119:M119)</f>
        <v>88275.2455279</v>
      </c>
      <c r="O119" s="9" t="n">
        <f aca="false">MAX(B119:M119)</f>
        <v>10331.431335169</v>
      </c>
      <c r="P119" s="43" t="n">
        <f aca="false">O119/(parametros_manuales!$B$7)</f>
        <v>68.8762089011267</v>
      </c>
      <c r="Q119" s="8" t="str">
        <f aca="false">IF(O119=0,"-",INDEX($B$109:$M$109,MATCH(O119,B119:M119,0)))</f>
        <v>Dic</v>
      </c>
    </row>
    <row r="120" customFormat="false" ht="14.25" hidden="false" customHeight="true" outlineLevel="0" collapsed="false">
      <c r="A120" s="8" t="str">
        <f aca="false">parametros_manuales!$B$29</f>
        <v>Bordoneado</v>
      </c>
      <c r="B120" s="9" t="n">
        <f aca="false">(parametros_manuales!$D$29*('Plan mensual'!D46+IF(parametros_manuales!$H$29="Todos",'Plan mensual'!D50,0))+parametros_manuales!$E$29*('Plan mensual'!D47+IF(parametros_manuales!$H$29="Todos",'Plan mensual'!D51,0))+parametros_manuales!$F$29*('Plan mensual'!D48+IF(parametros_manuales!$H$29="Todos",'Plan mensual'!D52,0))+parametros_manuales!$G$29*('Plan mensual'!D49+IF(parametros_manuales!$H$29="Todos",'Plan mensual'!D53,0)))*parametros_manuales!$I$29*parametros_manuales!$J$29</f>
        <v>10069.83320699</v>
      </c>
      <c r="C120" s="9" t="n">
        <f aca="false">(parametros_manuales!$D$29*('Plan mensual'!E46+IF(parametros_manuales!$H$29="Todos",'Plan mensual'!E50,0))+parametros_manuales!$E$29*('Plan mensual'!E47+IF(parametros_manuales!$H$29="Todos",'Plan mensual'!E51,0))+parametros_manuales!$F$29*('Plan mensual'!E48+IF(parametros_manuales!$H$29="Todos",'Plan mensual'!E52,0))+parametros_manuales!$G$29*('Plan mensual'!E49+IF(parametros_manuales!$H$29="Todos",'Plan mensual'!E53,0)))*parametros_manuales!$I$29*parametros_manuales!$J$29</f>
        <v>7683.173969332</v>
      </c>
      <c r="D120" s="9" t="n">
        <f aca="false">(parametros_manuales!$D$29*('Plan mensual'!F46+IF(parametros_manuales!$H$29="Todos",'Plan mensual'!F50,0))+parametros_manuales!$E$29*('Plan mensual'!F47+IF(parametros_manuales!$H$29="Todos",'Plan mensual'!F51,0))+parametros_manuales!$F$29*('Plan mensual'!F48+IF(parametros_manuales!$H$29="Todos",'Plan mensual'!F52,0))+parametros_manuales!$G$29*('Plan mensual'!F49+IF(parametros_manuales!$H$29="Todos",'Plan mensual'!F53,0)))*parametros_manuales!$I$29*parametros_manuales!$J$29</f>
        <v>7192.8187063215</v>
      </c>
      <c r="E120" s="9" t="n">
        <f aca="false">(parametros_manuales!$D$29*('Plan mensual'!G46+IF(parametros_manuales!$H$29="Todos",'Plan mensual'!G50,0))+parametros_manuales!$E$29*('Plan mensual'!G47+IF(parametros_manuales!$H$29="Todos",'Plan mensual'!G51,0))+parametros_manuales!$F$29*('Plan mensual'!G48+IF(parametros_manuales!$H$29="Todos",'Plan mensual'!G52,0))+parametros_manuales!$G$29*('Plan mensual'!G49+IF(parametros_manuales!$H$29="Todos",'Plan mensual'!G53,0)))*parametros_manuales!$I$29*parametros_manuales!$J$29</f>
        <v>6882.2415427715</v>
      </c>
      <c r="F120" s="9" t="n">
        <f aca="false">(parametros_manuales!$D$29*('Plan mensual'!H46+IF(parametros_manuales!$H$29="Todos",'Plan mensual'!H50,0))+parametros_manuales!$E$29*('Plan mensual'!H47+IF(parametros_manuales!$H$29="Todos",'Plan mensual'!H51,0))+parametros_manuales!$F$29*('Plan mensual'!H48+IF(parametros_manuales!$H$29="Todos",'Plan mensual'!H52,0))+parametros_manuales!$G$29*('Plan mensual'!H49+IF(parametros_manuales!$H$29="Todos",'Plan mensual'!H53,0)))*parametros_manuales!$I$29*parametros_manuales!$J$29</f>
        <v>6440.865315132</v>
      </c>
      <c r="G120" s="9" t="n">
        <f aca="false">(parametros_manuales!$D$29*('Plan mensual'!I46+IF(parametros_manuales!$H$29="Todos",'Plan mensual'!I50,0))+parametros_manuales!$E$29*('Plan mensual'!I47+IF(parametros_manuales!$H$29="Todos",'Plan mensual'!I51,0))+parametros_manuales!$F$29*('Plan mensual'!I48+IF(parametros_manuales!$H$29="Todos",'Plan mensual'!I52,0))+parametros_manuales!$G$29*('Plan mensual'!I49+IF(parametros_manuales!$H$29="Todos",'Plan mensual'!I53,0)))*parametros_manuales!$I$29*parametros_manuales!$J$29</f>
        <v>6310.0662510425</v>
      </c>
      <c r="H120" s="9" t="n">
        <f aca="false">(parametros_manuales!$D$29*('Plan mensual'!J46+IF(parametros_manuales!$H$29="Todos",'Plan mensual'!J50,0))+parametros_manuales!$E$29*('Plan mensual'!J47+IF(parametros_manuales!$H$29="Todos",'Plan mensual'!J51,0))+parametros_manuales!$F$29*('Plan mensual'!J48+IF(parametros_manuales!$H$29="Todos",'Plan mensual'!J52,0))+parametros_manuales!$G$29*('Plan mensual'!J49+IF(parametros_manuales!$H$29="Todos",'Plan mensual'!J53,0)))*parametros_manuales!$I$29*parametros_manuales!$J$29</f>
        <v>6751.442478682</v>
      </c>
      <c r="I120" s="9" t="n">
        <f aca="false">(parametros_manuales!$D$29*('Plan mensual'!K46+IF(parametros_manuales!$H$29="Todos",'Plan mensual'!K50,0))+parametros_manuales!$E$29*('Plan mensual'!K47+IF(parametros_manuales!$H$29="Todos",'Plan mensual'!K51,0))+parametros_manuales!$F$29*('Plan mensual'!K48+IF(parametros_manuales!$H$29="Todos",'Plan mensual'!K52,0))+parametros_manuales!$G$29*('Plan mensual'!K49+IF(parametros_manuales!$H$29="Todos",'Plan mensual'!K53,0)))*parametros_manuales!$I$29*parametros_manuales!$J$29</f>
        <v>6751.442478682</v>
      </c>
      <c r="J120" s="9" t="n">
        <f aca="false">(parametros_manuales!$D$29*('Plan mensual'!L46+IF(parametros_manuales!$H$29="Todos",'Plan mensual'!L50,0))+parametros_manuales!$E$29*('Plan mensual'!L47+IF(parametros_manuales!$H$29="Todos",'Plan mensual'!L51,0))+parametros_manuales!$F$29*('Plan mensual'!L48+IF(parametros_manuales!$H$29="Todos",'Plan mensual'!L52,0))+parametros_manuales!$G$29*('Plan mensual'!L49+IF(parametros_manuales!$H$29="Todos",'Plan mensual'!L53,0)))*parametros_manuales!$I$29*parametros_manuales!$J$29</f>
        <v>6751.442478682</v>
      </c>
      <c r="K120" s="9" t="n">
        <f aca="false">(parametros_manuales!$D$29*('Plan mensual'!M46+IF(parametros_manuales!$H$29="Todos",'Plan mensual'!M50,0))+parametros_manuales!$E$29*('Plan mensual'!M47+IF(parametros_manuales!$H$29="Todos",'Plan mensual'!M51,0))+parametros_manuales!$F$29*('Plan mensual'!M48+IF(parametros_manuales!$H$29="Todos",'Plan mensual'!M52,0))+parametros_manuales!$G$29*('Plan mensual'!M49+IF(parametros_manuales!$H$29="Todos",'Plan mensual'!M53,0)))*parametros_manuales!$I$29*parametros_manuales!$J$29</f>
        <v>6620.6434145925</v>
      </c>
      <c r="L120" s="9" t="n">
        <f aca="false">(parametros_manuales!$D$29*('Plan mensual'!N46+IF(parametros_manuales!$H$29="Todos",'Plan mensual'!N50,0))+parametros_manuales!$E$29*('Plan mensual'!N47+IF(parametros_manuales!$H$29="Todos",'Plan mensual'!N51,0))+parametros_manuales!$F$29*('Plan mensual'!N48+IF(parametros_manuales!$H$29="Todos",'Plan mensual'!N52,0))+parametros_manuales!$G$29*('Plan mensual'!N49+IF(parametros_manuales!$H$29="Todos",'Plan mensual'!N53,0)))*parametros_manuales!$I$29*parametros_manuales!$J$29</f>
        <v>6489.844350503</v>
      </c>
      <c r="M120" s="9" t="n">
        <f aca="false">(parametros_manuales!$D$29*('Plan mensual'!O46+IF(parametros_manuales!$H$29="Todos",'Plan mensual'!O50,0))+parametros_manuales!$E$29*('Plan mensual'!O47+IF(parametros_manuales!$H$29="Todos",'Plan mensual'!O51,0))+parametros_manuales!$F$29*('Plan mensual'!O48+IF(parametros_manuales!$H$29="Todos",'Plan mensual'!O52,0))+parametros_manuales!$G$29*('Plan mensual'!O49+IF(parametros_manuales!$H$29="Todos",'Plan mensual'!O53,0)))*parametros_manuales!$I$29*parametros_manuales!$J$29</f>
        <v>10331.431335169</v>
      </c>
      <c r="N120" s="9" t="n">
        <f aca="false">SUM(B120:M120)</f>
        <v>88275.2455279</v>
      </c>
      <c r="O120" s="9" t="n">
        <f aca="false">MAX(B120:M120)</f>
        <v>10331.431335169</v>
      </c>
      <c r="P120" s="43" t="n">
        <f aca="false">O120/(parametros_manuales!$B$7)</f>
        <v>68.8762089011267</v>
      </c>
      <c r="Q120" s="8" t="str">
        <f aca="false">IF(O120=0,"-",INDEX($B$109:$M$109,MATCH(O120,B120:M120,0)))</f>
        <v>Dic</v>
      </c>
    </row>
    <row r="121" customFormat="false" ht="14.25" hidden="false" customHeight="true" outlineLevel="0" collapsed="false">
      <c r="A121" s="8" t="str">
        <f aca="false">parametros_manuales!$B$30</f>
        <v>Soldadura circunferencial de cúpula y fondo</v>
      </c>
      <c r="B121" s="9" t="n">
        <f aca="false">(parametros_manuales!$D$30*('Plan mensual'!D46+IF(parametros_manuales!$H$30="Todos",'Plan mensual'!D50,0))+parametros_manuales!$E$30*('Plan mensual'!D47+IF(parametros_manuales!$H$30="Todos",'Plan mensual'!D51,0))+parametros_manuales!$F$30*('Plan mensual'!D48+IF(parametros_manuales!$H$30="Todos",'Plan mensual'!D52,0))+parametros_manuales!$G$30*('Plan mensual'!D49+IF(parametros_manuales!$H$30="Todos",'Plan mensual'!D53,0)))*parametros_manuales!$I$30*parametros_manuales!$J$30</f>
        <v>10069.83320699</v>
      </c>
      <c r="C121" s="9" t="n">
        <f aca="false">(parametros_manuales!$D$30*('Plan mensual'!E46+IF(parametros_manuales!$H$30="Todos",'Plan mensual'!E50,0))+parametros_manuales!$E$30*('Plan mensual'!E47+IF(parametros_manuales!$H$30="Todos",'Plan mensual'!E51,0))+parametros_manuales!$F$30*('Plan mensual'!E48+IF(parametros_manuales!$H$30="Todos",'Plan mensual'!E52,0))+parametros_manuales!$G$30*('Plan mensual'!E49+IF(parametros_manuales!$H$30="Todos",'Plan mensual'!E53,0)))*parametros_manuales!$I$30*parametros_manuales!$J$30</f>
        <v>7683.173969332</v>
      </c>
      <c r="D121" s="9" t="n">
        <f aca="false">(parametros_manuales!$D$30*('Plan mensual'!F46+IF(parametros_manuales!$H$30="Todos",'Plan mensual'!F50,0))+parametros_manuales!$E$30*('Plan mensual'!F47+IF(parametros_manuales!$H$30="Todos",'Plan mensual'!F51,0))+parametros_manuales!$F$30*('Plan mensual'!F48+IF(parametros_manuales!$H$30="Todos",'Plan mensual'!F52,0))+parametros_manuales!$G$30*('Plan mensual'!F49+IF(parametros_manuales!$H$30="Todos",'Plan mensual'!F53,0)))*parametros_manuales!$I$30*parametros_manuales!$J$30</f>
        <v>7192.8187063215</v>
      </c>
      <c r="E121" s="9" t="n">
        <f aca="false">(parametros_manuales!$D$30*('Plan mensual'!G46+IF(parametros_manuales!$H$30="Todos",'Plan mensual'!G50,0))+parametros_manuales!$E$30*('Plan mensual'!G47+IF(parametros_manuales!$H$30="Todos",'Plan mensual'!G51,0))+parametros_manuales!$F$30*('Plan mensual'!G48+IF(parametros_manuales!$H$30="Todos",'Plan mensual'!G52,0))+parametros_manuales!$G$30*('Plan mensual'!G49+IF(parametros_manuales!$H$30="Todos",'Plan mensual'!G53,0)))*parametros_manuales!$I$30*parametros_manuales!$J$30</f>
        <v>6882.2415427715</v>
      </c>
      <c r="F121" s="9" t="n">
        <f aca="false">(parametros_manuales!$D$30*('Plan mensual'!H46+IF(parametros_manuales!$H$30="Todos",'Plan mensual'!H50,0))+parametros_manuales!$E$30*('Plan mensual'!H47+IF(parametros_manuales!$H$30="Todos",'Plan mensual'!H51,0))+parametros_manuales!$F$30*('Plan mensual'!H48+IF(parametros_manuales!$H$30="Todos",'Plan mensual'!H52,0))+parametros_manuales!$G$30*('Plan mensual'!H49+IF(parametros_manuales!$H$30="Todos",'Plan mensual'!H53,0)))*parametros_manuales!$I$30*parametros_manuales!$J$30</f>
        <v>6440.865315132</v>
      </c>
      <c r="G121" s="9" t="n">
        <f aca="false">(parametros_manuales!$D$30*('Plan mensual'!I46+IF(parametros_manuales!$H$30="Todos",'Plan mensual'!I50,0))+parametros_manuales!$E$30*('Plan mensual'!I47+IF(parametros_manuales!$H$30="Todos",'Plan mensual'!I51,0))+parametros_manuales!$F$30*('Plan mensual'!I48+IF(parametros_manuales!$H$30="Todos",'Plan mensual'!I52,0))+parametros_manuales!$G$30*('Plan mensual'!I49+IF(parametros_manuales!$H$30="Todos",'Plan mensual'!I53,0)))*parametros_manuales!$I$30*parametros_manuales!$J$30</f>
        <v>6310.0662510425</v>
      </c>
      <c r="H121" s="9" t="n">
        <f aca="false">(parametros_manuales!$D$30*('Plan mensual'!J46+IF(parametros_manuales!$H$30="Todos",'Plan mensual'!J50,0))+parametros_manuales!$E$30*('Plan mensual'!J47+IF(parametros_manuales!$H$30="Todos",'Plan mensual'!J51,0))+parametros_manuales!$F$30*('Plan mensual'!J48+IF(parametros_manuales!$H$30="Todos",'Plan mensual'!J52,0))+parametros_manuales!$G$30*('Plan mensual'!J49+IF(parametros_manuales!$H$30="Todos",'Plan mensual'!J53,0)))*parametros_manuales!$I$30*parametros_manuales!$J$30</f>
        <v>6751.442478682</v>
      </c>
      <c r="I121" s="9" t="n">
        <f aca="false">(parametros_manuales!$D$30*('Plan mensual'!K46+IF(parametros_manuales!$H$30="Todos",'Plan mensual'!K50,0))+parametros_manuales!$E$30*('Plan mensual'!K47+IF(parametros_manuales!$H$30="Todos",'Plan mensual'!K51,0))+parametros_manuales!$F$30*('Plan mensual'!K48+IF(parametros_manuales!$H$30="Todos",'Plan mensual'!K52,0))+parametros_manuales!$G$30*('Plan mensual'!K49+IF(parametros_manuales!$H$30="Todos",'Plan mensual'!K53,0)))*parametros_manuales!$I$30*parametros_manuales!$J$30</f>
        <v>6751.442478682</v>
      </c>
      <c r="J121" s="9" t="n">
        <f aca="false">(parametros_manuales!$D$30*('Plan mensual'!L46+IF(parametros_manuales!$H$30="Todos",'Plan mensual'!L50,0))+parametros_manuales!$E$30*('Plan mensual'!L47+IF(parametros_manuales!$H$30="Todos",'Plan mensual'!L51,0))+parametros_manuales!$F$30*('Plan mensual'!L48+IF(parametros_manuales!$H$30="Todos",'Plan mensual'!L52,0))+parametros_manuales!$G$30*('Plan mensual'!L49+IF(parametros_manuales!$H$30="Todos",'Plan mensual'!L53,0)))*parametros_manuales!$I$30*parametros_manuales!$J$30</f>
        <v>6751.442478682</v>
      </c>
      <c r="K121" s="9" t="n">
        <f aca="false">(parametros_manuales!$D$30*('Plan mensual'!M46+IF(parametros_manuales!$H$30="Todos",'Plan mensual'!M50,0))+parametros_manuales!$E$30*('Plan mensual'!M47+IF(parametros_manuales!$H$30="Todos",'Plan mensual'!M51,0))+parametros_manuales!$F$30*('Plan mensual'!M48+IF(parametros_manuales!$H$30="Todos",'Plan mensual'!M52,0))+parametros_manuales!$G$30*('Plan mensual'!M49+IF(parametros_manuales!$H$30="Todos",'Plan mensual'!M53,0)))*parametros_manuales!$I$30*parametros_manuales!$J$30</f>
        <v>6620.6434145925</v>
      </c>
      <c r="L121" s="9" t="n">
        <f aca="false">(parametros_manuales!$D$30*('Plan mensual'!N46+IF(parametros_manuales!$H$30="Todos",'Plan mensual'!N50,0))+parametros_manuales!$E$30*('Plan mensual'!N47+IF(parametros_manuales!$H$30="Todos",'Plan mensual'!N51,0))+parametros_manuales!$F$30*('Plan mensual'!N48+IF(parametros_manuales!$H$30="Todos",'Plan mensual'!N52,0))+parametros_manuales!$G$30*('Plan mensual'!N49+IF(parametros_manuales!$H$30="Todos",'Plan mensual'!N53,0)))*parametros_manuales!$I$30*parametros_manuales!$J$30</f>
        <v>6489.844350503</v>
      </c>
      <c r="M121" s="9" t="n">
        <f aca="false">(parametros_manuales!$D$30*('Plan mensual'!O46+IF(parametros_manuales!$H$30="Todos",'Plan mensual'!O50,0))+parametros_manuales!$E$30*('Plan mensual'!O47+IF(parametros_manuales!$H$30="Todos",'Plan mensual'!O51,0))+parametros_manuales!$F$30*('Plan mensual'!O48+IF(parametros_manuales!$H$30="Todos",'Plan mensual'!O52,0))+parametros_manuales!$G$30*('Plan mensual'!O49+IF(parametros_manuales!$H$30="Todos",'Plan mensual'!O53,0)))*parametros_manuales!$I$30*parametros_manuales!$J$30</f>
        <v>10331.431335169</v>
      </c>
      <c r="N121" s="9" t="n">
        <f aca="false">SUM(B121:M121)</f>
        <v>88275.2455279</v>
      </c>
      <c r="O121" s="9" t="n">
        <f aca="false">MAX(B121:M121)</f>
        <v>10331.431335169</v>
      </c>
      <c r="P121" s="43" t="n">
        <f aca="false">O121/(parametros_manuales!$B$7)</f>
        <v>68.8762089011267</v>
      </c>
      <c r="Q121" s="8" t="str">
        <f aca="false">IF(O121=0,"-",INDEX($B$109:$M$109,MATCH(O121,B121:M121,0)))</f>
        <v>Dic</v>
      </c>
    </row>
    <row r="122" customFormat="false" ht="14.25" hidden="false" customHeight="true" outlineLevel="0" collapsed="false">
      <c r="A122" s="8" t="str">
        <f aca="false">parametros_manuales!$B$31</f>
        <v>Control de calidad — Espesor</v>
      </c>
      <c r="B122" s="9" t="n">
        <f aca="false">(parametros_manuales!$D$31*('Plan mensual'!D46+IF(parametros_manuales!$H$31="Todos",'Plan mensual'!D50,0))+parametros_manuales!$E$31*('Plan mensual'!D47+IF(parametros_manuales!$H$31="Todos",'Plan mensual'!D51,0))+parametros_manuales!$F$31*('Plan mensual'!D48+IF(parametros_manuales!$H$31="Todos",'Plan mensual'!D52,0))+parametros_manuales!$G$31*('Plan mensual'!D49+IF(parametros_manuales!$H$31="Todos",'Plan mensual'!D53,0)))*parametros_manuales!$I$31*parametros_manuales!$J$31</f>
        <v>201.3966641398</v>
      </c>
      <c r="C122" s="9" t="n">
        <f aca="false">(parametros_manuales!$D$31*('Plan mensual'!E46+IF(parametros_manuales!$H$31="Todos",'Plan mensual'!E50,0))+parametros_manuales!$E$31*('Plan mensual'!E47+IF(parametros_manuales!$H$31="Todos",'Plan mensual'!E51,0))+parametros_manuales!$F$31*('Plan mensual'!E48+IF(parametros_manuales!$H$31="Todos",'Plan mensual'!E52,0))+parametros_manuales!$G$31*('Plan mensual'!E49+IF(parametros_manuales!$H$31="Todos",'Plan mensual'!E53,0)))*parametros_manuales!$I$31*parametros_manuales!$J$31</f>
        <v>153.66347938664</v>
      </c>
      <c r="D122" s="9" t="n">
        <f aca="false">(parametros_manuales!$D$31*('Plan mensual'!F46+IF(parametros_manuales!$H$31="Todos",'Plan mensual'!F50,0))+parametros_manuales!$E$31*('Plan mensual'!F47+IF(parametros_manuales!$H$31="Todos",'Plan mensual'!F51,0))+parametros_manuales!$F$31*('Plan mensual'!F48+IF(parametros_manuales!$H$31="Todos",'Plan mensual'!F52,0))+parametros_manuales!$G$31*('Plan mensual'!F49+IF(parametros_manuales!$H$31="Todos",'Plan mensual'!F53,0)))*parametros_manuales!$I$31*parametros_manuales!$J$31</f>
        <v>143.85637412643</v>
      </c>
      <c r="E122" s="9" t="n">
        <f aca="false">(parametros_manuales!$D$31*('Plan mensual'!G46+IF(parametros_manuales!$H$31="Todos",'Plan mensual'!G50,0))+parametros_manuales!$E$31*('Plan mensual'!G47+IF(parametros_manuales!$H$31="Todos",'Plan mensual'!G51,0))+parametros_manuales!$F$31*('Plan mensual'!G48+IF(parametros_manuales!$H$31="Todos",'Plan mensual'!G52,0))+parametros_manuales!$G$31*('Plan mensual'!G49+IF(parametros_manuales!$H$31="Todos",'Plan mensual'!G53,0)))*parametros_manuales!$I$31*parametros_manuales!$J$31</f>
        <v>137.64483085543</v>
      </c>
      <c r="F122" s="9" t="n">
        <f aca="false">(parametros_manuales!$D$31*('Plan mensual'!H46+IF(parametros_manuales!$H$31="Todos",'Plan mensual'!H50,0))+parametros_manuales!$E$31*('Plan mensual'!H47+IF(parametros_manuales!$H$31="Todos",'Plan mensual'!H51,0))+parametros_manuales!$F$31*('Plan mensual'!H48+IF(parametros_manuales!$H$31="Todos",'Plan mensual'!H52,0))+parametros_manuales!$G$31*('Plan mensual'!H49+IF(parametros_manuales!$H$31="Todos",'Plan mensual'!H53,0)))*parametros_manuales!$I$31*parametros_manuales!$J$31</f>
        <v>128.81730630264</v>
      </c>
      <c r="G122" s="9" t="n">
        <f aca="false">(parametros_manuales!$D$31*('Plan mensual'!I46+IF(parametros_manuales!$H$31="Todos",'Plan mensual'!I50,0))+parametros_manuales!$E$31*('Plan mensual'!I47+IF(parametros_manuales!$H$31="Todos",'Plan mensual'!I51,0))+parametros_manuales!$F$31*('Plan mensual'!I48+IF(parametros_manuales!$H$31="Todos",'Plan mensual'!I52,0))+parametros_manuales!$G$31*('Plan mensual'!I49+IF(parametros_manuales!$H$31="Todos",'Plan mensual'!I53,0)))*parametros_manuales!$I$31*parametros_manuales!$J$31</f>
        <v>126.20132502085</v>
      </c>
      <c r="H122" s="9" t="n">
        <f aca="false">(parametros_manuales!$D$31*('Plan mensual'!J46+IF(parametros_manuales!$H$31="Todos",'Plan mensual'!J50,0))+parametros_manuales!$E$31*('Plan mensual'!J47+IF(parametros_manuales!$H$31="Todos",'Plan mensual'!J51,0))+parametros_manuales!$F$31*('Plan mensual'!J48+IF(parametros_manuales!$H$31="Todos",'Plan mensual'!J52,0))+parametros_manuales!$G$31*('Plan mensual'!J49+IF(parametros_manuales!$H$31="Todos",'Plan mensual'!J53,0)))*parametros_manuales!$I$31*parametros_manuales!$J$31</f>
        <v>135.02884957364</v>
      </c>
      <c r="I122" s="9" t="n">
        <f aca="false">(parametros_manuales!$D$31*('Plan mensual'!K46+IF(parametros_manuales!$H$31="Todos",'Plan mensual'!K50,0))+parametros_manuales!$E$31*('Plan mensual'!K47+IF(parametros_manuales!$H$31="Todos",'Plan mensual'!K51,0))+parametros_manuales!$F$31*('Plan mensual'!K48+IF(parametros_manuales!$H$31="Todos",'Plan mensual'!K52,0))+parametros_manuales!$G$31*('Plan mensual'!K49+IF(parametros_manuales!$H$31="Todos",'Plan mensual'!K53,0)))*parametros_manuales!$I$31*parametros_manuales!$J$31</f>
        <v>135.02884957364</v>
      </c>
      <c r="J122" s="9" t="n">
        <f aca="false">(parametros_manuales!$D$31*('Plan mensual'!L46+IF(parametros_manuales!$H$31="Todos",'Plan mensual'!L50,0))+parametros_manuales!$E$31*('Plan mensual'!L47+IF(parametros_manuales!$H$31="Todos",'Plan mensual'!L51,0))+parametros_manuales!$F$31*('Plan mensual'!L48+IF(parametros_manuales!$H$31="Todos",'Plan mensual'!L52,0))+parametros_manuales!$G$31*('Plan mensual'!L49+IF(parametros_manuales!$H$31="Todos",'Plan mensual'!L53,0)))*parametros_manuales!$I$31*parametros_manuales!$J$31</f>
        <v>135.02884957364</v>
      </c>
      <c r="K122" s="9" t="n">
        <f aca="false">(parametros_manuales!$D$31*('Plan mensual'!M46+IF(parametros_manuales!$H$31="Todos",'Plan mensual'!M50,0))+parametros_manuales!$E$31*('Plan mensual'!M47+IF(parametros_manuales!$H$31="Todos",'Plan mensual'!M51,0))+parametros_manuales!$F$31*('Plan mensual'!M48+IF(parametros_manuales!$H$31="Todos",'Plan mensual'!M52,0))+parametros_manuales!$G$31*('Plan mensual'!M49+IF(parametros_manuales!$H$31="Todos",'Plan mensual'!M53,0)))*parametros_manuales!$I$31*parametros_manuales!$J$31</f>
        <v>132.41286829185</v>
      </c>
      <c r="L122" s="9" t="n">
        <f aca="false">(parametros_manuales!$D$31*('Plan mensual'!N46+IF(parametros_manuales!$H$31="Todos",'Plan mensual'!N50,0))+parametros_manuales!$E$31*('Plan mensual'!N47+IF(parametros_manuales!$H$31="Todos",'Plan mensual'!N51,0))+parametros_manuales!$F$31*('Plan mensual'!N48+IF(parametros_manuales!$H$31="Todos",'Plan mensual'!N52,0))+parametros_manuales!$G$31*('Plan mensual'!N49+IF(parametros_manuales!$H$31="Todos",'Plan mensual'!N53,0)))*parametros_manuales!$I$31*parametros_manuales!$J$31</f>
        <v>129.79688701006</v>
      </c>
      <c r="M122" s="9" t="n">
        <f aca="false">(parametros_manuales!$D$31*('Plan mensual'!O46+IF(parametros_manuales!$H$31="Todos",'Plan mensual'!O50,0))+parametros_manuales!$E$31*('Plan mensual'!O47+IF(parametros_manuales!$H$31="Todos",'Plan mensual'!O51,0))+parametros_manuales!$F$31*('Plan mensual'!O48+IF(parametros_manuales!$H$31="Todos",'Plan mensual'!O52,0))+parametros_manuales!$G$31*('Plan mensual'!O49+IF(parametros_manuales!$H$31="Todos",'Plan mensual'!O53,0)))*parametros_manuales!$I$31*parametros_manuales!$J$31</f>
        <v>206.62862670338</v>
      </c>
      <c r="N122" s="9" t="n">
        <f aca="false">SUM(B122:M122)</f>
        <v>1765.504910558</v>
      </c>
      <c r="O122" s="9" t="n">
        <f aca="false">MAX(B122:M122)</f>
        <v>206.62862670338</v>
      </c>
      <c r="P122" s="43" t="n">
        <f aca="false">O122/(parametros_manuales!$B$7)</f>
        <v>1.37752417802253</v>
      </c>
      <c r="Q122" s="8" t="str">
        <f aca="false">IF(O122=0,"-",INDEX($B$109:$M$109,MATCH(O122,B122:M122,0)))</f>
        <v>Dic</v>
      </c>
    </row>
    <row r="123" customFormat="false" ht="14.25" hidden="false" customHeight="true" outlineLevel="0" collapsed="false">
      <c r="A123" s="8" t="str">
        <f aca="false">parametros_manuales!$B$32</f>
        <v>Prueba hidráulica</v>
      </c>
      <c r="B123" s="9" t="n">
        <f aca="false">(parametros_manuales!$D$32*('Plan mensual'!D46+IF(parametros_manuales!$H$32="Todos",'Plan mensual'!D50,0))+parametros_manuales!$E$32*('Plan mensual'!D47+IF(parametros_manuales!$H$32="Todos",'Plan mensual'!D51,0))+parametros_manuales!$F$32*('Plan mensual'!D48+IF(parametros_manuales!$H$32="Todos",'Plan mensual'!D52,0))+parametros_manuales!$G$32*('Plan mensual'!D49+IF(parametros_manuales!$H$32="Todos",'Plan mensual'!D53,0)))*parametros_manuales!$I$32*parametros_manuales!$J$32</f>
        <v>10069.83320699</v>
      </c>
      <c r="C123" s="9" t="n">
        <f aca="false">(parametros_manuales!$D$32*('Plan mensual'!E46+IF(parametros_manuales!$H$32="Todos",'Plan mensual'!E50,0))+parametros_manuales!$E$32*('Plan mensual'!E47+IF(parametros_manuales!$H$32="Todos",'Plan mensual'!E51,0))+parametros_manuales!$F$32*('Plan mensual'!E48+IF(parametros_manuales!$H$32="Todos",'Plan mensual'!E52,0))+parametros_manuales!$G$32*('Plan mensual'!E49+IF(parametros_manuales!$H$32="Todos",'Plan mensual'!E53,0)))*parametros_manuales!$I$32*parametros_manuales!$J$32</f>
        <v>7683.173969332</v>
      </c>
      <c r="D123" s="9" t="n">
        <f aca="false">(parametros_manuales!$D$32*('Plan mensual'!F46+IF(parametros_manuales!$H$32="Todos",'Plan mensual'!F50,0))+parametros_manuales!$E$32*('Plan mensual'!F47+IF(parametros_manuales!$H$32="Todos",'Plan mensual'!F51,0))+parametros_manuales!$F$32*('Plan mensual'!F48+IF(parametros_manuales!$H$32="Todos",'Plan mensual'!F52,0))+parametros_manuales!$G$32*('Plan mensual'!F49+IF(parametros_manuales!$H$32="Todos",'Plan mensual'!F53,0)))*parametros_manuales!$I$32*parametros_manuales!$J$32</f>
        <v>7192.8187063215</v>
      </c>
      <c r="E123" s="9" t="n">
        <f aca="false">(parametros_manuales!$D$32*('Plan mensual'!G46+IF(parametros_manuales!$H$32="Todos",'Plan mensual'!G50,0))+parametros_manuales!$E$32*('Plan mensual'!G47+IF(parametros_manuales!$H$32="Todos",'Plan mensual'!G51,0))+parametros_manuales!$F$32*('Plan mensual'!G48+IF(parametros_manuales!$H$32="Todos",'Plan mensual'!G52,0))+parametros_manuales!$G$32*('Plan mensual'!G49+IF(parametros_manuales!$H$32="Todos",'Plan mensual'!G53,0)))*parametros_manuales!$I$32*parametros_manuales!$J$32</f>
        <v>6882.2415427715</v>
      </c>
      <c r="F123" s="9" t="n">
        <f aca="false">(parametros_manuales!$D$32*('Plan mensual'!H46+IF(parametros_manuales!$H$32="Todos",'Plan mensual'!H50,0))+parametros_manuales!$E$32*('Plan mensual'!H47+IF(parametros_manuales!$H$32="Todos",'Plan mensual'!H51,0))+parametros_manuales!$F$32*('Plan mensual'!H48+IF(parametros_manuales!$H$32="Todos",'Plan mensual'!H52,0))+parametros_manuales!$G$32*('Plan mensual'!H49+IF(parametros_manuales!$H$32="Todos",'Plan mensual'!H53,0)))*parametros_manuales!$I$32*parametros_manuales!$J$32</f>
        <v>6440.865315132</v>
      </c>
      <c r="G123" s="9" t="n">
        <f aca="false">(parametros_manuales!$D$32*('Plan mensual'!I46+IF(parametros_manuales!$H$32="Todos",'Plan mensual'!I50,0))+parametros_manuales!$E$32*('Plan mensual'!I47+IF(parametros_manuales!$H$32="Todos",'Plan mensual'!I51,0))+parametros_manuales!$F$32*('Plan mensual'!I48+IF(parametros_manuales!$H$32="Todos",'Plan mensual'!I52,0))+parametros_manuales!$G$32*('Plan mensual'!I49+IF(parametros_manuales!$H$32="Todos",'Plan mensual'!I53,0)))*parametros_manuales!$I$32*parametros_manuales!$J$32</f>
        <v>6310.0662510425</v>
      </c>
      <c r="H123" s="9" t="n">
        <f aca="false">(parametros_manuales!$D$32*('Plan mensual'!J46+IF(parametros_manuales!$H$32="Todos",'Plan mensual'!J50,0))+parametros_manuales!$E$32*('Plan mensual'!J47+IF(parametros_manuales!$H$32="Todos",'Plan mensual'!J51,0))+parametros_manuales!$F$32*('Plan mensual'!J48+IF(parametros_manuales!$H$32="Todos",'Plan mensual'!J52,0))+parametros_manuales!$G$32*('Plan mensual'!J49+IF(parametros_manuales!$H$32="Todos",'Plan mensual'!J53,0)))*parametros_manuales!$I$32*parametros_manuales!$J$32</f>
        <v>6751.442478682</v>
      </c>
      <c r="I123" s="9" t="n">
        <f aca="false">(parametros_manuales!$D$32*('Plan mensual'!K46+IF(parametros_manuales!$H$32="Todos",'Plan mensual'!K50,0))+parametros_manuales!$E$32*('Plan mensual'!K47+IF(parametros_manuales!$H$32="Todos",'Plan mensual'!K51,0))+parametros_manuales!$F$32*('Plan mensual'!K48+IF(parametros_manuales!$H$32="Todos",'Plan mensual'!K52,0))+parametros_manuales!$G$32*('Plan mensual'!K49+IF(parametros_manuales!$H$32="Todos",'Plan mensual'!K53,0)))*parametros_manuales!$I$32*parametros_manuales!$J$32</f>
        <v>6751.442478682</v>
      </c>
      <c r="J123" s="9" t="n">
        <f aca="false">(parametros_manuales!$D$32*('Plan mensual'!L46+IF(parametros_manuales!$H$32="Todos",'Plan mensual'!L50,0))+parametros_manuales!$E$32*('Plan mensual'!L47+IF(parametros_manuales!$H$32="Todos",'Plan mensual'!L51,0))+parametros_manuales!$F$32*('Plan mensual'!L48+IF(parametros_manuales!$H$32="Todos",'Plan mensual'!L52,0))+parametros_manuales!$G$32*('Plan mensual'!L49+IF(parametros_manuales!$H$32="Todos",'Plan mensual'!L53,0)))*parametros_manuales!$I$32*parametros_manuales!$J$32</f>
        <v>6751.442478682</v>
      </c>
      <c r="K123" s="9" t="n">
        <f aca="false">(parametros_manuales!$D$32*('Plan mensual'!M46+IF(parametros_manuales!$H$32="Todos",'Plan mensual'!M50,0))+parametros_manuales!$E$32*('Plan mensual'!M47+IF(parametros_manuales!$H$32="Todos",'Plan mensual'!M51,0))+parametros_manuales!$F$32*('Plan mensual'!M48+IF(parametros_manuales!$H$32="Todos",'Plan mensual'!M52,0))+parametros_manuales!$G$32*('Plan mensual'!M49+IF(parametros_manuales!$H$32="Todos",'Plan mensual'!M53,0)))*parametros_manuales!$I$32*parametros_manuales!$J$32</f>
        <v>6620.6434145925</v>
      </c>
      <c r="L123" s="9" t="n">
        <f aca="false">(parametros_manuales!$D$32*('Plan mensual'!N46+IF(parametros_manuales!$H$32="Todos",'Plan mensual'!N50,0))+parametros_manuales!$E$32*('Plan mensual'!N47+IF(parametros_manuales!$H$32="Todos",'Plan mensual'!N51,0))+parametros_manuales!$F$32*('Plan mensual'!N48+IF(parametros_manuales!$H$32="Todos",'Plan mensual'!N52,0))+parametros_manuales!$G$32*('Plan mensual'!N49+IF(parametros_manuales!$H$32="Todos",'Plan mensual'!N53,0)))*parametros_manuales!$I$32*parametros_manuales!$J$32</f>
        <v>6489.844350503</v>
      </c>
      <c r="M123" s="9" t="n">
        <f aca="false">(parametros_manuales!$D$32*('Plan mensual'!O46+IF(parametros_manuales!$H$32="Todos",'Plan mensual'!O50,0))+parametros_manuales!$E$32*('Plan mensual'!O47+IF(parametros_manuales!$H$32="Todos",'Plan mensual'!O51,0))+parametros_manuales!$F$32*('Plan mensual'!O48+IF(parametros_manuales!$H$32="Todos",'Plan mensual'!O52,0))+parametros_manuales!$G$32*('Plan mensual'!O49+IF(parametros_manuales!$H$32="Todos",'Plan mensual'!O53,0)))*parametros_manuales!$I$32*parametros_manuales!$J$32</f>
        <v>10331.431335169</v>
      </c>
      <c r="N123" s="9" t="n">
        <f aca="false">SUM(B123:M123)</f>
        <v>88275.2455279</v>
      </c>
      <c r="O123" s="9" t="n">
        <f aca="false">MAX(B123:M123)</f>
        <v>10331.431335169</v>
      </c>
      <c r="P123" s="43" t="n">
        <f aca="false">O123/(parametros_manuales!$B$7)</f>
        <v>68.8762089011267</v>
      </c>
      <c r="Q123" s="8" t="str">
        <f aca="false">IF(O123=0,"-",INDEX($B$109:$M$109,MATCH(O123,B123:M123,0)))</f>
        <v>Dic</v>
      </c>
    </row>
    <row r="124" customFormat="false" ht="14.25" hidden="false" customHeight="true" outlineLevel="0" collapsed="false">
      <c r="A124" s="8" t="str">
        <f aca="false">parametros_manuales!$B$33</f>
        <v>Secado</v>
      </c>
      <c r="B124" s="9" t="n">
        <f aca="false">(parametros_manuales!$D$33*('Plan mensual'!D46+IF(parametros_manuales!$H$33="Todos",'Plan mensual'!D50,0))+parametros_manuales!$E$33*('Plan mensual'!D47+IF(parametros_manuales!$H$33="Todos",'Plan mensual'!D51,0))+parametros_manuales!$F$33*('Plan mensual'!D48+IF(parametros_manuales!$H$33="Todos",'Plan mensual'!D52,0))+parametros_manuales!$G$33*('Plan mensual'!D49+IF(parametros_manuales!$H$33="Todos",'Plan mensual'!D53,0)))*parametros_manuales!$I$33*parametros_manuales!$J$33</f>
        <v>10069.83320699</v>
      </c>
      <c r="C124" s="9" t="n">
        <f aca="false">(parametros_manuales!$D$33*('Plan mensual'!E46+IF(parametros_manuales!$H$33="Todos",'Plan mensual'!E50,0))+parametros_manuales!$E$33*('Plan mensual'!E47+IF(parametros_manuales!$H$33="Todos",'Plan mensual'!E51,0))+parametros_manuales!$F$33*('Plan mensual'!E48+IF(parametros_manuales!$H$33="Todos",'Plan mensual'!E52,0))+parametros_manuales!$G$33*('Plan mensual'!E49+IF(parametros_manuales!$H$33="Todos",'Plan mensual'!E53,0)))*parametros_manuales!$I$33*parametros_manuales!$J$33</f>
        <v>7683.173969332</v>
      </c>
      <c r="D124" s="9" t="n">
        <f aca="false">(parametros_manuales!$D$33*('Plan mensual'!F46+IF(parametros_manuales!$H$33="Todos",'Plan mensual'!F50,0))+parametros_manuales!$E$33*('Plan mensual'!F47+IF(parametros_manuales!$H$33="Todos",'Plan mensual'!F51,0))+parametros_manuales!$F$33*('Plan mensual'!F48+IF(parametros_manuales!$H$33="Todos",'Plan mensual'!F52,0))+parametros_manuales!$G$33*('Plan mensual'!F49+IF(parametros_manuales!$H$33="Todos",'Plan mensual'!F53,0)))*parametros_manuales!$I$33*parametros_manuales!$J$33</f>
        <v>7192.8187063215</v>
      </c>
      <c r="E124" s="9" t="n">
        <f aca="false">(parametros_manuales!$D$33*('Plan mensual'!G46+IF(parametros_manuales!$H$33="Todos",'Plan mensual'!G50,0))+parametros_manuales!$E$33*('Plan mensual'!G47+IF(parametros_manuales!$H$33="Todos",'Plan mensual'!G51,0))+parametros_manuales!$F$33*('Plan mensual'!G48+IF(parametros_manuales!$H$33="Todos",'Plan mensual'!G52,0))+parametros_manuales!$G$33*('Plan mensual'!G49+IF(parametros_manuales!$H$33="Todos",'Plan mensual'!G53,0)))*parametros_manuales!$I$33*parametros_manuales!$J$33</f>
        <v>6882.2415427715</v>
      </c>
      <c r="F124" s="9" t="n">
        <f aca="false">(parametros_manuales!$D$33*('Plan mensual'!H46+IF(parametros_manuales!$H$33="Todos",'Plan mensual'!H50,0))+parametros_manuales!$E$33*('Plan mensual'!H47+IF(parametros_manuales!$H$33="Todos",'Plan mensual'!H51,0))+parametros_manuales!$F$33*('Plan mensual'!H48+IF(parametros_manuales!$H$33="Todos",'Plan mensual'!H52,0))+parametros_manuales!$G$33*('Plan mensual'!H49+IF(parametros_manuales!$H$33="Todos",'Plan mensual'!H53,0)))*parametros_manuales!$I$33*parametros_manuales!$J$33</f>
        <v>6440.865315132</v>
      </c>
      <c r="G124" s="9" t="n">
        <f aca="false">(parametros_manuales!$D$33*('Plan mensual'!I46+IF(parametros_manuales!$H$33="Todos",'Plan mensual'!I50,0))+parametros_manuales!$E$33*('Plan mensual'!I47+IF(parametros_manuales!$H$33="Todos",'Plan mensual'!I51,0))+parametros_manuales!$F$33*('Plan mensual'!I48+IF(parametros_manuales!$H$33="Todos",'Plan mensual'!I52,0))+parametros_manuales!$G$33*('Plan mensual'!I49+IF(parametros_manuales!$H$33="Todos",'Plan mensual'!I53,0)))*parametros_manuales!$I$33*parametros_manuales!$J$33</f>
        <v>6310.0662510425</v>
      </c>
      <c r="H124" s="9" t="n">
        <f aca="false">(parametros_manuales!$D$33*('Plan mensual'!J46+IF(parametros_manuales!$H$33="Todos",'Plan mensual'!J50,0))+parametros_manuales!$E$33*('Plan mensual'!J47+IF(parametros_manuales!$H$33="Todos",'Plan mensual'!J51,0))+parametros_manuales!$F$33*('Plan mensual'!J48+IF(parametros_manuales!$H$33="Todos",'Plan mensual'!J52,0))+parametros_manuales!$G$33*('Plan mensual'!J49+IF(parametros_manuales!$H$33="Todos",'Plan mensual'!J53,0)))*parametros_manuales!$I$33*parametros_manuales!$J$33</f>
        <v>6751.442478682</v>
      </c>
      <c r="I124" s="9" t="n">
        <f aca="false">(parametros_manuales!$D$33*('Plan mensual'!K46+IF(parametros_manuales!$H$33="Todos",'Plan mensual'!K50,0))+parametros_manuales!$E$33*('Plan mensual'!K47+IF(parametros_manuales!$H$33="Todos",'Plan mensual'!K51,0))+parametros_manuales!$F$33*('Plan mensual'!K48+IF(parametros_manuales!$H$33="Todos",'Plan mensual'!K52,0))+parametros_manuales!$G$33*('Plan mensual'!K49+IF(parametros_manuales!$H$33="Todos",'Plan mensual'!K53,0)))*parametros_manuales!$I$33*parametros_manuales!$J$33</f>
        <v>6751.442478682</v>
      </c>
      <c r="J124" s="9" t="n">
        <f aca="false">(parametros_manuales!$D$33*('Plan mensual'!L46+IF(parametros_manuales!$H$33="Todos",'Plan mensual'!L50,0))+parametros_manuales!$E$33*('Plan mensual'!L47+IF(parametros_manuales!$H$33="Todos",'Plan mensual'!L51,0))+parametros_manuales!$F$33*('Plan mensual'!L48+IF(parametros_manuales!$H$33="Todos",'Plan mensual'!L52,0))+parametros_manuales!$G$33*('Plan mensual'!L49+IF(parametros_manuales!$H$33="Todos",'Plan mensual'!L53,0)))*parametros_manuales!$I$33*parametros_manuales!$J$33</f>
        <v>6751.442478682</v>
      </c>
      <c r="K124" s="9" t="n">
        <f aca="false">(parametros_manuales!$D$33*('Plan mensual'!M46+IF(parametros_manuales!$H$33="Todos",'Plan mensual'!M50,0))+parametros_manuales!$E$33*('Plan mensual'!M47+IF(parametros_manuales!$H$33="Todos",'Plan mensual'!M51,0))+parametros_manuales!$F$33*('Plan mensual'!M48+IF(parametros_manuales!$H$33="Todos",'Plan mensual'!M52,0))+parametros_manuales!$G$33*('Plan mensual'!M49+IF(parametros_manuales!$H$33="Todos",'Plan mensual'!M53,0)))*parametros_manuales!$I$33*parametros_manuales!$J$33</f>
        <v>6620.6434145925</v>
      </c>
      <c r="L124" s="9" t="n">
        <f aca="false">(parametros_manuales!$D$33*('Plan mensual'!N46+IF(parametros_manuales!$H$33="Todos",'Plan mensual'!N50,0))+parametros_manuales!$E$33*('Plan mensual'!N47+IF(parametros_manuales!$H$33="Todos",'Plan mensual'!N51,0))+parametros_manuales!$F$33*('Plan mensual'!N48+IF(parametros_manuales!$H$33="Todos",'Plan mensual'!N52,0))+parametros_manuales!$G$33*('Plan mensual'!N49+IF(parametros_manuales!$H$33="Todos",'Plan mensual'!N53,0)))*parametros_manuales!$I$33*parametros_manuales!$J$33</f>
        <v>6489.844350503</v>
      </c>
      <c r="M124" s="9" t="n">
        <f aca="false">(parametros_manuales!$D$33*('Plan mensual'!O46+IF(parametros_manuales!$H$33="Todos",'Plan mensual'!O50,0))+parametros_manuales!$E$33*('Plan mensual'!O47+IF(parametros_manuales!$H$33="Todos",'Plan mensual'!O51,0))+parametros_manuales!$F$33*('Plan mensual'!O48+IF(parametros_manuales!$H$33="Todos",'Plan mensual'!O52,0))+parametros_manuales!$G$33*('Plan mensual'!O49+IF(parametros_manuales!$H$33="Todos",'Plan mensual'!O53,0)))*parametros_manuales!$I$33*parametros_manuales!$J$33</f>
        <v>10331.431335169</v>
      </c>
      <c r="N124" s="9" t="n">
        <f aca="false">SUM(B124:M124)</f>
        <v>88275.2455279</v>
      </c>
      <c r="O124" s="9" t="n">
        <f aca="false">MAX(B124:M124)</f>
        <v>10331.431335169</v>
      </c>
      <c r="P124" s="43" t="n">
        <f aca="false">O124/(parametros_manuales!$B$7)</f>
        <v>68.8762089011267</v>
      </c>
      <c r="Q124" s="8" t="str">
        <f aca="false">IF(O124=0,"-",INDEX($B$109:$M$109,MATCH(O124,B124:M124,0)))</f>
        <v>Dic</v>
      </c>
    </row>
    <row r="125" customFormat="false" ht="14.25" hidden="false" customHeight="true" outlineLevel="0" collapsed="false">
      <c r="A125" s="8" t="str">
        <f aca="false">parametros_manuales!$B$34</f>
        <v>Granallado</v>
      </c>
      <c r="B125" s="9" t="n">
        <f aca="false">(parametros_manuales!$D$34*('Plan mensual'!D46+IF(parametros_manuales!$H$34="Todos",'Plan mensual'!D50,0))+parametros_manuales!$E$34*('Plan mensual'!D47+IF(parametros_manuales!$H$34="Todos",'Plan mensual'!D51,0))+parametros_manuales!$F$34*('Plan mensual'!D48+IF(parametros_manuales!$H$34="Todos",'Plan mensual'!D52,0))+parametros_manuales!$G$34*('Plan mensual'!D49+IF(parametros_manuales!$H$34="Todos",'Plan mensual'!D53,0)))*parametros_manuales!$I$34*parametros_manuales!$J$34</f>
        <v>10069.83320699</v>
      </c>
      <c r="C125" s="9" t="n">
        <f aca="false">(parametros_manuales!$D$34*('Plan mensual'!E46+IF(parametros_manuales!$H$34="Todos",'Plan mensual'!E50,0))+parametros_manuales!$E$34*('Plan mensual'!E47+IF(parametros_manuales!$H$34="Todos",'Plan mensual'!E51,0))+parametros_manuales!$F$34*('Plan mensual'!E48+IF(parametros_manuales!$H$34="Todos",'Plan mensual'!E52,0))+parametros_manuales!$G$34*('Plan mensual'!E49+IF(parametros_manuales!$H$34="Todos",'Plan mensual'!E53,0)))*parametros_manuales!$I$34*parametros_manuales!$J$34</f>
        <v>7683.173969332</v>
      </c>
      <c r="D125" s="9" t="n">
        <f aca="false">(parametros_manuales!$D$34*('Plan mensual'!F46+IF(parametros_manuales!$H$34="Todos",'Plan mensual'!F50,0))+parametros_manuales!$E$34*('Plan mensual'!F47+IF(parametros_manuales!$H$34="Todos",'Plan mensual'!F51,0))+parametros_manuales!$F$34*('Plan mensual'!F48+IF(parametros_manuales!$H$34="Todos",'Plan mensual'!F52,0))+parametros_manuales!$G$34*('Plan mensual'!F49+IF(parametros_manuales!$H$34="Todos",'Plan mensual'!F53,0)))*parametros_manuales!$I$34*parametros_manuales!$J$34</f>
        <v>7192.8187063215</v>
      </c>
      <c r="E125" s="9" t="n">
        <f aca="false">(parametros_manuales!$D$34*('Plan mensual'!G46+IF(parametros_manuales!$H$34="Todos",'Plan mensual'!G50,0))+parametros_manuales!$E$34*('Plan mensual'!G47+IF(parametros_manuales!$H$34="Todos",'Plan mensual'!G51,0))+parametros_manuales!$F$34*('Plan mensual'!G48+IF(parametros_manuales!$H$34="Todos",'Plan mensual'!G52,0))+parametros_manuales!$G$34*('Plan mensual'!G49+IF(parametros_manuales!$H$34="Todos",'Plan mensual'!G53,0)))*parametros_manuales!$I$34*parametros_manuales!$J$34</f>
        <v>6882.2415427715</v>
      </c>
      <c r="F125" s="9" t="n">
        <f aca="false">(parametros_manuales!$D$34*('Plan mensual'!H46+IF(parametros_manuales!$H$34="Todos",'Plan mensual'!H50,0))+parametros_manuales!$E$34*('Plan mensual'!H47+IF(parametros_manuales!$H$34="Todos",'Plan mensual'!H51,0))+parametros_manuales!$F$34*('Plan mensual'!H48+IF(parametros_manuales!$H$34="Todos",'Plan mensual'!H52,0))+parametros_manuales!$G$34*('Plan mensual'!H49+IF(parametros_manuales!$H$34="Todos",'Plan mensual'!H53,0)))*parametros_manuales!$I$34*parametros_manuales!$J$34</f>
        <v>6440.865315132</v>
      </c>
      <c r="G125" s="9" t="n">
        <f aca="false">(parametros_manuales!$D$34*('Plan mensual'!I46+IF(parametros_manuales!$H$34="Todos",'Plan mensual'!I50,0))+parametros_manuales!$E$34*('Plan mensual'!I47+IF(parametros_manuales!$H$34="Todos",'Plan mensual'!I51,0))+parametros_manuales!$F$34*('Plan mensual'!I48+IF(parametros_manuales!$H$34="Todos",'Plan mensual'!I52,0))+parametros_manuales!$G$34*('Plan mensual'!I49+IF(parametros_manuales!$H$34="Todos",'Plan mensual'!I53,0)))*parametros_manuales!$I$34*parametros_manuales!$J$34</f>
        <v>6310.0662510425</v>
      </c>
      <c r="H125" s="9" t="n">
        <f aca="false">(parametros_manuales!$D$34*('Plan mensual'!J46+IF(parametros_manuales!$H$34="Todos",'Plan mensual'!J50,0))+parametros_manuales!$E$34*('Plan mensual'!J47+IF(parametros_manuales!$H$34="Todos",'Plan mensual'!J51,0))+parametros_manuales!$F$34*('Plan mensual'!J48+IF(parametros_manuales!$H$34="Todos",'Plan mensual'!J52,0))+parametros_manuales!$G$34*('Plan mensual'!J49+IF(parametros_manuales!$H$34="Todos",'Plan mensual'!J53,0)))*parametros_manuales!$I$34*parametros_manuales!$J$34</f>
        <v>6751.442478682</v>
      </c>
      <c r="I125" s="9" t="n">
        <f aca="false">(parametros_manuales!$D$34*('Plan mensual'!K46+IF(parametros_manuales!$H$34="Todos",'Plan mensual'!K50,0))+parametros_manuales!$E$34*('Plan mensual'!K47+IF(parametros_manuales!$H$34="Todos",'Plan mensual'!K51,0))+parametros_manuales!$F$34*('Plan mensual'!K48+IF(parametros_manuales!$H$34="Todos",'Plan mensual'!K52,0))+parametros_manuales!$G$34*('Plan mensual'!K49+IF(parametros_manuales!$H$34="Todos",'Plan mensual'!K53,0)))*parametros_manuales!$I$34*parametros_manuales!$J$34</f>
        <v>6751.442478682</v>
      </c>
      <c r="J125" s="9" t="n">
        <f aca="false">(parametros_manuales!$D$34*('Plan mensual'!L46+IF(parametros_manuales!$H$34="Todos",'Plan mensual'!L50,0))+parametros_manuales!$E$34*('Plan mensual'!L47+IF(parametros_manuales!$H$34="Todos",'Plan mensual'!L51,0))+parametros_manuales!$F$34*('Plan mensual'!L48+IF(parametros_manuales!$H$34="Todos",'Plan mensual'!L52,0))+parametros_manuales!$G$34*('Plan mensual'!L49+IF(parametros_manuales!$H$34="Todos",'Plan mensual'!L53,0)))*parametros_manuales!$I$34*parametros_manuales!$J$34</f>
        <v>6751.442478682</v>
      </c>
      <c r="K125" s="9" t="n">
        <f aca="false">(parametros_manuales!$D$34*('Plan mensual'!M46+IF(parametros_manuales!$H$34="Todos",'Plan mensual'!M50,0))+parametros_manuales!$E$34*('Plan mensual'!M47+IF(parametros_manuales!$H$34="Todos",'Plan mensual'!M51,0))+parametros_manuales!$F$34*('Plan mensual'!M48+IF(parametros_manuales!$H$34="Todos",'Plan mensual'!M52,0))+parametros_manuales!$G$34*('Plan mensual'!M49+IF(parametros_manuales!$H$34="Todos",'Plan mensual'!M53,0)))*parametros_manuales!$I$34*parametros_manuales!$J$34</f>
        <v>6620.6434145925</v>
      </c>
      <c r="L125" s="9" t="n">
        <f aca="false">(parametros_manuales!$D$34*('Plan mensual'!N46+IF(parametros_manuales!$H$34="Todos",'Plan mensual'!N50,0))+parametros_manuales!$E$34*('Plan mensual'!N47+IF(parametros_manuales!$H$34="Todos",'Plan mensual'!N51,0))+parametros_manuales!$F$34*('Plan mensual'!N48+IF(parametros_manuales!$H$34="Todos",'Plan mensual'!N52,0))+parametros_manuales!$G$34*('Plan mensual'!N49+IF(parametros_manuales!$H$34="Todos",'Plan mensual'!N53,0)))*parametros_manuales!$I$34*parametros_manuales!$J$34</f>
        <v>6489.844350503</v>
      </c>
      <c r="M125" s="9" t="n">
        <f aca="false">(parametros_manuales!$D$34*('Plan mensual'!O46+IF(parametros_manuales!$H$34="Todos",'Plan mensual'!O50,0))+parametros_manuales!$E$34*('Plan mensual'!O47+IF(parametros_manuales!$H$34="Todos",'Plan mensual'!O51,0))+parametros_manuales!$F$34*('Plan mensual'!O48+IF(parametros_manuales!$H$34="Todos",'Plan mensual'!O52,0))+parametros_manuales!$G$34*('Plan mensual'!O49+IF(parametros_manuales!$H$34="Todos",'Plan mensual'!O53,0)))*parametros_manuales!$I$34*parametros_manuales!$J$34</f>
        <v>10331.431335169</v>
      </c>
      <c r="N125" s="9" t="n">
        <f aca="false">SUM(B125:M125)</f>
        <v>88275.2455279</v>
      </c>
      <c r="O125" s="9" t="n">
        <f aca="false">MAX(B125:M125)</f>
        <v>10331.431335169</v>
      </c>
      <c r="P125" s="43" t="n">
        <f aca="false">O125/(parametros_manuales!$B$7)</f>
        <v>68.8762089011267</v>
      </c>
      <c r="Q125" s="8" t="str">
        <f aca="false">IF(O125=0,"-",INDEX($B$109:$M$109,MATCH(O125,B125:M125,0)))</f>
        <v>Dic</v>
      </c>
    </row>
    <row r="126" customFormat="false" ht="14.25" hidden="false" customHeight="true" outlineLevel="0" collapsed="false">
      <c r="A126" s="8" t="str">
        <f aca="false">parametros_manuales!$B$35</f>
        <v>Detección de defectos</v>
      </c>
      <c r="B126" s="9" t="n">
        <f aca="false">(parametros_manuales!$D$35*('Plan mensual'!D46+IF(parametros_manuales!$H$35="Todos",'Plan mensual'!D50,0))+parametros_manuales!$E$35*('Plan mensual'!D47+IF(parametros_manuales!$H$35="Todos",'Plan mensual'!D51,0))+parametros_manuales!$F$35*('Plan mensual'!D48+IF(parametros_manuales!$H$35="Todos",'Plan mensual'!D52,0))+parametros_manuales!$G$35*('Plan mensual'!D49+IF(parametros_manuales!$H$35="Todos",'Plan mensual'!D53,0)))*parametros_manuales!$I$35*parametros_manuales!$J$35</f>
        <v>10069.83320699</v>
      </c>
      <c r="C126" s="9" t="n">
        <f aca="false">(parametros_manuales!$D$35*('Plan mensual'!E46+IF(parametros_manuales!$H$35="Todos",'Plan mensual'!E50,0))+parametros_manuales!$E$35*('Plan mensual'!E47+IF(parametros_manuales!$H$35="Todos",'Plan mensual'!E51,0))+parametros_manuales!$F$35*('Plan mensual'!E48+IF(parametros_manuales!$H$35="Todos",'Plan mensual'!E52,0))+parametros_manuales!$G$35*('Plan mensual'!E49+IF(parametros_manuales!$H$35="Todos",'Plan mensual'!E53,0)))*parametros_manuales!$I$35*parametros_manuales!$J$35</f>
        <v>7683.173969332</v>
      </c>
      <c r="D126" s="9" t="n">
        <f aca="false">(parametros_manuales!$D$35*('Plan mensual'!F46+IF(parametros_manuales!$H$35="Todos",'Plan mensual'!F50,0))+parametros_manuales!$E$35*('Plan mensual'!F47+IF(parametros_manuales!$H$35="Todos",'Plan mensual'!F51,0))+parametros_manuales!$F$35*('Plan mensual'!F48+IF(parametros_manuales!$H$35="Todos",'Plan mensual'!F52,0))+parametros_manuales!$G$35*('Plan mensual'!F49+IF(parametros_manuales!$H$35="Todos",'Plan mensual'!F53,0)))*parametros_manuales!$I$35*parametros_manuales!$J$35</f>
        <v>7192.8187063215</v>
      </c>
      <c r="E126" s="9" t="n">
        <f aca="false">(parametros_manuales!$D$35*('Plan mensual'!G46+IF(parametros_manuales!$H$35="Todos",'Plan mensual'!G50,0))+parametros_manuales!$E$35*('Plan mensual'!G47+IF(parametros_manuales!$H$35="Todos",'Plan mensual'!G51,0))+parametros_manuales!$F$35*('Plan mensual'!G48+IF(parametros_manuales!$H$35="Todos",'Plan mensual'!G52,0))+parametros_manuales!$G$35*('Plan mensual'!G49+IF(parametros_manuales!$H$35="Todos",'Plan mensual'!G53,0)))*parametros_manuales!$I$35*parametros_manuales!$J$35</f>
        <v>6882.2415427715</v>
      </c>
      <c r="F126" s="9" t="n">
        <f aca="false">(parametros_manuales!$D$35*('Plan mensual'!H46+IF(parametros_manuales!$H$35="Todos",'Plan mensual'!H50,0))+parametros_manuales!$E$35*('Plan mensual'!H47+IF(parametros_manuales!$H$35="Todos",'Plan mensual'!H51,0))+parametros_manuales!$F$35*('Plan mensual'!H48+IF(parametros_manuales!$H$35="Todos",'Plan mensual'!H52,0))+parametros_manuales!$G$35*('Plan mensual'!H49+IF(parametros_manuales!$H$35="Todos",'Plan mensual'!H53,0)))*parametros_manuales!$I$35*parametros_manuales!$J$35</f>
        <v>6440.865315132</v>
      </c>
      <c r="G126" s="9" t="n">
        <f aca="false">(parametros_manuales!$D$35*('Plan mensual'!I46+IF(parametros_manuales!$H$35="Todos",'Plan mensual'!I50,0))+parametros_manuales!$E$35*('Plan mensual'!I47+IF(parametros_manuales!$H$35="Todos",'Plan mensual'!I51,0))+parametros_manuales!$F$35*('Plan mensual'!I48+IF(parametros_manuales!$H$35="Todos",'Plan mensual'!I52,0))+parametros_manuales!$G$35*('Plan mensual'!I49+IF(parametros_manuales!$H$35="Todos",'Plan mensual'!I53,0)))*parametros_manuales!$I$35*parametros_manuales!$J$35</f>
        <v>6310.0662510425</v>
      </c>
      <c r="H126" s="9" t="n">
        <f aca="false">(parametros_manuales!$D$35*('Plan mensual'!J46+IF(parametros_manuales!$H$35="Todos",'Plan mensual'!J50,0))+parametros_manuales!$E$35*('Plan mensual'!J47+IF(parametros_manuales!$H$35="Todos",'Plan mensual'!J51,0))+parametros_manuales!$F$35*('Plan mensual'!J48+IF(parametros_manuales!$H$35="Todos",'Plan mensual'!J52,0))+parametros_manuales!$G$35*('Plan mensual'!J49+IF(parametros_manuales!$H$35="Todos",'Plan mensual'!J53,0)))*parametros_manuales!$I$35*parametros_manuales!$J$35</f>
        <v>6751.442478682</v>
      </c>
      <c r="I126" s="9" t="n">
        <f aca="false">(parametros_manuales!$D$35*('Plan mensual'!K46+IF(parametros_manuales!$H$35="Todos",'Plan mensual'!K50,0))+parametros_manuales!$E$35*('Plan mensual'!K47+IF(parametros_manuales!$H$35="Todos",'Plan mensual'!K51,0))+parametros_manuales!$F$35*('Plan mensual'!K48+IF(parametros_manuales!$H$35="Todos",'Plan mensual'!K52,0))+parametros_manuales!$G$35*('Plan mensual'!K49+IF(parametros_manuales!$H$35="Todos",'Plan mensual'!K53,0)))*parametros_manuales!$I$35*parametros_manuales!$J$35</f>
        <v>6751.442478682</v>
      </c>
      <c r="J126" s="9" t="n">
        <f aca="false">(parametros_manuales!$D$35*('Plan mensual'!L46+IF(parametros_manuales!$H$35="Todos",'Plan mensual'!L50,0))+parametros_manuales!$E$35*('Plan mensual'!L47+IF(parametros_manuales!$H$35="Todos",'Plan mensual'!L51,0))+parametros_manuales!$F$35*('Plan mensual'!L48+IF(parametros_manuales!$H$35="Todos",'Plan mensual'!L52,0))+parametros_manuales!$G$35*('Plan mensual'!L49+IF(parametros_manuales!$H$35="Todos",'Plan mensual'!L53,0)))*parametros_manuales!$I$35*parametros_manuales!$J$35</f>
        <v>6751.442478682</v>
      </c>
      <c r="K126" s="9" t="n">
        <f aca="false">(parametros_manuales!$D$35*('Plan mensual'!M46+IF(parametros_manuales!$H$35="Todos",'Plan mensual'!M50,0))+parametros_manuales!$E$35*('Plan mensual'!M47+IF(parametros_manuales!$H$35="Todos",'Plan mensual'!M51,0))+parametros_manuales!$F$35*('Plan mensual'!M48+IF(parametros_manuales!$H$35="Todos",'Plan mensual'!M52,0))+parametros_manuales!$G$35*('Plan mensual'!M49+IF(parametros_manuales!$H$35="Todos",'Plan mensual'!M53,0)))*parametros_manuales!$I$35*parametros_manuales!$J$35</f>
        <v>6620.6434145925</v>
      </c>
      <c r="L126" s="9" t="n">
        <f aca="false">(parametros_manuales!$D$35*('Plan mensual'!N46+IF(parametros_manuales!$H$35="Todos",'Plan mensual'!N50,0))+parametros_manuales!$E$35*('Plan mensual'!N47+IF(parametros_manuales!$H$35="Todos",'Plan mensual'!N51,0))+parametros_manuales!$F$35*('Plan mensual'!N48+IF(parametros_manuales!$H$35="Todos",'Plan mensual'!N52,0))+parametros_manuales!$G$35*('Plan mensual'!N49+IF(parametros_manuales!$H$35="Todos",'Plan mensual'!N53,0)))*parametros_manuales!$I$35*parametros_manuales!$J$35</f>
        <v>6489.844350503</v>
      </c>
      <c r="M126" s="9" t="n">
        <f aca="false">(parametros_manuales!$D$35*('Plan mensual'!O46+IF(parametros_manuales!$H$35="Todos",'Plan mensual'!O50,0))+parametros_manuales!$E$35*('Plan mensual'!O47+IF(parametros_manuales!$H$35="Todos",'Plan mensual'!O51,0))+parametros_manuales!$F$35*('Plan mensual'!O48+IF(parametros_manuales!$H$35="Todos",'Plan mensual'!O52,0))+parametros_manuales!$G$35*('Plan mensual'!O49+IF(parametros_manuales!$H$35="Todos",'Plan mensual'!O53,0)))*parametros_manuales!$I$35*parametros_manuales!$J$35</f>
        <v>10331.431335169</v>
      </c>
      <c r="N126" s="9" t="n">
        <f aca="false">SUM(B126:M126)</f>
        <v>88275.2455279</v>
      </c>
      <c r="O126" s="9" t="n">
        <f aca="false">MAX(B126:M126)</f>
        <v>10331.431335169</v>
      </c>
      <c r="P126" s="43" t="n">
        <f aca="false">O126/(parametros_manuales!$B$7)</f>
        <v>68.8762089011267</v>
      </c>
      <c r="Q126" s="8" t="str">
        <f aca="false">IF(O126=0,"-",INDEX($B$109:$M$109,MATCH(O126,B126:M126,0)))</f>
        <v>Dic</v>
      </c>
    </row>
    <row r="127" customFormat="false" ht="14.25" hidden="false" customHeight="true" outlineLevel="0" collapsed="false">
      <c r="A127" s="8" t="str">
        <f aca="false">parametros_manuales!$B$36</f>
        <v>Corrección de defectos</v>
      </c>
      <c r="B127" s="9" t="n">
        <f aca="false">(parametros_manuales!$D$36*('Plan mensual'!D46+IF(parametros_manuales!$H$36="Todos",'Plan mensual'!D50,0))+parametros_manuales!$E$36*('Plan mensual'!D47+IF(parametros_manuales!$H$36="Todos",'Plan mensual'!D51,0))+parametros_manuales!$F$36*('Plan mensual'!D48+IF(parametros_manuales!$H$36="Todos",'Plan mensual'!D52,0))+parametros_manuales!$G$36*('Plan mensual'!D49+IF(parametros_manuales!$H$36="Todos",'Plan mensual'!D53,0)))*parametros_manuales!$I$36*parametros_manuales!$J$36</f>
        <v>503.4916603495</v>
      </c>
      <c r="C127" s="9" t="n">
        <f aca="false">(parametros_manuales!$D$36*('Plan mensual'!E46+IF(parametros_manuales!$H$36="Todos",'Plan mensual'!E50,0))+parametros_manuales!$E$36*('Plan mensual'!E47+IF(parametros_manuales!$H$36="Todos",'Plan mensual'!E51,0))+parametros_manuales!$F$36*('Plan mensual'!E48+IF(parametros_manuales!$H$36="Todos",'Plan mensual'!E52,0))+parametros_manuales!$G$36*('Plan mensual'!E49+IF(parametros_manuales!$H$36="Todos",'Plan mensual'!E53,0)))*parametros_manuales!$I$36*parametros_manuales!$J$36</f>
        <v>384.1586984666</v>
      </c>
      <c r="D127" s="9" t="n">
        <f aca="false">(parametros_manuales!$D$36*('Plan mensual'!F46+IF(parametros_manuales!$H$36="Todos",'Plan mensual'!F50,0))+parametros_manuales!$E$36*('Plan mensual'!F47+IF(parametros_manuales!$H$36="Todos",'Plan mensual'!F51,0))+parametros_manuales!$F$36*('Plan mensual'!F48+IF(parametros_manuales!$H$36="Todos",'Plan mensual'!F52,0))+parametros_manuales!$G$36*('Plan mensual'!F49+IF(parametros_manuales!$H$36="Todos",'Plan mensual'!F53,0)))*parametros_manuales!$I$36*parametros_manuales!$J$36</f>
        <v>359.640935316075</v>
      </c>
      <c r="E127" s="9" t="n">
        <f aca="false">(parametros_manuales!$D$36*('Plan mensual'!G46+IF(parametros_manuales!$H$36="Todos",'Plan mensual'!G50,0))+parametros_manuales!$E$36*('Plan mensual'!G47+IF(parametros_manuales!$H$36="Todos",'Plan mensual'!G51,0))+parametros_manuales!$F$36*('Plan mensual'!G48+IF(parametros_manuales!$H$36="Todos",'Plan mensual'!G52,0))+parametros_manuales!$G$36*('Plan mensual'!G49+IF(parametros_manuales!$H$36="Todos",'Plan mensual'!G53,0)))*parametros_manuales!$I$36*parametros_manuales!$J$36</f>
        <v>344.112077138575</v>
      </c>
      <c r="F127" s="9" t="n">
        <f aca="false">(parametros_manuales!$D$36*('Plan mensual'!H46+IF(parametros_manuales!$H$36="Todos",'Plan mensual'!H50,0))+parametros_manuales!$E$36*('Plan mensual'!H47+IF(parametros_manuales!$H$36="Todos",'Plan mensual'!H51,0))+parametros_manuales!$F$36*('Plan mensual'!H48+IF(parametros_manuales!$H$36="Todos",'Plan mensual'!H52,0))+parametros_manuales!$G$36*('Plan mensual'!H49+IF(parametros_manuales!$H$36="Todos",'Plan mensual'!H53,0)))*parametros_manuales!$I$36*parametros_manuales!$J$36</f>
        <v>322.0432657566</v>
      </c>
      <c r="G127" s="9" t="n">
        <f aca="false">(parametros_manuales!$D$36*('Plan mensual'!I46+IF(parametros_manuales!$H$36="Todos",'Plan mensual'!I50,0))+parametros_manuales!$E$36*('Plan mensual'!I47+IF(parametros_manuales!$H$36="Todos",'Plan mensual'!I51,0))+parametros_manuales!$F$36*('Plan mensual'!I48+IF(parametros_manuales!$H$36="Todos",'Plan mensual'!I52,0))+parametros_manuales!$G$36*('Plan mensual'!I49+IF(parametros_manuales!$H$36="Todos",'Plan mensual'!I53,0)))*parametros_manuales!$I$36*parametros_manuales!$J$36</f>
        <v>315.503312552125</v>
      </c>
      <c r="H127" s="9" t="n">
        <f aca="false">(parametros_manuales!$D$36*('Plan mensual'!J46+IF(parametros_manuales!$H$36="Todos",'Plan mensual'!J50,0))+parametros_manuales!$E$36*('Plan mensual'!J47+IF(parametros_manuales!$H$36="Todos",'Plan mensual'!J51,0))+parametros_manuales!$F$36*('Plan mensual'!J48+IF(parametros_manuales!$H$36="Todos",'Plan mensual'!J52,0))+parametros_manuales!$G$36*('Plan mensual'!J49+IF(parametros_manuales!$H$36="Todos",'Plan mensual'!J53,0)))*parametros_manuales!$I$36*parametros_manuales!$J$36</f>
        <v>337.5721239341</v>
      </c>
      <c r="I127" s="9" t="n">
        <f aca="false">(parametros_manuales!$D$36*('Plan mensual'!K46+IF(parametros_manuales!$H$36="Todos",'Plan mensual'!K50,0))+parametros_manuales!$E$36*('Plan mensual'!K47+IF(parametros_manuales!$H$36="Todos",'Plan mensual'!K51,0))+parametros_manuales!$F$36*('Plan mensual'!K48+IF(parametros_manuales!$H$36="Todos",'Plan mensual'!K52,0))+parametros_manuales!$G$36*('Plan mensual'!K49+IF(parametros_manuales!$H$36="Todos",'Plan mensual'!K53,0)))*parametros_manuales!$I$36*parametros_manuales!$J$36</f>
        <v>337.5721239341</v>
      </c>
      <c r="J127" s="9" t="n">
        <f aca="false">(parametros_manuales!$D$36*('Plan mensual'!L46+IF(parametros_manuales!$H$36="Todos",'Plan mensual'!L50,0))+parametros_manuales!$E$36*('Plan mensual'!L47+IF(parametros_manuales!$H$36="Todos",'Plan mensual'!L51,0))+parametros_manuales!$F$36*('Plan mensual'!L48+IF(parametros_manuales!$H$36="Todos",'Plan mensual'!L52,0))+parametros_manuales!$G$36*('Plan mensual'!L49+IF(parametros_manuales!$H$36="Todos",'Plan mensual'!L53,0)))*parametros_manuales!$I$36*parametros_manuales!$J$36</f>
        <v>337.5721239341</v>
      </c>
      <c r="K127" s="9" t="n">
        <f aca="false">(parametros_manuales!$D$36*('Plan mensual'!M46+IF(parametros_manuales!$H$36="Todos",'Plan mensual'!M50,0))+parametros_manuales!$E$36*('Plan mensual'!M47+IF(parametros_manuales!$H$36="Todos",'Plan mensual'!M51,0))+parametros_manuales!$F$36*('Plan mensual'!M48+IF(parametros_manuales!$H$36="Todos",'Plan mensual'!M52,0))+parametros_manuales!$G$36*('Plan mensual'!M49+IF(parametros_manuales!$H$36="Todos",'Plan mensual'!M53,0)))*parametros_manuales!$I$36*parametros_manuales!$J$36</f>
        <v>331.032170729625</v>
      </c>
      <c r="L127" s="9" t="n">
        <f aca="false">(parametros_manuales!$D$36*('Plan mensual'!N46+IF(parametros_manuales!$H$36="Todos",'Plan mensual'!N50,0))+parametros_manuales!$E$36*('Plan mensual'!N47+IF(parametros_manuales!$H$36="Todos",'Plan mensual'!N51,0))+parametros_manuales!$F$36*('Plan mensual'!N48+IF(parametros_manuales!$H$36="Todos",'Plan mensual'!N52,0))+parametros_manuales!$G$36*('Plan mensual'!N49+IF(parametros_manuales!$H$36="Todos",'Plan mensual'!N53,0)))*parametros_manuales!$I$36*parametros_manuales!$J$36</f>
        <v>324.49221752515</v>
      </c>
      <c r="M127" s="9" t="n">
        <f aca="false">(parametros_manuales!$D$36*('Plan mensual'!O46+IF(parametros_manuales!$H$36="Todos",'Plan mensual'!O50,0))+parametros_manuales!$E$36*('Plan mensual'!O47+IF(parametros_manuales!$H$36="Todos",'Plan mensual'!O51,0))+parametros_manuales!$F$36*('Plan mensual'!O48+IF(parametros_manuales!$H$36="Todos",'Plan mensual'!O52,0))+parametros_manuales!$G$36*('Plan mensual'!O49+IF(parametros_manuales!$H$36="Todos",'Plan mensual'!O53,0)))*parametros_manuales!$I$36*parametros_manuales!$J$36</f>
        <v>516.57156675845</v>
      </c>
      <c r="N127" s="9" t="n">
        <f aca="false">SUM(B127:M127)</f>
        <v>4413.762276395</v>
      </c>
      <c r="O127" s="9" t="n">
        <f aca="false">MAX(B127:M127)</f>
        <v>516.57156675845</v>
      </c>
      <c r="P127" s="43" t="n">
        <f aca="false">O127/(parametros_manuales!$B$7)</f>
        <v>3.44381044505633</v>
      </c>
      <c r="Q127" s="8" t="str">
        <f aca="false">IF(O127=0,"-",INDEX($B$109:$M$109,MATCH(O127,B127:M127,0)))</f>
        <v>Dic</v>
      </c>
    </row>
    <row r="128" customFormat="false" ht="14.25" hidden="false" customHeight="true" outlineLevel="0" collapsed="false">
      <c r="A128" s="8" t="str">
        <f aca="false">parametros_manuales!$B$37</f>
        <v>Pintura en polvo + horno</v>
      </c>
      <c r="B128" s="9" t="n">
        <f aca="false">(parametros_manuales!$D$37*('Plan mensual'!D46+IF(parametros_manuales!$H$37="Todos",'Plan mensual'!D50,0))+parametros_manuales!$E$37*('Plan mensual'!D47+IF(parametros_manuales!$H$37="Todos",'Plan mensual'!D51,0))+parametros_manuales!$F$37*('Plan mensual'!D48+IF(parametros_manuales!$H$37="Todos",'Plan mensual'!D52,0))+parametros_manuales!$G$37*('Plan mensual'!D49+IF(parametros_manuales!$H$37="Todos",'Plan mensual'!D53,0)))*parametros_manuales!$I$37*parametros_manuales!$J$37</f>
        <v>10069.83320699</v>
      </c>
      <c r="C128" s="9" t="n">
        <f aca="false">(parametros_manuales!$D$37*('Plan mensual'!E46+IF(parametros_manuales!$H$37="Todos",'Plan mensual'!E50,0))+parametros_manuales!$E$37*('Plan mensual'!E47+IF(parametros_manuales!$H$37="Todos",'Plan mensual'!E51,0))+parametros_manuales!$F$37*('Plan mensual'!E48+IF(parametros_manuales!$H$37="Todos",'Plan mensual'!E52,0))+parametros_manuales!$G$37*('Plan mensual'!E49+IF(parametros_manuales!$H$37="Todos",'Plan mensual'!E53,0)))*parametros_manuales!$I$37*parametros_manuales!$J$37</f>
        <v>7683.173969332</v>
      </c>
      <c r="D128" s="9" t="n">
        <f aca="false">(parametros_manuales!$D$37*('Plan mensual'!F46+IF(parametros_manuales!$H$37="Todos",'Plan mensual'!F50,0))+parametros_manuales!$E$37*('Plan mensual'!F47+IF(parametros_manuales!$H$37="Todos",'Plan mensual'!F51,0))+parametros_manuales!$F$37*('Plan mensual'!F48+IF(parametros_manuales!$H$37="Todos",'Plan mensual'!F52,0))+parametros_manuales!$G$37*('Plan mensual'!F49+IF(parametros_manuales!$H$37="Todos",'Plan mensual'!F53,0)))*parametros_manuales!$I$37*parametros_manuales!$J$37</f>
        <v>7192.8187063215</v>
      </c>
      <c r="E128" s="9" t="n">
        <f aca="false">(parametros_manuales!$D$37*('Plan mensual'!G46+IF(parametros_manuales!$H$37="Todos",'Plan mensual'!G50,0))+parametros_manuales!$E$37*('Plan mensual'!G47+IF(parametros_manuales!$H$37="Todos",'Plan mensual'!G51,0))+parametros_manuales!$F$37*('Plan mensual'!G48+IF(parametros_manuales!$H$37="Todos",'Plan mensual'!G52,0))+parametros_manuales!$G$37*('Plan mensual'!G49+IF(parametros_manuales!$H$37="Todos",'Plan mensual'!G53,0)))*parametros_manuales!$I$37*parametros_manuales!$J$37</f>
        <v>6882.2415427715</v>
      </c>
      <c r="F128" s="9" t="n">
        <f aca="false">(parametros_manuales!$D$37*('Plan mensual'!H46+IF(parametros_manuales!$H$37="Todos",'Plan mensual'!H50,0))+parametros_manuales!$E$37*('Plan mensual'!H47+IF(parametros_manuales!$H$37="Todos",'Plan mensual'!H51,0))+parametros_manuales!$F$37*('Plan mensual'!H48+IF(parametros_manuales!$H$37="Todos",'Plan mensual'!H52,0))+parametros_manuales!$G$37*('Plan mensual'!H49+IF(parametros_manuales!$H$37="Todos",'Plan mensual'!H53,0)))*parametros_manuales!$I$37*parametros_manuales!$J$37</f>
        <v>6440.865315132</v>
      </c>
      <c r="G128" s="9" t="n">
        <f aca="false">(parametros_manuales!$D$37*('Plan mensual'!I46+IF(parametros_manuales!$H$37="Todos",'Plan mensual'!I50,0))+parametros_manuales!$E$37*('Plan mensual'!I47+IF(parametros_manuales!$H$37="Todos",'Plan mensual'!I51,0))+parametros_manuales!$F$37*('Plan mensual'!I48+IF(parametros_manuales!$H$37="Todos",'Plan mensual'!I52,0))+parametros_manuales!$G$37*('Plan mensual'!I49+IF(parametros_manuales!$H$37="Todos",'Plan mensual'!I53,0)))*parametros_manuales!$I$37*parametros_manuales!$J$37</f>
        <v>6310.0662510425</v>
      </c>
      <c r="H128" s="9" t="n">
        <f aca="false">(parametros_manuales!$D$37*('Plan mensual'!J46+IF(parametros_manuales!$H$37="Todos",'Plan mensual'!J50,0))+parametros_manuales!$E$37*('Plan mensual'!J47+IF(parametros_manuales!$H$37="Todos",'Plan mensual'!J51,0))+parametros_manuales!$F$37*('Plan mensual'!J48+IF(parametros_manuales!$H$37="Todos",'Plan mensual'!J52,0))+parametros_manuales!$G$37*('Plan mensual'!J49+IF(parametros_manuales!$H$37="Todos",'Plan mensual'!J53,0)))*parametros_manuales!$I$37*parametros_manuales!$J$37</f>
        <v>6751.442478682</v>
      </c>
      <c r="I128" s="9" t="n">
        <f aca="false">(parametros_manuales!$D$37*('Plan mensual'!K46+IF(parametros_manuales!$H$37="Todos",'Plan mensual'!K50,0))+parametros_manuales!$E$37*('Plan mensual'!K47+IF(parametros_manuales!$H$37="Todos",'Plan mensual'!K51,0))+parametros_manuales!$F$37*('Plan mensual'!K48+IF(parametros_manuales!$H$37="Todos",'Plan mensual'!K52,0))+parametros_manuales!$G$37*('Plan mensual'!K49+IF(parametros_manuales!$H$37="Todos",'Plan mensual'!K53,0)))*parametros_manuales!$I$37*parametros_manuales!$J$37</f>
        <v>6751.442478682</v>
      </c>
      <c r="J128" s="9" t="n">
        <f aca="false">(parametros_manuales!$D$37*('Plan mensual'!L46+IF(parametros_manuales!$H$37="Todos",'Plan mensual'!L50,0))+parametros_manuales!$E$37*('Plan mensual'!L47+IF(parametros_manuales!$H$37="Todos",'Plan mensual'!L51,0))+parametros_manuales!$F$37*('Plan mensual'!L48+IF(parametros_manuales!$H$37="Todos",'Plan mensual'!L52,0))+parametros_manuales!$G$37*('Plan mensual'!L49+IF(parametros_manuales!$H$37="Todos",'Plan mensual'!L53,0)))*parametros_manuales!$I$37*parametros_manuales!$J$37</f>
        <v>6751.442478682</v>
      </c>
      <c r="K128" s="9" t="n">
        <f aca="false">(parametros_manuales!$D$37*('Plan mensual'!M46+IF(parametros_manuales!$H$37="Todos",'Plan mensual'!M50,0))+parametros_manuales!$E$37*('Plan mensual'!M47+IF(parametros_manuales!$H$37="Todos",'Plan mensual'!M51,0))+parametros_manuales!$F$37*('Plan mensual'!M48+IF(parametros_manuales!$H$37="Todos",'Plan mensual'!M52,0))+parametros_manuales!$G$37*('Plan mensual'!M49+IF(parametros_manuales!$H$37="Todos",'Plan mensual'!M53,0)))*parametros_manuales!$I$37*parametros_manuales!$J$37</f>
        <v>6620.6434145925</v>
      </c>
      <c r="L128" s="9" t="n">
        <f aca="false">(parametros_manuales!$D$37*('Plan mensual'!N46+IF(parametros_manuales!$H$37="Todos",'Plan mensual'!N50,0))+parametros_manuales!$E$37*('Plan mensual'!N47+IF(parametros_manuales!$H$37="Todos",'Plan mensual'!N51,0))+parametros_manuales!$F$37*('Plan mensual'!N48+IF(parametros_manuales!$H$37="Todos",'Plan mensual'!N52,0))+parametros_manuales!$G$37*('Plan mensual'!N49+IF(parametros_manuales!$H$37="Todos",'Plan mensual'!N53,0)))*parametros_manuales!$I$37*parametros_manuales!$J$37</f>
        <v>6489.844350503</v>
      </c>
      <c r="M128" s="9" t="n">
        <f aca="false">(parametros_manuales!$D$37*('Plan mensual'!O46+IF(parametros_manuales!$H$37="Todos",'Plan mensual'!O50,0))+parametros_manuales!$E$37*('Plan mensual'!O47+IF(parametros_manuales!$H$37="Todos",'Plan mensual'!O51,0))+parametros_manuales!$F$37*('Plan mensual'!O48+IF(parametros_manuales!$H$37="Todos",'Plan mensual'!O52,0))+parametros_manuales!$G$37*('Plan mensual'!O49+IF(parametros_manuales!$H$37="Todos",'Plan mensual'!O53,0)))*parametros_manuales!$I$37*parametros_manuales!$J$37</f>
        <v>10331.431335169</v>
      </c>
      <c r="N128" s="9" t="n">
        <f aca="false">SUM(B128:M128)</f>
        <v>88275.2455279</v>
      </c>
      <c r="O128" s="9" t="n">
        <f aca="false">MAX(B128:M128)</f>
        <v>10331.431335169</v>
      </c>
      <c r="P128" s="43" t="n">
        <f aca="false">O128/(parametros_manuales!$B$7)</f>
        <v>68.8762089011267</v>
      </c>
      <c r="Q128" s="8" t="str">
        <f aca="false">IF(O128=0,"-",INDEX($B$109:$M$109,MATCH(O128,B128:M128,0)))</f>
        <v>Dic</v>
      </c>
    </row>
    <row r="129" customFormat="false" ht="14.25" hidden="false" customHeight="true" outlineLevel="0" collapsed="false">
      <c r="A129" s="8" t="str">
        <f aca="false">parametros_manuales!$B$38</f>
        <v>Carga de polvo</v>
      </c>
      <c r="B129" s="9" t="n">
        <f aca="false">(parametros_manuales!$D$38*('Plan mensual'!D46+IF(parametros_manuales!$H$38="Todos",'Plan mensual'!D50,0))+parametros_manuales!$E$38*('Plan mensual'!D47+IF(parametros_manuales!$H$38="Todos",'Plan mensual'!D51,0))+parametros_manuales!$F$38*('Plan mensual'!D48+IF(parametros_manuales!$H$38="Todos",'Plan mensual'!D52,0))+parametros_manuales!$G$38*('Plan mensual'!D49+IF(parametros_manuales!$H$38="Todos",'Plan mensual'!D53,0)))*parametros_manuales!$I$38*parametros_manuales!$J$38</f>
        <v>2908.04920699</v>
      </c>
      <c r="C129" s="9" t="n">
        <f aca="false">(parametros_manuales!$D$38*('Plan mensual'!E46+IF(parametros_manuales!$H$38="Todos",'Plan mensual'!E50,0))+parametros_manuales!$E$38*('Plan mensual'!E47+IF(parametros_manuales!$H$38="Todos",'Plan mensual'!E51,0))+parametros_manuales!$F$38*('Plan mensual'!E48+IF(parametros_manuales!$H$38="Todos",'Plan mensual'!E52,0))+parametros_manuales!$G$38*('Plan mensual'!E49+IF(parametros_manuales!$H$38="Todos",'Plan mensual'!E53,0)))*parametros_manuales!$I$38*parametros_manuales!$J$38</f>
        <v>2250.355569332</v>
      </c>
      <c r="D129" s="9" t="n">
        <f aca="false">(parametros_manuales!$D$38*('Plan mensual'!F46+IF(parametros_manuales!$H$38="Todos",'Plan mensual'!F50,0))+parametros_manuales!$E$38*('Plan mensual'!F47+IF(parametros_manuales!$H$38="Todos",'Plan mensual'!F51,0))+parametros_manuales!$F$38*('Plan mensual'!F48+IF(parametros_manuales!$H$38="Todos",'Plan mensual'!F52,0))+parametros_manuales!$G$38*('Plan mensual'!F49+IF(parametros_manuales!$H$38="Todos",'Plan mensual'!F53,0)))*parametros_manuales!$I$38*parametros_manuales!$J$38</f>
        <v>2192.8679063215</v>
      </c>
      <c r="E129" s="9" t="n">
        <f aca="false">(parametros_manuales!$D$38*('Plan mensual'!G46+IF(parametros_manuales!$H$38="Todos",'Plan mensual'!G50,0))+parametros_manuales!$E$38*('Plan mensual'!G47+IF(parametros_manuales!$H$38="Todos",'Plan mensual'!G51,0))+parametros_manuales!$F$38*('Plan mensual'!G48+IF(parametros_manuales!$H$38="Todos",'Plan mensual'!G52,0))+parametros_manuales!$G$38*('Plan mensual'!G49+IF(parametros_manuales!$H$38="Todos",'Plan mensual'!G53,0)))*parametros_manuales!$I$38*parametros_manuales!$J$38</f>
        <v>2129.4647427715</v>
      </c>
      <c r="F129" s="9" t="n">
        <f aca="false">(parametros_manuales!$D$38*('Plan mensual'!H46+IF(parametros_manuales!$H$38="Todos",'Plan mensual'!H50,0))+parametros_manuales!$E$38*('Plan mensual'!H47+IF(parametros_manuales!$H$38="Todos",'Plan mensual'!H51,0))+parametros_manuales!$F$38*('Plan mensual'!H48+IF(parametros_manuales!$H$38="Todos",'Plan mensual'!H52,0))+parametros_manuales!$G$38*('Plan mensual'!H49+IF(parametros_manuales!$H$38="Todos",'Plan mensual'!H53,0)))*parametros_manuales!$I$38*parametros_manuales!$J$38</f>
        <v>1996.742915132</v>
      </c>
      <c r="G129" s="9" t="n">
        <f aca="false">(parametros_manuales!$D$38*('Plan mensual'!I46+IF(parametros_manuales!$H$38="Todos",'Plan mensual'!I50,0))+parametros_manuales!$E$38*('Plan mensual'!I47+IF(parametros_manuales!$H$38="Todos",'Plan mensual'!I51,0))+parametros_manuales!$F$38*('Plan mensual'!I48+IF(parametros_manuales!$H$38="Todos",'Plan mensual'!I52,0))+parametros_manuales!$G$38*('Plan mensual'!I49+IF(parametros_manuales!$H$38="Todos",'Plan mensual'!I53,0)))*parametros_manuales!$I$38*parametros_manuales!$J$38</f>
        <v>1927.4242510425</v>
      </c>
      <c r="H129" s="9" t="n">
        <f aca="false">(parametros_manuales!$D$38*('Plan mensual'!J46+IF(parametros_manuales!$H$38="Todos",'Plan mensual'!J50,0))+parametros_manuales!$E$38*('Plan mensual'!J47+IF(parametros_manuales!$H$38="Todos",'Plan mensual'!J51,0))+parametros_manuales!$F$38*('Plan mensual'!J48+IF(parametros_manuales!$H$38="Todos",'Plan mensual'!J52,0))+parametros_manuales!$G$38*('Plan mensual'!J49+IF(parametros_manuales!$H$38="Todos",'Plan mensual'!J53,0)))*parametros_manuales!$I$38*parametros_manuales!$J$38</f>
        <v>2060.146078682</v>
      </c>
      <c r="I129" s="9" t="n">
        <f aca="false">(parametros_manuales!$D$38*('Plan mensual'!K46+IF(parametros_manuales!$H$38="Todos",'Plan mensual'!K50,0))+parametros_manuales!$E$38*('Plan mensual'!K47+IF(parametros_manuales!$H$38="Todos",'Plan mensual'!K51,0))+parametros_manuales!$F$38*('Plan mensual'!K48+IF(parametros_manuales!$H$38="Todos",'Plan mensual'!K52,0))+parametros_manuales!$G$38*('Plan mensual'!K49+IF(parametros_manuales!$H$38="Todos",'Plan mensual'!K53,0)))*parametros_manuales!$I$38*parametros_manuales!$J$38</f>
        <v>2060.146078682</v>
      </c>
      <c r="J129" s="9" t="n">
        <f aca="false">(parametros_manuales!$D$38*('Plan mensual'!L46+IF(parametros_manuales!$H$38="Todos",'Plan mensual'!L50,0))+parametros_manuales!$E$38*('Plan mensual'!L47+IF(parametros_manuales!$H$38="Todos",'Plan mensual'!L51,0))+parametros_manuales!$F$38*('Plan mensual'!L48+IF(parametros_manuales!$H$38="Todos",'Plan mensual'!L52,0))+parametros_manuales!$G$38*('Plan mensual'!L49+IF(parametros_manuales!$H$38="Todos",'Plan mensual'!L53,0)))*parametros_manuales!$I$38*parametros_manuales!$J$38</f>
        <v>2060.146078682</v>
      </c>
      <c r="K129" s="9" t="n">
        <f aca="false">(parametros_manuales!$D$38*('Plan mensual'!M46+IF(parametros_manuales!$H$38="Todos",'Plan mensual'!M50,0))+parametros_manuales!$E$38*('Plan mensual'!M47+IF(parametros_manuales!$H$38="Todos",'Plan mensual'!M51,0))+parametros_manuales!$F$38*('Plan mensual'!M48+IF(parametros_manuales!$H$38="Todos",'Plan mensual'!M52,0))+parametros_manuales!$G$38*('Plan mensual'!M49+IF(parametros_manuales!$H$38="Todos",'Plan mensual'!M53,0)))*parametros_manuales!$I$38*parametros_manuales!$J$38</f>
        <v>1990.8274145925</v>
      </c>
      <c r="L129" s="9" t="n">
        <f aca="false">(parametros_manuales!$D$38*('Plan mensual'!N46+IF(parametros_manuales!$H$38="Todos",'Plan mensual'!N50,0))+parametros_manuales!$E$38*('Plan mensual'!N47+IF(parametros_manuales!$H$38="Todos",'Plan mensual'!N51,0))+parametros_manuales!$F$38*('Plan mensual'!N48+IF(parametros_manuales!$H$38="Todos",'Plan mensual'!N52,0))+parametros_manuales!$G$38*('Plan mensual'!N49+IF(parametros_manuales!$H$38="Todos",'Plan mensual'!N53,0)))*parametros_manuales!$I$38*parametros_manuales!$J$38</f>
        <v>1921.508750503</v>
      </c>
      <c r="M129" s="9" t="n">
        <f aca="false">(parametros_manuales!$D$38*('Plan mensual'!O46+IF(parametros_manuales!$H$38="Todos",'Plan mensual'!O50,0))+parametros_manuales!$E$38*('Plan mensual'!O47+IF(parametros_manuales!$H$38="Todos",'Plan mensual'!O51,0))+parametros_manuales!$F$38*('Plan mensual'!O48+IF(parametros_manuales!$H$38="Todos",'Plan mensual'!O52,0))+parametros_manuales!$G$38*('Plan mensual'!O49+IF(parametros_manuales!$H$38="Todos",'Plan mensual'!O53,0)))*parametros_manuales!$I$38*parametros_manuales!$J$38</f>
        <v>3046.686535169</v>
      </c>
      <c r="N129" s="9" t="n">
        <f aca="false">SUM(B129:M129)</f>
        <v>26544.3655279</v>
      </c>
      <c r="O129" s="9" t="n">
        <f aca="false">MAX(B129:M129)</f>
        <v>3046.686535169</v>
      </c>
      <c r="P129" s="43" t="n">
        <f aca="false">O129/(parametros_manuales!$B$7)</f>
        <v>20.3112435677933</v>
      </c>
      <c r="Q129" s="8" t="str">
        <f aca="false">IF(O129=0,"-",INDEX($B$109:$M$109,MATCH(O129,B129:M129,0)))</f>
        <v>Dic</v>
      </c>
    </row>
    <row r="130" customFormat="false" ht="14.25" hidden="false" customHeight="true" outlineLevel="0" collapsed="false">
      <c r="A130" s="8" t="str">
        <f aca="false">parametros_manuales!$B$39</f>
        <v>Ensamblaje</v>
      </c>
      <c r="B130" s="9" t="n">
        <f aca="false">(parametros_manuales!$D$39*('Plan mensual'!D46+IF(parametros_manuales!$H$39="Todos",'Plan mensual'!D50,0))+parametros_manuales!$E$39*('Plan mensual'!D47+IF(parametros_manuales!$H$39="Todos",'Plan mensual'!D51,0))+parametros_manuales!$F$39*('Plan mensual'!D48+IF(parametros_manuales!$H$39="Todos",'Plan mensual'!D52,0))+parametros_manuales!$G$39*('Plan mensual'!D49+IF(parametros_manuales!$H$39="Todos",'Plan mensual'!D53,0)))*parametros_manuales!$I$39*parametros_manuales!$J$39</f>
        <v>2908.04920699</v>
      </c>
      <c r="C130" s="9" t="n">
        <f aca="false">(parametros_manuales!$D$39*('Plan mensual'!E46+IF(parametros_manuales!$H$39="Todos",'Plan mensual'!E50,0))+parametros_manuales!$E$39*('Plan mensual'!E47+IF(parametros_manuales!$H$39="Todos",'Plan mensual'!E51,0))+parametros_manuales!$F$39*('Plan mensual'!E48+IF(parametros_manuales!$H$39="Todos",'Plan mensual'!E52,0))+parametros_manuales!$G$39*('Plan mensual'!E49+IF(parametros_manuales!$H$39="Todos",'Plan mensual'!E53,0)))*parametros_manuales!$I$39*parametros_manuales!$J$39</f>
        <v>2250.355569332</v>
      </c>
      <c r="D130" s="9" t="n">
        <f aca="false">(parametros_manuales!$D$39*('Plan mensual'!F46+IF(parametros_manuales!$H$39="Todos",'Plan mensual'!F50,0))+parametros_manuales!$E$39*('Plan mensual'!F47+IF(parametros_manuales!$H$39="Todos",'Plan mensual'!F51,0))+parametros_manuales!$F$39*('Plan mensual'!F48+IF(parametros_manuales!$H$39="Todos",'Plan mensual'!F52,0))+parametros_manuales!$G$39*('Plan mensual'!F49+IF(parametros_manuales!$H$39="Todos",'Plan mensual'!F53,0)))*parametros_manuales!$I$39*parametros_manuales!$J$39</f>
        <v>2192.8679063215</v>
      </c>
      <c r="E130" s="9" t="n">
        <f aca="false">(parametros_manuales!$D$39*('Plan mensual'!G46+IF(parametros_manuales!$H$39="Todos",'Plan mensual'!G50,0))+parametros_manuales!$E$39*('Plan mensual'!G47+IF(parametros_manuales!$H$39="Todos",'Plan mensual'!G51,0))+parametros_manuales!$F$39*('Plan mensual'!G48+IF(parametros_manuales!$H$39="Todos",'Plan mensual'!G52,0))+parametros_manuales!$G$39*('Plan mensual'!G49+IF(parametros_manuales!$H$39="Todos",'Plan mensual'!G53,0)))*parametros_manuales!$I$39*parametros_manuales!$J$39</f>
        <v>2129.4647427715</v>
      </c>
      <c r="F130" s="9" t="n">
        <f aca="false">(parametros_manuales!$D$39*('Plan mensual'!H46+IF(parametros_manuales!$H$39="Todos",'Plan mensual'!H50,0))+parametros_manuales!$E$39*('Plan mensual'!H47+IF(parametros_manuales!$H$39="Todos",'Plan mensual'!H51,0))+parametros_manuales!$F$39*('Plan mensual'!H48+IF(parametros_manuales!$H$39="Todos",'Plan mensual'!H52,0))+parametros_manuales!$G$39*('Plan mensual'!H49+IF(parametros_manuales!$H$39="Todos",'Plan mensual'!H53,0)))*parametros_manuales!$I$39*parametros_manuales!$J$39</f>
        <v>1996.742915132</v>
      </c>
      <c r="G130" s="9" t="n">
        <f aca="false">(parametros_manuales!$D$39*('Plan mensual'!I46+IF(parametros_manuales!$H$39="Todos",'Plan mensual'!I50,0))+parametros_manuales!$E$39*('Plan mensual'!I47+IF(parametros_manuales!$H$39="Todos",'Plan mensual'!I51,0))+parametros_manuales!$F$39*('Plan mensual'!I48+IF(parametros_manuales!$H$39="Todos",'Plan mensual'!I52,0))+parametros_manuales!$G$39*('Plan mensual'!I49+IF(parametros_manuales!$H$39="Todos",'Plan mensual'!I53,0)))*parametros_manuales!$I$39*parametros_manuales!$J$39</f>
        <v>1927.4242510425</v>
      </c>
      <c r="H130" s="9" t="n">
        <f aca="false">(parametros_manuales!$D$39*('Plan mensual'!J46+IF(parametros_manuales!$H$39="Todos",'Plan mensual'!J50,0))+parametros_manuales!$E$39*('Plan mensual'!J47+IF(parametros_manuales!$H$39="Todos",'Plan mensual'!J51,0))+parametros_manuales!$F$39*('Plan mensual'!J48+IF(parametros_manuales!$H$39="Todos",'Plan mensual'!J52,0))+parametros_manuales!$G$39*('Plan mensual'!J49+IF(parametros_manuales!$H$39="Todos",'Plan mensual'!J53,0)))*parametros_manuales!$I$39*parametros_manuales!$J$39</f>
        <v>2060.146078682</v>
      </c>
      <c r="I130" s="9" t="n">
        <f aca="false">(parametros_manuales!$D$39*('Plan mensual'!K46+IF(parametros_manuales!$H$39="Todos",'Plan mensual'!K50,0))+parametros_manuales!$E$39*('Plan mensual'!K47+IF(parametros_manuales!$H$39="Todos",'Plan mensual'!K51,0))+parametros_manuales!$F$39*('Plan mensual'!K48+IF(parametros_manuales!$H$39="Todos",'Plan mensual'!K52,0))+parametros_manuales!$G$39*('Plan mensual'!K49+IF(parametros_manuales!$H$39="Todos",'Plan mensual'!K53,0)))*parametros_manuales!$I$39*parametros_manuales!$J$39</f>
        <v>2060.146078682</v>
      </c>
      <c r="J130" s="9" t="n">
        <f aca="false">(parametros_manuales!$D$39*('Plan mensual'!L46+IF(parametros_manuales!$H$39="Todos",'Plan mensual'!L50,0))+parametros_manuales!$E$39*('Plan mensual'!L47+IF(parametros_manuales!$H$39="Todos",'Plan mensual'!L51,0))+parametros_manuales!$F$39*('Plan mensual'!L48+IF(parametros_manuales!$H$39="Todos",'Plan mensual'!L52,0))+parametros_manuales!$G$39*('Plan mensual'!L49+IF(parametros_manuales!$H$39="Todos",'Plan mensual'!L53,0)))*parametros_manuales!$I$39*parametros_manuales!$J$39</f>
        <v>2060.146078682</v>
      </c>
      <c r="K130" s="9" t="n">
        <f aca="false">(parametros_manuales!$D$39*('Plan mensual'!M46+IF(parametros_manuales!$H$39="Todos",'Plan mensual'!M50,0))+parametros_manuales!$E$39*('Plan mensual'!M47+IF(parametros_manuales!$H$39="Todos",'Plan mensual'!M51,0))+parametros_manuales!$F$39*('Plan mensual'!M48+IF(parametros_manuales!$H$39="Todos",'Plan mensual'!M52,0))+parametros_manuales!$G$39*('Plan mensual'!M49+IF(parametros_manuales!$H$39="Todos",'Plan mensual'!M53,0)))*parametros_manuales!$I$39*parametros_manuales!$J$39</f>
        <v>1990.8274145925</v>
      </c>
      <c r="L130" s="9" t="n">
        <f aca="false">(parametros_manuales!$D$39*('Plan mensual'!N46+IF(parametros_manuales!$H$39="Todos",'Plan mensual'!N50,0))+parametros_manuales!$E$39*('Plan mensual'!N47+IF(parametros_manuales!$H$39="Todos",'Plan mensual'!N51,0))+parametros_manuales!$F$39*('Plan mensual'!N48+IF(parametros_manuales!$H$39="Todos",'Plan mensual'!N52,0))+parametros_manuales!$G$39*('Plan mensual'!N49+IF(parametros_manuales!$H$39="Todos",'Plan mensual'!N53,0)))*parametros_manuales!$I$39*parametros_manuales!$J$39</f>
        <v>1921.508750503</v>
      </c>
      <c r="M130" s="9" t="n">
        <f aca="false">(parametros_manuales!$D$39*('Plan mensual'!O46+IF(parametros_manuales!$H$39="Todos",'Plan mensual'!O50,0))+parametros_manuales!$E$39*('Plan mensual'!O47+IF(parametros_manuales!$H$39="Todos",'Plan mensual'!O51,0))+parametros_manuales!$F$39*('Plan mensual'!O48+IF(parametros_manuales!$H$39="Todos",'Plan mensual'!O52,0))+parametros_manuales!$G$39*('Plan mensual'!O49+IF(parametros_manuales!$H$39="Todos",'Plan mensual'!O53,0)))*parametros_manuales!$I$39*parametros_manuales!$J$39</f>
        <v>3046.686535169</v>
      </c>
      <c r="N130" s="9" t="n">
        <f aca="false">SUM(B130:M130)</f>
        <v>26544.3655279</v>
      </c>
      <c r="O130" s="9" t="n">
        <f aca="false">MAX(B130:M130)</f>
        <v>3046.686535169</v>
      </c>
      <c r="P130" s="43" t="n">
        <f aca="false">O130/(parametros_manuales!$B$7)</f>
        <v>20.3112435677933</v>
      </c>
      <c r="Q130" s="8" t="str">
        <f aca="false">IF(O130=0,"-",INDEX($B$109:$M$109,MATCH(O130,B130:M130,0)))</f>
        <v>Dic</v>
      </c>
    </row>
    <row r="131" customFormat="false" ht="14.25" hidden="false" customHeight="true" outlineLevel="0" collapsed="false">
      <c r="A131" s="8" t="str">
        <f aca="false">parametros_manuales!$B$40</f>
        <v>Presurización</v>
      </c>
      <c r="B131" s="9" t="n">
        <f aca="false">(parametros_manuales!$D$40*('Plan mensual'!D46+IF(parametros_manuales!$H$40="Todos",'Plan mensual'!D50,0))+parametros_manuales!$E$40*('Plan mensual'!D47+IF(parametros_manuales!$H$40="Todos",'Plan mensual'!D51,0))+parametros_manuales!$F$40*('Plan mensual'!D48+IF(parametros_manuales!$H$40="Todos",'Plan mensual'!D52,0))+parametros_manuales!$G$40*('Plan mensual'!D49+IF(parametros_manuales!$H$40="Todos",'Plan mensual'!D53,0)))*parametros_manuales!$I$40*parametros_manuales!$J$40</f>
        <v>2908.04920699</v>
      </c>
      <c r="C131" s="9" t="n">
        <f aca="false">(parametros_manuales!$D$40*('Plan mensual'!E46+IF(parametros_manuales!$H$40="Todos",'Plan mensual'!E50,0))+parametros_manuales!$E$40*('Plan mensual'!E47+IF(parametros_manuales!$H$40="Todos",'Plan mensual'!E51,0))+parametros_manuales!$F$40*('Plan mensual'!E48+IF(parametros_manuales!$H$40="Todos",'Plan mensual'!E52,0))+parametros_manuales!$G$40*('Plan mensual'!E49+IF(parametros_manuales!$H$40="Todos",'Plan mensual'!E53,0)))*parametros_manuales!$I$40*parametros_manuales!$J$40</f>
        <v>2250.355569332</v>
      </c>
      <c r="D131" s="9" t="n">
        <f aca="false">(parametros_manuales!$D$40*('Plan mensual'!F46+IF(parametros_manuales!$H$40="Todos",'Plan mensual'!F50,0))+parametros_manuales!$E$40*('Plan mensual'!F47+IF(parametros_manuales!$H$40="Todos",'Plan mensual'!F51,0))+parametros_manuales!$F$40*('Plan mensual'!F48+IF(parametros_manuales!$H$40="Todos",'Plan mensual'!F52,0))+parametros_manuales!$G$40*('Plan mensual'!F49+IF(parametros_manuales!$H$40="Todos",'Plan mensual'!F53,0)))*parametros_manuales!$I$40*parametros_manuales!$J$40</f>
        <v>2192.8679063215</v>
      </c>
      <c r="E131" s="9" t="n">
        <f aca="false">(parametros_manuales!$D$40*('Plan mensual'!G46+IF(parametros_manuales!$H$40="Todos",'Plan mensual'!G50,0))+parametros_manuales!$E$40*('Plan mensual'!G47+IF(parametros_manuales!$H$40="Todos",'Plan mensual'!G51,0))+parametros_manuales!$F$40*('Plan mensual'!G48+IF(parametros_manuales!$H$40="Todos",'Plan mensual'!G52,0))+parametros_manuales!$G$40*('Plan mensual'!G49+IF(parametros_manuales!$H$40="Todos",'Plan mensual'!G53,0)))*parametros_manuales!$I$40*parametros_manuales!$J$40</f>
        <v>2129.4647427715</v>
      </c>
      <c r="F131" s="9" t="n">
        <f aca="false">(parametros_manuales!$D$40*('Plan mensual'!H46+IF(parametros_manuales!$H$40="Todos",'Plan mensual'!H50,0))+parametros_manuales!$E$40*('Plan mensual'!H47+IF(parametros_manuales!$H$40="Todos",'Plan mensual'!H51,0))+parametros_manuales!$F$40*('Plan mensual'!H48+IF(parametros_manuales!$H$40="Todos",'Plan mensual'!H52,0))+parametros_manuales!$G$40*('Plan mensual'!H49+IF(parametros_manuales!$H$40="Todos",'Plan mensual'!H53,0)))*parametros_manuales!$I$40*parametros_manuales!$J$40</f>
        <v>1996.742915132</v>
      </c>
      <c r="G131" s="9" t="n">
        <f aca="false">(parametros_manuales!$D$40*('Plan mensual'!I46+IF(parametros_manuales!$H$40="Todos",'Plan mensual'!I50,0))+parametros_manuales!$E$40*('Plan mensual'!I47+IF(parametros_manuales!$H$40="Todos",'Plan mensual'!I51,0))+parametros_manuales!$F$40*('Plan mensual'!I48+IF(parametros_manuales!$H$40="Todos",'Plan mensual'!I52,0))+parametros_manuales!$G$40*('Plan mensual'!I49+IF(parametros_manuales!$H$40="Todos",'Plan mensual'!I53,0)))*parametros_manuales!$I$40*parametros_manuales!$J$40</f>
        <v>1927.4242510425</v>
      </c>
      <c r="H131" s="9" t="n">
        <f aca="false">(parametros_manuales!$D$40*('Plan mensual'!J46+IF(parametros_manuales!$H$40="Todos",'Plan mensual'!J50,0))+parametros_manuales!$E$40*('Plan mensual'!J47+IF(parametros_manuales!$H$40="Todos",'Plan mensual'!J51,0))+parametros_manuales!$F$40*('Plan mensual'!J48+IF(parametros_manuales!$H$40="Todos",'Plan mensual'!J52,0))+parametros_manuales!$G$40*('Plan mensual'!J49+IF(parametros_manuales!$H$40="Todos",'Plan mensual'!J53,0)))*parametros_manuales!$I$40*parametros_manuales!$J$40</f>
        <v>2060.146078682</v>
      </c>
      <c r="I131" s="9" t="n">
        <f aca="false">(parametros_manuales!$D$40*('Plan mensual'!K46+IF(parametros_manuales!$H$40="Todos",'Plan mensual'!K50,0))+parametros_manuales!$E$40*('Plan mensual'!K47+IF(parametros_manuales!$H$40="Todos",'Plan mensual'!K51,0))+parametros_manuales!$F$40*('Plan mensual'!K48+IF(parametros_manuales!$H$40="Todos",'Plan mensual'!K52,0))+parametros_manuales!$G$40*('Plan mensual'!K49+IF(parametros_manuales!$H$40="Todos",'Plan mensual'!K53,0)))*parametros_manuales!$I$40*parametros_manuales!$J$40</f>
        <v>2060.146078682</v>
      </c>
      <c r="J131" s="9" t="n">
        <f aca="false">(parametros_manuales!$D$40*('Plan mensual'!L46+IF(parametros_manuales!$H$40="Todos",'Plan mensual'!L50,0))+parametros_manuales!$E$40*('Plan mensual'!L47+IF(parametros_manuales!$H$40="Todos",'Plan mensual'!L51,0))+parametros_manuales!$F$40*('Plan mensual'!L48+IF(parametros_manuales!$H$40="Todos",'Plan mensual'!L52,0))+parametros_manuales!$G$40*('Plan mensual'!L49+IF(parametros_manuales!$H$40="Todos",'Plan mensual'!L53,0)))*parametros_manuales!$I$40*parametros_manuales!$J$40</f>
        <v>2060.146078682</v>
      </c>
      <c r="K131" s="9" t="n">
        <f aca="false">(parametros_manuales!$D$40*('Plan mensual'!M46+IF(parametros_manuales!$H$40="Todos",'Plan mensual'!M50,0))+parametros_manuales!$E$40*('Plan mensual'!M47+IF(parametros_manuales!$H$40="Todos",'Plan mensual'!M51,0))+parametros_manuales!$F$40*('Plan mensual'!M48+IF(parametros_manuales!$H$40="Todos",'Plan mensual'!M52,0))+parametros_manuales!$G$40*('Plan mensual'!M49+IF(parametros_manuales!$H$40="Todos",'Plan mensual'!M53,0)))*parametros_manuales!$I$40*parametros_manuales!$J$40</f>
        <v>1990.8274145925</v>
      </c>
      <c r="L131" s="9" t="n">
        <f aca="false">(parametros_manuales!$D$40*('Plan mensual'!N46+IF(parametros_manuales!$H$40="Todos",'Plan mensual'!N50,0))+parametros_manuales!$E$40*('Plan mensual'!N47+IF(parametros_manuales!$H$40="Todos",'Plan mensual'!N51,0))+parametros_manuales!$F$40*('Plan mensual'!N48+IF(parametros_manuales!$H$40="Todos",'Plan mensual'!N52,0))+parametros_manuales!$G$40*('Plan mensual'!N49+IF(parametros_manuales!$H$40="Todos",'Plan mensual'!N53,0)))*parametros_manuales!$I$40*parametros_manuales!$J$40</f>
        <v>1921.508750503</v>
      </c>
      <c r="M131" s="9" t="n">
        <f aca="false">(parametros_manuales!$D$40*('Plan mensual'!O46+IF(parametros_manuales!$H$40="Todos",'Plan mensual'!O50,0))+parametros_manuales!$E$40*('Plan mensual'!O47+IF(parametros_manuales!$H$40="Todos",'Plan mensual'!O51,0))+parametros_manuales!$F$40*('Plan mensual'!O48+IF(parametros_manuales!$H$40="Todos",'Plan mensual'!O52,0))+parametros_manuales!$G$40*('Plan mensual'!O49+IF(parametros_manuales!$H$40="Todos",'Plan mensual'!O53,0)))*parametros_manuales!$I$40*parametros_manuales!$J$40</f>
        <v>3046.686535169</v>
      </c>
      <c r="N131" s="9" t="n">
        <f aca="false">SUM(B131:M131)</f>
        <v>26544.3655279</v>
      </c>
      <c r="O131" s="9" t="n">
        <f aca="false">MAX(B131:M131)</f>
        <v>3046.686535169</v>
      </c>
      <c r="P131" s="43" t="n">
        <f aca="false">O131/(parametros_manuales!$B$7)</f>
        <v>20.3112435677933</v>
      </c>
      <c r="Q131" s="8" t="str">
        <f aca="false">IF(O131=0,"-",INDEX($B$109:$M$109,MATCH(O131,B131:M131,0)))</f>
        <v>Dic</v>
      </c>
    </row>
    <row r="132" customFormat="false" ht="14.25" hidden="false" customHeight="true" outlineLevel="0" collapsed="false">
      <c r="A132" s="8" t="str">
        <f aca="false">parametros_manuales!$B$41</f>
        <v>Control de calidad — Ensayo de pérdidas</v>
      </c>
      <c r="B132" s="9" t="n">
        <f aca="false">(parametros_manuales!$D$41*('Plan mensual'!D46+IF(parametros_manuales!$H$41="Todos",'Plan mensual'!D50,0))+parametros_manuales!$E$41*('Plan mensual'!D47+IF(parametros_manuales!$H$41="Todos",'Plan mensual'!D51,0))+parametros_manuales!$F$41*('Plan mensual'!D48+IF(parametros_manuales!$H$41="Todos",'Plan mensual'!D52,0))+parametros_manuales!$G$41*('Plan mensual'!D49+IF(parametros_manuales!$H$41="Todos",'Plan mensual'!D53,0)))*parametros_manuales!$I$41*parametros_manuales!$J$41</f>
        <v>2908.04920699</v>
      </c>
      <c r="C132" s="9" t="n">
        <f aca="false">(parametros_manuales!$D$41*('Plan mensual'!E46+IF(parametros_manuales!$H$41="Todos",'Plan mensual'!E50,0))+parametros_manuales!$E$41*('Plan mensual'!E47+IF(parametros_manuales!$H$41="Todos",'Plan mensual'!E51,0))+parametros_manuales!$F$41*('Plan mensual'!E48+IF(parametros_manuales!$H$41="Todos",'Plan mensual'!E52,0))+parametros_manuales!$G$41*('Plan mensual'!E49+IF(parametros_manuales!$H$41="Todos",'Plan mensual'!E53,0)))*parametros_manuales!$I$41*parametros_manuales!$J$41</f>
        <v>2250.355569332</v>
      </c>
      <c r="D132" s="9" t="n">
        <f aca="false">(parametros_manuales!$D$41*('Plan mensual'!F46+IF(parametros_manuales!$H$41="Todos",'Plan mensual'!F50,0))+parametros_manuales!$E$41*('Plan mensual'!F47+IF(parametros_manuales!$H$41="Todos",'Plan mensual'!F51,0))+parametros_manuales!$F$41*('Plan mensual'!F48+IF(parametros_manuales!$H$41="Todos",'Plan mensual'!F52,0))+parametros_manuales!$G$41*('Plan mensual'!F49+IF(parametros_manuales!$H$41="Todos",'Plan mensual'!F53,0)))*parametros_manuales!$I$41*parametros_manuales!$J$41</f>
        <v>2192.8679063215</v>
      </c>
      <c r="E132" s="9" t="n">
        <f aca="false">(parametros_manuales!$D$41*('Plan mensual'!G46+IF(parametros_manuales!$H$41="Todos",'Plan mensual'!G50,0))+parametros_manuales!$E$41*('Plan mensual'!G47+IF(parametros_manuales!$H$41="Todos",'Plan mensual'!G51,0))+parametros_manuales!$F$41*('Plan mensual'!G48+IF(parametros_manuales!$H$41="Todos",'Plan mensual'!G52,0))+parametros_manuales!$G$41*('Plan mensual'!G49+IF(parametros_manuales!$H$41="Todos",'Plan mensual'!G53,0)))*parametros_manuales!$I$41*parametros_manuales!$J$41</f>
        <v>2129.4647427715</v>
      </c>
      <c r="F132" s="9" t="n">
        <f aca="false">(parametros_manuales!$D$41*('Plan mensual'!H46+IF(parametros_manuales!$H$41="Todos",'Plan mensual'!H50,0))+parametros_manuales!$E$41*('Plan mensual'!H47+IF(parametros_manuales!$H$41="Todos",'Plan mensual'!H51,0))+parametros_manuales!$F$41*('Plan mensual'!H48+IF(parametros_manuales!$H$41="Todos",'Plan mensual'!H52,0))+parametros_manuales!$G$41*('Plan mensual'!H49+IF(parametros_manuales!$H$41="Todos",'Plan mensual'!H53,0)))*parametros_manuales!$I$41*parametros_manuales!$J$41</f>
        <v>1996.742915132</v>
      </c>
      <c r="G132" s="9" t="n">
        <f aca="false">(parametros_manuales!$D$41*('Plan mensual'!I46+IF(parametros_manuales!$H$41="Todos",'Plan mensual'!I50,0))+parametros_manuales!$E$41*('Plan mensual'!I47+IF(parametros_manuales!$H$41="Todos",'Plan mensual'!I51,0))+parametros_manuales!$F$41*('Plan mensual'!I48+IF(parametros_manuales!$H$41="Todos",'Plan mensual'!I52,0))+parametros_manuales!$G$41*('Plan mensual'!I49+IF(parametros_manuales!$H$41="Todos",'Plan mensual'!I53,0)))*parametros_manuales!$I$41*parametros_manuales!$J$41</f>
        <v>1927.4242510425</v>
      </c>
      <c r="H132" s="9" t="n">
        <f aca="false">(parametros_manuales!$D$41*('Plan mensual'!J46+IF(parametros_manuales!$H$41="Todos",'Plan mensual'!J50,0))+parametros_manuales!$E$41*('Plan mensual'!J47+IF(parametros_manuales!$H$41="Todos",'Plan mensual'!J51,0))+parametros_manuales!$F$41*('Plan mensual'!J48+IF(parametros_manuales!$H$41="Todos",'Plan mensual'!J52,0))+parametros_manuales!$G$41*('Plan mensual'!J49+IF(parametros_manuales!$H$41="Todos",'Plan mensual'!J53,0)))*parametros_manuales!$I$41*parametros_manuales!$J$41</f>
        <v>2060.146078682</v>
      </c>
      <c r="I132" s="9" t="n">
        <f aca="false">(parametros_manuales!$D$41*('Plan mensual'!K46+IF(parametros_manuales!$H$41="Todos",'Plan mensual'!K50,0))+parametros_manuales!$E$41*('Plan mensual'!K47+IF(parametros_manuales!$H$41="Todos",'Plan mensual'!K51,0))+parametros_manuales!$F$41*('Plan mensual'!K48+IF(parametros_manuales!$H$41="Todos",'Plan mensual'!K52,0))+parametros_manuales!$G$41*('Plan mensual'!K49+IF(parametros_manuales!$H$41="Todos",'Plan mensual'!K53,0)))*parametros_manuales!$I$41*parametros_manuales!$J$41</f>
        <v>2060.146078682</v>
      </c>
      <c r="J132" s="9" t="n">
        <f aca="false">(parametros_manuales!$D$41*('Plan mensual'!L46+IF(parametros_manuales!$H$41="Todos",'Plan mensual'!L50,0))+parametros_manuales!$E$41*('Plan mensual'!L47+IF(parametros_manuales!$H$41="Todos",'Plan mensual'!L51,0))+parametros_manuales!$F$41*('Plan mensual'!L48+IF(parametros_manuales!$H$41="Todos",'Plan mensual'!L52,0))+parametros_manuales!$G$41*('Plan mensual'!L49+IF(parametros_manuales!$H$41="Todos",'Plan mensual'!L53,0)))*parametros_manuales!$I$41*parametros_manuales!$J$41</f>
        <v>2060.146078682</v>
      </c>
      <c r="K132" s="9" t="n">
        <f aca="false">(parametros_manuales!$D$41*('Plan mensual'!M46+IF(parametros_manuales!$H$41="Todos",'Plan mensual'!M50,0))+parametros_manuales!$E$41*('Plan mensual'!M47+IF(parametros_manuales!$H$41="Todos",'Plan mensual'!M51,0))+parametros_manuales!$F$41*('Plan mensual'!M48+IF(parametros_manuales!$H$41="Todos",'Plan mensual'!M52,0))+parametros_manuales!$G$41*('Plan mensual'!M49+IF(parametros_manuales!$H$41="Todos",'Plan mensual'!M53,0)))*parametros_manuales!$I$41*parametros_manuales!$J$41</f>
        <v>1990.8274145925</v>
      </c>
      <c r="L132" s="9" t="n">
        <f aca="false">(parametros_manuales!$D$41*('Plan mensual'!N46+IF(parametros_manuales!$H$41="Todos",'Plan mensual'!N50,0))+parametros_manuales!$E$41*('Plan mensual'!N47+IF(parametros_manuales!$H$41="Todos",'Plan mensual'!N51,0))+parametros_manuales!$F$41*('Plan mensual'!N48+IF(parametros_manuales!$H$41="Todos",'Plan mensual'!N52,0))+parametros_manuales!$G$41*('Plan mensual'!N49+IF(parametros_manuales!$H$41="Todos",'Plan mensual'!N53,0)))*parametros_manuales!$I$41*parametros_manuales!$J$41</f>
        <v>1921.508750503</v>
      </c>
      <c r="M132" s="9" t="n">
        <f aca="false">(parametros_manuales!$D$41*('Plan mensual'!O46+IF(parametros_manuales!$H$41="Todos",'Plan mensual'!O50,0))+parametros_manuales!$E$41*('Plan mensual'!O47+IF(parametros_manuales!$H$41="Todos",'Plan mensual'!O51,0))+parametros_manuales!$F$41*('Plan mensual'!O48+IF(parametros_manuales!$H$41="Todos",'Plan mensual'!O52,0))+parametros_manuales!$G$41*('Plan mensual'!O49+IF(parametros_manuales!$H$41="Todos",'Plan mensual'!O53,0)))*parametros_manuales!$I$41*parametros_manuales!$J$41</f>
        <v>3046.686535169</v>
      </c>
      <c r="N132" s="9" t="n">
        <f aca="false">SUM(B132:M132)</f>
        <v>26544.3655279</v>
      </c>
      <c r="O132" s="9" t="n">
        <f aca="false">MAX(B132:M132)</f>
        <v>3046.686535169</v>
      </c>
      <c r="P132" s="43" t="n">
        <f aca="false">O132/(parametros_manuales!$B$7)</f>
        <v>20.3112435677933</v>
      </c>
      <c r="Q132" s="8" t="str">
        <f aca="false">IF(O132=0,"-",INDEX($B$109:$M$109,MATCH(O132,B132:M132,0)))</f>
        <v>Dic</v>
      </c>
    </row>
    <row r="133" customFormat="false" ht="14.25" hidden="false" customHeight="true" outlineLevel="0" collapsed="false">
      <c r="A133" s="8" t="str">
        <f aca="false">parametros_manuales!$B$42</f>
        <v>Etiquetado</v>
      </c>
      <c r="B133" s="9" t="n">
        <f aca="false">(parametros_manuales!$D$42*('Plan mensual'!D46+IF(parametros_manuales!$H$42="Todos",'Plan mensual'!D50,0))+parametros_manuales!$E$42*('Plan mensual'!D47+IF(parametros_manuales!$H$42="Todos",'Plan mensual'!D51,0))+parametros_manuales!$F$42*('Plan mensual'!D48+IF(parametros_manuales!$H$42="Todos",'Plan mensual'!D52,0))+parametros_manuales!$G$42*('Plan mensual'!D49+IF(parametros_manuales!$H$42="Todos",'Plan mensual'!D53,0)))*parametros_manuales!$I$42*parametros_manuales!$J$42</f>
        <v>2908.04920699</v>
      </c>
      <c r="C133" s="9" t="n">
        <f aca="false">(parametros_manuales!$D$42*('Plan mensual'!E46+IF(parametros_manuales!$H$42="Todos",'Plan mensual'!E50,0))+parametros_manuales!$E$42*('Plan mensual'!E47+IF(parametros_manuales!$H$42="Todos",'Plan mensual'!E51,0))+parametros_manuales!$F$42*('Plan mensual'!E48+IF(parametros_manuales!$H$42="Todos",'Plan mensual'!E52,0))+parametros_manuales!$G$42*('Plan mensual'!E49+IF(parametros_manuales!$H$42="Todos",'Plan mensual'!E53,0)))*parametros_manuales!$I$42*parametros_manuales!$J$42</f>
        <v>2250.355569332</v>
      </c>
      <c r="D133" s="9" t="n">
        <f aca="false">(parametros_manuales!$D$42*('Plan mensual'!F46+IF(parametros_manuales!$H$42="Todos",'Plan mensual'!F50,0))+parametros_manuales!$E$42*('Plan mensual'!F47+IF(parametros_manuales!$H$42="Todos",'Plan mensual'!F51,0))+parametros_manuales!$F$42*('Plan mensual'!F48+IF(parametros_manuales!$H$42="Todos",'Plan mensual'!F52,0))+parametros_manuales!$G$42*('Plan mensual'!F49+IF(parametros_manuales!$H$42="Todos",'Plan mensual'!F53,0)))*parametros_manuales!$I$42*parametros_manuales!$J$42</f>
        <v>2192.8679063215</v>
      </c>
      <c r="E133" s="9" t="n">
        <f aca="false">(parametros_manuales!$D$42*('Plan mensual'!G46+IF(parametros_manuales!$H$42="Todos",'Plan mensual'!G50,0))+parametros_manuales!$E$42*('Plan mensual'!G47+IF(parametros_manuales!$H$42="Todos",'Plan mensual'!G51,0))+parametros_manuales!$F$42*('Plan mensual'!G48+IF(parametros_manuales!$H$42="Todos",'Plan mensual'!G52,0))+parametros_manuales!$G$42*('Plan mensual'!G49+IF(parametros_manuales!$H$42="Todos",'Plan mensual'!G53,0)))*parametros_manuales!$I$42*parametros_manuales!$J$42</f>
        <v>2129.4647427715</v>
      </c>
      <c r="F133" s="9" t="n">
        <f aca="false">(parametros_manuales!$D$42*('Plan mensual'!H46+IF(parametros_manuales!$H$42="Todos",'Plan mensual'!H50,0))+parametros_manuales!$E$42*('Plan mensual'!H47+IF(parametros_manuales!$H$42="Todos",'Plan mensual'!H51,0))+parametros_manuales!$F$42*('Plan mensual'!H48+IF(parametros_manuales!$H$42="Todos",'Plan mensual'!H52,0))+parametros_manuales!$G$42*('Plan mensual'!H49+IF(parametros_manuales!$H$42="Todos",'Plan mensual'!H53,0)))*parametros_manuales!$I$42*parametros_manuales!$J$42</f>
        <v>1996.742915132</v>
      </c>
      <c r="G133" s="9" t="n">
        <f aca="false">(parametros_manuales!$D$42*('Plan mensual'!I46+IF(parametros_manuales!$H$42="Todos",'Plan mensual'!I50,0))+parametros_manuales!$E$42*('Plan mensual'!I47+IF(parametros_manuales!$H$42="Todos",'Plan mensual'!I51,0))+parametros_manuales!$F$42*('Plan mensual'!I48+IF(parametros_manuales!$H$42="Todos",'Plan mensual'!I52,0))+parametros_manuales!$G$42*('Plan mensual'!I49+IF(parametros_manuales!$H$42="Todos",'Plan mensual'!I53,0)))*parametros_manuales!$I$42*parametros_manuales!$J$42</f>
        <v>1927.4242510425</v>
      </c>
      <c r="H133" s="9" t="n">
        <f aca="false">(parametros_manuales!$D$42*('Plan mensual'!J46+IF(parametros_manuales!$H$42="Todos",'Plan mensual'!J50,0))+parametros_manuales!$E$42*('Plan mensual'!J47+IF(parametros_manuales!$H$42="Todos",'Plan mensual'!J51,0))+parametros_manuales!$F$42*('Plan mensual'!J48+IF(parametros_manuales!$H$42="Todos",'Plan mensual'!J52,0))+parametros_manuales!$G$42*('Plan mensual'!J49+IF(parametros_manuales!$H$42="Todos",'Plan mensual'!J53,0)))*parametros_manuales!$I$42*parametros_manuales!$J$42</f>
        <v>2060.146078682</v>
      </c>
      <c r="I133" s="9" t="n">
        <f aca="false">(parametros_manuales!$D$42*('Plan mensual'!K46+IF(parametros_manuales!$H$42="Todos",'Plan mensual'!K50,0))+parametros_manuales!$E$42*('Plan mensual'!K47+IF(parametros_manuales!$H$42="Todos",'Plan mensual'!K51,0))+parametros_manuales!$F$42*('Plan mensual'!K48+IF(parametros_manuales!$H$42="Todos",'Plan mensual'!K52,0))+parametros_manuales!$G$42*('Plan mensual'!K49+IF(parametros_manuales!$H$42="Todos",'Plan mensual'!K53,0)))*parametros_manuales!$I$42*parametros_manuales!$J$42</f>
        <v>2060.146078682</v>
      </c>
      <c r="J133" s="9" t="n">
        <f aca="false">(parametros_manuales!$D$42*('Plan mensual'!L46+IF(parametros_manuales!$H$42="Todos",'Plan mensual'!L50,0))+parametros_manuales!$E$42*('Plan mensual'!L47+IF(parametros_manuales!$H$42="Todos",'Plan mensual'!L51,0))+parametros_manuales!$F$42*('Plan mensual'!L48+IF(parametros_manuales!$H$42="Todos",'Plan mensual'!L52,0))+parametros_manuales!$G$42*('Plan mensual'!L49+IF(parametros_manuales!$H$42="Todos",'Plan mensual'!L53,0)))*parametros_manuales!$I$42*parametros_manuales!$J$42</f>
        <v>2060.146078682</v>
      </c>
      <c r="K133" s="9" t="n">
        <f aca="false">(parametros_manuales!$D$42*('Plan mensual'!M46+IF(parametros_manuales!$H$42="Todos",'Plan mensual'!M50,0))+parametros_manuales!$E$42*('Plan mensual'!M47+IF(parametros_manuales!$H$42="Todos",'Plan mensual'!M51,0))+parametros_manuales!$F$42*('Plan mensual'!M48+IF(parametros_manuales!$H$42="Todos",'Plan mensual'!M52,0))+parametros_manuales!$G$42*('Plan mensual'!M49+IF(parametros_manuales!$H$42="Todos",'Plan mensual'!M53,0)))*parametros_manuales!$I$42*parametros_manuales!$J$42</f>
        <v>1990.8274145925</v>
      </c>
      <c r="L133" s="9" t="n">
        <f aca="false">(parametros_manuales!$D$42*('Plan mensual'!N46+IF(parametros_manuales!$H$42="Todos",'Plan mensual'!N50,0))+parametros_manuales!$E$42*('Plan mensual'!N47+IF(parametros_manuales!$H$42="Todos",'Plan mensual'!N51,0))+parametros_manuales!$F$42*('Plan mensual'!N48+IF(parametros_manuales!$H$42="Todos",'Plan mensual'!N52,0))+parametros_manuales!$G$42*('Plan mensual'!N49+IF(parametros_manuales!$H$42="Todos",'Plan mensual'!N53,0)))*parametros_manuales!$I$42*parametros_manuales!$J$42</f>
        <v>1921.508750503</v>
      </c>
      <c r="M133" s="9" t="n">
        <f aca="false">(parametros_manuales!$D$42*('Plan mensual'!O46+IF(parametros_manuales!$H$42="Todos",'Plan mensual'!O50,0))+parametros_manuales!$E$42*('Plan mensual'!O47+IF(parametros_manuales!$H$42="Todos",'Plan mensual'!O51,0))+parametros_manuales!$F$42*('Plan mensual'!O48+IF(parametros_manuales!$H$42="Todos",'Plan mensual'!O52,0))+parametros_manuales!$G$42*('Plan mensual'!O49+IF(parametros_manuales!$H$42="Todos",'Plan mensual'!O53,0)))*parametros_manuales!$I$42*parametros_manuales!$J$42</f>
        <v>3046.686535169</v>
      </c>
      <c r="N133" s="9" t="n">
        <f aca="false">SUM(B133:M133)</f>
        <v>26544.3655279</v>
      </c>
      <c r="O133" s="9" t="n">
        <f aca="false">MAX(B133:M133)</f>
        <v>3046.686535169</v>
      </c>
      <c r="P133" s="43" t="n">
        <f aca="false">O133/(parametros_manuales!$B$7)</f>
        <v>20.3112435677933</v>
      </c>
      <c r="Q133" s="8" t="str">
        <f aca="false">IF(O133=0,"-",INDEX($B$109:$M$109,MATCH(O133,B133:M133,0)))</f>
        <v>Dic</v>
      </c>
    </row>
    <row r="134" customFormat="false" ht="14.25" hidden="false" customHeight="true" outlineLevel="0" collapsed="false">
      <c r="A134" s="8" t="str">
        <f aca="false">parametros_manuales!$B$43</f>
        <v>Embalaje y paletizado</v>
      </c>
      <c r="B134" s="9" t="n">
        <f aca="false">(parametros_manuales!$D$43*('Plan mensual'!D46+IF(parametros_manuales!$H$43="Todos",'Plan mensual'!D50,0))+parametros_manuales!$E$43*('Plan mensual'!D47+IF(parametros_manuales!$H$43="Todos",'Plan mensual'!D51,0))+parametros_manuales!$F$43*('Plan mensual'!D48+IF(parametros_manuales!$H$43="Todos",'Plan mensual'!D52,0))+parametros_manuales!$G$43*('Plan mensual'!D49+IF(parametros_manuales!$H$43="Todos",'Plan mensual'!D53,0)))*parametros_manuales!$I$43*parametros_manuales!$J$43</f>
        <v>10069.83320699</v>
      </c>
      <c r="C134" s="9" t="n">
        <f aca="false">(parametros_manuales!$D$43*('Plan mensual'!E46+IF(parametros_manuales!$H$43="Todos",'Plan mensual'!E50,0))+parametros_manuales!$E$43*('Plan mensual'!E47+IF(parametros_manuales!$H$43="Todos",'Plan mensual'!E51,0))+parametros_manuales!$F$43*('Plan mensual'!E48+IF(parametros_manuales!$H$43="Todos",'Plan mensual'!E52,0))+parametros_manuales!$G$43*('Plan mensual'!E49+IF(parametros_manuales!$H$43="Todos",'Plan mensual'!E53,0)))*parametros_manuales!$I$43*parametros_manuales!$J$43</f>
        <v>7683.173969332</v>
      </c>
      <c r="D134" s="9" t="n">
        <f aca="false">(parametros_manuales!$D$43*('Plan mensual'!F46+IF(parametros_manuales!$H$43="Todos",'Plan mensual'!F50,0))+parametros_manuales!$E$43*('Plan mensual'!F47+IF(parametros_manuales!$H$43="Todos",'Plan mensual'!F51,0))+parametros_manuales!$F$43*('Plan mensual'!F48+IF(parametros_manuales!$H$43="Todos",'Plan mensual'!F52,0))+parametros_manuales!$G$43*('Plan mensual'!F49+IF(parametros_manuales!$H$43="Todos",'Plan mensual'!F53,0)))*parametros_manuales!$I$43*parametros_manuales!$J$43</f>
        <v>7192.8187063215</v>
      </c>
      <c r="E134" s="9" t="n">
        <f aca="false">(parametros_manuales!$D$43*('Plan mensual'!G46+IF(parametros_manuales!$H$43="Todos",'Plan mensual'!G50,0))+parametros_manuales!$E$43*('Plan mensual'!G47+IF(parametros_manuales!$H$43="Todos",'Plan mensual'!G51,0))+parametros_manuales!$F$43*('Plan mensual'!G48+IF(parametros_manuales!$H$43="Todos",'Plan mensual'!G52,0))+parametros_manuales!$G$43*('Plan mensual'!G49+IF(parametros_manuales!$H$43="Todos",'Plan mensual'!G53,0)))*parametros_manuales!$I$43*parametros_manuales!$J$43</f>
        <v>6882.2415427715</v>
      </c>
      <c r="F134" s="9" t="n">
        <f aca="false">(parametros_manuales!$D$43*('Plan mensual'!H46+IF(parametros_manuales!$H$43="Todos",'Plan mensual'!H50,0))+parametros_manuales!$E$43*('Plan mensual'!H47+IF(parametros_manuales!$H$43="Todos",'Plan mensual'!H51,0))+parametros_manuales!$F$43*('Plan mensual'!H48+IF(parametros_manuales!$H$43="Todos",'Plan mensual'!H52,0))+parametros_manuales!$G$43*('Plan mensual'!H49+IF(parametros_manuales!$H$43="Todos",'Plan mensual'!H53,0)))*parametros_manuales!$I$43*parametros_manuales!$J$43</f>
        <v>6440.865315132</v>
      </c>
      <c r="G134" s="9" t="n">
        <f aca="false">(parametros_manuales!$D$43*('Plan mensual'!I46+IF(parametros_manuales!$H$43="Todos",'Plan mensual'!I50,0))+parametros_manuales!$E$43*('Plan mensual'!I47+IF(parametros_manuales!$H$43="Todos",'Plan mensual'!I51,0))+parametros_manuales!$F$43*('Plan mensual'!I48+IF(parametros_manuales!$H$43="Todos",'Plan mensual'!I52,0))+parametros_manuales!$G$43*('Plan mensual'!I49+IF(parametros_manuales!$H$43="Todos",'Plan mensual'!I53,0)))*parametros_manuales!$I$43*parametros_manuales!$J$43</f>
        <v>6310.0662510425</v>
      </c>
      <c r="H134" s="9" t="n">
        <f aca="false">(parametros_manuales!$D$43*('Plan mensual'!J46+IF(parametros_manuales!$H$43="Todos",'Plan mensual'!J50,0))+parametros_manuales!$E$43*('Plan mensual'!J47+IF(parametros_manuales!$H$43="Todos",'Plan mensual'!J51,0))+parametros_manuales!$F$43*('Plan mensual'!J48+IF(parametros_manuales!$H$43="Todos",'Plan mensual'!J52,0))+parametros_manuales!$G$43*('Plan mensual'!J49+IF(parametros_manuales!$H$43="Todos",'Plan mensual'!J53,0)))*parametros_manuales!$I$43*parametros_manuales!$J$43</f>
        <v>6751.442478682</v>
      </c>
      <c r="I134" s="9" t="n">
        <f aca="false">(parametros_manuales!$D$43*('Plan mensual'!K46+IF(parametros_manuales!$H$43="Todos",'Plan mensual'!K50,0))+parametros_manuales!$E$43*('Plan mensual'!K47+IF(parametros_manuales!$H$43="Todos",'Plan mensual'!K51,0))+parametros_manuales!$F$43*('Plan mensual'!K48+IF(parametros_manuales!$H$43="Todos",'Plan mensual'!K52,0))+parametros_manuales!$G$43*('Plan mensual'!K49+IF(parametros_manuales!$H$43="Todos",'Plan mensual'!K53,0)))*parametros_manuales!$I$43*parametros_manuales!$J$43</f>
        <v>6751.442478682</v>
      </c>
      <c r="J134" s="9" t="n">
        <f aca="false">(parametros_manuales!$D$43*('Plan mensual'!L46+IF(parametros_manuales!$H$43="Todos",'Plan mensual'!L50,0))+parametros_manuales!$E$43*('Plan mensual'!L47+IF(parametros_manuales!$H$43="Todos",'Plan mensual'!L51,0))+parametros_manuales!$F$43*('Plan mensual'!L48+IF(parametros_manuales!$H$43="Todos",'Plan mensual'!L52,0))+parametros_manuales!$G$43*('Plan mensual'!L49+IF(parametros_manuales!$H$43="Todos",'Plan mensual'!L53,0)))*parametros_manuales!$I$43*parametros_manuales!$J$43</f>
        <v>6751.442478682</v>
      </c>
      <c r="K134" s="9" t="n">
        <f aca="false">(parametros_manuales!$D$43*('Plan mensual'!M46+IF(parametros_manuales!$H$43="Todos",'Plan mensual'!M50,0))+parametros_manuales!$E$43*('Plan mensual'!M47+IF(parametros_manuales!$H$43="Todos",'Plan mensual'!M51,0))+parametros_manuales!$F$43*('Plan mensual'!M48+IF(parametros_manuales!$H$43="Todos",'Plan mensual'!M52,0))+parametros_manuales!$G$43*('Plan mensual'!M49+IF(parametros_manuales!$H$43="Todos",'Plan mensual'!M53,0)))*parametros_manuales!$I$43*parametros_manuales!$J$43</f>
        <v>6620.6434145925</v>
      </c>
      <c r="L134" s="9" t="n">
        <f aca="false">(parametros_manuales!$D$43*('Plan mensual'!N46+IF(parametros_manuales!$H$43="Todos",'Plan mensual'!N50,0))+parametros_manuales!$E$43*('Plan mensual'!N47+IF(parametros_manuales!$H$43="Todos",'Plan mensual'!N51,0))+parametros_manuales!$F$43*('Plan mensual'!N48+IF(parametros_manuales!$H$43="Todos",'Plan mensual'!N52,0))+parametros_manuales!$G$43*('Plan mensual'!N49+IF(parametros_manuales!$H$43="Todos",'Plan mensual'!N53,0)))*parametros_manuales!$I$43*parametros_manuales!$J$43</f>
        <v>6489.844350503</v>
      </c>
      <c r="M134" s="9" t="n">
        <f aca="false">(parametros_manuales!$D$43*('Plan mensual'!O46+IF(parametros_manuales!$H$43="Todos",'Plan mensual'!O50,0))+parametros_manuales!$E$43*('Plan mensual'!O47+IF(parametros_manuales!$H$43="Todos",'Plan mensual'!O51,0))+parametros_manuales!$F$43*('Plan mensual'!O48+IF(parametros_manuales!$H$43="Todos",'Plan mensual'!O52,0))+parametros_manuales!$G$43*('Plan mensual'!O49+IF(parametros_manuales!$H$43="Todos",'Plan mensual'!O53,0)))*parametros_manuales!$I$43*parametros_manuales!$J$43</f>
        <v>10331.431335169</v>
      </c>
      <c r="N134" s="9" t="n">
        <f aca="false">SUM(B134:M134)</f>
        <v>88275.2455279</v>
      </c>
      <c r="O134" s="9" t="n">
        <f aca="false">MAX(B134:M134)</f>
        <v>10331.431335169</v>
      </c>
      <c r="P134" s="43" t="n">
        <f aca="false">O134/(parametros_manuales!$B$7)</f>
        <v>68.8762089011267</v>
      </c>
      <c r="Q134" s="8" t="str">
        <f aca="false">IF(O134=0,"-",INDEX($B$109:$M$109,MATCH(O134,B134:M134,0)))</f>
        <v>Dic</v>
      </c>
    </row>
    <row r="135" customFormat="false" ht="14.25" hidden="false" customHeight="true" outlineLevel="0" collapsed="false"/>
    <row r="136" customFormat="false" ht="14.25" hidden="false" customHeight="true" outlineLevel="0" collapsed="false">
      <c r="A136" s="7" t="s">
        <v>195</v>
      </c>
      <c r="B136" s="7" t="s">
        <v>61</v>
      </c>
      <c r="C136" s="7" t="s">
        <v>62</v>
      </c>
      <c r="D136" s="7" t="s">
        <v>63</v>
      </c>
      <c r="E136" s="7" t="s">
        <v>64</v>
      </c>
      <c r="F136" s="7" t="s">
        <v>65</v>
      </c>
      <c r="G136" s="7" t="s">
        <v>66</v>
      </c>
      <c r="H136" s="7" t="s">
        <v>67</v>
      </c>
      <c r="I136" s="7" t="s">
        <v>68</v>
      </c>
      <c r="J136" s="7" t="s">
        <v>69</v>
      </c>
      <c r="K136" s="7" t="s">
        <v>70</v>
      </c>
      <c r="L136" s="7" t="s">
        <v>71</v>
      </c>
      <c r="M136" s="7" t="s">
        <v>72</v>
      </c>
      <c r="N136" s="7" t="s">
        <v>183</v>
      </c>
      <c r="O136" s="7" t="s">
        <v>188</v>
      </c>
      <c r="P136" s="7" t="s">
        <v>189</v>
      </c>
      <c r="Q136" s="7" t="s">
        <v>190</v>
      </c>
    </row>
    <row r="137" customFormat="false" ht="14.25" hidden="false" customHeight="true" outlineLevel="0" collapsed="false">
      <c r="A137" s="8" t="str">
        <f aca="false">parametros_manuales!$B$19</f>
        <v>Recepción de materia prima</v>
      </c>
      <c r="B137" s="9" t="n">
        <f aca="false">(parametros_manuales!$D$19*('Plan mensual'!D57+IF(parametros_manuales!$H$19="Todos",'Plan mensual'!D61,0))+parametros_manuales!$E$19*('Plan mensual'!D58+IF(parametros_manuales!$H$19="Todos",'Plan mensual'!D62,0))+parametros_manuales!$F$19*('Plan mensual'!D59+IF(parametros_manuales!$H$19="Todos",'Plan mensual'!D63,0))+parametros_manuales!$G$19*('Plan mensual'!D60+IF(parametros_manuales!$H$19="Todos",'Plan mensual'!D64,0)))*parametros_manuales!$I$19*parametros_manuales!$J$19</f>
        <v>14139.4822713</v>
      </c>
      <c r="C137" s="9" t="n">
        <f aca="false">(parametros_manuales!$D$19*('Plan mensual'!E57+IF(parametros_manuales!$H$19="Todos",'Plan mensual'!E61,0))+parametros_manuales!$E$19*('Plan mensual'!E58+IF(parametros_manuales!$H$19="Todos",'Plan mensual'!E62,0))+parametros_manuales!$F$19*('Plan mensual'!E59+IF(parametros_manuales!$H$19="Todos",'Plan mensual'!E63,0))+parametros_manuales!$G$19*('Plan mensual'!E60+IF(parametros_manuales!$H$19="Todos",'Plan mensual'!E64,0)))*parametros_manuales!$I$19*parametros_manuales!$J$19</f>
        <v>10787.78309862</v>
      </c>
      <c r="D137" s="9" t="n">
        <f aca="false">(parametros_manuales!$D$19*('Plan mensual'!F57+IF(parametros_manuales!$H$19="Todos",'Plan mensual'!F61,0))+parametros_manuales!$E$19*('Plan mensual'!F58+IF(parametros_manuales!$H$19="Todos",'Plan mensual'!F62,0))+parametros_manuales!$F$19*('Plan mensual'!F59+IF(parametros_manuales!$H$19="Todos",'Plan mensual'!F63,0))+parametros_manuales!$G$19*('Plan mensual'!F60+IF(parametros_manuales!$H$19="Todos",'Plan mensual'!F64,0)))*parametros_manuales!$I$19*parametros_manuales!$J$19</f>
        <v>10097.949963065</v>
      </c>
      <c r="E137" s="9" t="n">
        <f aca="false">(parametros_manuales!$D$19*('Plan mensual'!G57+IF(parametros_manuales!$H$19="Todos",'Plan mensual'!G61,0))+parametros_manuales!$E$19*('Plan mensual'!G58+IF(parametros_manuales!$H$19="Todos",'Plan mensual'!G62,0))+parametros_manuales!$F$19*('Plan mensual'!G59+IF(parametros_manuales!$H$19="Todos",'Plan mensual'!G63,0))+parametros_manuales!$G$19*('Plan mensual'!G60+IF(parametros_manuales!$H$19="Todos",'Plan mensual'!G64,0)))*parametros_manuales!$I$19*parametros_manuales!$J$19</f>
        <v>9661.447697715</v>
      </c>
      <c r="F137" s="9" t="n">
        <f aca="false">(parametros_manuales!$D$19*('Plan mensual'!H57+IF(parametros_manuales!$H$19="Todos",'Plan mensual'!H61,0))+parametros_manuales!$E$19*('Plan mensual'!H58+IF(parametros_manuales!$H$19="Todos",'Plan mensual'!H62,0))+parametros_manuales!$F$19*('Plan mensual'!H59+IF(parametros_manuales!$H$19="Todos",'Plan mensual'!H63,0))+parametros_manuales!$G$19*('Plan mensual'!H60+IF(parametros_manuales!$H$19="Todos",'Plan mensual'!H64,0)))*parametros_manuales!$I$19*parametros_manuales!$J$19</f>
        <v>9041.77403722</v>
      </c>
      <c r="G137" s="9" t="n">
        <f aca="false">(parametros_manuales!$D$19*('Plan mensual'!I57+IF(parametros_manuales!$H$19="Todos",'Plan mensual'!I61,0))+parametros_manuales!$E$19*('Plan mensual'!I58+IF(parametros_manuales!$H$19="Todos",'Plan mensual'!I62,0))+parametros_manuales!$F$19*('Plan mensual'!I59+IF(parametros_manuales!$H$19="Todos",'Plan mensual'!I63,0))+parametros_manuales!$G$19*('Plan mensual'!I60+IF(parametros_manuales!$H$19="Todos",'Plan mensual'!I64,0)))*parametros_manuales!$I$19*parametros_manuales!$J$19</f>
        <v>8858.602642075</v>
      </c>
      <c r="H137" s="9" t="n">
        <f aca="false">(parametros_manuales!$D$19*('Plan mensual'!J57+IF(parametros_manuales!$H$19="Todos",'Plan mensual'!J61,0))+parametros_manuales!$E$19*('Plan mensual'!J58+IF(parametros_manuales!$H$19="Todos",'Plan mensual'!J62,0))+parametros_manuales!$F$19*('Plan mensual'!J59+IF(parametros_manuales!$H$19="Todos",'Plan mensual'!J63,0))+parametros_manuales!$G$19*('Plan mensual'!J60+IF(parametros_manuales!$H$19="Todos",'Plan mensual'!J64,0)))*parametros_manuales!$I$19*parametros_manuales!$J$19</f>
        <v>9478.27630257</v>
      </c>
      <c r="I137" s="9" t="n">
        <f aca="false">(parametros_manuales!$D$19*('Plan mensual'!K57+IF(parametros_manuales!$H$19="Todos",'Plan mensual'!K61,0))+parametros_manuales!$E$19*('Plan mensual'!K58+IF(parametros_manuales!$H$19="Todos",'Plan mensual'!K62,0))+parametros_manuales!$F$19*('Plan mensual'!K59+IF(parametros_manuales!$H$19="Todos",'Plan mensual'!K63,0))+parametros_manuales!$G$19*('Plan mensual'!K60+IF(parametros_manuales!$H$19="Todos",'Plan mensual'!K64,0)))*parametros_manuales!$I$19*parametros_manuales!$J$19</f>
        <v>9478.27630257</v>
      </c>
      <c r="J137" s="9" t="n">
        <f aca="false">(parametros_manuales!$D$19*('Plan mensual'!L57+IF(parametros_manuales!$H$19="Todos",'Plan mensual'!L61,0))+parametros_manuales!$E$19*('Plan mensual'!L58+IF(parametros_manuales!$H$19="Todos",'Plan mensual'!L62,0))+parametros_manuales!$F$19*('Plan mensual'!L59+IF(parametros_manuales!$H$19="Todos",'Plan mensual'!L63,0))+parametros_manuales!$G$19*('Plan mensual'!L60+IF(parametros_manuales!$H$19="Todos",'Plan mensual'!L64,0)))*parametros_manuales!$I$19*parametros_manuales!$J$19</f>
        <v>9478.27630257</v>
      </c>
      <c r="K137" s="9" t="n">
        <f aca="false">(parametros_manuales!$D$19*('Plan mensual'!M57+IF(parametros_manuales!$H$19="Todos",'Plan mensual'!M61,0))+parametros_manuales!$E$19*('Plan mensual'!M58+IF(parametros_manuales!$H$19="Todos",'Plan mensual'!M62,0))+parametros_manuales!$F$19*('Plan mensual'!M59+IF(parametros_manuales!$H$19="Todos",'Plan mensual'!M63,0))+parametros_manuales!$G$19*('Plan mensual'!M60+IF(parametros_manuales!$H$19="Todos",'Plan mensual'!M64,0)))*parametros_manuales!$I$19*parametros_manuales!$J$19</f>
        <v>9295.104907425</v>
      </c>
      <c r="L137" s="9" t="n">
        <f aca="false">(parametros_manuales!$D$19*('Plan mensual'!N57+IF(parametros_manuales!$H$19="Todos",'Plan mensual'!N61,0))+parametros_manuales!$E$19*('Plan mensual'!N58+IF(parametros_manuales!$H$19="Todos",'Plan mensual'!N62,0))+parametros_manuales!$F$19*('Plan mensual'!N59+IF(parametros_manuales!$H$19="Todos",'Plan mensual'!N63,0))+parametros_manuales!$G$19*('Plan mensual'!N60+IF(parametros_manuales!$H$19="Todos",'Plan mensual'!N64,0)))*parametros_manuales!$I$19*parametros_manuales!$J$19</f>
        <v>9111.93351228</v>
      </c>
      <c r="M137" s="9" t="n">
        <f aca="false">(parametros_manuales!$D$19*('Plan mensual'!O57+IF(parametros_manuales!$H$19="Todos",'Plan mensual'!O61,0))+parametros_manuales!$E$19*('Plan mensual'!O58+IF(parametros_manuales!$H$19="Todos",'Plan mensual'!O62,0))+parametros_manuales!$F$19*('Plan mensual'!O59+IF(parametros_manuales!$H$19="Todos",'Plan mensual'!O63,0))+parametros_manuales!$G$19*('Plan mensual'!O60+IF(parametros_manuales!$H$19="Todos",'Plan mensual'!O64,0)))*parametros_manuales!$I$19*parametros_manuales!$J$19</f>
        <v>14505.82506159</v>
      </c>
      <c r="N137" s="9" t="n">
        <f aca="false">SUM(B137:M137)</f>
        <v>123934.732099</v>
      </c>
      <c r="O137" s="9" t="n">
        <f aca="false">MAX(B137:M137)</f>
        <v>14505.82506159</v>
      </c>
      <c r="P137" s="43" t="n">
        <f aca="false">O137/(parametros_manuales!$B$7)</f>
        <v>96.7055004106</v>
      </c>
      <c r="Q137" s="8" t="str">
        <f aca="false">IF(O137=0,"-",INDEX($B$136:$M$136,MATCH(O137,B137:M137,0)))</f>
        <v>Dic</v>
      </c>
    </row>
    <row r="138" customFormat="false" ht="14.25" hidden="false" customHeight="true" outlineLevel="0" collapsed="false">
      <c r="A138" s="8" t="str">
        <f aca="false">parametros_manuales!$B$20</f>
        <v>Corte de chapa (guillotina) — 2,5 a 10 kg</v>
      </c>
      <c r="B138" s="9" t="n">
        <f aca="false">(parametros_manuales!$D$20*('Plan mensual'!D57+IF(parametros_manuales!$H$20="Todos",'Plan mensual'!D61,0))+parametros_manuales!$E$20*('Plan mensual'!D58+IF(parametros_manuales!$H$20="Todos",'Plan mensual'!D62,0))+parametros_manuales!$F$20*('Plan mensual'!D59+IF(parametros_manuales!$H$20="Todos",'Plan mensual'!D63,0))+parametros_manuales!$G$20*('Plan mensual'!D60+IF(parametros_manuales!$H$20="Todos",'Plan mensual'!D64,0)))*parametros_manuales!$I$20*parametros_manuales!$J$20</f>
        <v>3663.4279029</v>
      </c>
      <c r="C138" s="9" t="n">
        <f aca="false">(parametros_manuales!$D$20*('Plan mensual'!E57+IF(parametros_manuales!$H$20="Todos",'Plan mensual'!E61,0))+parametros_manuales!$E$20*('Plan mensual'!E58+IF(parametros_manuales!$H$20="Todos",'Plan mensual'!E62,0))+parametros_manuales!$F$20*('Plan mensual'!E59+IF(parametros_manuales!$H$20="Todos",'Plan mensual'!E63,0))+parametros_manuales!$G$20*('Plan mensual'!E60+IF(parametros_manuales!$H$20="Todos",'Plan mensual'!E64,0)))*parametros_manuales!$I$20*parametros_manuales!$J$20</f>
        <v>2930.74232232</v>
      </c>
      <c r="D138" s="9" t="n">
        <f aca="false">(parametros_manuales!$D$20*('Plan mensual'!F57+IF(parametros_manuales!$H$20="Todos",'Plan mensual'!F61,0))+parametros_manuales!$E$20*('Plan mensual'!F58+IF(parametros_manuales!$H$20="Todos",'Plan mensual'!F62,0))+parametros_manuales!$F$20*('Plan mensual'!F59+IF(parametros_manuales!$H$20="Todos",'Plan mensual'!F63,0))+parametros_manuales!$G$20*('Plan mensual'!F60+IF(parametros_manuales!$H$20="Todos",'Plan mensual'!F64,0)))*parametros_manuales!$I$20*parametros_manuales!$J$20</f>
        <v>3113.913717465</v>
      </c>
      <c r="E138" s="9" t="n">
        <f aca="false">(parametros_manuales!$D$20*('Plan mensual'!G57+IF(parametros_manuales!$H$20="Todos",'Plan mensual'!G61,0))+parametros_manuales!$E$20*('Plan mensual'!G58+IF(parametros_manuales!$H$20="Todos",'Plan mensual'!G62,0))+parametros_manuales!$F$20*('Plan mensual'!G59+IF(parametros_manuales!$H$20="Todos",'Plan mensual'!G63,0))+parametros_manuales!$G$20*('Plan mensual'!G60+IF(parametros_manuales!$H$20="Todos",'Plan mensual'!G64,0)))*parametros_manuales!$I$20*parametros_manuales!$J$20</f>
        <v>3113.913717465</v>
      </c>
      <c r="F138" s="9" t="n">
        <f aca="false">(parametros_manuales!$D$20*('Plan mensual'!H57+IF(parametros_manuales!$H$20="Todos",'Plan mensual'!H61,0))+parametros_manuales!$E$20*('Plan mensual'!H58+IF(parametros_manuales!$H$20="Todos",'Plan mensual'!H62,0))+parametros_manuales!$F$20*('Plan mensual'!H59+IF(parametros_manuales!$H$20="Todos",'Plan mensual'!H63,0))+parametros_manuales!$G$20*('Plan mensual'!H60+IF(parametros_manuales!$H$20="Todos",'Plan mensual'!H64,0)))*parametros_manuales!$I$20*parametros_manuales!$J$20</f>
        <v>2930.74232232</v>
      </c>
      <c r="G138" s="9" t="n">
        <f aca="false">(parametros_manuales!$D$20*('Plan mensual'!I57+IF(parametros_manuales!$H$20="Todos",'Plan mensual'!I61,0))+parametros_manuales!$E$20*('Plan mensual'!I58+IF(parametros_manuales!$H$20="Todos",'Plan mensual'!I62,0))+parametros_manuales!$F$20*('Plan mensual'!I59+IF(parametros_manuales!$H$20="Todos",'Plan mensual'!I63,0))+parametros_manuales!$G$20*('Plan mensual'!I60+IF(parametros_manuales!$H$20="Todos",'Plan mensual'!I64,0)))*parametros_manuales!$I$20*parametros_manuales!$J$20</f>
        <v>2747.570927175</v>
      </c>
      <c r="H138" s="9" t="n">
        <f aca="false">(parametros_manuales!$D$20*('Plan mensual'!J57+IF(parametros_manuales!$H$20="Todos",'Plan mensual'!J61,0))+parametros_manuales!$E$20*('Plan mensual'!J58+IF(parametros_manuales!$H$20="Todos",'Plan mensual'!J62,0))+parametros_manuales!$F$20*('Plan mensual'!J59+IF(parametros_manuales!$H$20="Todos",'Plan mensual'!J63,0))+parametros_manuales!$G$20*('Plan mensual'!J60+IF(parametros_manuales!$H$20="Todos",'Plan mensual'!J64,0)))*parametros_manuales!$I$20*parametros_manuales!$J$20</f>
        <v>2930.74232232</v>
      </c>
      <c r="I138" s="9" t="n">
        <f aca="false">(parametros_manuales!$D$20*('Plan mensual'!K57+IF(parametros_manuales!$H$20="Todos",'Plan mensual'!K61,0))+parametros_manuales!$E$20*('Plan mensual'!K58+IF(parametros_manuales!$H$20="Todos",'Plan mensual'!K62,0))+parametros_manuales!$F$20*('Plan mensual'!K59+IF(parametros_manuales!$H$20="Todos",'Plan mensual'!K63,0))+parametros_manuales!$G$20*('Plan mensual'!K60+IF(parametros_manuales!$H$20="Todos",'Plan mensual'!K64,0)))*parametros_manuales!$I$20*parametros_manuales!$J$20</f>
        <v>2930.74232232</v>
      </c>
      <c r="J138" s="9" t="n">
        <f aca="false">(parametros_manuales!$D$20*('Plan mensual'!L57+IF(parametros_manuales!$H$20="Todos",'Plan mensual'!L61,0))+parametros_manuales!$E$20*('Plan mensual'!L58+IF(parametros_manuales!$H$20="Todos",'Plan mensual'!L62,0))+parametros_manuales!$F$20*('Plan mensual'!L59+IF(parametros_manuales!$H$20="Todos",'Plan mensual'!L63,0))+parametros_manuales!$G$20*('Plan mensual'!L60+IF(parametros_manuales!$H$20="Todos",'Plan mensual'!L64,0)))*parametros_manuales!$I$20*parametros_manuales!$J$20</f>
        <v>2930.74232232</v>
      </c>
      <c r="K138" s="9" t="n">
        <f aca="false">(parametros_manuales!$D$20*('Plan mensual'!M57+IF(parametros_manuales!$H$20="Todos",'Plan mensual'!M61,0))+parametros_manuales!$E$20*('Plan mensual'!M58+IF(parametros_manuales!$H$20="Todos",'Plan mensual'!M62,0))+parametros_manuales!$F$20*('Plan mensual'!M59+IF(parametros_manuales!$H$20="Todos",'Plan mensual'!M63,0))+parametros_manuales!$G$20*('Plan mensual'!M60+IF(parametros_manuales!$H$20="Todos",'Plan mensual'!M64,0)))*parametros_manuales!$I$20*parametros_manuales!$J$20</f>
        <v>2747.570927175</v>
      </c>
      <c r="L138" s="9" t="n">
        <f aca="false">(parametros_manuales!$D$20*('Plan mensual'!N57+IF(parametros_manuales!$H$20="Todos",'Plan mensual'!N61,0))+parametros_manuales!$E$20*('Plan mensual'!N58+IF(parametros_manuales!$H$20="Todos",'Plan mensual'!N62,0))+parametros_manuales!$F$20*('Plan mensual'!N59+IF(parametros_manuales!$H$20="Todos",'Plan mensual'!N63,0))+parametros_manuales!$G$20*('Plan mensual'!N60+IF(parametros_manuales!$H$20="Todos",'Plan mensual'!N64,0)))*parametros_manuales!$I$20*parametros_manuales!$J$20</f>
        <v>2564.39953203</v>
      </c>
      <c r="M138" s="9" t="n">
        <f aca="false">(parametros_manuales!$D$20*('Plan mensual'!O57+IF(parametros_manuales!$H$20="Todos",'Plan mensual'!O61,0))+parametros_manuales!$E$20*('Plan mensual'!O58+IF(parametros_manuales!$H$20="Todos",'Plan mensual'!O62,0))+parametros_manuales!$F$20*('Plan mensual'!O59+IF(parametros_manuales!$H$20="Todos",'Plan mensual'!O63,0))+parametros_manuales!$G$20*('Plan mensual'!O60+IF(parametros_manuales!$H$20="Todos",'Plan mensual'!O64,0)))*parametros_manuales!$I$20*parametros_manuales!$J$20</f>
        <v>4029.77069319</v>
      </c>
      <c r="N138" s="9" t="n">
        <f aca="false">SUM(B138:M138)</f>
        <v>36634.279029</v>
      </c>
      <c r="O138" s="9" t="n">
        <f aca="false">MAX(B138:M138)</f>
        <v>4029.77069319</v>
      </c>
      <c r="P138" s="43" t="n">
        <f aca="false">O138/(parametros_manuales!$B$7)</f>
        <v>26.8651379546</v>
      </c>
      <c r="Q138" s="8" t="str">
        <f aca="false">IF(O138=0,"-",INDEX($B$136:$M$136,MATCH(O138,B138:M138,0)))</f>
        <v>Dic</v>
      </c>
    </row>
    <row r="139" customFormat="false" ht="14.25" hidden="false" customHeight="true" outlineLevel="0" collapsed="false">
      <c r="A139" s="8" t="str">
        <f aca="false">parametros_manuales!$B$21</f>
        <v>Corte de tubo — 1 kg</v>
      </c>
      <c r="B139" s="9" t="n">
        <f aca="false">(parametros_manuales!$D$21*('Plan mensual'!D57+IF(parametros_manuales!$H$21="Todos",'Plan mensual'!D61,0))+parametros_manuales!$E$21*('Plan mensual'!D58+IF(parametros_manuales!$H$21="Todos",'Plan mensual'!D62,0))+parametros_manuales!$F$21*('Plan mensual'!D59+IF(parametros_manuales!$H$21="Todos",'Plan mensual'!D63,0))+parametros_manuales!$G$21*('Plan mensual'!D60+IF(parametros_manuales!$H$21="Todos",'Plan mensual'!D64,0)))*parametros_manuales!$I$21*parametros_manuales!$J$21</f>
        <v>10476.0543684</v>
      </c>
      <c r="C139" s="9" t="n">
        <f aca="false">(parametros_manuales!$D$21*('Plan mensual'!E57+IF(parametros_manuales!$H$21="Todos",'Plan mensual'!E61,0))+parametros_manuales!$E$21*('Plan mensual'!E58+IF(parametros_manuales!$H$21="Todos",'Plan mensual'!E62,0))+parametros_manuales!$F$21*('Plan mensual'!E59+IF(parametros_manuales!$H$21="Todos",'Plan mensual'!E63,0))+parametros_manuales!$G$21*('Plan mensual'!E60+IF(parametros_manuales!$H$21="Todos",'Plan mensual'!E64,0)))*parametros_manuales!$I$21*parametros_manuales!$J$21</f>
        <v>7857.0407763</v>
      </c>
      <c r="D139" s="9" t="n">
        <f aca="false">(parametros_manuales!$D$21*('Plan mensual'!F57+IF(parametros_manuales!$H$21="Todos",'Plan mensual'!F61,0))+parametros_manuales!$E$21*('Plan mensual'!F58+IF(parametros_manuales!$H$21="Todos",'Plan mensual'!F62,0))+parametros_manuales!$F$21*('Plan mensual'!F59+IF(parametros_manuales!$H$21="Todos",'Plan mensual'!F63,0))+parametros_manuales!$G$21*('Plan mensual'!F60+IF(parametros_manuales!$H$21="Todos",'Plan mensual'!F64,0)))*parametros_manuales!$I$21*parametros_manuales!$J$21</f>
        <v>6984.0362456</v>
      </c>
      <c r="E139" s="9" t="n">
        <f aca="false">(parametros_manuales!$D$21*('Plan mensual'!G57+IF(parametros_manuales!$H$21="Todos",'Plan mensual'!G61,0))+parametros_manuales!$E$21*('Plan mensual'!G58+IF(parametros_manuales!$H$21="Todos",'Plan mensual'!G62,0))+parametros_manuales!$F$21*('Plan mensual'!G59+IF(parametros_manuales!$H$21="Todos",'Plan mensual'!G63,0))+parametros_manuales!$G$21*('Plan mensual'!G60+IF(parametros_manuales!$H$21="Todos",'Plan mensual'!G64,0)))*parametros_manuales!$I$21*parametros_manuales!$J$21</f>
        <v>6547.53398025</v>
      </c>
      <c r="F139" s="9" t="n">
        <f aca="false">(parametros_manuales!$D$21*('Plan mensual'!H57+IF(parametros_manuales!$H$21="Todos",'Plan mensual'!H61,0))+parametros_manuales!$E$21*('Plan mensual'!H58+IF(parametros_manuales!$H$21="Todos",'Plan mensual'!H62,0))+parametros_manuales!$F$21*('Plan mensual'!H59+IF(parametros_manuales!$H$21="Todos",'Plan mensual'!H63,0))+parametros_manuales!$G$21*('Plan mensual'!H60+IF(parametros_manuales!$H$21="Todos",'Plan mensual'!H64,0)))*parametros_manuales!$I$21*parametros_manuales!$J$21</f>
        <v>6111.0317149</v>
      </c>
      <c r="G139" s="9" t="n">
        <f aca="false">(parametros_manuales!$D$21*('Plan mensual'!I57+IF(parametros_manuales!$H$21="Todos",'Plan mensual'!I61,0))+parametros_manuales!$E$21*('Plan mensual'!I58+IF(parametros_manuales!$H$21="Todos",'Plan mensual'!I62,0))+parametros_manuales!$F$21*('Plan mensual'!I59+IF(parametros_manuales!$H$21="Todos",'Plan mensual'!I63,0))+parametros_manuales!$G$21*('Plan mensual'!I60+IF(parametros_manuales!$H$21="Todos",'Plan mensual'!I64,0)))*parametros_manuales!$I$21*parametros_manuales!$J$21</f>
        <v>6111.0317149</v>
      </c>
      <c r="H139" s="9" t="n">
        <f aca="false">(parametros_manuales!$D$21*('Plan mensual'!J57+IF(parametros_manuales!$H$21="Todos",'Plan mensual'!J61,0))+parametros_manuales!$E$21*('Plan mensual'!J58+IF(parametros_manuales!$H$21="Todos",'Plan mensual'!J62,0))+parametros_manuales!$F$21*('Plan mensual'!J59+IF(parametros_manuales!$H$21="Todos",'Plan mensual'!J63,0))+parametros_manuales!$G$21*('Plan mensual'!J60+IF(parametros_manuales!$H$21="Todos",'Plan mensual'!J64,0)))*parametros_manuales!$I$21*parametros_manuales!$J$21</f>
        <v>6547.53398025</v>
      </c>
      <c r="I139" s="9" t="n">
        <f aca="false">(parametros_manuales!$D$21*('Plan mensual'!K57+IF(parametros_manuales!$H$21="Todos",'Plan mensual'!K61,0))+parametros_manuales!$E$21*('Plan mensual'!K58+IF(parametros_manuales!$H$21="Todos",'Plan mensual'!K62,0))+parametros_manuales!$F$21*('Plan mensual'!K59+IF(parametros_manuales!$H$21="Todos",'Plan mensual'!K63,0))+parametros_manuales!$G$21*('Plan mensual'!K60+IF(parametros_manuales!$H$21="Todos",'Plan mensual'!K64,0)))*parametros_manuales!$I$21*parametros_manuales!$J$21</f>
        <v>6547.53398025</v>
      </c>
      <c r="J139" s="9" t="n">
        <f aca="false">(parametros_manuales!$D$21*('Plan mensual'!L57+IF(parametros_manuales!$H$21="Todos",'Plan mensual'!L61,0))+parametros_manuales!$E$21*('Plan mensual'!L58+IF(parametros_manuales!$H$21="Todos",'Plan mensual'!L62,0))+parametros_manuales!$F$21*('Plan mensual'!L59+IF(parametros_manuales!$H$21="Todos",'Plan mensual'!L63,0))+parametros_manuales!$G$21*('Plan mensual'!L60+IF(parametros_manuales!$H$21="Todos",'Plan mensual'!L64,0)))*parametros_manuales!$I$21*parametros_manuales!$J$21</f>
        <v>6547.53398025</v>
      </c>
      <c r="K139" s="9" t="n">
        <f aca="false">(parametros_manuales!$D$21*('Plan mensual'!M57+IF(parametros_manuales!$H$21="Todos",'Plan mensual'!M61,0))+parametros_manuales!$E$21*('Plan mensual'!M58+IF(parametros_manuales!$H$21="Todos",'Plan mensual'!M62,0))+parametros_manuales!$F$21*('Plan mensual'!M59+IF(parametros_manuales!$H$21="Todos",'Plan mensual'!M63,0))+parametros_manuales!$G$21*('Plan mensual'!M60+IF(parametros_manuales!$H$21="Todos",'Plan mensual'!M64,0)))*parametros_manuales!$I$21*parametros_manuales!$J$21</f>
        <v>6547.53398025</v>
      </c>
      <c r="L139" s="9" t="n">
        <f aca="false">(parametros_manuales!$D$21*('Plan mensual'!N57+IF(parametros_manuales!$H$21="Todos",'Plan mensual'!N61,0))+parametros_manuales!$E$21*('Plan mensual'!N58+IF(parametros_manuales!$H$21="Todos",'Plan mensual'!N62,0))+parametros_manuales!$F$21*('Plan mensual'!N59+IF(parametros_manuales!$H$21="Todos",'Plan mensual'!N63,0))+parametros_manuales!$G$21*('Plan mensual'!N60+IF(parametros_manuales!$H$21="Todos",'Plan mensual'!N64,0)))*parametros_manuales!$I$21*parametros_manuales!$J$21</f>
        <v>6547.53398025</v>
      </c>
      <c r="M139" s="9" t="n">
        <f aca="false">(parametros_manuales!$D$21*('Plan mensual'!O57+IF(parametros_manuales!$H$21="Todos",'Plan mensual'!O61,0))+parametros_manuales!$E$21*('Plan mensual'!O58+IF(parametros_manuales!$H$21="Todos",'Plan mensual'!O62,0))+parametros_manuales!$F$21*('Plan mensual'!O59+IF(parametros_manuales!$H$21="Todos",'Plan mensual'!O63,0))+parametros_manuales!$G$21*('Plan mensual'!O60+IF(parametros_manuales!$H$21="Todos",'Plan mensual'!O64,0)))*parametros_manuales!$I$21*parametros_manuales!$J$21</f>
        <v>10476.0543684</v>
      </c>
      <c r="N139" s="9" t="n">
        <f aca="false">SUM(B139:M139)</f>
        <v>87300.45307</v>
      </c>
      <c r="O139" s="9" t="n">
        <f aca="false">MAX(B139:M139)</f>
        <v>10476.0543684</v>
      </c>
      <c r="P139" s="43" t="n">
        <f aca="false">O139/(parametros_manuales!$B$7)</f>
        <v>69.840362456</v>
      </c>
      <c r="Q139" s="8" t="str">
        <f aca="false">IF(O139=0,"-",INDEX($B$136:$M$136,MATCH(O139,B139:M139,0)))</f>
        <v>Ene</v>
      </c>
    </row>
    <row r="140" customFormat="false" ht="14.25" hidden="false" customHeight="true" outlineLevel="0" collapsed="false">
      <c r="A140" s="8" t="str">
        <f aca="false">parametros_manuales!$B$22</f>
        <v>Corte de disco y embutido (cúpula y fondo)</v>
      </c>
      <c r="B140" s="9" t="n">
        <f aca="false">(parametros_manuales!$D$22*('Plan mensual'!D57+IF(parametros_manuales!$H$22="Todos",'Plan mensual'!D61,0))+parametros_manuales!$E$22*('Plan mensual'!D58+IF(parametros_manuales!$H$22="Todos",'Plan mensual'!D62,0))+parametros_manuales!$F$22*('Plan mensual'!D59+IF(parametros_manuales!$H$22="Todos",'Plan mensual'!D63,0))+parametros_manuales!$G$22*('Plan mensual'!D60+IF(parametros_manuales!$H$22="Todos",'Plan mensual'!D64,0)))*parametros_manuales!$I$22*parametros_manuales!$J$22</f>
        <v>28278.9645426</v>
      </c>
      <c r="C140" s="9" t="n">
        <f aca="false">(parametros_manuales!$D$22*('Plan mensual'!E57+IF(parametros_manuales!$H$22="Todos",'Plan mensual'!E61,0))+parametros_manuales!$E$22*('Plan mensual'!E58+IF(parametros_manuales!$H$22="Todos",'Plan mensual'!E62,0))+parametros_manuales!$F$22*('Plan mensual'!E59+IF(parametros_manuales!$H$22="Todos",'Plan mensual'!E63,0))+parametros_manuales!$G$22*('Plan mensual'!E60+IF(parametros_manuales!$H$22="Todos",'Plan mensual'!E64,0)))*parametros_manuales!$I$22*parametros_manuales!$J$22</f>
        <v>21575.56619724</v>
      </c>
      <c r="D140" s="9" t="n">
        <f aca="false">(parametros_manuales!$D$22*('Plan mensual'!F57+IF(parametros_manuales!$H$22="Todos",'Plan mensual'!F61,0))+parametros_manuales!$E$22*('Plan mensual'!F58+IF(parametros_manuales!$H$22="Todos",'Plan mensual'!F62,0))+parametros_manuales!$F$22*('Plan mensual'!F59+IF(parametros_manuales!$H$22="Todos",'Plan mensual'!F63,0))+parametros_manuales!$G$22*('Plan mensual'!F60+IF(parametros_manuales!$H$22="Todos",'Plan mensual'!F64,0)))*parametros_manuales!$I$22*parametros_manuales!$J$22</f>
        <v>20195.89992613</v>
      </c>
      <c r="E140" s="9" t="n">
        <f aca="false">(parametros_manuales!$D$22*('Plan mensual'!G57+IF(parametros_manuales!$H$22="Todos",'Plan mensual'!G61,0))+parametros_manuales!$E$22*('Plan mensual'!G58+IF(parametros_manuales!$H$22="Todos",'Plan mensual'!G62,0))+parametros_manuales!$F$22*('Plan mensual'!G59+IF(parametros_manuales!$H$22="Todos",'Plan mensual'!G63,0))+parametros_manuales!$G$22*('Plan mensual'!G60+IF(parametros_manuales!$H$22="Todos",'Plan mensual'!G64,0)))*parametros_manuales!$I$22*parametros_manuales!$J$22</f>
        <v>19322.89539543</v>
      </c>
      <c r="F140" s="9" t="n">
        <f aca="false">(parametros_manuales!$D$22*('Plan mensual'!H57+IF(parametros_manuales!$H$22="Todos",'Plan mensual'!H61,0))+parametros_manuales!$E$22*('Plan mensual'!H58+IF(parametros_manuales!$H$22="Todos",'Plan mensual'!H62,0))+parametros_manuales!$F$22*('Plan mensual'!H59+IF(parametros_manuales!$H$22="Todos",'Plan mensual'!H63,0))+parametros_manuales!$G$22*('Plan mensual'!H60+IF(parametros_manuales!$H$22="Todos",'Plan mensual'!H64,0)))*parametros_manuales!$I$22*parametros_manuales!$J$22</f>
        <v>18083.54807444</v>
      </c>
      <c r="G140" s="9" t="n">
        <f aca="false">(parametros_manuales!$D$22*('Plan mensual'!I57+IF(parametros_manuales!$H$22="Todos",'Plan mensual'!I61,0))+parametros_manuales!$E$22*('Plan mensual'!I58+IF(parametros_manuales!$H$22="Todos",'Plan mensual'!I62,0))+parametros_manuales!$F$22*('Plan mensual'!I59+IF(parametros_manuales!$H$22="Todos",'Plan mensual'!I63,0))+parametros_manuales!$G$22*('Plan mensual'!I60+IF(parametros_manuales!$H$22="Todos",'Plan mensual'!I64,0)))*parametros_manuales!$I$22*parametros_manuales!$J$22</f>
        <v>17717.20528415</v>
      </c>
      <c r="H140" s="9" t="n">
        <f aca="false">(parametros_manuales!$D$22*('Plan mensual'!J57+IF(parametros_manuales!$H$22="Todos",'Plan mensual'!J61,0))+parametros_manuales!$E$22*('Plan mensual'!J58+IF(parametros_manuales!$H$22="Todos",'Plan mensual'!J62,0))+parametros_manuales!$F$22*('Plan mensual'!J59+IF(parametros_manuales!$H$22="Todos",'Plan mensual'!J63,0))+parametros_manuales!$G$22*('Plan mensual'!J60+IF(parametros_manuales!$H$22="Todos",'Plan mensual'!J64,0)))*parametros_manuales!$I$22*parametros_manuales!$J$22</f>
        <v>18956.55260514</v>
      </c>
      <c r="I140" s="9" t="n">
        <f aca="false">(parametros_manuales!$D$22*('Plan mensual'!K57+IF(parametros_manuales!$H$22="Todos",'Plan mensual'!K61,0))+parametros_manuales!$E$22*('Plan mensual'!K58+IF(parametros_manuales!$H$22="Todos",'Plan mensual'!K62,0))+parametros_manuales!$F$22*('Plan mensual'!K59+IF(parametros_manuales!$H$22="Todos",'Plan mensual'!K63,0))+parametros_manuales!$G$22*('Plan mensual'!K60+IF(parametros_manuales!$H$22="Todos",'Plan mensual'!K64,0)))*parametros_manuales!$I$22*parametros_manuales!$J$22</f>
        <v>18956.55260514</v>
      </c>
      <c r="J140" s="9" t="n">
        <f aca="false">(parametros_manuales!$D$22*('Plan mensual'!L57+IF(parametros_manuales!$H$22="Todos",'Plan mensual'!L61,0))+parametros_manuales!$E$22*('Plan mensual'!L58+IF(parametros_manuales!$H$22="Todos",'Plan mensual'!L62,0))+parametros_manuales!$F$22*('Plan mensual'!L59+IF(parametros_manuales!$H$22="Todos",'Plan mensual'!L63,0))+parametros_manuales!$G$22*('Plan mensual'!L60+IF(parametros_manuales!$H$22="Todos",'Plan mensual'!L64,0)))*parametros_manuales!$I$22*parametros_manuales!$J$22</f>
        <v>18956.55260514</v>
      </c>
      <c r="K140" s="9" t="n">
        <f aca="false">(parametros_manuales!$D$22*('Plan mensual'!M57+IF(parametros_manuales!$H$22="Todos",'Plan mensual'!M61,0))+parametros_manuales!$E$22*('Plan mensual'!M58+IF(parametros_manuales!$H$22="Todos",'Plan mensual'!M62,0))+parametros_manuales!$F$22*('Plan mensual'!M59+IF(parametros_manuales!$H$22="Todos",'Plan mensual'!M63,0))+parametros_manuales!$G$22*('Plan mensual'!M60+IF(parametros_manuales!$H$22="Todos",'Plan mensual'!M64,0)))*parametros_manuales!$I$22*parametros_manuales!$J$22</f>
        <v>18590.20981485</v>
      </c>
      <c r="L140" s="9" t="n">
        <f aca="false">(parametros_manuales!$D$22*('Plan mensual'!N57+IF(parametros_manuales!$H$22="Todos",'Plan mensual'!N61,0))+parametros_manuales!$E$22*('Plan mensual'!N58+IF(parametros_manuales!$H$22="Todos",'Plan mensual'!N62,0))+parametros_manuales!$F$22*('Plan mensual'!N59+IF(parametros_manuales!$H$22="Todos",'Plan mensual'!N63,0))+parametros_manuales!$G$22*('Plan mensual'!N60+IF(parametros_manuales!$H$22="Todos",'Plan mensual'!N64,0)))*parametros_manuales!$I$22*parametros_manuales!$J$22</f>
        <v>18223.86702456</v>
      </c>
      <c r="M140" s="9" t="n">
        <f aca="false">(parametros_manuales!$D$22*('Plan mensual'!O57+IF(parametros_manuales!$H$22="Todos",'Plan mensual'!O61,0))+parametros_manuales!$E$22*('Plan mensual'!O58+IF(parametros_manuales!$H$22="Todos",'Plan mensual'!O62,0))+parametros_manuales!$F$22*('Plan mensual'!O59+IF(parametros_manuales!$H$22="Todos",'Plan mensual'!O63,0))+parametros_manuales!$G$22*('Plan mensual'!O60+IF(parametros_manuales!$H$22="Todos",'Plan mensual'!O64,0)))*parametros_manuales!$I$22*parametros_manuales!$J$22</f>
        <v>29011.65012318</v>
      </c>
      <c r="N140" s="9" t="n">
        <f aca="false">SUM(B140:M140)</f>
        <v>247869.464198</v>
      </c>
      <c r="O140" s="9" t="n">
        <f aca="false">MAX(B140:M140)</f>
        <v>29011.65012318</v>
      </c>
      <c r="P140" s="43" t="n">
        <f aca="false">O140/(parametros_manuales!$B$7)</f>
        <v>193.4110008212</v>
      </c>
      <c r="Q140" s="8" t="str">
        <f aca="false">IF(O140=0,"-",INDEX($B$136:$M$136,MATCH(O140,B140:M140,0)))</f>
        <v>Dic</v>
      </c>
    </row>
    <row r="141" customFormat="false" ht="14.25" hidden="false" customHeight="true" outlineLevel="0" collapsed="false">
      <c r="A141" s="8" t="str">
        <f aca="false">parametros_manuales!$B$23</f>
        <v>Preparación de cuello</v>
      </c>
      <c r="B141" s="9" t="n">
        <f aca="false">(parametros_manuales!$D$23*('Plan mensual'!D57+IF(parametros_manuales!$H$23="Todos",'Plan mensual'!D61,0))+parametros_manuales!$E$23*('Plan mensual'!D58+IF(parametros_manuales!$H$23="Todos",'Plan mensual'!D62,0))+parametros_manuales!$F$23*('Plan mensual'!D59+IF(parametros_manuales!$H$23="Todos",'Plan mensual'!D63,0))+parametros_manuales!$G$23*('Plan mensual'!D60+IF(parametros_manuales!$H$23="Todos",'Plan mensual'!D64,0)))*parametros_manuales!$I$23*parametros_manuales!$J$23</f>
        <v>14139.4822713</v>
      </c>
      <c r="C141" s="9" t="n">
        <f aca="false">(parametros_manuales!$D$23*('Plan mensual'!E57+IF(parametros_manuales!$H$23="Todos",'Plan mensual'!E61,0))+parametros_manuales!$E$23*('Plan mensual'!E58+IF(parametros_manuales!$H$23="Todos",'Plan mensual'!E62,0))+parametros_manuales!$F$23*('Plan mensual'!E59+IF(parametros_manuales!$H$23="Todos",'Plan mensual'!E63,0))+parametros_manuales!$G$23*('Plan mensual'!E60+IF(parametros_manuales!$H$23="Todos",'Plan mensual'!E64,0)))*parametros_manuales!$I$23*parametros_manuales!$J$23</f>
        <v>10787.78309862</v>
      </c>
      <c r="D141" s="9" t="n">
        <f aca="false">(parametros_manuales!$D$23*('Plan mensual'!F57+IF(parametros_manuales!$H$23="Todos",'Plan mensual'!F61,0))+parametros_manuales!$E$23*('Plan mensual'!F58+IF(parametros_manuales!$H$23="Todos",'Plan mensual'!F62,0))+parametros_manuales!$F$23*('Plan mensual'!F59+IF(parametros_manuales!$H$23="Todos",'Plan mensual'!F63,0))+parametros_manuales!$G$23*('Plan mensual'!F60+IF(parametros_manuales!$H$23="Todos",'Plan mensual'!F64,0)))*parametros_manuales!$I$23*parametros_manuales!$J$23</f>
        <v>10097.949963065</v>
      </c>
      <c r="E141" s="9" t="n">
        <f aca="false">(parametros_manuales!$D$23*('Plan mensual'!G57+IF(parametros_manuales!$H$23="Todos",'Plan mensual'!G61,0))+parametros_manuales!$E$23*('Plan mensual'!G58+IF(parametros_manuales!$H$23="Todos",'Plan mensual'!G62,0))+parametros_manuales!$F$23*('Plan mensual'!G59+IF(parametros_manuales!$H$23="Todos",'Plan mensual'!G63,0))+parametros_manuales!$G$23*('Plan mensual'!G60+IF(parametros_manuales!$H$23="Todos",'Plan mensual'!G64,0)))*parametros_manuales!$I$23*parametros_manuales!$J$23</f>
        <v>9661.447697715</v>
      </c>
      <c r="F141" s="9" t="n">
        <f aca="false">(parametros_manuales!$D$23*('Plan mensual'!H57+IF(parametros_manuales!$H$23="Todos",'Plan mensual'!H61,0))+parametros_manuales!$E$23*('Plan mensual'!H58+IF(parametros_manuales!$H$23="Todos",'Plan mensual'!H62,0))+parametros_manuales!$F$23*('Plan mensual'!H59+IF(parametros_manuales!$H$23="Todos",'Plan mensual'!H63,0))+parametros_manuales!$G$23*('Plan mensual'!H60+IF(parametros_manuales!$H$23="Todos",'Plan mensual'!H64,0)))*parametros_manuales!$I$23*parametros_manuales!$J$23</f>
        <v>9041.77403722</v>
      </c>
      <c r="G141" s="9" t="n">
        <f aca="false">(parametros_manuales!$D$23*('Plan mensual'!I57+IF(parametros_manuales!$H$23="Todos",'Plan mensual'!I61,0))+parametros_manuales!$E$23*('Plan mensual'!I58+IF(parametros_manuales!$H$23="Todos",'Plan mensual'!I62,0))+parametros_manuales!$F$23*('Plan mensual'!I59+IF(parametros_manuales!$H$23="Todos",'Plan mensual'!I63,0))+parametros_manuales!$G$23*('Plan mensual'!I60+IF(parametros_manuales!$H$23="Todos",'Plan mensual'!I64,0)))*parametros_manuales!$I$23*parametros_manuales!$J$23</f>
        <v>8858.602642075</v>
      </c>
      <c r="H141" s="9" t="n">
        <f aca="false">(parametros_manuales!$D$23*('Plan mensual'!J57+IF(parametros_manuales!$H$23="Todos",'Plan mensual'!J61,0))+parametros_manuales!$E$23*('Plan mensual'!J58+IF(parametros_manuales!$H$23="Todos",'Plan mensual'!J62,0))+parametros_manuales!$F$23*('Plan mensual'!J59+IF(parametros_manuales!$H$23="Todos",'Plan mensual'!J63,0))+parametros_manuales!$G$23*('Plan mensual'!J60+IF(parametros_manuales!$H$23="Todos",'Plan mensual'!J64,0)))*parametros_manuales!$I$23*parametros_manuales!$J$23</f>
        <v>9478.27630257</v>
      </c>
      <c r="I141" s="9" t="n">
        <f aca="false">(parametros_manuales!$D$23*('Plan mensual'!K57+IF(parametros_manuales!$H$23="Todos",'Plan mensual'!K61,0))+parametros_manuales!$E$23*('Plan mensual'!K58+IF(parametros_manuales!$H$23="Todos",'Plan mensual'!K62,0))+parametros_manuales!$F$23*('Plan mensual'!K59+IF(parametros_manuales!$H$23="Todos",'Plan mensual'!K63,0))+parametros_manuales!$G$23*('Plan mensual'!K60+IF(parametros_manuales!$H$23="Todos",'Plan mensual'!K64,0)))*parametros_manuales!$I$23*parametros_manuales!$J$23</f>
        <v>9478.27630257</v>
      </c>
      <c r="J141" s="9" t="n">
        <f aca="false">(parametros_manuales!$D$23*('Plan mensual'!L57+IF(parametros_manuales!$H$23="Todos",'Plan mensual'!L61,0))+parametros_manuales!$E$23*('Plan mensual'!L58+IF(parametros_manuales!$H$23="Todos",'Plan mensual'!L62,0))+parametros_manuales!$F$23*('Plan mensual'!L59+IF(parametros_manuales!$H$23="Todos",'Plan mensual'!L63,0))+parametros_manuales!$G$23*('Plan mensual'!L60+IF(parametros_manuales!$H$23="Todos",'Plan mensual'!L64,0)))*parametros_manuales!$I$23*parametros_manuales!$J$23</f>
        <v>9478.27630257</v>
      </c>
      <c r="K141" s="9" t="n">
        <f aca="false">(parametros_manuales!$D$23*('Plan mensual'!M57+IF(parametros_manuales!$H$23="Todos",'Plan mensual'!M61,0))+parametros_manuales!$E$23*('Plan mensual'!M58+IF(parametros_manuales!$H$23="Todos",'Plan mensual'!M62,0))+parametros_manuales!$F$23*('Plan mensual'!M59+IF(parametros_manuales!$H$23="Todos",'Plan mensual'!M63,0))+parametros_manuales!$G$23*('Plan mensual'!M60+IF(parametros_manuales!$H$23="Todos",'Plan mensual'!M64,0)))*parametros_manuales!$I$23*parametros_manuales!$J$23</f>
        <v>9295.104907425</v>
      </c>
      <c r="L141" s="9" t="n">
        <f aca="false">(parametros_manuales!$D$23*('Plan mensual'!N57+IF(parametros_manuales!$H$23="Todos",'Plan mensual'!N61,0))+parametros_manuales!$E$23*('Plan mensual'!N58+IF(parametros_manuales!$H$23="Todos",'Plan mensual'!N62,0))+parametros_manuales!$F$23*('Plan mensual'!N59+IF(parametros_manuales!$H$23="Todos",'Plan mensual'!N63,0))+parametros_manuales!$G$23*('Plan mensual'!N60+IF(parametros_manuales!$H$23="Todos",'Plan mensual'!N64,0)))*parametros_manuales!$I$23*parametros_manuales!$J$23</f>
        <v>9111.93351228</v>
      </c>
      <c r="M141" s="9" t="n">
        <f aca="false">(parametros_manuales!$D$23*('Plan mensual'!O57+IF(parametros_manuales!$H$23="Todos",'Plan mensual'!O61,0))+parametros_manuales!$E$23*('Plan mensual'!O58+IF(parametros_manuales!$H$23="Todos",'Plan mensual'!O62,0))+parametros_manuales!$F$23*('Plan mensual'!O59+IF(parametros_manuales!$H$23="Todos",'Plan mensual'!O63,0))+parametros_manuales!$G$23*('Plan mensual'!O60+IF(parametros_manuales!$H$23="Todos",'Plan mensual'!O64,0)))*parametros_manuales!$I$23*parametros_manuales!$J$23</f>
        <v>14505.82506159</v>
      </c>
      <c r="N141" s="9" t="n">
        <f aca="false">SUM(B141:M141)</f>
        <v>123934.732099</v>
      </c>
      <c r="O141" s="9" t="n">
        <f aca="false">MAX(B141:M141)</f>
        <v>14505.82506159</v>
      </c>
      <c r="P141" s="43" t="n">
        <f aca="false">O141/(parametros_manuales!$B$7)</f>
        <v>96.7055004106</v>
      </c>
      <c r="Q141" s="8" t="str">
        <f aca="false">IF(O141=0,"-",INDEX($B$136:$M$136,MATCH(O141,B141:M141,0)))</f>
        <v>Dic</v>
      </c>
    </row>
    <row r="142" customFormat="false" ht="14.25" hidden="false" customHeight="true" outlineLevel="0" collapsed="false">
      <c r="A142" s="8" t="str">
        <f aca="false">parametros_manuales!$B$24</f>
        <v>Numerado de cúpula</v>
      </c>
      <c r="B142" s="9" t="n">
        <f aca="false">(parametros_manuales!$D$24*('Plan mensual'!D57+IF(parametros_manuales!$H$24="Todos",'Plan mensual'!D61,0))+parametros_manuales!$E$24*('Plan mensual'!D58+IF(parametros_manuales!$H$24="Todos",'Plan mensual'!D62,0))+parametros_manuales!$F$24*('Plan mensual'!D59+IF(parametros_manuales!$H$24="Todos",'Plan mensual'!D63,0))+parametros_manuales!$G$24*('Plan mensual'!D60+IF(parametros_manuales!$H$24="Todos",'Plan mensual'!D64,0)))*parametros_manuales!$I$24*parametros_manuales!$J$24</f>
        <v>14139.4822713</v>
      </c>
      <c r="C142" s="9" t="n">
        <f aca="false">(parametros_manuales!$D$24*('Plan mensual'!E57+IF(parametros_manuales!$H$24="Todos",'Plan mensual'!E61,0))+parametros_manuales!$E$24*('Plan mensual'!E58+IF(parametros_manuales!$H$24="Todos",'Plan mensual'!E62,0))+parametros_manuales!$F$24*('Plan mensual'!E59+IF(parametros_manuales!$H$24="Todos",'Plan mensual'!E63,0))+parametros_manuales!$G$24*('Plan mensual'!E60+IF(parametros_manuales!$H$24="Todos",'Plan mensual'!E64,0)))*parametros_manuales!$I$24*parametros_manuales!$J$24</f>
        <v>10787.78309862</v>
      </c>
      <c r="D142" s="9" t="n">
        <f aca="false">(parametros_manuales!$D$24*('Plan mensual'!F57+IF(parametros_manuales!$H$24="Todos",'Plan mensual'!F61,0))+parametros_manuales!$E$24*('Plan mensual'!F58+IF(parametros_manuales!$H$24="Todos",'Plan mensual'!F62,0))+parametros_manuales!$F$24*('Plan mensual'!F59+IF(parametros_manuales!$H$24="Todos",'Plan mensual'!F63,0))+parametros_manuales!$G$24*('Plan mensual'!F60+IF(parametros_manuales!$H$24="Todos",'Plan mensual'!F64,0)))*parametros_manuales!$I$24*parametros_manuales!$J$24</f>
        <v>10097.949963065</v>
      </c>
      <c r="E142" s="9" t="n">
        <f aca="false">(parametros_manuales!$D$24*('Plan mensual'!G57+IF(parametros_manuales!$H$24="Todos",'Plan mensual'!G61,0))+parametros_manuales!$E$24*('Plan mensual'!G58+IF(parametros_manuales!$H$24="Todos",'Plan mensual'!G62,0))+parametros_manuales!$F$24*('Plan mensual'!G59+IF(parametros_manuales!$H$24="Todos",'Plan mensual'!G63,0))+parametros_manuales!$G$24*('Plan mensual'!G60+IF(parametros_manuales!$H$24="Todos",'Plan mensual'!G64,0)))*parametros_manuales!$I$24*parametros_manuales!$J$24</f>
        <v>9661.447697715</v>
      </c>
      <c r="F142" s="9" t="n">
        <f aca="false">(parametros_manuales!$D$24*('Plan mensual'!H57+IF(parametros_manuales!$H$24="Todos",'Plan mensual'!H61,0))+parametros_manuales!$E$24*('Plan mensual'!H58+IF(parametros_manuales!$H$24="Todos",'Plan mensual'!H62,0))+parametros_manuales!$F$24*('Plan mensual'!H59+IF(parametros_manuales!$H$24="Todos",'Plan mensual'!H63,0))+parametros_manuales!$G$24*('Plan mensual'!H60+IF(parametros_manuales!$H$24="Todos",'Plan mensual'!H64,0)))*parametros_manuales!$I$24*parametros_manuales!$J$24</f>
        <v>9041.77403722</v>
      </c>
      <c r="G142" s="9" t="n">
        <f aca="false">(parametros_manuales!$D$24*('Plan mensual'!I57+IF(parametros_manuales!$H$24="Todos",'Plan mensual'!I61,0))+parametros_manuales!$E$24*('Plan mensual'!I58+IF(parametros_manuales!$H$24="Todos",'Plan mensual'!I62,0))+parametros_manuales!$F$24*('Plan mensual'!I59+IF(parametros_manuales!$H$24="Todos",'Plan mensual'!I63,0))+parametros_manuales!$G$24*('Plan mensual'!I60+IF(parametros_manuales!$H$24="Todos",'Plan mensual'!I64,0)))*parametros_manuales!$I$24*parametros_manuales!$J$24</f>
        <v>8858.602642075</v>
      </c>
      <c r="H142" s="9" t="n">
        <f aca="false">(parametros_manuales!$D$24*('Plan mensual'!J57+IF(parametros_manuales!$H$24="Todos",'Plan mensual'!J61,0))+parametros_manuales!$E$24*('Plan mensual'!J58+IF(parametros_manuales!$H$24="Todos",'Plan mensual'!J62,0))+parametros_manuales!$F$24*('Plan mensual'!J59+IF(parametros_manuales!$H$24="Todos",'Plan mensual'!J63,0))+parametros_manuales!$G$24*('Plan mensual'!J60+IF(parametros_manuales!$H$24="Todos",'Plan mensual'!J64,0)))*parametros_manuales!$I$24*parametros_manuales!$J$24</f>
        <v>9478.27630257</v>
      </c>
      <c r="I142" s="9" t="n">
        <f aca="false">(parametros_manuales!$D$24*('Plan mensual'!K57+IF(parametros_manuales!$H$24="Todos",'Plan mensual'!K61,0))+parametros_manuales!$E$24*('Plan mensual'!K58+IF(parametros_manuales!$H$24="Todos",'Plan mensual'!K62,0))+parametros_manuales!$F$24*('Plan mensual'!K59+IF(parametros_manuales!$H$24="Todos",'Plan mensual'!K63,0))+parametros_manuales!$G$24*('Plan mensual'!K60+IF(parametros_manuales!$H$24="Todos",'Plan mensual'!K64,0)))*parametros_manuales!$I$24*parametros_manuales!$J$24</f>
        <v>9478.27630257</v>
      </c>
      <c r="J142" s="9" t="n">
        <f aca="false">(parametros_manuales!$D$24*('Plan mensual'!L57+IF(parametros_manuales!$H$24="Todos",'Plan mensual'!L61,0))+parametros_manuales!$E$24*('Plan mensual'!L58+IF(parametros_manuales!$H$24="Todos",'Plan mensual'!L62,0))+parametros_manuales!$F$24*('Plan mensual'!L59+IF(parametros_manuales!$H$24="Todos",'Plan mensual'!L63,0))+parametros_manuales!$G$24*('Plan mensual'!L60+IF(parametros_manuales!$H$24="Todos",'Plan mensual'!L64,0)))*parametros_manuales!$I$24*parametros_manuales!$J$24</f>
        <v>9478.27630257</v>
      </c>
      <c r="K142" s="9" t="n">
        <f aca="false">(parametros_manuales!$D$24*('Plan mensual'!M57+IF(parametros_manuales!$H$24="Todos",'Plan mensual'!M61,0))+parametros_manuales!$E$24*('Plan mensual'!M58+IF(parametros_manuales!$H$24="Todos",'Plan mensual'!M62,0))+parametros_manuales!$F$24*('Plan mensual'!M59+IF(parametros_manuales!$H$24="Todos",'Plan mensual'!M63,0))+parametros_manuales!$G$24*('Plan mensual'!M60+IF(parametros_manuales!$H$24="Todos",'Plan mensual'!M64,0)))*parametros_manuales!$I$24*parametros_manuales!$J$24</f>
        <v>9295.104907425</v>
      </c>
      <c r="L142" s="9" t="n">
        <f aca="false">(parametros_manuales!$D$24*('Plan mensual'!N57+IF(parametros_manuales!$H$24="Todos",'Plan mensual'!N61,0))+parametros_manuales!$E$24*('Plan mensual'!N58+IF(parametros_manuales!$H$24="Todos",'Plan mensual'!N62,0))+parametros_manuales!$F$24*('Plan mensual'!N59+IF(parametros_manuales!$H$24="Todos",'Plan mensual'!N63,0))+parametros_manuales!$G$24*('Plan mensual'!N60+IF(parametros_manuales!$H$24="Todos",'Plan mensual'!N64,0)))*parametros_manuales!$I$24*parametros_manuales!$J$24</f>
        <v>9111.93351228</v>
      </c>
      <c r="M142" s="9" t="n">
        <f aca="false">(parametros_manuales!$D$24*('Plan mensual'!O57+IF(parametros_manuales!$H$24="Todos",'Plan mensual'!O61,0))+parametros_manuales!$E$24*('Plan mensual'!O58+IF(parametros_manuales!$H$24="Todos",'Plan mensual'!O62,0))+parametros_manuales!$F$24*('Plan mensual'!O59+IF(parametros_manuales!$H$24="Todos",'Plan mensual'!O63,0))+parametros_manuales!$G$24*('Plan mensual'!O60+IF(parametros_manuales!$H$24="Todos",'Plan mensual'!O64,0)))*parametros_manuales!$I$24*parametros_manuales!$J$24</f>
        <v>14505.82506159</v>
      </c>
      <c r="N142" s="9" t="n">
        <f aca="false">SUM(B142:M142)</f>
        <v>123934.732099</v>
      </c>
      <c r="O142" s="9" t="n">
        <f aca="false">MAX(B142:M142)</f>
        <v>14505.82506159</v>
      </c>
      <c r="P142" s="43" t="n">
        <f aca="false">O142/(parametros_manuales!$B$7)</f>
        <v>96.7055004106</v>
      </c>
      <c r="Q142" s="8" t="str">
        <f aca="false">IF(O142=0,"-",INDEX($B$136:$M$136,MATCH(O142,B142:M142,0)))</f>
        <v>Dic</v>
      </c>
    </row>
    <row r="143" customFormat="false" ht="14.25" hidden="false" customHeight="true" outlineLevel="0" collapsed="false">
      <c r="A143" s="8" t="str">
        <f aca="false">parametros_manuales!$B$25</f>
        <v>Soldadura del cuello a la cúpula</v>
      </c>
      <c r="B143" s="9" t="n">
        <f aca="false">(parametros_manuales!$D$25*('Plan mensual'!D57+IF(parametros_manuales!$H$25="Todos",'Plan mensual'!D61,0))+parametros_manuales!$E$25*('Plan mensual'!D58+IF(parametros_manuales!$H$25="Todos",'Plan mensual'!D62,0))+parametros_manuales!$F$25*('Plan mensual'!D59+IF(parametros_manuales!$H$25="Todos",'Plan mensual'!D63,0))+parametros_manuales!$G$25*('Plan mensual'!D60+IF(parametros_manuales!$H$25="Todos",'Plan mensual'!D64,0)))*parametros_manuales!$I$25*parametros_manuales!$J$25</f>
        <v>14139.4822713</v>
      </c>
      <c r="C143" s="9" t="n">
        <f aca="false">(parametros_manuales!$D$25*('Plan mensual'!E57+IF(parametros_manuales!$H$25="Todos",'Plan mensual'!E61,0))+parametros_manuales!$E$25*('Plan mensual'!E58+IF(parametros_manuales!$H$25="Todos",'Plan mensual'!E62,0))+parametros_manuales!$F$25*('Plan mensual'!E59+IF(parametros_manuales!$H$25="Todos",'Plan mensual'!E63,0))+parametros_manuales!$G$25*('Plan mensual'!E60+IF(parametros_manuales!$H$25="Todos",'Plan mensual'!E64,0)))*parametros_manuales!$I$25*parametros_manuales!$J$25</f>
        <v>10787.78309862</v>
      </c>
      <c r="D143" s="9" t="n">
        <f aca="false">(parametros_manuales!$D$25*('Plan mensual'!F57+IF(parametros_manuales!$H$25="Todos",'Plan mensual'!F61,0))+parametros_manuales!$E$25*('Plan mensual'!F58+IF(parametros_manuales!$H$25="Todos",'Plan mensual'!F62,0))+parametros_manuales!$F$25*('Plan mensual'!F59+IF(parametros_manuales!$H$25="Todos",'Plan mensual'!F63,0))+parametros_manuales!$G$25*('Plan mensual'!F60+IF(parametros_manuales!$H$25="Todos",'Plan mensual'!F64,0)))*parametros_manuales!$I$25*parametros_manuales!$J$25</f>
        <v>10097.949963065</v>
      </c>
      <c r="E143" s="9" t="n">
        <f aca="false">(parametros_manuales!$D$25*('Plan mensual'!G57+IF(parametros_manuales!$H$25="Todos",'Plan mensual'!G61,0))+parametros_manuales!$E$25*('Plan mensual'!G58+IF(parametros_manuales!$H$25="Todos",'Plan mensual'!G62,0))+parametros_manuales!$F$25*('Plan mensual'!G59+IF(parametros_manuales!$H$25="Todos",'Plan mensual'!G63,0))+parametros_manuales!$G$25*('Plan mensual'!G60+IF(parametros_manuales!$H$25="Todos",'Plan mensual'!G64,0)))*parametros_manuales!$I$25*parametros_manuales!$J$25</f>
        <v>9661.447697715</v>
      </c>
      <c r="F143" s="9" t="n">
        <f aca="false">(parametros_manuales!$D$25*('Plan mensual'!H57+IF(parametros_manuales!$H$25="Todos",'Plan mensual'!H61,0))+parametros_manuales!$E$25*('Plan mensual'!H58+IF(parametros_manuales!$H$25="Todos",'Plan mensual'!H62,0))+parametros_manuales!$F$25*('Plan mensual'!H59+IF(parametros_manuales!$H$25="Todos",'Plan mensual'!H63,0))+parametros_manuales!$G$25*('Plan mensual'!H60+IF(parametros_manuales!$H$25="Todos",'Plan mensual'!H64,0)))*parametros_manuales!$I$25*parametros_manuales!$J$25</f>
        <v>9041.77403722</v>
      </c>
      <c r="G143" s="9" t="n">
        <f aca="false">(parametros_manuales!$D$25*('Plan mensual'!I57+IF(parametros_manuales!$H$25="Todos",'Plan mensual'!I61,0))+parametros_manuales!$E$25*('Plan mensual'!I58+IF(parametros_manuales!$H$25="Todos",'Plan mensual'!I62,0))+parametros_manuales!$F$25*('Plan mensual'!I59+IF(parametros_manuales!$H$25="Todos",'Plan mensual'!I63,0))+parametros_manuales!$G$25*('Plan mensual'!I60+IF(parametros_manuales!$H$25="Todos",'Plan mensual'!I64,0)))*parametros_manuales!$I$25*parametros_manuales!$J$25</f>
        <v>8858.602642075</v>
      </c>
      <c r="H143" s="9" t="n">
        <f aca="false">(parametros_manuales!$D$25*('Plan mensual'!J57+IF(parametros_manuales!$H$25="Todos",'Plan mensual'!J61,0))+parametros_manuales!$E$25*('Plan mensual'!J58+IF(parametros_manuales!$H$25="Todos",'Plan mensual'!J62,0))+parametros_manuales!$F$25*('Plan mensual'!J59+IF(parametros_manuales!$H$25="Todos",'Plan mensual'!J63,0))+parametros_manuales!$G$25*('Plan mensual'!J60+IF(parametros_manuales!$H$25="Todos",'Plan mensual'!J64,0)))*parametros_manuales!$I$25*parametros_manuales!$J$25</f>
        <v>9478.27630257</v>
      </c>
      <c r="I143" s="9" t="n">
        <f aca="false">(parametros_manuales!$D$25*('Plan mensual'!K57+IF(parametros_manuales!$H$25="Todos",'Plan mensual'!K61,0))+parametros_manuales!$E$25*('Plan mensual'!K58+IF(parametros_manuales!$H$25="Todos",'Plan mensual'!K62,0))+parametros_manuales!$F$25*('Plan mensual'!K59+IF(parametros_manuales!$H$25="Todos",'Plan mensual'!K63,0))+parametros_manuales!$G$25*('Plan mensual'!K60+IF(parametros_manuales!$H$25="Todos",'Plan mensual'!K64,0)))*parametros_manuales!$I$25*parametros_manuales!$J$25</f>
        <v>9478.27630257</v>
      </c>
      <c r="J143" s="9" t="n">
        <f aca="false">(parametros_manuales!$D$25*('Plan mensual'!L57+IF(parametros_manuales!$H$25="Todos",'Plan mensual'!L61,0))+parametros_manuales!$E$25*('Plan mensual'!L58+IF(parametros_manuales!$H$25="Todos",'Plan mensual'!L62,0))+parametros_manuales!$F$25*('Plan mensual'!L59+IF(parametros_manuales!$H$25="Todos",'Plan mensual'!L63,0))+parametros_manuales!$G$25*('Plan mensual'!L60+IF(parametros_manuales!$H$25="Todos",'Plan mensual'!L64,0)))*parametros_manuales!$I$25*parametros_manuales!$J$25</f>
        <v>9478.27630257</v>
      </c>
      <c r="K143" s="9" t="n">
        <f aca="false">(parametros_manuales!$D$25*('Plan mensual'!M57+IF(parametros_manuales!$H$25="Todos",'Plan mensual'!M61,0))+parametros_manuales!$E$25*('Plan mensual'!M58+IF(parametros_manuales!$H$25="Todos",'Plan mensual'!M62,0))+parametros_manuales!$F$25*('Plan mensual'!M59+IF(parametros_manuales!$H$25="Todos",'Plan mensual'!M63,0))+parametros_manuales!$G$25*('Plan mensual'!M60+IF(parametros_manuales!$H$25="Todos",'Plan mensual'!M64,0)))*parametros_manuales!$I$25*parametros_manuales!$J$25</f>
        <v>9295.104907425</v>
      </c>
      <c r="L143" s="9" t="n">
        <f aca="false">(parametros_manuales!$D$25*('Plan mensual'!N57+IF(parametros_manuales!$H$25="Todos",'Plan mensual'!N61,0))+parametros_manuales!$E$25*('Plan mensual'!N58+IF(parametros_manuales!$H$25="Todos",'Plan mensual'!N62,0))+parametros_manuales!$F$25*('Plan mensual'!N59+IF(parametros_manuales!$H$25="Todos",'Plan mensual'!N63,0))+parametros_manuales!$G$25*('Plan mensual'!N60+IF(parametros_manuales!$H$25="Todos",'Plan mensual'!N64,0)))*parametros_manuales!$I$25*parametros_manuales!$J$25</f>
        <v>9111.93351228</v>
      </c>
      <c r="M143" s="9" t="n">
        <f aca="false">(parametros_manuales!$D$25*('Plan mensual'!O57+IF(parametros_manuales!$H$25="Todos",'Plan mensual'!O61,0))+parametros_manuales!$E$25*('Plan mensual'!O58+IF(parametros_manuales!$H$25="Todos",'Plan mensual'!O62,0))+parametros_manuales!$F$25*('Plan mensual'!O59+IF(parametros_manuales!$H$25="Todos",'Plan mensual'!O63,0))+parametros_manuales!$G$25*('Plan mensual'!O60+IF(parametros_manuales!$H$25="Todos",'Plan mensual'!O64,0)))*parametros_manuales!$I$25*parametros_manuales!$J$25</f>
        <v>14505.82506159</v>
      </c>
      <c r="N143" s="9" t="n">
        <f aca="false">SUM(B143:M143)</f>
        <v>123934.732099</v>
      </c>
      <c r="O143" s="9" t="n">
        <f aca="false">MAX(B143:M143)</f>
        <v>14505.82506159</v>
      </c>
      <c r="P143" s="43" t="n">
        <f aca="false">O143/(parametros_manuales!$B$7)</f>
        <v>96.7055004106</v>
      </c>
      <c r="Q143" s="8" t="str">
        <f aca="false">IF(O143=0,"-",INDEX($B$136:$M$136,MATCH(O143,B143:M143,0)))</f>
        <v>Dic</v>
      </c>
    </row>
    <row r="144" customFormat="false" ht="14.25" hidden="false" customHeight="true" outlineLevel="0" collapsed="false">
      <c r="A144" s="8" t="str">
        <f aca="false">parametros_manuales!$B$26</f>
        <v>Cilindrado</v>
      </c>
      <c r="B144" s="9" t="n">
        <f aca="false">(parametros_manuales!$D$26*('Plan mensual'!D57+IF(parametros_manuales!$H$26="Todos",'Plan mensual'!D61,0))+parametros_manuales!$E$26*('Plan mensual'!D58+IF(parametros_manuales!$H$26="Todos",'Plan mensual'!D62,0))+parametros_manuales!$F$26*('Plan mensual'!D59+IF(parametros_manuales!$H$26="Todos",'Plan mensual'!D63,0))+parametros_manuales!$G$26*('Plan mensual'!D60+IF(parametros_manuales!$H$26="Todos",'Plan mensual'!D64,0)))*parametros_manuales!$I$26*parametros_manuales!$J$26</f>
        <v>3663.4279029</v>
      </c>
      <c r="C144" s="9" t="n">
        <f aca="false">(parametros_manuales!$D$26*('Plan mensual'!E57+IF(parametros_manuales!$H$26="Todos",'Plan mensual'!E61,0))+parametros_manuales!$E$26*('Plan mensual'!E58+IF(parametros_manuales!$H$26="Todos",'Plan mensual'!E62,0))+parametros_manuales!$F$26*('Plan mensual'!E59+IF(parametros_manuales!$H$26="Todos",'Plan mensual'!E63,0))+parametros_manuales!$G$26*('Plan mensual'!E60+IF(parametros_manuales!$H$26="Todos",'Plan mensual'!E64,0)))*parametros_manuales!$I$26*parametros_manuales!$J$26</f>
        <v>2930.74232232</v>
      </c>
      <c r="D144" s="9" t="n">
        <f aca="false">(parametros_manuales!$D$26*('Plan mensual'!F57+IF(parametros_manuales!$H$26="Todos",'Plan mensual'!F61,0))+parametros_manuales!$E$26*('Plan mensual'!F58+IF(parametros_manuales!$H$26="Todos",'Plan mensual'!F62,0))+parametros_manuales!$F$26*('Plan mensual'!F59+IF(parametros_manuales!$H$26="Todos",'Plan mensual'!F63,0))+parametros_manuales!$G$26*('Plan mensual'!F60+IF(parametros_manuales!$H$26="Todos",'Plan mensual'!F64,0)))*parametros_manuales!$I$26*parametros_manuales!$J$26</f>
        <v>3113.913717465</v>
      </c>
      <c r="E144" s="9" t="n">
        <f aca="false">(parametros_manuales!$D$26*('Plan mensual'!G57+IF(parametros_manuales!$H$26="Todos",'Plan mensual'!G61,0))+parametros_manuales!$E$26*('Plan mensual'!G58+IF(parametros_manuales!$H$26="Todos",'Plan mensual'!G62,0))+parametros_manuales!$F$26*('Plan mensual'!G59+IF(parametros_manuales!$H$26="Todos",'Plan mensual'!G63,0))+parametros_manuales!$G$26*('Plan mensual'!G60+IF(parametros_manuales!$H$26="Todos",'Plan mensual'!G64,0)))*parametros_manuales!$I$26*parametros_manuales!$J$26</f>
        <v>3113.913717465</v>
      </c>
      <c r="F144" s="9" t="n">
        <f aca="false">(parametros_manuales!$D$26*('Plan mensual'!H57+IF(parametros_manuales!$H$26="Todos",'Plan mensual'!H61,0))+parametros_manuales!$E$26*('Plan mensual'!H58+IF(parametros_manuales!$H$26="Todos",'Plan mensual'!H62,0))+parametros_manuales!$F$26*('Plan mensual'!H59+IF(parametros_manuales!$H$26="Todos",'Plan mensual'!H63,0))+parametros_manuales!$G$26*('Plan mensual'!H60+IF(parametros_manuales!$H$26="Todos",'Plan mensual'!H64,0)))*parametros_manuales!$I$26*parametros_manuales!$J$26</f>
        <v>2930.74232232</v>
      </c>
      <c r="G144" s="9" t="n">
        <f aca="false">(parametros_manuales!$D$26*('Plan mensual'!I57+IF(parametros_manuales!$H$26="Todos",'Plan mensual'!I61,0))+parametros_manuales!$E$26*('Plan mensual'!I58+IF(parametros_manuales!$H$26="Todos",'Plan mensual'!I62,0))+parametros_manuales!$F$26*('Plan mensual'!I59+IF(parametros_manuales!$H$26="Todos",'Plan mensual'!I63,0))+parametros_manuales!$G$26*('Plan mensual'!I60+IF(parametros_manuales!$H$26="Todos",'Plan mensual'!I64,0)))*parametros_manuales!$I$26*parametros_manuales!$J$26</f>
        <v>2747.570927175</v>
      </c>
      <c r="H144" s="9" t="n">
        <f aca="false">(parametros_manuales!$D$26*('Plan mensual'!J57+IF(parametros_manuales!$H$26="Todos",'Plan mensual'!J61,0))+parametros_manuales!$E$26*('Plan mensual'!J58+IF(parametros_manuales!$H$26="Todos",'Plan mensual'!J62,0))+parametros_manuales!$F$26*('Plan mensual'!J59+IF(parametros_manuales!$H$26="Todos",'Plan mensual'!J63,0))+parametros_manuales!$G$26*('Plan mensual'!J60+IF(parametros_manuales!$H$26="Todos",'Plan mensual'!J64,0)))*parametros_manuales!$I$26*parametros_manuales!$J$26</f>
        <v>2930.74232232</v>
      </c>
      <c r="I144" s="9" t="n">
        <f aca="false">(parametros_manuales!$D$26*('Plan mensual'!K57+IF(parametros_manuales!$H$26="Todos",'Plan mensual'!K61,0))+parametros_manuales!$E$26*('Plan mensual'!K58+IF(parametros_manuales!$H$26="Todos",'Plan mensual'!K62,0))+parametros_manuales!$F$26*('Plan mensual'!K59+IF(parametros_manuales!$H$26="Todos",'Plan mensual'!K63,0))+parametros_manuales!$G$26*('Plan mensual'!K60+IF(parametros_manuales!$H$26="Todos",'Plan mensual'!K64,0)))*parametros_manuales!$I$26*parametros_manuales!$J$26</f>
        <v>2930.74232232</v>
      </c>
      <c r="J144" s="9" t="n">
        <f aca="false">(parametros_manuales!$D$26*('Plan mensual'!L57+IF(parametros_manuales!$H$26="Todos",'Plan mensual'!L61,0))+parametros_manuales!$E$26*('Plan mensual'!L58+IF(parametros_manuales!$H$26="Todos",'Plan mensual'!L62,0))+parametros_manuales!$F$26*('Plan mensual'!L59+IF(parametros_manuales!$H$26="Todos",'Plan mensual'!L63,0))+parametros_manuales!$G$26*('Plan mensual'!L60+IF(parametros_manuales!$H$26="Todos",'Plan mensual'!L64,0)))*parametros_manuales!$I$26*parametros_manuales!$J$26</f>
        <v>2930.74232232</v>
      </c>
      <c r="K144" s="9" t="n">
        <f aca="false">(parametros_manuales!$D$26*('Plan mensual'!M57+IF(parametros_manuales!$H$26="Todos",'Plan mensual'!M61,0))+parametros_manuales!$E$26*('Plan mensual'!M58+IF(parametros_manuales!$H$26="Todos",'Plan mensual'!M62,0))+parametros_manuales!$F$26*('Plan mensual'!M59+IF(parametros_manuales!$H$26="Todos",'Plan mensual'!M63,0))+parametros_manuales!$G$26*('Plan mensual'!M60+IF(parametros_manuales!$H$26="Todos",'Plan mensual'!M64,0)))*parametros_manuales!$I$26*parametros_manuales!$J$26</f>
        <v>2747.570927175</v>
      </c>
      <c r="L144" s="9" t="n">
        <f aca="false">(parametros_manuales!$D$26*('Plan mensual'!N57+IF(parametros_manuales!$H$26="Todos",'Plan mensual'!N61,0))+parametros_manuales!$E$26*('Plan mensual'!N58+IF(parametros_manuales!$H$26="Todos",'Plan mensual'!N62,0))+parametros_manuales!$F$26*('Plan mensual'!N59+IF(parametros_manuales!$H$26="Todos",'Plan mensual'!N63,0))+parametros_manuales!$G$26*('Plan mensual'!N60+IF(parametros_manuales!$H$26="Todos",'Plan mensual'!N64,0)))*parametros_manuales!$I$26*parametros_manuales!$J$26</f>
        <v>2564.39953203</v>
      </c>
      <c r="M144" s="9" t="n">
        <f aca="false">(parametros_manuales!$D$26*('Plan mensual'!O57+IF(parametros_manuales!$H$26="Todos",'Plan mensual'!O61,0))+parametros_manuales!$E$26*('Plan mensual'!O58+IF(parametros_manuales!$H$26="Todos",'Plan mensual'!O62,0))+parametros_manuales!$F$26*('Plan mensual'!O59+IF(parametros_manuales!$H$26="Todos",'Plan mensual'!O63,0))+parametros_manuales!$G$26*('Plan mensual'!O60+IF(parametros_manuales!$H$26="Todos",'Plan mensual'!O64,0)))*parametros_manuales!$I$26*parametros_manuales!$J$26</f>
        <v>4029.77069319</v>
      </c>
      <c r="N144" s="9" t="n">
        <f aca="false">SUM(B144:M144)</f>
        <v>36634.279029</v>
      </c>
      <c r="O144" s="9" t="n">
        <f aca="false">MAX(B144:M144)</f>
        <v>4029.77069319</v>
      </c>
      <c r="P144" s="43" t="n">
        <f aca="false">O144/(parametros_manuales!$B$7)</f>
        <v>26.8651379546</v>
      </c>
      <c r="Q144" s="8" t="str">
        <f aca="false">IF(O144=0,"-",INDEX($B$136:$M$136,MATCH(O144,B144:M144,0)))</f>
        <v>Dic</v>
      </c>
    </row>
    <row r="145" customFormat="false" ht="14.25" hidden="false" customHeight="true" outlineLevel="0" collapsed="false">
      <c r="A145" s="8" t="str">
        <f aca="false">parametros_manuales!$B$27</f>
        <v>Soldadura longitudinal</v>
      </c>
      <c r="B145" s="9" t="n">
        <f aca="false">(parametros_manuales!$D$27*('Plan mensual'!D57+IF(parametros_manuales!$H$27="Todos",'Plan mensual'!D61,0))+parametros_manuales!$E$27*('Plan mensual'!D58+IF(parametros_manuales!$H$27="Todos",'Plan mensual'!D62,0))+parametros_manuales!$F$27*('Plan mensual'!D59+IF(parametros_manuales!$H$27="Todos",'Plan mensual'!D63,0))+parametros_manuales!$G$27*('Plan mensual'!D60+IF(parametros_manuales!$H$27="Todos",'Plan mensual'!D64,0)))*parametros_manuales!$I$27*parametros_manuales!$J$27</f>
        <v>3663.4279029</v>
      </c>
      <c r="C145" s="9" t="n">
        <f aca="false">(parametros_manuales!$D$27*('Plan mensual'!E57+IF(parametros_manuales!$H$27="Todos",'Plan mensual'!E61,0))+parametros_manuales!$E$27*('Plan mensual'!E58+IF(parametros_manuales!$H$27="Todos",'Plan mensual'!E62,0))+parametros_manuales!$F$27*('Plan mensual'!E59+IF(parametros_manuales!$H$27="Todos",'Plan mensual'!E63,0))+parametros_manuales!$G$27*('Plan mensual'!E60+IF(parametros_manuales!$H$27="Todos",'Plan mensual'!E64,0)))*parametros_manuales!$I$27*parametros_manuales!$J$27</f>
        <v>2930.74232232</v>
      </c>
      <c r="D145" s="9" t="n">
        <f aca="false">(parametros_manuales!$D$27*('Plan mensual'!F57+IF(parametros_manuales!$H$27="Todos",'Plan mensual'!F61,0))+parametros_manuales!$E$27*('Plan mensual'!F58+IF(parametros_manuales!$H$27="Todos",'Plan mensual'!F62,0))+parametros_manuales!$F$27*('Plan mensual'!F59+IF(parametros_manuales!$H$27="Todos",'Plan mensual'!F63,0))+parametros_manuales!$G$27*('Plan mensual'!F60+IF(parametros_manuales!$H$27="Todos",'Plan mensual'!F64,0)))*parametros_manuales!$I$27*parametros_manuales!$J$27</f>
        <v>3113.913717465</v>
      </c>
      <c r="E145" s="9" t="n">
        <f aca="false">(parametros_manuales!$D$27*('Plan mensual'!G57+IF(parametros_manuales!$H$27="Todos",'Plan mensual'!G61,0))+parametros_manuales!$E$27*('Plan mensual'!G58+IF(parametros_manuales!$H$27="Todos",'Plan mensual'!G62,0))+parametros_manuales!$F$27*('Plan mensual'!G59+IF(parametros_manuales!$H$27="Todos",'Plan mensual'!G63,0))+parametros_manuales!$G$27*('Plan mensual'!G60+IF(parametros_manuales!$H$27="Todos",'Plan mensual'!G64,0)))*parametros_manuales!$I$27*parametros_manuales!$J$27</f>
        <v>3113.913717465</v>
      </c>
      <c r="F145" s="9" t="n">
        <f aca="false">(parametros_manuales!$D$27*('Plan mensual'!H57+IF(parametros_manuales!$H$27="Todos",'Plan mensual'!H61,0))+parametros_manuales!$E$27*('Plan mensual'!H58+IF(parametros_manuales!$H$27="Todos",'Plan mensual'!H62,0))+parametros_manuales!$F$27*('Plan mensual'!H59+IF(parametros_manuales!$H$27="Todos",'Plan mensual'!H63,0))+parametros_manuales!$G$27*('Plan mensual'!H60+IF(parametros_manuales!$H$27="Todos",'Plan mensual'!H64,0)))*parametros_manuales!$I$27*parametros_manuales!$J$27</f>
        <v>2930.74232232</v>
      </c>
      <c r="G145" s="9" t="n">
        <f aca="false">(parametros_manuales!$D$27*('Plan mensual'!I57+IF(parametros_manuales!$H$27="Todos",'Plan mensual'!I61,0))+parametros_manuales!$E$27*('Plan mensual'!I58+IF(parametros_manuales!$H$27="Todos",'Plan mensual'!I62,0))+parametros_manuales!$F$27*('Plan mensual'!I59+IF(parametros_manuales!$H$27="Todos",'Plan mensual'!I63,0))+parametros_manuales!$G$27*('Plan mensual'!I60+IF(parametros_manuales!$H$27="Todos",'Plan mensual'!I64,0)))*parametros_manuales!$I$27*parametros_manuales!$J$27</f>
        <v>2747.570927175</v>
      </c>
      <c r="H145" s="9" t="n">
        <f aca="false">(parametros_manuales!$D$27*('Plan mensual'!J57+IF(parametros_manuales!$H$27="Todos",'Plan mensual'!J61,0))+parametros_manuales!$E$27*('Plan mensual'!J58+IF(parametros_manuales!$H$27="Todos",'Plan mensual'!J62,0))+parametros_manuales!$F$27*('Plan mensual'!J59+IF(parametros_manuales!$H$27="Todos",'Plan mensual'!J63,0))+parametros_manuales!$G$27*('Plan mensual'!J60+IF(parametros_manuales!$H$27="Todos",'Plan mensual'!J64,0)))*parametros_manuales!$I$27*parametros_manuales!$J$27</f>
        <v>2930.74232232</v>
      </c>
      <c r="I145" s="9" t="n">
        <f aca="false">(parametros_manuales!$D$27*('Plan mensual'!K57+IF(parametros_manuales!$H$27="Todos",'Plan mensual'!K61,0))+parametros_manuales!$E$27*('Plan mensual'!K58+IF(parametros_manuales!$H$27="Todos",'Plan mensual'!K62,0))+parametros_manuales!$F$27*('Plan mensual'!K59+IF(parametros_manuales!$H$27="Todos",'Plan mensual'!K63,0))+parametros_manuales!$G$27*('Plan mensual'!K60+IF(parametros_manuales!$H$27="Todos",'Plan mensual'!K64,0)))*parametros_manuales!$I$27*parametros_manuales!$J$27</f>
        <v>2930.74232232</v>
      </c>
      <c r="J145" s="9" t="n">
        <f aca="false">(parametros_manuales!$D$27*('Plan mensual'!L57+IF(parametros_manuales!$H$27="Todos",'Plan mensual'!L61,0))+parametros_manuales!$E$27*('Plan mensual'!L58+IF(parametros_manuales!$H$27="Todos",'Plan mensual'!L62,0))+parametros_manuales!$F$27*('Plan mensual'!L59+IF(parametros_manuales!$H$27="Todos",'Plan mensual'!L63,0))+parametros_manuales!$G$27*('Plan mensual'!L60+IF(parametros_manuales!$H$27="Todos",'Plan mensual'!L64,0)))*parametros_manuales!$I$27*parametros_manuales!$J$27</f>
        <v>2930.74232232</v>
      </c>
      <c r="K145" s="9" t="n">
        <f aca="false">(parametros_manuales!$D$27*('Plan mensual'!M57+IF(parametros_manuales!$H$27="Todos",'Plan mensual'!M61,0))+parametros_manuales!$E$27*('Plan mensual'!M58+IF(parametros_manuales!$H$27="Todos",'Plan mensual'!M62,0))+parametros_manuales!$F$27*('Plan mensual'!M59+IF(parametros_manuales!$H$27="Todos",'Plan mensual'!M63,0))+parametros_manuales!$G$27*('Plan mensual'!M60+IF(parametros_manuales!$H$27="Todos",'Plan mensual'!M64,0)))*parametros_manuales!$I$27*parametros_manuales!$J$27</f>
        <v>2747.570927175</v>
      </c>
      <c r="L145" s="9" t="n">
        <f aca="false">(parametros_manuales!$D$27*('Plan mensual'!N57+IF(parametros_manuales!$H$27="Todos",'Plan mensual'!N61,0))+parametros_manuales!$E$27*('Plan mensual'!N58+IF(parametros_manuales!$H$27="Todos",'Plan mensual'!N62,0))+parametros_manuales!$F$27*('Plan mensual'!N59+IF(parametros_manuales!$H$27="Todos",'Plan mensual'!N63,0))+parametros_manuales!$G$27*('Plan mensual'!N60+IF(parametros_manuales!$H$27="Todos",'Plan mensual'!N64,0)))*parametros_manuales!$I$27*parametros_manuales!$J$27</f>
        <v>2564.39953203</v>
      </c>
      <c r="M145" s="9" t="n">
        <f aca="false">(parametros_manuales!$D$27*('Plan mensual'!O57+IF(parametros_manuales!$H$27="Todos",'Plan mensual'!O61,0))+parametros_manuales!$E$27*('Plan mensual'!O58+IF(parametros_manuales!$H$27="Todos",'Plan mensual'!O62,0))+parametros_manuales!$F$27*('Plan mensual'!O59+IF(parametros_manuales!$H$27="Todos",'Plan mensual'!O63,0))+parametros_manuales!$G$27*('Plan mensual'!O60+IF(parametros_manuales!$H$27="Todos",'Plan mensual'!O64,0)))*parametros_manuales!$I$27*parametros_manuales!$J$27</f>
        <v>4029.77069319</v>
      </c>
      <c r="N145" s="9" t="n">
        <f aca="false">SUM(B145:M145)</f>
        <v>36634.279029</v>
      </c>
      <c r="O145" s="9" t="n">
        <f aca="false">MAX(B145:M145)</f>
        <v>4029.77069319</v>
      </c>
      <c r="P145" s="43" t="n">
        <f aca="false">O145/(parametros_manuales!$B$7)</f>
        <v>26.8651379546</v>
      </c>
      <c r="Q145" s="8" t="str">
        <f aca="false">IF(O145=0,"-",INDEX($B$136:$M$136,MATCH(O145,B145:M145,0)))</f>
        <v>Dic</v>
      </c>
    </row>
    <row r="146" customFormat="false" ht="14.25" hidden="false" customHeight="true" outlineLevel="0" collapsed="false">
      <c r="A146" s="8" t="str">
        <f aca="false">parametros_manuales!$B$28</f>
        <v>Encastre de fondo</v>
      </c>
      <c r="B146" s="9" t="n">
        <f aca="false">(parametros_manuales!$D$28*('Plan mensual'!D57+IF(parametros_manuales!$H$28="Todos",'Plan mensual'!D61,0))+parametros_manuales!$E$28*('Plan mensual'!D58+IF(parametros_manuales!$H$28="Todos",'Plan mensual'!D62,0))+parametros_manuales!$F$28*('Plan mensual'!D59+IF(parametros_manuales!$H$28="Todos",'Plan mensual'!D63,0))+parametros_manuales!$G$28*('Plan mensual'!D60+IF(parametros_manuales!$H$28="Todos",'Plan mensual'!D64,0)))*parametros_manuales!$I$28*parametros_manuales!$J$28</f>
        <v>14139.4822713</v>
      </c>
      <c r="C146" s="9" t="n">
        <f aca="false">(parametros_manuales!$D$28*('Plan mensual'!E57+IF(parametros_manuales!$H$28="Todos",'Plan mensual'!E61,0))+parametros_manuales!$E$28*('Plan mensual'!E58+IF(parametros_manuales!$H$28="Todos",'Plan mensual'!E62,0))+parametros_manuales!$F$28*('Plan mensual'!E59+IF(parametros_manuales!$H$28="Todos",'Plan mensual'!E63,0))+parametros_manuales!$G$28*('Plan mensual'!E60+IF(parametros_manuales!$H$28="Todos",'Plan mensual'!E64,0)))*parametros_manuales!$I$28*parametros_manuales!$J$28</f>
        <v>10787.78309862</v>
      </c>
      <c r="D146" s="9" t="n">
        <f aca="false">(parametros_manuales!$D$28*('Plan mensual'!F57+IF(parametros_manuales!$H$28="Todos",'Plan mensual'!F61,0))+parametros_manuales!$E$28*('Plan mensual'!F58+IF(parametros_manuales!$H$28="Todos",'Plan mensual'!F62,0))+parametros_manuales!$F$28*('Plan mensual'!F59+IF(parametros_manuales!$H$28="Todos",'Plan mensual'!F63,0))+parametros_manuales!$G$28*('Plan mensual'!F60+IF(parametros_manuales!$H$28="Todos",'Plan mensual'!F64,0)))*parametros_manuales!$I$28*parametros_manuales!$J$28</f>
        <v>10097.949963065</v>
      </c>
      <c r="E146" s="9" t="n">
        <f aca="false">(parametros_manuales!$D$28*('Plan mensual'!G57+IF(parametros_manuales!$H$28="Todos",'Plan mensual'!G61,0))+parametros_manuales!$E$28*('Plan mensual'!G58+IF(parametros_manuales!$H$28="Todos",'Plan mensual'!G62,0))+parametros_manuales!$F$28*('Plan mensual'!G59+IF(parametros_manuales!$H$28="Todos",'Plan mensual'!G63,0))+parametros_manuales!$G$28*('Plan mensual'!G60+IF(parametros_manuales!$H$28="Todos",'Plan mensual'!G64,0)))*parametros_manuales!$I$28*parametros_manuales!$J$28</f>
        <v>9661.447697715</v>
      </c>
      <c r="F146" s="9" t="n">
        <f aca="false">(parametros_manuales!$D$28*('Plan mensual'!H57+IF(parametros_manuales!$H$28="Todos",'Plan mensual'!H61,0))+parametros_manuales!$E$28*('Plan mensual'!H58+IF(parametros_manuales!$H$28="Todos",'Plan mensual'!H62,0))+parametros_manuales!$F$28*('Plan mensual'!H59+IF(parametros_manuales!$H$28="Todos",'Plan mensual'!H63,0))+parametros_manuales!$G$28*('Plan mensual'!H60+IF(parametros_manuales!$H$28="Todos",'Plan mensual'!H64,0)))*parametros_manuales!$I$28*parametros_manuales!$J$28</f>
        <v>9041.77403722</v>
      </c>
      <c r="G146" s="9" t="n">
        <f aca="false">(parametros_manuales!$D$28*('Plan mensual'!I57+IF(parametros_manuales!$H$28="Todos",'Plan mensual'!I61,0))+parametros_manuales!$E$28*('Plan mensual'!I58+IF(parametros_manuales!$H$28="Todos",'Plan mensual'!I62,0))+parametros_manuales!$F$28*('Plan mensual'!I59+IF(parametros_manuales!$H$28="Todos",'Plan mensual'!I63,0))+parametros_manuales!$G$28*('Plan mensual'!I60+IF(parametros_manuales!$H$28="Todos",'Plan mensual'!I64,0)))*parametros_manuales!$I$28*parametros_manuales!$J$28</f>
        <v>8858.602642075</v>
      </c>
      <c r="H146" s="9" t="n">
        <f aca="false">(parametros_manuales!$D$28*('Plan mensual'!J57+IF(parametros_manuales!$H$28="Todos",'Plan mensual'!J61,0))+parametros_manuales!$E$28*('Plan mensual'!J58+IF(parametros_manuales!$H$28="Todos",'Plan mensual'!J62,0))+parametros_manuales!$F$28*('Plan mensual'!J59+IF(parametros_manuales!$H$28="Todos",'Plan mensual'!J63,0))+parametros_manuales!$G$28*('Plan mensual'!J60+IF(parametros_manuales!$H$28="Todos",'Plan mensual'!J64,0)))*parametros_manuales!$I$28*parametros_manuales!$J$28</f>
        <v>9478.27630257</v>
      </c>
      <c r="I146" s="9" t="n">
        <f aca="false">(parametros_manuales!$D$28*('Plan mensual'!K57+IF(parametros_manuales!$H$28="Todos",'Plan mensual'!K61,0))+parametros_manuales!$E$28*('Plan mensual'!K58+IF(parametros_manuales!$H$28="Todos",'Plan mensual'!K62,0))+parametros_manuales!$F$28*('Plan mensual'!K59+IF(parametros_manuales!$H$28="Todos",'Plan mensual'!K63,0))+parametros_manuales!$G$28*('Plan mensual'!K60+IF(parametros_manuales!$H$28="Todos",'Plan mensual'!K64,0)))*parametros_manuales!$I$28*parametros_manuales!$J$28</f>
        <v>9478.27630257</v>
      </c>
      <c r="J146" s="9" t="n">
        <f aca="false">(parametros_manuales!$D$28*('Plan mensual'!L57+IF(parametros_manuales!$H$28="Todos",'Plan mensual'!L61,0))+parametros_manuales!$E$28*('Plan mensual'!L58+IF(parametros_manuales!$H$28="Todos",'Plan mensual'!L62,0))+parametros_manuales!$F$28*('Plan mensual'!L59+IF(parametros_manuales!$H$28="Todos",'Plan mensual'!L63,0))+parametros_manuales!$G$28*('Plan mensual'!L60+IF(parametros_manuales!$H$28="Todos",'Plan mensual'!L64,0)))*parametros_manuales!$I$28*parametros_manuales!$J$28</f>
        <v>9478.27630257</v>
      </c>
      <c r="K146" s="9" t="n">
        <f aca="false">(parametros_manuales!$D$28*('Plan mensual'!M57+IF(parametros_manuales!$H$28="Todos",'Plan mensual'!M61,0))+parametros_manuales!$E$28*('Plan mensual'!M58+IF(parametros_manuales!$H$28="Todos",'Plan mensual'!M62,0))+parametros_manuales!$F$28*('Plan mensual'!M59+IF(parametros_manuales!$H$28="Todos",'Plan mensual'!M63,0))+parametros_manuales!$G$28*('Plan mensual'!M60+IF(parametros_manuales!$H$28="Todos",'Plan mensual'!M64,0)))*parametros_manuales!$I$28*parametros_manuales!$J$28</f>
        <v>9295.104907425</v>
      </c>
      <c r="L146" s="9" t="n">
        <f aca="false">(parametros_manuales!$D$28*('Plan mensual'!N57+IF(parametros_manuales!$H$28="Todos",'Plan mensual'!N61,0))+parametros_manuales!$E$28*('Plan mensual'!N58+IF(parametros_manuales!$H$28="Todos",'Plan mensual'!N62,0))+parametros_manuales!$F$28*('Plan mensual'!N59+IF(parametros_manuales!$H$28="Todos",'Plan mensual'!N63,0))+parametros_manuales!$G$28*('Plan mensual'!N60+IF(parametros_manuales!$H$28="Todos",'Plan mensual'!N64,0)))*parametros_manuales!$I$28*parametros_manuales!$J$28</f>
        <v>9111.93351228</v>
      </c>
      <c r="M146" s="9" t="n">
        <f aca="false">(parametros_manuales!$D$28*('Plan mensual'!O57+IF(parametros_manuales!$H$28="Todos",'Plan mensual'!O61,0))+parametros_manuales!$E$28*('Plan mensual'!O58+IF(parametros_manuales!$H$28="Todos",'Plan mensual'!O62,0))+parametros_manuales!$F$28*('Plan mensual'!O59+IF(parametros_manuales!$H$28="Todos",'Plan mensual'!O63,0))+parametros_manuales!$G$28*('Plan mensual'!O60+IF(parametros_manuales!$H$28="Todos",'Plan mensual'!O64,0)))*parametros_manuales!$I$28*parametros_manuales!$J$28</f>
        <v>14505.82506159</v>
      </c>
      <c r="N146" s="9" t="n">
        <f aca="false">SUM(B146:M146)</f>
        <v>123934.732099</v>
      </c>
      <c r="O146" s="9" t="n">
        <f aca="false">MAX(B146:M146)</f>
        <v>14505.82506159</v>
      </c>
      <c r="P146" s="43" t="n">
        <f aca="false">O146/(parametros_manuales!$B$7)</f>
        <v>96.7055004106</v>
      </c>
      <c r="Q146" s="8" t="str">
        <f aca="false">IF(O146=0,"-",INDEX($B$136:$M$136,MATCH(O146,B146:M146,0)))</f>
        <v>Dic</v>
      </c>
    </row>
    <row r="147" customFormat="false" ht="14.25" hidden="false" customHeight="true" outlineLevel="0" collapsed="false">
      <c r="A147" s="8" t="str">
        <f aca="false">parametros_manuales!$B$29</f>
        <v>Bordoneado</v>
      </c>
      <c r="B147" s="9" t="n">
        <f aca="false">(parametros_manuales!$D$29*('Plan mensual'!D57+IF(parametros_manuales!$H$29="Todos",'Plan mensual'!D61,0))+parametros_manuales!$E$29*('Plan mensual'!D58+IF(parametros_manuales!$H$29="Todos",'Plan mensual'!D62,0))+parametros_manuales!$F$29*('Plan mensual'!D59+IF(parametros_manuales!$H$29="Todos",'Plan mensual'!D63,0))+parametros_manuales!$G$29*('Plan mensual'!D60+IF(parametros_manuales!$H$29="Todos",'Plan mensual'!D64,0)))*parametros_manuales!$I$29*parametros_manuales!$J$29</f>
        <v>14139.4822713</v>
      </c>
      <c r="C147" s="9" t="n">
        <f aca="false">(parametros_manuales!$D$29*('Plan mensual'!E57+IF(parametros_manuales!$H$29="Todos",'Plan mensual'!E61,0))+parametros_manuales!$E$29*('Plan mensual'!E58+IF(parametros_manuales!$H$29="Todos",'Plan mensual'!E62,0))+parametros_manuales!$F$29*('Plan mensual'!E59+IF(parametros_manuales!$H$29="Todos",'Plan mensual'!E63,0))+parametros_manuales!$G$29*('Plan mensual'!E60+IF(parametros_manuales!$H$29="Todos",'Plan mensual'!E64,0)))*parametros_manuales!$I$29*parametros_manuales!$J$29</f>
        <v>10787.78309862</v>
      </c>
      <c r="D147" s="9" t="n">
        <f aca="false">(parametros_manuales!$D$29*('Plan mensual'!F57+IF(parametros_manuales!$H$29="Todos",'Plan mensual'!F61,0))+parametros_manuales!$E$29*('Plan mensual'!F58+IF(parametros_manuales!$H$29="Todos",'Plan mensual'!F62,0))+parametros_manuales!$F$29*('Plan mensual'!F59+IF(parametros_manuales!$H$29="Todos",'Plan mensual'!F63,0))+parametros_manuales!$G$29*('Plan mensual'!F60+IF(parametros_manuales!$H$29="Todos",'Plan mensual'!F64,0)))*parametros_manuales!$I$29*parametros_manuales!$J$29</f>
        <v>10097.949963065</v>
      </c>
      <c r="E147" s="9" t="n">
        <f aca="false">(parametros_manuales!$D$29*('Plan mensual'!G57+IF(parametros_manuales!$H$29="Todos",'Plan mensual'!G61,0))+parametros_manuales!$E$29*('Plan mensual'!G58+IF(parametros_manuales!$H$29="Todos",'Plan mensual'!G62,0))+parametros_manuales!$F$29*('Plan mensual'!G59+IF(parametros_manuales!$H$29="Todos",'Plan mensual'!G63,0))+parametros_manuales!$G$29*('Plan mensual'!G60+IF(parametros_manuales!$H$29="Todos",'Plan mensual'!G64,0)))*parametros_manuales!$I$29*parametros_manuales!$J$29</f>
        <v>9661.447697715</v>
      </c>
      <c r="F147" s="9" t="n">
        <f aca="false">(parametros_manuales!$D$29*('Plan mensual'!H57+IF(parametros_manuales!$H$29="Todos",'Plan mensual'!H61,0))+parametros_manuales!$E$29*('Plan mensual'!H58+IF(parametros_manuales!$H$29="Todos",'Plan mensual'!H62,0))+parametros_manuales!$F$29*('Plan mensual'!H59+IF(parametros_manuales!$H$29="Todos",'Plan mensual'!H63,0))+parametros_manuales!$G$29*('Plan mensual'!H60+IF(parametros_manuales!$H$29="Todos",'Plan mensual'!H64,0)))*parametros_manuales!$I$29*parametros_manuales!$J$29</f>
        <v>9041.77403722</v>
      </c>
      <c r="G147" s="9" t="n">
        <f aca="false">(parametros_manuales!$D$29*('Plan mensual'!I57+IF(parametros_manuales!$H$29="Todos",'Plan mensual'!I61,0))+parametros_manuales!$E$29*('Plan mensual'!I58+IF(parametros_manuales!$H$29="Todos",'Plan mensual'!I62,0))+parametros_manuales!$F$29*('Plan mensual'!I59+IF(parametros_manuales!$H$29="Todos",'Plan mensual'!I63,0))+parametros_manuales!$G$29*('Plan mensual'!I60+IF(parametros_manuales!$H$29="Todos",'Plan mensual'!I64,0)))*parametros_manuales!$I$29*parametros_manuales!$J$29</f>
        <v>8858.602642075</v>
      </c>
      <c r="H147" s="9" t="n">
        <f aca="false">(parametros_manuales!$D$29*('Plan mensual'!J57+IF(parametros_manuales!$H$29="Todos",'Plan mensual'!J61,0))+parametros_manuales!$E$29*('Plan mensual'!J58+IF(parametros_manuales!$H$29="Todos",'Plan mensual'!J62,0))+parametros_manuales!$F$29*('Plan mensual'!J59+IF(parametros_manuales!$H$29="Todos",'Plan mensual'!J63,0))+parametros_manuales!$G$29*('Plan mensual'!J60+IF(parametros_manuales!$H$29="Todos",'Plan mensual'!J64,0)))*parametros_manuales!$I$29*parametros_manuales!$J$29</f>
        <v>9478.27630257</v>
      </c>
      <c r="I147" s="9" t="n">
        <f aca="false">(parametros_manuales!$D$29*('Plan mensual'!K57+IF(parametros_manuales!$H$29="Todos",'Plan mensual'!K61,0))+parametros_manuales!$E$29*('Plan mensual'!K58+IF(parametros_manuales!$H$29="Todos",'Plan mensual'!K62,0))+parametros_manuales!$F$29*('Plan mensual'!K59+IF(parametros_manuales!$H$29="Todos",'Plan mensual'!K63,0))+parametros_manuales!$G$29*('Plan mensual'!K60+IF(parametros_manuales!$H$29="Todos",'Plan mensual'!K64,0)))*parametros_manuales!$I$29*parametros_manuales!$J$29</f>
        <v>9478.27630257</v>
      </c>
      <c r="J147" s="9" t="n">
        <f aca="false">(parametros_manuales!$D$29*('Plan mensual'!L57+IF(parametros_manuales!$H$29="Todos",'Plan mensual'!L61,0))+parametros_manuales!$E$29*('Plan mensual'!L58+IF(parametros_manuales!$H$29="Todos",'Plan mensual'!L62,0))+parametros_manuales!$F$29*('Plan mensual'!L59+IF(parametros_manuales!$H$29="Todos",'Plan mensual'!L63,0))+parametros_manuales!$G$29*('Plan mensual'!L60+IF(parametros_manuales!$H$29="Todos",'Plan mensual'!L64,0)))*parametros_manuales!$I$29*parametros_manuales!$J$29</f>
        <v>9478.27630257</v>
      </c>
      <c r="K147" s="9" t="n">
        <f aca="false">(parametros_manuales!$D$29*('Plan mensual'!M57+IF(parametros_manuales!$H$29="Todos",'Plan mensual'!M61,0))+parametros_manuales!$E$29*('Plan mensual'!M58+IF(parametros_manuales!$H$29="Todos",'Plan mensual'!M62,0))+parametros_manuales!$F$29*('Plan mensual'!M59+IF(parametros_manuales!$H$29="Todos",'Plan mensual'!M63,0))+parametros_manuales!$G$29*('Plan mensual'!M60+IF(parametros_manuales!$H$29="Todos",'Plan mensual'!M64,0)))*parametros_manuales!$I$29*parametros_manuales!$J$29</f>
        <v>9295.104907425</v>
      </c>
      <c r="L147" s="9" t="n">
        <f aca="false">(parametros_manuales!$D$29*('Plan mensual'!N57+IF(parametros_manuales!$H$29="Todos",'Plan mensual'!N61,0))+parametros_manuales!$E$29*('Plan mensual'!N58+IF(parametros_manuales!$H$29="Todos",'Plan mensual'!N62,0))+parametros_manuales!$F$29*('Plan mensual'!N59+IF(parametros_manuales!$H$29="Todos",'Plan mensual'!N63,0))+parametros_manuales!$G$29*('Plan mensual'!N60+IF(parametros_manuales!$H$29="Todos",'Plan mensual'!N64,0)))*parametros_manuales!$I$29*parametros_manuales!$J$29</f>
        <v>9111.93351228</v>
      </c>
      <c r="M147" s="9" t="n">
        <f aca="false">(parametros_manuales!$D$29*('Plan mensual'!O57+IF(parametros_manuales!$H$29="Todos",'Plan mensual'!O61,0))+parametros_manuales!$E$29*('Plan mensual'!O58+IF(parametros_manuales!$H$29="Todos",'Plan mensual'!O62,0))+parametros_manuales!$F$29*('Plan mensual'!O59+IF(parametros_manuales!$H$29="Todos",'Plan mensual'!O63,0))+parametros_manuales!$G$29*('Plan mensual'!O60+IF(parametros_manuales!$H$29="Todos",'Plan mensual'!O64,0)))*parametros_manuales!$I$29*parametros_manuales!$J$29</f>
        <v>14505.82506159</v>
      </c>
      <c r="N147" s="9" t="n">
        <f aca="false">SUM(B147:M147)</f>
        <v>123934.732099</v>
      </c>
      <c r="O147" s="9" t="n">
        <f aca="false">MAX(B147:M147)</f>
        <v>14505.82506159</v>
      </c>
      <c r="P147" s="43" t="n">
        <f aca="false">O147/(parametros_manuales!$B$7)</f>
        <v>96.7055004106</v>
      </c>
      <c r="Q147" s="8" t="str">
        <f aca="false">IF(O147=0,"-",INDEX($B$136:$M$136,MATCH(O147,B147:M147,0)))</f>
        <v>Dic</v>
      </c>
    </row>
    <row r="148" customFormat="false" ht="14.25" hidden="false" customHeight="true" outlineLevel="0" collapsed="false">
      <c r="A148" s="8" t="str">
        <f aca="false">parametros_manuales!$B$30</f>
        <v>Soldadura circunferencial de cúpula y fondo</v>
      </c>
      <c r="B148" s="9" t="n">
        <f aca="false">(parametros_manuales!$D$30*('Plan mensual'!D57+IF(parametros_manuales!$H$30="Todos",'Plan mensual'!D61,0))+parametros_manuales!$E$30*('Plan mensual'!D58+IF(parametros_manuales!$H$30="Todos",'Plan mensual'!D62,0))+parametros_manuales!$F$30*('Plan mensual'!D59+IF(parametros_manuales!$H$30="Todos",'Plan mensual'!D63,0))+parametros_manuales!$G$30*('Plan mensual'!D60+IF(parametros_manuales!$H$30="Todos",'Plan mensual'!D64,0)))*parametros_manuales!$I$30*parametros_manuales!$J$30</f>
        <v>14139.4822713</v>
      </c>
      <c r="C148" s="9" t="n">
        <f aca="false">(parametros_manuales!$D$30*('Plan mensual'!E57+IF(parametros_manuales!$H$30="Todos",'Plan mensual'!E61,0))+parametros_manuales!$E$30*('Plan mensual'!E58+IF(parametros_manuales!$H$30="Todos",'Plan mensual'!E62,0))+parametros_manuales!$F$30*('Plan mensual'!E59+IF(parametros_manuales!$H$30="Todos",'Plan mensual'!E63,0))+parametros_manuales!$G$30*('Plan mensual'!E60+IF(parametros_manuales!$H$30="Todos",'Plan mensual'!E64,0)))*parametros_manuales!$I$30*parametros_manuales!$J$30</f>
        <v>10787.78309862</v>
      </c>
      <c r="D148" s="9" t="n">
        <f aca="false">(parametros_manuales!$D$30*('Plan mensual'!F57+IF(parametros_manuales!$H$30="Todos",'Plan mensual'!F61,0))+parametros_manuales!$E$30*('Plan mensual'!F58+IF(parametros_manuales!$H$30="Todos",'Plan mensual'!F62,0))+parametros_manuales!$F$30*('Plan mensual'!F59+IF(parametros_manuales!$H$30="Todos",'Plan mensual'!F63,0))+parametros_manuales!$G$30*('Plan mensual'!F60+IF(parametros_manuales!$H$30="Todos",'Plan mensual'!F64,0)))*parametros_manuales!$I$30*parametros_manuales!$J$30</f>
        <v>10097.949963065</v>
      </c>
      <c r="E148" s="9" t="n">
        <f aca="false">(parametros_manuales!$D$30*('Plan mensual'!G57+IF(parametros_manuales!$H$30="Todos",'Plan mensual'!G61,0))+parametros_manuales!$E$30*('Plan mensual'!G58+IF(parametros_manuales!$H$30="Todos",'Plan mensual'!G62,0))+parametros_manuales!$F$30*('Plan mensual'!G59+IF(parametros_manuales!$H$30="Todos",'Plan mensual'!G63,0))+parametros_manuales!$G$30*('Plan mensual'!G60+IF(parametros_manuales!$H$30="Todos",'Plan mensual'!G64,0)))*parametros_manuales!$I$30*parametros_manuales!$J$30</f>
        <v>9661.447697715</v>
      </c>
      <c r="F148" s="9" t="n">
        <f aca="false">(parametros_manuales!$D$30*('Plan mensual'!H57+IF(parametros_manuales!$H$30="Todos",'Plan mensual'!H61,0))+parametros_manuales!$E$30*('Plan mensual'!H58+IF(parametros_manuales!$H$30="Todos",'Plan mensual'!H62,0))+parametros_manuales!$F$30*('Plan mensual'!H59+IF(parametros_manuales!$H$30="Todos",'Plan mensual'!H63,0))+parametros_manuales!$G$30*('Plan mensual'!H60+IF(parametros_manuales!$H$30="Todos",'Plan mensual'!H64,0)))*parametros_manuales!$I$30*parametros_manuales!$J$30</f>
        <v>9041.77403722</v>
      </c>
      <c r="G148" s="9" t="n">
        <f aca="false">(parametros_manuales!$D$30*('Plan mensual'!I57+IF(parametros_manuales!$H$30="Todos",'Plan mensual'!I61,0))+parametros_manuales!$E$30*('Plan mensual'!I58+IF(parametros_manuales!$H$30="Todos",'Plan mensual'!I62,0))+parametros_manuales!$F$30*('Plan mensual'!I59+IF(parametros_manuales!$H$30="Todos",'Plan mensual'!I63,0))+parametros_manuales!$G$30*('Plan mensual'!I60+IF(parametros_manuales!$H$30="Todos",'Plan mensual'!I64,0)))*parametros_manuales!$I$30*parametros_manuales!$J$30</f>
        <v>8858.602642075</v>
      </c>
      <c r="H148" s="9" t="n">
        <f aca="false">(parametros_manuales!$D$30*('Plan mensual'!J57+IF(parametros_manuales!$H$30="Todos",'Plan mensual'!J61,0))+parametros_manuales!$E$30*('Plan mensual'!J58+IF(parametros_manuales!$H$30="Todos",'Plan mensual'!J62,0))+parametros_manuales!$F$30*('Plan mensual'!J59+IF(parametros_manuales!$H$30="Todos",'Plan mensual'!J63,0))+parametros_manuales!$G$30*('Plan mensual'!J60+IF(parametros_manuales!$H$30="Todos",'Plan mensual'!J64,0)))*parametros_manuales!$I$30*parametros_manuales!$J$30</f>
        <v>9478.27630257</v>
      </c>
      <c r="I148" s="9" t="n">
        <f aca="false">(parametros_manuales!$D$30*('Plan mensual'!K57+IF(parametros_manuales!$H$30="Todos",'Plan mensual'!K61,0))+parametros_manuales!$E$30*('Plan mensual'!K58+IF(parametros_manuales!$H$30="Todos",'Plan mensual'!K62,0))+parametros_manuales!$F$30*('Plan mensual'!K59+IF(parametros_manuales!$H$30="Todos",'Plan mensual'!K63,0))+parametros_manuales!$G$30*('Plan mensual'!K60+IF(parametros_manuales!$H$30="Todos",'Plan mensual'!K64,0)))*parametros_manuales!$I$30*parametros_manuales!$J$30</f>
        <v>9478.27630257</v>
      </c>
      <c r="J148" s="9" t="n">
        <f aca="false">(parametros_manuales!$D$30*('Plan mensual'!L57+IF(parametros_manuales!$H$30="Todos",'Plan mensual'!L61,0))+parametros_manuales!$E$30*('Plan mensual'!L58+IF(parametros_manuales!$H$30="Todos",'Plan mensual'!L62,0))+parametros_manuales!$F$30*('Plan mensual'!L59+IF(parametros_manuales!$H$30="Todos",'Plan mensual'!L63,0))+parametros_manuales!$G$30*('Plan mensual'!L60+IF(parametros_manuales!$H$30="Todos",'Plan mensual'!L64,0)))*parametros_manuales!$I$30*parametros_manuales!$J$30</f>
        <v>9478.27630257</v>
      </c>
      <c r="K148" s="9" t="n">
        <f aca="false">(parametros_manuales!$D$30*('Plan mensual'!M57+IF(parametros_manuales!$H$30="Todos",'Plan mensual'!M61,0))+parametros_manuales!$E$30*('Plan mensual'!M58+IF(parametros_manuales!$H$30="Todos",'Plan mensual'!M62,0))+parametros_manuales!$F$30*('Plan mensual'!M59+IF(parametros_manuales!$H$30="Todos",'Plan mensual'!M63,0))+parametros_manuales!$G$30*('Plan mensual'!M60+IF(parametros_manuales!$H$30="Todos",'Plan mensual'!M64,0)))*parametros_manuales!$I$30*parametros_manuales!$J$30</f>
        <v>9295.104907425</v>
      </c>
      <c r="L148" s="9" t="n">
        <f aca="false">(parametros_manuales!$D$30*('Plan mensual'!N57+IF(parametros_manuales!$H$30="Todos",'Plan mensual'!N61,0))+parametros_manuales!$E$30*('Plan mensual'!N58+IF(parametros_manuales!$H$30="Todos",'Plan mensual'!N62,0))+parametros_manuales!$F$30*('Plan mensual'!N59+IF(parametros_manuales!$H$30="Todos",'Plan mensual'!N63,0))+parametros_manuales!$G$30*('Plan mensual'!N60+IF(parametros_manuales!$H$30="Todos",'Plan mensual'!N64,0)))*parametros_manuales!$I$30*parametros_manuales!$J$30</f>
        <v>9111.93351228</v>
      </c>
      <c r="M148" s="9" t="n">
        <f aca="false">(parametros_manuales!$D$30*('Plan mensual'!O57+IF(parametros_manuales!$H$30="Todos",'Plan mensual'!O61,0))+parametros_manuales!$E$30*('Plan mensual'!O58+IF(parametros_manuales!$H$30="Todos",'Plan mensual'!O62,0))+parametros_manuales!$F$30*('Plan mensual'!O59+IF(parametros_manuales!$H$30="Todos",'Plan mensual'!O63,0))+parametros_manuales!$G$30*('Plan mensual'!O60+IF(parametros_manuales!$H$30="Todos",'Plan mensual'!O64,0)))*parametros_manuales!$I$30*parametros_manuales!$J$30</f>
        <v>14505.82506159</v>
      </c>
      <c r="N148" s="9" t="n">
        <f aca="false">SUM(B148:M148)</f>
        <v>123934.732099</v>
      </c>
      <c r="O148" s="9" t="n">
        <f aca="false">MAX(B148:M148)</f>
        <v>14505.82506159</v>
      </c>
      <c r="P148" s="43" t="n">
        <f aca="false">O148/(parametros_manuales!$B$7)</f>
        <v>96.7055004106</v>
      </c>
      <c r="Q148" s="8" t="str">
        <f aca="false">IF(O148=0,"-",INDEX($B$136:$M$136,MATCH(O148,B148:M148,0)))</f>
        <v>Dic</v>
      </c>
    </row>
    <row r="149" customFormat="false" ht="14.25" hidden="false" customHeight="true" outlineLevel="0" collapsed="false">
      <c r="A149" s="8" t="str">
        <f aca="false">parametros_manuales!$B$31</f>
        <v>Control de calidad — Espesor</v>
      </c>
      <c r="B149" s="9" t="n">
        <f aca="false">(parametros_manuales!$D$31*('Plan mensual'!D57+IF(parametros_manuales!$H$31="Todos",'Plan mensual'!D61,0))+parametros_manuales!$E$31*('Plan mensual'!D58+IF(parametros_manuales!$H$31="Todos",'Plan mensual'!D62,0))+parametros_manuales!$F$31*('Plan mensual'!D59+IF(parametros_manuales!$H$31="Todos",'Plan mensual'!D63,0))+parametros_manuales!$G$31*('Plan mensual'!D60+IF(parametros_manuales!$H$31="Todos",'Plan mensual'!D64,0)))*parametros_manuales!$I$31*parametros_manuales!$J$31</f>
        <v>282.789645426</v>
      </c>
      <c r="C149" s="9" t="n">
        <f aca="false">(parametros_manuales!$D$31*('Plan mensual'!E57+IF(parametros_manuales!$H$31="Todos",'Plan mensual'!E61,0))+parametros_manuales!$E$31*('Plan mensual'!E58+IF(parametros_manuales!$H$31="Todos",'Plan mensual'!E62,0))+parametros_manuales!$F$31*('Plan mensual'!E59+IF(parametros_manuales!$H$31="Todos",'Plan mensual'!E63,0))+parametros_manuales!$G$31*('Plan mensual'!E60+IF(parametros_manuales!$H$31="Todos",'Plan mensual'!E64,0)))*parametros_manuales!$I$31*parametros_manuales!$J$31</f>
        <v>215.7556619724</v>
      </c>
      <c r="D149" s="9" t="n">
        <f aca="false">(parametros_manuales!$D$31*('Plan mensual'!F57+IF(parametros_manuales!$H$31="Todos",'Plan mensual'!F61,0))+parametros_manuales!$E$31*('Plan mensual'!F58+IF(parametros_manuales!$H$31="Todos",'Plan mensual'!F62,0))+parametros_manuales!$F$31*('Plan mensual'!F59+IF(parametros_manuales!$H$31="Todos",'Plan mensual'!F63,0))+parametros_manuales!$G$31*('Plan mensual'!F60+IF(parametros_manuales!$H$31="Todos",'Plan mensual'!F64,0)))*parametros_manuales!$I$31*parametros_manuales!$J$31</f>
        <v>201.9589992613</v>
      </c>
      <c r="E149" s="9" t="n">
        <f aca="false">(parametros_manuales!$D$31*('Plan mensual'!G57+IF(parametros_manuales!$H$31="Todos",'Plan mensual'!G61,0))+parametros_manuales!$E$31*('Plan mensual'!G58+IF(parametros_manuales!$H$31="Todos",'Plan mensual'!G62,0))+parametros_manuales!$F$31*('Plan mensual'!G59+IF(parametros_manuales!$H$31="Todos",'Plan mensual'!G63,0))+parametros_manuales!$G$31*('Plan mensual'!G60+IF(parametros_manuales!$H$31="Todos",'Plan mensual'!G64,0)))*parametros_manuales!$I$31*parametros_manuales!$J$31</f>
        <v>193.2289539543</v>
      </c>
      <c r="F149" s="9" t="n">
        <f aca="false">(parametros_manuales!$D$31*('Plan mensual'!H57+IF(parametros_manuales!$H$31="Todos",'Plan mensual'!H61,0))+parametros_manuales!$E$31*('Plan mensual'!H58+IF(parametros_manuales!$H$31="Todos",'Plan mensual'!H62,0))+parametros_manuales!$F$31*('Plan mensual'!H59+IF(parametros_manuales!$H$31="Todos",'Plan mensual'!H63,0))+parametros_manuales!$G$31*('Plan mensual'!H60+IF(parametros_manuales!$H$31="Todos",'Plan mensual'!H64,0)))*parametros_manuales!$I$31*parametros_manuales!$J$31</f>
        <v>180.8354807444</v>
      </c>
      <c r="G149" s="9" t="n">
        <f aca="false">(parametros_manuales!$D$31*('Plan mensual'!I57+IF(parametros_manuales!$H$31="Todos",'Plan mensual'!I61,0))+parametros_manuales!$E$31*('Plan mensual'!I58+IF(parametros_manuales!$H$31="Todos",'Plan mensual'!I62,0))+parametros_manuales!$F$31*('Plan mensual'!I59+IF(parametros_manuales!$H$31="Todos",'Plan mensual'!I63,0))+parametros_manuales!$G$31*('Plan mensual'!I60+IF(parametros_manuales!$H$31="Todos",'Plan mensual'!I64,0)))*parametros_manuales!$I$31*parametros_manuales!$J$31</f>
        <v>177.1720528415</v>
      </c>
      <c r="H149" s="9" t="n">
        <f aca="false">(parametros_manuales!$D$31*('Plan mensual'!J57+IF(parametros_manuales!$H$31="Todos",'Plan mensual'!J61,0))+parametros_manuales!$E$31*('Plan mensual'!J58+IF(parametros_manuales!$H$31="Todos",'Plan mensual'!J62,0))+parametros_manuales!$F$31*('Plan mensual'!J59+IF(parametros_manuales!$H$31="Todos",'Plan mensual'!J63,0))+parametros_manuales!$G$31*('Plan mensual'!J60+IF(parametros_manuales!$H$31="Todos",'Plan mensual'!J64,0)))*parametros_manuales!$I$31*parametros_manuales!$J$31</f>
        <v>189.5655260514</v>
      </c>
      <c r="I149" s="9" t="n">
        <f aca="false">(parametros_manuales!$D$31*('Plan mensual'!K57+IF(parametros_manuales!$H$31="Todos",'Plan mensual'!K61,0))+parametros_manuales!$E$31*('Plan mensual'!K58+IF(parametros_manuales!$H$31="Todos",'Plan mensual'!K62,0))+parametros_manuales!$F$31*('Plan mensual'!K59+IF(parametros_manuales!$H$31="Todos",'Plan mensual'!K63,0))+parametros_manuales!$G$31*('Plan mensual'!K60+IF(parametros_manuales!$H$31="Todos",'Plan mensual'!K64,0)))*parametros_manuales!$I$31*parametros_manuales!$J$31</f>
        <v>189.5655260514</v>
      </c>
      <c r="J149" s="9" t="n">
        <f aca="false">(parametros_manuales!$D$31*('Plan mensual'!L57+IF(parametros_manuales!$H$31="Todos",'Plan mensual'!L61,0))+parametros_manuales!$E$31*('Plan mensual'!L58+IF(parametros_manuales!$H$31="Todos",'Plan mensual'!L62,0))+parametros_manuales!$F$31*('Plan mensual'!L59+IF(parametros_manuales!$H$31="Todos",'Plan mensual'!L63,0))+parametros_manuales!$G$31*('Plan mensual'!L60+IF(parametros_manuales!$H$31="Todos",'Plan mensual'!L64,0)))*parametros_manuales!$I$31*parametros_manuales!$J$31</f>
        <v>189.5655260514</v>
      </c>
      <c r="K149" s="9" t="n">
        <f aca="false">(parametros_manuales!$D$31*('Plan mensual'!M57+IF(parametros_manuales!$H$31="Todos",'Plan mensual'!M61,0))+parametros_manuales!$E$31*('Plan mensual'!M58+IF(parametros_manuales!$H$31="Todos",'Plan mensual'!M62,0))+parametros_manuales!$F$31*('Plan mensual'!M59+IF(parametros_manuales!$H$31="Todos",'Plan mensual'!M63,0))+parametros_manuales!$G$31*('Plan mensual'!M60+IF(parametros_manuales!$H$31="Todos",'Plan mensual'!M64,0)))*parametros_manuales!$I$31*parametros_manuales!$J$31</f>
        <v>185.9020981485</v>
      </c>
      <c r="L149" s="9" t="n">
        <f aca="false">(parametros_manuales!$D$31*('Plan mensual'!N57+IF(parametros_manuales!$H$31="Todos",'Plan mensual'!N61,0))+parametros_manuales!$E$31*('Plan mensual'!N58+IF(parametros_manuales!$H$31="Todos",'Plan mensual'!N62,0))+parametros_manuales!$F$31*('Plan mensual'!N59+IF(parametros_manuales!$H$31="Todos",'Plan mensual'!N63,0))+parametros_manuales!$G$31*('Plan mensual'!N60+IF(parametros_manuales!$H$31="Todos",'Plan mensual'!N64,0)))*parametros_manuales!$I$31*parametros_manuales!$J$31</f>
        <v>182.2386702456</v>
      </c>
      <c r="M149" s="9" t="n">
        <f aca="false">(parametros_manuales!$D$31*('Plan mensual'!O57+IF(parametros_manuales!$H$31="Todos",'Plan mensual'!O61,0))+parametros_manuales!$E$31*('Plan mensual'!O58+IF(parametros_manuales!$H$31="Todos",'Plan mensual'!O62,0))+parametros_manuales!$F$31*('Plan mensual'!O59+IF(parametros_manuales!$H$31="Todos",'Plan mensual'!O63,0))+parametros_manuales!$G$31*('Plan mensual'!O60+IF(parametros_manuales!$H$31="Todos",'Plan mensual'!O64,0)))*parametros_manuales!$I$31*parametros_manuales!$J$31</f>
        <v>290.1165012318</v>
      </c>
      <c r="N149" s="9" t="n">
        <f aca="false">SUM(B149:M149)</f>
        <v>2478.69464198</v>
      </c>
      <c r="O149" s="9" t="n">
        <f aca="false">MAX(B149:M149)</f>
        <v>290.1165012318</v>
      </c>
      <c r="P149" s="43" t="n">
        <f aca="false">O149/(parametros_manuales!$B$7)</f>
        <v>1.934110008212</v>
      </c>
      <c r="Q149" s="8" t="str">
        <f aca="false">IF(O149=0,"-",INDEX($B$136:$M$136,MATCH(O149,B149:M149,0)))</f>
        <v>Dic</v>
      </c>
    </row>
    <row r="150" customFormat="false" ht="14.25" hidden="false" customHeight="true" outlineLevel="0" collapsed="false">
      <c r="A150" s="8" t="str">
        <f aca="false">parametros_manuales!$B$32</f>
        <v>Prueba hidráulica</v>
      </c>
      <c r="B150" s="9" t="n">
        <f aca="false">(parametros_manuales!$D$32*('Plan mensual'!D57+IF(parametros_manuales!$H$32="Todos",'Plan mensual'!D61,0))+parametros_manuales!$E$32*('Plan mensual'!D58+IF(parametros_manuales!$H$32="Todos",'Plan mensual'!D62,0))+parametros_manuales!$F$32*('Plan mensual'!D59+IF(parametros_manuales!$H$32="Todos",'Plan mensual'!D63,0))+parametros_manuales!$G$32*('Plan mensual'!D60+IF(parametros_manuales!$H$32="Todos",'Plan mensual'!D64,0)))*parametros_manuales!$I$32*parametros_manuales!$J$32</f>
        <v>14139.4822713</v>
      </c>
      <c r="C150" s="9" t="n">
        <f aca="false">(parametros_manuales!$D$32*('Plan mensual'!E57+IF(parametros_manuales!$H$32="Todos",'Plan mensual'!E61,0))+parametros_manuales!$E$32*('Plan mensual'!E58+IF(parametros_manuales!$H$32="Todos",'Plan mensual'!E62,0))+parametros_manuales!$F$32*('Plan mensual'!E59+IF(parametros_manuales!$H$32="Todos",'Plan mensual'!E63,0))+parametros_manuales!$G$32*('Plan mensual'!E60+IF(parametros_manuales!$H$32="Todos",'Plan mensual'!E64,0)))*parametros_manuales!$I$32*parametros_manuales!$J$32</f>
        <v>10787.78309862</v>
      </c>
      <c r="D150" s="9" t="n">
        <f aca="false">(parametros_manuales!$D$32*('Plan mensual'!F57+IF(parametros_manuales!$H$32="Todos",'Plan mensual'!F61,0))+parametros_manuales!$E$32*('Plan mensual'!F58+IF(parametros_manuales!$H$32="Todos",'Plan mensual'!F62,0))+parametros_manuales!$F$32*('Plan mensual'!F59+IF(parametros_manuales!$H$32="Todos",'Plan mensual'!F63,0))+parametros_manuales!$G$32*('Plan mensual'!F60+IF(parametros_manuales!$H$32="Todos",'Plan mensual'!F64,0)))*parametros_manuales!$I$32*parametros_manuales!$J$32</f>
        <v>10097.949963065</v>
      </c>
      <c r="E150" s="9" t="n">
        <f aca="false">(parametros_manuales!$D$32*('Plan mensual'!G57+IF(parametros_manuales!$H$32="Todos",'Plan mensual'!G61,0))+parametros_manuales!$E$32*('Plan mensual'!G58+IF(parametros_manuales!$H$32="Todos",'Plan mensual'!G62,0))+parametros_manuales!$F$32*('Plan mensual'!G59+IF(parametros_manuales!$H$32="Todos",'Plan mensual'!G63,0))+parametros_manuales!$G$32*('Plan mensual'!G60+IF(parametros_manuales!$H$32="Todos",'Plan mensual'!G64,0)))*parametros_manuales!$I$32*parametros_manuales!$J$32</f>
        <v>9661.447697715</v>
      </c>
      <c r="F150" s="9" t="n">
        <f aca="false">(parametros_manuales!$D$32*('Plan mensual'!H57+IF(parametros_manuales!$H$32="Todos",'Plan mensual'!H61,0))+parametros_manuales!$E$32*('Plan mensual'!H58+IF(parametros_manuales!$H$32="Todos",'Plan mensual'!H62,0))+parametros_manuales!$F$32*('Plan mensual'!H59+IF(parametros_manuales!$H$32="Todos",'Plan mensual'!H63,0))+parametros_manuales!$G$32*('Plan mensual'!H60+IF(parametros_manuales!$H$32="Todos",'Plan mensual'!H64,0)))*parametros_manuales!$I$32*parametros_manuales!$J$32</f>
        <v>9041.77403722</v>
      </c>
      <c r="G150" s="9" t="n">
        <f aca="false">(parametros_manuales!$D$32*('Plan mensual'!I57+IF(parametros_manuales!$H$32="Todos",'Plan mensual'!I61,0))+parametros_manuales!$E$32*('Plan mensual'!I58+IF(parametros_manuales!$H$32="Todos",'Plan mensual'!I62,0))+parametros_manuales!$F$32*('Plan mensual'!I59+IF(parametros_manuales!$H$32="Todos",'Plan mensual'!I63,0))+parametros_manuales!$G$32*('Plan mensual'!I60+IF(parametros_manuales!$H$32="Todos",'Plan mensual'!I64,0)))*parametros_manuales!$I$32*parametros_manuales!$J$32</f>
        <v>8858.602642075</v>
      </c>
      <c r="H150" s="9" t="n">
        <f aca="false">(parametros_manuales!$D$32*('Plan mensual'!J57+IF(parametros_manuales!$H$32="Todos",'Plan mensual'!J61,0))+parametros_manuales!$E$32*('Plan mensual'!J58+IF(parametros_manuales!$H$32="Todos",'Plan mensual'!J62,0))+parametros_manuales!$F$32*('Plan mensual'!J59+IF(parametros_manuales!$H$32="Todos",'Plan mensual'!J63,0))+parametros_manuales!$G$32*('Plan mensual'!J60+IF(parametros_manuales!$H$32="Todos",'Plan mensual'!J64,0)))*parametros_manuales!$I$32*parametros_manuales!$J$32</f>
        <v>9478.27630257</v>
      </c>
      <c r="I150" s="9" t="n">
        <f aca="false">(parametros_manuales!$D$32*('Plan mensual'!K57+IF(parametros_manuales!$H$32="Todos",'Plan mensual'!K61,0))+parametros_manuales!$E$32*('Plan mensual'!K58+IF(parametros_manuales!$H$32="Todos",'Plan mensual'!K62,0))+parametros_manuales!$F$32*('Plan mensual'!K59+IF(parametros_manuales!$H$32="Todos",'Plan mensual'!K63,0))+parametros_manuales!$G$32*('Plan mensual'!K60+IF(parametros_manuales!$H$32="Todos",'Plan mensual'!K64,0)))*parametros_manuales!$I$32*parametros_manuales!$J$32</f>
        <v>9478.27630257</v>
      </c>
      <c r="J150" s="9" t="n">
        <f aca="false">(parametros_manuales!$D$32*('Plan mensual'!L57+IF(parametros_manuales!$H$32="Todos",'Plan mensual'!L61,0))+parametros_manuales!$E$32*('Plan mensual'!L58+IF(parametros_manuales!$H$32="Todos",'Plan mensual'!L62,0))+parametros_manuales!$F$32*('Plan mensual'!L59+IF(parametros_manuales!$H$32="Todos",'Plan mensual'!L63,0))+parametros_manuales!$G$32*('Plan mensual'!L60+IF(parametros_manuales!$H$32="Todos",'Plan mensual'!L64,0)))*parametros_manuales!$I$32*parametros_manuales!$J$32</f>
        <v>9478.27630257</v>
      </c>
      <c r="K150" s="9" t="n">
        <f aca="false">(parametros_manuales!$D$32*('Plan mensual'!M57+IF(parametros_manuales!$H$32="Todos",'Plan mensual'!M61,0))+parametros_manuales!$E$32*('Plan mensual'!M58+IF(parametros_manuales!$H$32="Todos",'Plan mensual'!M62,0))+parametros_manuales!$F$32*('Plan mensual'!M59+IF(parametros_manuales!$H$32="Todos",'Plan mensual'!M63,0))+parametros_manuales!$G$32*('Plan mensual'!M60+IF(parametros_manuales!$H$32="Todos",'Plan mensual'!M64,0)))*parametros_manuales!$I$32*parametros_manuales!$J$32</f>
        <v>9295.104907425</v>
      </c>
      <c r="L150" s="9" t="n">
        <f aca="false">(parametros_manuales!$D$32*('Plan mensual'!N57+IF(parametros_manuales!$H$32="Todos",'Plan mensual'!N61,0))+parametros_manuales!$E$32*('Plan mensual'!N58+IF(parametros_manuales!$H$32="Todos",'Plan mensual'!N62,0))+parametros_manuales!$F$32*('Plan mensual'!N59+IF(parametros_manuales!$H$32="Todos",'Plan mensual'!N63,0))+parametros_manuales!$G$32*('Plan mensual'!N60+IF(parametros_manuales!$H$32="Todos",'Plan mensual'!N64,0)))*parametros_manuales!$I$32*parametros_manuales!$J$32</f>
        <v>9111.93351228</v>
      </c>
      <c r="M150" s="9" t="n">
        <f aca="false">(parametros_manuales!$D$32*('Plan mensual'!O57+IF(parametros_manuales!$H$32="Todos",'Plan mensual'!O61,0))+parametros_manuales!$E$32*('Plan mensual'!O58+IF(parametros_manuales!$H$32="Todos",'Plan mensual'!O62,0))+parametros_manuales!$F$32*('Plan mensual'!O59+IF(parametros_manuales!$H$32="Todos",'Plan mensual'!O63,0))+parametros_manuales!$G$32*('Plan mensual'!O60+IF(parametros_manuales!$H$32="Todos",'Plan mensual'!O64,0)))*parametros_manuales!$I$32*parametros_manuales!$J$32</f>
        <v>14505.82506159</v>
      </c>
      <c r="N150" s="9" t="n">
        <f aca="false">SUM(B150:M150)</f>
        <v>123934.732099</v>
      </c>
      <c r="O150" s="9" t="n">
        <f aca="false">MAX(B150:M150)</f>
        <v>14505.82506159</v>
      </c>
      <c r="P150" s="43" t="n">
        <f aca="false">O150/(parametros_manuales!$B$7)</f>
        <v>96.7055004106</v>
      </c>
      <c r="Q150" s="8" t="str">
        <f aca="false">IF(O150=0,"-",INDEX($B$136:$M$136,MATCH(O150,B150:M150,0)))</f>
        <v>Dic</v>
      </c>
    </row>
    <row r="151" customFormat="false" ht="14.25" hidden="false" customHeight="true" outlineLevel="0" collapsed="false">
      <c r="A151" s="8" t="str">
        <f aca="false">parametros_manuales!$B$33</f>
        <v>Secado</v>
      </c>
      <c r="B151" s="9" t="n">
        <f aca="false">(parametros_manuales!$D$33*('Plan mensual'!D57+IF(parametros_manuales!$H$33="Todos",'Plan mensual'!D61,0))+parametros_manuales!$E$33*('Plan mensual'!D58+IF(parametros_manuales!$H$33="Todos",'Plan mensual'!D62,0))+parametros_manuales!$F$33*('Plan mensual'!D59+IF(parametros_manuales!$H$33="Todos",'Plan mensual'!D63,0))+parametros_manuales!$G$33*('Plan mensual'!D60+IF(parametros_manuales!$H$33="Todos",'Plan mensual'!D64,0)))*parametros_manuales!$I$33*parametros_manuales!$J$33</f>
        <v>14139.4822713</v>
      </c>
      <c r="C151" s="9" t="n">
        <f aca="false">(parametros_manuales!$D$33*('Plan mensual'!E57+IF(parametros_manuales!$H$33="Todos",'Plan mensual'!E61,0))+parametros_manuales!$E$33*('Plan mensual'!E58+IF(parametros_manuales!$H$33="Todos",'Plan mensual'!E62,0))+parametros_manuales!$F$33*('Plan mensual'!E59+IF(parametros_manuales!$H$33="Todos",'Plan mensual'!E63,0))+parametros_manuales!$G$33*('Plan mensual'!E60+IF(parametros_manuales!$H$33="Todos",'Plan mensual'!E64,0)))*parametros_manuales!$I$33*parametros_manuales!$J$33</f>
        <v>10787.78309862</v>
      </c>
      <c r="D151" s="9" t="n">
        <f aca="false">(parametros_manuales!$D$33*('Plan mensual'!F57+IF(parametros_manuales!$H$33="Todos",'Plan mensual'!F61,0))+parametros_manuales!$E$33*('Plan mensual'!F58+IF(parametros_manuales!$H$33="Todos",'Plan mensual'!F62,0))+parametros_manuales!$F$33*('Plan mensual'!F59+IF(parametros_manuales!$H$33="Todos",'Plan mensual'!F63,0))+parametros_manuales!$G$33*('Plan mensual'!F60+IF(parametros_manuales!$H$33="Todos",'Plan mensual'!F64,0)))*parametros_manuales!$I$33*parametros_manuales!$J$33</f>
        <v>10097.949963065</v>
      </c>
      <c r="E151" s="9" t="n">
        <f aca="false">(parametros_manuales!$D$33*('Plan mensual'!G57+IF(parametros_manuales!$H$33="Todos",'Plan mensual'!G61,0))+parametros_manuales!$E$33*('Plan mensual'!G58+IF(parametros_manuales!$H$33="Todos",'Plan mensual'!G62,0))+parametros_manuales!$F$33*('Plan mensual'!G59+IF(parametros_manuales!$H$33="Todos",'Plan mensual'!G63,0))+parametros_manuales!$G$33*('Plan mensual'!G60+IF(parametros_manuales!$H$33="Todos",'Plan mensual'!G64,0)))*parametros_manuales!$I$33*parametros_manuales!$J$33</f>
        <v>9661.447697715</v>
      </c>
      <c r="F151" s="9" t="n">
        <f aca="false">(parametros_manuales!$D$33*('Plan mensual'!H57+IF(parametros_manuales!$H$33="Todos",'Plan mensual'!H61,0))+parametros_manuales!$E$33*('Plan mensual'!H58+IF(parametros_manuales!$H$33="Todos",'Plan mensual'!H62,0))+parametros_manuales!$F$33*('Plan mensual'!H59+IF(parametros_manuales!$H$33="Todos",'Plan mensual'!H63,0))+parametros_manuales!$G$33*('Plan mensual'!H60+IF(parametros_manuales!$H$33="Todos",'Plan mensual'!H64,0)))*parametros_manuales!$I$33*parametros_manuales!$J$33</f>
        <v>9041.77403722</v>
      </c>
      <c r="G151" s="9" t="n">
        <f aca="false">(parametros_manuales!$D$33*('Plan mensual'!I57+IF(parametros_manuales!$H$33="Todos",'Plan mensual'!I61,0))+parametros_manuales!$E$33*('Plan mensual'!I58+IF(parametros_manuales!$H$33="Todos",'Plan mensual'!I62,0))+parametros_manuales!$F$33*('Plan mensual'!I59+IF(parametros_manuales!$H$33="Todos",'Plan mensual'!I63,0))+parametros_manuales!$G$33*('Plan mensual'!I60+IF(parametros_manuales!$H$33="Todos",'Plan mensual'!I64,0)))*parametros_manuales!$I$33*parametros_manuales!$J$33</f>
        <v>8858.602642075</v>
      </c>
      <c r="H151" s="9" t="n">
        <f aca="false">(parametros_manuales!$D$33*('Plan mensual'!J57+IF(parametros_manuales!$H$33="Todos",'Plan mensual'!J61,0))+parametros_manuales!$E$33*('Plan mensual'!J58+IF(parametros_manuales!$H$33="Todos",'Plan mensual'!J62,0))+parametros_manuales!$F$33*('Plan mensual'!J59+IF(parametros_manuales!$H$33="Todos",'Plan mensual'!J63,0))+parametros_manuales!$G$33*('Plan mensual'!J60+IF(parametros_manuales!$H$33="Todos",'Plan mensual'!J64,0)))*parametros_manuales!$I$33*parametros_manuales!$J$33</f>
        <v>9478.27630257</v>
      </c>
      <c r="I151" s="9" t="n">
        <f aca="false">(parametros_manuales!$D$33*('Plan mensual'!K57+IF(parametros_manuales!$H$33="Todos",'Plan mensual'!K61,0))+parametros_manuales!$E$33*('Plan mensual'!K58+IF(parametros_manuales!$H$33="Todos",'Plan mensual'!K62,0))+parametros_manuales!$F$33*('Plan mensual'!K59+IF(parametros_manuales!$H$33="Todos",'Plan mensual'!K63,0))+parametros_manuales!$G$33*('Plan mensual'!K60+IF(parametros_manuales!$H$33="Todos",'Plan mensual'!K64,0)))*parametros_manuales!$I$33*parametros_manuales!$J$33</f>
        <v>9478.27630257</v>
      </c>
      <c r="J151" s="9" t="n">
        <f aca="false">(parametros_manuales!$D$33*('Plan mensual'!L57+IF(parametros_manuales!$H$33="Todos",'Plan mensual'!L61,0))+parametros_manuales!$E$33*('Plan mensual'!L58+IF(parametros_manuales!$H$33="Todos",'Plan mensual'!L62,0))+parametros_manuales!$F$33*('Plan mensual'!L59+IF(parametros_manuales!$H$33="Todos",'Plan mensual'!L63,0))+parametros_manuales!$G$33*('Plan mensual'!L60+IF(parametros_manuales!$H$33="Todos",'Plan mensual'!L64,0)))*parametros_manuales!$I$33*parametros_manuales!$J$33</f>
        <v>9478.27630257</v>
      </c>
      <c r="K151" s="9" t="n">
        <f aca="false">(parametros_manuales!$D$33*('Plan mensual'!M57+IF(parametros_manuales!$H$33="Todos",'Plan mensual'!M61,0))+parametros_manuales!$E$33*('Plan mensual'!M58+IF(parametros_manuales!$H$33="Todos",'Plan mensual'!M62,0))+parametros_manuales!$F$33*('Plan mensual'!M59+IF(parametros_manuales!$H$33="Todos",'Plan mensual'!M63,0))+parametros_manuales!$G$33*('Plan mensual'!M60+IF(parametros_manuales!$H$33="Todos",'Plan mensual'!M64,0)))*parametros_manuales!$I$33*parametros_manuales!$J$33</f>
        <v>9295.104907425</v>
      </c>
      <c r="L151" s="9" t="n">
        <f aca="false">(parametros_manuales!$D$33*('Plan mensual'!N57+IF(parametros_manuales!$H$33="Todos",'Plan mensual'!N61,0))+parametros_manuales!$E$33*('Plan mensual'!N58+IF(parametros_manuales!$H$33="Todos",'Plan mensual'!N62,0))+parametros_manuales!$F$33*('Plan mensual'!N59+IF(parametros_manuales!$H$33="Todos",'Plan mensual'!N63,0))+parametros_manuales!$G$33*('Plan mensual'!N60+IF(parametros_manuales!$H$33="Todos",'Plan mensual'!N64,0)))*parametros_manuales!$I$33*parametros_manuales!$J$33</f>
        <v>9111.93351228</v>
      </c>
      <c r="M151" s="9" t="n">
        <f aca="false">(parametros_manuales!$D$33*('Plan mensual'!O57+IF(parametros_manuales!$H$33="Todos",'Plan mensual'!O61,0))+parametros_manuales!$E$33*('Plan mensual'!O58+IF(parametros_manuales!$H$33="Todos",'Plan mensual'!O62,0))+parametros_manuales!$F$33*('Plan mensual'!O59+IF(parametros_manuales!$H$33="Todos",'Plan mensual'!O63,0))+parametros_manuales!$G$33*('Plan mensual'!O60+IF(parametros_manuales!$H$33="Todos",'Plan mensual'!O64,0)))*parametros_manuales!$I$33*parametros_manuales!$J$33</f>
        <v>14505.82506159</v>
      </c>
      <c r="N151" s="9" t="n">
        <f aca="false">SUM(B151:M151)</f>
        <v>123934.732099</v>
      </c>
      <c r="O151" s="9" t="n">
        <f aca="false">MAX(B151:M151)</f>
        <v>14505.82506159</v>
      </c>
      <c r="P151" s="43" t="n">
        <f aca="false">O151/(parametros_manuales!$B$7)</f>
        <v>96.7055004106</v>
      </c>
      <c r="Q151" s="8" t="str">
        <f aca="false">IF(O151=0,"-",INDEX($B$136:$M$136,MATCH(O151,B151:M151,0)))</f>
        <v>Dic</v>
      </c>
    </row>
    <row r="152" customFormat="false" ht="14.25" hidden="false" customHeight="true" outlineLevel="0" collapsed="false">
      <c r="A152" s="8" t="str">
        <f aca="false">parametros_manuales!$B$34</f>
        <v>Granallado</v>
      </c>
      <c r="B152" s="9" t="n">
        <f aca="false">(parametros_manuales!$D$34*('Plan mensual'!D57+IF(parametros_manuales!$H$34="Todos",'Plan mensual'!D61,0))+parametros_manuales!$E$34*('Plan mensual'!D58+IF(parametros_manuales!$H$34="Todos",'Plan mensual'!D62,0))+parametros_manuales!$F$34*('Plan mensual'!D59+IF(parametros_manuales!$H$34="Todos",'Plan mensual'!D63,0))+parametros_manuales!$G$34*('Plan mensual'!D60+IF(parametros_manuales!$H$34="Todos",'Plan mensual'!D64,0)))*parametros_manuales!$I$34*parametros_manuales!$J$34</f>
        <v>14139.4822713</v>
      </c>
      <c r="C152" s="9" t="n">
        <f aca="false">(parametros_manuales!$D$34*('Plan mensual'!E57+IF(parametros_manuales!$H$34="Todos",'Plan mensual'!E61,0))+parametros_manuales!$E$34*('Plan mensual'!E58+IF(parametros_manuales!$H$34="Todos",'Plan mensual'!E62,0))+parametros_manuales!$F$34*('Plan mensual'!E59+IF(parametros_manuales!$H$34="Todos",'Plan mensual'!E63,0))+parametros_manuales!$G$34*('Plan mensual'!E60+IF(parametros_manuales!$H$34="Todos",'Plan mensual'!E64,0)))*parametros_manuales!$I$34*parametros_manuales!$J$34</f>
        <v>10787.78309862</v>
      </c>
      <c r="D152" s="9" t="n">
        <f aca="false">(parametros_manuales!$D$34*('Plan mensual'!F57+IF(parametros_manuales!$H$34="Todos",'Plan mensual'!F61,0))+parametros_manuales!$E$34*('Plan mensual'!F58+IF(parametros_manuales!$H$34="Todos",'Plan mensual'!F62,0))+parametros_manuales!$F$34*('Plan mensual'!F59+IF(parametros_manuales!$H$34="Todos",'Plan mensual'!F63,0))+parametros_manuales!$G$34*('Plan mensual'!F60+IF(parametros_manuales!$H$34="Todos",'Plan mensual'!F64,0)))*parametros_manuales!$I$34*parametros_manuales!$J$34</f>
        <v>10097.949963065</v>
      </c>
      <c r="E152" s="9" t="n">
        <f aca="false">(parametros_manuales!$D$34*('Plan mensual'!G57+IF(parametros_manuales!$H$34="Todos",'Plan mensual'!G61,0))+parametros_manuales!$E$34*('Plan mensual'!G58+IF(parametros_manuales!$H$34="Todos",'Plan mensual'!G62,0))+parametros_manuales!$F$34*('Plan mensual'!G59+IF(parametros_manuales!$H$34="Todos",'Plan mensual'!G63,0))+parametros_manuales!$G$34*('Plan mensual'!G60+IF(parametros_manuales!$H$34="Todos",'Plan mensual'!G64,0)))*parametros_manuales!$I$34*parametros_manuales!$J$34</f>
        <v>9661.447697715</v>
      </c>
      <c r="F152" s="9" t="n">
        <f aca="false">(parametros_manuales!$D$34*('Plan mensual'!H57+IF(parametros_manuales!$H$34="Todos",'Plan mensual'!H61,0))+parametros_manuales!$E$34*('Plan mensual'!H58+IF(parametros_manuales!$H$34="Todos",'Plan mensual'!H62,0))+parametros_manuales!$F$34*('Plan mensual'!H59+IF(parametros_manuales!$H$34="Todos",'Plan mensual'!H63,0))+parametros_manuales!$G$34*('Plan mensual'!H60+IF(parametros_manuales!$H$34="Todos",'Plan mensual'!H64,0)))*parametros_manuales!$I$34*parametros_manuales!$J$34</f>
        <v>9041.77403722</v>
      </c>
      <c r="G152" s="9" t="n">
        <f aca="false">(parametros_manuales!$D$34*('Plan mensual'!I57+IF(parametros_manuales!$H$34="Todos",'Plan mensual'!I61,0))+parametros_manuales!$E$34*('Plan mensual'!I58+IF(parametros_manuales!$H$34="Todos",'Plan mensual'!I62,0))+parametros_manuales!$F$34*('Plan mensual'!I59+IF(parametros_manuales!$H$34="Todos",'Plan mensual'!I63,0))+parametros_manuales!$G$34*('Plan mensual'!I60+IF(parametros_manuales!$H$34="Todos",'Plan mensual'!I64,0)))*parametros_manuales!$I$34*parametros_manuales!$J$34</f>
        <v>8858.602642075</v>
      </c>
      <c r="H152" s="9" t="n">
        <f aca="false">(parametros_manuales!$D$34*('Plan mensual'!J57+IF(parametros_manuales!$H$34="Todos",'Plan mensual'!J61,0))+parametros_manuales!$E$34*('Plan mensual'!J58+IF(parametros_manuales!$H$34="Todos",'Plan mensual'!J62,0))+parametros_manuales!$F$34*('Plan mensual'!J59+IF(parametros_manuales!$H$34="Todos",'Plan mensual'!J63,0))+parametros_manuales!$G$34*('Plan mensual'!J60+IF(parametros_manuales!$H$34="Todos",'Plan mensual'!J64,0)))*parametros_manuales!$I$34*parametros_manuales!$J$34</f>
        <v>9478.27630257</v>
      </c>
      <c r="I152" s="9" t="n">
        <f aca="false">(parametros_manuales!$D$34*('Plan mensual'!K57+IF(parametros_manuales!$H$34="Todos",'Plan mensual'!K61,0))+parametros_manuales!$E$34*('Plan mensual'!K58+IF(parametros_manuales!$H$34="Todos",'Plan mensual'!K62,0))+parametros_manuales!$F$34*('Plan mensual'!K59+IF(parametros_manuales!$H$34="Todos",'Plan mensual'!K63,0))+parametros_manuales!$G$34*('Plan mensual'!K60+IF(parametros_manuales!$H$34="Todos",'Plan mensual'!K64,0)))*parametros_manuales!$I$34*parametros_manuales!$J$34</f>
        <v>9478.27630257</v>
      </c>
      <c r="J152" s="9" t="n">
        <f aca="false">(parametros_manuales!$D$34*('Plan mensual'!L57+IF(parametros_manuales!$H$34="Todos",'Plan mensual'!L61,0))+parametros_manuales!$E$34*('Plan mensual'!L58+IF(parametros_manuales!$H$34="Todos",'Plan mensual'!L62,0))+parametros_manuales!$F$34*('Plan mensual'!L59+IF(parametros_manuales!$H$34="Todos",'Plan mensual'!L63,0))+parametros_manuales!$G$34*('Plan mensual'!L60+IF(parametros_manuales!$H$34="Todos",'Plan mensual'!L64,0)))*parametros_manuales!$I$34*parametros_manuales!$J$34</f>
        <v>9478.27630257</v>
      </c>
      <c r="K152" s="9" t="n">
        <f aca="false">(parametros_manuales!$D$34*('Plan mensual'!M57+IF(parametros_manuales!$H$34="Todos",'Plan mensual'!M61,0))+parametros_manuales!$E$34*('Plan mensual'!M58+IF(parametros_manuales!$H$34="Todos",'Plan mensual'!M62,0))+parametros_manuales!$F$34*('Plan mensual'!M59+IF(parametros_manuales!$H$34="Todos",'Plan mensual'!M63,0))+parametros_manuales!$G$34*('Plan mensual'!M60+IF(parametros_manuales!$H$34="Todos",'Plan mensual'!M64,0)))*parametros_manuales!$I$34*parametros_manuales!$J$34</f>
        <v>9295.104907425</v>
      </c>
      <c r="L152" s="9" t="n">
        <f aca="false">(parametros_manuales!$D$34*('Plan mensual'!N57+IF(parametros_manuales!$H$34="Todos",'Plan mensual'!N61,0))+parametros_manuales!$E$34*('Plan mensual'!N58+IF(parametros_manuales!$H$34="Todos",'Plan mensual'!N62,0))+parametros_manuales!$F$34*('Plan mensual'!N59+IF(parametros_manuales!$H$34="Todos",'Plan mensual'!N63,0))+parametros_manuales!$G$34*('Plan mensual'!N60+IF(parametros_manuales!$H$34="Todos",'Plan mensual'!N64,0)))*parametros_manuales!$I$34*parametros_manuales!$J$34</f>
        <v>9111.93351228</v>
      </c>
      <c r="M152" s="9" t="n">
        <f aca="false">(parametros_manuales!$D$34*('Plan mensual'!O57+IF(parametros_manuales!$H$34="Todos",'Plan mensual'!O61,0))+parametros_manuales!$E$34*('Plan mensual'!O58+IF(parametros_manuales!$H$34="Todos",'Plan mensual'!O62,0))+parametros_manuales!$F$34*('Plan mensual'!O59+IF(parametros_manuales!$H$34="Todos",'Plan mensual'!O63,0))+parametros_manuales!$G$34*('Plan mensual'!O60+IF(parametros_manuales!$H$34="Todos",'Plan mensual'!O64,0)))*parametros_manuales!$I$34*parametros_manuales!$J$34</f>
        <v>14505.82506159</v>
      </c>
      <c r="N152" s="9" t="n">
        <f aca="false">SUM(B152:M152)</f>
        <v>123934.732099</v>
      </c>
      <c r="O152" s="9" t="n">
        <f aca="false">MAX(B152:M152)</f>
        <v>14505.82506159</v>
      </c>
      <c r="P152" s="43" t="n">
        <f aca="false">O152/(parametros_manuales!$B$7)</f>
        <v>96.7055004106</v>
      </c>
      <c r="Q152" s="8" t="str">
        <f aca="false">IF(O152=0,"-",INDEX($B$136:$M$136,MATCH(O152,B152:M152,0)))</f>
        <v>Dic</v>
      </c>
    </row>
    <row r="153" customFormat="false" ht="14.25" hidden="false" customHeight="true" outlineLevel="0" collapsed="false">
      <c r="A153" s="8" t="str">
        <f aca="false">parametros_manuales!$B$35</f>
        <v>Detección de defectos</v>
      </c>
      <c r="B153" s="9" t="n">
        <f aca="false">(parametros_manuales!$D$35*('Plan mensual'!D57+IF(parametros_manuales!$H$35="Todos",'Plan mensual'!D61,0))+parametros_manuales!$E$35*('Plan mensual'!D58+IF(parametros_manuales!$H$35="Todos",'Plan mensual'!D62,0))+parametros_manuales!$F$35*('Plan mensual'!D59+IF(parametros_manuales!$H$35="Todos",'Plan mensual'!D63,0))+parametros_manuales!$G$35*('Plan mensual'!D60+IF(parametros_manuales!$H$35="Todos",'Plan mensual'!D64,0)))*parametros_manuales!$I$35*parametros_manuales!$J$35</f>
        <v>14139.4822713</v>
      </c>
      <c r="C153" s="9" t="n">
        <f aca="false">(parametros_manuales!$D$35*('Plan mensual'!E57+IF(parametros_manuales!$H$35="Todos",'Plan mensual'!E61,0))+parametros_manuales!$E$35*('Plan mensual'!E58+IF(parametros_manuales!$H$35="Todos",'Plan mensual'!E62,0))+parametros_manuales!$F$35*('Plan mensual'!E59+IF(parametros_manuales!$H$35="Todos",'Plan mensual'!E63,0))+parametros_manuales!$G$35*('Plan mensual'!E60+IF(parametros_manuales!$H$35="Todos",'Plan mensual'!E64,0)))*parametros_manuales!$I$35*parametros_manuales!$J$35</f>
        <v>10787.78309862</v>
      </c>
      <c r="D153" s="9" t="n">
        <f aca="false">(parametros_manuales!$D$35*('Plan mensual'!F57+IF(parametros_manuales!$H$35="Todos",'Plan mensual'!F61,0))+parametros_manuales!$E$35*('Plan mensual'!F58+IF(parametros_manuales!$H$35="Todos",'Plan mensual'!F62,0))+parametros_manuales!$F$35*('Plan mensual'!F59+IF(parametros_manuales!$H$35="Todos",'Plan mensual'!F63,0))+parametros_manuales!$G$35*('Plan mensual'!F60+IF(parametros_manuales!$H$35="Todos",'Plan mensual'!F64,0)))*parametros_manuales!$I$35*parametros_manuales!$J$35</f>
        <v>10097.949963065</v>
      </c>
      <c r="E153" s="9" t="n">
        <f aca="false">(parametros_manuales!$D$35*('Plan mensual'!G57+IF(parametros_manuales!$H$35="Todos",'Plan mensual'!G61,0))+parametros_manuales!$E$35*('Plan mensual'!G58+IF(parametros_manuales!$H$35="Todos",'Plan mensual'!G62,0))+parametros_manuales!$F$35*('Plan mensual'!G59+IF(parametros_manuales!$H$35="Todos",'Plan mensual'!G63,0))+parametros_manuales!$G$35*('Plan mensual'!G60+IF(parametros_manuales!$H$35="Todos",'Plan mensual'!G64,0)))*parametros_manuales!$I$35*parametros_manuales!$J$35</f>
        <v>9661.447697715</v>
      </c>
      <c r="F153" s="9" t="n">
        <f aca="false">(parametros_manuales!$D$35*('Plan mensual'!H57+IF(parametros_manuales!$H$35="Todos",'Plan mensual'!H61,0))+parametros_manuales!$E$35*('Plan mensual'!H58+IF(parametros_manuales!$H$35="Todos",'Plan mensual'!H62,0))+parametros_manuales!$F$35*('Plan mensual'!H59+IF(parametros_manuales!$H$35="Todos",'Plan mensual'!H63,0))+parametros_manuales!$G$35*('Plan mensual'!H60+IF(parametros_manuales!$H$35="Todos",'Plan mensual'!H64,0)))*parametros_manuales!$I$35*parametros_manuales!$J$35</f>
        <v>9041.77403722</v>
      </c>
      <c r="G153" s="9" t="n">
        <f aca="false">(parametros_manuales!$D$35*('Plan mensual'!I57+IF(parametros_manuales!$H$35="Todos",'Plan mensual'!I61,0))+parametros_manuales!$E$35*('Plan mensual'!I58+IF(parametros_manuales!$H$35="Todos",'Plan mensual'!I62,0))+parametros_manuales!$F$35*('Plan mensual'!I59+IF(parametros_manuales!$H$35="Todos",'Plan mensual'!I63,0))+parametros_manuales!$G$35*('Plan mensual'!I60+IF(parametros_manuales!$H$35="Todos",'Plan mensual'!I64,0)))*parametros_manuales!$I$35*parametros_manuales!$J$35</f>
        <v>8858.602642075</v>
      </c>
      <c r="H153" s="9" t="n">
        <f aca="false">(parametros_manuales!$D$35*('Plan mensual'!J57+IF(parametros_manuales!$H$35="Todos",'Plan mensual'!J61,0))+parametros_manuales!$E$35*('Plan mensual'!J58+IF(parametros_manuales!$H$35="Todos",'Plan mensual'!J62,0))+parametros_manuales!$F$35*('Plan mensual'!J59+IF(parametros_manuales!$H$35="Todos",'Plan mensual'!J63,0))+parametros_manuales!$G$35*('Plan mensual'!J60+IF(parametros_manuales!$H$35="Todos",'Plan mensual'!J64,0)))*parametros_manuales!$I$35*parametros_manuales!$J$35</f>
        <v>9478.27630257</v>
      </c>
      <c r="I153" s="9" t="n">
        <f aca="false">(parametros_manuales!$D$35*('Plan mensual'!K57+IF(parametros_manuales!$H$35="Todos",'Plan mensual'!K61,0))+parametros_manuales!$E$35*('Plan mensual'!K58+IF(parametros_manuales!$H$35="Todos",'Plan mensual'!K62,0))+parametros_manuales!$F$35*('Plan mensual'!K59+IF(parametros_manuales!$H$35="Todos",'Plan mensual'!K63,0))+parametros_manuales!$G$35*('Plan mensual'!K60+IF(parametros_manuales!$H$35="Todos",'Plan mensual'!K64,0)))*parametros_manuales!$I$35*parametros_manuales!$J$35</f>
        <v>9478.27630257</v>
      </c>
      <c r="J153" s="9" t="n">
        <f aca="false">(parametros_manuales!$D$35*('Plan mensual'!L57+IF(parametros_manuales!$H$35="Todos",'Plan mensual'!L61,0))+parametros_manuales!$E$35*('Plan mensual'!L58+IF(parametros_manuales!$H$35="Todos",'Plan mensual'!L62,0))+parametros_manuales!$F$35*('Plan mensual'!L59+IF(parametros_manuales!$H$35="Todos",'Plan mensual'!L63,0))+parametros_manuales!$G$35*('Plan mensual'!L60+IF(parametros_manuales!$H$35="Todos",'Plan mensual'!L64,0)))*parametros_manuales!$I$35*parametros_manuales!$J$35</f>
        <v>9478.27630257</v>
      </c>
      <c r="K153" s="9" t="n">
        <f aca="false">(parametros_manuales!$D$35*('Plan mensual'!M57+IF(parametros_manuales!$H$35="Todos",'Plan mensual'!M61,0))+parametros_manuales!$E$35*('Plan mensual'!M58+IF(parametros_manuales!$H$35="Todos",'Plan mensual'!M62,0))+parametros_manuales!$F$35*('Plan mensual'!M59+IF(parametros_manuales!$H$35="Todos",'Plan mensual'!M63,0))+parametros_manuales!$G$35*('Plan mensual'!M60+IF(parametros_manuales!$H$35="Todos",'Plan mensual'!M64,0)))*parametros_manuales!$I$35*parametros_manuales!$J$35</f>
        <v>9295.104907425</v>
      </c>
      <c r="L153" s="9" t="n">
        <f aca="false">(parametros_manuales!$D$35*('Plan mensual'!N57+IF(parametros_manuales!$H$35="Todos",'Plan mensual'!N61,0))+parametros_manuales!$E$35*('Plan mensual'!N58+IF(parametros_manuales!$H$35="Todos",'Plan mensual'!N62,0))+parametros_manuales!$F$35*('Plan mensual'!N59+IF(parametros_manuales!$H$35="Todos",'Plan mensual'!N63,0))+parametros_manuales!$G$35*('Plan mensual'!N60+IF(parametros_manuales!$H$35="Todos",'Plan mensual'!N64,0)))*parametros_manuales!$I$35*parametros_manuales!$J$35</f>
        <v>9111.93351228</v>
      </c>
      <c r="M153" s="9" t="n">
        <f aca="false">(parametros_manuales!$D$35*('Plan mensual'!O57+IF(parametros_manuales!$H$35="Todos",'Plan mensual'!O61,0))+parametros_manuales!$E$35*('Plan mensual'!O58+IF(parametros_manuales!$H$35="Todos",'Plan mensual'!O62,0))+parametros_manuales!$F$35*('Plan mensual'!O59+IF(parametros_manuales!$H$35="Todos",'Plan mensual'!O63,0))+parametros_manuales!$G$35*('Plan mensual'!O60+IF(parametros_manuales!$H$35="Todos",'Plan mensual'!O64,0)))*parametros_manuales!$I$35*parametros_manuales!$J$35</f>
        <v>14505.82506159</v>
      </c>
      <c r="N153" s="9" t="n">
        <f aca="false">SUM(B153:M153)</f>
        <v>123934.732099</v>
      </c>
      <c r="O153" s="9" t="n">
        <f aca="false">MAX(B153:M153)</f>
        <v>14505.82506159</v>
      </c>
      <c r="P153" s="43" t="n">
        <f aca="false">O153/(parametros_manuales!$B$7)</f>
        <v>96.7055004106</v>
      </c>
      <c r="Q153" s="8" t="str">
        <f aca="false">IF(O153=0,"-",INDEX($B$136:$M$136,MATCH(O153,B153:M153,0)))</f>
        <v>Dic</v>
      </c>
    </row>
    <row r="154" customFormat="false" ht="14.25" hidden="false" customHeight="true" outlineLevel="0" collapsed="false">
      <c r="A154" s="8" t="str">
        <f aca="false">parametros_manuales!$B$36</f>
        <v>Corrección de defectos</v>
      </c>
      <c r="B154" s="9" t="n">
        <f aca="false">(parametros_manuales!$D$36*('Plan mensual'!D57+IF(parametros_manuales!$H$36="Todos",'Plan mensual'!D61,0))+parametros_manuales!$E$36*('Plan mensual'!D58+IF(parametros_manuales!$H$36="Todos",'Plan mensual'!D62,0))+parametros_manuales!$F$36*('Plan mensual'!D59+IF(parametros_manuales!$H$36="Todos",'Plan mensual'!D63,0))+parametros_manuales!$G$36*('Plan mensual'!D60+IF(parametros_manuales!$H$36="Todos",'Plan mensual'!D64,0)))*parametros_manuales!$I$36*parametros_manuales!$J$36</f>
        <v>706.974113565</v>
      </c>
      <c r="C154" s="9" t="n">
        <f aca="false">(parametros_manuales!$D$36*('Plan mensual'!E57+IF(parametros_manuales!$H$36="Todos",'Plan mensual'!E61,0))+parametros_manuales!$E$36*('Plan mensual'!E58+IF(parametros_manuales!$H$36="Todos",'Plan mensual'!E62,0))+parametros_manuales!$F$36*('Plan mensual'!E59+IF(parametros_manuales!$H$36="Todos",'Plan mensual'!E63,0))+parametros_manuales!$G$36*('Plan mensual'!E60+IF(parametros_manuales!$H$36="Todos",'Plan mensual'!E64,0)))*parametros_manuales!$I$36*parametros_manuales!$J$36</f>
        <v>539.389154931</v>
      </c>
      <c r="D154" s="9" t="n">
        <f aca="false">(parametros_manuales!$D$36*('Plan mensual'!F57+IF(parametros_manuales!$H$36="Todos",'Plan mensual'!F61,0))+parametros_manuales!$E$36*('Plan mensual'!F58+IF(parametros_manuales!$H$36="Todos",'Plan mensual'!F62,0))+parametros_manuales!$F$36*('Plan mensual'!F59+IF(parametros_manuales!$H$36="Todos",'Plan mensual'!F63,0))+parametros_manuales!$G$36*('Plan mensual'!F60+IF(parametros_manuales!$H$36="Todos",'Plan mensual'!F64,0)))*parametros_manuales!$I$36*parametros_manuales!$J$36</f>
        <v>504.89749815325</v>
      </c>
      <c r="E154" s="9" t="n">
        <f aca="false">(parametros_manuales!$D$36*('Plan mensual'!G57+IF(parametros_manuales!$H$36="Todos",'Plan mensual'!G61,0))+parametros_manuales!$E$36*('Plan mensual'!G58+IF(parametros_manuales!$H$36="Todos",'Plan mensual'!G62,0))+parametros_manuales!$F$36*('Plan mensual'!G59+IF(parametros_manuales!$H$36="Todos",'Plan mensual'!G63,0))+parametros_manuales!$G$36*('Plan mensual'!G60+IF(parametros_manuales!$H$36="Todos",'Plan mensual'!G64,0)))*parametros_manuales!$I$36*parametros_manuales!$J$36</f>
        <v>483.07238488575</v>
      </c>
      <c r="F154" s="9" t="n">
        <f aca="false">(parametros_manuales!$D$36*('Plan mensual'!H57+IF(parametros_manuales!$H$36="Todos",'Plan mensual'!H61,0))+parametros_manuales!$E$36*('Plan mensual'!H58+IF(parametros_manuales!$H$36="Todos",'Plan mensual'!H62,0))+parametros_manuales!$F$36*('Plan mensual'!H59+IF(parametros_manuales!$H$36="Todos",'Plan mensual'!H63,0))+parametros_manuales!$G$36*('Plan mensual'!H60+IF(parametros_manuales!$H$36="Todos",'Plan mensual'!H64,0)))*parametros_manuales!$I$36*parametros_manuales!$J$36</f>
        <v>452.088701861</v>
      </c>
      <c r="G154" s="9" t="n">
        <f aca="false">(parametros_manuales!$D$36*('Plan mensual'!I57+IF(parametros_manuales!$H$36="Todos",'Plan mensual'!I61,0))+parametros_manuales!$E$36*('Plan mensual'!I58+IF(parametros_manuales!$H$36="Todos",'Plan mensual'!I62,0))+parametros_manuales!$F$36*('Plan mensual'!I59+IF(parametros_manuales!$H$36="Todos",'Plan mensual'!I63,0))+parametros_manuales!$G$36*('Plan mensual'!I60+IF(parametros_manuales!$H$36="Todos",'Plan mensual'!I64,0)))*parametros_manuales!$I$36*parametros_manuales!$J$36</f>
        <v>442.93013210375</v>
      </c>
      <c r="H154" s="9" t="n">
        <f aca="false">(parametros_manuales!$D$36*('Plan mensual'!J57+IF(parametros_manuales!$H$36="Todos",'Plan mensual'!J61,0))+parametros_manuales!$E$36*('Plan mensual'!J58+IF(parametros_manuales!$H$36="Todos",'Plan mensual'!J62,0))+parametros_manuales!$F$36*('Plan mensual'!J59+IF(parametros_manuales!$H$36="Todos",'Plan mensual'!J63,0))+parametros_manuales!$G$36*('Plan mensual'!J60+IF(parametros_manuales!$H$36="Todos",'Plan mensual'!J64,0)))*parametros_manuales!$I$36*parametros_manuales!$J$36</f>
        <v>473.9138151285</v>
      </c>
      <c r="I154" s="9" t="n">
        <f aca="false">(parametros_manuales!$D$36*('Plan mensual'!K57+IF(parametros_manuales!$H$36="Todos",'Plan mensual'!K61,0))+parametros_manuales!$E$36*('Plan mensual'!K58+IF(parametros_manuales!$H$36="Todos",'Plan mensual'!K62,0))+parametros_manuales!$F$36*('Plan mensual'!K59+IF(parametros_manuales!$H$36="Todos",'Plan mensual'!K63,0))+parametros_manuales!$G$36*('Plan mensual'!K60+IF(parametros_manuales!$H$36="Todos",'Plan mensual'!K64,0)))*parametros_manuales!$I$36*parametros_manuales!$J$36</f>
        <v>473.9138151285</v>
      </c>
      <c r="J154" s="9" t="n">
        <f aca="false">(parametros_manuales!$D$36*('Plan mensual'!L57+IF(parametros_manuales!$H$36="Todos",'Plan mensual'!L61,0))+parametros_manuales!$E$36*('Plan mensual'!L58+IF(parametros_manuales!$H$36="Todos",'Plan mensual'!L62,0))+parametros_manuales!$F$36*('Plan mensual'!L59+IF(parametros_manuales!$H$36="Todos",'Plan mensual'!L63,0))+parametros_manuales!$G$36*('Plan mensual'!L60+IF(parametros_manuales!$H$36="Todos",'Plan mensual'!L64,0)))*parametros_manuales!$I$36*parametros_manuales!$J$36</f>
        <v>473.9138151285</v>
      </c>
      <c r="K154" s="9" t="n">
        <f aca="false">(parametros_manuales!$D$36*('Plan mensual'!M57+IF(parametros_manuales!$H$36="Todos",'Plan mensual'!M61,0))+parametros_manuales!$E$36*('Plan mensual'!M58+IF(parametros_manuales!$H$36="Todos",'Plan mensual'!M62,0))+parametros_manuales!$F$36*('Plan mensual'!M59+IF(parametros_manuales!$H$36="Todos",'Plan mensual'!M63,0))+parametros_manuales!$G$36*('Plan mensual'!M60+IF(parametros_manuales!$H$36="Todos",'Plan mensual'!M64,0)))*parametros_manuales!$I$36*parametros_manuales!$J$36</f>
        <v>464.75524537125</v>
      </c>
      <c r="L154" s="9" t="n">
        <f aca="false">(parametros_manuales!$D$36*('Plan mensual'!N57+IF(parametros_manuales!$H$36="Todos",'Plan mensual'!N61,0))+parametros_manuales!$E$36*('Plan mensual'!N58+IF(parametros_manuales!$H$36="Todos",'Plan mensual'!N62,0))+parametros_manuales!$F$36*('Plan mensual'!N59+IF(parametros_manuales!$H$36="Todos",'Plan mensual'!N63,0))+parametros_manuales!$G$36*('Plan mensual'!N60+IF(parametros_manuales!$H$36="Todos",'Plan mensual'!N64,0)))*parametros_manuales!$I$36*parametros_manuales!$J$36</f>
        <v>455.596675614</v>
      </c>
      <c r="M154" s="9" t="n">
        <f aca="false">(parametros_manuales!$D$36*('Plan mensual'!O57+IF(parametros_manuales!$H$36="Todos",'Plan mensual'!O61,0))+parametros_manuales!$E$36*('Plan mensual'!O58+IF(parametros_manuales!$H$36="Todos",'Plan mensual'!O62,0))+parametros_manuales!$F$36*('Plan mensual'!O59+IF(parametros_manuales!$H$36="Todos",'Plan mensual'!O63,0))+parametros_manuales!$G$36*('Plan mensual'!O60+IF(parametros_manuales!$H$36="Todos",'Plan mensual'!O64,0)))*parametros_manuales!$I$36*parametros_manuales!$J$36</f>
        <v>725.2912530795</v>
      </c>
      <c r="N154" s="9" t="n">
        <f aca="false">SUM(B154:M154)</f>
        <v>6196.73660495</v>
      </c>
      <c r="O154" s="9" t="n">
        <f aca="false">MAX(B154:M154)</f>
        <v>725.2912530795</v>
      </c>
      <c r="P154" s="43" t="n">
        <f aca="false">O154/(parametros_manuales!$B$7)</f>
        <v>4.83527502053</v>
      </c>
      <c r="Q154" s="8" t="str">
        <f aca="false">IF(O154=0,"-",INDEX($B$136:$M$136,MATCH(O154,B154:M154,0)))</f>
        <v>Dic</v>
      </c>
    </row>
    <row r="155" customFormat="false" ht="14.25" hidden="false" customHeight="true" outlineLevel="0" collapsed="false">
      <c r="A155" s="8" t="str">
        <f aca="false">parametros_manuales!$B$37</f>
        <v>Pintura en polvo + horno</v>
      </c>
      <c r="B155" s="9" t="n">
        <f aca="false">(parametros_manuales!$D$37*('Plan mensual'!D57+IF(parametros_manuales!$H$37="Todos",'Plan mensual'!D61,0))+parametros_manuales!$E$37*('Plan mensual'!D58+IF(parametros_manuales!$H$37="Todos",'Plan mensual'!D62,0))+parametros_manuales!$F$37*('Plan mensual'!D59+IF(parametros_manuales!$H$37="Todos",'Plan mensual'!D63,0))+parametros_manuales!$G$37*('Plan mensual'!D60+IF(parametros_manuales!$H$37="Todos",'Plan mensual'!D64,0)))*parametros_manuales!$I$37*parametros_manuales!$J$37</f>
        <v>14139.4822713</v>
      </c>
      <c r="C155" s="9" t="n">
        <f aca="false">(parametros_manuales!$D$37*('Plan mensual'!E57+IF(parametros_manuales!$H$37="Todos",'Plan mensual'!E61,0))+parametros_manuales!$E$37*('Plan mensual'!E58+IF(parametros_manuales!$H$37="Todos",'Plan mensual'!E62,0))+parametros_manuales!$F$37*('Plan mensual'!E59+IF(parametros_manuales!$H$37="Todos",'Plan mensual'!E63,0))+parametros_manuales!$G$37*('Plan mensual'!E60+IF(parametros_manuales!$H$37="Todos",'Plan mensual'!E64,0)))*parametros_manuales!$I$37*parametros_manuales!$J$37</f>
        <v>10787.78309862</v>
      </c>
      <c r="D155" s="9" t="n">
        <f aca="false">(parametros_manuales!$D$37*('Plan mensual'!F57+IF(parametros_manuales!$H$37="Todos",'Plan mensual'!F61,0))+parametros_manuales!$E$37*('Plan mensual'!F58+IF(parametros_manuales!$H$37="Todos",'Plan mensual'!F62,0))+parametros_manuales!$F$37*('Plan mensual'!F59+IF(parametros_manuales!$H$37="Todos",'Plan mensual'!F63,0))+parametros_manuales!$G$37*('Plan mensual'!F60+IF(parametros_manuales!$H$37="Todos",'Plan mensual'!F64,0)))*parametros_manuales!$I$37*parametros_manuales!$J$37</f>
        <v>10097.949963065</v>
      </c>
      <c r="E155" s="9" t="n">
        <f aca="false">(parametros_manuales!$D$37*('Plan mensual'!G57+IF(parametros_manuales!$H$37="Todos",'Plan mensual'!G61,0))+parametros_manuales!$E$37*('Plan mensual'!G58+IF(parametros_manuales!$H$37="Todos",'Plan mensual'!G62,0))+parametros_manuales!$F$37*('Plan mensual'!G59+IF(parametros_manuales!$H$37="Todos",'Plan mensual'!G63,0))+parametros_manuales!$G$37*('Plan mensual'!G60+IF(parametros_manuales!$H$37="Todos",'Plan mensual'!G64,0)))*parametros_manuales!$I$37*parametros_manuales!$J$37</f>
        <v>9661.447697715</v>
      </c>
      <c r="F155" s="9" t="n">
        <f aca="false">(parametros_manuales!$D$37*('Plan mensual'!H57+IF(parametros_manuales!$H$37="Todos",'Plan mensual'!H61,0))+parametros_manuales!$E$37*('Plan mensual'!H58+IF(parametros_manuales!$H$37="Todos",'Plan mensual'!H62,0))+parametros_manuales!$F$37*('Plan mensual'!H59+IF(parametros_manuales!$H$37="Todos",'Plan mensual'!H63,0))+parametros_manuales!$G$37*('Plan mensual'!H60+IF(parametros_manuales!$H$37="Todos",'Plan mensual'!H64,0)))*parametros_manuales!$I$37*parametros_manuales!$J$37</f>
        <v>9041.77403722</v>
      </c>
      <c r="G155" s="9" t="n">
        <f aca="false">(parametros_manuales!$D$37*('Plan mensual'!I57+IF(parametros_manuales!$H$37="Todos",'Plan mensual'!I61,0))+parametros_manuales!$E$37*('Plan mensual'!I58+IF(parametros_manuales!$H$37="Todos",'Plan mensual'!I62,0))+parametros_manuales!$F$37*('Plan mensual'!I59+IF(parametros_manuales!$H$37="Todos",'Plan mensual'!I63,0))+parametros_manuales!$G$37*('Plan mensual'!I60+IF(parametros_manuales!$H$37="Todos",'Plan mensual'!I64,0)))*parametros_manuales!$I$37*parametros_manuales!$J$37</f>
        <v>8858.602642075</v>
      </c>
      <c r="H155" s="9" t="n">
        <f aca="false">(parametros_manuales!$D$37*('Plan mensual'!J57+IF(parametros_manuales!$H$37="Todos",'Plan mensual'!J61,0))+parametros_manuales!$E$37*('Plan mensual'!J58+IF(parametros_manuales!$H$37="Todos",'Plan mensual'!J62,0))+parametros_manuales!$F$37*('Plan mensual'!J59+IF(parametros_manuales!$H$37="Todos",'Plan mensual'!J63,0))+parametros_manuales!$G$37*('Plan mensual'!J60+IF(parametros_manuales!$H$37="Todos",'Plan mensual'!J64,0)))*parametros_manuales!$I$37*parametros_manuales!$J$37</f>
        <v>9478.27630257</v>
      </c>
      <c r="I155" s="9" t="n">
        <f aca="false">(parametros_manuales!$D$37*('Plan mensual'!K57+IF(parametros_manuales!$H$37="Todos",'Plan mensual'!K61,0))+parametros_manuales!$E$37*('Plan mensual'!K58+IF(parametros_manuales!$H$37="Todos",'Plan mensual'!K62,0))+parametros_manuales!$F$37*('Plan mensual'!K59+IF(parametros_manuales!$H$37="Todos",'Plan mensual'!K63,0))+parametros_manuales!$G$37*('Plan mensual'!K60+IF(parametros_manuales!$H$37="Todos",'Plan mensual'!K64,0)))*parametros_manuales!$I$37*parametros_manuales!$J$37</f>
        <v>9478.27630257</v>
      </c>
      <c r="J155" s="9" t="n">
        <f aca="false">(parametros_manuales!$D$37*('Plan mensual'!L57+IF(parametros_manuales!$H$37="Todos",'Plan mensual'!L61,0))+parametros_manuales!$E$37*('Plan mensual'!L58+IF(parametros_manuales!$H$37="Todos",'Plan mensual'!L62,0))+parametros_manuales!$F$37*('Plan mensual'!L59+IF(parametros_manuales!$H$37="Todos",'Plan mensual'!L63,0))+parametros_manuales!$G$37*('Plan mensual'!L60+IF(parametros_manuales!$H$37="Todos",'Plan mensual'!L64,0)))*parametros_manuales!$I$37*parametros_manuales!$J$37</f>
        <v>9478.27630257</v>
      </c>
      <c r="K155" s="9" t="n">
        <f aca="false">(parametros_manuales!$D$37*('Plan mensual'!M57+IF(parametros_manuales!$H$37="Todos",'Plan mensual'!M61,0))+parametros_manuales!$E$37*('Plan mensual'!M58+IF(parametros_manuales!$H$37="Todos",'Plan mensual'!M62,0))+parametros_manuales!$F$37*('Plan mensual'!M59+IF(parametros_manuales!$H$37="Todos",'Plan mensual'!M63,0))+parametros_manuales!$G$37*('Plan mensual'!M60+IF(parametros_manuales!$H$37="Todos",'Plan mensual'!M64,0)))*parametros_manuales!$I$37*parametros_manuales!$J$37</f>
        <v>9295.104907425</v>
      </c>
      <c r="L155" s="9" t="n">
        <f aca="false">(parametros_manuales!$D$37*('Plan mensual'!N57+IF(parametros_manuales!$H$37="Todos",'Plan mensual'!N61,0))+parametros_manuales!$E$37*('Plan mensual'!N58+IF(parametros_manuales!$H$37="Todos",'Plan mensual'!N62,0))+parametros_manuales!$F$37*('Plan mensual'!N59+IF(parametros_manuales!$H$37="Todos",'Plan mensual'!N63,0))+parametros_manuales!$G$37*('Plan mensual'!N60+IF(parametros_manuales!$H$37="Todos",'Plan mensual'!N64,0)))*parametros_manuales!$I$37*parametros_manuales!$J$37</f>
        <v>9111.93351228</v>
      </c>
      <c r="M155" s="9" t="n">
        <f aca="false">(parametros_manuales!$D$37*('Plan mensual'!O57+IF(parametros_manuales!$H$37="Todos",'Plan mensual'!O61,0))+parametros_manuales!$E$37*('Plan mensual'!O58+IF(parametros_manuales!$H$37="Todos",'Plan mensual'!O62,0))+parametros_manuales!$F$37*('Plan mensual'!O59+IF(parametros_manuales!$H$37="Todos",'Plan mensual'!O63,0))+parametros_manuales!$G$37*('Plan mensual'!O60+IF(parametros_manuales!$H$37="Todos",'Plan mensual'!O64,0)))*parametros_manuales!$I$37*parametros_manuales!$J$37</f>
        <v>14505.82506159</v>
      </c>
      <c r="N155" s="9" t="n">
        <f aca="false">SUM(B155:M155)</f>
        <v>123934.732099</v>
      </c>
      <c r="O155" s="9" t="n">
        <f aca="false">MAX(B155:M155)</f>
        <v>14505.82506159</v>
      </c>
      <c r="P155" s="43" t="n">
        <f aca="false">O155/(parametros_manuales!$B$7)</f>
        <v>96.7055004106</v>
      </c>
      <c r="Q155" s="8" t="str">
        <f aca="false">IF(O155=0,"-",INDEX($B$136:$M$136,MATCH(O155,B155:M155,0)))</f>
        <v>Dic</v>
      </c>
    </row>
    <row r="156" customFormat="false" ht="14.25" hidden="false" customHeight="true" outlineLevel="0" collapsed="false">
      <c r="A156" s="8" t="str">
        <f aca="false">parametros_manuales!$B$38</f>
        <v>Carga de polvo</v>
      </c>
      <c r="B156" s="9" t="n">
        <f aca="false">(parametros_manuales!$D$38*('Plan mensual'!D57+IF(parametros_manuales!$H$38="Todos",'Plan mensual'!D61,0))+parametros_manuales!$E$38*('Plan mensual'!D58+IF(parametros_manuales!$H$38="Todos",'Plan mensual'!D62,0))+parametros_manuales!$F$38*('Plan mensual'!D59+IF(parametros_manuales!$H$38="Todos",'Plan mensual'!D63,0))+parametros_manuales!$G$38*('Plan mensual'!D60+IF(parametros_manuales!$H$38="Todos",'Plan mensual'!D64,0)))*parametros_manuales!$I$38*parametros_manuales!$J$38</f>
        <v>3762.3542713</v>
      </c>
      <c r="C156" s="9" t="n">
        <f aca="false">(parametros_manuales!$D$38*('Plan mensual'!E57+IF(parametros_manuales!$H$38="Todos",'Plan mensual'!E61,0))+parametros_manuales!$E$38*('Plan mensual'!E58+IF(parametros_manuales!$H$38="Todos",'Plan mensual'!E62,0))+parametros_manuales!$F$38*('Plan mensual'!E59+IF(parametros_manuales!$H$38="Todos",'Plan mensual'!E63,0))+parametros_manuales!$G$38*('Plan mensual'!E60+IF(parametros_manuales!$H$38="Todos",'Plan mensual'!E64,0)))*parametros_manuales!$I$38*parametros_manuales!$J$38</f>
        <v>2916.16189862</v>
      </c>
      <c r="D156" s="9" t="n">
        <f aca="false">(parametros_manuales!$D$38*('Plan mensual'!F57+IF(parametros_manuales!$H$38="Todos",'Plan mensual'!F61,0))+parametros_manuales!$E$38*('Plan mensual'!F58+IF(parametros_manuales!$H$38="Todos",'Plan mensual'!F62,0))+parametros_manuales!$F$38*('Plan mensual'!F59+IF(parametros_manuales!$H$38="Todos",'Plan mensual'!F63,0))+parametros_manuales!$G$38*('Plan mensual'!F60+IF(parametros_manuales!$H$38="Todos",'Plan mensual'!F64,0)))*parametros_manuales!$I$38*parametros_manuales!$J$38</f>
        <v>2854.355563065</v>
      </c>
      <c r="E156" s="9" t="n">
        <f aca="false">(parametros_manuales!$D$38*('Plan mensual'!G57+IF(parametros_manuales!$H$38="Todos",'Plan mensual'!G61,0))+parametros_manuales!$E$38*('Plan mensual'!G58+IF(parametros_manuales!$H$38="Todos",'Plan mensual'!G62,0))+parametros_manuales!$F$38*('Plan mensual'!G59+IF(parametros_manuales!$H$38="Todos",'Plan mensual'!G63,0))+parametros_manuales!$G$38*('Plan mensual'!G60+IF(parametros_manuales!$H$38="Todos",'Plan mensual'!G64,0)))*parametros_manuales!$I$38*parametros_manuales!$J$38</f>
        <v>2776.254297715</v>
      </c>
      <c r="F156" s="9" t="n">
        <f aca="false">(parametros_manuales!$D$38*('Plan mensual'!H57+IF(parametros_manuales!$H$38="Todos",'Plan mensual'!H61,0))+parametros_manuales!$E$38*('Plan mensual'!H58+IF(parametros_manuales!$H$38="Todos",'Plan mensual'!H62,0))+parametros_manuales!$F$38*('Plan mensual'!H59+IF(parametros_manuales!$H$38="Todos",'Plan mensual'!H63,0))+parametros_manuales!$G$38*('Plan mensual'!H60+IF(parametros_manuales!$H$38="Todos",'Plan mensual'!H64,0)))*parametros_manuales!$I$38*parametros_manuales!$J$38</f>
        <v>2603.75683722</v>
      </c>
      <c r="G156" s="9" t="n">
        <f aca="false">(parametros_manuales!$D$38*('Plan mensual'!I57+IF(parametros_manuales!$H$38="Todos",'Plan mensual'!I61,0))+parametros_manuales!$E$38*('Plan mensual'!I58+IF(parametros_manuales!$H$38="Todos",'Plan mensual'!I62,0))+parametros_manuales!$F$38*('Plan mensual'!I59+IF(parametros_manuales!$H$38="Todos",'Plan mensual'!I63,0))+parametros_manuales!$G$38*('Plan mensual'!I60+IF(parametros_manuales!$H$38="Todos",'Plan mensual'!I64,0)))*parametros_manuales!$I$38*parametros_manuales!$J$38</f>
        <v>2509.360642075</v>
      </c>
      <c r="H156" s="9" t="n">
        <f aca="false">(parametros_manuales!$D$38*('Plan mensual'!J57+IF(parametros_manuales!$H$38="Todos",'Plan mensual'!J61,0))+parametros_manuales!$E$38*('Plan mensual'!J58+IF(parametros_manuales!$H$38="Todos",'Plan mensual'!J62,0))+parametros_manuales!$F$38*('Plan mensual'!J59+IF(parametros_manuales!$H$38="Todos",'Plan mensual'!J63,0))+parametros_manuales!$G$38*('Plan mensual'!J60+IF(parametros_manuales!$H$38="Todos",'Plan mensual'!J64,0)))*parametros_manuales!$I$38*parametros_manuales!$J$38</f>
        <v>2681.85810257</v>
      </c>
      <c r="I156" s="9" t="n">
        <f aca="false">(parametros_manuales!$D$38*('Plan mensual'!K57+IF(parametros_manuales!$H$38="Todos",'Plan mensual'!K61,0))+parametros_manuales!$E$38*('Plan mensual'!K58+IF(parametros_manuales!$H$38="Todos",'Plan mensual'!K62,0))+parametros_manuales!$F$38*('Plan mensual'!K59+IF(parametros_manuales!$H$38="Todos",'Plan mensual'!K63,0))+parametros_manuales!$G$38*('Plan mensual'!K60+IF(parametros_manuales!$H$38="Todos",'Plan mensual'!K64,0)))*parametros_manuales!$I$38*parametros_manuales!$J$38</f>
        <v>2681.85810257</v>
      </c>
      <c r="J156" s="9" t="n">
        <f aca="false">(parametros_manuales!$D$38*('Plan mensual'!L57+IF(parametros_manuales!$H$38="Todos",'Plan mensual'!L61,0))+parametros_manuales!$E$38*('Plan mensual'!L58+IF(parametros_manuales!$H$38="Todos",'Plan mensual'!L62,0))+parametros_manuales!$F$38*('Plan mensual'!L59+IF(parametros_manuales!$H$38="Todos",'Plan mensual'!L63,0))+parametros_manuales!$G$38*('Plan mensual'!L60+IF(parametros_manuales!$H$38="Todos",'Plan mensual'!L64,0)))*parametros_manuales!$I$38*parametros_manuales!$J$38</f>
        <v>2681.85810257</v>
      </c>
      <c r="K156" s="9" t="n">
        <f aca="false">(parametros_manuales!$D$38*('Plan mensual'!M57+IF(parametros_manuales!$H$38="Todos",'Plan mensual'!M61,0))+parametros_manuales!$E$38*('Plan mensual'!M58+IF(parametros_manuales!$H$38="Todos",'Plan mensual'!M62,0))+parametros_manuales!$F$38*('Plan mensual'!M59+IF(parametros_manuales!$H$38="Todos",'Plan mensual'!M63,0))+parametros_manuales!$G$38*('Plan mensual'!M60+IF(parametros_manuales!$H$38="Todos",'Plan mensual'!M64,0)))*parametros_manuales!$I$38*parametros_manuales!$J$38</f>
        <v>2587.461907425</v>
      </c>
      <c r="L156" s="9" t="n">
        <f aca="false">(parametros_manuales!$D$38*('Plan mensual'!N57+IF(parametros_manuales!$H$38="Todos",'Plan mensual'!N61,0))+parametros_manuales!$E$38*('Plan mensual'!N58+IF(parametros_manuales!$H$38="Todos",'Plan mensual'!N62,0))+parametros_manuales!$F$38*('Plan mensual'!N59+IF(parametros_manuales!$H$38="Todos",'Plan mensual'!N63,0))+parametros_manuales!$G$38*('Plan mensual'!N60+IF(parametros_manuales!$H$38="Todos",'Plan mensual'!N64,0)))*parametros_manuales!$I$38*parametros_manuales!$J$38</f>
        <v>2493.06571228</v>
      </c>
      <c r="M156" s="9" t="n">
        <f aca="false">(parametros_manuales!$D$38*('Plan mensual'!O57+IF(parametros_manuales!$H$38="Todos",'Plan mensual'!O61,0))+parametros_manuales!$E$38*('Plan mensual'!O58+IF(parametros_manuales!$H$38="Todos",'Plan mensual'!O62,0))+parametros_manuales!$F$38*('Plan mensual'!O59+IF(parametros_manuales!$H$38="Todos",'Plan mensual'!O63,0))+parametros_manuales!$G$38*('Plan mensual'!O60+IF(parametros_manuales!$H$38="Todos",'Plan mensual'!O64,0)))*parametros_manuales!$I$38*parametros_manuales!$J$38</f>
        <v>3951.14666159</v>
      </c>
      <c r="N156" s="9" t="n">
        <f aca="false">SUM(B156:M156)</f>
        <v>34499.492099</v>
      </c>
      <c r="O156" s="9" t="n">
        <f aca="false">MAX(B156:M156)</f>
        <v>3951.14666159</v>
      </c>
      <c r="P156" s="43" t="n">
        <f aca="false">O156/(parametros_manuales!$B$7)</f>
        <v>26.3409777439333</v>
      </c>
      <c r="Q156" s="8" t="str">
        <f aca="false">IF(O156=0,"-",INDEX($B$136:$M$136,MATCH(O156,B156:M156,0)))</f>
        <v>Dic</v>
      </c>
    </row>
    <row r="157" customFormat="false" ht="14.25" hidden="false" customHeight="true" outlineLevel="0" collapsed="false">
      <c r="A157" s="8" t="str">
        <f aca="false">parametros_manuales!$B$39</f>
        <v>Ensamblaje</v>
      </c>
      <c r="B157" s="9" t="n">
        <f aca="false">(parametros_manuales!$D$39*('Plan mensual'!D57+IF(parametros_manuales!$H$39="Todos",'Plan mensual'!D61,0))+parametros_manuales!$E$39*('Plan mensual'!D58+IF(parametros_manuales!$H$39="Todos",'Plan mensual'!D62,0))+parametros_manuales!$F$39*('Plan mensual'!D59+IF(parametros_manuales!$H$39="Todos",'Plan mensual'!D63,0))+parametros_manuales!$G$39*('Plan mensual'!D60+IF(parametros_manuales!$H$39="Todos",'Plan mensual'!D64,0)))*parametros_manuales!$I$39*parametros_manuales!$J$39</f>
        <v>3762.3542713</v>
      </c>
      <c r="C157" s="9" t="n">
        <f aca="false">(parametros_manuales!$D$39*('Plan mensual'!E57+IF(parametros_manuales!$H$39="Todos",'Plan mensual'!E61,0))+parametros_manuales!$E$39*('Plan mensual'!E58+IF(parametros_manuales!$H$39="Todos",'Plan mensual'!E62,0))+parametros_manuales!$F$39*('Plan mensual'!E59+IF(parametros_manuales!$H$39="Todos",'Plan mensual'!E63,0))+parametros_manuales!$G$39*('Plan mensual'!E60+IF(parametros_manuales!$H$39="Todos",'Plan mensual'!E64,0)))*parametros_manuales!$I$39*parametros_manuales!$J$39</f>
        <v>2916.16189862</v>
      </c>
      <c r="D157" s="9" t="n">
        <f aca="false">(parametros_manuales!$D$39*('Plan mensual'!F57+IF(parametros_manuales!$H$39="Todos",'Plan mensual'!F61,0))+parametros_manuales!$E$39*('Plan mensual'!F58+IF(parametros_manuales!$H$39="Todos",'Plan mensual'!F62,0))+parametros_manuales!$F$39*('Plan mensual'!F59+IF(parametros_manuales!$H$39="Todos",'Plan mensual'!F63,0))+parametros_manuales!$G$39*('Plan mensual'!F60+IF(parametros_manuales!$H$39="Todos",'Plan mensual'!F64,0)))*parametros_manuales!$I$39*parametros_manuales!$J$39</f>
        <v>2854.355563065</v>
      </c>
      <c r="E157" s="9" t="n">
        <f aca="false">(parametros_manuales!$D$39*('Plan mensual'!G57+IF(parametros_manuales!$H$39="Todos",'Plan mensual'!G61,0))+parametros_manuales!$E$39*('Plan mensual'!G58+IF(parametros_manuales!$H$39="Todos",'Plan mensual'!G62,0))+parametros_manuales!$F$39*('Plan mensual'!G59+IF(parametros_manuales!$H$39="Todos",'Plan mensual'!G63,0))+parametros_manuales!$G$39*('Plan mensual'!G60+IF(parametros_manuales!$H$39="Todos",'Plan mensual'!G64,0)))*parametros_manuales!$I$39*parametros_manuales!$J$39</f>
        <v>2776.254297715</v>
      </c>
      <c r="F157" s="9" t="n">
        <f aca="false">(parametros_manuales!$D$39*('Plan mensual'!H57+IF(parametros_manuales!$H$39="Todos",'Plan mensual'!H61,0))+parametros_manuales!$E$39*('Plan mensual'!H58+IF(parametros_manuales!$H$39="Todos",'Plan mensual'!H62,0))+parametros_manuales!$F$39*('Plan mensual'!H59+IF(parametros_manuales!$H$39="Todos",'Plan mensual'!H63,0))+parametros_manuales!$G$39*('Plan mensual'!H60+IF(parametros_manuales!$H$39="Todos",'Plan mensual'!H64,0)))*parametros_manuales!$I$39*parametros_manuales!$J$39</f>
        <v>2603.75683722</v>
      </c>
      <c r="G157" s="9" t="n">
        <f aca="false">(parametros_manuales!$D$39*('Plan mensual'!I57+IF(parametros_manuales!$H$39="Todos",'Plan mensual'!I61,0))+parametros_manuales!$E$39*('Plan mensual'!I58+IF(parametros_manuales!$H$39="Todos",'Plan mensual'!I62,0))+parametros_manuales!$F$39*('Plan mensual'!I59+IF(parametros_manuales!$H$39="Todos",'Plan mensual'!I63,0))+parametros_manuales!$G$39*('Plan mensual'!I60+IF(parametros_manuales!$H$39="Todos",'Plan mensual'!I64,0)))*parametros_manuales!$I$39*parametros_manuales!$J$39</f>
        <v>2509.360642075</v>
      </c>
      <c r="H157" s="9" t="n">
        <f aca="false">(parametros_manuales!$D$39*('Plan mensual'!J57+IF(parametros_manuales!$H$39="Todos",'Plan mensual'!J61,0))+parametros_manuales!$E$39*('Plan mensual'!J58+IF(parametros_manuales!$H$39="Todos",'Plan mensual'!J62,0))+parametros_manuales!$F$39*('Plan mensual'!J59+IF(parametros_manuales!$H$39="Todos",'Plan mensual'!J63,0))+parametros_manuales!$G$39*('Plan mensual'!J60+IF(parametros_manuales!$H$39="Todos",'Plan mensual'!J64,0)))*parametros_manuales!$I$39*parametros_manuales!$J$39</f>
        <v>2681.85810257</v>
      </c>
      <c r="I157" s="9" t="n">
        <f aca="false">(parametros_manuales!$D$39*('Plan mensual'!K57+IF(parametros_manuales!$H$39="Todos",'Plan mensual'!K61,0))+parametros_manuales!$E$39*('Plan mensual'!K58+IF(parametros_manuales!$H$39="Todos",'Plan mensual'!K62,0))+parametros_manuales!$F$39*('Plan mensual'!K59+IF(parametros_manuales!$H$39="Todos",'Plan mensual'!K63,0))+parametros_manuales!$G$39*('Plan mensual'!K60+IF(parametros_manuales!$H$39="Todos",'Plan mensual'!K64,0)))*parametros_manuales!$I$39*parametros_manuales!$J$39</f>
        <v>2681.85810257</v>
      </c>
      <c r="J157" s="9" t="n">
        <f aca="false">(parametros_manuales!$D$39*('Plan mensual'!L57+IF(parametros_manuales!$H$39="Todos",'Plan mensual'!L61,0))+parametros_manuales!$E$39*('Plan mensual'!L58+IF(parametros_manuales!$H$39="Todos",'Plan mensual'!L62,0))+parametros_manuales!$F$39*('Plan mensual'!L59+IF(parametros_manuales!$H$39="Todos",'Plan mensual'!L63,0))+parametros_manuales!$G$39*('Plan mensual'!L60+IF(parametros_manuales!$H$39="Todos",'Plan mensual'!L64,0)))*parametros_manuales!$I$39*parametros_manuales!$J$39</f>
        <v>2681.85810257</v>
      </c>
      <c r="K157" s="9" t="n">
        <f aca="false">(parametros_manuales!$D$39*('Plan mensual'!M57+IF(parametros_manuales!$H$39="Todos",'Plan mensual'!M61,0))+parametros_manuales!$E$39*('Plan mensual'!M58+IF(parametros_manuales!$H$39="Todos",'Plan mensual'!M62,0))+parametros_manuales!$F$39*('Plan mensual'!M59+IF(parametros_manuales!$H$39="Todos",'Plan mensual'!M63,0))+parametros_manuales!$G$39*('Plan mensual'!M60+IF(parametros_manuales!$H$39="Todos",'Plan mensual'!M64,0)))*parametros_manuales!$I$39*parametros_manuales!$J$39</f>
        <v>2587.461907425</v>
      </c>
      <c r="L157" s="9" t="n">
        <f aca="false">(parametros_manuales!$D$39*('Plan mensual'!N57+IF(parametros_manuales!$H$39="Todos",'Plan mensual'!N61,0))+parametros_manuales!$E$39*('Plan mensual'!N58+IF(parametros_manuales!$H$39="Todos",'Plan mensual'!N62,0))+parametros_manuales!$F$39*('Plan mensual'!N59+IF(parametros_manuales!$H$39="Todos",'Plan mensual'!N63,0))+parametros_manuales!$G$39*('Plan mensual'!N60+IF(parametros_manuales!$H$39="Todos",'Plan mensual'!N64,0)))*parametros_manuales!$I$39*parametros_manuales!$J$39</f>
        <v>2493.06571228</v>
      </c>
      <c r="M157" s="9" t="n">
        <f aca="false">(parametros_manuales!$D$39*('Plan mensual'!O57+IF(parametros_manuales!$H$39="Todos",'Plan mensual'!O61,0))+parametros_manuales!$E$39*('Plan mensual'!O58+IF(parametros_manuales!$H$39="Todos",'Plan mensual'!O62,0))+parametros_manuales!$F$39*('Plan mensual'!O59+IF(parametros_manuales!$H$39="Todos",'Plan mensual'!O63,0))+parametros_manuales!$G$39*('Plan mensual'!O60+IF(parametros_manuales!$H$39="Todos",'Plan mensual'!O64,0)))*parametros_manuales!$I$39*parametros_manuales!$J$39</f>
        <v>3951.14666159</v>
      </c>
      <c r="N157" s="9" t="n">
        <f aca="false">SUM(B157:M157)</f>
        <v>34499.492099</v>
      </c>
      <c r="O157" s="9" t="n">
        <f aca="false">MAX(B157:M157)</f>
        <v>3951.14666159</v>
      </c>
      <c r="P157" s="43" t="n">
        <f aca="false">O157/(parametros_manuales!$B$7)</f>
        <v>26.3409777439333</v>
      </c>
      <c r="Q157" s="8" t="str">
        <f aca="false">IF(O157=0,"-",INDEX($B$136:$M$136,MATCH(O157,B157:M157,0)))</f>
        <v>Dic</v>
      </c>
    </row>
    <row r="158" customFormat="false" ht="14.25" hidden="false" customHeight="true" outlineLevel="0" collapsed="false">
      <c r="A158" s="8" t="str">
        <f aca="false">parametros_manuales!$B$40</f>
        <v>Presurización</v>
      </c>
      <c r="B158" s="9" t="n">
        <f aca="false">(parametros_manuales!$D$40*('Plan mensual'!D57+IF(parametros_manuales!$H$40="Todos",'Plan mensual'!D61,0))+parametros_manuales!$E$40*('Plan mensual'!D58+IF(parametros_manuales!$H$40="Todos",'Plan mensual'!D62,0))+parametros_manuales!$F$40*('Plan mensual'!D59+IF(parametros_manuales!$H$40="Todos",'Plan mensual'!D63,0))+parametros_manuales!$G$40*('Plan mensual'!D60+IF(parametros_manuales!$H$40="Todos",'Plan mensual'!D64,0)))*parametros_manuales!$I$40*parametros_manuales!$J$40</f>
        <v>3762.3542713</v>
      </c>
      <c r="C158" s="9" t="n">
        <f aca="false">(parametros_manuales!$D$40*('Plan mensual'!E57+IF(parametros_manuales!$H$40="Todos",'Plan mensual'!E61,0))+parametros_manuales!$E$40*('Plan mensual'!E58+IF(parametros_manuales!$H$40="Todos",'Plan mensual'!E62,0))+parametros_manuales!$F$40*('Plan mensual'!E59+IF(parametros_manuales!$H$40="Todos",'Plan mensual'!E63,0))+parametros_manuales!$G$40*('Plan mensual'!E60+IF(parametros_manuales!$H$40="Todos",'Plan mensual'!E64,0)))*parametros_manuales!$I$40*parametros_manuales!$J$40</f>
        <v>2916.16189862</v>
      </c>
      <c r="D158" s="9" t="n">
        <f aca="false">(parametros_manuales!$D$40*('Plan mensual'!F57+IF(parametros_manuales!$H$40="Todos",'Plan mensual'!F61,0))+parametros_manuales!$E$40*('Plan mensual'!F58+IF(parametros_manuales!$H$40="Todos",'Plan mensual'!F62,0))+parametros_manuales!$F$40*('Plan mensual'!F59+IF(parametros_manuales!$H$40="Todos",'Plan mensual'!F63,0))+parametros_manuales!$G$40*('Plan mensual'!F60+IF(parametros_manuales!$H$40="Todos",'Plan mensual'!F64,0)))*parametros_manuales!$I$40*parametros_manuales!$J$40</f>
        <v>2854.355563065</v>
      </c>
      <c r="E158" s="9" t="n">
        <f aca="false">(parametros_manuales!$D$40*('Plan mensual'!G57+IF(parametros_manuales!$H$40="Todos",'Plan mensual'!G61,0))+parametros_manuales!$E$40*('Plan mensual'!G58+IF(parametros_manuales!$H$40="Todos",'Plan mensual'!G62,0))+parametros_manuales!$F$40*('Plan mensual'!G59+IF(parametros_manuales!$H$40="Todos",'Plan mensual'!G63,0))+parametros_manuales!$G$40*('Plan mensual'!G60+IF(parametros_manuales!$H$40="Todos",'Plan mensual'!G64,0)))*parametros_manuales!$I$40*parametros_manuales!$J$40</f>
        <v>2776.254297715</v>
      </c>
      <c r="F158" s="9" t="n">
        <f aca="false">(parametros_manuales!$D$40*('Plan mensual'!H57+IF(parametros_manuales!$H$40="Todos",'Plan mensual'!H61,0))+parametros_manuales!$E$40*('Plan mensual'!H58+IF(parametros_manuales!$H$40="Todos",'Plan mensual'!H62,0))+parametros_manuales!$F$40*('Plan mensual'!H59+IF(parametros_manuales!$H$40="Todos",'Plan mensual'!H63,0))+parametros_manuales!$G$40*('Plan mensual'!H60+IF(parametros_manuales!$H$40="Todos",'Plan mensual'!H64,0)))*parametros_manuales!$I$40*parametros_manuales!$J$40</f>
        <v>2603.75683722</v>
      </c>
      <c r="G158" s="9" t="n">
        <f aca="false">(parametros_manuales!$D$40*('Plan mensual'!I57+IF(parametros_manuales!$H$40="Todos",'Plan mensual'!I61,0))+parametros_manuales!$E$40*('Plan mensual'!I58+IF(parametros_manuales!$H$40="Todos",'Plan mensual'!I62,0))+parametros_manuales!$F$40*('Plan mensual'!I59+IF(parametros_manuales!$H$40="Todos",'Plan mensual'!I63,0))+parametros_manuales!$G$40*('Plan mensual'!I60+IF(parametros_manuales!$H$40="Todos",'Plan mensual'!I64,0)))*parametros_manuales!$I$40*parametros_manuales!$J$40</f>
        <v>2509.360642075</v>
      </c>
      <c r="H158" s="9" t="n">
        <f aca="false">(parametros_manuales!$D$40*('Plan mensual'!J57+IF(parametros_manuales!$H$40="Todos",'Plan mensual'!J61,0))+parametros_manuales!$E$40*('Plan mensual'!J58+IF(parametros_manuales!$H$40="Todos",'Plan mensual'!J62,0))+parametros_manuales!$F$40*('Plan mensual'!J59+IF(parametros_manuales!$H$40="Todos",'Plan mensual'!J63,0))+parametros_manuales!$G$40*('Plan mensual'!J60+IF(parametros_manuales!$H$40="Todos",'Plan mensual'!J64,0)))*parametros_manuales!$I$40*parametros_manuales!$J$40</f>
        <v>2681.85810257</v>
      </c>
      <c r="I158" s="9" t="n">
        <f aca="false">(parametros_manuales!$D$40*('Plan mensual'!K57+IF(parametros_manuales!$H$40="Todos",'Plan mensual'!K61,0))+parametros_manuales!$E$40*('Plan mensual'!K58+IF(parametros_manuales!$H$40="Todos",'Plan mensual'!K62,0))+parametros_manuales!$F$40*('Plan mensual'!K59+IF(parametros_manuales!$H$40="Todos",'Plan mensual'!K63,0))+parametros_manuales!$G$40*('Plan mensual'!K60+IF(parametros_manuales!$H$40="Todos",'Plan mensual'!K64,0)))*parametros_manuales!$I$40*parametros_manuales!$J$40</f>
        <v>2681.85810257</v>
      </c>
      <c r="J158" s="9" t="n">
        <f aca="false">(parametros_manuales!$D$40*('Plan mensual'!L57+IF(parametros_manuales!$H$40="Todos",'Plan mensual'!L61,0))+parametros_manuales!$E$40*('Plan mensual'!L58+IF(parametros_manuales!$H$40="Todos",'Plan mensual'!L62,0))+parametros_manuales!$F$40*('Plan mensual'!L59+IF(parametros_manuales!$H$40="Todos",'Plan mensual'!L63,0))+parametros_manuales!$G$40*('Plan mensual'!L60+IF(parametros_manuales!$H$40="Todos",'Plan mensual'!L64,0)))*parametros_manuales!$I$40*parametros_manuales!$J$40</f>
        <v>2681.85810257</v>
      </c>
      <c r="K158" s="9" t="n">
        <f aca="false">(parametros_manuales!$D$40*('Plan mensual'!M57+IF(parametros_manuales!$H$40="Todos",'Plan mensual'!M61,0))+parametros_manuales!$E$40*('Plan mensual'!M58+IF(parametros_manuales!$H$40="Todos",'Plan mensual'!M62,0))+parametros_manuales!$F$40*('Plan mensual'!M59+IF(parametros_manuales!$H$40="Todos",'Plan mensual'!M63,0))+parametros_manuales!$G$40*('Plan mensual'!M60+IF(parametros_manuales!$H$40="Todos",'Plan mensual'!M64,0)))*parametros_manuales!$I$40*parametros_manuales!$J$40</f>
        <v>2587.461907425</v>
      </c>
      <c r="L158" s="9" t="n">
        <f aca="false">(parametros_manuales!$D$40*('Plan mensual'!N57+IF(parametros_manuales!$H$40="Todos",'Plan mensual'!N61,0))+parametros_manuales!$E$40*('Plan mensual'!N58+IF(parametros_manuales!$H$40="Todos",'Plan mensual'!N62,0))+parametros_manuales!$F$40*('Plan mensual'!N59+IF(parametros_manuales!$H$40="Todos",'Plan mensual'!N63,0))+parametros_manuales!$G$40*('Plan mensual'!N60+IF(parametros_manuales!$H$40="Todos",'Plan mensual'!N64,0)))*parametros_manuales!$I$40*parametros_manuales!$J$40</f>
        <v>2493.06571228</v>
      </c>
      <c r="M158" s="9" t="n">
        <f aca="false">(parametros_manuales!$D$40*('Plan mensual'!O57+IF(parametros_manuales!$H$40="Todos",'Plan mensual'!O61,0))+parametros_manuales!$E$40*('Plan mensual'!O58+IF(parametros_manuales!$H$40="Todos",'Plan mensual'!O62,0))+parametros_manuales!$F$40*('Plan mensual'!O59+IF(parametros_manuales!$H$40="Todos",'Plan mensual'!O63,0))+parametros_manuales!$G$40*('Plan mensual'!O60+IF(parametros_manuales!$H$40="Todos",'Plan mensual'!O64,0)))*parametros_manuales!$I$40*parametros_manuales!$J$40</f>
        <v>3951.14666159</v>
      </c>
      <c r="N158" s="9" t="n">
        <f aca="false">SUM(B158:M158)</f>
        <v>34499.492099</v>
      </c>
      <c r="O158" s="9" t="n">
        <f aca="false">MAX(B158:M158)</f>
        <v>3951.14666159</v>
      </c>
      <c r="P158" s="43" t="n">
        <f aca="false">O158/(parametros_manuales!$B$7)</f>
        <v>26.3409777439333</v>
      </c>
      <c r="Q158" s="8" t="str">
        <f aca="false">IF(O158=0,"-",INDEX($B$136:$M$136,MATCH(O158,B158:M158,0)))</f>
        <v>Dic</v>
      </c>
    </row>
    <row r="159" customFormat="false" ht="14.25" hidden="false" customHeight="true" outlineLevel="0" collapsed="false">
      <c r="A159" s="8" t="str">
        <f aca="false">parametros_manuales!$B$41</f>
        <v>Control de calidad — Ensayo de pérdidas</v>
      </c>
      <c r="B159" s="9" t="n">
        <f aca="false">(parametros_manuales!$D$41*('Plan mensual'!D57+IF(parametros_manuales!$H$41="Todos",'Plan mensual'!D61,0))+parametros_manuales!$E$41*('Plan mensual'!D58+IF(parametros_manuales!$H$41="Todos",'Plan mensual'!D62,0))+parametros_manuales!$F$41*('Plan mensual'!D59+IF(parametros_manuales!$H$41="Todos",'Plan mensual'!D63,0))+parametros_manuales!$G$41*('Plan mensual'!D60+IF(parametros_manuales!$H$41="Todos",'Plan mensual'!D64,0)))*parametros_manuales!$I$41*parametros_manuales!$J$41</f>
        <v>3762.3542713</v>
      </c>
      <c r="C159" s="9" t="n">
        <f aca="false">(parametros_manuales!$D$41*('Plan mensual'!E57+IF(parametros_manuales!$H$41="Todos",'Plan mensual'!E61,0))+parametros_manuales!$E$41*('Plan mensual'!E58+IF(parametros_manuales!$H$41="Todos",'Plan mensual'!E62,0))+parametros_manuales!$F$41*('Plan mensual'!E59+IF(parametros_manuales!$H$41="Todos",'Plan mensual'!E63,0))+parametros_manuales!$G$41*('Plan mensual'!E60+IF(parametros_manuales!$H$41="Todos",'Plan mensual'!E64,0)))*parametros_manuales!$I$41*parametros_manuales!$J$41</f>
        <v>2916.16189862</v>
      </c>
      <c r="D159" s="9" t="n">
        <f aca="false">(parametros_manuales!$D$41*('Plan mensual'!F57+IF(parametros_manuales!$H$41="Todos",'Plan mensual'!F61,0))+parametros_manuales!$E$41*('Plan mensual'!F58+IF(parametros_manuales!$H$41="Todos",'Plan mensual'!F62,0))+parametros_manuales!$F$41*('Plan mensual'!F59+IF(parametros_manuales!$H$41="Todos",'Plan mensual'!F63,0))+parametros_manuales!$G$41*('Plan mensual'!F60+IF(parametros_manuales!$H$41="Todos",'Plan mensual'!F64,0)))*parametros_manuales!$I$41*parametros_manuales!$J$41</f>
        <v>2854.355563065</v>
      </c>
      <c r="E159" s="9" t="n">
        <f aca="false">(parametros_manuales!$D$41*('Plan mensual'!G57+IF(parametros_manuales!$H$41="Todos",'Plan mensual'!G61,0))+parametros_manuales!$E$41*('Plan mensual'!G58+IF(parametros_manuales!$H$41="Todos",'Plan mensual'!G62,0))+parametros_manuales!$F$41*('Plan mensual'!G59+IF(parametros_manuales!$H$41="Todos",'Plan mensual'!G63,0))+parametros_manuales!$G$41*('Plan mensual'!G60+IF(parametros_manuales!$H$41="Todos",'Plan mensual'!G64,0)))*parametros_manuales!$I$41*parametros_manuales!$J$41</f>
        <v>2776.254297715</v>
      </c>
      <c r="F159" s="9" t="n">
        <f aca="false">(parametros_manuales!$D$41*('Plan mensual'!H57+IF(parametros_manuales!$H$41="Todos",'Plan mensual'!H61,0))+parametros_manuales!$E$41*('Plan mensual'!H58+IF(parametros_manuales!$H$41="Todos",'Plan mensual'!H62,0))+parametros_manuales!$F$41*('Plan mensual'!H59+IF(parametros_manuales!$H$41="Todos",'Plan mensual'!H63,0))+parametros_manuales!$G$41*('Plan mensual'!H60+IF(parametros_manuales!$H$41="Todos",'Plan mensual'!H64,0)))*parametros_manuales!$I$41*parametros_manuales!$J$41</f>
        <v>2603.75683722</v>
      </c>
      <c r="G159" s="9" t="n">
        <f aca="false">(parametros_manuales!$D$41*('Plan mensual'!I57+IF(parametros_manuales!$H$41="Todos",'Plan mensual'!I61,0))+parametros_manuales!$E$41*('Plan mensual'!I58+IF(parametros_manuales!$H$41="Todos",'Plan mensual'!I62,0))+parametros_manuales!$F$41*('Plan mensual'!I59+IF(parametros_manuales!$H$41="Todos",'Plan mensual'!I63,0))+parametros_manuales!$G$41*('Plan mensual'!I60+IF(parametros_manuales!$H$41="Todos",'Plan mensual'!I64,0)))*parametros_manuales!$I$41*parametros_manuales!$J$41</f>
        <v>2509.360642075</v>
      </c>
      <c r="H159" s="9" t="n">
        <f aca="false">(parametros_manuales!$D$41*('Plan mensual'!J57+IF(parametros_manuales!$H$41="Todos",'Plan mensual'!J61,0))+parametros_manuales!$E$41*('Plan mensual'!J58+IF(parametros_manuales!$H$41="Todos",'Plan mensual'!J62,0))+parametros_manuales!$F$41*('Plan mensual'!J59+IF(parametros_manuales!$H$41="Todos",'Plan mensual'!J63,0))+parametros_manuales!$G$41*('Plan mensual'!J60+IF(parametros_manuales!$H$41="Todos",'Plan mensual'!J64,0)))*parametros_manuales!$I$41*parametros_manuales!$J$41</f>
        <v>2681.85810257</v>
      </c>
      <c r="I159" s="9" t="n">
        <f aca="false">(parametros_manuales!$D$41*('Plan mensual'!K57+IF(parametros_manuales!$H$41="Todos",'Plan mensual'!K61,0))+parametros_manuales!$E$41*('Plan mensual'!K58+IF(parametros_manuales!$H$41="Todos",'Plan mensual'!K62,0))+parametros_manuales!$F$41*('Plan mensual'!K59+IF(parametros_manuales!$H$41="Todos",'Plan mensual'!K63,0))+parametros_manuales!$G$41*('Plan mensual'!K60+IF(parametros_manuales!$H$41="Todos",'Plan mensual'!K64,0)))*parametros_manuales!$I$41*parametros_manuales!$J$41</f>
        <v>2681.85810257</v>
      </c>
      <c r="J159" s="9" t="n">
        <f aca="false">(parametros_manuales!$D$41*('Plan mensual'!L57+IF(parametros_manuales!$H$41="Todos",'Plan mensual'!L61,0))+parametros_manuales!$E$41*('Plan mensual'!L58+IF(parametros_manuales!$H$41="Todos",'Plan mensual'!L62,0))+parametros_manuales!$F$41*('Plan mensual'!L59+IF(parametros_manuales!$H$41="Todos",'Plan mensual'!L63,0))+parametros_manuales!$G$41*('Plan mensual'!L60+IF(parametros_manuales!$H$41="Todos",'Plan mensual'!L64,0)))*parametros_manuales!$I$41*parametros_manuales!$J$41</f>
        <v>2681.85810257</v>
      </c>
      <c r="K159" s="9" t="n">
        <f aca="false">(parametros_manuales!$D$41*('Plan mensual'!M57+IF(parametros_manuales!$H$41="Todos",'Plan mensual'!M61,0))+parametros_manuales!$E$41*('Plan mensual'!M58+IF(parametros_manuales!$H$41="Todos",'Plan mensual'!M62,0))+parametros_manuales!$F$41*('Plan mensual'!M59+IF(parametros_manuales!$H$41="Todos",'Plan mensual'!M63,0))+parametros_manuales!$G$41*('Plan mensual'!M60+IF(parametros_manuales!$H$41="Todos",'Plan mensual'!M64,0)))*parametros_manuales!$I$41*parametros_manuales!$J$41</f>
        <v>2587.461907425</v>
      </c>
      <c r="L159" s="9" t="n">
        <f aca="false">(parametros_manuales!$D$41*('Plan mensual'!N57+IF(parametros_manuales!$H$41="Todos",'Plan mensual'!N61,0))+parametros_manuales!$E$41*('Plan mensual'!N58+IF(parametros_manuales!$H$41="Todos",'Plan mensual'!N62,0))+parametros_manuales!$F$41*('Plan mensual'!N59+IF(parametros_manuales!$H$41="Todos",'Plan mensual'!N63,0))+parametros_manuales!$G$41*('Plan mensual'!N60+IF(parametros_manuales!$H$41="Todos",'Plan mensual'!N64,0)))*parametros_manuales!$I$41*parametros_manuales!$J$41</f>
        <v>2493.06571228</v>
      </c>
      <c r="M159" s="9" t="n">
        <f aca="false">(parametros_manuales!$D$41*('Plan mensual'!O57+IF(parametros_manuales!$H$41="Todos",'Plan mensual'!O61,0))+parametros_manuales!$E$41*('Plan mensual'!O58+IF(parametros_manuales!$H$41="Todos",'Plan mensual'!O62,0))+parametros_manuales!$F$41*('Plan mensual'!O59+IF(parametros_manuales!$H$41="Todos",'Plan mensual'!O63,0))+parametros_manuales!$G$41*('Plan mensual'!O60+IF(parametros_manuales!$H$41="Todos",'Plan mensual'!O64,0)))*parametros_manuales!$I$41*parametros_manuales!$J$41</f>
        <v>3951.14666159</v>
      </c>
      <c r="N159" s="9" t="n">
        <f aca="false">SUM(B159:M159)</f>
        <v>34499.492099</v>
      </c>
      <c r="O159" s="9" t="n">
        <f aca="false">MAX(B159:M159)</f>
        <v>3951.14666159</v>
      </c>
      <c r="P159" s="43" t="n">
        <f aca="false">O159/(parametros_manuales!$B$7)</f>
        <v>26.3409777439333</v>
      </c>
      <c r="Q159" s="8" t="str">
        <f aca="false">IF(O159=0,"-",INDEX($B$136:$M$136,MATCH(O159,B159:M159,0)))</f>
        <v>Dic</v>
      </c>
    </row>
    <row r="160" customFormat="false" ht="14.25" hidden="false" customHeight="true" outlineLevel="0" collapsed="false">
      <c r="A160" s="8" t="str">
        <f aca="false">parametros_manuales!$B$42</f>
        <v>Etiquetado</v>
      </c>
      <c r="B160" s="9" t="n">
        <f aca="false">(parametros_manuales!$D$42*('Plan mensual'!D57+IF(parametros_manuales!$H$42="Todos",'Plan mensual'!D61,0))+parametros_manuales!$E$42*('Plan mensual'!D58+IF(parametros_manuales!$H$42="Todos",'Plan mensual'!D62,0))+parametros_manuales!$F$42*('Plan mensual'!D59+IF(parametros_manuales!$H$42="Todos",'Plan mensual'!D63,0))+parametros_manuales!$G$42*('Plan mensual'!D60+IF(parametros_manuales!$H$42="Todos",'Plan mensual'!D64,0)))*parametros_manuales!$I$42*parametros_manuales!$J$42</f>
        <v>3762.3542713</v>
      </c>
      <c r="C160" s="9" t="n">
        <f aca="false">(parametros_manuales!$D$42*('Plan mensual'!E57+IF(parametros_manuales!$H$42="Todos",'Plan mensual'!E61,0))+parametros_manuales!$E$42*('Plan mensual'!E58+IF(parametros_manuales!$H$42="Todos",'Plan mensual'!E62,0))+parametros_manuales!$F$42*('Plan mensual'!E59+IF(parametros_manuales!$H$42="Todos",'Plan mensual'!E63,0))+parametros_manuales!$G$42*('Plan mensual'!E60+IF(parametros_manuales!$H$42="Todos",'Plan mensual'!E64,0)))*parametros_manuales!$I$42*parametros_manuales!$J$42</f>
        <v>2916.16189862</v>
      </c>
      <c r="D160" s="9" t="n">
        <f aca="false">(parametros_manuales!$D$42*('Plan mensual'!F57+IF(parametros_manuales!$H$42="Todos",'Plan mensual'!F61,0))+parametros_manuales!$E$42*('Plan mensual'!F58+IF(parametros_manuales!$H$42="Todos",'Plan mensual'!F62,0))+parametros_manuales!$F$42*('Plan mensual'!F59+IF(parametros_manuales!$H$42="Todos",'Plan mensual'!F63,0))+parametros_manuales!$G$42*('Plan mensual'!F60+IF(parametros_manuales!$H$42="Todos",'Plan mensual'!F64,0)))*parametros_manuales!$I$42*parametros_manuales!$J$42</f>
        <v>2854.355563065</v>
      </c>
      <c r="E160" s="9" t="n">
        <f aca="false">(parametros_manuales!$D$42*('Plan mensual'!G57+IF(parametros_manuales!$H$42="Todos",'Plan mensual'!G61,0))+parametros_manuales!$E$42*('Plan mensual'!G58+IF(parametros_manuales!$H$42="Todos",'Plan mensual'!G62,0))+parametros_manuales!$F$42*('Plan mensual'!G59+IF(parametros_manuales!$H$42="Todos",'Plan mensual'!G63,0))+parametros_manuales!$G$42*('Plan mensual'!G60+IF(parametros_manuales!$H$42="Todos",'Plan mensual'!G64,0)))*parametros_manuales!$I$42*parametros_manuales!$J$42</f>
        <v>2776.254297715</v>
      </c>
      <c r="F160" s="9" t="n">
        <f aca="false">(parametros_manuales!$D$42*('Plan mensual'!H57+IF(parametros_manuales!$H$42="Todos",'Plan mensual'!H61,0))+parametros_manuales!$E$42*('Plan mensual'!H58+IF(parametros_manuales!$H$42="Todos",'Plan mensual'!H62,0))+parametros_manuales!$F$42*('Plan mensual'!H59+IF(parametros_manuales!$H$42="Todos",'Plan mensual'!H63,0))+parametros_manuales!$G$42*('Plan mensual'!H60+IF(parametros_manuales!$H$42="Todos",'Plan mensual'!H64,0)))*parametros_manuales!$I$42*parametros_manuales!$J$42</f>
        <v>2603.75683722</v>
      </c>
      <c r="G160" s="9" t="n">
        <f aca="false">(parametros_manuales!$D$42*('Plan mensual'!I57+IF(parametros_manuales!$H$42="Todos",'Plan mensual'!I61,0))+parametros_manuales!$E$42*('Plan mensual'!I58+IF(parametros_manuales!$H$42="Todos",'Plan mensual'!I62,0))+parametros_manuales!$F$42*('Plan mensual'!I59+IF(parametros_manuales!$H$42="Todos",'Plan mensual'!I63,0))+parametros_manuales!$G$42*('Plan mensual'!I60+IF(parametros_manuales!$H$42="Todos",'Plan mensual'!I64,0)))*parametros_manuales!$I$42*parametros_manuales!$J$42</f>
        <v>2509.360642075</v>
      </c>
      <c r="H160" s="9" t="n">
        <f aca="false">(parametros_manuales!$D$42*('Plan mensual'!J57+IF(parametros_manuales!$H$42="Todos",'Plan mensual'!J61,0))+parametros_manuales!$E$42*('Plan mensual'!J58+IF(parametros_manuales!$H$42="Todos",'Plan mensual'!J62,0))+parametros_manuales!$F$42*('Plan mensual'!J59+IF(parametros_manuales!$H$42="Todos",'Plan mensual'!J63,0))+parametros_manuales!$G$42*('Plan mensual'!J60+IF(parametros_manuales!$H$42="Todos",'Plan mensual'!J64,0)))*parametros_manuales!$I$42*parametros_manuales!$J$42</f>
        <v>2681.85810257</v>
      </c>
      <c r="I160" s="9" t="n">
        <f aca="false">(parametros_manuales!$D$42*('Plan mensual'!K57+IF(parametros_manuales!$H$42="Todos",'Plan mensual'!K61,0))+parametros_manuales!$E$42*('Plan mensual'!K58+IF(parametros_manuales!$H$42="Todos",'Plan mensual'!K62,0))+parametros_manuales!$F$42*('Plan mensual'!K59+IF(parametros_manuales!$H$42="Todos",'Plan mensual'!K63,0))+parametros_manuales!$G$42*('Plan mensual'!K60+IF(parametros_manuales!$H$42="Todos",'Plan mensual'!K64,0)))*parametros_manuales!$I$42*parametros_manuales!$J$42</f>
        <v>2681.85810257</v>
      </c>
      <c r="J160" s="9" t="n">
        <f aca="false">(parametros_manuales!$D$42*('Plan mensual'!L57+IF(parametros_manuales!$H$42="Todos",'Plan mensual'!L61,0))+parametros_manuales!$E$42*('Plan mensual'!L58+IF(parametros_manuales!$H$42="Todos",'Plan mensual'!L62,0))+parametros_manuales!$F$42*('Plan mensual'!L59+IF(parametros_manuales!$H$42="Todos",'Plan mensual'!L63,0))+parametros_manuales!$G$42*('Plan mensual'!L60+IF(parametros_manuales!$H$42="Todos",'Plan mensual'!L64,0)))*parametros_manuales!$I$42*parametros_manuales!$J$42</f>
        <v>2681.85810257</v>
      </c>
      <c r="K160" s="9" t="n">
        <f aca="false">(parametros_manuales!$D$42*('Plan mensual'!M57+IF(parametros_manuales!$H$42="Todos",'Plan mensual'!M61,0))+parametros_manuales!$E$42*('Plan mensual'!M58+IF(parametros_manuales!$H$42="Todos",'Plan mensual'!M62,0))+parametros_manuales!$F$42*('Plan mensual'!M59+IF(parametros_manuales!$H$42="Todos",'Plan mensual'!M63,0))+parametros_manuales!$G$42*('Plan mensual'!M60+IF(parametros_manuales!$H$42="Todos",'Plan mensual'!M64,0)))*parametros_manuales!$I$42*parametros_manuales!$J$42</f>
        <v>2587.461907425</v>
      </c>
      <c r="L160" s="9" t="n">
        <f aca="false">(parametros_manuales!$D$42*('Plan mensual'!N57+IF(parametros_manuales!$H$42="Todos",'Plan mensual'!N61,0))+parametros_manuales!$E$42*('Plan mensual'!N58+IF(parametros_manuales!$H$42="Todos",'Plan mensual'!N62,0))+parametros_manuales!$F$42*('Plan mensual'!N59+IF(parametros_manuales!$H$42="Todos",'Plan mensual'!N63,0))+parametros_manuales!$G$42*('Plan mensual'!N60+IF(parametros_manuales!$H$42="Todos",'Plan mensual'!N64,0)))*parametros_manuales!$I$42*parametros_manuales!$J$42</f>
        <v>2493.06571228</v>
      </c>
      <c r="M160" s="9" t="n">
        <f aca="false">(parametros_manuales!$D$42*('Plan mensual'!O57+IF(parametros_manuales!$H$42="Todos",'Plan mensual'!O61,0))+parametros_manuales!$E$42*('Plan mensual'!O58+IF(parametros_manuales!$H$42="Todos",'Plan mensual'!O62,0))+parametros_manuales!$F$42*('Plan mensual'!O59+IF(parametros_manuales!$H$42="Todos",'Plan mensual'!O63,0))+parametros_manuales!$G$42*('Plan mensual'!O60+IF(parametros_manuales!$H$42="Todos",'Plan mensual'!O64,0)))*parametros_manuales!$I$42*parametros_manuales!$J$42</f>
        <v>3951.14666159</v>
      </c>
      <c r="N160" s="9" t="n">
        <f aca="false">SUM(B160:M160)</f>
        <v>34499.492099</v>
      </c>
      <c r="O160" s="9" t="n">
        <f aca="false">MAX(B160:M160)</f>
        <v>3951.14666159</v>
      </c>
      <c r="P160" s="43" t="n">
        <f aca="false">O160/(parametros_manuales!$B$7)</f>
        <v>26.3409777439333</v>
      </c>
      <c r="Q160" s="8" t="str">
        <f aca="false">IF(O160=0,"-",INDEX($B$136:$M$136,MATCH(O160,B160:M160,0)))</f>
        <v>Dic</v>
      </c>
    </row>
    <row r="161" customFormat="false" ht="14.25" hidden="false" customHeight="true" outlineLevel="0" collapsed="false">
      <c r="A161" s="8" t="str">
        <f aca="false">parametros_manuales!$B$43</f>
        <v>Embalaje y paletizado</v>
      </c>
      <c r="B161" s="9" t="n">
        <f aca="false">(parametros_manuales!$D$43*('Plan mensual'!D57+IF(parametros_manuales!$H$43="Todos",'Plan mensual'!D61,0))+parametros_manuales!$E$43*('Plan mensual'!D58+IF(parametros_manuales!$H$43="Todos",'Plan mensual'!D62,0))+parametros_manuales!$F$43*('Plan mensual'!D59+IF(parametros_manuales!$H$43="Todos",'Plan mensual'!D63,0))+parametros_manuales!$G$43*('Plan mensual'!D60+IF(parametros_manuales!$H$43="Todos",'Plan mensual'!D64,0)))*parametros_manuales!$I$43*parametros_manuales!$J$43</f>
        <v>14139.4822713</v>
      </c>
      <c r="C161" s="9" t="n">
        <f aca="false">(parametros_manuales!$D$43*('Plan mensual'!E57+IF(parametros_manuales!$H$43="Todos",'Plan mensual'!E61,0))+parametros_manuales!$E$43*('Plan mensual'!E58+IF(parametros_manuales!$H$43="Todos",'Plan mensual'!E62,0))+parametros_manuales!$F$43*('Plan mensual'!E59+IF(parametros_manuales!$H$43="Todos",'Plan mensual'!E63,0))+parametros_manuales!$G$43*('Plan mensual'!E60+IF(parametros_manuales!$H$43="Todos",'Plan mensual'!E64,0)))*parametros_manuales!$I$43*parametros_manuales!$J$43</f>
        <v>10787.78309862</v>
      </c>
      <c r="D161" s="9" t="n">
        <f aca="false">(parametros_manuales!$D$43*('Plan mensual'!F57+IF(parametros_manuales!$H$43="Todos",'Plan mensual'!F61,0))+parametros_manuales!$E$43*('Plan mensual'!F58+IF(parametros_manuales!$H$43="Todos",'Plan mensual'!F62,0))+parametros_manuales!$F$43*('Plan mensual'!F59+IF(parametros_manuales!$H$43="Todos",'Plan mensual'!F63,0))+parametros_manuales!$G$43*('Plan mensual'!F60+IF(parametros_manuales!$H$43="Todos",'Plan mensual'!F64,0)))*parametros_manuales!$I$43*parametros_manuales!$J$43</f>
        <v>10097.949963065</v>
      </c>
      <c r="E161" s="9" t="n">
        <f aca="false">(parametros_manuales!$D$43*('Plan mensual'!G57+IF(parametros_manuales!$H$43="Todos",'Plan mensual'!G61,0))+parametros_manuales!$E$43*('Plan mensual'!G58+IF(parametros_manuales!$H$43="Todos",'Plan mensual'!G62,0))+parametros_manuales!$F$43*('Plan mensual'!G59+IF(parametros_manuales!$H$43="Todos",'Plan mensual'!G63,0))+parametros_manuales!$G$43*('Plan mensual'!G60+IF(parametros_manuales!$H$43="Todos",'Plan mensual'!G64,0)))*parametros_manuales!$I$43*parametros_manuales!$J$43</f>
        <v>9661.447697715</v>
      </c>
      <c r="F161" s="9" t="n">
        <f aca="false">(parametros_manuales!$D$43*('Plan mensual'!H57+IF(parametros_manuales!$H$43="Todos",'Plan mensual'!H61,0))+parametros_manuales!$E$43*('Plan mensual'!H58+IF(parametros_manuales!$H$43="Todos",'Plan mensual'!H62,0))+parametros_manuales!$F$43*('Plan mensual'!H59+IF(parametros_manuales!$H$43="Todos",'Plan mensual'!H63,0))+parametros_manuales!$G$43*('Plan mensual'!H60+IF(parametros_manuales!$H$43="Todos",'Plan mensual'!H64,0)))*parametros_manuales!$I$43*parametros_manuales!$J$43</f>
        <v>9041.77403722</v>
      </c>
      <c r="G161" s="9" t="n">
        <f aca="false">(parametros_manuales!$D$43*('Plan mensual'!I57+IF(parametros_manuales!$H$43="Todos",'Plan mensual'!I61,0))+parametros_manuales!$E$43*('Plan mensual'!I58+IF(parametros_manuales!$H$43="Todos",'Plan mensual'!I62,0))+parametros_manuales!$F$43*('Plan mensual'!I59+IF(parametros_manuales!$H$43="Todos",'Plan mensual'!I63,0))+parametros_manuales!$G$43*('Plan mensual'!I60+IF(parametros_manuales!$H$43="Todos",'Plan mensual'!I64,0)))*parametros_manuales!$I$43*parametros_manuales!$J$43</f>
        <v>8858.602642075</v>
      </c>
      <c r="H161" s="9" t="n">
        <f aca="false">(parametros_manuales!$D$43*('Plan mensual'!J57+IF(parametros_manuales!$H$43="Todos",'Plan mensual'!J61,0))+parametros_manuales!$E$43*('Plan mensual'!J58+IF(parametros_manuales!$H$43="Todos",'Plan mensual'!J62,0))+parametros_manuales!$F$43*('Plan mensual'!J59+IF(parametros_manuales!$H$43="Todos",'Plan mensual'!J63,0))+parametros_manuales!$G$43*('Plan mensual'!J60+IF(parametros_manuales!$H$43="Todos",'Plan mensual'!J64,0)))*parametros_manuales!$I$43*parametros_manuales!$J$43</f>
        <v>9478.27630257</v>
      </c>
      <c r="I161" s="9" t="n">
        <f aca="false">(parametros_manuales!$D$43*('Plan mensual'!K57+IF(parametros_manuales!$H$43="Todos",'Plan mensual'!K61,0))+parametros_manuales!$E$43*('Plan mensual'!K58+IF(parametros_manuales!$H$43="Todos",'Plan mensual'!K62,0))+parametros_manuales!$F$43*('Plan mensual'!K59+IF(parametros_manuales!$H$43="Todos",'Plan mensual'!K63,0))+parametros_manuales!$G$43*('Plan mensual'!K60+IF(parametros_manuales!$H$43="Todos",'Plan mensual'!K64,0)))*parametros_manuales!$I$43*parametros_manuales!$J$43</f>
        <v>9478.27630257</v>
      </c>
      <c r="J161" s="9" t="n">
        <f aca="false">(parametros_manuales!$D$43*('Plan mensual'!L57+IF(parametros_manuales!$H$43="Todos",'Plan mensual'!L61,0))+parametros_manuales!$E$43*('Plan mensual'!L58+IF(parametros_manuales!$H$43="Todos",'Plan mensual'!L62,0))+parametros_manuales!$F$43*('Plan mensual'!L59+IF(parametros_manuales!$H$43="Todos",'Plan mensual'!L63,0))+parametros_manuales!$G$43*('Plan mensual'!L60+IF(parametros_manuales!$H$43="Todos",'Plan mensual'!L64,0)))*parametros_manuales!$I$43*parametros_manuales!$J$43</f>
        <v>9478.27630257</v>
      </c>
      <c r="K161" s="9" t="n">
        <f aca="false">(parametros_manuales!$D$43*('Plan mensual'!M57+IF(parametros_manuales!$H$43="Todos",'Plan mensual'!M61,0))+parametros_manuales!$E$43*('Plan mensual'!M58+IF(parametros_manuales!$H$43="Todos",'Plan mensual'!M62,0))+parametros_manuales!$F$43*('Plan mensual'!M59+IF(parametros_manuales!$H$43="Todos",'Plan mensual'!M63,0))+parametros_manuales!$G$43*('Plan mensual'!M60+IF(parametros_manuales!$H$43="Todos",'Plan mensual'!M64,0)))*parametros_manuales!$I$43*parametros_manuales!$J$43</f>
        <v>9295.104907425</v>
      </c>
      <c r="L161" s="9" t="n">
        <f aca="false">(parametros_manuales!$D$43*('Plan mensual'!N57+IF(parametros_manuales!$H$43="Todos",'Plan mensual'!N61,0))+parametros_manuales!$E$43*('Plan mensual'!N58+IF(parametros_manuales!$H$43="Todos",'Plan mensual'!N62,0))+parametros_manuales!$F$43*('Plan mensual'!N59+IF(parametros_manuales!$H$43="Todos",'Plan mensual'!N63,0))+parametros_manuales!$G$43*('Plan mensual'!N60+IF(parametros_manuales!$H$43="Todos",'Plan mensual'!N64,0)))*parametros_manuales!$I$43*parametros_manuales!$J$43</f>
        <v>9111.93351228</v>
      </c>
      <c r="M161" s="9" t="n">
        <f aca="false">(parametros_manuales!$D$43*('Plan mensual'!O57+IF(parametros_manuales!$H$43="Todos",'Plan mensual'!O61,0))+parametros_manuales!$E$43*('Plan mensual'!O58+IF(parametros_manuales!$H$43="Todos",'Plan mensual'!O62,0))+parametros_manuales!$F$43*('Plan mensual'!O59+IF(parametros_manuales!$H$43="Todos",'Plan mensual'!O63,0))+parametros_manuales!$G$43*('Plan mensual'!O60+IF(parametros_manuales!$H$43="Todos",'Plan mensual'!O64,0)))*parametros_manuales!$I$43*parametros_manuales!$J$43</f>
        <v>14505.82506159</v>
      </c>
      <c r="N161" s="9" t="n">
        <f aca="false">SUM(B161:M161)</f>
        <v>123934.732099</v>
      </c>
      <c r="O161" s="9" t="n">
        <f aca="false">MAX(B161:M161)</f>
        <v>14505.82506159</v>
      </c>
      <c r="P161" s="43" t="n">
        <f aca="false">O161/(parametros_manuales!$B$7)</f>
        <v>96.7055004106</v>
      </c>
      <c r="Q161" s="8" t="str">
        <f aca="false">IF(O161=0,"-",INDEX($B$136:$M$136,MATCH(O161,B161:M161,0)))</f>
        <v>Dic</v>
      </c>
    </row>
    <row r="162" customFormat="false" ht="14.25" hidden="false" customHeight="true" outlineLevel="0" collapsed="false"/>
    <row r="163" customFormat="false" ht="14.25" hidden="false" customHeight="true" outlineLevel="0" collapsed="false">
      <c r="A163" s="7" t="s">
        <v>196</v>
      </c>
      <c r="B163" s="7" t="s">
        <v>61</v>
      </c>
      <c r="C163" s="7" t="s">
        <v>62</v>
      </c>
      <c r="D163" s="7" t="s">
        <v>63</v>
      </c>
      <c r="E163" s="7" t="s">
        <v>64</v>
      </c>
      <c r="F163" s="7" t="s">
        <v>65</v>
      </c>
      <c r="G163" s="7" t="s">
        <v>66</v>
      </c>
      <c r="H163" s="7" t="s">
        <v>67</v>
      </c>
      <c r="I163" s="7" t="s">
        <v>68</v>
      </c>
      <c r="J163" s="7" t="s">
        <v>69</v>
      </c>
      <c r="K163" s="7" t="s">
        <v>70</v>
      </c>
      <c r="L163" s="7" t="s">
        <v>71</v>
      </c>
      <c r="M163" s="7" t="s">
        <v>72</v>
      </c>
      <c r="N163" s="7" t="s">
        <v>183</v>
      </c>
      <c r="O163" s="7" t="s">
        <v>188</v>
      </c>
      <c r="P163" s="7" t="s">
        <v>189</v>
      </c>
      <c r="Q163" s="7" t="s">
        <v>190</v>
      </c>
    </row>
    <row r="164" customFormat="false" ht="14.25" hidden="false" customHeight="true" outlineLevel="0" collapsed="false">
      <c r="A164" s="8" t="str">
        <f aca="false">parametros_manuales!$B$19</f>
        <v>Recepción de materia prima</v>
      </c>
      <c r="B164" s="9" t="n">
        <f aca="false">(parametros_manuales!$D$19*('Plan mensual'!D68+IF(parametros_manuales!$H$19="Todos",'Plan mensual'!D72,0))+parametros_manuales!$E$19*('Plan mensual'!D69+IF(parametros_manuales!$H$19="Todos",'Plan mensual'!D73,0))+parametros_manuales!$F$19*('Plan mensual'!D70+IF(parametros_manuales!$H$19="Todos",'Plan mensual'!D74,0))+parametros_manuales!$G$19*('Plan mensual'!D71+IF(parametros_manuales!$H$19="Todos",'Plan mensual'!D75,0)))*parametros_manuales!$I$19*parametros_manuales!$J$19</f>
        <v>19511.2899821</v>
      </c>
      <c r="C164" s="9" t="n">
        <f aca="false">(parametros_manuales!$D$19*('Plan mensual'!E68+IF(parametros_manuales!$H$19="Todos",'Plan mensual'!E72,0))+parametros_manuales!$E$19*('Plan mensual'!E69+IF(parametros_manuales!$H$19="Todos",'Plan mensual'!E73,0))+parametros_manuales!$F$19*('Plan mensual'!E70+IF(parametros_manuales!$H$19="Todos",'Plan mensual'!E74,0))+parametros_manuales!$G$19*('Plan mensual'!E71+IF(parametros_manuales!$H$19="Todos",'Plan mensual'!E75,0)))*parametros_manuales!$I$19*parametros_manuales!$J$19</f>
        <v>14878.99306612</v>
      </c>
      <c r="D164" s="9" t="n">
        <f aca="false">(parametros_manuales!$D$19*('Plan mensual'!F68+IF(parametros_manuales!$H$19="Todos",'Plan mensual'!F72,0))+parametros_manuales!$E$19*('Plan mensual'!F69+IF(parametros_manuales!$H$19="Todos",'Plan mensual'!F73,0))+parametros_manuales!$F$19*('Plan mensual'!F70+IF(parametros_manuales!$H$19="Todos",'Plan mensual'!F74,0))+parametros_manuales!$G$19*('Plan mensual'!F71+IF(parametros_manuales!$H$19="Todos",'Plan mensual'!F75,0)))*parametros_manuales!$I$19*parametros_manuales!$J$19</f>
        <v>13907.787113065</v>
      </c>
      <c r="E164" s="9" t="n">
        <f aca="false">(parametros_manuales!$D$19*('Plan mensual'!G68+IF(parametros_manuales!$H$19="Todos",'Plan mensual'!G72,0))+parametros_manuales!$E$19*('Plan mensual'!G69+IF(parametros_manuales!$H$19="Todos",'Plan mensual'!G73,0))+parametros_manuales!$F$19*('Plan mensual'!G70+IF(parametros_manuales!$H$19="Todos",'Plan mensual'!G74,0))+parametros_manuales!$G$19*('Plan mensual'!G71+IF(parametros_manuales!$H$19="Todos",'Plan mensual'!G75,0)))*parametros_manuales!$I$19*parametros_manuales!$J$19</f>
        <v>13299.421346765</v>
      </c>
      <c r="F164" s="9" t="n">
        <f aca="false">(parametros_manuales!$D$19*('Plan mensual'!H68+IF(parametros_manuales!$H$19="Todos",'Plan mensual'!H72,0))+parametros_manuales!$E$19*('Plan mensual'!H69+IF(parametros_manuales!$H$19="Todos",'Plan mensual'!H73,0))+parametros_manuales!$F$19*('Plan mensual'!H70+IF(parametros_manuales!$H$19="Todos",'Plan mensual'!H74,0))+parametros_manuales!$G$19*('Plan mensual'!H71+IF(parametros_manuales!$H$19="Todos",'Plan mensual'!H75,0)))*parametros_manuales!$I$19*parametros_manuales!$J$19</f>
        <v>12445.53000092</v>
      </c>
      <c r="G164" s="9" t="n">
        <f aca="false">(parametros_manuales!$D$19*('Plan mensual'!I68+IF(parametros_manuales!$H$19="Todos",'Plan mensual'!I72,0))+parametros_manuales!$E$19*('Plan mensual'!I69+IF(parametros_manuales!$H$19="Todos",'Plan mensual'!I73,0))+parametros_manuales!$F$19*('Plan mensual'!I70+IF(parametros_manuales!$H$19="Todos",'Plan mensual'!I74,0))+parametros_manuales!$G$19*('Plan mensual'!I71+IF(parametros_manuales!$H$19="Todos",'Plan mensual'!I75,0)))*parametros_manuales!$I$19*parametros_manuales!$J$19</f>
        <v>12200.004421375</v>
      </c>
      <c r="H164" s="9" t="n">
        <f aca="false">(parametros_manuales!$D$19*('Plan mensual'!J68+IF(parametros_manuales!$H$19="Todos",'Plan mensual'!J72,0))+parametros_manuales!$E$19*('Plan mensual'!J69+IF(parametros_manuales!$H$19="Todos",'Plan mensual'!J73,0))+parametros_manuales!$F$19*('Plan mensual'!J70+IF(parametros_manuales!$H$19="Todos",'Plan mensual'!J74,0))+parametros_manuales!$G$19*('Plan mensual'!J71+IF(parametros_manuales!$H$19="Todos",'Plan mensual'!J75,0)))*parametros_manuales!$I$19*parametros_manuales!$J$19</f>
        <v>13053.89576722</v>
      </c>
      <c r="I164" s="9" t="n">
        <f aca="false">(parametros_manuales!$D$19*('Plan mensual'!K68+IF(parametros_manuales!$H$19="Todos",'Plan mensual'!K72,0))+parametros_manuales!$E$19*('Plan mensual'!K69+IF(parametros_manuales!$H$19="Todos",'Plan mensual'!K73,0))+parametros_manuales!$F$19*('Plan mensual'!K70+IF(parametros_manuales!$H$19="Todos",'Plan mensual'!K74,0))+parametros_manuales!$G$19*('Plan mensual'!K71+IF(parametros_manuales!$H$19="Todos",'Plan mensual'!K75,0)))*parametros_manuales!$I$19*parametros_manuales!$J$19</f>
        <v>13053.89576722</v>
      </c>
      <c r="J164" s="9" t="n">
        <f aca="false">(parametros_manuales!$D$19*('Plan mensual'!L68+IF(parametros_manuales!$H$19="Todos",'Plan mensual'!L72,0))+parametros_manuales!$E$19*('Plan mensual'!L69+IF(parametros_manuales!$H$19="Todos",'Plan mensual'!L73,0))+parametros_manuales!$F$19*('Plan mensual'!L70+IF(parametros_manuales!$H$19="Todos",'Plan mensual'!L74,0))+parametros_manuales!$G$19*('Plan mensual'!L71+IF(parametros_manuales!$H$19="Todos",'Plan mensual'!L75,0)))*parametros_manuales!$I$19*parametros_manuales!$J$19</f>
        <v>13053.89576722</v>
      </c>
      <c r="K164" s="9" t="n">
        <f aca="false">(parametros_manuales!$D$19*('Plan mensual'!M68+IF(parametros_manuales!$H$19="Todos",'Plan mensual'!M72,0))+parametros_manuales!$E$19*('Plan mensual'!M69+IF(parametros_manuales!$H$19="Todos",'Plan mensual'!M73,0))+parametros_manuales!$F$19*('Plan mensual'!M70+IF(parametros_manuales!$H$19="Todos",'Plan mensual'!M74,0))+parametros_manuales!$G$19*('Plan mensual'!M71+IF(parametros_manuales!$H$19="Todos",'Plan mensual'!M75,0)))*parametros_manuales!$I$19*parametros_manuales!$J$19</f>
        <v>12808.370187675</v>
      </c>
      <c r="L164" s="9" t="n">
        <f aca="false">(parametros_manuales!$D$19*('Plan mensual'!N68+IF(parametros_manuales!$H$19="Todos",'Plan mensual'!N72,0))+parametros_manuales!$E$19*('Plan mensual'!N69+IF(parametros_manuales!$H$19="Todos",'Plan mensual'!N73,0))+parametros_manuales!$F$19*('Plan mensual'!N70+IF(parametros_manuales!$H$19="Todos",'Plan mensual'!N74,0))+parametros_manuales!$G$19*('Plan mensual'!N71+IF(parametros_manuales!$H$19="Todos",'Plan mensual'!N75,0)))*parametros_manuales!$I$19*parametros_manuales!$J$19</f>
        <v>12562.84460813</v>
      </c>
      <c r="M164" s="9" t="n">
        <f aca="false">(parametros_manuales!$D$19*('Plan mensual'!O68+IF(parametros_manuales!$H$19="Todos",'Plan mensual'!O72,0))+parametros_manuales!$E$19*('Plan mensual'!O69+IF(parametros_manuales!$H$19="Todos",'Plan mensual'!O73,0))+parametros_manuales!$F$19*('Plan mensual'!O70+IF(parametros_manuales!$H$19="Todos",'Plan mensual'!O74,0))+parametros_manuales!$G$19*('Plan mensual'!O71+IF(parametros_manuales!$H$19="Todos",'Plan mensual'!O75,0)))*parametros_manuales!$I$19*parametros_manuales!$J$19</f>
        <v>20002.34114119</v>
      </c>
      <c r="N164" s="9" t="n">
        <f aca="false">SUM(B164:M164)</f>
        <v>170778.269169</v>
      </c>
      <c r="O164" s="9" t="n">
        <f aca="false">MAX(B164:M164)</f>
        <v>20002.34114119</v>
      </c>
      <c r="P164" s="43" t="n">
        <f aca="false">O164/(parametros_manuales!$B$7)</f>
        <v>133.348940941267</v>
      </c>
      <c r="Q164" s="8" t="str">
        <f aca="false">IF(O164=0,"-",INDEX($B$163:$M$163,MATCH(O164,B164:M164,0)))</f>
        <v>Dic</v>
      </c>
    </row>
    <row r="165" customFormat="false" ht="14.25" hidden="false" customHeight="true" outlineLevel="0" collapsed="false">
      <c r="A165" s="8" t="str">
        <f aca="false">parametros_manuales!$B$20</f>
        <v>Corte de chapa (guillotina) — 2,5 a 10 kg</v>
      </c>
      <c r="B165" s="9" t="n">
        <f aca="false">(parametros_manuales!$D$20*('Plan mensual'!D68+IF(parametros_manuales!$H$20="Todos",'Plan mensual'!D72,0))+parametros_manuales!$E$20*('Plan mensual'!D69+IF(parametros_manuales!$H$20="Todos",'Plan mensual'!D73,0))+parametros_manuales!$F$20*('Plan mensual'!D70+IF(parametros_manuales!$H$20="Todos",'Plan mensual'!D74,0))+parametros_manuales!$G$20*('Plan mensual'!D71+IF(parametros_manuales!$H$20="Todos",'Plan mensual'!D75,0)))*parametros_manuales!$I$20*parametros_manuales!$J$20</f>
        <v>4910.5115909</v>
      </c>
      <c r="C165" s="9" t="n">
        <f aca="false">(parametros_manuales!$D$20*('Plan mensual'!E68+IF(parametros_manuales!$H$20="Todos",'Plan mensual'!E72,0))+parametros_manuales!$E$20*('Plan mensual'!E69+IF(parametros_manuales!$H$20="Todos",'Plan mensual'!E73,0))+parametros_manuales!$F$20*('Plan mensual'!E70+IF(parametros_manuales!$H$20="Todos",'Plan mensual'!E74,0))+parametros_manuales!$G$20*('Plan mensual'!E71+IF(parametros_manuales!$H$20="Todos",'Plan mensual'!E75,0)))*parametros_manuales!$I$20*parametros_manuales!$J$20</f>
        <v>3928.40927272</v>
      </c>
      <c r="D165" s="9" t="n">
        <f aca="false">(parametros_manuales!$D$20*('Plan mensual'!F68+IF(parametros_manuales!$H$20="Todos",'Plan mensual'!F72,0))+parametros_manuales!$E$20*('Plan mensual'!F69+IF(parametros_manuales!$H$20="Todos",'Plan mensual'!F73,0))+parametros_manuales!$F$20*('Plan mensual'!F70+IF(parametros_manuales!$H$20="Todos",'Plan mensual'!F74,0))+parametros_manuales!$G$20*('Plan mensual'!F71+IF(parametros_manuales!$H$20="Todos",'Plan mensual'!F75,0)))*parametros_manuales!$I$20*parametros_manuales!$J$20</f>
        <v>4173.934852265</v>
      </c>
      <c r="E165" s="9" t="n">
        <f aca="false">(parametros_manuales!$D$20*('Plan mensual'!G68+IF(parametros_manuales!$H$20="Todos",'Plan mensual'!G72,0))+parametros_manuales!$E$20*('Plan mensual'!G69+IF(parametros_manuales!$H$20="Todos",'Plan mensual'!G73,0))+parametros_manuales!$F$20*('Plan mensual'!G70+IF(parametros_manuales!$H$20="Todos",'Plan mensual'!G74,0))+parametros_manuales!$G$20*('Plan mensual'!G71+IF(parametros_manuales!$H$20="Todos",'Plan mensual'!G75,0)))*parametros_manuales!$I$20*parametros_manuales!$J$20</f>
        <v>4173.934852265</v>
      </c>
      <c r="F165" s="9" t="n">
        <f aca="false">(parametros_manuales!$D$20*('Plan mensual'!H68+IF(parametros_manuales!$H$20="Todos",'Plan mensual'!H72,0))+parametros_manuales!$E$20*('Plan mensual'!H69+IF(parametros_manuales!$H$20="Todos",'Plan mensual'!H73,0))+parametros_manuales!$F$20*('Plan mensual'!H70+IF(parametros_manuales!$H$20="Todos",'Plan mensual'!H74,0))+parametros_manuales!$G$20*('Plan mensual'!H71+IF(parametros_manuales!$H$20="Todos",'Plan mensual'!H75,0)))*parametros_manuales!$I$20*parametros_manuales!$J$20</f>
        <v>3928.40927272</v>
      </c>
      <c r="G165" s="9" t="n">
        <f aca="false">(parametros_manuales!$D$20*('Plan mensual'!I68+IF(parametros_manuales!$H$20="Todos",'Plan mensual'!I72,0))+parametros_manuales!$E$20*('Plan mensual'!I69+IF(parametros_manuales!$H$20="Todos",'Plan mensual'!I73,0))+parametros_manuales!$F$20*('Plan mensual'!I70+IF(parametros_manuales!$H$20="Todos",'Plan mensual'!I74,0))+parametros_manuales!$G$20*('Plan mensual'!I71+IF(parametros_manuales!$H$20="Todos",'Plan mensual'!I75,0)))*parametros_manuales!$I$20*parametros_manuales!$J$20</f>
        <v>3682.883693175</v>
      </c>
      <c r="H165" s="9" t="n">
        <f aca="false">(parametros_manuales!$D$20*('Plan mensual'!J68+IF(parametros_manuales!$H$20="Todos",'Plan mensual'!J72,0))+parametros_manuales!$E$20*('Plan mensual'!J69+IF(parametros_manuales!$H$20="Todos",'Plan mensual'!J73,0))+parametros_manuales!$F$20*('Plan mensual'!J70+IF(parametros_manuales!$H$20="Todos",'Plan mensual'!J74,0))+parametros_manuales!$G$20*('Plan mensual'!J71+IF(parametros_manuales!$H$20="Todos",'Plan mensual'!J75,0)))*parametros_manuales!$I$20*parametros_manuales!$J$20</f>
        <v>3928.40927272</v>
      </c>
      <c r="I165" s="9" t="n">
        <f aca="false">(parametros_manuales!$D$20*('Plan mensual'!K68+IF(parametros_manuales!$H$20="Todos",'Plan mensual'!K72,0))+parametros_manuales!$E$20*('Plan mensual'!K69+IF(parametros_manuales!$H$20="Todos",'Plan mensual'!K73,0))+parametros_manuales!$F$20*('Plan mensual'!K70+IF(parametros_manuales!$H$20="Todos",'Plan mensual'!K74,0))+parametros_manuales!$G$20*('Plan mensual'!K71+IF(parametros_manuales!$H$20="Todos",'Plan mensual'!K75,0)))*parametros_manuales!$I$20*parametros_manuales!$J$20</f>
        <v>3928.40927272</v>
      </c>
      <c r="J165" s="9" t="n">
        <f aca="false">(parametros_manuales!$D$20*('Plan mensual'!L68+IF(parametros_manuales!$H$20="Todos",'Plan mensual'!L72,0))+parametros_manuales!$E$20*('Plan mensual'!L69+IF(parametros_manuales!$H$20="Todos",'Plan mensual'!L73,0))+parametros_manuales!$F$20*('Plan mensual'!L70+IF(parametros_manuales!$H$20="Todos",'Plan mensual'!L74,0))+parametros_manuales!$G$20*('Plan mensual'!L71+IF(parametros_manuales!$H$20="Todos",'Plan mensual'!L75,0)))*parametros_manuales!$I$20*parametros_manuales!$J$20</f>
        <v>3928.40927272</v>
      </c>
      <c r="K165" s="9" t="n">
        <f aca="false">(parametros_manuales!$D$20*('Plan mensual'!M68+IF(parametros_manuales!$H$20="Todos",'Plan mensual'!M72,0))+parametros_manuales!$E$20*('Plan mensual'!M69+IF(parametros_manuales!$H$20="Todos",'Plan mensual'!M73,0))+parametros_manuales!$F$20*('Plan mensual'!M70+IF(parametros_manuales!$H$20="Todos",'Plan mensual'!M74,0))+parametros_manuales!$G$20*('Plan mensual'!M71+IF(parametros_manuales!$H$20="Todos",'Plan mensual'!M75,0)))*parametros_manuales!$I$20*parametros_manuales!$J$20</f>
        <v>3682.883693175</v>
      </c>
      <c r="L165" s="9" t="n">
        <f aca="false">(parametros_manuales!$D$20*('Plan mensual'!N68+IF(parametros_manuales!$H$20="Todos",'Plan mensual'!N72,0))+parametros_manuales!$E$20*('Plan mensual'!N69+IF(parametros_manuales!$H$20="Todos",'Plan mensual'!N73,0))+parametros_manuales!$F$20*('Plan mensual'!N70+IF(parametros_manuales!$H$20="Todos",'Plan mensual'!N74,0))+parametros_manuales!$G$20*('Plan mensual'!N71+IF(parametros_manuales!$H$20="Todos",'Plan mensual'!N75,0)))*parametros_manuales!$I$20*parametros_manuales!$J$20</f>
        <v>3437.35811363</v>
      </c>
      <c r="M165" s="9" t="n">
        <f aca="false">(parametros_manuales!$D$20*('Plan mensual'!O68+IF(parametros_manuales!$H$20="Todos",'Plan mensual'!O72,0))+parametros_manuales!$E$20*('Plan mensual'!O69+IF(parametros_manuales!$H$20="Todos",'Plan mensual'!O73,0))+parametros_manuales!$F$20*('Plan mensual'!O70+IF(parametros_manuales!$H$20="Todos",'Plan mensual'!O74,0))+parametros_manuales!$G$20*('Plan mensual'!O71+IF(parametros_manuales!$H$20="Todos",'Plan mensual'!O75,0)))*parametros_manuales!$I$20*parametros_manuales!$J$20</f>
        <v>5401.56274999</v>
      </c>
      <c r="N165" s="9" t="n">
        <f aca="false">SUM(B165:M165)</f>
        <v>49105.115909</v>
      </c>
      <c r="O165" s="9" t="n">
        <f aca="false">MAX(B165:M165)</f>
        <v>5401.56274999</v>
      </c>
      <c r="P165" s="43" t="n">
        <f aca="false">O165/(parametros_manuales!$B$7)</f>
        <v>36.0104183332667</v>
      </c>
      <c r="Q165" s="8" t="str">
        <f aca="false">IF(O165=0,"-",INDEX($B$163:$M$163,MATCH(O165,B165:M165,0)))</f>
        <v>Dic</v>
      </c>
    </row>
    <row r="166" customFormat="false" ht="14.25" hidden="false" customHeight="true" outlineLevel="0" collapsed="false">
      <c r="A166" s="8" t="str">
        <f aca="false">parametros_manuales!$B$21</f>
        <v>Corte de tubo — 1 kg</v>
      </c>
      <c r="B166" s="9" t="n">
        <f aca="false">(parametros_manuales!$D$21*('Plan mensual'!D68+IF(parametros_manuales!$H$21="Todos",'Plan mensual'!D72,0))+parametros_manuales!$E$21*('Plan mensual'!D69+IF(parametros_manuales!$H$21="Todos",'Plan mensual'!D73,0))+parametros_manuales!$F$21*('Plan mensual'!D70+IF(parametros_manuales!$H$21="Todos",'Plan mensual'!D74,0))+parametros_manuales!$G$21*('Plan mensual'!D71+IF(parametros_manuales!$H$21="Todos",'Plan mensual'!D75,0)))*parametros_manuales!$I$21*parametros_manuales!$J$21</f>
        <v>14600.7783912</v>
      </c>
      <c r="C166" s="9" t="n">
        <f aca="false">(parametros_manuales!$D$21*('Plan mensual'!E68+IF(parametros_manuales!$H$21="Todos",'Plan mensual'!E72,0))+parametros_manuales!$E$21*('Plan mensual'!E69+IF(parametros_manuales!$H$21="Todos",'Plan mensual'!E73,0))+parametros_manuales!$F$21*('Plan mensual'!E70+IF(parametros_manuales!$H$21="Todos",'Plan mensual'!E74,0))+parametros_manuales!$G$21*('Plan mensual'!E71+IF(parametros_manuales!$H$21="Todos",'Plan mensual'!E75,0)))*parametros_manuales!$I$21*parametros_manuales!$J$21</f>
        <v>10950.5837934</v>
      </c>
      <c r="D166" s="9" t="n">
        <f aca="false">(parametros_manuales!$D$21*('Plan mensual'!F68+IF(parametros_manuales!$H$21="Todos",'Plan mensual'!F72,0))+parametros_manuales!$E$21*('Plan mensual'!F69+IF(parametros_manuales!$H$21="Todos",'Plan mensual'!F73,0))+parametros_manuales!$F$21*('Plan mensual'!F70+IF(parametros_manuales!$H$21="Todos",'Plan mensual'!F74,0))+parametros_manuales!$G$21*('Plan mensual'!F71+IF(parametros_manuales!$H$21="Todos",'Plan mensual'!F75,0)))*parametros_manuales!$I$21*parametros_manuales!$J$21</f>
        <v>9733.8522608</v>
      </c>
      <c r="E166" s="9" t="n">
        <f aca="false">(parametros_manuales!$D$21*('Plan mensual'!G68+IF(parametros_manuales!$H$21="Todos",'Plan mensual'!G72,0))+parametros_manuales!$E$21*('Plan mensual'!G69+IF(parametros_manuales!$H$21="Todos",'Plan mensual'!G73,0))+parametros_manuales!$F$21*('Plan mensual'!G70+IF(parametros_manuales!$H$21="Todos",'Plan mensual'!G74,0))+parametros_manuales!$G$21*('Plan mensual'!G71+IF(parametros_manuales!$H$21="Todos",'Plan mensual'!G75,0)))*parametros_manuales!$I$21*parametros_manuales!$J$21</f>
        <v>9125.4864945</v>
      </c>
      <c r="F166" s="9" t="n">
        <f aca="false">(parametros_manuales!$D$21*('Plan mensual'!H68+IF(parametros_manuales!$H$21="Todos",'Plan mensual'!H72,0))+parametros_manuales!$E$21*('Plan mensual'!H69+IF(parametros_manuales!$H$21="Todos",'Plan mensual'!H73,0))+parametros_manuales!$F$21*('Plan mensual'!H70+IF(parametros_manuales!$H$21="Todos",'Plan mensual'!H74,0))+parametros_manuales!$G$21*('Plan mensual'!H71+IF(parametros_manuales!$H$21="Todos",'Plan mensual'!H75,0)))*parametros_manuales!$I$21*parametros_manuales!$J$21</f>
        <v>8517.1207282</v>
      </c>
      <c r="G166" s="9" t="n">
        <f aca="false">(parametros_manuales!$D$21*('Plan mensual'!I68+IF(parametros_manuales!$H$21="Todos",'Plan mensual'!I72,0))+parametros_manuales!$E$21*('Plan mensual'!I69+IF(parametros_manuales!$H$21="Todos",'Plan mensual'!I73,0))+parametros_manuales!$F$21*('Plan mensual'!I70+IF(parametros_manuales!$H$21="Todos",'Plan mensual'!I74,0))+parametros_manuales!$G$21*('Plan mensual'!I71+IF(parametros_manuales!$H$21="Todos",'Plan mensual'!I75,0)))*parametros_manuales!$I$21*parametros_manuales!$J$21</f>
        <v>8517.1207282</v>
      </c>
      <c r="H166" s="9" t="n">
        <f aca="false">(parametros_manuales!$D$21*('Plan mensual'!J68+IF(parametros_manuales!$H$21="Todos",'Plan mensual'!J72,0))+parametros_manuales!$E$21*('Plan mensual'!J69+IF(parametros_manuales!$H$21="Todos",'Plan mensual'!J73,0))+parametros_manuales!$F$21*('Plan mensual'!J70+IF(parametros_manuales!$H$21="Todos",'Plan mensual'!J74,0))+parametros_manuales!$G$21*('Plan mensual'!J71+IF(parametros_manuales!$H$21="Todos",'Plan mensual'!J75,0)))*parametros_manuales!$I$21*parametros_manuales!$J$21</f>
        <v>9125.4864945</v>
      </c>
      <c r="I166" s="9" t="n">
        <f aca="false">(parametros_manuales!$D$21*('Plan mensual'!K68+IF(parametros_manuales!$H$21="Todos",'Plan mensual'!K72,0))+parametros_manuales!$E$21*('Plan mensual'!K69+IF(parametros_manuales!$H$21="Todos",'Plan mensual'!K73,0))+parametros_manuales!$F$21*('Plan mensual'!K70+IF(parametros_manuales!$H$21="Todos",'Plan mensual'!K74,0))+parametros_manuales!$G$21*('Plan mensual'!K71+IF(parametros_manuales!$H$21="Todos",'Plan mensual'!K75,0)))*parametros_manuales!$I$21*parametros_manuales!$J$21</f>
        <v>9125.4864945</v>
      </c>
      <c r="J166" s="9" t="n">
        <f aca="false">(parametros_manuales!$D$21*('Plan mensual'!L68+IF(parametros_manuales!$H$21="Todos",'Plan mensual'!L72,0))+parametros_manuales!$E$21*('Plan mensual'!L69+IF(parametros_manuales!$H$21="Todos",'Plan mensual'!L73,0))+parametros_manuales!$F$21*('Plan mensual'!L70+IF(parametros_manuales!$H$21="Todos",'Plan mensual'!L74,0))+parametros_manuales!$G$21*('Plan mensual'!L71+IF(parametros_manuales!$H$21="Todos",'Plan mensual'!L75,0)))*parametros_manuales!$I$21*parametros_manuales!$J$21</f>
        <v>9125.4864945</v>
      </c>
      <c r="K166" s="9" t="n">
        <f aca="false">(parametros_manuales!$D$21*('Plan mensual'!M68+IF(parametros_manuales!$H$21="Todos",'Plan mensual'!M72,0))+parametros_manuales!$E$21*('Plan mensual'!M69+IF(parametros_manuales!$H$21="Todos",'Plan mensual'!M73,0))+parametros_manuales!$F$21*('Plan mensual'!M70+IF(parametros_manuales!$H$21="Todos",'Plan mensual'!M74,0))+parametros_manuales!$G$21*('Plan mensual'!M71+IF(parametros_manuales!$H$21="Todos",'Plan mensual'!M75,0)))*parametros_manuales!$I$21*parametros_manuales!$J$21</f>
        <v>9125.4864945</v>
      </c>
      <c r="L166" s="9" t="n">
        <f aca="false">(parametros_manuales!$D$21*('Plan mensual'!N68+IF(parametros_manuales!$H$21="Todos",'Plan mensual'!N72,0))+parametros_manuales!$E$21*('Plan mensual'!N69+IF(parametros_manuales!$H$21="Todos",'Plan mensual'!N73,0))+parametros_manuales!$F$21*('Plan mensual'!N70+IF(parametros_manuales!$H$21="Todos",'Plan mensual'!N74,0))+parametros_manuales!$G$21*('Plan mensual'!N71+IF(parametros_manuales!$H$21="Todos",'Plan mensual'!N75,0)))*parametros_manuales!$I$21*parametros_manuales!$J$21</f>
        <v>9125.4864945</v>
      </c>
      <c r="M166" s="9" t="n">
        <f aca="false">(parametros_manuales!$D$21*('Plan mensual'!O68+IF(parametros_manuales!$H$21="Todos",'Plan mensual'!O72,0))+parametros_manuales!$E$21*('Plan mensual'!O69+IF(parametros_manuales!$H$21="Todos",'Plan mensual'!O73,0))+parametros_manuales!$F$21*('Plan mensual'!O70+IF(parametros_manuales!$H$21="Todos",'Plan mensual'!O74,0))+parametros_manuales!$G$21*('Plan mensual'!O71+IF(parametros_manuales!$H$21="Todos",'Plan mensual'!O75,0)))*parametros_manuales!$I$21*parametros_manuales!$J$21</f>
        <v>14600.7783912</v>
      </c>
      <c r="N166" s="9" t="n">
        <f aca="false">SUM(B166:M166)</f>
        <v>121673.15326</v>
      </c>
      <c r="O166" s="9" t="n">
        <f aca="false">MAX(B166:M166)</f>
        <v>14600.7783912</v>
      </c>
      <c r="P166" s="43" t="n">
        <f aca="false">O166/(parametros_manuales!$B$7)</f>
        <v>97.338522608</v>
      </c>
      <c r="Q166" s="8" t="str">
        <f aca="false">IF(O166=0,"-",INDEX($B$163:$M$163,MATCH(O166,B166:M166,0)))</f>
        <v>Ene</v>
      </c>
    </row>
    <row r="167" customFormat="false" ht="14.25" hidden="false" customHeight="true" outlineLevel="0" collapsed="false">
      <c r="A167" s="8" t="str">
        <f aca="false">parametros_manuales!$B$22</f>
        <v>Corte de disco y embutido (cúpula y fondo)</v>
      </c>
      <c r="B167" s="9" t="n">
        <f aca="false">(parametros_manuales!$D$22*('Plan mensual'!D68+IF(parametros_manuales!$H$22="Todos",'Plan mensual'!D72,0))+parametros_manuales!$E$22*('Plan mensual'!D69+IF(parametros_manuales!$H$22="Todos",'Plan mensual'!D73,0))+parametros_manuales!$F$22*('Plan mensual'!D70+IF(parametros_manuales!$H$22="Todos",'Plan mensual'!D74,0))+parametros_manuales!$G$22*('Plan mensual'!D71+IF(parametros_manuales!$H$22="Todos",'Plan mensual'!D75,0)))*parametros_manuales!$I$22*parametros_manuales!$J$22</f>
        <v>39022.5799642</v>
      </c>
      <c r="C167" s="9" t="n">
        <f aca="false">(parametros_manuales!$D$22*('Plan mensual'!E68+IF(parametros_manuales!$H$22="Todos",'Plan mensual'!E72,0))+parametros_manuales!$E$22*('Plan mensual'!E69+IF(parametros_manuales!$H$22="Todos",'Plan mensual'!E73,0))+parametros_manuales!$F$22*('Plan mensual'!E70+IF(parametros_manuales!$H$22="Todos",'Plan mensual'!E74,0))+parametros_manuales!$G$22*('Plan mensual'!E71+IF(parametros_manuales!$H$22="Todos",'Plan mensual'!E75,0)))*parametros_manuales!$I$22*parametros_manuales!$J$22</f>
        <v>29757.98613224</v>
      </c>
      <c r="D167" s="9" t="n">
        <f aca="false">(parametros_manuales!$D$22*('Plan mensual'!F68+IF(parametros_manuales!$H$22="Todos",'Plan mensual'!F72,0))+parametros_manuales!$E$22*('Plan mensual'!F69+IF(parametros_manuales!$H$22="Todos",'Plan mensual'!F73,0))+parametros_manuales!$F$22*('Plan mensual'!F70+IF(parametros_manuales!$H$22="Todos",'Plan mensual'!F74,0))+parametros_manuales!$G$22*('Plan mensual'!F71+IF(parametros_manuales!$H$22="Todos",'Plan mensual'!F75,0)))*parametros_manuales!$I$22*parametros_manuales!$J$22</f>
        <v>27815.57422613</v>
      </c>
      <c r="E167" s="9" t="n">
        <f aca="false">(parametros_manuales!$D$22*('Plan mensual'!G68+IF(parametros_manuales!$H$22="Todos",'Plan mensual'!G72,0))+parametros_manuales!$E$22*('Plan mensual'!G69+IF(parametros_manuales!$H$22="Todos",'Plan mensual'!G73,0))+parametros_manuales!$F$22*('Plan mensual'!G70+IF(parametros_manuales!$H$22="Todos",'Plan mensual'!G74,0))+parametros_manuales!$G$22*('Plan mensual'!G71+IF(parametros_manuales!$H$22="Todos",'Plan mensual'!G75,0)))*parametros_manuales!$I$22*parametros_manuales!$J$22</f>
        <v>26598.84269353</v>
      </c>
      <c r="F167" s="9" t="n">
        <f aca="false">(parametros_manuales!$D$22*('Plan mensual'!H68+IF(parametros_manuales!$H$22="Todos",'Plan mensual'!H72,0))+parametros_manuales!$E$22*('Plan mensual'!H69+IF(parametros_manuales!$H$22="Todos",'Plan mensual'!H73,0))+parametros_manuales!$F$22*('Plan mensual'!H70+IF(parametros_manuales!$H$22="Todos",'Plan mensual'!H74,0))+parametros_manuales!$G$22*('Plan mensual'!H71+IF(parametros_manuales!$H$22="Todos",'Plan mensual'!H75,0)))*parametros_manuales!$I$22*parametros_manuales!$J$22</f>
        <v>24891.06000184</v>
      </c>
      <c r="G167" s="9" t="n">
        <f aca="false">(parametros_manuales!$D$22*('Plan mensual'!I68+IF(parametros_manuales!$H$22="Todos",'Plan mensual'!I72,0))+parametros_manuales!$E$22*('Plan mensual'!I69+IF(parametros_manuales!$H$22="Todos",'Plan mensual'!I73,0))+parametros_manuales!$F$22*('Plan mensual'!I70+IF(parametros_manuales!$H$22="Todos",'Plan mensual'!I74,0))+parametros_manuales!$G$22*('Plan mensual'!I71+IF(parametros_manuales!$H$22="Todos",'Plan mensual'!I75,0)))*parametros_manuales!$I$22*parametros_manuales!$J$22</f>
        <v>24400.00884275</v>
      </c>
      <c r="H167" s="9" t="n">
        <f aca="false">(parametros_manuales!$D$22*('Plan mensual'!J68+IF(parametros_manuales!$H$22="Todos",'Plan mensual'!J72,0))+parametros_manuales!$E$22*('Plan mensual'!J69+IF(parametros_manuales!$H$22="Todos",'Plan mensual'!J73,0))+parametros_manuales!$F$22*('Plan mensual'!J70+IF(parametros_manuales!$H$22="Todos",'Plan mensual'!J74,0))+parametros_manuales!$G$22*('Plan mensual'!J71+IF(parametros_manuales!$H$22="Todos",'Plan mensual'!J75,0)))*parametros_manuales!$I$22*parametros_manuales!$J$22</f>
        <v>26107.79153444</v>
      </c>
      <c r="I167" s="9" t="n">
        <f aca="false">(parametros_manuales!$D$22*('Plan mensual'!K68+IF(parametros_manuales!$H$22="Todos",'Plan mensual'!K72,0))+parametros_manuales!$E$22*('Plan mensual'!K69+IF(parametros_manuales!$H$22="Todos",'Plan mensual'!K73,0))+parametros_manuales!$F$22*('Plan mensual'!K70+IF(parametros_manuales!$H$22="Todos",'Plan mensual'!K74,0))+parametros_manuales!$G$22*('Plan mensual'!K71+IF(parametros_manuales!$H$22="Todos",'Plan mensual'!K75,0)))*parametros_manuales!$I$22*parametros_manuales!$J$22</f>
        <v>26107.79153444</v>
      </c>
      <c r="J167" s="9" t="n">
        <f aca="false">(parametros_manuales!$D$22*('Plan mensual'!L68+IF(parametros_manuales!$H$22="Todos",'Plan mensual'!L72,0))+parametros_manuales!$E$22*('Plan mensual'!L69+IF(parametros_manuales!$H$22="Todos",'Plan mensual'!L73,0))+parametros_manuales!$F$22*('Plan mensual'!L70+IF(parametros_manuales!$H$22="Todos",'Plan mensual'!L74,0))+parametros_manuales!$G$22*('Plan mensual'!L71+IF(parametros_manuales!$H$22="Todos",'Plan mensual'!L75,0)))*parametros_manuales!$I$22*parametros_manuales!$J$22</f>
        <v>26107.79153444</v>
      </c>
      <c r="K167" s="9" t="n">
        <f aca="false">(parametros_manuales!$D$22*('Plan mensual'!M68+IF(parametros_manuales!$H$22="Todos",'Plan mensual'!M72,0))+parametros_manuales!$E$22*('Plan mensual'!M69+IF(parametros_manuales!$H$22="Todos",'Plan mensual'!M73,0))+parametros_manuales!$F$22*('Plan mensual'!M70+IF(parametros_manuales!$H$22="Todos",'Plan mensual'!M74,0))+parametros_manuales!$G$22*('Plan mensual'!M71+IF(parametros_manuales!$H$22="Todos",'Plan mensual'!M75,0)))*parametros_manuales!$I$22*parametros_manuales!$J$22</f>
        <v>25616.74037535</v>
      </c>
      <c r="L167" s="9" t="n">
        <f aca="false">(parametros_manuales!$D$22*('Plan mensual'!N68+IF(parametros_manuales!$H$22="Todos",'Plan mensual'!N72,0))+parametros_manuales!$E$22*('Plan mensual'!N69+IF(parametros_manuales!$H$22="Todos",'Plan mensual'!N73,0))+parametros_manuales!$F$22*('Plan mensual'!N70+IF(parametros_manuales!$H$22="Todos",'Plan mensual'!N74,0))+parametros_manuales!$G$22*('Plan mensual'!N71+IF(parametros_manuales!$H$22="Todos",'Plan mensual'!N75,0)))*parametros_manuales!$I$22*parametros_manuales!$J$22</f>
        <v>25125.68921626</v>
      </c>
      <c r="M167" s="9" t="n">
        <f aca="false">(parametros_manuales!$D$22*('Plan mensual'!O68+IF(parametros_manuales!$H$22="Todos",'Plan mensual'!O72,0))+parametros_manuales!$E$22*('Plan mensual'!O69+IF(parametros_manuales!$H$22="Todos",'Plan mensual'!O73,0))+parametros_manuales!$F$22*('Plan mensual'!O70+IF(parametros_manuales!$H$22="Todos",'Plan mensual'!O74,0))+parametros_manuales!$G$22*('Plan mensual'!O71+IF(parametros_manuales!$H$22="Todos",'Plan mensual'!O75,0)))*parametros_manuales!$I$22*parametros_manuales!$J$22</f>
        <v>40004.68228238</v>
      </c>
      <c r="N167" s="9" t="n">
        <f aca="false">SUM(B167:M167)</f>
        <v>341556.538338</v>
      </c>
      <c r="O167" s="9" t="n">
        <f aca="false">MAX(B167:M167)</f>
        <v>40004.68228238</v>
      </c>
      <c r="P167" s="43" t="n">
        <f aca="false">O167/(parametros_manuales!$B$7)</f>
        <v>266.697881882533</v>
      </c>
      <c r="Q167" s="8" t="str">
        <f aca="false">IF(O167=0,"-",INDEX($B$163:$M$163,MATCH(O167,B167:M167,0)))</f>
        <v>Dic</v>
      </c>
    </row>
    <row r="168" customFormat="false" ht="14.25" hidden="false" customHeight="true" outlineLevel="0" collapsed="false">
      <c r="A168" s="8" t="str">
        <f aca="false">parametros_manuales!$B$23</f>
        <v>Preparación de cuello</v>
      </c>
      <c r="B168" s="9" t="n">
        <f aca="false">(parametros_manuales!$D$23*('Plan mensual'!D68+IF(parametros_manuales!$H$23="Todos",'Plan mensual'!D72,0))+parametros_manuales!$E$23*('Plan mensual'!D69+IF(parametros_manuales!$H$23="Todos",'Plan mensual'!D73,0))+parametros_manuales!$F$23*('Plan mensual'!D70+IF(parametros_manuales!$H$23="Todos",'Plan mensual'!D74,0))+parametros_manuales!$G$23*('Plan mensual'!D71+IF(parametros_manuales!$H$23="Todos",'Plan mensual'!D75,0)))*parametros_manuales!$I$23*parametros_manuales!$J$23</f>
        <v>19511.2899821</v>
      </c>
      <c r="C168" s="9" t="n">
        <f aca="false">(parametros_manuales!$D$23*('Plan mensual'!E68+IF(parametros_manuales!$H$23="Todos",'Plan mensual'!E72,0))+parametros_manuales!$E$23*('Plan mensual'!E69+IF(parametros_manuales!$H$23="Todos",'Plan mensual'!E73,0))+parametros_manuales!$F$23*('Plan mensual'!E70+IF(parametros_manuales!$H$23="Todos",'Plan mensual'!E74,0))+parametros_manuales!$G$23*('Plan mensual'!E71+IF(parametros_manuales!$H$23="Todos",'Plan mensual'!E75,0)))*parametros_manuales!$I$23*parametros_manuales!$J$23</f>
        <v>14878.99306612</v>
      </c>
      <c r="D168" s="9" t="n">
        <f aca="false">(parametros_manuales!$D$23*('Plan mensual'!F68+IF(parametros_manuales!$H$23="Todos",'Plan mensual'!F72,0))+parametros_manuales!$E$23*('Plan mensual'!F69+IF(parametros_manuales!$H$23="Todos",'Plan mensual'!F73,0))+parametros_manuales!$F$23*('Plan mensual'!F70+IF(parametros_manuales!$H$23="Todos",'Plan mensual'!F74,0))+parametros_manuales!$G$23*('Plan mensual'!F71+IF(parametros_manuales!$H$23="Todos",'Plan mensual'!F75,0)))*parametros_manuales!$I$23*parametros_manuales!$J$23</f>
        <v>13907.787113065</v>
      </c>
      <c r="E168" s="9" t="n">
        <f aca="false">(parametros_manuales!$D$23*('Plan mensual'!G68+IF(parametros_manuales!$H$23="Todos",'Plan mensual'!G72,0))+parametros_manuales!$E$23*('Plan mensual'!G69+IF(parametros_manuales!$H$23="Todos",'Plan mensual'!G73,0))+parametros_manuales!$F$23*('Plan mensual'!G70+IF(parametros_manuales!$H$23="Todos",'Plan mensual'!G74,0))+parametros_manuales!$G$23*('Plan mensual'!G71+IF(parametros_manuales!$H$23="Todos",'Plan mensual'!G75,0)))*parametros_manuales!$I$23*parametros_manuales!$J$23</f>
        <v>13299.421346765</v>
      </c>
      <c r="F168" s="9" t="n">
        <f aca="false">(parametros_manuales!$D$23*('Plan mensual'!H68+IF(parametros_manuales!$H$23="Todos",'Plan mensual'!H72,0))+parametros_manuales!$E$23*('Plan mensual'!H69+IF(parametros_manuales!$H$23="Todos",'Plan mensual'!H73,0))+parametros_manuales!$F$23*('Plan mensual'!H70+IF(parametros_manuales!$H$23="Todos",'Plan mensual'!H74,0))+parametros_manuales!$G$23*('Plan mensual'!H71+IF(parametros_manuales!$H$23="Todos",'Plan mensual'!H75,0)))*parametros_manuales!$I$23*parametros_manuales!$J$23</f>
        <v>12445.53000092</v>
      </c>
      <c r="G168" s="9" t="n">
        <f aca="false">(parametros_manuales!$D$23*('Plan mensual'!I68+IF(parametros_manuales!$H$23="Todos",'Plan mensual'!I72,0))+parametros_manuales!$E$23*('Plan mensual'!I69+IF(parametros_manuales!$H$23="Todos",'Plan mensual'!I73,0))+parametros_manuales!$F$23*('Plan mensual'!I70+IF(parametros_manuales!$H$23="Todos",'Plan mensual'!I74,0))+parametros_manuales!$G$23*('Plan mensual'!I71+IF(parametros_manuales!$H$23="Todos",'Plan mensual'!I75,0)))*parametros_manuales!$I$23*parametros_manuales!$J$23</f>
        <v>12200.004421375</v>
      </c>
      <c r="H168" s="9" t="n">
        <f aca="false">(parametros_manuales!$D$23*('Plan mensual'!J68+IF(parametros_manuales!$H$23="Todos",'Plan mensual'!J72,0))+parametros_manuales!$E$23*('Plan mensual'!J69+IF(parametros_manuales!$H$23="Todos",'Plan mensual'!J73,0))+parametros_manuales!$F$23*('Plan mensual'!J70+IF(parametros_manuales!$H$23="Todos",'Plan mensual'!J74,0))+parametros_manuales!$G$23*('Plan mensual'!J71+IF(parametros_manuales!$H$23="Todos",'Plan mensual'!J75,0)))*parametros_manuales!$I$23*parametros_manuales!$J$23</f>
        <v>13053.89576722</v>
      </c>
      <c r="I168" s="9" t="n">
        <f aca="false">(parametros_manuales!$D$23*('Plan mensual'!K68+IF(parametros_manuales!$H$23="Todos",'Plan mensual'!K72,0))+parametros_manuales!$E$23*('Plan mensual'!K69+IF(parametros_manuales!$H$23="Todos",'Plan mensual'!K73,0))+parametros_manuales!$F$23*('Plan mensual'!K70+IF(parametros_manuales!$H$23="Todos",'Plan mensual'!K74,0))+parametros_manuales!$G$23*('Plan mensual'!K71+IF(parametros_manuales!$H$23="Todos",'Plan mensual'!K75,0)))*parametros_manuales!$I$23*parametros_manuales!$J$23</f>
        <v>13053.89576722</v>
      </c>
      <c r="J168" s="9" t="n">
        <f aca="false">(parametros_manuales!$D$23*('Plan mensual'!L68+IF(parametros_manuales!$H$23="Todos",'Plan mensual'!L72,0))+parametros_manuales!$E$23*('Plan mensual'!L69+IF(parametros_manuales!$H$23="Todos",'Plan mensual'!L73,0))+parametros_manuales!$F$23*('Plan mensual'!L70+IF(parametros_manuales!$H$23="Todos",'Plan mensual'!L74,0))+parametros_manuales!$G$23*('Plan mensual'!L71+IF(parametros_manuales!$H$23="Todos",'Plan mensual'!L75,0)))*parametros_manuales!$I$23*parametros_manuales!$J$23</f>
        <v>13053.89576722</v>
      </c>
      <c r="K168" s="9" t="n">
        <f aca="false">(parametros_manuales!$D$23*('Plan mensual'!M68+IF(parametros_manuales!$H$23="Todos",'Plan mensual'!M72,0))+parametros_manuales!$E$23*('Plan mensual'!M69+IF(parametros_manuales!$H$23="Todos",'Plan mensual'!M73,0))+parametros_manuales!$F$23*('Plan mensual'!M70+IF(parametros_manuales!$H$23="Todos",'Plan mensual'!M74,0))+parametros_manuales!$G$23*('Plan mensual'!M71+IF(parametros_manuales!$H$23="Todos",'Plan mensual'!M75,0)))*parametros_manuales!$I$23*parametros_manuales!$J$23</f>
        <v>12808.370187675</v>
      </c>
      <c r="L168" s="9" t="n">
        <f aca="false">(parametros_manuales!$D$23*('Plan mensual'!N68+IF(parametros_manuales!$H$23="Todos",'Plan mensual'!N72,0))+parametros_manuales!$E$23*('Plan mensual'!N69+IF(parametros_manuales!$H$23="Todos",'Plan mensual'!N73,0))+parametros_manuales!$F$23*('Plan mensual'!N70+IF(parametros_manuales!$H$23="Todos",'Plan mensual'!N74,0))+parametros_manuales!$G$23*('Plan mensual'!N71+IF(parametros_manuales!$H$23="Todos",'Plan mensual'!N75,0)))*parametros_manuales!$I$23*parametros_manuales!$J$23</f>
        <v>12562.84460813</v>
      </c>
      <c r="M168" s="9" t="n">
        <f aca="false">(parametros_manuales!$D$23*('Plan mensual'!O68+IF(parametros_manuales!$H$23="Todos",'Plan mensual'!O72,0))+parametros_manuales!$E$23*('Plan mensual'!O69+IF(parametros_manuales!$H$23="Todos",'Plan mensual'!O73,0))+parametros_manuales!$F$23*('Plan mensual'!O70+IF(parametros_manuales!$H$23="Todos",'Plan mensual'!O74,0))+parametros_manuales!$G$23*('Plan mensual'!O71+IF(parametros_manuales!$H$23="Todos",'Plan mensual'!O75,0)))*parametros_manuales!$I$23*parametros_manuales!$J$23</f>
        <v>20002.34114119</v>
      </c>
      <c r="N168" s="9" t="n">
        <f aca="false">SUM(B168:M168)</f>
        <v>170778.269169</v>
      </c>
      <c r="O168" s="9" t="n">
        <f aca="false">MAX(B168:M168)</f>
        <v>20002.34114119</v>
      </c>
      <c r="P168" s="43" t="n">
        <f aca="false">O168/(parametros_manuales!$B$7)</f>
        <v>133.348940941267</v>
      </c>
      <c r="Q168" s="8" t="str">
        <f aca="false">IF(O168=0,"-",INDEX($B$163:$M$163,MATCH(O168,B168:M168,0)))</f>
        <v>Dic</v>
      </c>
    </row>
    <row r="169" customFormat="false" ht="14.25" hidden="false" customHeight="true" outlineLevel="0" collapsed="false">
      <c r="A169" s="8" t="str">
        <f aca="false">parametros_manuales!$B$24</f>
        <v>Numerado de cúpula</v>
      </c>
      <c r="B169" s="9" t="n">
        <f aca="false">(parametros_manuales!$D$24*('Plan mensual'!D68+IF(parametros_manuales!$H$24="Todos",'Plan mensual'!D72,0))+parametros_manuales!$E$24*('Plan mensual'!D69+IF(parametros_manuales!$H$24="Todos",'Plan mensual'!D73,0))+parametros_manuales!$F$24*('Plan mensual'!D70+IF(parametros_manuales!$H$24="Todos",'Plan mensual'!D74,0))+parametros_manuales!$G$24*('Plan mensual'!D71+IF(parametros_manuales!$H$24="Todos",'Plan mensual'!D75,0)))*parametros_manuales!$I$24*parametros_manuales!$J$24</f>
        <v>19511.2899821</v>
      </c>
      <c r="C169" s="9" t="n">
        <f aca="false">(parametros_manuales!$D$24*('Plan mensual'!E68+IF(parametros_manuales!$H$24="Todos",'Plan mensual'!E72,0))+parametros_manuales!$E$24*('Plan mensual'!E69+IF(parametros_manuales!$H$24="Todos",'Plan mensual'!E73,0))+parametros_manuales!$F$24*('Plan mensual'!E70+IF(parametros_manuales!$H$24="Todos",'Plan mensual'!E74,0))+parametros_manuales!$G$24*('Plan mensual'!E71+IF(parametros_manuales!$H$24="Todos",'Plan mensual'!E75,0)))*parametros_manuales!$I$24*parametros_manuales!$J$24</f>
        <v>14878.99306612</v>
      </c>
      <c r="D169" s="9" t="n">
        <f aca="false">(parametros_manuales!$D$24*('Plan mensual'!F68+IF(parametros_manuales!$H$24="Todos",'Plan mensual'!F72,0))+parametros_manuales!$E$24*('Plan mensual'!F69+IF(parametros_manuales!$H$24="Todos",'Plan mensual'!F73,0))+parametros_manuales!$F$24*('Plan mensual'!F70+IF(parametros_manuales!$H$24="Todos",'Plan mensual'!F74,0))+parametros_manuales!$G$24*('Plan mensual'!F71+IF(parametros_manuales!$H$24="Todos",'Plan mensual'!F75,0)))*parametros_manuales!$I$24*parametros_manuales!$J$24</f>
        <v>13907.787113065</v>
      </c>
      <c r="E169" s="9" t="n">
        <f aca="false">(parametros_manuales!$D$24*('Plan mensual'!G68+IF(parametros_manuales!$H$24="Todos",'Plan mensual'!G72,0))+parametros_manuales!$E$24*('Plan mensual'!G69+IF(parametros_manuales!$H$24="Todos",'Plan mensual'!G73,0))+parametros_manuales!$F$24*('Plan mensual'!G70+IF(parametros_manuales!$H$24="Todos",'Plan mensual'!G74,0))+parametros_manuales!$G$24*('Plan mensual'!G71+IF(parametros_manuales!$H$24="Todos",'Plan mensual'!G75,0)))*parametros_manuales!$I$24*parametros_manuales!$J$24</f>
        <v>13299.421346765</v>
      </c>
      <c r="F169" s="9" t="n">
        <f aca="false">(parametros_manuales!$D$24*('Plan mensual'!H68+IF(parametros_manuales!$H$24="Todos",'Plan mensual'!H72,0))+parametros_manuales!$E$24*('Plan mensual'!H69+IF(parametros_manuales!$H$24="Todos",'Plan mensual'!H73,0))+parametros_manuales!$F$24*('Plan mensual'!H70+IF(parametros_manuales!$H$24="Todos",'Plan mensual'!H74,0))+parametros_manuales!$G$24*('Plan mensual'!H71+IF(parametros_manuales!$H$24="Todos",'Plan mensual'!H75,0)))*parametros_manuales!$I$24*parametros_manuales!$J$24</f>
        <v>12445.53000092</v>
      </c>
      <c r="G169" s="9" t="n">
        <f aca="false">(parametros_manuales!$D$24*('Plan mensual'!I68+IF(parametros_manuales!$H$24="Todos",'Plan mensual'!I72,0))+parametros_manuales!$E$24*('Plan mensual'!I69+IF(parametros_manuales!$H$24="Todos",'Plan mensual'!I73,0))+parametros_manuales!$F$24*('Plan mensual'!I70+IF(parametros_manuales!$H$24="Todos",'Plan mensual'!I74,0))+parametros_manuales!$G$24*('Plan mensual'!I71+IF(parametros_manuales!$H$24="Todos",'Plan mensual'!I75,0)))*parametros_manuales!$I$24*parametros_manuales!$J$24</f>
        <v>12200.004421375</v>
      </c>
      <c r="H169" s="9" t="n">
        <f aca="false">(parametros_manuales!$D$24*('Plan mensual'!J68+IF(parametros_manuales!$H$24="Todos",'Plan mensual'!J72,0))+parametros_manuales!$E$24*('Plan mensual'!J69+IF(parametros_manuales!$H$24="Todos",'Plan mensual'!J73,0))+parametros_manuales!$F$24*('Plan mensual'!J70+IF(parametros_manuales!$H$24="Todos",'Plan mensual'!J74,0))+parametros_manuales!$G$24*('Plan mensual'!J71+IF(parametros_manuales!$H$24="Todos",'Plan mensual'!J75,0)))*parametros_manuales!$I$24*parametros_manuales!$J$24</f>
        <v>13053.89576722</v>
      </c>
      <c r="I169" s="9" t="n">
        <f aca="false">(parametros_manuales!$D$24*('Plan mensual'!K68+IF(parametros_manuales!$H$24="Todos",'Plan mensual'!K72,0))+parametros_manuales!$E$24*('Plan mensual'!K69+IF(parametros_manuales!$H$24="Todos",'Plan mensual'!K73,0))+parametros_manuales!$F$24*('Plan mensual'!K70+IF(parametros_manuales!$H$24="Todos",'Plan mensual'!K74,0))+parametros_manuales!$G$24*('Plan mensual'!K71+IF(parametros_manuales!$H$24="Todos",'Plan mensual'!K75,0)))*parametros_manuales!$I$24*parametros_manuales!$J$24</f>
        <v>13053.89576722</v>
      </c>
      <c r="J169" s="9" t="n">
        <f aca="false">(parametros_manuales!$D$24*('Plan mensual'!L68+IF(parametros_manuales!$H$24="Todos",'Plan mensual'!L72,0))+parametros_manuales!$E$24*('Plan mensual'!L69+IF(parametros_manuales!$H$24="Todos",'Plan mensual'!L73,0))+parametros_manuales!$F$24*('Plan mensual'!L70+IF(parametros_manuales!$H$24="Todos",'Plan mensual'!L74,0))+parametros_manuales!$G$24*('Plan mensual'!L71+IF(parametros_manuales!$H$24="Todos",'Plan mensual'!L75,0)))*parametros_manuales!$I$24*parametros_manuales!$J$24</f>
        <v>13053.89576722</v>
      </c>
      <c r="K169" s="9" t="n">
        <f aca="false">(parametros_manuales!$D$24*('Plan mensual'!M68+IF(parametros_manuales!$H$24="Todos",'Plan mensual'!M72,0))+parametros_manuales!$E$24*('Plan mensual'!M69+IF(parametros_manuales!$H$24="Todos",'Plan mensual'!M73,0))+parametros_manuales!$F$24*('Plan mensual'!M70+IF(parametros_manuales!$H$24="Todos",'Plan mensual'!M74,0))+parametros_manuales!$G$24*('Plan mensual'!M71+IF(parametros_manuales!$H$24="Todos",'Plan mensual'!M75,0)))*parametros_manuales!$I$24*parametros_manuales!$J$24</f>
        <v>12808.370187675</v>
      </c>
      <c r="L169" s="9" t="n">
        <f aca="false">(parametros_manuales!$D$24*('Plan mensual'!N68+IF(parametros_manuales!$H$24="Todos",'Plan mensual'!N72,0))+parametros_manuales!$E$24*('Plan mensual'!N69+IF(parametros_manuales!$H$24="Todos",'Plan mensual'!N73,0))+parametros_manuales!$F$24*('Plan mensual'!N70+IF(parametros_manuales!$H$24="Todos",'Plan mensual'!N74,0))+parametros_manuales!$G$24*('Plan mensual'!N71+IF(parametros_manuales!$H$24="Todos",'Plan mensual'!N75,0)))*parametros_manuales!$I$24*parametros_manuales!$J$24</f>
        <v>12562.84460813</v>
      </c>
      <c r="M169" s="9" t="n">
        <f aca="false">(parametros_manuales!$D$24*('Plan mensual'!O68+IF(parametros_manuales!$H$24="Todos",'Plan mensual'!O72,0))+parametros_manuales!$E$24*('Plan mensual'!O69+IF(parametros_manuales!$H$24="Todos",'Plan mensual'!O73,0))+parametros_manuales!$F$24*('Plan mensual'!O70+IF(parametros_manuales!$H$24="Todos",'Plan mensual'!O74,0))+parametros_manuales!$G$24*('Plan mensual'!O71+IF(parametros_manuales!$H$24="Todos",'Plan mensual'!O75,0)))*parametros_manuales!$I$24*parametros_manuales!$J$24</f>
        <v>20002.34114119</v>
      </c>
      <c r="N169" s="9" t="n">
        <f aca="false">SUM(B169:M169)</f>
        <v>170778.269169</v>
      </c>
      <c r="O169" s="9" t="n">
        <f aca="false">MAX(B169:M169)</f>
        <v>20002.34114119</v>
      </c>
      <c r="P169" s="43" t="n">
        <f aca="false">O169/(parametros_manuales!$B$7)</f>
        <v>133.348940941267</v>
      </c>
      <c r="Q169" s="8" t="str">
        <f aca="false">IF(O169=0,"-",INDEX($B$163:$M$163,MATCH(O169,B169:M169,0)))</f>
        <v>Dic</v>
      </c>
    </row>
    <row r="170" customFormat="false" ht="14.25" hidden="false" customHeight="true" outlineLevel="0" collapsed="false">
      <c r="A170" s="8" t="str">
        <f aca="false">parametros_manuales!$B$25</f>
        <v>Soldadura del cuello a la cúpula</v>
      </c>
      <c r="B170" s="9" t="n">
        <f aca="false">(parametros_manuales!$D$25*('Plan mensual'!D68+IF(parametros_manuales!$H$25="Todos",'Plan mensual'!D72,0))+parametros_manuales!$E$25*('Plan mensual'!D69+IF(parametros_manuales!$H$25="Todos",'Plan mensual'!D73,0))+parametros_manuales!$F$25*('Plan mensual'!D70+IF(parametros_manuales!$H$25="Todos",'Plan mensual'!D74,0))+parametros_manuales!$G$25*('Plan mensual'!D71+IF(parametros_manuales!$H$25="Todos",'Plan mensual'!D75,0)))*parametros_manuales!$I$25*parametros_manuales!$J$25</f>
        <v>19511.2899821</v>
      </c>
      <c r="C170" s="9" t="n">
        <f aca="false">(parametros_manuales!$D$25*('Plan mensual'!E68+IF(parametros_manuales!$H$25="Todos",'Plan mensual'!E72,0))+parametros_manuales!$E$25*('Plan mensual'!E69+IF(parametros_manuales!$H$25="Todos",'Plan mensual'!E73,0))+parametros_manuales!$F$25*('Plan mensual'!E70+IF(parametros_manuales!$H$25="Todos",'Plan mensual'!E74,0))+parametros_manuales!$G$25*('Plan mensual'!E71+IF(parametros_manuales!$H$25="Todos",'Plan mensual'!E75,0)))*parametros_manuales!$I$25*parametros_manuales!$J$25</f>
        <v>14878.99306612</v>
      </c>
      <c r="D170" s="9" t="n">
        <f aca="false">(parametros_manuales!$D$25*('Plan mensual'!F68+IF(parametros_manuales!$H$25="Todos",'Plan mensual'!F72,0))+parametros_manuales!$E$25*('Plan mensual'!F69+IF(parametros_manuales!$H$25="Todos",'Plan mensual'!F73,0))+parametros_manuales!$F$25*('Plan mensual'!F70+IF(parametros_manuales!$H$25="Todos",'Plan mensual'!F74,0))+parametros_manuales!$G$25*('Plan mensual'!F71+IF(parametros_manuales!$H$25="Todos",'Plan mensual'!F75,0)))*parametros_manuales!$I$25*parametros_manuales!$J$25</f>
        <v>13907.787113065</v>
      </c>
      <c r="E170" s="9" t="n">
        <f aca="false">(parametros_manuales!$D$25*('Plan mensual'!G68+IF(parametros_manuales!$H$25="Todos",'Plan mensual'!G72,0))+parametros_manuales!$E$25*('Plan mensual'!G69+IF(parametros_manuales!$H$25="Todos",'Plan mensual'!G73,0))+parametros_manuales!$F$25*('Plan mensual'!G70+IF(parametros_manuales!$H$25="Todos",'Plan mensual'!G74,0))+parametros_manuales!$G$25*('Plan mensual'!G71+IF(parametros_manuales!$H$25="Todos",'Plan mensual'!G75,0)))*parametros_manuales!$I$25*parametros_manuales!$J$25</f>
        <v>13299.421346765</v>
      </c>
      <c r="F170" s="9" t="n">
        <f aca="false">(parametros_manuales!$D$25*('Plan mensual'!H68+IF(parametros_manuales!$H$25="Todos",'Plan mensual'!H72,0))+parametros_manuales!$E$25*('Plan mensual'!H69+IF(parametros_manuales!$H$25="Todos",'Plan mensual'!H73,0))+parametros_manuales!$F$25*('Plan mensual'!H70+IF(parametros_manuales!$H$25="Todos",'Plan mensual'!H74,0))+parametros_manuales!$G$25*('Plan mensual'!H71+IF(parametros_manuales!$H$25="Todos",'Plan mensual'!H75,0)))*parametros_manuales!$I$25*parametros_manuales!$J$25</f>
        <v>12445.53000092</v>
      </c>
      <c r="G170" s="9" t="n">
        <f aca="false">(parametros_manuales!$D$25*('Plan mensual'!I68+IF(parametros_manuales!$H$25="Todos",'Plan mensual'!I72,0))+parametros_manuales!$E$25*('Plan mensual'!I69+IF(parametros_manuales!$H$25="Todos",'Plan mensual'!I73,0))+parametros_manuales!$F$25*('Plan mensual'!I70+IF(parametros_manuales!$H$25="Todos",'Plan mensual'!I74,0))+parametros_manuales!$G$25*('Plan mensual'!I71+IF(parametros_manuales!$H$25="Todos",'Plan mensual'!I75,0)))*parametros_manuales!$I$25*parametros_manuales!$J$25</f>
        <v>12200.004421375</v>
      </c>
      <c r="H170" s="9" t="n">
        <f aca="false">(parametros_manuales!$D$25*('Plan mensual'!J68+IF(parametros_manuales!$H$25="Todos",'Plan mensual'!J72,0))+parametros_manuales!$E$25*('Plan mensual'!J69+IF(parametros_manuales!$H$25="Todos",'Plan mensual'!J73,0))+parametros_manuales!$F$25*('Plan mensual'!J70+IF(parametros_manuales!$H$25="Todos",'Plan mensual'!J74,0))+parametros_manuales!$G$25*('Plan mensual'!J71+IF(parametros_manuales!$H$25="Todos",'Plan mensual'!J75,0)))*parametros_manuales!$I$25*parametros_manuales!$J$25</f>
        <v>13053.89576722</v>
      </c>
      <c r="I170" s="9" t="n">
        <f aca="false">(parametros_manuales!$D$25*('Plan mensual'!K68+IF(parametros_manuales!$H$25="Todos",'Plan mensual'!K72,0))+parametros_manuales!$E$25*('Plan mensual'!K69+IF(parametros_manuales!$H$25="Todos",'Plan mensual'!K73,0))+parametros_manuales!$F$25*('Plan mensual'!K70+IF(parametros_manuales!$H$25="Todos",'Plan mensual'!K74,0))+parametros_manuales!$G$25*('Plan mensual'!K71+IF(parametros_manuales!$H$25="Todos",'Plan mensual'!K75,0)))*parametros_manuales!$I$25*parametros_manuales!$J$25</f>
        <v>13053.89576722</v>
      </c>
      <c r="J170" s="9" t="n">
        <f aca="false">(parametros_manuales!$D$25*('Plan mensual'!L68+IF(parametros_manuales!$H$25="Todos",'Plan mensual'!L72,0))+parametros_manuales!$E$25*('Plan mensual'!L69+IF(parametros_manuales!$H$25="Todos",'Plan mensual'!L73,0))+parametros_manuales!$F$25*('Plan mensual'!L70+IF(parametros_manuales!$H$25="Todos",'Plan mensual'!L74,0))+parametros_manuales!$G$25*('Plan mensual'!L71+IF(parametros_manuales!$H$25="Todos",'Plan mensual'!L75,0)))*parametros_manuales!$I$25*parametros_manuales!$J$25</f>
        <v>13053.89576722</v>
      </c>
      <c r="K170" s="9" t="n">
        <f aca="false">(parametros_manuales!$D$25*('Plan mensual'!M68+IF(parametros_manuales!$H$25="Todos",'Plan mensual'!M72,0))+parametros_manuales!$E$25*('Plan mensual'!M69+IF(parametros_manuales!$H$25="Todos",'Plan mensual'!M73,0))+parametros_manuales!$F$25*('Plan mensual'!M70+IF(parametros_manuales!$H$25="Todos",'Plan mensual'!M74,0))+parametros_manuales!$G$25*('Plan mensual'!M71+IF(parametros_manuales!$H$25="Todos",'Plan mensual'!M75,0)))*parametros_manuales!$I$25*parametros_manuales!$J$25</f>
        <v>12808.370187675</v>
      </c>
      <c r="L170" s="9" t="n">
        <f aca="false">(parametros_manuales!$D$25*('Plan mensual'!N68+IF(parametros_manuales!$H$25="Todos",'Plan mensual'!N72,0))+parametros_manuales!$E$25*('Plan mensual'!N69+IF(parametros_manuales!$H$25="Todos",'Plan mensual'!N73,0))+parametros_manuales!$F$25*('Plan mensual'!N70+IF(parametros_manuales!$H$25="Todos",'Plan mensual'!N74,0))+parametros_manuales!$G$25*('Plan mensual'!N71+IF(parametros_manuales!$H$25="Todos",'Plan mensual'!N75,0)))*parametros_manuales!$I$25*parametros_manuales!$J$25</f>
        <v>12562.84460813</v>
      </c>
      <c r="M170" s="9" t="n">
        <f aca="false">(parametros_manuales!$D$25*('Plan mensual'!O68+IF(parametros_manuales!$H$25="Todos",'Plan mensual'!O72,0))+parametros_manuales!$E$25*('Plan mensual'!O69+IF(parametros_manuales!$H$25="Todos",'Plan mensual'!O73,0))+parametros_manuales!$F$25*('Plan mensual'!O70+IF(parametros_manuales!$H$25="Todos",'Plan mensual'!O74,0))+parametros_manuales!$G$25*('Plan mensual'!O71+IF(parametros_manuales!$H$25="Todos",'Plan mensual'!O75,0)))*parametros_manuales!$I$25*parametros_manuales!$J$25</f>
        <v>20002.34114119</v>
      </c>
      <c r="N170" s="9" t="n">
        <f aca="false">SUM(B170:M170)</f>
        <v>170778.269169</v>
      </c>
      <c r="O170" s="9" t="n">
        <f aca="false">MAX(B170:M170)</f>
        <v>20002.34114119</v>
      </c>
      <c r="P170" s="43" t="n">
        <f aca="false">O170/(parametros_manuales!$B$7)</f>
        <v>133.348940941267</v>
      </c>
      <c r="Q170" s="8" t="str">
        <f aca="false">IF(O170=0,"-",INDEX($B$163:$M$163,MATCH(O170,B170:M170,0)))</f>
        <v>Dic</v>
      </c>
    </row>
    <row r="171" customFormat="false" ht="14.25" hidden="false" customHeight="true" outlineLevel="0" collapsed="false">
      <c r="A171" s="8" t="str">
        <f aca="false">parametros_manuales!$B$26</f>
        <v>Cilindrado</v>
      </c>
      <c r="B171" s="9" t="n">
        <f aca="false">(parametros_manuales!$D$26*('Plan mensual'!D68+IF(parametros_manuales!$H$26="Todos",'Plan mensual'!D72,0))+parametros_manuales!$E$26*('Plan mensual'!D69+IF(parametros_manuales!$H$26="Todos",'Plan mensual'!D73,0))+parametros_manuales!$F$26*('Plan mensual'!D70+IF(parametros_manuales!$H$26="Todos",'Plan mensual'!D74,0))+parametros_manuales!$G$26*('Plan mensual'!D71+IF(parametros_manuales!$H$26="Todos",'Plan mensual'!D75,0)))*parametros_manuales!$I$26*parametros_manuales!$J$26</f>
        <v>4910.5115909</v>
      </c>
      <c r="C171" s="9" t="n">
        <f aca="false">(parametros_manuales!$D$26*('Plan mensual'!E68+IF(parametros_manuales!$H$26="Todos",'Plan mensual'!E72,0))+parametros_manuales!$E$26*('Plan mensual'!E69+IF(parametros_manuales!$H$26="Todos",'Plan mensual'!E73,0))+parametros_manuales!$F$26*('Plan mensual'!E70+IF(parametros_manuales!$H$26="Todos",'Plan mensual'!E74,0))+parametros_manuales!$G$26*('Plan mensual'!E71+IF(parametros_manuales!$H$26="Todos",'Plan mensual'!E75,0)))*parametros_manuales!$I$26*parametros_manuales!$J$26</f>
        <v>3928.40927272</v>
      </c>
      <c r="D171" s="9" t="n">
        <f aca="false">(parametros_manuales!$D$26*('Plan mensual'!F68+IF(parametros_manuales!$H$26="Todos",'Plan mensual'!F72,0))+parametros_manuales!$E$26*('Plan mensual'!F69+IF(parametros_manuales!$H$26="Todos",'Plan mensual'!F73,0))+parametros_manuales!$F$26*('Plan mensual'!F70+IF(parametros_manuales!$H$26="Todos",'Plan mensual'!F74,0))+parametros_manuales!$G$26*('Plan mensual'!F71+IF(parametros_manuales!$H$26="Todos",'Plan mensual'!F75,0)))*parametros_manuales!$I$26*parametros_manuales!$J$26</f>
        <v>4173.934852265</v>
      </c>
      <c r="E171" s="9" t="n">
        <f aca="false">(parametros_manuales!$D$26*('Plan mensual'!G68+IF(parametros_manuales!$H$26="Todos",'Plan mensual'!G72,0))+parametros_manuales!$E$26*('Plan mensual'!G69+IF(parametros_manuales!$H$26="Todos",'Plan mensual'!G73,0))+parametros_manuales!$F$26*('Plan mensual'!G70+IF(parametros_manuales!$H$26="Todos",'Plan mensual'!G74,0))+parametros_manuales!$G$26*('Plan mensual'!G71+IF(parametros_manuales!$H$26="Todos",'Plan mensual'!G75,0)))*parametros_manuales!$I$26*parametros_manuales!$J$26</f>
        <v>4173.934852265</v>
      </c>
      <c r="F171" s="9" t="n">
        <f aca="false">(parametros_manuales!$D$26*('Plan mensual'!H68+IF(parametros_manuales!$H$26="Todos",'Plan mensual'!H72,0))+parametros_manuales!$E$26*('Plan mensual'!H69+IF(parametros_manuales!$H$26="Todos",'Plan mensual'!H73,0))+parametros_manuales!$F$26*('Plan mensual'!H70+IF(parametros_manuales!$H$26="Todos",'Plan mensual'!H74,0))+parametros_manuales!$G$26*('Plan mensual'!H71+IF(parametros_manuales!$H$26="Todos",'Plan mensual'!H75,0)))*parametros_manuales!$I$26*parametros_manuales!$J$26</f>
        <v>3928.40927272</v>
      </c>
      <c r="G171" s="9" t="n">
        <f aca="false">(parametros_manuales!$D$26*('Plan mensual'!I68+IF(parametros_manuales!$H$26="Todos",'Plan mensual'!I72,0))+parametros_manuales!$E$26*('Plan mensual'!I69+IF(parametros_manuales!$H$26="Todos",'Plan mensual'!I73,0))+parametros_manuales!$F$26*('Plan mensual'!I70+IF(parametros_manuales!$H$26="Todos",'Plan mensual'!I74,0))+parametros_manuales!$G$26*('Plan mensual'!I71+IF(parametros_manuales!$H$26="Todos",'Plan mensual'!I75,0)))*parametros_manuales!$I$26*parametros_manuales!$J$26</f>
        <v>3682.883693175</v>
      </c>
      <c r="H171" s="9" t="n">
        <f aca="false">(parametros_manuales!$D$26*('Plan mensual'!J68+IF(parametros_manuales!$H$26="Todos",'Plan mensual'!J72,0))+parametros_manuales!$E$26*('Plan mensual'!J69+IF(parametros_manuales!$H$26="Todos",'Plan mensual'!J73,0))+parametros_manuales!$F$26*('Plan mensual'!J70+IF(parametros_manuales!$H$26="Todos",'Plan mensual'!J74,0))+parametros_manuales!$G$26*('Plan mensual'!J71+IF(parametros_manuales!$H$26="Todos",'Plan mensual'!J75,0)))*parametros_manuales!$I$26*parametros_manuales!$J$26</f>
        <v>3928.40927272</v>
      </c>
      <c r="I171" s="9" t="n">
        <f aca="false">(parametros_manuales!$D$26*('Plan mensual'!K68+IF(parametros_manuales!$H$26="Todos",'Plan mensual'!K72,0))+parametros_manuales!$E$26*('Plan mensual'!K69+IF(parametros_manuales!$H$26="Todos",'Plan mensual'!K73,0))+parametros_manuales!$F$26*('Plan mensual'!K70+IF(parametros_manuales!$H$26="Todos",'Plan mensual'!K74,0))+parametros_manuales!$G$26*('Plan mensual'!K71+IF(parametros_manuales!$H$26="Todos",'Plan mensual'!K75,0)))*parametros_manuales!$I$26*parametros_manuales!$J$26</f>
        <v>3928.40927272</v>
      </c>
      <c r="J171" s="9" t="n">
        <f aca="false">(parametros_manuales!$D$26*('Plan mensual'!L68+IF(parametros_manuales!$H$26="Todos",'Plan mensual'!L72,0))+parametros_manuales!$E$26*('Plan mensual'!L69+IF(parametros_manuales!$H$26="Todos",'Plan mensual'!L73,0))+parametros_manuales!$F$26*('Plan mensual'!L70+IF(parametros_manuales!$H$26="Todos",'Plan mensual'!L74,0))+parametros_manuales!$G$26*('Plan mensual'!L71+IF(parametros_manuales!$H$26="Todos",'Plan mensual'!L75,0)))*parametros_manuales!$I$26*parametros_manuales!$J$26</f>
        <v>3928.40927272</v>
      </c>
      <c r="K171" s="9" t="n">
        <f aca="false">(parametros_manuales!$D$26*('Plan mensual'!M68+IF(parametros_manuales!$H$26="Todos",'Plan mensual'!M72,0))+parametros_manuales!$E$26*('Plan mensual'!M69+IF(parametros_manuales!$H$26="Todos",'Plan mensual'!M73,0))+parametros_manuales!$F$26*('Plan mensual'!M70+IF(parametros_manuales!$H$26="Todos",'Plan mensual'!M74,0))+parametros_manuales!$G$26*('Plan mensual'!M71+IF(parametros_manuales!$H$26="Todos",'Plan mensual'!M75,0)))*parametros_manuales!$I$26*parametros_manuales!$J$26</f>
        <v>3682.883693175</v>
      </c>
      <c r="L171" s="9" t="n">
        <f aca="false">(parametros_manuales!$D$26*('Plan mensual'!N68+IF(parametros_manuales!$H$26="Todos",'Plan mensual'!N72,0))+parametros_manuales!$E$26*('Plan mensual'!N69+IF(parametros_manuales!$H$26="Todos",'Plan mensual'!N73,0))+parametros_manuales!$F$26*('Plan mensual'!N70+IF(parametros_manuales!$H$26="Todos",'Plan mensual'!N74,0))+parametros_manuales!$G$26*('Plan mensual'!N71+IF(parametros_manuales!$H$26="Todos",'Plan mensual'!N75,0)))*parametros_manuales!$I$26*parametros_manuales!$J$26</f>
        <v>3437.35811363</v>
      </c>
      <c r="M171" s="9" t="n">
        <f aca="false">(parametros_manuales!$D$26*('Plan mensual'!O68+IF(parametros_manuales!$H$26="Todos",'Plan mensual'!O72,0))+parametros_manuales!$E$26*('Plan mensual'!O69+IF(parametros_manuales!$H$26="Todos",'Plan mensual'!O73,0))+parametros_manuales!$F$26*('Plan mensual'!O70+IF(parametros_manuales!$H$26="Todos",'Plan mensual'!O74,0))+parametros_manuales!$G$26*('Plan mensual'!O71+IF(parametros_manuales!$H$26="Todos",'Plan mensual'!O75,0)))*parametros_manuales!$I$26*parametros_manuales!$J$26</f>
        <v>5401.56274999</v>
      </c>
      <c r="N171" s="9" t="n">
        <f aca="false">SUM(B171:M171)</f>
        <v>49105.115909</v>
      </c>
      <c r="O171" s="9" t="n">
        <f aca="false">MAX(B171:M171)</f>
        <v>5401.56274999</v>
      </c>
      <c r="P171" s="43" t="n">
        <f aca="false">O171/(parametros_manuales!$B$7)</f>
        <v>36.0104183332667</v>
      </c>
      <c r="Q171" s="8" t="str">
        <f aca="false">IF(O171=0,"-",INDEX($B$163:$M$163,MATCH(O171,B171:M171,0)))</f>
        <v>Dic</v>
      </c>
    </row>
    <row r="172" customFormat="false" ht="14.25" hidden="false" customHeight="true" outlineLevel="0" collapsed="false">
      <c r="A172" s="8" t="str">
        <f aca="false">parametros_manuales!$B$27</f>
        <v>Soldadura longitudinal</v>
      </c>
      <c r="B172" s="9" t="n">
        <f aca="false">(parametros_manuales!$D$27*('Plan mensual'!D68+IF(parametros_manuales!$H$27="Todos",'Plan mensual'!D72,0))+parametros_manuales!$E$27*('Plan mensual'!D69+IF(parametros_manuales!$H$27="Todos",'Plan mensual'!D73,0))+parametros_manuales!$F$27*('Plan mensual'!D70+IF(parametros_manuales!$H$27="Todos",'Plan mensual'!D74,0))+parametros_manuales!$G$27*('Plan mensual'!D71+IF(parametros_manuales!$H$27="Todos",'Plan mensual'!D75,0)))*parametros_manuales!$I$27*parametros_manuales!$J$27</f>
        <v>4910.5115909</v>
      </c>
      <c r="C172" s="9" t="n">
        <f aca="false">(parametros_manuales!$D$27*('Plan mensual'!E68+IF(parametros_manuales!$H$27="Todos",'Plan mensual'!E72,0))+parametros_manuales!$E$27*('Plan mensual'!E69+IF(parametros_manuales!$H$27="Todos",'Plan mensual'!E73,0))+parametros_manuales!$F$27*('Plan mensual'!E70+IF(parametros_manuales!$H$27="Todos",'Plan mensual'!E74,0))+parametros_manuales!$G$27*('Plan mensual'!E71+IF(parametros_manuales!$H$27="Todos",'Plan mensual'!E75,0)))*parametros_manuales!$I$27*parametros_manuales!$J$27</f>
        <v>3928.40927272</v>
      </c>
      <c r="D172" s="9" t="n">
        <f aca="false">(parametros_manuales!$D$27*('Plan mensual'!F68+IF(parametros_manuales!$H$27="Todos",'Plan mensual'!F72,0))+parametros_manuales!$E$27*('Plan mensual'!F69+IF(parametros_manuales!$H$27="Todos",'Plan mensual'!F73,0))+parametros_manuales!$F$27*('Plan mensual'!F70+IF(parametros_manuales!$H$27="Todos",'Plan mensual'!F74,0))+parametros_manuales!$G$27*('Plan mensual'!F71+IF(parametros_manuales!$H$27="Todos",'Plan mensual'!F75,0)))*parametros_manuales!$I$27*parametros_manuales!$J$27</f>
        <v>4173.934852265</v>
      </c>
      <c r="E172" s="9" t="n">
        <f aca="false">(parametros_manuales!$D$27*('Plan mensual'!G68+IF(parametros_manuales!$H$27="Todos",'Plan mensual'!G72,0))+parametros_manuales!$E$27*('Plan mensual'!G69+IF(parametros_manuales!$H$27="Todos",'Plan mensual'!G73,0))+parametros_manuales!$F$27*('Plan mensual'!G70+IF(parametros_manuales!$H$27="Todos",'Plan mensual'!G74,0))+parametros_manuales!$G$27*('Plan mensual'!G71+IF(parametros_manuales!$H$27="Todos",'Plan mensual'!G75,0)))*parametros_manuales!$I$27*parametros_manuales!$J$27</f>
        <v>4173.934852265</v>
      </c>
      <c r="F172" s="9" t="n">
        <f aca="false">(parametros_manuales!$D$27*('Plan mensual'!H68+IF(parametros_manuales!$H$27="Todos",'Plan mensual'!H72,0))+parametros_manuales!$E$27*('Plan mensual'!H69+IF(parametros_manuales!$H$27="Todos",'Plan mensual'!H73,0))+parametros_manuales!$F$27*('Plan mensual'!H70+IF(parametros_manuales!$H$27="Todos",'Plan mensual'!H74,0))+parametros_manuales!$G$27*('Plan mensual'!H71+IF(parametros_manuales!$H$27="Todos",'Plan mensual'!H75,0)))*parametros_manuales!$I$27*parametros_manuales!$J$27</f>
        <v>3928.40927272</v>
      </c>
      <c r="G172" s="9" t="n">
        <f aca="false">(parametros_manuales!$D$27*('Plan mensual'!I68+IF(parametros_manuales!$H$27="Todos",'Plan mensual'!I72,0))+parametros_manuales!$E$27*('Plan mensual'!I69+IF(parametros_manuales!$H$27="Todos",'Plan mensual'!I73,0))+parametros_manuales!$F$27*('Plan mensual'!I70+IF(parametros_manuales!$H$27="Todos",'Plan mensual'!I74,0))+parametros_manuales!$G$27*('Plan mensual'!I71+IF(parametros_manuales!$H$27="Todos",'Plan mensual'!I75,0)))*parametros_manuales!$I$27*parametros_manuales!$J$27</f>
        <v>3682.883693175</v>
      </c>
      <c r="H172" s="9" t="n">
        <f aca="false">(parametros_manuales!$D$27*('Plan mensual'!J68+IF(parametros_manuales!$H$27="Todos",'Plan mensual'!J72,0))+parametros_manuales!$E$27*('Plan mensual'!J69+IF(parametros_manuales!$H$27="Todos",'Plan mensual'!J73,0))+parametros_manuales!$F$27*('Plan mensual'!J70+IF(parametros_manuales!$H$27="Todos",'Plan mensual'!J74,0))+parametros_manuales!$G$27*('Plan mensual'!J71+IF(parametros_manuales!$H$27="Todos",'Plan mensual'!J75,0)))*parametros_manuales!$I$27*parametros_manuales!$J$27</f>
        <v>3928.40927272</v>
      </c>
      <c r="I172" s="9" t="n">
        <f aca="false">(parametros_manuales!$D$27*('Plan mensual'!K68+IF(parametros_manuales!$H$27="Todos",'Plan mensual'!K72,0))+parametros_manuales!$E$27*('Plan mensual'!K69+IF(parametros_manuales!$H$27="Todos",'Plan mensual'!K73,0))+parametros_manuales!$F$27*('Plan mensual'!K70+IF(parametros_manuales!$H$27="Todos",'Plan mensual'!K74,0))+parametros_manuales!$G$27*('Plan mensual'!K71+IF(parametros_manuales!$H$27="Todos",'Plan mensual'!K75,0)))*parametros_manuales!$I$27*parametros_manuales!$J$27</f>
        <v>3928.40927272</v>
      </c>
      <c r="J172" s="9" t="n">
        <f aca="false">(parametros_manuales!$D$27*('Plan mensual'!L68+IF(parametros_manuales!$H$27="Todos",'Plan mensual'!L72,0))+parametros_manuales!$E$27*('Plan mensual'!L69+IF(parametros_manuales!$H$27="Todos",'Plan mensual'!L73,0))+parametros_manuales!$F$27*('Plan mensual'!L70+IF(parametros_manuales!$H$27="Todos",'Plan mensual'!L74,0))+parametros_manuales!$G$27*('Plan mensual'!L71+IF(parametros_manuales!$H$27="Todos",'Plan mensual'!L75,0)))*parametros_manuales!$I$27*parametros_manuales!$J$27</f>
        <v>3928.40927272</v>
      </c>
      <c r="K172" s="9" t="n">
        <f aca="false">(parametros_manuales!$D$27*('Plan mensual'!M68+IF(parametros_manuales!$H$27="Todos",'Plan mensual'!M72,0))+parametros_manuales!$E$27*('Plan mensual'!M69+IF(parametros_manuales!$H$27="Todos",'Plan mensual'!M73,0))+parametros_manuales!$F$27*('Plan mensual'!M70+IF(parametros_manuales!$H$27="Todos",'Plan mensual'!M74,0))+parametros_manuales!$G$27*('Plan mensual'!M71+IF(parametros_manuales!$H$27="Todos",'Plan mensual'!M75,0)))*parametros_manuales!$I$27*parametros_manuales!$J$27</f>
        <v>3682.883693175</v>
      </c>
      <c r="L172" s="9" t="n">
        <f aca="false">(parametros_manuales!$D$27*('Plan mensual'!N68+IF(parametros_manuales!$H$27="Todos",'Plan mensual'!N72,0))+parametros_manuales!$E$27*('Plan mensual'!N69+IF(parametros_manuales!$H$27="Todos",'Plan mensual'!N73,0))+parametros_manuales!$F$27*('Plan mensual'!N70+IF(parametros_manuales!$H$27="Todos",'Plan mensual'!N74,0))+parametros_manuales!$G$27*('Plan mensual'!N71+IF(parametros_manuales!$H$27="Todos",'Plan mensual'!N75,0)))*parametros_manuales!$I$27*parametros_manuales!$J$27</f>
        <v>3437.35811363</v>
      </c>
      <c r="M172" s="9" t="n">
        <f aca="false">(parametros_manuales!$D$27*('Plan mensual'!O68+IF(parametros_manuales!$H$27="Todos",'Plan mensual'!O72,0))+parametros_manuales!$E$27*('Plan mensual'!O69+IF(parametros_manuales!$H$27="Todos",'Plan mensual'!O73,0))+parametros_manuales!$F$27*('Plan mensual'!O70+IF(parametros_manuales!$H$27="Todos",'Plan mensual'!O74,0))+parametros_manuales!$G$27*('Plan mensual'!O71+IF(parametros_manuales!$H$27="Todos",'Plan mensual'!O75,0)))*parametros_manuales!$I$27*parametros_manuales!$J$27</f>
        <v>5401.56274999</v>
      </c>
      <c r="N172" s="9" t="n">
        <f aca="false">SUM(B172:M172)</f>
        <v>49105.115909</v>
      </c>
      <c r="O172" s="9" t="n">
        <f aca="false">MAX(B172:M172)</f>
        <v>5401.56274999</v>
      </c>
      <c r="P172" s="43" t="n">
        <f aca="false">O172/(parametros_manuales!$B$7)</f>
        <v>36.0104183332667</v>
      </c>
      <c r="Q172" s="8" t="str">
        <f aca="false">IF(O172=0,"-",INDEX($B$163:$M$163,MATCH(O172,B172:M172,0)))</f>
        <v>Dic</v>
      </c>
    </row>
    <row r="173" customFormat="false" ht="14.25" hidden="false" customHeight="true" outlineLevel="0" collapsed="false">
      <c r="A173" s="8" t="str">
        <f aca="false">parametros_manuales!$B$28</f>
        <v>Encastre de fondo</v>
      </c>
      <c r="B173" s="9" t="n">
        <f aca="false">(parametros_manuales!$D$28*('Plan mensual'!D68+IF(parametros_manuales!$H$28="Todos",'Plan mensual'!D72,0))+parametros_manuales!$E$28*('Plan mensual'!D69+IF(parametros_manuales!$H$28="Todos",'Plan mensual'!D73,0))+parametros_manuales!$F$28*('Plan mensual'!D70+IF(parametros_manuales!$H$28="Todos",'Plan mensual'!D74,0))+parametros_manuales!$G$28*('Plan mensual'!D71+IF(parametros_manuales!$H$28="Todos",'Plan mensual'!D75,0)))*parametros_manuales!$I$28*parametros_manuales!$J$28</f>
        <v>19511.2899821</v>
      </c>
      <c r="C173" s="9" t="n">
        <f aca="false">(parametros_manuales!$D$28*('Plan mensual'!E68+IF(parametros_manuales!$H$28="Todos",'Plan mensual'!E72,0))+parametros_manuales!$E$28*('Plan mensual'!E69+IF(parametros_manuales!$H$28="Todos",'Plan mensual'!E73,0))+parametros_manuales!$F$28*('Plan mensual'!E70+IF(parametros_manuales!$H$28="Todos",'Plan mensual'!E74,0))+parametros_manuales!$G$28*('Plan mensual'!E71+IF(parametros_manuales!$H$28="Todos",'Plan mensual'!E75,0)))*parametros_manuales!$I$28*parametros_manuales!$J$28</f>
        <v>14878.99306612</v>
      </c>
      <c r="D173" s="9" t="n">
        <f aca="false">(parametros_manuales!$D$28*('Plan mensual'!F68+IF(parametros_manuales!$H$28="Todos",'Plan mensual'!F72,0))+parametros_manuales!$E$28*('Plan mensual'!F69+IF(parametros_manuales!$H$28="Todos",'Plan mensual'!F73,0))+parametros_manuales!$F$28*('Plan mensual'!F70+IF(parametros_manuales!$H$28="Todos",'Plan mensual'!F74,0))+parametros_manuales!$G$28*('Plan mensual'!F71+IF(parametros_manuales!$H$28="Todos",'Plan mensual'!F75,0)))*parametros_manuales!$I$28*parametros_manuales!$J$28</f>
        <v>13907.787113065</v>
      </c>
      <c r="E173" s="9" t="n">
        <f aca="false">(parametros_manuales!$D$28*('Plan mensual'!G68+IF(parametros_manuales!$H$28="Todos",'Plan mensual'!G72,0))+parametros_manuales!$E$28*('Plan mensual'!G69+IF(parametros_manuales!$H$28="Todos",'Plan mensual'!G73,0))+parametros_manuales!$F$28*('Plan mensual'!G70+IF(parametros_manuales!$H$28="Todos",'Plan mensual'!G74,0))+parametros_manuales!$G$28*('Plan mensual'!G71+IF(parametros_manuales!$H$28="Todos",'Plan mensual'!G75,0)))*parametros_manuales!$I$28*parametros_manuales!$J$28</f>
        <v>13299.421346765</v>
      </c>
      <c r="F173" s="9" t="n">
        <f aca="false">(parametros_manuales!$D$28*('Plan mensual'!H68+IF(parametros_manuales!$H$28="Todos",'Plan mensual'!H72,0))+parametros_manuales!$E$28*('Plan mensual'!H69+IF(parametros_manuales!$H$28="Todos",'Plan mensual'!H73,0))+parametros_manuales!$F$28*('Plan mensual'!H70+IF(parametros_manuales!$H$28="Todos",'Plan mensual'!H74,0))+parametros_manuales!$G$28*('Plan mensual'!H71+IF(parametros_manuales!$H$28="Todos",'Plan mensual'!H75,0)))*parametros_manuales!$I$28*parametros_manuales!$J$28</f>
        <v>12445.53000092</v>
      </c>
      <c r="G173" s="9" t="n">
        <f aca="false">(parametros_manuales!$D$28*('Plan mensual'!I68+IF(parametros_manuales!$H$28="Todos",'Plan mensual'!I72,0))+parametros_manuales!$E$28*('Plan mensual'!I69+IF(parametros_manuales!$H$28="Todos",'Plan mensual'!I73,0))+parametros_manuales!$F$28*('Plan mensual'!I70+IF(parametros_manuales!$H$28="Todos",'Plan mensual'!I74,0))+parametros_manuales!$G$28*('Plan mensual'!I71+IF(parametros_manuales!$H$28="Todos",'Plan mensual'!I75,0)))*parametros_manuales!$I$28*parametros_manuales!$J$28</f>
        <v>12200.004421375</v>
      </c>
      <c r="H173" s="9" t="n">
        <f aca="false">(parametros_manuales!$D$28*('Plan mensual'!J68+IF(parametros_manuales!$H$28="Todos",'Plan mensual'!J72,0))+parametros_manuales!$E$28*('Plan mensual'!J69+IF(parametros_manuales!$H$28="Todos",'Plan mensual'!J73,0))+parametros_manuales!$F$28*('Plan mensual'!J70+IF(parametros_manuales!$H$28="Todos",'Plan mensual'!J74,0))+parametros_manuales!$G$28*('Plan mensual'!J71+IF(parametros_manuales!$H$28="Todos",'Plan mensual'!J75,0)))*parametros_manuales!$I$28*parametros_manuales!$J$28</f>
        <v>13053.89576722</v>
      </c>
      <c r="I173" s="9" t="n">
        <f aca="false">(parametros_manuales!$D$28*('Plan mensual'!K68+IF(parametros_manuales!$H$28="Todos",'Plan mensual'!K72,0))+parametros_manuales!$E$28*('Plan mensual'!K69+IF(parametros_manuales!$H$28="Todos",'Plan mensual'!K73,0))+parametros_manuales!$F$28*('Plan mensual'!K70+IF(parametros_manuales!$H$28="Todos",'Plan mensual'!K74,0))+parametros_manuales!$G$28*('Plan mensual'!K71+IF(parametros_manuales!$H$28="Todos",'Plan mensual'!K75,0)))*parametros_manuales!$I$28*parametros_manuales!$J$28</f>
        <v>13053.89576722</v>
      </c>
      <c r="J173" s="9" t="n">
        <f aca="false">(parametros_manuales!$D$28*('Plan mensual'!L68+IF(parametros_manuales!$H$28="Todos",'Plan mensual'!L72,0))+parametros_manuales!$E$28*('Plan mensual'!L69+IF(parametros_manuales!$H$28="Todos",'Plan mensual'!L73,0))+parametros_manuales!$F$28*('Plan mensual'!L70+IF(parametros_manuales!$H$28="Todos",'Plan mensual'!L74,0))+parametros_manuales!$G$28*('Plan mensual'!L71+IF(parametros_manuales!$H$28="Todos",'Plan mensual'!L75,0)))*parametros_manuales!$I$28*parametros_manuales!$J$28</f>
        <v>13053.89576722</v>
      </c>
      <c r="K173" s="9" t="n">
        <f aca="false">(parametros_manuales!$D$28*('Plan mensual'!M68+IF(parametros_manuales!$H$28="Todos",'Plan mensual'!M72,0))+parametros_manuales!$E$28*('Plan mensual'!M69+IF(parametros_manuales!$H$28="Todos",'Plan mensual'!M73,0))+parametros_manuales!$F$28*('Plan mensual'!M70+IF(parametros_manuales!$H$28="Todos",'Plan mensual'!M74,0))+parametros_manuales!$G$28*('Plan mensual'!M71+IF(parametros_manuales!$H$28="Todos",'Plan mensual'!M75,0)))*parametros_manuales!$I$28*parametros_manuales!$J$28</f>
        <v>12808.370187675</v>
      </c>
      <c r="L173" s="9" t="n">
        <f aca="false">(parametros_manuales!$D$28*('Plan mensual'!N68+IF(parametros_manuales!$H$28="Todos",'Plan mensual'!N72,0))+parametros_manuales!$E$28*('Plan mensual'!N69+IF(parametros_manuales!$H$28="Todos",'Plan mensual'!N73,0))+parametros_manuales!$F$28*('Plan mensual'!N70+IF(parametros_manuales!$H$28="Todos",'Plan mensual'!N74,0))+parametros_manuales!$G$28*('Plan mensual'!N71+IF(parametros_manuales!$H$28="Todos",'Plan mensual'!N75,0)))*parametros_manuales!$I$28*parametros_manuales!$J$28</f>
        <v>12562.84460813</v>
      </c>
      <c r="M173" s="9" t="n">
        <f aca="false">(parametros_manuales!$D$28*('Plan mensual'!O68+IF(parametros_manuales!$H$28="Todos",'Plan mensual'!O72,0))+parametros_manuales!$E$28*('Plan mensual'!O69+IF(parametros_manuales!$H$28="Todos",'Plan mensual'!O73,0))+parametros_manuales!$F$28*('Plan mensual'!O70+IF(parametros_manuales!$H$28="Todos",'Plan mensual'!O74,0))+parametros_manuales!$G$28*('Plan mensual'!O71+IF(parametros_manuales!$H$28="Todos",'Plan mensual'!O75,0)))*parametros_manuales!$I$28*parametros_manuales!$J$28</f>
        <v>20002.34114119</v>
      </c>
      <c r="N173" s="9" t="n">
        <f aca="false">SUM(B173:M173)</f>
        <v>170778.269169</v>
      </c>
      <c r="O173" s="9" t="n">
        <f aca="false">MAX(B173:M173)</f>
        <v>20002.34114119</v>
      </c>
      <c r="P173" s="43" t="n">
        <f aca="false">O173/(parametros_manuales!$B$7)</f>
        <v>133.348940941267</v>
      </c>
      <c r="Q173" s="8" t="str">
        <f aca="false">IF(O173=0,"-",INDEX($B$163:$M$163,MATCH(O173,B173:M173,0)))</f>
        <v>Dic</v>
      </c>
    </row>
    <row r="174" customFormat="false" ht="14.25" hidden="false" customHeight="true" outlineLevel="0" collapsed="false">
      <c r="A174" s="8" t="str">
        <f aca="false">parametros_manuales!$B$29</f>
        <v>Bordoneado</v>
      </c>
      <c r="B174" s="9" t="n">
        <f aca="false">(parametros_manuales!$D$29*('Plan mensual'!D68+IF(parametros_manuales!$H$29="Todos",'Plan mensual'!D72,0))+parametros_manuales!$E$29*('Plan mensual'!D69+IF(parametros_manuales!$H$29="Todos",'Plan mensual'!D73,0))+parametros_manuales!$F$29*('Plan mensual'!D70+IF(parametros_manuales!$H$29="Todos",'Plan mensual'!D74,0))+parametros_manuales!$G$29*('Plan mensual'!D71+IF(parametros_manuales!$H$29="Todos",'Plan mensual'!D75,0)))*parametros_manuales!$I$29*parametros_manuales!$J$29</f>
        <v>19511.2899821</v>
      </c>
      <c r="C174" s="9" t="n">
        <f aca="false">(parametros_manuales!$D$29*('Plan mensual'!E68+IF(parametros_manuales!$H$29="Todos",'Plan mensual'!E72,0))+parametros_manuales!$E$29*('Plan mensual'!E69+IF(parametros_manuales!$H$29="Todos",'Plan mensual'!E73,0))+parametros_manuales!$F$29*('Plan mensual'!E70+IF(parametros_manuales!$H$29="Todos",'Plan mensual'!E74,0))+parametros_manuales!$G$29*('Plan mensual'!E71+IF(parametros_manuales!$H$29="Todos",'Plan mensual'!E75,0)))*parametros_manuales!$I$29*parametros_manuales!$J$29</f>
        <v>14878.99306612</v>
      </c>
      <c r="D174" s="9" t="n">
        <f aca="false">(parametros_manuales!$D$29*('Plan mensual'!F68+IF(parametros_manuales!$H$29="Todos",'Plan mensual'!F72,0))+parametros_manuales!$E$29*('Plan mensual'!F69+IF(parametros_manuales!$H$29="Todos",'Plan mensual'!F73,0))+parametros_manuales!$F$29*('Plan mensual'!F70+IF(parametros_manuales!$H$29="Todos",'Plan mensual'!F74,0))+parametros_manuales!$G$29*('Plan mensual'!F71+IF(parametros_manuales!$H$29="Todos",'Plan mensual'!F75,0)))*parametros_manuales!$I$29*parametros_manuales!$J$29</f>
        <v>13907.787113065</v>
      </c>
      <c r="E174" s="9" t="n">
        <f aca="false">(parametros_manuales!$D$29*('Plan mensual'!G68+IF(parametros_manuales!$H$29="Todos",'Plan mensual'!G72,0))+parametros_manuales!$E$29*('Plan mensual'!G69+IF(parametros_manuales!$H$29="Todos",'Plan mensual'!G73,0))+parametros_manuales!$F$29*('Plan mensual'!G70+IF(parametros_manuales!$H$29="Todos",'Plan mensual'!G74,0))+parametros_manuales!$G$29*('Plan mensual'!G71+IF(parametros_manuales!$H$29="Todos",'Plan mensual'!G75,0)))*parametros_manuales!$I$29*parametros_manuales!$J$29</f>
        <v>13299.421346765</v>
      </c>
      <c r="F174" s="9" t="n">
        <f aca="false">(parametros_manuales!$D$29*('Plan mensual'!H68+IF(parametros_manuales!$H$29="Todos",'Plan mensual'!H72,0))+parametros_manuales!$E$29*('Plan mensual'!H69+IF(parametros_manuales!$H$29="Todos",'Plan mensual'!H73,0))+parametros_manuales!$F$29*('Plan mensual'!H70+IF(parametros_manuales!$H$29="Todos",'Plan mensual'!H74,0))+parametros_manuales!$G$29*('Plan mensual'!H71+IF(parametros_manuales!$H$29="Todos",'Plan mensual'!H75,0)))*parametros_manuales!$I$29*parametros_manuales!$J$29</f>
        <v>12445.53000092</v>
      </c>
      <c r="G174" s="9" t="n">
        <f aca="false">(parametros_manuales!$D$29*('Plan mensual'!I68+IF(parametros_manuales!$H$29="Todos",'Plan mensual'!I72,0))+parametros_manuales!$E$29*('Plan mensual'!I69+IF(parametros_manuales!$H$29="Todos",'Plan mensual'!I73,0))+parametros_manuales!$F$29*('Plan mensual'!I70+IF(parametros_manuales!$H$29="Todos",'Plan mensual'!I74,0))+parametros_manuales!$G$29*('Plan mensual'!I71+IF(parametros_manuales!$H$29="Todos",'Plan mensual'!I75,0)))*parametros_manuales!$I$29*parametros_manuales!$J$29</f>
        <v>12200.004421375</v>
      </c>
      <c r="H174" s="9" t="n">
        <f aca="false">(parametros_manuales!$D$29*('Plan mensual'!J68+IF(parametros_manuales!$H$29="Todos",'Plan mensual'!J72,0))+parametros_manuales!$E$29*('Plan mensual'!J69+IF(parametros_manuales!$H$29="Todos",'Plan mensual'!J73,0))+parametros_manuales!$F$29*('Plan mensual'!J70+IF(parametros_manuales!$H$29="Todos",'Plan mensual'!J74,0))+parametros_manuales!$G$29*('Plan mensual'!J71+IF(parametros_manuales!$H$29="Todos",'Plan mensual'!J75,0)))*parametros_manuales!$I$29*parametros_manuales!$J$29</f>
        <v>13053.89576722</v>
      </c>
      <c r="I174" s="9" t="n">
        <f aca="false">(parametros_manuales!$D$29*('Plan mensual'!K68+IF(parametros_manuales!$H$29="Todos",'Plan mensual'!K72,0))+parametros_manuales!$E$29*('Plan mensual'!K69+IF(parametros_manuales!$H$29="Todos",'Plan mensual'!K73,0))+parametros_manuales!$F$29*('Plan mensual'!K70+IF(parametros_manuales!$H$29="Todos",'Plan mensual'!K74,0))+parametros_manuales!$G$29*('Plan mensual'!K71+IF(parametros_manuales!$H$29="Todos",'Plan mensual'!K75,0)))*parametros_manuales!$I$29*parametros_manuales!$J$29</f>
        <v>13053.89576722</v>
      </c>
      <c r="J174" s="9" t="n">
        <f aca="false">(parametros_manuales!$D$29*('Plan mensual'!L68+IF(parametros_manuales!$H$29="Todos",'Plan mensual'!L72,0))+parametros_manuales!$E$29*('Plan mensual'!L69+IF(parametros_manuales!$H$29="Todos",'Plan mensual'!L73,0))+parametros_manuales!$F$29*('Plan mensual'!L70+IF(parametros_manuales!$H$29="Todos",'Plan mensual'!L74,0))+parametros_manuales!$G$29*('Plan mensual'!L71+IF(parametros_manuales!$H$29="Todos",'Plan mensual'!L75,0)))*parametros_manuales!$I$29*parametros_manuales!$J$29</f>
        <v>13053.89576722</v>
      </c>
      <c r="K174" s="9" t="n">
        <f aca="false">(parametros_manuales!$D$29*('Plan mensual'!M68+IF(parametros_manuales!$H$29="Todos",'Plan mensual'!M72,0))+parametros_manuales!$E$29*('Plan mensual'!M69+IF(parametros_manuales!$H$29="Todos",'Plan mensual'!M73,0))+parametros_manuales!$F$29*('Plan mensual'!M70+IF(parametros_manuales!$H$29="Todos",'Plan mensual'!M74,0))+parametros_manuales!$G$29*('Plan mensual'!M71+IF(parametros_manuales!$H$29="Todos",'Plan mensual'!M75,0)))*parametros_manuales!$I$29*parametros_manuales!$J$29</f>
        <v>12808.370187675</v>
      </c>
      <c r="L174" s="9" t="n">
        <f aca="false">(parametros_manuales!$D$29*('Plan mensual'!N68+IF(parametros_manuales!$H$29="Todos",'Plan mensual'!N72,0))+parametros_manuales!$E$29*('Plan mensual'!N69+IF(parametros_manuales!$H$29="Todos",'Plan mensual'!N73,0))+parametros_manuales!$F$29*('Plan mensual'!N70+IF(parametros_manuales!$H$29="Todos",'Plan mensual'!N74,0))+parametros_manuales!$G$29*('Plan mensual'!N71+IF(parametros_manuales!$H$29="Todos",'Plan mensual'!N75,0)))*parametros_manuales!$I$29*parametros_manuales!$J$29</f>
        <v>12562.84460813</v>
      </c>
      <c r="M174" s="9" t="n">
        <f aca="false">(parametros_manuales!$D$29*('Plan mensual'!O68+IF(parametros_manuales!$H$29="Todos",'Plan mensual'!O72,0))+parametros_manuales!$E$29*('Plan mensual'!O69+IF(parametros_manuales!$H$29="Todos",'Plan mensual'!O73,0))+parametros_manuales!$F$29*('Plan mensual'!O70+IF(parametros_manuales!$H$29="Todos",'Plan mensual'!O74,0))+parametros_manuales!$G$29*('Plan mensual'!O71+IF(parametros_manuales!$H$29="Todos",'Plan mensual'!O75,0)))*parametros_manuales!$I$29*parametros_manuales!$J$29</f>
        <v>20002.34114119</v>
      </c>
      <c r="N174" s="9" t="n">
        <f aca="false">SUM(B174:M174)</f>
        <v>170778.269169</v>
      </c>
      <c r="O174" s="9" t="n">
        <f aca="false">MAX(B174:M174)</f>
        <v>20002.34114119</v>
      </c>
      <c r="P174" s="43" t="n">
        <f aca="false">O174/(parametros_manuales!$B$7)</f>
        <v>133.348940941267</v>
      </c>
      <c r="Q174" s="8" t="str">
        <f aca="false">IF(O174=0,"-",INDEX($B$163:$M$163,MATCH(O174,B174:M174,0)))</f>
        <v>Dic</v>
      </c>
    </row>
    <row r="175" customFormat="false" ht="14.25" hidden="false" customHeight="true" outlineLevel="0" collapsed="false">
      <c r="A175" s="8" t="str">
        <f aca="false">parametros_manuales!$B$30</f>
        <v>Soldadura circunferencial de cúpula y fondo</v>
      </c>
      <c r="B175" s="9" t="n">
        <f aca="false">(parametros_manuales!$D$30*('Plan mensual'!D68+IF(parametros_manuales!$H$30="Todos",'Plan mensual'!D72,0))+parametros_manuales!$E$30*('Plan mensual'!D69+IF(parametros_manuales!$H$30="Todos",'Plan mensual'!D73,0))+parametros_manuales!$F$30*('Plan mensual'!D70+IF(parametros_manuales!$H$30="Todos",'Plan mensual'!D74,0))+parametros_manuales!$G$30*('Plan mensual'!D71+IF(parametros_manuales!$H$30="Todos",'Plan mensual'!D75,0)))*parametros_manuales!$I$30*parametros_manuales!$J$30</f>
        <v>19511.2899821</v>
      </c>
      <c r="C175" s="9" t="n">
        <f aca="false">(parametros_manuales!$D$30*('Plan mensual'!E68+IF(parametros_manuales!$H$30="Todos",'Plan mensual'!E72,0))+parametros_manuales!$E$30*('Plan mensual'!E69+IF(parametros_manuales!$H$30="Todos",'Plan mensual'!E73,0))+parametros_manuales!$F$30*('Plan mensual'!E70+IF(parametros_manuales!$H$30="Todos",'Plan mensual'!E74,0))+parametros_manuales!$G$30*('Plan mensual'!E71+IF(parametros_manuales!$H$30="Todos",'Plan mensual'!E75,0)))*parametros_manuales!$I$30*parametros_manuales!$J$30</f>
        <v>14878.99306612</v>
      </c>
      <c r="D175" s="9" t="n">
        <f aca="false">(parametros_manuales!$D$30*('Plan mensual'!F68+IF(parametros_manuales!$H$30="Todos",'Plan mensual'!F72,0))+parametros_manuales!$E$30*('Plan mensual'!F69+IF(parametros_manuales!$H$30="Todos",'Plan mensual'!F73,0))+parametros_manuales!$F$30*('Plan mensual'!F70+IF(parametros_manuales!$H$30="Todos",'Plan mensual'!F74,0))+parametros_manuales!$G$30*('Plan mensual'!F71+IF(parametros_manuales!$H$30="Todos",'Plan mensual'!F75,0)))*parametros_manuales!$I$30*parametros_manuales!$J$30</f>
        <v>13907.787113065</v>
      </c>
      <c r="E175" s="9" t="n">
        <f aca="false">(parametros_manuales!$D$30*('Plan mensual'!G68+IF(parametros_manuales!$H$30="Todos",'Plan mensual'!G72,0))+parametros_manuales!$E$30*('Plan mensual'!G69+IF(parametros_manuales!$H$30="Todos",'Plan mensual'!G73,0))+parametros_manuales!$F$30*('Plan mensual'!G70+IF(parametros_manuales!$H$30="Todos",'Plan mensual'!G74,0))+parametros_manuales!$G$30*('Plan mensual'!G71+IF(parametros_manuales!$H$30="Todos",'Plan mensual'!G75,0)))*parametros_manuales!$I$30*parametros_manuales!$J$30</f>
        <v>13299.421346765</v>
      </c>
      <c r="F175" s="9" t="n">
        <f aca="false">(parametros_manuales!$D$30*('Plan mensual'!H68+IF(parametros_manuales!$H$30="Todos",'Plan mensual'!H72,0))+parametros_manuales!$E$30*('Plan mensual'!H69+IF(parametros_manuales!$H$30="Todos",'Plan mensual'!H73,0))+parametros_manuales!$F$30*('Plan mensual'!H70+IF(parametros_manuales!$H$30="Todos",'Plan mensual'!H74,0))+parametros_manuales!$G$30*('Plan mensual'!H71+IF(parametros_manuales!$H$30="Todos",'Plan mensual'!H75,0)))*parametros_manuales!$I$30*parametros_manuales!$J$30</f>
        <v>12445.53000092</v>
      </c>
      <c r="G175" s="9" t="n">
        <f aca="false">(parametros_manuales!$D$30*('Plan mensual'!I68+IF(parametros_manuales!$H$30="Todos",'Plan mensual'!I72,0))+parametros_manuales!$E$30*('Plan mensual'!I69+IF(parametros_manuales!$H$30="Todos",'Plan mensual'!I73,0))+parametros_manuales!$F$30*('Plan mensual'!I70+IF(parametros_manuales!$H$30="Todos",'Plan mensual'!I74,0))+parametros_manuales!$G$30*('Plan mensual'!I71+IF(parametros_manuales!$H$30="Todos",'Plan mensual'!I75,0)))*parametros_manuales!$I$30*parametros_manuales!$J$30</f>
        <v>12200.004421375</v>
      </c>
      <c r="H175" s="9" t="n">
        <f aca="false">(parametros_manuales!$D$30*('Plan mensual'!J68+IF(parametros_manuales!$H$30="Todos",'Plan mensual'!J72,0))+parametros_manuales!$E$30*('Plan mensual'!J69+IF(parametros_manuales!$H$30="Todos",'Plan mensual'!J73,0))+parametros_manuales!$F$30*('Plan mensual'!J70+IF(parametros_manuales!$H$30="Todos",'Plan mensual'!J74,0))+parametros_manuales!$G$30*('Plan mensual'!J71+IF(parametros_manuales!$H$30="Todos",'Plan mensual'!J75,0)))*parametros_manuales!$I$30*parametros_manuales!$J$30</f>
        <v>13053.89576722</v>
      </c>
      <c r="I175" s="9" t="n">
        <f aca="false">(parametros_manuales!$D$30*('Plan mensual'!K68+IF(parametros_manuales!$H$30="Todos",'Plan mensual'!K72,0))+parametros_manuales!$E$30*('Plan mensual'!K69+IF(parametros_manuales!$H$30="Todos",'Plan mensual'!K73,0))+parametros_manuales!$F$30*('Plan mensual'!K70+IF(parametros_manuales!$H$30="Todos",'Plan mensual'!K74,0))+parametros_manuales!$G$30*('Plan mensual'!K71+IF(parametros_manuales!$H$30="Todos",'Plan mensual'!K75,0)))*parametros_manuales!$I$30*parametros_manuales!$J$30</f>
        <v>13053.89576722</v>
      </c>
      <c r="J175" s="9" t="n">
        <f aca="false">(parametros_manuales!$D$30*('Plan mensual'!L68+IF(parametros_manuales!$H$30="Todos",'Plan mensual'!L72,0))+parametros_manuales!$E$30*('Plan mensual'!L69+IF(parametros_manuales!$H$30="Todos",'Plan mensual'!L73,0))+parametros_manuales!$F$30*('Plan mensual'!L70+IF(parametros_manuales!$H$30="Todos",'Plan mensual'!L74,0))+parametros_manuales!$G$30*('Plan mensual'!L71+IF(parametros_manuales!$H$30="Todos",'Plan mensual'!L75,0)))*parametros_manuales!$I$30*parametros_manuales!$J$30</f>
        <v>13053.89576722</v>
      </c>
      <c r="K175" s="9" t="n">
        <f aca="false">(parametros_manuales!$D$30*('Plan mensual'!M68+IF(parametros_manuales!$H$30="Todos",'Plan mensual'!M72,0))+parametros_manuales!$E$30*('Plan mensual'!M69+IF(parametros_manuales!$H$30="Todos",'Plan mensual'!M73,0))+parametros_manuales!$F$30*('Plan mensual'!M70+IF(parametros_manuales!$H$30="Todos",'Plan mensual'!M74,0))+parametros_manuales!$G$30*('Plan mensual'!M71+IF(parametros_manuales!$H$30="Todos",'Plan mensual'!M75,0)))*parametros_manuales!$I$30*parametros_manuales!$J$30</f>
        <v>12808.370187675</v>
      </c>
      <c r="L175" s="9" t="n">
        <f aca="false">(parametros_manuales!$D$30*('Plan mensual'!N68+IF(parametros_manuales!$H$30="Todos",'Plan mensual'!N72,0))+parametros_manuales!$E$30*('Plan mensual'!N69+IF(parametros_manuales!$H$30="Todos",'Plan mensual'!N73,0))+parametros_manuales!$F$30*('Plan mensual'!N70+IF(parametros_manuales!$H$30="Todos",'Plan mensual'!N74,0))+parametros_manuales!$G$30*('Plan mensual'!N71+IF(parametros_manuales!$H$30="Todos",'Plan mensual'!N75,0)))*parametros_manuales!$I$30*parametros_manuales!$J$30</f>
        <v>12562.84460813</v>
      </c>
      <c r="M175" s="9" t="n">
        <f aca="false">(parametros_manuales!$D$30*('Plan mensual'!O68+IF(parametros_manuales!$H$30="Todos",'Plan mensual'!O72,0))+parametros_manuales!$E$30*('Plan mensual'!O69+IF(parametros_manuales!$H$30="Todos",'Plan mensual'!O73,0))+parametros_manuales!$F$30*('Plan mensual'!O70+IF(parametros_manuales!$H$30="Todos",'Plan mensual'!O74,0))+parametros_manuales!$G$30*('Plan mensual'!O71+IF(parametros_manuales!$H$30="Todos",'Plan mensual'!O75,0)))*parametros_manuales!$I$30*parametros_manuales!$J$30</f>
        <v>20002.34114119</v>
      </c>
      <c r="N175" s="9" t="n">
        <f aca="false">SUM(B175:M175)</f>
        <v>170778.269169</v>
      </c>
      <c r="O175" s="9" t="n">
        <f aca="false">MAX(B175:M175)</f>
        <v>20002.34114119</v>
      </c>
      <c r="P175" s="43" t="n">
        <f aca="false">O175/(parametros_manuales!$B$7)</f>
        <v>133.348940941267</v>
      </c>
      <c r="Q175" s="8" t="str">
        <f aca="false">IF(O175=0,"-",INDEX($B$163:$M$163,MATCH(O175,B175:M175,0)))</f>
        <v>Dic</v>
      </c>
    </row>
    <row r="176" customFormat="false" ht="14.25" hidden="false" customHeight="true" outlineLevel="0" collapsed="false">
      <c r="A176" s="8" t="str">
        <f aca="false">parametros_manuales!$B$31</f>
        <v>Control de calidad — Espesor</v>
      </c>
      <c r="B176" s="9" t="n">
        <f aca="false">(parametros_manuales!$D$31*('Plan mensual'!D68+IF(parametros_manuales!$H$31="Todos",'Plan mensual'!D72,0))+parametros_manuales!$E$31*('Plan mensual'!D69+IF(parametros_manuales!$H$31="Todos",'Plan mensual'!D73,0))+parametros_manuales!$F$31*('Plan mensual'!D70+IF(parametros_manuales!$H$31="Todos",'Plan mensual'!D74,0))+parametros_manuales!$G$31*('Plan mensual'!D71+IF(parametros_manuales!$H$31="Todos",'Plan mensual'!D75,0)))*parametros_manuales!$I$31*parametros_manuales!$J$31</f>
        <v>390.225799642</v>
      </c>
      <c r="C176" s="9" t="n">
        <f aca="false">(parametros_manuales!$D$31*('Plan mensual'!E68+IF(parametros_manuales!$H$31="Todos",'Plan mensual'!E72,0))+parametros_manuales!$E$31*('Plan mensual'!E69+IF(parametros_manuales!$H$31="Todos",'Plan mensual'!E73,0))+parametros_manuales!$F$31*('Plan mensual'!E70+IF(parametros_manuales!$H$31="Todos",'Plan mensual'!E74,0))+parametros_manuales!$G$31*('Plan mensual'!E71+IF(parametros_manuales!$H$31="Todos",'Plan mensual'!E75,0)))*parametros_manuales!$I$31*parametros_manuales!$J$31</f>
        <v>297.5798613224</v>
      </c>
      <c r="D176" s="9" t="n">
        <f aca="false">(parametros_manuales!$D$31*('Plan mensual'!F68+IF(parametros_manuales!$H$31="Todos",'Plan mensual'!F72,0))+parametros_manuales!$E$31*('Plan mensual'!F69+IF(parametros_manuales!$H$31="Todos",'Plan mensual'!F73,0))+parametros_manuales!$F$31*('Plan mensual'!F70+IF(parametros_manuales!$H$31="Todos",'Plan mensual'!F74,0))+parametros_manuales!$G$31*('Plan mensual'!F71+IF(parametros_manuales!$H$31="Todos",'Plan mensual'!F75,0)))*parametros_manuales!$I$31*parametros_manuales!$J$31</f>
        <v>278.1557422613</v>
      </c>
      <c r="E176" s="9" t="n">
        <f aca="false">(parametros_manuales!$D$31*('Plan mensual'!G68+IF(parametros_manuales!$H$31="Todos",'Plan mensual'!G72,0))+parametros_manuales!$E$31*('Plan mensual'!G69+IF(parametros_manuales!$H$31="Todos",'Plan mensual'!G73,0))+parametros_manuales!$F$31*('Plan mensual'!G70+IF(parametros_manuales!$H$31="Todos",'Plan mensual'!G74,0))+parametros_manuales!$G$31*('Plan mensual'!G71+IF(parametros_manuales!$H$31="Todos",'Plan mensual'!G75,0)))*parametros_manuales!$I$31*parametros_manuales!$J$31</f>
        <v>265.9884269353</v>
      </c>
      <c r="F176" s="9" t="n">
        <f aca="false">(parametros_manuales!$D$31*('Plan mensual'!H68+IF(parametros_manuales!$H$31="Todos",'Plan mensual'!H72,0))+parametros_manuales!$E$31*('Plan mensual'!H69+IF(parametros_manuales!$H$31="Todos",'Plan mensual'!H73,0))+parametros_manuales!$F$31*('Plan mensual'!H70+IF(parametros_manuales!$H$31="Todos",'Plan mensual'!H74,0))+parametros_manuales!$G$31*('Plan mensual'!H71+IF(parametros_manuales!$H$31="Todos",'Plan mensual'!H75,0)))*parametros_manuales!$I$31*parametros_manuales!$J$31</f>
        <v>248.9106000184</v>
      </c>
      <c r="G176" s="9" t="n">
        <f aca="false">(parametros_manuales!$D$31*('Plan mensual'!I68+IF(parametros_manuales!$H$31="Todos",'Plan mensual'!I72,0))+parametros_manuales!$E$31*('Plan mensual'!I69+IF(parametros_manuales!$H$31="Todos",'Plan mensual'!I73,0))+parametros_manuales!$F$31*('Plan mensual'!I70+IF(parametros_manuales!$H$31="Todos",'Plan mensual'!I74,0))+parametros_manuales!$G$31*('Plan mensual'!I71+IF(parametros_manuales!$H$31="Todos",'Plan mensual'!I75,0)))*parametros_manuales!$I$31*parametros_manuales!$J$31</f>
        <v>244.0000884275</v>
      </c>
      <c r="H176" s="9" t="n">
        <f aca="false">(parametros_manuales!$D$31*('Plan mensual'!J68+IF(parametros_manuales!$H$31="Todos",'Plan mensual'!J72,0))+parametros_manuales!$E$31*('Plan mensual'!J69+IF(parametros_manuales!$H$31="Todos",'Plan mensual'!J73,0))+parametros_manuales!$F$31*('Plan mensual'!J70+IF(parametros_manuales!$H$31="Todos",'Plan mensual'!J74,0))+parametros_manuales!$G$31*('Plan mensual'!J71+IF(parametros_manuales!$H$31="Todos",'Plan mensual'!J75,0)))*parametros_manuales!$I$31*parametros_manuales!$J$31</f>
        <v>261.0779153444</v>
      </c>
      <c r="I176" s="9" t="n">
        <f aca="false">(parametros_manuales!$D$31*('Plan mensual'!K68+IF(parametros_manuales!$H$31="Todos",'Plan mensual'!K72,0))+parametros_manuales!$E$31*('Plan mensual'!K69+IF(parametros_manuales!$H$31="Todos",'Plan mensual'!K73,0))+parametros_manuales!$F$31*('Plan mensual'!K70+IF(parametros_manuales!$H$31="Todos",'Plan mensual'!K74,0))+parametros_manuales!$G$31*('Plan mensual'!K71+IF(parametros_manuales!$H$31="Todos",'Plan mensual'!K75,0)))*parametros_manuales!$I$31*parametros_manuales!$J$31</f>
        <v>261.0779153444</v>
      </c>
      <c r="J176" s="9" t="n">
        <f aca="false">(parametros_manuales!$D$31*('Plan mensual'!L68+IF(parametros_manuales!$H$31="Todos",'Plan mensual'!L72,0))+parametros_manuales!$E$31*('Plan mensual'!L69+IF(parametros_manuales!$H$31="Todos",'Plan mensual'!L73,0))+parametros_manuales!$F$31*('Plan mensual'!L70+IF(parametros_manuales!$H$31="Todos",'Plan mensual'!L74,0))+parametros_manuales!$G$31*('Plan mensual'!L71+IF(parametros_manuales!$H$31="Todos",'Plan mensual'!L75,0)))*parametros_manuales!$I$31*parametros_manuales!$J$31</f>
        <v>261.0779153444</v>
      </c>
      <c r="K176" s="9" t="n">
        <f aca="false">(parametros_manuales!$D$31*('Plan mensual'!M68+IF(parametros_manuales!$H$31="Todos",'Plan mensual'!M72,0))+parametros_manuales!$E$31*('Plan mensual'!M69+IF(parametros_manuales!$H$31="Todos",'Plan mensual'!M73,0))+parametros_manuales!$F$31*('Plan mensual'!M70+IF(parametros_manuales!$H$31="Todos",'Plan mensual'!M74,0))+parametros_manuales!$G$31*('Plan mensual'!M71+IF(parametros_manuales!$H$31="Todos",'Plan mensual'!M75,0)))*parametros_manuales!$I$31*parametros_manuales!$J$31</f>
        <v>256.1674037535</v>
      </c>
      <c r="L176" s="9" t="n">
        <f aca="false">(parametros_manuales!$D$31*('Plan mensual'!N68+IF(parametros_manuales!$H$31="Todos",'Plan mensual'!N72,0))+parametros_manuales!$E$31*('Plan mensual'!N69+IF(parametros_manuales!$H$31="Todos",'Plan mensual'!N73,0))+parametros_manuales!$F$31*('Plan mensual'!N70+IF(parametros_manuales!$H$31="Todos",'Plan mensual'!N74,0))+parametros_manuales!$G$31*('Plan mensual'!N71+IF(parametros_manuales!$H$31="Todos",'Plan mensual'!N75,0)))*parametros_manuales!$I$31*parametros_manuales!$J$31</f>
        <v>251.2568921626</v>
      </c>
      <c r="M176" s="9" t="n">
        <f aca="false">(parametros_manuales!$D$31*('Plan mensual'!O68+IF(parametros_manuales!$H$31="Todos",'Plan mensual'!O72,0))+parametros_manuales!$E$31*('Plan mensual'!O69+IF(parametros_manuales!$H$31="Todos",'Plan mensual'!O73,0))+parametros_manuales!$F$31*('Plan mensual'!O70+IF(parametros_manuales!$H$31="Todos",'Plan mensual'!O74,0))+parametros_manuales!$G$31*('Plan mensual'!O71+IF(parametros_manuales!$H$31="Todos",'Plan mensual'!O75,0)))*parametros_manuales!$I$31*parametros_manuales!$J$31</f>
        <v>400.0468228238</v>
      </c>
      <c r="N176" s="9" t="n">
        <f aca="false">SUM(B176:M176)</f>
        <v>3415.56538338</v>
      </c>
      <c r="O176" s="9" t="n">
        <f aca="false">MAX(B176:M176)</f>
        <v>400.0468228238</v>
      </c>
      <c r="P176" s="43" t="n">
        <f aca="false">O176/(parametros_manuales!$B$7)</f>
        <v>2.66697881882533</v>
      </c>
      <c r="Q176" s="8" t="str">
        <f aca="false">IF(O176=0,"-",INDEX($B$163:$M$163,MATCH(O176,B176:M176,0)))</f>
        <v>Dic</v>
      </c>
    </row>
    <row r="177" customFormat="false" ht="14.25" hidden="false" customHeight="true" outlineLevel="0" collapsed="false">
      <c r="A177" s="8" t="str">
        <f aca="false">parametros_manuales!$B$32</f>
        <v>Prueba hidráulica</v>
      </c>
      <c r="B177" s="9" t="n">
        <f aca="false">(parametros_manuales!$D$32*('Plan mensual'!D68+IF(parametros_manuales!$H$32="Todos",'Plan mensual'!D72,0))+parametros_manuales!$E$32*('Plan mensual'!D69+IF(parametros_manuales!$H$32="Todos",'Plan mensual'!D73,0))+parametros_manuales!$F$32*('Plan mensual'!D70+IF(parametros_manuales!$H$32="Todos",'Plan mensual'!D74,0))+parametros_manuales!$G$32*('Plan mensual'!D71+IF(parametros_manuales!$H$32="Todos",'Plan mensual'!D75,0)))*parametros_manuales!$I$32*parametros_manuales!$J$32</f>
        <v>19511.2899821</v>
      </c>
      <c r="C177" s="9" t="n">
        <f aca="false">(parametros_manuales!$D$32*('Plan mensual'!E68+IF(parametros_manuales!$H$32="Todos",'Plan mensual'!E72,0))+parametros_manuales!$E$32*('Plan mensual'!E69+IF(parametros_manuales!$H$32="Todos",'Plan mensual'!E73,0))+parametros_manuales!$F$32*('Plan mensual'!E70+IF(parametros_manuales!$H$32="Todos",'Plan mensual'!E74,0))+parametros_manuales!$G$32*('Plan mensual'!E71+IF(parametros_manuales!$H$32="Todos",'Plan mensual'!E75,0)))*parametros_manuales!$I$32*parametros_manuales!$J$32</f>
        <v>14878.99306612</v>
      </c>
      <c r="D177" s="9" t="n">
        <f aca="false">(parametros_manuales!$D$32*('Plan mensual'!F68+IF(parametros_manuales!$H$32="Todos",'Plan mensual'!F72,0))+parametros_manuales!$E$32*('Plan mensual'!F69+IF(parametros_manuales!$H$32="Todos",'Plan mensual'!F73,0))+parametros_manuales!$F$32*('Plan mensual'!F70+IF(parametros_manuales!$H$32="Todos",'Plan mensual'!F74,0))+parametros_manuales!$G$32*('Plan mensual'!F71+IF(parametros_manuales!$H$32="Todos",'Plan mensual'!F75,0)))*parametros_manuales!$I$32*parametros_manuales!$J$32</f>
        <v>13907.787113065</v>
      </c>
      <c r="E177" s="9" t="n">
        <f aca="false">(parametros_manuales!$D$32*('Plan mensual'!G68+IF(parametros_manuales!$H$32="Todos",'Plan mensual'!G72,0))+parametros_manuales!$E$32*('Plan mensual'!G69+IF(parametros_manuales!$H$32="Todos",'Plan mensual'!G73,0))+parametros_manuales!$F$32*('Plan mensual'!G70+IF(parametros_manuales!$H$32="Todos",'Plan mensual'!G74,0))+parametros_manuales!$G$32*('Plan mensual'!G71+IF(parametros_manuales!$H$32="Todos",'Plan mensual'!G75,0)))*parametros_manuales!$I$32*parametros_manuales!$J$32</f>
        <v>13299.421346765</v>
      </c>
      <c r="F177" s="9" t="n">
        <f aca="false">(parametros_manuales!$D$32*('Plan mensual'!H68+IF(parametros_manuales!$H$32="Todos",'Plan mensual'!H72,0))+parametros_manuales!$E$32*('Plan mensual'!H69+IF(parametros_manuales!$H$32="Todos",'Plan mensual'!H73,0))+parametros_manuales!$F$32*('Plan mensual'!H70+IF(parametros_manuales!$H$32="Todos",'Plan mensual'!H74,0))+parametros_manuales!$G$32*('Plan mensual'!H71+IF(parametros_manuales!$H$32="Todos",'Plan mensual'!H75,0)))*parametros_manuales!$I$32*parametros_manuales!$J$32</f>
        <v>12445.53000092</v>
      </c>
      <c r="G177" s="9" t="n">
        <f aca="false">(parametros_manuales!$D$32*('Plan mensual'!I68+IF(parametros_manuales!$H$32="Todos",'Plan mensual'!I72,0))+parametros_manuales!$E$32*('Plan mensual'!I69+IF(parametros_manuales!$H$32="Todos",'Plan mensual'!I73,0))+parametros_manuales!$F$32*('Plan mensual'!I70+IF(parametros_manuales!$H$32="Todos",'Plan mensual'!I74,0))+parametros_manuales!$G$32*('Plan mensual'!I71+IF(parametros_manuales!$H$32="Todos",'Plan mensual'!I75,0)))*parametros_manuales!$I$32*parametros_manuales!$J$32</f>
        <v>12200.004421375</v>
      </c>
      <c r="H177" s="9" t="n">
        <f aca="false">(parametros_manuales!$D$32*('Plan mensual'!J68+IF(parametros_manuales!$H$32="Todos",'Plan mensual'!J72,0))+parametros_manuales!$E$32*('Plan mensual'!J69+IF(parametros_manuales!$H$32="Todos",'Plan mensual'!J73,0))+parametros_manuales!$F$32*('Plan mensual'!J70+IF(parametros_manuales!$H$32="Todos",'Plan mensual'!J74,0))+parametros_manuales!$G$32*('Plan mensual'!J71+IF(parametros_manuales!$H$32="Todos",'Plan mensual'!J75,0)))*parametros_manuales!$I$32*parametros_manuales!$J$32</f>
        <v>13053.89576722</v>
      </c>
      <c r="I177" s="9" t="n">
        <f aca="false">(parametros_manuales!$D$32*('Plan mensual'!K68+IF(parametros_manuales!$H$32="Todos",'Plan mensual'!K72,0))+parametros_manuales!$E$32*('Plan mensual'!K69+IF(parametros_manuales!$H$32="Todos",'Plan mensual'!K73,0))+parametros_manuales!$F$32*('Plan mensual'!K70+IF(parametros_manuales!$H$32="Todos",'Plan mensual'!K74,0))+parametros_manuales!$G$32*('Plan mensual'!K71+IF(parametros_manuales!$H$32="Todos",'Plan mensual'!K75,0)))*parametros_manuales!$I$32*parametros_manuales!$J$32</f>
        <v>13053.89576722</v>
      </c>
      <c r="J177" s="9" t="n">
        <f aca="false">(parametros_manuales!$D$32*('Plan mensual'!L68+IF(parametros_manuales!$H$32="Todos",'Plan mensual'!L72,0))+parametros_manuales!$E$32*('Plan mensual'!L69+IF(parametros_manuales!$H$32="Todos",'Plan mensual'!L73,0))+parametros_manuales!$F$32*('Plan mensual'!L70+IF(parametros_manuales!$H$32="Todos",'Plan mensual'!L74,0))+parametros_manuales!$G$32*('Plan mensual'!L71+IF(parametros_manuales!$H$32="Todos",'Plan mensual'!L75,0)))*parametros_manuales!$I$32*parametros_manuales!$J$32</f>
        <v>13053.89576722</v>
      </c>
      <c r="K177" s="9" t="n">
        <f aca="false">(parametros_manuales!$D$32*('Plan mensual'!M68+IF(parametros_manuales!$H$32="Todos",'Plan mensual'!M72,0))+parametros_manuales!$E$32*('Plan mensual'!M69+IF(parametros_manuales!$H$32="Todos",'Plan mensual'!M73,0))+parametros_manuales!$F$32*('Plan mensual'!M70+IF(parametros_manuales!$H$32="Todos",'Plan mensual'!M74,0))+parametros_manuales!$G$32*('Plan mensual'!M71+IF(parametros_manuales!$H$32="Todos",'Plan mensual'!M75,0)))*parametros_manuales!$I$32*parametros_manuales!$J$32</f>
        <v>12808.370187675</v>
      </c>
      <c r="L177" s="9" t="n">
        <f aca="false">(parametros_manuales!$D$32*('Plan mensual'!N68+IF(parametros_manuales!$H$32="Todos",'Plan mensual'!N72,0))+parametros_manuales!$E$32*('Plan mensual'!N69+IF(parametros_manuales!$H$32="Todos",'Plan mensual'!N73,0))+parametros_manuales!$F$32*('Plan mensual'!N70+IF(parametros_manuales!$H$32="Todos",'Plan mensual'!N74,0))+parametros_manuales!$G$32*('Plan mensual'!N71+IF(parametros_manuales!$H$32="Todos",'Plan mensual'!N75,0)))*parametros_manuales!$I$32*parametros_manuales!$J$32</f>
        <v>12562.84460813</v>
      </c>
      <c r="M177" s="9" t="n">
        <f aca="false">(parametros_manuales!$D$32*('Plan mensual'!O68+IF(parametros_manuales!$H$32="Todos",'Plan mensual'!O72,0))+parametros_manuales!$E$32*('Plan mensual'!O69+IF(parametros_manuales!$H$32="Todos",'Plan mensual'!O73,0))+parametros_manuales!$F$32*('Plan mensual'!O70+IF(parametros_manuales!$H$32="Todos",'Plan mensual'!O74,0))+parametros_manuales!$G$32*('Plan mensual'!O71+IF(parametros_manuales!$H$32="Todos",'Plan mensual'!O75,0)))*parametros_manuales!$I$32*parametros_manuales!$J$32</f>
        <v>20002.34114119</v>
      </c>
      <c r="N177" s="9" t="n">
        <f aca="false">SUM(B177:M177)</f>
        <v>170778.269169</v>
      </c>
      <c r="O177" s="9" t="n">
        <f aca="false">MAX(B177:M177)</f>
        <v>20002.34114119</v>
      </c>
      <c r="P177" s="43" t="n">
        <f aca="false">O177/(parametros_manuales!$B$7)</f>
        <v>133.348940941267</v>
      </c>
      <c r="Q177" s="8" t="str">
        <f aca="false">IF(O177=0,"-",INDEX($B$163:$M$163,MATCH(O177,B177:M177,0)))</f>
        <v>Dic</v>
      </c>
    </row>
    <row r="178" customFormat="false" ht="14.25" hidden="false" customHeight="true" outlineLevel="0" collapsed="false">
      <c r="A178" s="8" t="str">
        <f aca="false">parametros_manuales!$B$33</f>
        <v>Secado</v>
      </c>
      <c r="B178" s="9" t="n">
        <f aca="false">(parametros_manuales!$D$33*('Plan mensual'!D68+IF(parametros_manuales!$H$33="Todos",'Plan mensual'!D72,0))+parametros_manuales!$E$33*('Plan mensual'!D69+IF(parametros_manuales!$H$33="Todos",'Plan mensual'!D73,0))+parametros_manuales!$F$33*('Plan mensual'!D70+IF(parametros_manuales!$H$33="Todos",'Plan mensual'!D74,0))+parametros_manuales!$G$33*('Plan mensual'!D71+IF(parametros_manuales!$H$33="Todos",'Plan mensual'!D75,0)))*parametros_manuales!$I$33*parametros_manuales!$J$33</f>
        <v>19511.2899821</v>
      </c>
      <c r="C178" s="9" t="n">
        <f aca="false">(parametros_manuales!$D$33*('Plan mensual'!E68+IF(parametros_manuales!$H$33="Todos",'Plan mensual'!E72,0))+parametros_manuales!$E$33*('Plan mensual'!E69+IF(parametros_manuales!$H$33="Todos",'Plan mensual'!E73,0))+parametros_manuales!$F$33*('Plan mensual'!E70+IF(parametros_manuales!$H$33="Todos",'Plan mensual'!E74,0))+parametros_manuales!$G$33*('Plan mensual'!E71+IF(parametros_manuales!$H$33="Todos",'Plan mensual'!E75,0)))*parametros_manuales!$I$33*parametros_manuales!$J$33</f>
        <v>14878.99306612</v>
      </c>
      <c r="D178" s="9" t="n">
        <f aca="false">(parametros_manuales!$D$33*('Plan mensual'!F68+IF(parametros_manuales!$H$33="Todos",'Plan mensual'!F72,0))+parametros_manuales!$E$33*('Plan mensual'!F69+IF(parametros_manuales!$H$33="Todos",'Plan mensual'!F73,0))+parametros_manuales!$F$33*('Plan mensual'!F70+IF(parametros_manuales!$H$33="Todos",'Plan mensual'!F74,0))+parametros_manuales!$G$33*('Plan mensual'!F71+IF(parametros_manuales!$H$33="Todos",'Plan mensual'!F75,0)))*parametros_manuales!$I$33*parametros_manuales!$J$33</f>
        <v>13907.787113065</v>
      </c>
      <c r="E178" s="9" t="n">
        <f aca="false">(parametros_manuales!$D$33*('Plan mensual'!G68+IF(parametros_manuales!$H$33="Todos",'Plan mensual'!G72,0))+parametros_manuales!$E$33*('Plan mensual'!G69+IF(parametros_manuales!$H$33="Todos",'Plan mensual'!G73,0))+parametros_manuales!$F$33*('Plan mensual'!G70+IF(parametros_manuales!$H$33="Todos",'Plan mensual'!G74,0))+parametros_manuales!$G$33*('Plan mensual'!G71+IF(parametros_manuales!$H$33="Todos",'Plan mensual'!G75,0)))*parametros_manuales!$I$33*parametros_manuales!$J$33</f>
        <v>13299.421346765</v>
      </c>
      <c r="F178" s="9" t="n">
        <f aca="false">(parametros_manuales!$D$33*('Plan mensual'!H68+IF(parametros_manuales!$H$33="Todos",'Plan mensual'!H72,0))+parametros_manuales!$E$33*('Plan mensual'!H69+IF(parametros_manuales!$H$33="Todos",'Plan mensual'!H73,0))+parametros_manuales!$F$33*('Plan mensual'!H70+IF(parametros_manuales!$H$33="Todos",'Plan mensual'!H74,0))+parametros_manuales!$G$33*('Plan mensual'!H71+IF(parametros_manuales!$H$33="Todos",'Plan mensual'!H75,0)))*parametros_manuales!$I$33*parametros_manuales!$J$33</f>
        <v>12445.53000092</v>
      </c>
      <c r="G178" s="9" t="n">
        <f aca="false">(parametros_manuales!$D$33*('Plan mensual'!I68+IF(parametros_manuales!$H$33="Todos",'Plan mensual'!I72,0))+parametros_manuales!$E$33*('Plan mensual'!I69+IF(parametros_manuales!$H$33="Todos",'Plan mensual'!I73,0))+parametros_manuales!$F$33*('Plan mensual'!I70+IF(parametros_manuales!$H$33="Todos",'Plan mensual'!I74,0))+parametros_manuales!$G$33*('Plan mensual'!I71+IF(parametros_manuales!$H$33="Todos",'Plan mensual'!I75,0)))*parametros_manuales!$I$33*parametros_manuales!$J$33</f>
        <v>12200.004421375</v>
      </c>
      <c r="H178" s="9" t="n">
        <f aca="false">(parametros_manuales!$D$33*('Plan mensual'!J68+IF(parametros_manuales!$H$33="Todos",'Plan mensual'!J72,0))+parametros_manuales!$E$33*('Plan mensual'!J69+IF(parametros_manuales!$H$33="Todos",'Plan mensual'!J73,0))+parametros_manuales!$F$33*('Plan mensual'!J70+IF(parametros_manuales!$H$33="Todos",'Plan mensual'!J74,0))+parametros_manuales!$G$33*('Plan mensual'!J71+IF(parametros_manuales!$H$33="Todos",'Plan mensual'!J75,0)))*parametros_manuales!$I$33*parametros_manuales!$J$33</f>
        <v>13053.89576722</v>
      </c>
      <c r="I178" s="9" t="n">
        <f aca="false">(parametros_manuales!$D$33*('Plan mensual'!K68+IF(parametros_manuales!$H$33="Todos",'Plan mensual'!K72,0))+parametros_manuales!$E$33*('Plan mensual'!K69+IF(parametros_manuales!$H$33="Todos",'Plan mensual'!K73,0))+parametros_manuales!$F$33*('Plan mensual'!K70+IF(parametros_manuales!$H$33="Todos",'Plan mensual'!K74,0))+parametros_manuales!$G$33*('Plan mensual'!K71+IF(parametros_manuales!$H$33="Todos",'Plan mensual'!K75,0)))*parametros_manuales!$I$33*parametros_manuales!$J$33</f>
        <v>13053.89576722</v>
      </c>
      <c r="J178" s="9" t="n">
        <f aca="false">(parametros_manuales!$D$33*('Plan mensual'!L68+IF(parametros_manuales!$H$33="Todos",'Plan mensual'!L72,0))+parametros_manuales!$E$33*('Plan mensual'!L69+IF(parametros_manuales!$H$33="Todos",'Plan mensual'!L73,0))+parametros_manuales!$F$33*('Plan mensual'!L70+IF(parametros_manuales!$H$33="Todos",'Plan mensual'!L74,0))+parametros_manuales!$G$33*('Plan mensual'!L71+IF(parametros_manuales!$H$33="Todos",'Plan mensual'!L75,0)))*parametros_manuales!$I$33*parametros_manuales!$J$33</f>
        <v>13053.89576722</v>
      </c>
      <c r="K178" s="9" t="n">
        <f aca="false">(parametros_manuales!$D$33*('Plan mensual'!M68+IF(parametros_manuales!$H$33="Todos",'Plan mensual'!M72,0))+parametros_manuales!$E$33*('Plan mensual'!M69+IF(parametros_manuales!$H$33="Todos",'Plan mensual'!M73,0))+parametros_manuales!$F$33*('Plan mensual'!M70+IF(parametros_manuales!$H$33="Todos",'Plan mensual'!M74,0))+parametros_manuales!$G$33*('Plan mensual'!M71+IF(parametros_manuales!$H$33="Todos",'Plan mensual'!M75,0)))*parametros_manuales!$I$33*parametros_manuales!$J$33</f>
        <v>12808.370187675</v>
      </c>
      <c r="L178" s="9" t="n">
        <f aca="false">(parametros_manuales!$D$33*('Plan mensual'!N68+IF(parametros_manuales!$H$33="Todos",'Plan mensual'!N72,0))+parametros_manuales!$E$33*('Plan mensual'!N69+IF(parametros_manuales!$H$33="Todos",'Plan mensual'!N73,0))+parametros_manuales!$F$33*('Plan mensual'!N70+IF(parametros_manuales!$H$33="Todos",'Plan mensual'!N74,0))+parametros_manuales!$G$33*('Plan mensual'!N71+IF(parametros_manuales!$H$33="Todos",'Plan mensual'!N75,0)))*parametros_manuales!$I$33*parametros_manuales!$J$33</f>
        <v>12562.84460813</v>
      </c>
      <c r="M178" s="9" t="n">
        <f aca="false">(parametros_manuales!$D$33*('Plan mensual'!O68+IF(parametros_manuales!$H$33="Todos",'Plan mensual'!O72,0))+parametros_manuales!$E$33*('Plan mensual'!O69+IF(parametros_manuales!$H$33="Todos",'Plan mensual'!O73,0))+parametros_manuales!$F$33*('Plan mensual'!O70+IF(parametros_manuales!$H$33="Todos",'Plan mensual'!O74,0))+parametros_manuales!$G$33*('Plan mensual'!O71+IF(parametros_manuales!$H$33="Todos",'Plan mensual'!O75,0)))*parametros_manuales!$I$33*parametros_manuales!$J$33</f>
        <v>20002.34114119</v>
      </c>
      <c r="N178" s="9" t="n">
        <f aca="false">SUM(B178:M178)</f>
        <v>170778.269169</v>
      </c>
      <c r="O178" s="9" t="n">
        <f aca="false">MAX(B178:M178)</f>
        <v>20002.34114119</v>
      </c>
      <c r="P178" s="43" t="n">
        <f aca="false">O178/(parametros_manuales!$B$7)</f>
        <v>133.348940941267</v>
      </c>
      <c r="Q178" s="8" t="str">
        <f aca="false">IF(O178=0,"-",INDEX($B$163:$M$163,MATCH(O178,B178:M178,0)))</f>
        <v>Dic</v>
      </c>
    </row>
    <row r="179" customFormat="false" ht="14.25" hidden="false" customHeight="true" outlineLevel="0" collapsed="false">
      <c r="A179" s="8" t="str">
        <f aca="false">parametros_manuales!$B$34</f>
        <v>Granallado</v>
      </c>
      <c r="B179" s="9" t="n">
        <f aca="false">(parametros_manuales!$D$34*('Plan mensual'!D68+IF(parametros_manuales!$H$34="Todos",'Plan mensual'!D72,0))+parametros_manuales!$E$34*('Plan mensual'!D69+IF(parametros_manuales!$H$34="Todos",'Plan mensual'!D73,0))+parametros_manuales!$F$34*('Plan mensual'!D70+IF(parametros_manuales!$H$34="Todos",'Plan mensual'!D74,0))+parametros_manuales!$G$34*('Plan mensual'!D71+IF(parametros_manuales!$H$34="Todos",'Plan mensual'!D75,0)))*parametros_manuales!$I$34*parametros_manuales!$J$34</f>
        <v>19511.2899821</v>
      </c>
      <c r="C179" s="9" t="n">
        <f aca="false">(parametros_manuales!$D$34*('Plan mensual'!E68+IF(parametros_manuales!$H$34="Todos",'Plan mensual'!E72,0))+parametros_manuales!$E$34*('Plan mensual'!E69+IF(parametros_manuales!$H$34="Todos",'Plan mensual'!E73,0))+parametros_manuales!$F$34*('Plan mensual'!E70+IF(parametros_manuales!$H$34="Todos",'Plan mensual'!E74,0))+parametros_manuales!$G$34*('Plan mensual'!E71+IF(parametros_manuales!$H$34="Todos",'Plan mensual'!E75,0)))*parametros_manuales!$I$34*parametros_manuales!$J$34</f>
        <v>14878.99306612</v>
      </c>
      <c r="D179" s="9" t="n">
        <f aca="false">(parametros_manuales!$D$34*('Plan mensual'!F68+IF(parametros_manuales!$H$34="Todos",'Plan mensual'!F72,0))+parametros_manuales!$E$34*('Plan mensual'!F69+IF(parametros_manuales!$H$34="Todos",'Plan mensual'!F73,0))+parametros_manuales!$F$34*('Plan mensual'!F70+IF(parametros_manuales!$H$34="Todos",'Plan mensual'!F74,0))+parametros_manuales!$G$34*('Plan mensual'!F71+IF(parametros_manuales!$H$34="Todos",'Plan mensual'!F75,0)))*parametros_manuales!$I$34*parametros_manuales!$J$34</f>
        <v>13907.787113065</v>
      </c>
      <c r="E179" s="9" t="n">
        <f aca="false">(parametros_manuales!$D$34*('Plan mensual'!G68+IF(parametros_manuales!$H$34="Todos",'Plan mensual'!G72,0))+parametros_manuales!$E$34*('Plan mensual'!G69+IF(parametros_manuales!$H$34="Todos",'Plan mensual'!G73,0))+parametros_manuales!$F$34*('Plan mensual'!G70+IF(parametros_manuales!$H$34="Todos",'Plan mensual'!G74,0))+parametros_manuales!$G$34*('Plan mensual'!G71+IF(parametros_manuales!$H$34="Todos",'Plan mensual'!G75,0)))*parametros_manuales!$I$34*parametros_manuales!$J$34</f>
        <v>13299.421346765</v>
      </c>
      <c r="F179" s="9" t="n">
        <f aca="false">(parametros_manuales!$D$34*('Plan mensual'!H68+IF(parametros_manuales!$H$34="Todos",'Plan mensual'!H72,0))+parametros_manuales!$E$34*('Plan mensual'!H69+IF(parametros_manuales!$H$34="Todos",'Plan mensual'!H73,0))+parametros_manuales!$F$34*('Plan mensual'!H70+IF(parametros_manuales!$H$34="Todos",'Plan mensual'!H74,0))+parametros_manuales!$G$34*('Plan mensual'!H71+IF(parametros_manuales!$H$34="Todos",'Plan mensual'!H75,0)))*parametros_manuales!$I$34*parametros_manuales!$J$34</f>
        <v>12445.53000092</v>
      </c>
      <c r="G179" s="9" t="n">
        <f aca="false">(parametros_manuales!$D$34*('Plan mensual'!I68+IF(parametros_manuales!$H$34="Todos",'Plan mensual'!I72,0))+parametros_manuales!$E$34*('Plan mensual'!I69+IF(parametros_manuales!$H$34="Todos",'Plan mensual'!I73,0))+parametros_manuales!$F$34*('Plan mensual'!I70+IF(parametros_manuales!$H$34="Todos",'Plan mensual'!I74,0))+parametros_manuales!$G$34*('Plan mensual'!I71+IF(parametros_manuales!$H$34="Todos",'Plan mensual'!I75,0)))*parametros_manuales!$I$34*parametros_manuales!$J$34</f>
        <v>12200.004421375</v>
      </c>
      <c r="H179" s="9" t="n">
        <f aca="false">(parametros_manuales!$D$34*('Plan mensual'!J68+IF(parametros_manuales!$H$34="Todos",'Plan mensual'!J72,0))+parametros_manuales!$E$34*('Plan mensual'!J69+IF(parametros_manuales!$H$34="Todos",'Plan mensual'!J73,0))+parametros_manuales!$F$34*('Plan mensual'!J70+IF(parametros_manuales!$H$34="Todos",'Plan mensual'!J74,0))+parametros_manuales!$G$34*('Plan mensual'!J71+IF(parametros_manuales!$H$34="Todos",'Plan mensual'!J75,0)))*parametros_manuales!$I$34*parametros_manuales!$J$34</f>
        <v>13053.89576722</v>
      </c>
      <c r="I179" s="9" t="n">
        <f aca="false">(parametros_manuales!$D$34*('Plan mensual'!K68+IF(parametros_manuales!$H$34="Todos",'Plan mensual'!K72,0))+parametros_manuales!$E$34*('Plan mensual'!K69+IF(parametros_manuales!$H$34="Todos",'Plan mensual'!K73,0))+parametros_manuales!$F$34*('Plan mensual'!K70+IF(parametros_manuales!$H$34="Todos",'Plan mensual'!K74,0))+parametros_manuales!$G$34*('Plan mensual'!K71+IF(parametros_manuales!$H$34="Todos",'Plan mensual'!K75,0)))*parametros_manuales!$I$34*parametros_manuales!$J$34</f>
        <v>13053.89576722</v>
      </c>
      <c r="J179" s="9" t="n">
        <f aca="false">(parametros_manuales!$D$34*('Plan mensual'!L68+IF(parametros_manuales!$H$34="Todos",'Plan mensual'!L72,0))+parametros_manuales!$E$34*('Plan mensual'!L69+IF(parametros_manuales!$H$34="Todos",'Plan mensual'!L73,0))+parametros_manuales!$F$34*('Plan mensual'!L70+IF(parametros_manuales!$H$34="Todos",'Plan mensual'!L74,0))+parametros_manuales!$G$34*('Plan mensual'!L71+IF(parametros_manuales!$H$34="Todos",'Plan mensual'!L75,0)))*parametros_manuales!$I$34*parametros_manuales!$J$34</f>
        <v>13053.89576722</v>
      </c>
      <c r="K179" s="9" t="n">
        <f aca="false">(parametros_manuales!$D$34*('Plan mensual'!M68+IF(parametros_manuales!$H$34="Todos",'Plan mensual'!M72,0))+parametros_manuales!$E$34*('Plan mensual'!M69+IF(parametros_manuales!$H$34="Todos",'Plan mensual'!M73,0))+parametros_manuales!$F$34*('Plan mensual'!M70+IF(parametros_manuales!$H$34="Todos",'Plan mensual'!M74,0))+parametros_manuales!$G$34*('Plan mensual'!M71+IF(parametros_manuales!$H$34="Todos",'Plan mensual'!M75,0)))*parametros_manuales!$I$34*parametros_manuales!$J$34</f>
        <v>12808.370187675</v>
      </c>
      <c r="L179" s="9" t="n">
        <f aca="false">(parametros_manuales!$D$34*('Plan mensual'!N68+IF(parametros_manuales!$H$34="Todos",'Plan mensual'!N72,0))+parametros_manuales!$E$34*('Plan mensual'!N69+IF(parametros_manuales!$H$34="Todos",'Plan mensual'!N73,0))+parametros_manuales!$F$34*('Plan mensual'!N70+IF(parametros_manuales!$H$34="Todos",'Plan mensual'!N74,0))+parametros_manuales!$G$34*('Plan mensual'!N71+IF(parametros_manuales!$H$34="Todos",'Plan mensual'!N75,0)))*parametros_manuales!$I$34*parametros_manuales!$J$34</f>
        <v>12562.84460813</v>
      </c>
      <c r="M179" s="9" t="n">
        <f aca="false">(parametros_manuales!$D$34*('Plan mensual'!O68+IF(parametros_manuales!$H$34="Todos",'Plan mensual'!O72,0))+parametros_manuales!$E$34*('Plan mensual'!O69+IF(parametros_manuales!$H$34="Todos",'Plan mensual'!O73,0))+parametros_manuales!$F$34*('Plan mensual'!O70+IF(parametros_manuales!$H$34="Todos",'Plan mensual'!O74,0))+parametros_manuales!$G$34*('Plan mensual'!O71+IF(parametros_manuales!$H$34="Todos",'Plan mensual'!O75,0)))*parametros_manuales!$I$34*parametros_manuales!$J$34</f>
        <v>20002.34114119</v>
      </c>
      <c r="N179" s="9" t="n">
        <f aca="false">SUM(B179:M179)</f>
        <v>170778.269169</v>
      </c>
      <c r="O179" s="9" t="n">
        <f aca="false">MAX(B179:M179)</f>
        <v>20002.34114119</v>
      </c>
      <c r="P179" s="43" t="n">
        <f aca="false">O179/(parametros_manuales!$B$7)</f>
        <v>133.348940941267</v>
      </c>
      <c r="Q179" s="8" t="str">
        <f aca="false">IF(O179=0,"-",INDEX($B$163:$M$163,MATCH(O179,B179:M179,0)))</f>
        <v>Dic</v>
      </c>
    </row>
    <row r="180" customFormat="false" ht="14.25" hidden="false" customHeight="true" outlineLevel="0" collapsed="false">
      <c r="A180" s="8" t="str">
        <f aca="false">parametros_manuales!$B$35</f>
        <v>Detección de defectos</v>
      </c>
      <c r="B180" s="9" t="n">
        <f aca="false">(parametros_manuales!$D$35*('Plan mensual'!D68+IF(parametros_manuales!$H$35="Todos",'Plan mensual'!D72,0))+parametros_manuales!$E$35*('Plan mensual'!D69+IF(parametros_manuales!$H$35="Todos",'Plan mensual'!D73,0))+parametros_manuales!$F$35*('Plan mensual'!D70+IF(parametros_manuales!$H$35="Todos",'Plan mensual'!D74,0))+parametros_manuales!$G$35*('Plan mensual'!D71+IF(parametros_manuales!$H$35="Todos",'Plan mensual'!D75,0)))*parametros_manuales!$I$35*parametros_manuales!$J$35</f>
        <v>19511.2899821</v>
      </c>
      <c r="C180" s="9" t="n">
        <f aca="false">(parametros_manuales!$D$35*('Plan mensual'!E68+IF(parametros_manuales!$H$35="Todos",'Plan mensual'!E72,0))+parametros_manuales!$E$35*('Plan mensual'!E69+IF(parametros_manuales!$H$35="Todos",'Plan mensual'!E73,0))+parametros_manuales!$F$35*('Plan mensual'!E70+IF(parametros_manuales!$H$35="Todos",'Plan mensual'!E74,0))+parametros_manuales!$G$35*('Plan mensual'!E71+IF(parametros_manuales!$H$35="Todos",'Plan mensual'!E75,0)))*parametros_manuales!$I$35*parametros_manuales!$J$35</f>
        <v>14878.99306612</v>
      </c>
      <c r="D180" s="9" t="n">
        <f aca="false">(parametros_manuales!$D$35*('Plan mensual'!F68+IF(parametros_manuales!$H$35="Todos",'Plan mensual'!F72,0))+parametros_manuales!$E$35*('Plan mensual'!F69+IF(parametros_manuales!$H$35="Todos",'Plan mensual'!F73,0))+parametros_manuales!$F$35*('Plan mensual'!F70+IF(parametros_manuales!$H$35="Todos",'Plan mensual'!F74,0))+parametros_manuales!$G$35*('Plan mensual'!F71+IF(parametros_manuales!$H$35="Todos",'Plan mensual'!F75,0)))*parametros_manuales!$I$35*parametros_manuales!$J$35</f>
        <v>13907.787113065</v>
      </c>
      <c r="E180" s="9" t="n">
        <f aca="false">(parametros_manuales!$D$35*('Plan mensual'!G68+IF(parametros_manuales!$H$35="Todos",'Plan mensual'!G72,0))+parametros_manuales!$E$35*('Plan mensual'!G69+IF(parametros_manuales!$H$35="Todos",'Plan mensual'!G73,0))+parametros_manuales!$F$35*('Plan mensual'!G70+IF(parametros_manuales!$H$35="Todos",'Plan mensual'!G74,0))+parametros_manuales!$G$35*('Plan mensual'!G71+IF(parametros_manuales!$H$35="Todos",'Plan mensual'!G75,0)))*parametros_manuales!$I$35*parametros_manuales!$J$35</f>
        <v>13299.421346765</v>
      </c>
      <c r="F180" s="9" t="n">
        <f aca="false">(parametros_manuales!$D$35*('Plan mensual'!H68+IF(parametros_manuales!$H$35="Todos",'Plan mensual'!H72,0))+parametros_manuales!$E$35*('Plan mensual'!H69+IF(parametros_manuales!$H$35="Todos",'Plan mensual'!H73,0))+parametros_manuales!$F$35*('Plan mensual'!H70+IF(parametros_manuales!$H$35="Todos",'Plan mensual'!H74,0))+parametros_manuales!$G$35*('Plan mensual'!H71+IF(parametros_manuales!$H$35="Todos",'Plan mensual'!H75,0)))*parametros_manuales!$I$35*parametros_manuales!$J$35</f>
        <v>12445.53000092</v>
      </c>
      <c r="G180" s="9" t="n">
        <f aca="false">(parametros_manuales!$D$35*('Plan mensual'!I68+IF(parametros_manuales!$H$35="Todos",'Plan mensual'!I72,0))+parametros_manuales!$E$35*('Plan mensual'!I69+IF(parametros_manuales!$H$35="Todos",'Plan mensual'!I73,0))+parametros_manuales!$F$35*('Plan mensual'!I70+IF(parametros_manuales!$H$35="Todos",'Plan mensual'!I74,0))+parametros_manuales!$G$35*('Plan mensual'!I71+IF(parametros_manuales!$H$35="Todos",'Plan mensual'!I75,0)))*parametros_manuales!$I$35*parametros_manuales!$J$35</f>
        <v>12200.004421375</v>
      </c>
      <c r="H180" s="9" t="n">
        <f aca="false">(parametros_manuales!$D$35*('Plan mensual'!J68+IF(parametros_manuales!$H$35="Todos",'Plan mensual'!J72,0))+parametros_manuales!$E$35*('Plan mensual'!J69+IF(parametros_manuales!$H$35="Todos",'Plan mensual'!J73,0))+parametros_manuales!$F$35*('Plan mensual'!J70+IF(parametros_manuales!$H$35="Todos",'Plan mensual'!J74,0))+parametros_manuales!$G$35*('Plan mensual'!J71+IF(parametros_manuales!$H$35="Todos",'Plan mensual'!J75,0)))*parametros_manuales!$I$35*parametros_manuales!$J$35</f>
        <v>13053.89576722</v>
      </c>
      <c r="I180" s="9" t="n">
        <f aca="false">(parametros_manuales!$D$35*('Plan mensual'!K68+IF(parametros_manuales!$H$35="Todos",'Plan mensual'!K72,0))+parametros_manuales!$E$35*('Plan mensual'!K69+IF(parametros_manuales!$H$35="Todos",'Plan mensual'!K73,0))+parametros_manuales!$F$35*('Plan mensual'!K70+IF(parametros_manuales!$H$35="Todos",'Plan mensual'!K74,0))+parametros_manuales!$G$35*('Plan mensual'!K71+IF(parametros_manuales!$H$35="Todos",'Plan mensual'!K75,0)))*parametros_manuales!$I$35*parametros_manuales!$J$35</f>
        <v>13053.89576722</v>
      </c>
      <c r="J180" s="9" t="n">
        <f aca="false">(parametros_manuales!$D$35*('Plan mensual'!L68+IF(parametros_manuales!$H$35="Todos",'Plan mensual'!L72,0))+parametros_manuales!$E$35*('Plan mensual'!L69+IF(parametros_manuales!$H$35="Todos",'Plan mensual'!L73,0))+parametros_manuales!$F$35*('Plan mensual'!L70+IF(parametros_manuales!$H$35="Todos",'Plan mensual'!L74,0))+parametros_manuales!$G$35*('Plan mensual'!L71+IF(parametros_manuales!$H$35="Todos",'Plan mensual'!L75,0)))*parametros_manuales!$I$35*parametros_manuales!$J$35</f>
        <v>13053.89576722</v>
      </c>
      <c r="K180" s="9" t="n">
        <f aca="false">(parametros_manuales!$D$35*('Plan mensual'!M68+IF(parametros_manuales!$H$35="Todos",'Plan mensual'!M72,0))+parametros_manuales!$E$35*('Plan mensual'!M69+IF(parametros_manuales!$H$35="Todos",'Plan mensual'!M73,0))+parametros_manuales!$F$35*('Plan mensual'!M70+IF(parametros_manuales!$H$35="Todos",'Plan mensual'!M74,0))+parametros_manuales!$G$35*('Plan mensual'!M71+IF(parametros_manuales!$H$35="Todos",'Plan mensual'!M75,0)))*parametros_manuales!$I$35*parametros_manuales!$J$35</f>
        <v>12808.370187675</v>
      </c>
      <c r="L180" s="9" t="n">
        <f aca="false">(parametros_manuales!$D$35*('Plan mensual'!N68+IF(parametros_manuales!$H$35="Todos",'Plan mensual'!N72,0))+parametros_manuales!$E$35*('Plan mensual'!N69+IF(parametros_manuales!$H$35="Todos",'Plan mensual'!N73,0))+parametros_manuales!$F$35*('Plan mensual'!N70+IF(parametros_manuales!$H$35="Todos",'Plan mensual'!N74,0))+parametros_manuales!$G$35*('Plan mensual'!N71+IF(parametros_manuales!$H$35="Todos",'Plan mensual'!N75,0)))*parametros_manuales!$I$35*parametros_manuales!$J$35</f>
        <v>12562.84460813</v>
      </c>
      <c r="M180" s="9" t="n">
        <f aca="false">(parametros_manuales!$D$35*('Plan mensual'!O68+IF(parametros_manuales!$H$35="Todos",'Plan mensual'!O72,0))+parametros_manuales!$E$35*('Plan mensual'!O69+IF(parametros_manuales!$H$35="Todos",'Plan mensual'!O73,0))+parametros_manuales!$F$35*('Plan mensual'!O70+IF(parametros_manuales!$H$35="Todos",'Plan mensual'!O74,0))+parametros_manuales!$G$35*('Plan mensual'!O71+IF(parametros_manuales!$H$35="Todos",'Plan mensual'!O75,0)))*parametros_manuales!$I$35*parametros_manuales!$J$35</f>
        <v>20002.34114119</v>
      </c>
      <c r="N180" s="9" t="n">
        <f aca="false">SUM(B180:M180)</f>
        <v>170778.269169</v>
      </c>
      <c r="O180" s="9" t="n">
        <f aca="false">MAX(B180:M180)</f>
        <v>20002.34114119</v>
      </c>
      <c r="P180" s="43" t="n">
        <f aca="false">O180/(parametros_manuales!$B$7)</f>
        <v>133.348940941267</v>
      </c>
      <c r="Q180" s="8" t="str">
        <f aca="false">IF(O180=0,"-",INDEX($B$163:$M$163,MATCH(O180,B180:M180,0)))</f>
        <v>Dic</v>
      </c>
    </row>
    <row r="181" customFormat="false" ht="14.25" hidden="false" customHeight="true" outlineLevel="0" collapsed="false">
      <c r="A181" s="8" t="str">
        <f aca="false">parametros_manuales!$B$36</f>
        <v>Corrección de defectos</v>
      </c>
      <c r="B181" s="9" t="n">
        <f aca="false">(parametros_manuales!$D$36*('Plan mensual'!D68+IF(parametros_manuales!$H$36="Todos",'Plan mensual'!D72,0))+parametros_manuales!$E$36*('Plan mensual'!D69+IF(parametros_manuales!$H$36="Todos",'Plan mensual'!D73,0))+parametros_manuales!$F$36*('Plan mensual'!D70+IF(parametros_manuales!$H$36="Todos",'Plan mensual'!D74,0))+parametros_manuales!$G$36*('Plan mensual'!D71+IF(parametros_manuales!$H$36="Todos",'Plan mensual'!D75,0)))*parametros_manuales!$I$36*parametros_manuales!$J$36</f>
        <v>975.564499105</v>
      </c>
      <c r="C181" s="9" t="n">
        <f aca="false">(parametros_manuales!$D$36*('Plan mensual'!E68+IF(parametros_manuales!$H$36="Todos",'Plan mensual'!E72,0))+parametros_manuales!$E$36*('Plan mensual'!E69+IF(parametros_manuales!$H$36="Todos",'Plan mensual'!E73,0))+parametros_manuales!$F$36*('Plan mensual'!E70+IF(parametros_manuales!$H$36="Todos",'Plan mensual'!E74,0))+parametros_manuales!$G$36*('Plan mensual'!E71+IF(parametros_manuales!$H$36="Todos",'Plan mensual'!E75,0)))*parametros_manuales!$I$36*parametros_manuales!$J$36</f>
        <v>743.949653306</v>
      </c>
      <c r="D181" s="9" t="n">
        <f aca="false">(parametros_manuales!$D$36*('Plan mensual'!F68+IF(parametros_manuales!$H$36="Todos",'Plan mensual'!F72,0))+parametros_manuales!$E$36*('Plan mensual'!F69+IF(parametros_manuales!$H$36="Todos",'Plan mensual'!F73,0))+parametros_manuales!$F$36*('Plan mensual'!F70+IF(parametros_manuales!$H$36="Todos",'Plan mensual'!F74,0))+parametros_manuales!$G$36*('Plan mensual'!F71+IF(parametros_manuales!$H$36="Todos",'Plan mensual'!F75,0)))*parametros_manuales!$I$36*parametros_manuales!$J$36</f>
        <v>695.38935565325</v>
      </c>
      <c r="E181" s="9" t="n">
        <f aca="false">(parametros_manuales!$D$36*('Plan mensual'!G68+IF(parametros_manuales!$H$36="Todos",'Plan mensual'!G72,0))+parametros_manuales!$E$36*('Plan mensual'!G69+IF(parametros_manuales!$H$36="Todos",'Plan mensual'!G73,0))+parametros_manuales!$F$36*('Plan mensual'!G70+IF(parametros_manuales!$H$36="Todos",'Plan mensual'!G74,0))+parametros_manuales!$G$36*('Plan mensual'!G71+IF(parametros_manuales!$H$36="Todos",'Plan mensual'!G75,0)))*parametros_manuales!$I$36*parametros_manuales!$J$36</f>
        <v>664.97106733825</v>
      </c>
      <c r="F181" s="9" t="n">
        <f aca="false">(parametros_manuales!$D$36*('Plan mensual'!H68+IF(parametros_manuales!$H$36="Todos",'Plan mensual'!H72,0))+parametros_manuales!$E$36*('Plan mensual'!H69+IF(parametros_manuales!$H$36="Todos",'Plan mensual'!H73,0))+parametros_manuales!$F$36*('Plan mensual'!H70+IF(parametros_manuales!$H$36="Todos",'Plan mensual'!H74,0))+parametros_manuales!$G$36*('Plan mensual'!H71+IF(parametros_manuales!$H$36="Todos",'Plan mensual'!H75,0)))*parametros_manuales!$I$36*parametros_manuales!$J$36</f>
        <v>622.276500046</v>
      </c>
      <c r="G181" s="9" t="n">
        <f aca="false">(parametros_manuales!$D$36*('Plan mensual'!I68+IF(parametros_manuales!$H$36="Todos",'Plan mensual'!I72,0))+parametros_manuales!$E$36*('Plan mensual'!I69+IF(parametros_manuales!$H$36="Todos",'Plan mensual'!I73,0))+parametros_manuales!$F$36*('Plan mensual'!I70+IF(parametros_manuales!$H$36="Todos",'Plan mensual'!I74,0))+parametros_manuales!$G$36*('Plan mensual'!I71+IF(parametros_manuales!$H$36="Todos",'Plan mensual'!I75,0)))*parametros_manuales!$I$36*parametros_manuales!$J$36</f>
        <v>610.00022106875</v>
      </c>
      <c r="H181" s="9" t="n">
        <f aca="false">(parametros_manuales!$D$36*('Plan mensual'!J68+IF(parametros_manuales!$H$36="Todos",'Plan mensual'!J72,0))+parametros_manuales!$E$36*('Plan mensual'!J69+IF(parametros_manuales!$H$36="Todos",'Plan mensual'!J73,0))+parametros_manuales!$F$36*('Plan mensual'!J70+IF(parametros_manuales!$H$36="Todos",'Plan mensual'!J74,0))+parametros_manuales!$G$36*('Plan mensual'!J71+IF(parametros_manuales!$H$36="Todos",'Plan mensual'!J75,0)))*parametros_manuales!$I$36*parametros_manuales!$J$36</f>
        <v>652.694788361</v>
      </c>
      <c r="I181" s="9" t="n">
        <f aca="false">(parametros_manuales!$D$36*('Plan mensual'!K68+IF(parametros_manuales!$H$36="Todos",'Plan mensual'!K72,0))+parametros_manuales!$E$36*('Plan mensual'!K69+IF(parametros_manuales!$H$36="Todos",'Plan mensual'!K73,0))+parametros_manuales!$F$36*('Plan mensual'!K70+IF(parametros_manuales!$H$36="Todos",'Plan mensual'!K74,0))+parametros_manuales!$G$36*('Plan mensual'!K71+IF(parametros_manuales!$H$36="Todos",'Plan mensual'!K75,0)))*parametros_manuales!$I$36*parametros_manuales!$J$36</f>
        <v>652.694788361</v>
      </c>
      <c r="J181" s="9" t="n">
        <f aca="false">(parametros_manuales!$D$36*('Plan mensual'!L68+IF(parametros_manuales!$H$36="Todos",'Plan mensual'!L72,0))+parametros_manuales!$E$36*('Plan mensual'!L69+IF(parametros_manuales!$H$36="Todos",'Plan mensual'!L73,0))+parametros_manuales!$F$36*('Plan mensual'!L70+IF(parametros_manuales!$H$36="Todos",'Plan mensual'!L74,0))+parametros_manuales!$G$36*('Plan mensual'!L71+IF(parametros_manuales!$H$36="Todos",'Plan mensual'!L75,0)))*parametros_manuales!$I$36*parametros_manuales!$J$36</f>
        <v>652.694788361</v>
      </c>
      <c r="K181" s="9" t="n">
        <f aca="false">(parametros_manuales!$D$36*('Plan mensual'!M68+IF(parametros_manuales!$H$36="Todos",'Plan mensual'!M72,0))+parametros_manuales!$E$36*('Plan mensual'!M69+IF(parametros_manuales!$H$36="Todos",'Plan mensual'!M73,0))+parametros_manuales!$F$36*('Plan mensual'!M70+IF(parametros_manuales!$H$36="Todos",'Plan mensual'!M74,0))+parametros_manuales!$G$36*('Plan mensual'!M71+IF(parametros_manuales!$H$36="Todos",'Plan mensual'!M75,0)))*parametros_manuales!$I$36*parametros_manuales!$J$36</f>
        <v>640.41850938375</v>
      </c>
      <c r="L181" s="9" t="n">
        <f aca="false">(parametros_manuales!$D$36*('Plan mensual'!N68+IF(parametros_manuales!$H$36="Todos",'Plan mensual'!N72,0))+parametros_manuales!$E$36*('Plan mensual'!N69+IF(parametros_manuales!$H$36="Todos",'Plan mensual'!N73,0))+parametros_manuales!$F$36*('Plan mensual'!N70+IF(parametros_manuales!$H$36="Todos",'Plan mensual'!N74,0))+parametros_manuales!$G$36*('Plan mensual'!N71+IF(parametros_manuales!$H$36="Todos",'Plan mensual'!N75,0)))*parametros_manuales!$I$36*parametros_manuales!$J$36</f>
        <v>628.1422304065</v>
      </c>
      <c r="M181" s="9" t="n">
        <f aca="false">(parametros_manuales!$D$36*('Plan mensual'!O68+IF(parametros_manuales!$H$36="Todos",'Plan mensual'!O72,0))+parametros_manuales!$E$36*('Plan mensual'!O69+IF(parametros_manuales!$H$36="Todos",'Plan mensual'!O73,0))+parametros_manuales!$F$36*('Plan mensual'!O70+IF(parametros_manuales!$H$36="Todos",'Plan mensual'!O74,0))+parametros_manuales!$G$36*('Plan mensual'!O71+IF(parametros_manuales!$H$36="Todos",'Plan mensual'!O75,0)))*parametros_manuales!$I$36*parametros_manuales!$J$36</f>
        <v>1000.1170570595</v>
      </c>
      <c r="N181" s="9" t="n">
        <f aca="false">SUM(B181:M181)</f>
        <v>8538.91345845</v>
      </c>
      <c r="O181" s="9" t="n">
        <f aca="false">MAX(B181:M181)</f>
        <v>1000.1170570595</v>
      </c>
      <c r="P181" s="43" t="n">
        <f aca="false">O181/(parametros_manuales!$B$7)</f>
        <v>6.66744704706333</v>
      </c>
      <c r="Q181" s="8" t="str">
        <f aca="false">IF(O181=0,"-",INDEX($B$163:$M$163,MATCH(O181,B181:M181,0)))</f>
        <v>Dic</v>
      </c>
    </row>
    <row r="182" customFormat="false" ht="14.25" hidden="false" customHeight="true" outlineLevel="0" collapsed="false">
      <c r="A182" s="8" t="str">
        <f aca="false">parametros_manuales!$B$37</f>
        <v>Pintura en polvo + horno</v>
      </c>
      <c r="B182" s="9" t="n">
        <f aca="false">(parametros_manuales!$D$37*('Plan mensual'!D68+IF(parametros_manuales!$H$37="Todos",'Plan mensual'!D72,0))+parametros_manuales!$E$37*('Plan mensual'!D69+IF(parametros_manuales!$H$37="Todos",'Plan mensual'!D73,0))+parametros_manuales!$F$37*('Plan mensual'!D70+IF(parametros_manuales!$H$37="Todos",'Plan mensual'!D74,0))+parametros_manuales!$G$37*('Plan mensual'!D71+IF(parametros_manuales!$H$37="Todos",'Plan mensual'!D75,0)))*parametros_manuales!$I$37*parametros_manuales!$J$37</f>
        <v>19511.2899821</v>
      </c>
      <c r="C182" s="9" t="n">
        <f aca="false">(parametros_manuales!$D$37*('Plan mensual'!E68+IF(parametros_manuales!$H$37="Todos",'Plan mensual'!E72,0))+parametros_manuales!$E$37*('Plan mensual'!E69+IF(parametros_manuales!$H$37="Todos",'Plan mensual'!E73,0))+parametros_manuales!$F$37*('Plan mensual'!E70+IF(parametros_manuales!$H$37="Todos",'Plan mensual'!E74,0))+parametros_manuales!$G$37*('Plan mensual'!E71+IF(parametros_manuales!$H$37="Todos",'Plan mensual'!E75,0)))*parametros_manuales!$I$37*parametros_manuales!$J$37</f>
        <v>14878.99306612</v>
      </c>
      <c r="D182" s="9" t="n">
        <f aca="false">(parametros_manuales!$D$37*('Plan mensual'!F68+IF(parametros_manuales!$H$37="Todos",'Plan mensual'!F72,0))+parametros_manuales!$E$37*('Plan mensual'!F69+IF(parametros_manuales!$H$37="Todos",'Plan mensual'!F73,0))+parametros_manuales!$F$37*('Plan mensual'!F70+IF(parametros_manuales!$H$37="Todos",'Plan mensual'!F74,0))+parametros_manuales!$G$37*('Plan mensual'!F71+IF(parametros_manuales!$H$37="Todos",'Plan mensual'!F75,0)))*parametros_manuales!$I$37*parametros_manuales!$J$37</f>
        <v>13907.787113065</v>
      </c>
      <c r="E182" s="9" t="n">
        <f aca="false">(parametros_manuales!$D$37*('Plan mensual'!G68+IF(parametros_manuales!$H$37="Todos",'Plan mensual'!G72,0))+parametros_manuales!$E$37*('Plan mensual'!G69+IF(parametros_manuales!$H$37="Todos",'Plan mensual'!G73,0))+parametros_manuales!$F$37*('Plan mensual'!G70+IF(parametros_manuales!$H$37="Todos",'Plan mensual'!G74,0))+parametros_manuales!$G$37*('Plan mensual'!G71+IF(parametros_manuales!$H$37="Todos",'Plan mensual'!G75,0)))*parametros_manuales!$I$37*parametros_manuales!$J$37</f>
        <v>13299.421346765</v>
      </c>
      <c r="F182" s="9" t="n">
        <f aca="false">(parametros_manuales!$D$37*('Plan mensual'!H68+IF(parametros_manuales!$H$37="Todos",'Plan mensual'!H72,0))+parametros_manuales!$E$37*('Plan mensual'!H69+IF(parametros_manuales!$H$37="Todos",'Plan mensual'!H73,0))+parametros_manuales!$F$37*('Plan mensual'!H70+IF(parametros_manuales!$H$37="Todos",'Plan mensual'!H74,0))+parametros_manuales!$G$37*('Plan mensual'!H71+IF(parametros_manuales!$H$37="Todos",'Plan mensual'!H75,0)))*parametros_manuales!$I$37*parametros_manuales!$J$37</f>
        <v>12445.53000092</v>
      </c>
      <c r="G182" s="9" t="n">
        <f aca="false">(parametros_manuales!$D$37*('Plan mensual'!I68+IF(parametros_manuales!$H$37="Todos",'Plan mensual'!I72,0))+parametros_manuales!$E$37*('Plan mensual'!I69+IF(parametros_manuales!$H$37="Todos",'Plan mensual'!I73,0))+parametros_manuales!$F$37*('Plan mensual'!I70+IF(parametros_manuales!$H$37="Todos",'Plan mensual'!I74,0))+parametros_manuales!$G$37*('Plan mensual'!I71+IF(parametros_manuales!$H$37="Todos",'Plan mensual'!I75,0)))*parametros_manuales!$I$37*parametros_manuales!$J$37</f>
        <v>12200.004421375</v>
      </c>
      <c r="H182" s="9" t="n">
        <f aca="false">(parametros_manuales!$D$37*('Plan mensual'!J68+IF(parametros_manuales!$H$37="Todos",'Plan mensual'!J72,0))+parametros_manuales!$E$37*('Plan mensual'!J69+IF(parametros_manuales!$H$37="Todos",'Plan mensual'!J73,0))+parametros_manuales!$F$37*('Plan mensual'!J70+IF(parametros_manuales!$H$37="Todos",'Plan mensual'!J74,0))+parametros_manuales!$G$37*('Plan mensual'!J71+IF(parametros_manuales!$H$37="Todos",'Plan mensual'!J75,0)))*parametros_manuales!$I$37*parametros_manuales!$J$37</f>
        <v>13053.89576722</v>
      </c>
      <c r="I182" s="9" t="n">
        <f aca="false">(parametros_manuales!$D$37*('Plan mensual'!K68+IF(parametros_manuales!$H$37="Todos",'Plan mensual'!K72,0))+parametros_manuales!$E$37*('Plan mensual'!K69+IF(parametros_manuales!$H$37="Todos",'Plan mensual'!K73,0))+parametros_manuales!$F$37*('Plan mensual'!K70+IF(parametros_manuales!$H$37="Todos",'Plan mensual'!K74,0))+parametros_manuales!$G$37*('Plan mensual'!K71+IF(parametros_manuales!$H$37="Todos",'Plan mensual'!K75,0)))*parametros_manuales!$I$37*parametros_manuales!$J$37</f>
        <v>13053.89576722</v>
      </c>
      <c r="J182" s="9" t="n">
        <f aca="false">(parametros_manuales!$D$37*('Plan mensual'!L68+IF(parametros_manuales!$H$37="Todos",'Plan mensual'!L72,0))+parametros_manuales!$E$37*('Plan mensual'!L69+IF(parametros_manuales!$H$37="Todos",'Plan mensual'!L73,0))+parametros_manuales!$F$37*('Plan mensual'!L70+IF(parametros_manuales!$H$37="Todos",'Plan mensual'!L74,0))+parametros_manuales!$G$37*('Plan mensual'!L71+IF(parametros_manuales!$H$37="Todos",'Plan mensual'!L75,0)))*parametros_manuales!$I$37*parametros_manuales!$J$37</f>
        <v>13053.89576722</v>
      </c>
      <c r="K182" s="9" t="n">
        <f aca="false">(parametros_manuales!$D$37*('Plan mensual'!M68+IF(parametros_manuales!$H$37="Todos",'Plan mensual'!M72,0))+parametros_manuales!$E$37*('Plan mensual'!M69+IF(parametros_manuales!$H$37="Todos",'Plan mensual'!M73,0))+parametros_manuales!$F$37*('Plan mensual'!M70+IF(parametros_manuales!$H$37="Todos",'Plan mensual'!M74,0))+parametros_manuales!$G$37*('Plan mensual'!M71+IF(parametros_manuales!$H$37="Todos",'Plan mensual'!M75,0)))*parametros_manuales!$I$37*parametros_manuales!$J$37</f>
        <v>12808.370187675</v>
      </c>
      <c r="L182" s="9" t="n">
        <f aca="false">(parametros_manuales!$D$37*('Plan mensual'!N68+IF(parametros_manuales!$H$37="Todos",'Plan mensual'!N72,0))+parametros_manuales!$E$37*('Plan mensual'!N69+IF(parametros_manuales!$H$37="Todos",'Plan mensual'!N73,0))+parametros_manuales!$F$37*('Plan mensual'!N70+IF(parametros_manuales!$H$37="Todos",'Plan mensual'!N74,0))+parametros_manuales!$G$37*('Plan mensual'!N71+IF(parametros_manuales!$H$37="Todos",'Plan mensual'!N75,0)))*parametros_manuales!$I$37*parametros_manuales!$J$37</f>
        <v>12562.84460813</v>
      </c>
      <c r="M182" s="9" t="n">
        <f aca="false">(parametros_manuales!$D$37*('Plan mensual'!O68+IF(parametros_manuales!$H$37="Todos",'Plan mensual'!O72,0))+parametros_manuales!$E$37*('Plan mensual'!O69+IF(parametros_manuales!$H$37="Todos",'Plan mensual'!O73,0))+parametros_manuales!$F$37*('Plan mensual'!O70+IF(parametros_manuales!$H$37="Todos",'Plan mensual'!O74,0))+parametros_manuales!$G$37*('Plan mensual'!O71+IF(parametros_manuales!$H$37="Todos",'Plan mensual'!O75,0)))*parametros_manuales!$I$37*parametros_manuales!$J$37</f>
        <v>20002.34114119</v>
      </c>
      <c r="N182" s="9" t="n">
        <f aca="false">SUM(B182:M182)</f>
        <v>170778.269169</v>
      </c>
      <c r="O182" s="9" t="n">
        <f aca="false">MAX(B182:M182)</f>
        <v>20002.34114119</v>
      </c>
      <c r="P182" s="43" t="n">
        <f aca="false">O182/(parametros_manuales!$B$7)</f>
        <v>133.348940941267</v>
      </c>
      <c r="Q182" s="8" t="str">
        <f aca="false">IF(O182=0,"-",INDEX($B$163:$M$163,MATCH(O182,B182:M182,0)))</f>
        <v>Dic</v>
      </c>
    </row>
    <row r="183" customFormat="false" ht="14.25" hidden="false" customHeight="true" outlineLevel="0" collapsed="false">
      <c r="A183" s="8" t="str">
        <f aca="false">parametros_manuales!$B$38</f>
        <v>Carga de polvo</v>
      </c>
      <c r="B183" s="9" t="n">
        <f aca="false">(parametros_manuales!$D$38*('Plan mensual'!D68+IF(parametros_manuales!$H$38="Todos",'Plan mensual'!D72,0))+parametros_manuales!$E$38*('Plan mensual'!D69+IF(parametros_manuales!$H$38="Todos",'Plan mensual'!D73,0))+parametros_manuales!$F$38*('Plan mensual'!D70+IF(parametros_manuales!$H$38="Todos",'Plan mensual'!D74,0))+parametros_manuales!$G$38*('Plan mensual'!D71+IF(parametros_manuales!$H$38="Todos",'Plan mensual'!D75,0)))*parametros_manuales!$I$38*parametros_manuales!$J$38</f>
        <v>4860.7619821</v>
      </c>
      <c r="C183" s="9" t="n">
        <f aca="false">(parametros_manuales!$D$38*('Plan mensual'!E68+IF(parametros_manuales!$H$38="Todos",'Plan mensual'!E72,0))+parametros_manuales!$E$38*('Plan mensual'!E69+IF(parametros_manuales!$H$38="Todos",'Plan mensual'!E73,0))+parametros_manuales!$F$38*('Plan mensual'!E70+IF(parametros_manuales!$H$38="Todos",'Plan mensual'!E74,0))+parametros_manuales!$G$38*('Plan mensual'!E71+IF(parametros_manuales!$H$38="Todos",'Plan mensual'!E75,0)))*parametros_manuales!$I$38*parametros_manuales!$J$38</f>
        <v>3766.61426612</v>
      </c>
      <c r="D183" s="9" t="n">
        <f aca="false">(parametros_manuales!$D$38*('Plan mensual'!F68+IF(parametros_manuales!$H$38="Todos",'Plan mensual'!F72,0))+parametros_manuales!$E$38*('Plan mensual'!F69+IF(parametros_manuales!$H$38="Todos",'Plan mensual'!F73,0))+parametros_manuales!$F$38*('Plan mensual'!F70+IF(parametros_manuales!$H$38="Todos",'Plan mensual'!F74,0))+parametros_manuales!$G$38*('Plan mensual'!F71+IF(parametros_manuales!$H$38="Todos",'Plan mensual'!F75,0)))*parametros_manuales!$I$38*parametros_manuales!$J$38</f>
        <v>3684.331513065</v>
      </c>
      <c r="E183" s="9" t="n">
        <f aca="false">(parametros_manuales!$D$38*('Plan mensual'!G68+IF(parametros_manuales!$H$38="Todos",'Plan mensual'!G72,0))+parametros_manuales!$E$38*('Plan mensual'!G69+IF(parametros_manuales!$H$38="Todos",'Plan mensual'!G73,0))+parametros_manuales!$F$38*('Plan mensual'!G70+IF(parametros_manuales!$H$38="Todos",'Plan mensual'!G74,0))+parametros_manuales!$G$38*('Plan mensual'!G71+IF(parametros_manuales!$H$38="Todos",'Plan mensual'!G75,0)))*parametros_manuales!$I$38*parametros_manuales!$J$38</f>
        <v>3582.668746765</v>
      </c>
      <c r="F183" s="9" t="n">
        <f aca="false">(parametros_manuales!$D$38*('Plan mensual'!H68+IF(parametros_manuales!$H$38="Todos",'Plan mensual'!H72,0))+parametros_manuales!$E$38*('Plan mensual'!H69+IF(parametros_manuales!$H$38="Todos",'Plan mensual'!H73,0))+parametros_manuales!$F$38*('Plan mensual'!H70+IF(parametros_manuales!$H$38="Todos",'Plan mensual'!H74,0))+parametros_manuales!$G$38*('Plan mensual'!H71+IF(parametros_manuales!$H$38="Todos",'Plan mensual'!H75,0)))*parametros_manuales!$I$38*parametros_manuales!$J$38</f>
        <v>3359.96320092</v>
      </c>
      <c r="G183" s="9" t="n">
        <f aca="false">(parametros_manuales!$D$38*('Plan mensual'!I68+IF(parametros_manuales!$H$38="Todos",'Plan mensual'!I72,0))+parametros_manuales!$E$38*('Plan mensual'!I69+IF(parametros_manuales!$H$38="Todos",'Plan mensual'!I73,0))+parametros_manuales!$F$38*('Plan mensual'!I70+IF(parametros_manuales!$H$38="Todos",'Plan mensual'!I74,0))+parametros_manuales!$G$38*('Plan mensual'!I71+IF(parametros_manuales!$H$38="Todos",'Plan mensual'!I75,0)))*parametros_manuales!$I$38*parametros_manuales!$J$38</f>
        <v>3238.920421375</v>
      </c>
      <c r="H183" s="9" t="n">
        <f aca="false">(parametros_manuales!$D$38*('Plan mensual'!J68+IF(parametros_manuales!$H$38="Todos",'Plan mensual'!J72,0))+parametros_manuales!$E$38*('Plan mensual'!J69+IF(parametros_manuales!$H$38="Todos",'Plan mensual'!J73,0))+parametros_manuales!$F$38*('Plan mensual'!J70+IF(parametros_manuales!$H$38="Todos",'Plan mensual'!J74,0))+parametros_manuales!$G$38*('Plan mensual'!J71+IF(parametros_manuales!$H$38="Todos",'Plan mensual'!J75,0)))*parametros_manuales!$I$38*parametros_manuales!$J$38</f>
        <v>3461.62596722</v>
      </c>
      <c r="I183" s="9" t="n">
        <f aca="false">(parametros_manuales!$D$38*('Plan mensual'!K68+IF(parametros_manuales!$H$38="Todos",'Plan mensual'!K72,0))+parametros_manuales!$E$38*('Plan mensual'!K69+IF(parametros_manuales!$H$38="Todos",'Plan mensual'!K73,0))+parametros_manuales!$F$38*('Plan mensual'!K70+IF(parametros_manuales!$H$38="Todos",'Plan mensual'!K74,0))+parametros_manuales!$G$38*('Plan mensual'!K71+IF(parametros_manuales!$H$38="Todos",'Plan mensual'!K75,0)))*parametros_manuales!$I$38*parametros_manuales!$J$38</f>
        <v>3461.62596722</v>
      </c>
      <c r="J183" s="9" t="n">
        <f aca="false">(parametros_manuales!$D$38*('Plan mensual'!L68+IF(parametros_manuales!$H$38="Todos",'Plan mensual'!L72,0))+parametros_manuales!$E$38*('Plan mensual'!L69+IF(parametros_manuales!$H$38="Todos",'Plan mensual'!L73,0))+parametros_manuales!$F$38*('Plan mensual'!L70+IF(parametros_manuales!$H$38="Todos",'Plan mensual'!L74,0))+parametros_manuales!$G$38*('Plan mensual'!L71+IF(parametros_manuales!$H$38="Todos",'Plan mensual'!L75,0)))*parametros_manuales!$I$38*parametros_manuales!$J$38</f>
        <v>3461.62596722</v>
      </c>
      <c r="K183" s="9" t="n">
        <f aca="false">(parametros_manuales!$D$38*('Plan mensual'!M68+IF(parametros_manuales!$H$38="Todos",'Plan mensual'!M72,0))+parametros_manuales!$E$38*('Plan mensual'!M69+IF(parametros_manuales!$H$38="Todos",'Plan mensual'!M73,0))+parametros_manuales!$F$38*('Plan mensual'!M70+IF(parametros_manuales!$H$38="Todos",'Plan mensual'!M74,0))+parametros_manuales!$G$38*('Plan mensual'!M71+IF(parametros_manuales!$H$38="Todos",'Plan mensual'!M75,0)))*parametros_manuales!$I$38*parametros_manuales!$J$38</f>
        <v>3340.583187675</v>
      </c>
      <c r="L183" s="9" t="n">
        <f aca="false">(parametros_manuales!$D$38*('Plan mensual'!N68+IF(parametros_manuales!$H$38="Todos",'Plan mensual'!N72,0))+parametros_manuales!$E$38*('Plan mensual'!N69+IF(parametros_manuales!$H$38="Todos",'Plan mensual'!N73,0))+parametros_manuales!$F$38*('Plan mensual'!N70+IF(parametros_manuales!$H$38="Todos",'Plan mensual'!N74,0))+parametros_manuales!$G$38*('Plan mensual'!N71+IF(parametros_manuales!$H$38="Todos",'Plan mensual'!N75,0)))*parametros_manuales!$I$38*parametros_manuales!$J$38</f>
        <v>3219.54040813</v>
      </c>
      <c r="M183" s="9" t="n">
        <f aca="false">(parametros_manuales!$D$38*('Plan mensual'!O68+IF(parametros_manuales!$H$38="Todos",'Plan mensual'!O72,0))+parametros_manuales!$E$38*('Plan mensual'!O69+IF(parametros_manuales!$H$38="Todos",'Plan mensual'!O73,0))+parametros_manuales!$F$38*('Plan mensual'!O70+IF(parametros_manuales!$H$38="Todos",'Plan mensual'!O74,0))+parametros_manuales!$G$38*('Plan mensual'!O71+IF(parametros_manuales!$H$38="Todos",'Plan mensual'!O75,0)))*parametros_manuales!$I$38*parametros_manuales!$J$38</f>
        <v>5102.84754119</v>
      </c>
      <c r="N183" s="9" t="n">
        <f aca="false">SUM(B183:M183)</f>
        <v>44541.109169</v>
      </c>
      <c r="O183" s="9" t="n">
        <f aca="false">MAX(B183:M183)</f>
        <v>5102.84754119</v>
      </c>
      <c r="P183" s="43" t="n">
        <f aca="false">O183/(parametros_manuales!$B$7)</f>
        <v>34.0189836079333</v>
      </c>
      <c r="Q183" s="8" t="str">
        <f aca="false">IF(O183=0,"-",INDEX($B$163:$M$163,MATCH(O183,B183:M183,0)))</f>
        <v>Dic</v>
      </c>
    </row>
    <row r="184" customFormat="false" ht="14.25" hidden="false" customHeight="true" outlineLevel="0" collapsed="false">
      <c r="A184" s="8" t="str">
        <f aca="false">parametros_manuales!$B$39</f>
        <v>Ensamblaje</v>
      </c>
      <c r="B184" s="9" t="n">
        <f aca="false">(parametros_manuales!$D$39*('Plan mensual'!D68+IF(parametros_manuales!$H$39="Todos",'Plan mensual'!D72,0))+parametros_manuales!$E$39*('Plan mensual'!D69+IF(parametros_manuales!$H$39="Todos",'Plan mensual'!D73,0))+parametros_manuales!$F$39*('Plan mensual'!D70+IF(parametros_manuales!$H$39="Todos",'Plan mensual'!D74,0))+parametros_manuales!$G$39*('Plan mensual'!D71+IF(parametros_manuales!$H$39="Todos",'Plan mensual'!D75,0)))*parametros_manuales!$I$39*parametros_manuales!$J$39</f>
        <v>4860.7619821</v>
      </c>
      <c r="C184" s="9" t="n">
        <f aca="false">(parametros_manuales!$D$39*('Plan mensual'!E68+IF(parametros_manuales!$H$39="Todos",'Plan mensual'!E72,0))+parametros_manuales!$E$39*('Plan mensual'!E69+IF(parametros_manuales!$H$39="Todos",'Plan mensual'!E73,0))+parametros_manuales!$F$39*('Plan mensual'!E70+IF(parametros_manuales!$H$39="Todos",'Plan mensual'!E74,0))+parametros_manuales!$G$39*('Plan mensual'!E71+IF(parametros_manuales!$H$39="Todos",'Plan mensual'!E75,0)))*parametros_manuales!$I$39*parametros_manuales!$J$39</f>
        <v>3766.61426612</v>
      </c>
      <c r="D184" s="9" t="n">
        <f aca="false">(parametros_manuales!$D$39*('Plan mensual'!F68+IF(parametros_manuales!$H$39="Todos",'Plan mensual'!F72,0))+parametros_manuales!$E$39*('Plan mensual'!F69+IF(parametros_manuales!$H$39="Todos",'Plan mensual'!F73,0))+parametros_manuales!$F$39*('Plan mensual'!F70+IF(parametros_manuales!$H$39="Todos",'Plan mensual'!F74,0))+parametros_manuales!$G$39*('Plan mensual'!F71+IF(parametros_manuales!$H$39="Todos",'Plan mensual'!F75,0)))*parametros_manuales!$I$39*parametros_manuales!$J$39</f>
        <v>3684.331513065</v>
      </c>
      <c r="E184" s="9" t="n">
        <f aca="false">(parametros_manuales!$D$39*('Plan mensual'!G68+IF(parametros_manuales!$H$39="Todos",'Plan mensual'!G72,0))+parametros_manuales!$E$39*('Plan mensual'!G69+IF(parametros_manuales!$H$39="Todos",'Plan mensual'!G73,0))+parametros_manuales!$F$39*('Plan mensual'!G70+IF(parametros_manuales!$H$39="Todos",'Plan mensual'!G74,0))+parametros_manuales!$G$39*('Plan mensual'!G71+IF(parametros_manuales!$H$39="Todos",'Plan mensual'!G75,0)))*parametros_manuales!$I$39*parametros_manuales!$J$39</f>
        <v>3582.668746765</v>
      </c>
      <c r="F184" s="9" t="n">
        <f aca="false">(parametros_manuales!$D$39*('Plan mensual'!H68+IF(parametros_manuales!$H$39="Todos",'Plan mensual'!H72,0))+parametros_manuales!$E$39*('Plan mensual'!H69+IF(parametros_manuales!$H$39="Todos",'Plan mensual'!H73,0))+parametros_manuales!$F$39*('Plan mensual'!H70+IF(parametros_manuales!$H$39="Todos",'Plan mensual'!H74,0))+parametros_manuales!$G$39*('Plan mensual'!H71+IF(parametros_manuales!$H$39="Todos",'Plan mensual'!H75,0)))*parametros_manuales!$I$39*parametros_manuales!$J$39</f>
        <v>3359.96320092</v>
      </c>
      <c r="G184" s="9" t="n">
        <f aca="false">(parametros_manuales!$D$39*('Plan mensual'!I68+IF(parametros_manuales!$H$39="Todos",'Plan mensual'!I72,0))+parametros_manuales!$E$39*('Plan mensual'!I69+IF(parametros_manuales!$H$39="Todos",'Plan mensual'!I73,0))+parametros_manuales!$F$39*('Plan mensual'!I70+IF(parametros_manuales!$H$39="Todos",'Plan mensual'!I74,0))+parametros_manuales!$G$39*('Plan mensual'!I71+IF(parametros_manuales!$H$39="Todos",'Plan mensual'!I75,0)))*parametros_manuales!$I$39*parametros_manuales!$J$39</f>
        <v>3238.920421375</v>
      </c>
      <c r="H184" s="9" t="n">
        <f aca="false">(parametros_manuales!$D$39*('Plan mensual'!J68+IF(parametros_manuales!$H$39="Todos",'Plan mensual'!J72,0))+parametros_manuales!$E$39*('Plan mensual'!J69+IF(parametros_manuales!$H$39="Todos",'Plan mensual'!J73,0))+parametros_manuales!$F$39*('Plan mensual'!J70+IF(parametros_manuales!$H$39="Todos",'Plan mensual'!J74,0))+parametros_manuales!$G$39*('Plan mensual'!J71+IF(parametros_manuales!$H$39="Todos",'Plan mensual'!J75,0)))*parametros_manuales!$I$39*parametros_manuales!$J$39</f>
        <v>3461.62596722</v>
      </c>
      <c r="I184" s="9" t="n">
        <f aca="false">(parametros_manuales!$D$39*('Plan mensual'!K68+IF(parametros_manuales!$H$39="Todos",'Plan mensual'!K72,0))+parametros_manuales!$E$39*('Plan mensual'!K69+IF(parametros_manuales!$H$39="Todos",'Plan mensual'!K73,0))+parametros_manuales!$F$39*('Plan mensual'!K70+IF(parametros_manuales!$H$39="Todos",'Plan mensual'!K74,0))+parametros_manuales!$G$39*('Plan mensual'!K71+IF(parametros_manuales!$H$39="Todos",'Plan mensual'!K75,0)))*parametros_manuales!$I$39*parametros_manuales!$J$39</f>
        <v>3461.62596722</v>
      </c>
      <c r="J184" s="9" t="n">
        <f aca="false">(parametros_manuales!$D$39*('Plan mensual'!L68+IF(parametros_manuales!$H$39="Todos",'Plan mensual'!L72,0))+parametros_manuales!$E$39*('Plan mensual'!L69+IF(parametros_manuales!$H$39="Todos",'Plan mensual'!L73,0))+parametros_manuales!$F$39*('Plan mensual'!L70+IF(parametros_manuales!$H$39="Todos",'Plan mensual'!L74,0))+parametros_manuales!$G$39*('Plan mensual'!L71+IF(parametros_manuales!$H$39="Todos",'Plan mensual'!L75,0)))*parametros_manuales!$I$39*parametros_manuales!$J$39</f>
        <v>3461.62596722</v>
      </c>
      <c r="K184" s="9" t="n">
        <f aca="false">(parametros_manuales!$D$39*('Plan mensual'!M68+IF(parametros_manuales!$H$39="Todos",'Plan mensual'!M72,0))+parametros_manuales!$E$39*('Plan mensual'!M69+IF(parametros_manuales!$H$39="Todos",'Plan mensual'!M73,0))+parametros_manuales!$F$39*('Plan mensual'!M70+IF(parametros_manuales!$H$39="Todos",'Plan mensual'!M74,0))+parametros_manuales!$G$39*('Plan mensual'!M71+IF(parametros_manuales!$H$39="Todos",'Plan mensual'!M75,0)))*parametros_manuales!$I$39*parametros_manuales!$J$39</f>
        <v>3340.583187675</v>
      </c>
      <c r="L184" s="9" t="n">
        <f aca="false">(parametros_manuales!$D$39*('Plan mensual'!N68+IF(parametros_manuales!$H$39="Todos",'Plan mensual'!N72,0))+parametros_manuales!$E$39*('Plan mensual'!N69+IF(parametros_manuales!$H$39="Todos",'Plan mensual'!N73,0))+parametros_manuales!$F$39*('Plan mensual'!N70+IF(parametros_manuales!$H$39="Todos",'Plan mensual'!N74,0))+parametros_manuales!$G$39*('Plan mensual'!N71+IF(parametros_manuales!$H$39="Todos",'Plan mensual'!N75,0)))*parametros_manuales!$I$39*parametros_manuales!$J$39</f>
        <v>3219.54040813</v>
      </c>
      <c r="M184" s="9" t="n">
        <f aca="false">(parametros_manuales!$D$39*('Plan mensual'!O68+IF(parametros_manuales!$H$39="Todos",'Plan mensual'!O72,0))+parametros_manuales!$E$39*('Plan mensual'!O69+IF(parametros_manuales!$H$39="Todos",'Plan mensual'!O73,0))+parametros_manuales!$F$39*('Plan mensual'!O70+IF(parametros_manuales!$H$39="Todos",'Plan mensual'!O74,0))+parametros_manuales!$G$39*('Plan mensual'!O71+IF(parametros_manuales!$H$39="Todos",'Plan mensual'!O75,0)))*parametros_manuales!$I$39*parametros_manuales!$J$39</f>
        <v>5102.84754119</v>
      </c>
      <c r="N184" s="9" t="n">
        <f aca="false">SUM(B184:M184)</f>
        <v>44541.109169</v>
      </c>
      <c r="O184" s="9" t="n">
        <f aca="false">MAX(B184:M184)</f>
        <v>5102.84754119</v>
      </c>
      <c r="P184" s="43" t="n">
        <f aca="false">O184/(parametros_manuales!$B$7)</f>
        <v>34.0189836079333</v>
      </c>
      <c r="Q184" s="8" t="str">
        <f aca="false">IF(O184=0,"-",INDEX($B$163:$M$163,MATCH(O184,B184:M184,0)))</f>
        <v>Dic</v>
      </c>
    </row>
    <row r="185" customFormat="false" ht="14.25" hidden="false" customHeight="true" outlineLevel="0" collapsed="false">
      <c r="A185" s="8" t="str">
        <f aca="false">parametros_manuales!$B$40</f>
        <v>Presurización</v>
      </c>
      <c r="B185" s="9" t="n">
        <f aca="false">(parametros_manuales!$D$40*('Plan mensual'!D68+IF(parametros_manuales!$H$40="Todos",'Plan mensual'!D72,0))+parametros_manuales!$E$40*('Plan mensual'!D69+IF(parametros_manuales!$H$40="Todos",'Plan mensual'!D73,0))+parametros_manuales!$F$40*('Plan mensual'!D70+IF(parametros_manuales!$H$40="Todos",'Plan mensual'!D74,0))+parametros_manuales!$G$40*('Plan mensual'!D71+IF(parametros_manuales!$H$40="Todos",'Plan mensual'!D75,0)))*parametros_manuales!$I$40*parametros_manuales!$J$40</f>
        <v>4860.7619821</v>
      </c>
      <c r="C185" s="9" t="n">
        <f aca="false">(parametros_manuales!$D$40*('Plan mensual'!E68+IF(parametros_manuales!$H$40="Todos",'Plan mensual'!E72,0))+parametros_manuales!$E$40*('Plan mensual'!E69+IF(parametros_manuales!$H$40="Todos",'Plan mensual'!E73,0))+parametros_manuales!$F$40*('Plan mensual'!E70+IF(parametros_manuales!$H$40="Todos",'Plan mensual'!E74,0))+parametros_manuales!$G$40*('Plan mensual'!E71+IF(parametros_manuales!$H$40="Todos",'Plan mensual'!E75,0)))*parametros_manuales!$I$40*parametros_manuales!$J$40</f>
        <v>3766.61426612</v>
      </c>
      <c r="D185" s="9" t="n">
        <f aca="false">(parametros_manuales!$D$40*('Plan mensual'!F68+IF(parametros_manuales!$H$40="Todos",'Plan mensual'!F72,0))+parametros_manuales!$E$40*('Plan mensual'!F69+IF(parametros_manuales!$H$40="Todos",'Plan mensual'!F73,0))+parametros_manuales!$F$40*('Plan mensual'!F70+IF(parametros_manuales!$H$40="Todos",'Plan mensual'!F74,0))+parametros_manuales!$G$40*('Plan mensual'!F71+IF(parametros_manuales!$H$40="Todos",'Plan mensual'!F75,0)))*parametros_manuales!$I$40*parametros_manuales!$J$40</f>
        <v>3684.331513065</v>
      </c>
      <c r="E185" s="9" t="n">
        <f aca="false">(parametros_manuales!$D$40*('Plan mensual'!G68+IF(parametros_manuales!$H$40="Todos",'Plan mensual'!G72,0))+parametros_manuales!$E$40*('Plan mensual'!G69+IF(parametros_manuales!$H$40="Todos",'Plan mensual'!G73,0))+parametros_manuales!$F$40*('Plan mensual'!G70+IF(parametros_manuales!$H$40="Todos",'Plan mensual'!G74,0))+parametros_manuales!$G$40*('Plan mensual'!G71+IF(parametros_manuales!$H$40="Todos",'Plan mensual'!G75,0)))*parametros_manuales!$I$40*parametros_manuales!$J$40</f>
        <v>3582.668746765</v>
      </c>
      <c r="F185" s="9" t="n">
        <f aca="false">(parametros_manuales!$D$40*('Plan mensual'!H68+IF(parametros_manuales!$H$40="Todos",'Plan mensual'!H72,0))+parametros_manuales!$E$40*('Plan mensual'!H69+IF(parametros_manuales!$H$40="Todos",'Plan mensual'!H73,0))+parametros_manuales!$F$40*('Plan mensual'!H70+IF(parametros_manuales!$H$40="Todos",'Plan mensual'!H74,0))+parametros_manuales!$G$40*('Plan mensual'!H71+IF(parametros_manuales!$H$40="Todos",'Plan mensual'!H75,0)))*parametros_manuales!$I$40*parametros_manuales!$J$40</f>
        <v>3359.96320092</v>
      </c>
      <c r="G185" s="9" t="n">
        <f aca="false">(parametros_manuales!$D$40*('Plan mensual'!I68+IF(parametros_manuales!$H$40="Todos",'Plan mensual'!I72,0))+parametros_manuales!$E$40*('Plan mensual'!I69+IF(parametros_manuales!$H$40="Todos",'Plan mensual'!I73,0))+parametros_manuales!$F$40*('Plan mensual'!I70+IF(parametros_manuales!$H$40="Todos",'Plan mensual'!I74,0))+parametros_manuales!$G$40*('Plan mensual'!I71+IF(parametros_manuales!$H$40="Todos",'Plan mensual'!I75,0)))*parametros_manuales!$I$40*parametros_manuales!$J$40</f>
        <v>3238.920421375</v>
      </c>
      <c r="H185" s="9" t="n">
        <f aca="false">(parametros_manuales!$D$40*('Plan mensual'!J68+IF(parametros_manuales!$H$40="Todos",'Plan mensual'!J72,0))+parametros_manuales!$E$40*('Plan mensual'!J69+IF(parametros_manuales!$H$40="Todos",'Plan mensual'!J73,0))+parametros_manuales!$F$40*('Plan mensual'!J70+IF(parametros_manuales!$H$40="Todos",'Plan mensual'!J74,0))+parametros_manuales!$G$40*('Plan mensual'!J71+IF(parametros_manuales!$H$40="Todos",'Plan mensual'!J75,0)))*parametros_manuales!$I$40*parametros_manuales!$J$40</f>
        <v>3461.62596722</v>
      </c>
      <c r="I185" s="9" t="n">
        <f aca="false">(parametros_manuales!$D$40*('Plan mensual'!K68+IF(parametros_manuales!$H$40="Todos",'Plan mensual'!K72,0))+parametros_manuales!$E$40*('Plan mensual'!K69+IF(parametros_manuales!$H$40="Todos",'Plan mensual'!K73,0))+parametros_manuales!$F$40*('Plan mensual'!K70+IF(parametros_manuales!$H$40="Todos",'Plan mensual'!K74,0))+parametros_manuales!$G$40*('Plan mensual'!K71+IF(parametros_manuales!$H$40="Todos",'Plan mensual'!K75,0)))*parametros_manuales!$I$40*parametros_manuales!$J$40</f>
        <v>3461.62596722</v>
      </c>
      <c r="J185" s="9" t="n">
        <f aca="false">(parametros_manuales!$D$40*('Plan mensual'!L68+IF(parametros_manuales!$H$40="Todos",'Plan mensual'!L72,0))+parametros_manuales!$E$40*('Plan mensual'!L69+IF(parametros_manuales!$H$40="Todos",'Plan mensual'!L73,0))+parametros_manuales!$F$40*('Plan mensual'!L70+IF(parametros_manuales!$H$40="Todos",'Plan mensual'!L74,0))+parametros_manuales!$G$40*('Plan mensual'!L71+IF(parametros_manuales!$H$40="Todos",'Plan mensual'!L75,0)))*parametros_manuales!$I$40*parametros_manuales!$J$40</f>
        <v>3461.62596722</v>
      </c>
      <c r="K185" s="9" t="n">
        <f aca="false">(parametros_manuales!$D$40*('Plan mensual'!M68+IF(parametros_manuales!$H$40="Todos",'Plan mensual'!M72,0))+parametros_manuales!$E$40*('Plan mensual'!M69+IF(parametros_manuales!$H$40="Todos",'Plan mensual'!M73,0))+parametros_manuales!$F$40*('Plan mensual'!M70+IF(parametros_manuales!$H$40="Todos",'Plan mensual'!M74,0))+parametros_manuales!$G$40*('Plan mensual'!M71+IF(parametros_manuales!$H$40="Todos",'Plan mensual'!M75,0)))*parametros_manuales!$I$40*parametros_manuales!$J$40</f>
        <v>3340.583187675</v>
      </c>
      <c r="L185" s="9" t="n">
        <f aca="false">(parametros_manuales!$D$40*('Plan mensual'!N68+IF(parametros_manuales!$H$40="Todos",'Plan mensual'!N72,0))+parametros_manuales!$E$40*('Plan mensual'!N69+IF(parametros_manuales!$H$40="Todos",'Plan mensual'!N73,0))+parametros_manuales!$F$40*('Plan mensual'!N70+IF(parametros_manuales!$H$40="Todos",'Plan mensual'!N74,0))+parametros_manuales!$G$40*('Plan mensual'!N71+IF(parametros_manuales!$H$40="Todos",'Plan mensual'!N75,0)))*parametros_manuales!$I$40*parametros_manuales!$J$40</f>
        <v>3219.54040813</v>
      </c>
      <c r="M185" s="9" t="n">
        <f aca="false">(parametros_manuales!$D$40*('Plan mensual'!O68+IF(parametros_manuales!$H$40="Todos",'Plan mensual'!O72,0))+parametros_manuales!$E$40*('Plan mensual'!O69+IF(parametros_manuales!$H$40="Todos",'Plan mensual'!O73,0))+parametros_manuales!$F$40*('Plan mensual'!O70+IF(parametros_manuales!$H$40="Todos",'Plan mensual'!O74,0))+parametros_manuales!$G$40*('Plan mensual'!O71+IF(parametros_manuales!$H$40="Todos",'Plan mensual'!O75,0)))*parametros_manuales!$I$40*parametros_manuales!$J$40</f>
        <v>5102.84754119</v>
      </c>
      <c r="N185" s="9" t="n">
        <f aca="false">SUM(B185:M185)</f>
        <v>44541.109169</v>
      </c>
      <c r="O185" s="9" t="n">
        <f aca="false">MAX(B185:M185)</f>
        <v>5102.84754119</v>
      </c>
      <c r="P185" s="43" t="n">
        <f aca="false">O185/(parametros_manuales!$B$7)</f>
        <v>34.0189836079333</v>
      </c>
      <c r="Q185" s="8" t="str">
        <f aca="false">IF(O185=0,"-",INDEX($B$163:$M$163,MATCH(O185,B185:M185,0)))</f>
        <v>Dic</v>
      </c>
    </row>
    <row r="186" customFormat="false" ht="14.25" hidden="false" customHeight="true" outlineLevel="0" collapsed="false">
      <c r="A186" s="8" t="str">
        <f aca="false">parametros_manuales!$B$41</f>
        <v>Control de calidad — Ensayo de pérdidas</v>
      </c>
      <c r="B186" s="9" t="n">
        <f aca="false">(parametros_manuales!$D$41*('Plan mensual'!D68+IF(parametros_manuales!$H$41="Todos",'Plan mensual'!D72,0))+parametros_manuales!$E$41*('Plan mensual'!D69+IF(parametros_manuales!$H$41="Todos",'Plan mensual'!D73,0))+parametros_manuales!$F$41*('Plan mensual'!D70+IF(parametros_manuales!$H$41="Todos",'Plan mensual'!D74,0))+parametros_manuales!$G$41*('Plan mensual'!D71+IF(parametros_manuales!$H$41="Todos",'Plan mensual'!D75,0)))*parametros_manuales!$I$41*parametros_manuales!$J$41</f>
        <v>4860.7619821</v>
      </c>
      <c r="C186" s="9" t="n">
        <f aca="false">(parametros_manuales!$D$41*('Plan mensual'!E68+IF(parametros_manuales!$H$41="Todos",'Plan mensual'!E72,0))+parametros_manuales!$E$41*('Plan mensual'!E69+IF(parametros_manuales!$H$41="Todos",'Plan mensual'!E73,0))+parametros_manuales!$F$41*('Plan mensual'!E70+IF(parametros_manuales!$H$41="Todos",'Plan mensual'!E74,0))+parametros_manuales!$G$41*('Plan mensual'!E71+IF(parametros_manuales!$H$41="Todos",'Plan mensual'!E75,0)))*parametros_manuales!$I$41*parametros_manuales!$J$41</f>
        <v>3766.61426612</v>
      </c>
      <c r="D186" s="9" t="n">
        <f aca="false">(parametros_manuales!$D$41*('Plan mensual'!F68+IF(parametros_manuales!$H$41="Todos",'Plan mensual'!F72,0))+parametros_manuales!$E$41*('Plan mensual'!F69+IF(parametros_manuales!$H$41="Todos",'Plan mensual'!F73,0))+parametros_manuales!$F$41*('Plan mensual'!F70+IF(parametros_manuales!$H$41="Todos",'Plan mensual'!F74,0))+parametros_manuales!$G$41*('Plan mensual'!F71+IF(parametros_manuales!$H$41="Todos",'Plan mensual'!F75,0)))*parametros_manuales!$I$41*parametros_manuales!$J$41</f>
        <v>3684.331513065</v>
      </c>
      <c r="E186" s="9" t="n">
        <f aca="false">(parametros_manuales!$D$41*('Plan mensual'!G68+IF(parametros_manuales!$H$41="Todos",'Plan mensual'!G72,0))+parametros_manuales!$E$41*('Plan mensual'!G69+IF(parametros_manuales!$H$41="Todos",'Plan mensual'!G73,0))+parametros_manuales!$F$41*('Plan mensual'!G70+IF(parametros_manuales!$H$41="Todos",'Plan mensual'!G74,0))+parametros_manuales!$G$41*('Plan mensual'!G71+IF(parametros_manuales!$H$41="Todos",'Plan mensual'!G75,0)))*parametros_manuales!$I$41*parametros_manuales!$J$41</f>
        <v>3582.668746765</v>
      </c>
      <c r="F186" s="9" t="n">
        <f aca="false">(parametros_manuales!$D$41*('Plan mensual'!H68+IF(parametros_manuales!$H$41="Todos",'Plan mensual'!H72,0))+parametros_manuales!$E$41*('Plan mensual'!H69+IF(parametros_manuales!$H$41="Todos",'Plan mensual'!H73,0))+parametros_manuales!$F$41*('Plan mensual'!H70+IF(parametros_manuales!$H$41="Todos",'Plan mensual'!H74,0))+parametros_manuales!$G$41*('Plan mensual'!H71+IF(parametros_manuales!$H$41="Todos",'Plan mensual'!H75,0)))*parametros_manuales!$I$41*parametros_manuales!$J$41</f>
        <v>3359.96320092</v>
      </c>
      <c r="G186" s="9" t="n">
        <f aca="false">(parametros_manuales!$D$41*('Plan mensual'!I68+IF(parametros_manuales!$H$41="Todos",'Plan mensual'!I72,0))+parametros_manuales!$E$41*('Plan mensual'!I69+IF(parametros_manuales!$H$41="Todos",'Plan mensual'!I73,0))+parametros_manuales!$F$41*('Plan mensual'!I70+IF(parametros_manuales!$H$41="Todos",'Plan mensual'!I74,0))+parametros_manuales!$G$41*('Plan mensual'!I71+IF(parametros_manuales!$H$41="Todos",'Plan mensual'!I75,0)))*parametros_manuales!$I$41*parametros_manuales!$J$41</f>
        <v>3238.920421375</v>
      </c>
      <c r="H186" s="9" t="n">
        <f aca="false">(parametros_manuales!$D$41*('Plan mensual'!J68+IF(parametros_manuales!$H$41="Todos",'Plan mensual'!J72,0))+parametros_manuales!$E$41*('Plan mensual'!J69+IF(parametros_manuales!$H$41="Todos",'Plan mensual'!J73,0))+parametros_manuales!$F$41*('Plan mensual'!J70+IF(parametros_manuales!$H$41="Todos",'Plan mensual'!J74,0))+parametros_manuales!$G$41*('Plan mensual'!J71+IF(parametros_manuales!$H$41="Todos",'Plan mensual'!J75,0)))*parametros_manuales!$I$41*parametros_manuales!$J$41</f>
        <v>3461.62596722</v>
      </c>
      <c r="I186" s="9" t="n">
        <f aca="false">(parametros_manuales!$D$41*('Plan mensual'!K68+IF(parametros_manuales!$H$41="Todos",'Plan mensual'!K72,0))+parametros_manuales!$E$41*('Plan mensual'!K69+IF(parametros_manuales!$H$41="Todos",'Plan mensual'!K73,0))+parametros_manuales!$F$41*('Plan mensual'!K70+IF(parametros_manuales!$H$41="Todos",'Plan mensual'!K74,0))+parametros_manuales!$G$41*('Plan mensual'!K71+IF(parametros_manuales!$H$41="Todos",'Plan mensual'!K75,0)))*parametros_manuales!$I$41*parametros_manuales!$J$41</f>
        <v>3461.62596722</v>
      </c>
      <c r="J186" s="9" t="n">
        <f aca="false">(parametros_manuales!$D$41*('Plan mensual'!L68+IF(parametros_manuales!$H$41="Todos",'Plan mensual'!L72,0))+parametros_manuales!$E$41*('Plan mensual'!L69+IF(parametros_manuales!$H$41="Todos",'Plan mensual'!L73,0))+parametros_manuales!$F$41*('Plan mensual'!L70+IF(parametros_manuales!$H$41="Todos",'Plan mensual'!L74,0))+parametros_manuales!$G$41*('Plan mensual'!L71+IF(parametros_manuales!$H$41="Todos",'Plan mensual'!L75,0)))*parametros_manuales!$I$41*parametros_manuales!$J$41</f>
        <v>3461.62596722</v>
      </c>
      <c r="K186" s="9" t="n">
        <f aca="false">(parametros_manuales!$D$41*('Plan mensual'!M68+IF(parametros_manuales!$H$41="Todos",'Plan mensual'!M72,0))+parametros_manuales!$E$41*('Plan mensual'!M69+IF(parametros_manuales!$H$41="Todos",'Plan mensual'!M73,0))+parametros_manuales!$F$41*('Plan mensual'!M70+IF(parametros_manuales!$H$41="Todos",'Plan mensual'!M74,0))+parametros_manuales!$G$41*('Plan mensual'!M71+IF(parametros_manuales!$H$41="Todos",'Plan mensual'!M75,0)))*parametros_manuales!$I$41*parametros_manuales!$J$41</f>
        <v>3340.583187675</v>
      </c>
      <c r="L186" s="9" t="n">
        <f aca="false">(parametros_manuales!$D$41*('Plan mensual'!N68+IF(parametros_manuales!$H$41="Todos",'Plan mensual'!N72,0))+parametros_manuales!$E$41*('Plan mensual'!N69+IF(parametros_manuales!$H$41="Todos",'Plan mensual'!N73,0))+parametros_manuales!$F$41*('Plan mensual'!N70+IF(parametros_manuales!$H$41="Todos",'Plan mensual'!N74,0))+parametros_manuales!$G$41*('Plan mensual'!N71+IF(parametros_manuales!$H$41="Todos",'Plan mensual'!N75,0)))*parametros_manuales!$I$41*parametros_manuales!$J$41</f>
        <v>3219.54040813</v>
      </c>
      <c r="M186" s="9" t="n">
        <f aca="false">(parametros_manuales!$D$41*('Plan mensual'!O68+IF(parametros_manuales!$H$41="Todos",'Plan mensual'!O72,0))+parametros_manuales!$E$41*('Plan mensual'!O69+IF(parametros_manuales!$H$41="Todos",'Plan mensual'!O73,0))+parametros_manuales!$F$41*('Plan mensual'!O70+IF(parametros_manuales!$H$41="Todos",'Plan mensual'!O74,0))+parametros_manuales!$G$41*('Plan mensual'!O71+IF(parametros_manuales!$H$41="Todos",'Plan mensual'!O75,0)))*parametros_manuales!$I$41*parametros_manuales!$J$41</f>
        <v>5102.84754119</v>
      </c>
      <c r="N186" s="9" t="n">
        <f aca="false">SUM(B186:M186)</f>
        <v>44541.109169</v>
      </c>
      <c r="O186" s="9" t="n">
        <f aca="false">MAX(B186:M186)</f>
        <v>5102.84754119</v>
      </c>
      <c r="P186" s="43" t="n">
        <f aca="false">O186/(parametros_manuales!$B$7)</f>
        <v>34.0189836079333</v>
      </c>
      <c r="Q186" s="8" t="str">
        <f aca="false">IF(O186=0,"-",INDEX($B$163:$M$163,MATCH(O186,B186:M186,0)))</f>
        <v>Dic</v>
      </c>
    </row>
    <row r="187" customFormat="false" ht="14.25" hidden="false" customHeight="true" outlineLevel="0" collapsed="false">
      <c r="A187" s="8" t="str">
        <f aca="false">parametros_manuales!$B$42</f>
        <v>Etiquetado</v>
      </c>
      <c r="B187" s="9" t="n">
        <f aca="false">(parametros_manuales!$D$42*('Plan mensual'!D68+IF(parametros_manuales!$H$42="Todos",'Plan mensual'!D72,0))+parametros_manuales!$E$42*('Plan mensual'!D69+IF(parametros_manuales!$H$42="Todos",'Plan mensual'!D73,0))+parametros_manuales!$F$42*('Plan mensual'!D70+IF(parametros_manuales!$H$42="Todos",'Plan mensual'!D74,0))+parametros_manuales!$G$42*('Plan mensual'!D71+IF(parametros_manuales!$H$42="Todos",'Plan mensual'!D75,0)))*parametros_manuales!$I$42*parametros_manuales!$J$42</f>
        <v>4860.7619821</v>
      </c>
      <c r="C187" s="9" t="n">
        <f aca="false">(parametros_manuales!$D$42*('Plan mensual'!E68+IF(parametros_manuales!$H$42="Todos",'Plan mensual'!E72,0))+parametros_manuales!$E$42*('Plan mensual'!E69+IF(parametros_manuales!$H$42="Todos",'Plan mensual'!E73,0))+parametros_manuales!$F$42*('Plan mensual'!E70+IF(parametros_manuales!$H$42="Todos",'Plan mensual'!E74,0))+parametros_manuales!$G$42*('Plan mensual'!E71+IF(parametros_manuales!$H$42="Todos",'Plan mensual'!E75,0)))*parametros_manuales!$I$42*parametros_manuales!$J$42</f>
        <v>3766.61426612</v>
      </c>
      <c r="D187" s="9" t="n">
        <f aca="false">(parametros_manuales!$D$42*('Plan mensual'!F68+IF(parametros_manuales!$H$42="Todos",'Plan mensual'!F72,0))+parametros_manuales!$E$42*('Plan mensual'!F69+IF(parametros_manuales!$H$42="Todos",'Plan mensual'!F73,0))+parametros_manuales!$F$42*('Plan mensual'!F70+IF(parametros_manuales!$H$42="Todos",'Plan mensual'!F74,0))+parametros_manuales!$G$42*('Plan mensual'!F71+IF(parametros_manuales!$H$42="Todos",'Plan mensual'!F75,0)))*parametros_manuales!$I$42*parametros_manuales!$J$42</f>
        <v>3684.331513065</v>
      </c>
      <c r="E187" s="9" t="n">
        <f aca="false">(parametros_manuales!$D$42*('Plan mensual'!G68+IF(parametros_manuales!$H$42="Todos",'Plan mensual'!G72,0))+parametros_manuales!$E$42*('Plan mensual'!G69+IF(parametros_manuales!$H$42="Todos",'Plan mensual'!G73,0))+parametros_manuales!$F$42*('Plan mensual'!G70+IF(parametros_manuales!$H$42="Todos",'Plan mensual'!G74,0))+parametros_manuales!$G$42*('Plan mensual'!G71+IF(parametros_manuales!$H$42="Todos",'Plan mensual'!G75,0)))*parametros_manuales!$I$42*parametros_manuales!$J$42</f>
        <v>3582.668746765</v>
      </c>
      <c r="F187" s="9" t="n">
        <f aca="false">(parametros_manuales!$D$42*('Plan mensual'!H68+IF(parametros_manuales!$H$42="Todos",'Plan mensual'!H72,0))+parametros_manuales!$E$42*('Plan mensual'!H69+IF(parametros_manuales!$H$42="Todos",'Plan mensual'!H73,0))+parametros_manuales!$F$42*('Plan mensual'!H70+IF(parametros_manuales!$H$42="Todos",'Plan mensual'!H74,0))+parametros_manuales!$G$42*('Plan mensual'!H71+IF(parametros_manuales!$H$42="Todos",'Plan mensual'!H75,0)))*parametros_manuales!$I$42*parametros_manuales!$J$42</f>
        <v>3359.96320092</v>
      </c>
      <c r="G187" s="9" t="n">
        <f aca="false">(parametros_manuales!$D$42*('Plan mensual'!I68+IF(parametros_manuales!$H$42="Todos",'Plan mensual'!I72,0))+parametros_manuales!$E$42*('Plan mensual'!I69+IF(parametros_manuales!$H$42="Todos",'Plan mensual'!I73,0))+parametros_manuales!$F$42*('Plan mensual'!I70+IF(parametros_manuales!$H$42="Todos",'Plan mensual'!I74,0))+parametros_manuales!$G$42*('Plan mensual'!I71+IF(parametros_manuales!$H$42="Todos",'Plan mensual'!I75,0)))*parametros_manuales!$I$42*parametros_manuales!$J$42</f>
        <v>3238.920421375</v>
      </c>
      <c r="H187" s="9" t="n">
        <f aca="false">(parametros_manuales!$D$42*('Plan mensual'!J68+IF(parametros_manuales!$H$42="Todos",'Plan mensual'!J72,0))+parametros_manuales!$E$42*('Plan mensual'!J69+IF(parametros_manuales!$H$42="Todos",'Plan mensual'!J73,0))+parametros_manuales!$F$42*('Plan mensual'!J70+IF(parametros_manuales!$H$42="Todos",'Plan mensual'!J74,0))+parametros_manuales!$G$42*('Plan mensual'!J71+IF(parametros_manuales!$H$42="Todos",'Plan mensual'!J75,0)))*parametros_manuales!$I$42*parametros_manuales!$J$42</f>
        <v>3461.62596722</v>
      </c>
      <c r="I187" s="9" t="n">
        <f aca="false">(parametros_manuales!$D$42*('Plan mensual'!K68+IF(parametros_manuales!$H$42="Todos",'Plan mensual'!K72,0))+parametros_manuales!$E$42*('Plan mensual'!K69+IF(parametros_manuales!$H$42="Todos",'Plan mensual'!K73,0))+parametros_manuales!$F$42*('Plan mensual'!K70+IF(parametros_manuales!$H$42="Todos",'Plan mensual'!K74,0))+parametros_manuales!$G$42*('Plan mensual'!K71+IF(parametros_manuales!$H$42="Todos",'Plan mensual'!K75,0)))*parametros_manuales!$I$42*parametros_manuales!$J$42</f>
        <v>3461.62596722</v>
      </c>
      <c r="J187" s="9" t="n">
        <f aca="false">(parametros_manuales!$D$42*('Plan mensual'!L68+IF(parametros_manuales!$H$42="Todos",'Plan mensual'!L72,0))+parametros_manuales!$E$42*('Plan mensual'!L69+IF(parametros_manuales!$H$42="Todos",'Plan mensual'!L73,0))+parametros_manuales!$F$42*('Plan mensual'!L70+IF(parametros_manuales!$H$42="Todos",'Plan mensual'!L74,0))+parametros_manuales!$G$42*('Plan mensual'!L71+IF(parametros_manuales!$H$42="Todos",'Plan mensual'!L75,0)))*parametros_manuales!$I$42*parametros_manuales!$J$42</f>
        <v>3461.62596722</v>
      </c>
      <c r="K187" s="9" t="n">
        <f aca="false">(parametros_manuales!$D$42*('Plan mensual'!M68+IF(parametros_manuales!$H$42="Todos",'Plan mensual'!M72,0))+parametros_manuales!$E$42*('Plan mensual'!M69+IF(parametros_manuales!$H$42="Todos",'Plan mensual'!M73,0))+parametros_manuales!$F$42*('Plan mensual'!M70+IF(parametros_manuales!$H$42="Todos",'Plan mensual'!M74,0))+parametros_manuales!$G$42*('Plan mensual'!M71+IF(parametros_manuales!$H$42="Todos",'Plan mensual'!M75,0)))*parametros_manuales!$I$42*parametros_manuales!$J$42</f>
        <v>3340.583187675</v>
      </c>
      <c r="L187" s="9" t="n">
        <f aca="false">(parametros_manuales!$D$42*('Plan mensual'!N68+IF(parametros_manuales!$H$42="Todos",'Plan mensual'!N72,0))+parametros_manuales!$E$42*('Plan mensual'!N69+IF(parametros_manuales!$H$42="Todos",'Plan mensual'!N73,0))+parametros_manuales!$F$42*('Plan mensual'!N70+IF(parametros_manuales!$H$42="Todos",'Plan mensual'!N74,0))+parametros_manuales!$G$42*('Plan mensual'!N71+IF(parametros_manuales!$H$42="Todos",'Plan mensual'!N75,0)))*parametros_manuales!$I$42*parametros_manuales!$J$42</f>
        <v>3219.54040813</v>
      </c>
      <c r="M187" s="9" t="n">
        <f aca="false">(parametros_manuales!$D$42*('Plan mensual'!O68+IF(parametros_manuales!$H$42="Todos",'Plan mensual'!O72,0))+parametros_manuales!$E$42*('Plan mensual'!O69+IF(parametros_manuales!$H$42="Todos",'Plan mensual'!O73,0))+parametros_manuales!$F$42*('Plan mensual'!O70+IF(parametros_manuales!$H$42="Todos",'Plan mensual'!O74,0))+parametros_manuales!$G$42*('Plan mensual'!O71+IF(parametros_manuales!$H$42="Todos",'Plan mensual'!O75,0)))*parametros_manuales!$I$42*parametros_manuales!$J$42</f>
        <v>5102.84754119</v>
      </c>
      <c r="N187" s="9" t="n">
        <f aca="false">SUM(B187:M187)</f>
        <v>44541.109169</v>
      </c>
      <c r="O187" s="9" t="n">
        <f aca="false">MAX(B187:M187)</f>
        <v>5102.84754119</v>
      </c>
      <c r="P187" s="43" t="n">
        <f aca="false">O187/(parametros_manuales!$B$7)</f>
        <v>34.0189836079333</v>
      </c>
      <c r="Q187" s="8" t="str">
        <f aca="false">IF(O187=0,"-",INDEX($B$163:$M$163,MATCH(O187,B187:M187,0)))</f>
        <v>Dic</v>
      </c>
    </row>
    <row r="188" customFormat="false" ht="14.25" hidden="false" customHeight="true" outlineLevel="0" collapsed="false">
      <c r="A188" s="8" t="str">
        <f aca="false">parametros_manuales!$B$43</f>
        <v>Embalaje y paletizado</v>
      </c>
      <c r="B188" s="9" t="n">
        <f aca="false">(parametros_manuales!$D$43*('Plan mensual'!D68+IF(parametros_manuales!$H$43="Todos",'Plan mensual'!D72,0))+parametros_manuales!$E$43*('Plan mensual'!D69+IF(parametros_manuales!$H$43="Todos",'Plan mensual'!D73,0))+parametros_manuales!$F$43*('Plan mensual'!D70+IF(parametros_manuales!$H$43="Todos",'Plan mensual'!D74,0))+parametros_manuales!$G$43*('Plan mensual'!D71+IF(parametros_manuales!$H$43="Todos",'Plan mensual'!D75,0)))*parametros_manuales!$I$43*parametros_manuales!$J$43</f>
        <v>19511.2899821</v>
      </c>
      <c r="C188" s="9" t="n">
        <f aca="false">(parametros_manuales!$D$43*('Plan mensual'!E68+IF(parametros_manuales!$H$43="Todos",'Plan mensual'!E72,0))+parametros_manuales!$E$43*('Plan mensual'!E69+IF(parametros_manuales!$H$43="Todos",'Plan mensual'!E73,0))+parametros_manuales!$F$43*('Plan mensual'!E70+IF(parametros_manuales!$H$43="Todos",'Plan mensual'!E74,0))+parametros_manuales!$G$43*('Plan mensual'!E71+IF(parametros_manuales!$H$43="Todos",'Plan mensual'!E75,0)))*parametros_manuales!$I$43*parametros_manuales!$J$43</f>
        <v>14878.99306612</v>
      </c>
      <c r="D188" s="9" t="n">
        <f aca="false">(parametros_manuales!$D$43*('Plan mensual'!F68+IF(parametros_manuales!$H$43="Todos",'Plan mensual'!F72,0))+parametros_manuales!$E$43*('Plan mensual'!F69+IF(parametros_manuales!$H$43="Todos",'Plan mensual'!F73,0))+parametros_manuales!$F$43*('Plan mensual'!F70+IF(parametros_manuales!$H$43="Todos",'Plan mensual'!F74,0))+parametros_manuales!$G$43*('Plan mensual'!F71+IF(parametros_manuales!$H$43="Todos",'Plan mensual'!F75,0)))*parametros_manuales!$I$43*parametros_manuales!$J$43</f>
        <v>13907.787113065</v>
      </c>
      <c r="E188" s="9" t="n">
        <f aca="false">(parametros_manuales!$D$43*('Plan mensual'!G68+IF(parametros_manuales!$H$43="Todos",'Plan mensual'!G72,0))+parametros_manuales!$E$43*('Plan mensual'!G69+IF(parametros_manuales!$H$43="Todos",'Plan mensual'!G73,0))+parametros_manuales!$F$43*('Plan mensual'!G70+IF(parametros_manuales!$H$43="Todos",'Plan mensual'!G74,0))+parametros_manuales!$G$43*('Plan mensual'!G71+IF(parametros_manuales!$H$43="Todos",'Plan mensual'!G75,0)))*parametros_manuales!$I$43*parametros_manuales!$J$43</f>
        <v>13299.421346765</v>
      </c>
      <c r="F188" s="9" t="n">
        <f aca="false">(parametros_manuales!$D$43*('Plan mensual'!H68+IF(parametros_manuales!$H$43="Todos",'Plan mensual'!H72,0))+parametros_manuales!$E$43*('Plan mensual'!H69+IF(parametros_manuales!$H$43="Todos",'Plan mensual'!H73,0))+parametros_manuales!$F$43*('Plan mensual'!H70+IF(parametros_manuales!$H$43="Todos",'Plan mensual'!H74,0))+parametros_manuales!$G$43*('Plan mensual'!H71+IF(parametros_manuales!$H$43="Todos",'Plan mensual'!H75,0)))*parametros_manuales!$I$43*parametros_manuales!$J$43</f>
        <v>12445.53000092</v>
      </c>
      <c r="G188" s="9" t="n">
        <f aca="false">(parametros_manuales!$D$43*('Plan mensual'!I68+IF(parametros_manuales!$H$43="Todos",'Plan mensual'!I72,0))+parametros_manuales!$E$43*('Plan mensual'!I69+IF(parametros_manuales!$H$43="Todos",'Plan mensual'!I73,0))+parametros_manuales!$F$43*('Plan mensual'!I70+IF(parametros_manuales!$H$43="Todos",'Plan mensual'!I74,0))+parametros_manuales!$G$43*('Plan mensual'!I71+IF(parametros_manuales!$H$43="Todos",'Plan mensual'!I75,0)))*parametros_manuales!$I$43*parametros_manuales!$J$43</f>
        <v>12200.004421375</v>
      </c>
      <c r="H188" s="9" t="n">
        <f aca="false">(parametros_manuales!$D$43*('Plan mensual'!J68+IF(parametros_manuales!$H$43="Todos",'Plan mensual'!J72,0))+parametros_manuales!$E$43*('Plan mensual'!J69+IF(parametros_manuales!$H$43="Todos",'Plan mensual'!J73,0))+parametros_manuales!$F$43*('Plan mensual'!J70+IF(parametros_manuales!$H$43="Todos",'Plan mensual'!J74,0))+parametros_manuales!$G$43*('Plan mensual'!J71+IF(parametros_manuales!$H$43="Todos",'Plan mensual'!J75,0)))*parametros_manuales!$I$43*parametros_manuales!$J$43</f>
        <v>13053.89576722</v>
      </c>
      <c r="I188" s="9" t="n">
        <f aca="false">(parametros_manuales!$D$43*('Plan mensual'!K68+IF(parametros_manuales!$H$43="Todos",'Plan mensual'!K72,0))+parametros_manuales!$E$43*('Plan mensual'!K69+IF(parametros_manuales!$H$43="Todos",'Plan mensual'!K73,0))+parametros_manuales!$F$43*('Plan mensual'!K70+IF(parametros_manuales!$H$43="Todos",'Plan mensual'!K74,0))+parametros_manuales!$G$43*('Plan mensual'!K71+IF(parametros_manuales!$H$43="Todos",'Plan mensual'!K75,0)))*parametros_manuales!$I$43*parametros_manuales!$J$43</f>
        <v>13053.89576722</v>
      </c>
      <c r="J188" s="9" t="n">
        <f aca="false">(parametros_manuales!$D$43*('Plan mensual'!L68+IF(parametros_manuales!$H$43="Todos",'Plan mensual'!L72,0))+parametros_manuales!$E$43*('Plan mensual'!L69+IF(parametros_manuales!$H$43="Todos",'Plan mensual'!L73,0))+parametros_manuales!$F$43*('Plan mensual'!L70+IF(parametros_manuales!$H$43="Todos",'Plan mensual'!L74,0))+parametros_manuales!$G$43*('Plan mensual'!L71+IF(parametros_manuales!$H$43="Todos",'Plan mensual'!L75,0)))*parametros_manuales!$I$43*parametros_manuales!$J$43</f>
        <v>13053.89576722</v>
      </c>
      <c r="K188" s="9" t="n">
        <f aca="false">(parametros_manuales!$D$43*('Plan mensual'!M68+IF(parametros_manuales!$H$43="Todos",'Plan mensual'!M72,0))+parametros_manuales!$E$43*('Plan mensual'!M69+IF(parametros_manuales!$H$43="Todos",'Plan mensual'!M73,0))+parametros_manuales!$F$43*('Plan mensual'!M70+IF(parametros_manuales!$H$43="Todos",'Plan mensual'!M74,0))+parametros_manuales!$G$43*('Plan mensual'!M71+IF(parametros_manuales!$H$43="Todos",'Plan mensual'!M75,0)))*parametros_manuales!$I$43*parametros_manuales!$J$43</f>
        <v>12808.370187675</v>
      </c>
      <c r="L188" s="9" t="n">
        <f aca="false">(parametros_manuales!$D$43*('Plan mensual'!N68+IF(parametros_manuales!$H$43="Todos",'Plan mensual'!N72,0))+parametros_manuales!$E$43*('Plan mensual'!N69+IF(parametros_manuales!$H$43="Todos",'Plan mensual'!N73,0))+parametros_manuales!$F$43*('Plan mensual'!N70+IF(parametros_manuales!$H$43="Todos",'Plan mensual'!N74,0))+parametros_manuales!$G$43*('Plan mensual'!N71+IF(parametros_manuales!$H$43="Todos",'Plan mensual'!N75,0)))*parametros_manuales!$I$43*parametros_manuales!$J$43</f>
        <v>12562.84460813</v>
      </c>
      <c r="M188" s="9" t="n">
        <f aca="false">(parametros_manuales!$D$43*('Plan mensual'!O68+IF(parametros_manuales!$H$43="Todos",'Plan mensual'!O72,0))+parametros_manuales!$E$43*('Plan mensual'!O69+IF(parametros_manuales!$H$43="Todos",'Plan mensual'!O73,0))+parametros_manuales!$F$43*('Plan mensual'!O70+IF(parametros_manuales!$H$43="Todos",'Plan mensual'!O74,0))+parametros_manuales!$G$43*('Plan mensual'!O71+IF(parametros_manuales!$H$43="Todos",'Plan mensual'!O75,0)))*parametros_manuales!$I$43*parametros_manuales!$J$43</f>
        <v>20002.34114119</v>
      </c>
      <c r="N188" s="9" t="n">
        <f aca="false">SUM(B188:M188)</f>
        <v>170778.269169</v>
      </c>
      <c r="O188" s="9" t="n">
        <f aca="false">MAX(B188:M188)</f>
        <v>20002.34114119</v>
      </c>
      <c r="P188" s="43" t="n">
        <f aca="false">O188/(parametros_manuales!$B$7)</f>
        <v>133.348940941267</v>
      </c>
      <c r="Q188" s="8" t="str">
        <f aca="false">IF(O188=0,"-",INDEX($B$163:$M$163,MATCH(O188,B188:M188,0)))</f>
        <v>Dic</v>
      </c>
    </row>
    <row r="189" customFormat="false" ht="14.25" hidden="false" customHeight="true" outlineLevel="0" collapsed="false"/>
    <row r="190" customFormat="false" ht="14.25" hidden="false" customHeight="true" outlineLevel="0" collapsed="false">
      <c r="A190" s="7" t="s">
        <v>197</v>
      </c>
      <c r="B190" s="7" t="s">
        <v>61</v>
      </c>
      <c r="C190" s="7" t="s">
        <v>62</v>
      </c>
      <c r="D190" s="7" t="s">
        <v>63</v>
      </c>
      <c r="E190" s="7" t="s">
        <v>64</v>
      </c>
      <c r="F190" s="7" t="s">
        <v>65</v>
      </c>
      <c r="G190" s="7" t="s">
        <v>66</v>
      </c>
      <c r="H190" s="7" t="s">
        <v>67</v>
      </c>
      <c r="I190" s="7" t="s">
        <v>68</v>
      </c>
      <c r="J190" s="7" t="s">
        <v>69</v>
      </c>
      <c r="K190" s="7" t="s">
        <v>70</v>
      </c>
      <c r="L190" s="7" t="s">
        <v>71</v>
      </c>
      <c r="M190" s="7" t="s">
        <v>72</v>
      </c>
      <c r="N190" s="7" t="s">
        <v>183</v>
      </c>
      <c r="O190" s="7" t="s">
        <v>188</v>
      </c>
      <c r="P190" s="7" t="s">
        <v>189</v>
      </c>
      <c r="Q190" s="7" t="s">
        <v>190</v>
      </c>
    </row>
    <row r="191" customFormat="false" ht="14.25" hidden="false" customHeight="true" outlineLevel="0" collapsed="false">
      <c r="A191" s="8" t="str">
        <f aca="false">parametros_manuales!$B$19</f>
        <v>Recepción de materia prima</v>
      </c>
      <c r="B191" s="9" t="n">
        <f aca="false">(parametros_manuales!$D$19*('Plan mensual'!D79+IF(parametros_manuales!$H$19="Todos",'Plan mensual'!D83,0))+parametros_manuales!$E$19*('Plan mensual'!D80+IF(parametros_manuales!$H$19="Todos",'Plan mensual'!D84,0))+parametros_manuales!$F$19*('Plan mensual'!D81+IF(parametros_manuales!$H$19="Todos",'Plan mensual'!D85,0))+parametros_manuales!$G$19*('Plan mensual'!D82+IF(parametros_manuales!$H$19="Todos",'Plan mensual'!D86,0)))*parametros_manuales!$I$19*parametros_manuales!$J$19</f>
        <v>24946.8271945</v>
      </c>
      <c r="C191" s="9" t="n">
        <f aca="false">(parametros_manuales!$D$19*('Plan mensual'!E79+IF(parametros_manuales!$H$19="Todos",'Plan mensual'!E83,0))+parametros_manuales!$E$19*('Plan mensual'!E80+IF(parametros_manuales!$H$19="Todos",'Plan mensual'!E84,0))+parametros_manuales!$F$19*('Plan mensual'!E81+IF(parametros_manuales!$H$19="Todos",'Plan mensual'!E85,0))+parametros_manuales!$G$19*('Plan mensual'!E82+IF(parametros_manuales!$H$19="Todos",'Plan mensual'!E86,0)))*parametros_manuales!$I$19*parametros_manuales!$J$19</f>
        <v>19020.66328472</v>
      </c>
      <c r="D191" s="9" t="n">
        <f aca="false">(parametros_manuales!$D$19*('Plan mensual'!F79+IF(parametros_manuales!$H$19="Todos",'Plan mensual'!F83,0))+parametros_manuales!$E$19*('Plan mensual'!F80+IF(parametros_manuales!$H$19="Todos",'Plan mensual'!F84,0))+parametros_manuales!$F$19*('Plan mensual'!F81+IF(parametros_manuales!$H$19="Todos",'Plan mensual'!F85,0))+parametros_manuales!$G$19*('Plan mensual'!F82+IF(parametros_manuales!$H$19="Todos",'Plan mensual'!F86,0)))*parametros_manuales!$I$19*parametros_manuales!$J$19</f>
        <v>17769.875388765</v>
      </c>
      <c r="E191" s="9" t="n">
        <f aca="false">(parametros_manuales!$D$19*('Plan mensual'!G79+IF(parametros_manuales!$H$19="Todos",'Plan mensual'!G83,0))+parametros_manuales!$E$19*('Plan mensual'!G80+IF(parametros_manuales!$H$19="Todos",'Plan mensual'!G84,0))+parametros_manuales!$F$19*('Plan mensual'!G81+IF(parametros_manuales!$H$19="Todos",'Plan mensual'!G85,0))+parametros_manuales!$G$19*('Plan mensual'!G82+IF(parametros_manuales!$H$19="Todos",'Plan mensual'!G86,0)))*parametros_manuales!$I$19*parametros_manuales!$J$19</f>
        <v>16989.209996365</v>
      </c>
      <c r="F191" s="9" t="n">
        <f aca="false">(parametros_manuales!$D$19*('Plan mensual'!H79+IF(parametros_manuales!$H$19="Todos",'Plan mensual'!H83,0))+parametros_manuales!$E$19*('Plan mensual'!H80+IF(parametros_manuales!$H$19="Todos",'Plan mensual'!H84,0))+parametros_manuales!$F$19*('Plan mensual'!H81+IF(parametros_manuales!$H$19="Todos",'Plan mensual'!H85,0))+parametros_manuales!$G$19*('Plan mensual'!H82+IF(parametros_manuales!$H$19="Todos",'Plan mensual'!H86,0)))*parametros_manuales!$I$19*parametros_manuales!$J$19</f>
        <v>15898.00171512</v>
      </c>
      <c r="G191" s="9" t="n">
        <f aca="false">(parametros_manuales!$D$19*('Plan mensual'!I79+IF(parametros_manuales!$H$19="Todos",'Plan mensual'!I83,0))+parametros_manuales!$E$19*('Plan mensual'!I80+IF(parametros_manuales!$H$19="Todos",'Plan mensual'!I84,0))+parametros_manuales!$F$19*('Plan mensual'!I81+IF(parametros_manuales!$H$19="Todos",'Plan mensual'!I85,0))+parametros_manuales!$G$19*('Plan mensual'!I82+IF(parametros_manuales!$H$19="Todos",'Plan mensual'!I86,0)))*parametros_manuales!$I$19*parametros_manuales!$J$19</f>
        <v>15587.458826275</v>
      </c>
      <c r="H191" s="9" t="n">
        <f aca="false">(parametros_manuales!$D$19*('Plan mensual'!J79+IF(parametros_manuales!$H$19="Todos",'Plan mensual'!J83,0))+parametros_manuales!$E$19*('Plan mensual'!J80+IF(parametros_manuales!$H$19="Todos",'Plan mensual'!J84,0))+parametros_manuales!$F$19*('Plan mensual'!J81+IF(parametros_manuales!$H$19="Todos",'Plan mensual'!J85,0))+parametros_manuales!$G$19*('Plan mensual'!J82+IF(parametros_manuales!$H$19="Todos",'Plan mensual'!J86,0)))*parametros_manuales!$I$19*parametros_manuales!$J$19</f>
        <v>16678.66710752</v>
      </c>
      <c r="I191" s="9" t="n">
        <f aca="false">(parametros_manuales!$D$19*('Plan mensual'!K79+IF(parametros_manuales!$H$19="Todos",'Plan mensual'!K83,0))+parametros_manuales!$E$19*('Plan mensual'!K80+IF(parametros_manuales!$H$19="Todos",'Plan mensual'!K84,0))+parametros_manuales!$F$19*('Plan mensual'!K81+IF(parametros_manuales!$H$19="Todos",'Plan mensual'!K85,0))+parametros_manuales!$G$19*('Plan mensual'!K82+IF(parametros_manuales!$H$19="Todos",'Plan mensual'!K86,0)))*parametros_manuales!$I$19*parametros_manuales!$J$19</f>
        <v>16678.66710752</v>
      </c>
      <c r="J191" s="9" t="n">
        <f aca="false">(parametros_manuales!$D$19*('Plan mensual'!L79+IF(parametros_manuales!$H$19="Todos",'Plan mensual'!L83,0))+parametros_manuales!$E$19*('Plan mensual'!L80+IF(parametros_manuales!$H$19="Todos",'Plan mensual'!L84,0))+parametros_manuales!$F$19*('Plan mensual'!L81+IF(parametros_manuales!$H$19="Todos",'Plan mensual'!L85,0))+parametros_manuales!$G$19*('Plan mensual'!L82+IF(parametros_manuales!$H$19="Todos",'Plan mensual'!L86,0)))*parametros_manuales!$I$19*parametros_manuales!$J$19</f>
        <v>16678.66710752</v>
      </c>
      <c r="K191" s="9" t="n">
        <f aca="false">(parametros_manuales!$D$19*('Plan mensual'!M79+IF(parametros_manuales!$H$19="Todos",'Plan mensual'!M83,0))+parametros_manuales!$E$19*('Plan mensual'!M80+IF(parametros_manuales!$H$19="Todos",'Plan mensual'!M84,0))+parametros_manuales!$F$19*('Plan mensual'!M81+IF(parametros_manuales!$H$19="Todos",'Plan mensual'!M85,0))+parametros_manuales!$G$19*('Plan mensual'!M82+IF(parametros_manuales!$H$19="Todos",'Plan mensual'!M86,0)))*parametros_manuales!$I$19*parametros_manuales!$J$19</f>
        <v>16368.124218675</v>
      </c>
      <c r="L191" s="9" t="n">
        <f aca="false">(parametros_manuales!$D$19*('Plan mensual'!N79+IF(parametros_manuales!$H$19="Todos",'Plan mensual'!N83,0))+parametros_manuales!$E$19*('Plan mensual'!N80+IF(parametros_manuales!$H$19="Todos",'Plan mensual'!N84,0))+parametros_manuales!$F$19*('Plan mensual'!N81+IF(parametros_manuales!$H$19="Todos",'Plan mensual'!N85,0))+parametros_manuales!$G$19*('Plan mensual'!N82+IF(parametros_manuales!$H$19="Todos",'Plan mensual'!N86,0)))*parametros_manuales!$I$19*parametros_manuales!$J$19</f>
        <v>16057.58132983</v>
      </c>
      <c r="M191" s="9" t="n">
        <f aca="false">(parametros_manuales!$D$19*('Plan mensual'!O79+IF(parametros_manuales!$H$19="Todos",'Plan mensual'!O83,0))+parametros_manuales!$E$19*('Plan mensual'!O80+IF(parametros_manuales!$H$19="Todos",'Plan mensual'!O84,0))+parametros_manuales!$F$19*('Plan mensual'!O81+IF(parametros_manuales!$H$19="Todos",'Plan mensual'!O85,0))+parametros_manuales!$G$19*('Plan mensual'!O82+IF(parametros_manuales!$H$19="Todos",'Plan mensual'!O86,0)))*parametros_manuales!$I$19*parametros_manuales!$J$19</f>
        <v>25567.91297219</v>
      </c>
      <c r="N191" s="9" t="n">
        <f aca="false">SUM(B191:M191)</f>
        <v>218241.656249</v>
      </c>
      <c r="O191" s="9" t="n">
        <f aca="false">MAX(B191:M191)</f>
        <v>25567.91297219</v>
      </c>
      <c r="P191" s="43" t="n">
        <f aca="false">O191/(parametros_manuales!$B$7)</f>
        <v>170.452753147933</v>
      </c>
      <c r="Q191" s="8" t="str">
        <f aca="false">IF(O191=0,"-",INDEX($B$190:$M$190,MATCH(O191,B191:M191,0)))</f>
        <v>Dic</v>
      </c>
    </row>
    <row r="192" customFormat="false" ht="14.25" hidden="false" customHeight="true" outlineLevel="0" collapsed="false">
      <c r="A192" s="8" t="str">
        <f aca="false">parametros_manuales!$B$20</f>
        <v>Corte de chapa (guillotina) — 2,5 a 10 kg</v>
      </c>
      <c r="B192" s="9" t="n">
        <f aca="false">(parametros_manuales!$D$20*('Plan mensual'!D79+IF(parametros_manuales!$H$20="Todos",'Plan mensual'!D83,0))+parametros_manuales!$E$20*('Plan mensual'!D80+IF(parametros_manuales!$H$20="Todos",'Plan mensual'!D84,0))+parametros_manuales!$F$20*('Plan mensual'!D81+IF(parametros_manuales!$H$20="Todos",'Plan mensual'!D85,0))+parametros_manuales!$G$20*('Plan mensual'!D82+IF(parametros_manuales!$H$20="Todos",'Plan mensual'!D86,0)))*parametros_manuales!$I$20*parametros_manuales!$J$20</f>
        <v>6210.8577769</v>
      </c>
      <c r="C192" s="9" t="n">
        <f aca="false">(parametros_manuales!$D$20*('Plan mensual'!E79+IF(parametros_manuales!$H$20="Todos",'Plan mensual'!E83,0))+parametros_manuales!$E$20*('Plan mensual'!E80+IF(parametros_manuales!$H$20="Todos",'Plan mensual'!E84,0))+parametros_manuales!$F$20*('Plan mensual'!E81+IF(parametros_manuales!$H$20="Todos",'Plan mensual'!E85,0))+parametros_manuales!$G$20*('Plan mensual'!E82+IF(parametros_manuales!$H$20="Todos",'Plan mensual'!E86,0)))*parametros_manuales!$I$20*parametros_manuales!$J$20</f>
        <v>4968.68622152</v>
      </c>
      <c r="D192" s="9" t="n">
        <f aca="false">(parametros_manuales!$D$20*('Plan mensual'!F79+IF(parametros_manuales!$H$20="Todos",'Plan mensual'!F83,0))+parametros_manuales!$E$20*('Plan mensual'!F80+IF(parametros_manuales!$H$20="Todos",'Plan mensual'!F84,0))+parametros_manuales!$F$20*('Plan mensual'!F81+IF(parametros_manuales!$H$20="Todos",'Plan mensual'!F85,0))+parametros_manuales!$G$20*('Plan mensual'!F82+IF(parametros_manuales!$H$20="Todos",'Plan mensual'!F86,0)))*parametros_manuales!$I$20*parametros_manuales!$J$20</f>
        <v>5279.229110365</v>
      </c>
      <c r="E192" s="9" t="n">
        <f aca="false">(parametros_manuales!$D$20*('Plan mensual'!G79+IF(parametros_manuales!$H$20="Todos",'Plan mensual'!G83,0))+parametros_manuales!$E$20*('Plan mensual'!G80+IF(parametros_manuales!$H$20="Todos",'Plan mensual'!G84,0))+parametros_manuales!$F$20*('Plan mensual'!G81+IF(parametros_manuales!$H$20="Todos",'Plan mensual'!G85,0))+parametros_manuales!$G$20*('Plan mensual'!G82+IF(parametros_manuales!$H$20="Todos",'Plan mensual'!G86,0)))*parametros_manuales!$I$20*parametros_manuales!$J$20</f>
        <v>5279.229110365</v>
      </c>
      <c r="F192" s="9" t="n">
        <f aca="false">(parametros_manuales!$D$20*('Plan mensual'!H79+IF(parametros_manuales!$H$20="Todos",'Plan mensual'!H83,0))+parametros_manuales!$E$20*('Plan mensual'!H80+IF(parametros_manuales!$H$20="Todos",'Plan mensual'!H84,0))+parametros_manuales!$F$20*('Plan mensual'!H81+IF(parametros_manuales!$H$20="Todos",'Plan mensual'!H85,0))+parametros_manuales!$G$20*('Plan mensual'!H82+IF(parametros_manuales!$H$20="Todos",'Plan mensual'!H86,0)))*parametros_manuales!$I$20*parametros_manuales!$J$20</f>
        <v>4968.68622152</v>
      </c>
      <c r="G192" s="9" t="n">
        <f aca="false">(parametros_manuales!$D$20*('Plan mensual'!I79+IF(parametros_manuales!$H$20="Todos",'Plan mensual'!I83,0))+parametros_manuales!$E$20*('Plan mensual'!I80+IF(parametros_manuales!$H$20="Todos",'Plan mensual'!I84,0))+parametros_manuales!$F$20*('Plan mensual'!I81+IF(parametros_manuales!$H$20="Todos",'Plan mensual'!I85,0))+parametros_manuales!$G$20*('Plan mensual'!I82+IF(parametros_manuales!$H$20="Todos",'Plan mensual'!I86,0)))*parametros_manuales!$I$20*parametros_manuales!$J$20</f>
        <v>4658.143332675</v>
      </c>
      <c r="H192" s="9" t="n">
        <f aca="false">(parametros_manuales!$D$20*('Plan mensual'!J79+IF(parametros_manuales!$H$20="Todos",'Plan mensual'!J83,0))+parametros_manuales!$E$20*('Plan mensual'!J80+IF(parametros_manuales!$H$20="Todos",'Plan mensual'!J84,0))+parametros_manuales!$F$20*('Plan mensual'!J81+IF(parametros_manuales!$H$20="Todos",'Plan mensual'!J85,0))+parametros_manuales!$G$20*('Plan mensual'!J82+IF(parametros_manuales!$H$20="Todos",'Plan mensual'!J86,0)))*parametros_manuales!$I$20*parametros_manuales!$J$20</f>
        <v>4968.68622152</v>
      </c>
      <c r="I192" s="9" t="n">
        <f aca="false">(parametros_manuales!$D$20*('Plan mensual'!K79+IF(parametros_manuales!$H$20="Todos",'Plan mensual'!K83,0))+parametros_manuales!$E$20*('Plan mensual'!K80+IF(parametros_manuales!$H$20="Todos",'Plan mensual'!K84,0))+parametros_manuales!$F$20*('Plan mensual'!K81+IF(parametros_manuales!$H$20="Todos",'Plan mensual'!K85,0))+parametros_manuales!$G$20*('Plan mensual'!K82+IF(parametros_manuales!$H$20="Todos",'Plan mensual'!K86,0)))*parametros_manuales!$I$20*parametros_manuales!$J$20</f>
        <v>4968.68622152</v>
      </c>
      <c r="J192" s="9" t="n">
        <f aca="false">(parametros_manuales!$D$20*('Plan mensual'!L79+IF(parametros_manuales!$H$20="Todos",'Plan mensual'!L83,0))+parametros_manuales!$E$20*('Plan mensual'!L80+IF(parametros_manuales!$H$20="Todos",'Plan mensual'!L84,0))+parametros_manuales!$F$20*('Plan mensual'!L81+IF(parametros_manuales!$H$20="Todos",'Plan mensual'!L85,0))+parametros_manuales!$G$20*('Plan mensual'!L82+IF(parametros_manuales!$H$20="Todos",'Plan mensual'!L86,0)))*parametros_manuales!$I$20*parametros_manuales!$J$20</f>
        <v>4968.68622152</v>
      </c>
      <c r="K192" s="9" t="n">
        <f aca="false">(parametros_manuales!$D$20*('Plan mensual'!M79+IF(parametros_manuales!$H$20="Todos",'Plan mensual'!M83,0))+parametros_manuales!$E$20*('Plan mensual'!M80+IF(parametros_manuales!$H$20="Todos",'Plan mensual'!M84,0))+parametros_manuales!$F$20*('Plan mensual'!M81+IF(parametros_manuales!$H$20="Todos",'Plan mensual'!M85,0))+parametros_manuales!$G$20*('Plan mensual'!M82+IF(parametros_manuales!$H$20="Todos",'Plan mensual'!M86,0)))*parametros_manuales!$I$20*parametros_manuales!$J$20</f>
        <v>4658.143332675</v>
      </c>
      <c r="L192" s="9" t="n">
        <f aca="false">(parametros_manuales!$D$20*('Plan mensual'!N79+IF(parametros_manuales!$H$20="Todos",'Plan mensual'!N83,0))+parametros_manuales!$E$20*('Plan mensual'!N80+IF(parametros_manuales!$H$20="Todos",'Plan mensual'!N84,0))+parametros_manuales!$F$20*('Plan mensual'!N81+IF(parametros_manuales!$H$20="Todos",'Plan mensual'!N85,0))+parametros_manuales!$G$20*('Plan mensual'!N82+IF(parametros_manuales!$H$20="Todos",'Plan mensual'!N86,0)))*parametros_manuales!$I$20*parametros_manuales!$J$20</f>
        <v>4347.60044383</v>
      </c>
      <c r="M192" s="9" t="n">
        <f aca="false">(parametros_manuales!$D$20*('Plan mensual'!O79+IF(parametros_manuales!$H$20="Todos",'Plan mensual'!O83,0))+parametros_manuales!$E$20*('Plan mensual'!O80+IF(parametros_manuales!$H$20="Todos",'Plan mensual'!O84,0))+parametros_manuales!$F$20*('Plan mensual'!O81+IF(parametros_manuales!$H$20="Todos",'Plan mensual'!O85,0))+parametros_manuales!$G$20*('Plan mensual'!O82+IF(parametros_manuales!$H$20="Todos",'Plan mensual'!O86,0)))*parametros_manuales!$I$20*parametros_manuales!$J$20</f>
        <v>6831.94355459</v>
      </c>
      <c r="N192" s="9" t="n">
        <f aca="false">SUM(B192:M192)</f>
        <v>62108.577769</v>
      </c>
      <c r="O192" s="9" t="n">
        <f aca="false">MAX(B192:M192)</f>
        <v>6831.94355459</v>
      </c>
      <c r="P192" s="43" t="n">
        <f aca="false">O192/(parametros_manuales!$B$7)</f>
        <v>45.5462903639333</v>
      </c>
      <c r="Q192" s="8" t="str">
        <f aca="false">IF(O192=0,"-",INDEX($B$190:$M$190,MATCH(O192,B192:M192,0)))</f>
        <v>Dic</v>
      </c>
    </row>
    <row r="193" customFormat="false" ht="14.25" hidden="false" customHeight="true" outlineLevel="0" collapsed="false">
      <c r="A193" s="8" t="str">
        <f aca="false">parametros_manuales!$B$21</f>
        <v>Corte de tubo — 1 kg</v>
      </c>
      <c r="B193" s="9" t="n">
        <f aca="false">(parametros_manuales!$D$21*('Plan mensual'!D79+IF(parametros_manuales!$H$21="Todos",'Plan mensual'!D83,0))+parametros_manuales!$E$21*('Plan mensual'!D80+IF(parametros_manuales!$H$21="Todos",'Plan mensual'!D84,0))+parametros_manuales!$F$21*('Plan mensual'!D81+IF(parametros_manuales!$H$21="Todos",'Plan mensual'!D85,0))+parametros_manuales!$G$21*('Plan mensual'!D82+IF(parametros_manuales!$H$21="Todos",'Plan mensual'!D86,0)))*parametros_manuales!$I$21*parametros_manuales!$J$21</f>
        <v>18735.9694176</v>
      </c>
      <c r="C193" s="9" t="n">
        <f aca="false">(parametros_manuales!$D$21*('Plan mensual'!E79+IF(parametros_manuales!$H$21="Todos",'Plan mensual'!E83,0))+parametros_manuales!$E$21*('Plan mensual'!E80+IF(parametros_manuales!$H$21="Todos",'Plan mensual'!E84,0))+parametros_manuales!$F$21*('Plan mensual'!E81+IF(parametros_manuales!$H$21="Todos",'Plan mensual'!E85,0))+parametros_manuales!$G$21*('Plan mensual'!E82+IF(parametros_manuales!$H$21="Todos",'Plan mensual'!E86,0)))*parametros_manuales!$I$21*parametros_manuales!$J$21</f>
        <v>14051.9770632</v>
      </c>
      <c r="D193" s="9" t="n">
        <f aca="false">(parametros_manuales!$D$21*('Plan mensual'!F79+IF(parametros_manuales!$H$21="Todos",'Plan mensual'!F83,0))+parametros_manuales!$E$21*('Plan mensual'!F80+IF(parametros_manuales!$H$21="Todos",'Plan mensual'!F84,0))+parametros_manuales!$F$21*('Plan mensual'!F81+IF(parametros_manuales!$H$21="Todos",'Plan mensual'!F85,0))+parametros_manuales!$G$21*('Plan mensual'!F82+IF(parametros_manuales!$H$21="Todos",'Plan mensual'!F86,0)))*parametros_manuales!$I$21*parametros_manuales!$J$21</f>
        <v>12490.6462784</v>
      </c>
      <c r="E193" s="9" t="n">
        <f aca="false">(parametros_manuales!$D$21*('Plan mensual'!G79+IF(parametros_manuales!$H$21="Todos",'Plan mensual'!G83,0))+parametros_manuales!$E$21*('Plan mensual'!G80+IF(parametros_manuales!$H$21="Todos",'Plan mensual'!G84,0))+parametros_manuales!$F$21*('Plan mensual'!G81+IF(parametros_manuales!$H$21="Todos",'Plan mensual'!G85,0))+parametros_manuales!$G$21*('Plan mensual'!G82+IF(parametros_manuales!$H$21="Todos",'Plan mensual'!G86,0)))*parametros_manuales!$I$21*parametros_manuales!$J$21</f>
        <v>11709.980886</v>
      </c>
      <c r="F193" s="9" t="n">
        <f aca="false">(parametros_manuales!$D$21*('Plan mensual'!H79+IF(parametros_manuales!$H$21="Todos",'Plan mensual'!H83,0))+parametros_manuales!$E$21*('Plan mensual'!H80+IF(parametros_manuales!$H$21="Todos",'Plan mensual'!H84,0))+parametros_manuales!$F$21*('Plan mensual'!H81+IF(parametros_manuales!$H$21="Todos",'Plan mensual'!H85,0))+parametros_manuales!$G$21*('Plan mensual'!H82+IF(parametros_manuales!$H$21="Todos",'Plan mensual'!H86,0)))*parametros_manuales!$I$21*parametros_manuales!$J$21</f>
        <v>10929.3154936</v>
      </c>
      <c r="G193" s="9" t="n">
        <f aca="false">(parametros_manuales!$D$21*('Plan mensual'!I79+IF(parametros_manuales!$H$21="Todos",'Plan mensual'!I83,0))+parametros_manuales!$E$21*('Plan mensual'!I80+IF(parametros_manuales!$H$21="Todos",'Plan mensual'!I84,0))+parametros_manuales!$F$21*('Plan mensual'!I81+IF(parametros_manuales!$H$21="Todos",'Plan mensual'!I85,0))+parametros_manuales!$G$21*('Plan mensual'!I82+IF(parametros_manuales!$H$21="Todos",'Plan mensual'!I86,0)))*parametros_manuales!$I$21*parametros_manuales!$J$21</f>
        <v>10929.3154936</v>
      </c>
      <c r="H193" s="9" t="n">
        <f aca="false">(parametros_manuales!$D$21*('Plan mensual'!J79+IF(parametros_manuales!$H$21="Todos",'Plan mensual'!J83,0))+parametros_manuales!$E$21*('Plan mensual'!J80+IF(parametros_manuales!$H$21="Todos",'Plan mensual'!J84,0))+parametros_manuales!$F$21*('Plan mensual'!J81+IF(parametros_manuales!$H$21="Todos",'Plan mensual'!J85,0))+parametros_manuales!$G$21*('Plan mensual'!J82+IF(parametros_manuales!$H$21="Todos",'Plan mensual'!J86,0)))*parametros_manuales!$I$21*parametros_manuales!$J$21</f>
        <v>11709.980886</v>
      </c>
      <c r="I193" s="9" t="n">
        <f aca="false">(parametros_manuales!$D$21*('Plan mensual'!K79+IF(parametros_manuales!$H$21="Todos",'Plan mensual'!K83,0))+parametros_manuales!$E$21*('Plan mensual'!K80+IF(parametros_manuales!$H$21="Todos",'Plan mensual'!K84,0))+parametros_manuales!$F$21*('Plan mensual'!K81+IF(parametros_manuales!$H$21="Todos",'Plan mensual'!K85,0))+parametros_manuales!$G$21*('Plan mensual'!K82+IF(parametros_manuales!$H$21="Todos",'Plan mensual'!K86,0)))*parametros_manuales!$I$21*parametros_manuales!$J$21</f>
        <v>11709.980886</v>
      </c>
      <c r="J193" s="9" t="n">
        <f aca="false">(parametros_manuales!$D$21*('Plan mensual'!L79+IF(parametros_manuales!$H$21="Todos",'Plan mensual'!L83,0))+parametros_manuales!$E$21*('Plan mensual'!L80+IF(parametros_manuales!$H$21="Todos",'Plan mensual'!L84,0))+parametros_manuales!$F$21*('Plan mensual'!L81+IF(parametros_manuales!$H$21="Todos",'Plan mensual'!L85,0))+parametros_manuales!$G$21*('Plan mensual'!L82+IF(parametros_manuales!$H$21="Todos",'Plan mensual'!L86,0)))*parametros_manuales!$I$21*parametros_manuales!$J$21</f>
        <v>11709.980886</v>
      </c>
      <c r="K193" s="9" t="n">
        <f aca="false">(parametros_manuales!$D$21*('Plan mensual'!M79+IF(parametros_manuales!$H$21="Todos",'Plan mensual'!M83,0))+parametros_manuales!$E$21*('Plan mensual'!M80+IF(parametros_manuales!$H$21="Todos",'Plan mensual'!M84,0))+parametros_manuales!$F$21*('Plan mensual'!M81+IF(parametros_manuales!$H$21="Todos",'Plan mensual'!M85,0))+parametros_manuales!$G$21*('Plan mensual'!M82+IF(parametros_manuales!$H$21="Todos",'Plan mensual'!M86,0)))*parametros_manuales!$I$21*parametros_manuales!$J$21</f>
        <v>11709.980886</v>
      </c>
      <c r="L193" s="9" t="n">
        <f aca="false">(parametros_manuales!$D$21*('Plan mensual'!N79+IF(parametros_manuales!$H$21="Todos",'Plan mensual'!N83,0))+parametros_manuales!$E$21*('Plan mensual'!N80+IF(parametros_manuales!$H$21="Todos",'Plan mensual'!N84,0))+parametros_manuales!$F$21*('Plan mensual'!N81+IF(parametros_manuales!$H$21="Todos",'Plan mensual'!N85,0))+parametros_manuales!$G$21*('Plan mensual'!N82+IF(parametros_manuales!$H$21="Todos",'Plan mensual'!N86,0)))*parametros_manuales!$I$21*parametros_manuales!$J$21</f>
        <v>11709.980886</v>
      </c>
      <c r="M193" s="9" t="n">
        <f aca="false">(parametros_manuales!$D$21*('Plan mensual'!O79+IF(parametros_manuales!$H$21="Todos",'Plan mensual'!O83,0))+parametros_manuales!$E$21*('Plan mensual'!O80+IF(parametros_manuales!$H$21="Todos",'Plan mensual'!O84,0))+parametros_manuales!$F$21*('Plan mensual'!O81+IF(parametros_manuales!$H$21="Todos",'Plan mensual'!O85,0))+parametros_manuales!$G$21*('Plan mensual'!O82+IF(parametros_manuales!$H$21="Todos",'Plan mensual'!O86,0)))*parametros_manuales!$I$21*parametros_manuales!$J$21</f>
        <v>18735.9694176</v>
      </c>
      <c r="N193" s="9" t="n">
        <f aca="false">SUM(B193:M193)</f>
        <v>156133.07848</v>
      </c>
      <c r="O193" s="9" t="n">
        <f aca="false">MAX(B193:M193)</f>
        <v>18735.9694176</v>
      </c>
      <c r="P193" s="43" t="n">
        <f aca="false">O193/(parametros_manuales!$B$7)</f>
        <v>124.906462784</v>
      </c>
      <c r="Q193" s="8" t="str">
        <f aca="false">IF(O193=0,"-",INDEX($B$190:$M$190,MATCH(O193,B193:M193,0)))</f>
        <v>Ene</v>
      </c>
    </row>
    <row r="194" customFormat="false" ht="14.25" hidden="false" customHeight="true" outlineLevel="0" collapsed="false">
      <c r="A194" s="8" t="str">
        <f aca="false">parametros_manuales!$B$22</f>
        <v>Corte de disco y embutido (cúpula y fondo)</v>
      </c>
      <c r="B194" s="9" t="n">
        <f aca="false">(parametros_manuales!$D$22*('Plan mensual'!D79+IF(parametros_manuales!$H$22="Todos",'Plan mensual'!D83,0))+parametros_manuales!$E$22*('Plan mensual'!D80+IF(parametros_manuales!$H$22="Todos",'Plan mensual'!D84,0))+parametros_manuales!$F$22*('Plan mensual'!D81+IF(parametros_manuales!$H$22="Todos",'Plan mensual'!D85,0))+parametros_manuales!$G$22*('Plan mensual'!D82+IF(parametros_manuales!$H$22="Todos",'Plan mensual'!D86,0)))*parametros_manuales!$I$22*parametros_manuales!$J$22</f>
        <v>49893.654389</v>
      </c>
      <c r="C194" s="9" t="n">
        <f aca="false">(parametros_manuales!$D$22*('Plan mensual'!E79+IF(parametros_manuales!$H$22="Todos",'Plan mensual'!E83,0))+parametros_manuales!$E$22*('Plan mensual'!E80+IF(parametros_manuales!$H$22="Todos",'Plan mensual'!E84,0))+parametros_manuales!$F$22*('Plan mensual'!E81+IF(parametros_manuales!$H$22="Todos",'Plan mensual'!E85,0))+parametros_manuales!$G$22*('Plan mensual'!E82+IF(parametros_manuales!$H$22="Todos",'Plan mensual'!E86,0)))*parametros_manuales!$I$22*parametros_manuales!$J$22</f>
        <v>38041.32656944</v>
      </c>
      <c r="D194" s="9" t="n">
        <f aca="false">(parametros_manuales!$D$22*('Plan mensual'!F79+IF(parametros_manuales!$H$22="Todos",'Plan mensual'!F83,0))+parametros_manuales!$E$22*('Plan mensual'!F80+IF(parametros_manuales!$H$22="Todos",'Plan mensual'!F84,0))+parametros_manuales!$F$22*('Plan mensual'!F81+IF(parametros_manuales!$H$22="Todos",'Plan mensual'!F85,0))+parametros_manuales!$G$22*('Plan mensual'!F82+IF(parametros_manuales!$H$22="Todos",'Plan mensual'!F86,0)))*parametros_manuales!$I$22*parametros_manuales!$J$22</f>
        <v>35539.75077753</v>
      </c>
      <c r="E194" s="9" t="n">
        <f aca="false">(parametros_manuales!$D$22*('Plan mensual'!G79+IF(parametros_manuales!$H$22="Todos",'Plan mensual'!G83,0))+parametros_manuales!$E$22*('Plan mensual'!G80+IF(parametros_manuales!$H$22="Todos",'Plan mensual'!G84,0))+parametros_manuales!$F$22*('Plan mensual'!G81+IF(parametros_manuales!$H$22="Todos",'Plan mensual'!G85,0))+parametros_manuales!$G$22*('Plan mensual'!G82+IF(parametros_manuales!$H$22="Todos",'Plan mensual'!G86,0)))*parametros_manuales!$I$22*parametros_manuales!$J$22</f>
        <v>33978.41999273</v>
      </c>
      <c r="F194" s="9" t="n">
        <f aca="false">(parametros_manuales!$D$22*('Plan mensual'!H79+IF(parametros_manuales!$H$22="Todos",'Plan mensual'!H83,0))+parametros_manuales!$E$22*('Plan mensual'!H80+IF(parametros_manuales!$H$22="Todos",'Plan mensual'!H84,0))+parametros_manuales!$F$22*('Plan mensual'!H81+IF(parametros_manuales!$H$22="Todos",'Plan mensual'!H85,0))+parametros_manuales!$G$22*('Plan mensual'!H82+IF(parametros_manuales!$H$22="Todos",'Plan mensual'!H86,0)))*parametros_manuales!$I$22*parametros_manuales!$J$22</f>
        <v>31796.00343024</v>
      </c>
      <c r="G194" s="9" t="n">
        <f aca="false">(parametros_manuales!$D$22*('Plan mensual'!I79+IF(parametros_manuales!$H$22="Todos",'Plan mensual'!I83,0))+parametros_manuales!$E$22*('Plan mensual'!I80+IF(parametros_manuales!$H$22="Todos",'Plan mensual'!I84,0))+parametros_manuales!$F$22*('Plan mensual'!I81+IF(parametros_manuales!$H$22="Todos",'Plan mensual'!I85,0))+parametros_manuales!$G$22*('Plan mensual'!I82+IF(parametros_manuales!$H$22="Todos",'Plan mensual'!I86,0)))*parametros_manuales!$I$22*parametros_manuales!$J$22</f>
        <v>31174.91765255</v>
      </c>
      <c r="H194" s="9" t="n">
        <f aca="false">(parametros_manuales!$D$22*('Plan mensual'!J79+IF(parametros_manuales!$H$22="Todos",'Plan mensual'!J83,0))+parametros_manuales!$E$22*('Plan mensual'!J80+IF(parametros_manuales!$H$22="Todos",'Plan mensual'!J84,0))+parametros_manuales!$F$22*('Plan mensual'!J81+IF(parametros_manuales!$H$22="Todos",'Plan mensual'!J85,0))+parametros_manuales!$G$22*('Plan mensual'!J82+IF(parametros_manuales!$H$22="Todos",'Plan mensual'!J86,0)))*parametros_manuales!$I$22*parametros_manuales!$J$22</f>
        <v>33357.33421504</v>
      </c>
      <c r="I194" s="9" t="n">
        <f aca="false">(parametros_manuales!$D$22*('Plan mensual'!K79+IF(parametros_manuales!$H$22="Todos",'Plan mensual'!K83,0))+parametros_manuales!$E$22*('Plan mensual'!K80+IF(parametros_manuales!$H$22="Todos",'Plan mensual'!K84,0))+parametros_manuales!$F$22*('Plan mensual'!K81+IF(parametros_manuales!$H$22="Todos",'Plan mensual'!K85,0))+parametros_manuales!$G$22*('Plan mensual'!K82+IF(parametros_manuales!$H$22="Todos",'Plan mensual'!K86,0)))*parametros_manuales!$I$22*parametros_manuales!$J$22</f>
        <v>33357.33421504</v>
      </c>
      <c r="J194" s="9" t="n">
        <f aca="false">(parametros_manuales!$D$22*('Plan mensual'!L79+IF(parametros_manuales!$H$22="Todos",'Plan mensual'!L83,0))+parametros_manuales!$E$22*('Plan mensual'!L80+IF(parametros_manuales!$H$22="Todos",'Plan mensual'!L84,0))+parametros_manuales!$F$22*('Plan mensual'!L81+IF(parametros_manuales!$H$22="Todos",'Plan mensual'!L85,0))+parametros_manuales!$G$22*('Plan mensual'!L82+IF(parametros_manuales!$H$22="Todos",'Plan mensual'!L86,0)))*parametros_manuales!$I$22*parametros_manuales!$J$22</f>
        <v>33357.33421504</v>
      </c>
      <c r="K194" s="9" t="n">
        <f aca="false">(parametros_manuales!$D$22*('Plan mensual'!M79+IF(parametros_manuales!$H$22="Todos",'Plan mensual'!M83,0))+parametros_manuales!$E$22*('Plan mensual'!M80+IF(parametros_manuales!$H$22="Todos",'Plan mensual'!M84,0))+parametros_manuales!$F$22*('Plan mensual'!M81+IF(parametros_manuales!$H$22="Todos",'Plan mensual'!M85,0))+parametros_manuales!$G$22*('Plan mensual'!M82+IF(parametros_manuales!$H$22="Todos",'Plan mensual'!M86,0)))*parametros_manuales!$I$22*parametros_manuales!$J$22</f>
        <v>32736.24843735</v>
      </c>
      <c r="L194" s="9" t="n">
        <f aca="false">(parametros_manuales!$D$22*('Plan mensual'!N79+IF(parametros_manuales!$H$22="Todos",'Plan mensual'!N83,0))+parametros_manuales!$E$22*('Plan mensual'!N80+IF(parametros_manuales!$H$22="Todos",'Plan mensual'!N84,0))+parametros_manuales!$F$22*('Plan mensual'!N81+IF(parametros_manuales!$H$22="Todos",'Plan mensual'!N85,0))+parametros_manuales!$G$22*('Plan mensual'!N82+IF(parametros_manuales!$H$22="Todos",'Plan mensual'!N86,0)))*parametros_manuales!$I$22*parametros_manuales!$J$22</f>
        <v>32115.16265966</v>
      </c>
      <c r="M194" s="9" t="n">
        <f aca="false">(parametros_manuales!$D$22*('Plan mensual'!O79+IF(parametros_manuales!$H$22="Todos",'Plan mensual'!O83,0))+parametros_manuales!$E$22*('Plan mensual'!O80+IF(parametros_manuales!$H$22="Todos",'Plan mensual'!O84,0))+parametros_manuales!$F$22*('Plan mensual'!O81+IF(parametros_manuales!$H$22="Todos",'Plan mensual'!O85,0))+parametros_manuales!$G$22*('Plan mensual'!O82+IF(parametros_manuales!$H$22="Todos",'Plan mensual'!O86,0)))*parametros_manuales!$I$22*parametros_manuales!$J$22</f>
        <v>51135.82594438</v>
      </c>
      <c r="N194" s="9" t="n">
        <f aca="false">SUM(B194:M194)</f>
        <v>436483.312498</v>
      </c>
      <c r="O194" s="9" t="n">
        <f aca="false">MAX(B194:M194)</f>
        <v>51135.82594438</v>
      </c>
      <c r="P194" s="43" t="n">
        <f aca="false">O194/(parametros_manuales!$B$7)</f>
        <v>340.905506295867</v>
      </c>
      <c r="Q194" s="8" t="str">
        <f aca="false">IF(O194=0,"-",INDEX($B$190:$M$190,MATCH(O194,B194:M194,0)))</f>
        <v>Dic</v>
      </c>
    </row>
    <row r="195" customFormat="false" ht="14.25" hidden="false" customHeight="true" outlineLevel="0" collapsed="false">
      <c r="A195" s="8" t="str">
        <f aca="false">parametros_manuales!$B$23</f>
        <v>Preparación de cuello</v>
      </c>
      <c r="B195" s="9" t="n">
        <f aca="false">(parametros_manuales!$D$23*('Plan mensual'!D79+IF(parametros_manuales!$H$23="Todos",'Plan mensual'!D83,0))+parametros_manuales!$E$23*('Plan mensual'!D80+IF(parametros_manuales!$H$23="Todos",'Plan mensual'!D84,0))+parametros_manuales!$F$23*('Plan mensual'!D81+IF(parametros_manuales!$H$23="Todos",'Plan mensual'!D85,0))+parametros_manuales!$G$23*('Plan mensual'!D82+IF(parametros_manuales!$H$23="Todos",'Plan mensual'!D86,0)))*parametros_manuales!$I$23*parametros_manuales!$J$23</f>
        <v>24946.8271945</v>
      </c>
      <c r="C195" s="9" t="n">
        <f aca="false">(parametros_manuales!$D$23*('Plan mensual'!E79+IF(parametros_manuales!$H$23="Todos",'Plan mensual'!E83,0))+parametros_manuales!$E$23*('Plan mensual'!E80+IF(parametros_manuales!$H$23="Todos",'Plan mensual'!E84,0))+parametros_manuales!$F$23*('Plan mensual'!E81+IF(parametros_manuales!$H$23="Todos",'Plan mensual'!E85,0))+parametros_manuales!$G$23*('Plan mensual'!E82+IF(parametros_manuales!$H$23="Todos",'Plan mensual'!E86,0)))*parametros_manuales!$I$23*parametros_manuales!$J$23</f>
        <v>19020.66328472</v>
      </c>
      <c r="D195" s="9" t="n">
        <f aca="false">(parametros_manuales!$D$23*('Plan mensual'!F79+IF(parametros_manuales!$H$23="Todos",'Plan mensual'!F83,0))+parametros_manuales!$E$23*('Plan mensual'!F80+IF(parametros_manuales!$H$23="Todos",'Plan mensual'!F84,0))+parametros_manuales!$F$23*('Plan mensual'!F81+IF(parametros_manuales!$H$23="Todos",'Plan mensual'!F85,0))+parametros_manuales!$G$23*('Plan mensual'!F82+IF(parametros_manuales!$H$23="Todos",'Plan mensual'!F86,0)))*parametros_manuales!$I$23*parametros_manuales!$J$23</f>
        <v>17769.875388765</v>
      </c>
      <c r="E195" s="9" t="n">
        <f aca="false">(parametros_manuales!$D$23*('Plan mensual'!G79+IF(parametros_manuales!$H$23="Todos",'Plan mensual'!G83,0))+parametros_manuales!$E$23*('Plan mensual'!G80+IF(parametros_manuales!$H$23="Todos",'Plan mensual'!G84,0))+parametros_manuales!$F$23*('Plan mensual'!G81+IF(parametros_manuales!$H$23="Todos",'Plan mensual'!G85,0))+parametros_manuales!$G$23*('Plan mensual'!G82+IF(parametros_manuales!$H$23="Todos",'Plan mensual'!G86,0)))*parametros_manuales!$I$23*parametros_manuales!$J$23</f>
        <v>16989.209996365</v>
      </c>
      <c r="F195" s="9" t="n">
        <f aca="false">(parametros_manuales!$D$23*('Plan mensual'!H79+IF(parametros_manuales!$H$23="Todos",'Plan mensual'!H83,0))+parametros_manuales!$E$23*('Plan mensual'!H80+IF(parametros_manuales!$H$23="Todos",'Plan mensual'!H84,0))+parametros_manuales!$F$23*('Plan mensual'!H81+IF(parametros_manuales!$H$23="Todos",'Plan mensual'!H85,0))+parametros_manuales!$G$23*('Plan mensual'!H82+IF(parametros_manuales!$H$23="Todos",'Plan mensual'!H86,0)))*parametros_manuales!$I$23*parametros_manuales!$J$23</f>
        <v>15898.00171512</v>
      </c>
      <c r="G195" s="9" t="n">
        <f aca="false">(parametros_manuales!$D$23*('Plan mensual'!I79+IF(parametros_manuales!$H$23="Todos",'Plan mensual'!I83,0))+parametros_manuales!$E$23*('Plan mensual'!I80+IF(parametros_manuales!$H$23="Todos",'Plan mensual'!I84,0))+parametros_manuales!$F$23*('Plan mensual'!I81+IF(parametros_manuales!$H$23="Todos",'Plan mensual'!I85,0))+parametros_manuales!$G$23*('Plan mensual'!I82+IF(parametros_manuales!$H$23="Todos",'Plan mensual'!I86,0)))*parametros_manuales!$I$23*parametros_manuales!$J$23</f>
        <v>15587.458826275</v>
      </c>
      <c r="H195" s="9" t="n">
        <f aca="false">(parametros_manuales!$D$23*('Plan mensual'!J79+IF(parametros_manuales!$H$23="Todos",'Plan mensual'!J83,0))+parametros_manuales!$E$23*('Plan mensual'!J80+IF(parametros_manuales!$H$23="Todos",'Plan mensual'!J84,0))+parametros_manuales!$F$23*('Plan mensual'!J81+IF(parametros_manuales!$H$23="Todos",'Plan mensual'!J85,0))+parametros_manuales!$G$23*('Plan mensual'!J82+IF(parametros_manuales!$H$23="Todos",'Plan mensual'!J86,0)))*parametros_manuales!$I$23*parametros_manuales!$J$23</f>
        <v>16678.66710752</v>
      </c>
      <c r="I195" s="9" t="n">
        <f aca="false">(parametros_manuales!$D$23*('Plan mensual'!K79+IF(parametros_manuales!$H$23="Todos",'Plan mensual'!K83,0))+parametros_manuales!$E$23*('Plan mensual'!K80+IF(parametros_manuales!$H$23="Todos",'Plan mensual'!K84,0))+parametros_manuales!$F$23*('Plan mensual'!K81+IF(parametros_manuales!$H$23="Todos",'Plan mensual'!K85,0))+parametros_manuales!$G$23*('Plan mensual'!K82+IF(parametros_manuales!$H$23="Todos",'Plan mensual'!K86,0)))*parametros_manuales!$I$23*parametros_manuales!$J$23</f>
        <v>16678.66710752</v>
      </c>
      <c r="J195" s="9" t="n">
        <f aca="false">(parametros_manuales!$D$23*('Plan mensual'!L79+IF(parametros_manuales!$H$23="Todos",'Plan mensual'!L83,0))+parametros_manuales!$E$23*('Plan mensual'!L80+IF(parametros_manuales!$H$23="Todos",'Plan mensual'!L84,0))+parametros_manuales!$F$23*('Plan mensual'!L81+IF(parametros_manuales!$H$23="Todos",'Plan mensual'!L85,0))+parametros_manuales!$G$23*('Plan mensual'!L82+IF(parametros_manuales!$H$23="Todos",'Plan mensual'!L86,0)))*parametros_manuales!$I$23*parametros_manuales!$J$23</f>
        <v>16678.66710752</v>
      </c>
      <c r="K195" s="9" t="n">
        <f aca="false">(parametros_manuales!$D$23*('Plan mensual'!M79+IF(parametros_manuales!$H$23="Todos",'Plan mensual'!M83,0))+parametros_manuales!$E$23*('Plan mensual'!M80+IF(parametros_manuales!$H$23="Todos",'Plan mensual'!M84,0))+parametros_manuales!$F$23*('Plan mensual'!M81+IF(parametros_manuales!$H$23="Todos",'Plan mensual'!M85,0))+parametros_manuales!$G$23*('Plan mensual'!M82+IF(parametros_manuales!$H$23="Todos",'Plan mensual'!M86,0)))*parametros_manuales!$I$23*parametros_manuales!$J$23</f>
        <v>16368.124218675</v>
      </c>
      <c r="L195" s="9" t="n">
        <f aca="false">(parametros_manuales!$D$23*('Plan mensual'!N79+IF(parametros_manuales!$H$23="Todos",'Plan mensual'!N83,0))+parametros_manuales!$E$23*('Plan mensual'!N80+IF(parametros_manuales!$H$23="Todos",'Plan mensual'!N84,0))+parametros_manuales!$F$23*('Plan mensual'!N81+IF(parametros_manuales!$H$23="Todos",'Plan mensual'!N85,0))+parametros_manuales!$G$23*('Plan mensual'!N82+IF(parametros_manuales!$H$23="Todos",'Plan mensual'!N86,0)))*parametros_manuales!$I$23*parametros_manuales!$J$23</f>
        <v>16057.58132983</v>
      </c>
      <c r="M195" s="9" t="n">
        <f aca="false">(parametros_manuales!$D$23*('Plan mensual'!O79+IF(parametros_manuales!$H$23="Todos",'Plan mensual'!O83,0))+parametros_manuales!$E$23*('Plan mensual'!O80+IF(parametros_manuales!$H$23="Todos",'Plan mensual'!O84,0))+parametros_manuales!$F$23*('Plan mensual'!O81+IF(parametros_manuales!$H$23="Todos",'Plan mensual'!O85,0))+parametros_manuales!$G$23*('Plan mensual'!O82+IF(parametros_manuales!$H$23="Todos",'Plan mensual'!O86,0)))*parametros_manuales!$I$23*parametros_manuales!$J$23</f>
        <v>25567.91297219</v>
      </c>
      <c r="N195" s="9" t="n">
        <f aca="false">SUM(B195:M195)</f>
        <v>218241.656249</v>
      </c>
      <c r="O195" s="9" t="n">
        <f aca="false">MAX(B195:M195)</f>
        <v>25567.91297219</v>
      </c>
      <c r="P195" s="43" t="n">
        <f aca="false">O195/(parametros_manuales!$B$7)</f>
        <v>170.452753147933</v>
      </c>
      <c r="Q195" s="8" t="str">
        <f aca="false">IF(O195=0,"-",INDEX($B$190:$M$190,MATCH(O195,B195:M195,0)))</f>
        <v>Dic</v>
      </c>
    </row>
    <row r="196" customFormat="false" ht="14.25" hidden="false" customHeight="true" outlineLevel="0" collapsed="false">
      <c r="A196" s="8" t="str">
        <f aca="false">parametros_manuales!$B$24</f>
        <v>Numerado de cúpula</v>
      </c>
      <c r="B196" s="9" t="n">
        <f aca="false">(parametros_manuales!$D$24*('Plan mensual'!D79+IF(parametros_manuales!$H$24="Todos",'Plan mensual'!D83,0))+parametros_manuales!$E$24*('Plan mensual'!D80+IF(parametros_manuales!$H$24="Todos",'Plan mensual'!D84,0))+parametros_manuales!$F$24*('Plan mensual'!D81+IF(parametros_manuales!$H$24="Todos",'Plan mensual'!D85,0))+parametros_manuales!$G$24*('Plan mensual'!D82+IF(parametros_manuales!$H$24="Todos",'Plan mensual'!D86,0)))*parametros_manuales!$I$24*parametros_manuales!$J$24</f>
        <v>24946.8271945</v>
      </c>
      <c r="C196" s="9" t="n">
        <f aca="false">(parametros_manuales!$D$24*('Plan mensual'!E79+IF(parametros_manuales!$H$24="Todos",'Plan mensual'!E83,0))+parametros_manuales!$E$24*('Plan mensual'!E80+IF(parametros_manuales!$H$24="Todos",'Plan mensual'!E84,0))+parametros_manuales!$F$24*('Plan mensual'!E81+IF(parametros_manuales!$H$24="Todos",'Plan mensual'!E85,0))+parametros_manuales!$G$24*('Plan mensual'!E82+IF(parametros_manuales!$H$24="Todos",'Plan mensual'!E86,0)))*parametros_manuales!$I$24*parametros_manuales!$J$24</f>
        <v>19020.66328472</v>
      </c>
      <c r="D196" s="9" t="n">
        <f aca="false">(parametros_manuales!$D$24*('Plan mensual'!F79+IF(parametros_manuales!$H$24="Todos",'Plan mensual'!F83,0))+parametros_manuales!$E$24*('Plan mensual'!F80+IF(parametros_manuales!$H$24="Todos",'Plan mensual'!F84,0))+parametros_manuales!$F$24*('Plan mensual'!F81+IF(parametros_manuales!$H$24="Todos",'Plan mensual'!F85,0))+parametros_manuales!$G$24*('Plan mensual'!F82+IF(parametros_manuales!$H$24="Todos",'Plan mensual'!F86,0)))*parametros_manuales!$I$24*parametros_manuales!$J$24</f>
        <v>17769.875388765</v>
      </c>
      <c r="E196" s="9" t="n">
        <f aca="false">(parametros_manuales!$D$24*('Plan mensual'!G79+IF(parametros_manuales!$H$24="Todos",'Plan mensual'!G83,0))+parametros_manuales!$E$24*('Plan mensual'!G80+IF(parametros_manuales!$H$24="Todos",'Plan mensual'!G84,0))+parametros_manuales!$F$24*('Plan mensual'!G81+IF(parametros_manuales!$H$24="Todos",'Plan mensual'!G85,0))+parametros_manuales!$G$24*('Plan mensual'!G82+IF(parametros_manuales!$H$24="Todos",'Plan mensual'!G86,0)))*parametros_manuales!$I$24*parametros_manuales!$J$24</f>
        <v>16989.209996365</v>
      </c>
      <c r="F196" s="9" t="n">
        <f aca="false">(parametros_manuales!$D$24*('Plan mensual'!H79+IF(parametros_manuales!$H$24="Todos",'Plan mensual'!H83,0))+parametros_manuales!$E$24*('Plan mensual'!H80+IF(parametros_manuales!$H$24="Todos",'Plan mensual'!H84,0))+parametros_manuales!$F$24*('Plan mensual'!H81+IF(parametros_manuales!$H$24="Todos",'Plan mensual'!H85,0))+parametros_manuales!$G$24*('Plan mensual'!H82+IF(parametros_manuales!$H$24="Todos",'Plan mensual'!H86,0)))*parametros_manuales!$I$24*parametros_manuales!$J$24</f>
        <v>15898.00171512</v>
      </c>
      <c r="G196" s="9" t="n">
        <f aca="false">(parametros_manuales!$D$24*('Plan mensual'!I79+IF(parametros_manuales!$H$24="Todos",'Plan mensual'!I83,0))+parametros_manuales!$E$24*('Plan mensual'!I80+IF(parametros_manuales!$H$24="Todos",'Plan mensual'!I84,0))+parametros_manuales!$F$24*('Plan mensual'!I81+IF(parametros_manuales!$H$24="Todos",'Plan mensual'!I85,0))+parametros_manuales!$G$24*('Plan mensual'!I82+IF(parametros_manuales!$H$24="Todos",'Plan mensual'!I86,0)))*parametros_manuales!$I$24*parametros_manuales!$J$24</f>
        <v>15587.458826275</v>
      </c>
      <c r="H196" s="9" t="n">
        <f aca="false">(parametros_manuales!$D$24*('Plan mensual'!J79+IF(parametros_manuales!$H$24="Todos",'Plan mensual'!J83,0))+parametros_manuales!$E$24*('Plan mensual'!J80+IF(parametros_manuales!$H$24="Todos",'Plan mensual'!J84,0))+parametros_manuales!$F$24*('Plan mensual'!J81+IF(parametros_manuales!$H$24="Todos",'Plan mensual'!J85,0))+parametros_manuales!$G$24*('Plan mensual'!J82+IF(parametros_manuales!$H$24="Todos",'Plan mensual'!J86,0)))*parametros_manuales!$I$24*parametros_manuales!$J$24</f>
        <v>16678.66710752</v>
      </c>
      <c r="I196" s="9" t="n">
        <f aca="false">(parametros_manuales!$D$24*('Plan mensual'!K79+IF(parametros_manuales!$H$24="Todos",'Plan mensual'!K83,0))+parametros_manuales!$E$24*('Plan mensual'!K80+IF(parametros_manuales!$H$24="Todos",'Plan mensual'!K84,0))+parametros_manuales!$F$24*('Plan mensual'!K81+IF(parametros_manuales!$H$24="Todos",'Plan mensual'!K85,0))+parametros_manuales!$G$24*('Plan mensual'!K82+IF(parametros_manuales!$H$24="Todos",'Plan mensual'!K86,0)))*parametros_manuales!$I$24*parametros_manuales!$J$24</f>
        <v>16678.66710752</v>
      </c>
      <c r="J196" s="9" t="n">
        <f aca="false">(parametros_manuales!$D$24*('Plan mensual'!L79+IF(parametros_manuales!$H$24="Todos",'Plan mensual'!L83,0))+parametros_manuales!$E$24*('Plan mensual'!L80+IF(parametros_manuales!$H$24="Todos",'Plan mensual'!L84,0))+parametros_manuales!$F$24*('Plan mensual'!L81+IF(parametros_manuales!$H$24="Todos",'Plan mensual'!L85,0))+parametros_manuales!$G$24*('Plan mensual'!L82+IF(parametros_manuales!$H$24="Todos",'Plan mensual'!L86,0)))*parametros_manuales!$I$24*parametros_manuales!$J$24</f>
        <v>16678.66710752</v>
      </c>
      <c r="K196" s="9" t="n">
        <f aca="false">(parametros_manuales!$D$24*('Plan mensual'!M79+IF(parametros_manuales!$H$24="Todos",'Plan mensual'!M83,0))+parametros_manuales!$E$24*('Plan mensual'!M80+IF(parametros_manuales!$H$24="Todos",'Plan mensual'!M84,0))+parametros_manuales!$F$24*('Plan mensual'!M81+IF(parametros_manuales!$H$24="Todos",'Plan mensual'!M85,0))+parametros_manuales!$G$24*('Plan mensual'!M82+IF(parametros_manuales!$H$24="Todos",'Plan mensual'!M86,0)))*parametros_manuales!$I$24*parametros_manuales!$J$24</f>
        <v>16368.124218675</v>
      </c>
      <c r="L196" s="9" t="n">
        <f aca="false">(parametros_manuales!$D$24*('Plan mensual'!N79+IF(parametros_manuales!$H$24="Todos",'Plan mensual'!N83,0))+parametros_manuales!$E$24*('Plan mensual'!N80+IF(parametros_manuales!$H$24="Todos",'Plan mensual'!N84,0))+parametros_manuales!$F$24*('Plan mensual'!N81+IF(parametros_manuales!$H$24="Todos",'Plan mensual'!N85,0))+parametros_manuales!$G$24*('Plan mensual'!N82+IF(parametros_manuales!$H$24="Todos",'Plan mensual'!N86,0)))*parametros_manuales!$I$24*parametros_manuales!$J$24</f>
        <v>16057.58132983</v>
      </c>
      <c r="M196" s="9" t="n">
        <f aca="false">(parametros_manuales!$D$24*('Plan mensual'!O79+IF(parametros_manuales!$H$24="Todos",'Plan mensual'!O83,0))+parametros_manuales!$E$24*('Plan mensual'!O80+IF(parametros_manuales!$H$24="Todos",'Plan mensual'!O84,0))+parametros_manuales!$F$24*('Plan mensual'!O81+IF(parametros_manuales!$H$24="Todos",'Plan mensual'!O85,0))+parametros_manuales!$G$24*('Plan mensual'!O82+IF(parametros_manuales!$H$24="Todos",'Plan mensual'!O86,0)))*parametros_manuales!$I$24*parametros_manuales!$J$24</f>
        <v>25567.91297219</v>
      </c>
      <c r="N196" s="9" t="n">
        <f aca="false">SUM(B196:M196)</f>
        <v>218241.656249</v>
      </c>
      <c r="O196" s="9" t="n">
        <f aca="false">MAX(B196:M196)</f>
        <v>25567.91297219</v>
      </c>
      <c r="P196" s="43" t="n">
        <f aca="false">O196/(parametros_manuales!$B$7)</f>
        <v>170.452753147933</v>
      </c>
      <c r="Q196" s="8" t="str">
        <f aca="false">IF(O196=0,"-",INDEX($B$190:$M$190,MATCH(O196,B196:M196,0)))</f>
        <v>Dic</v>
      </c>
    </row>
    <row r="197" customFormat="false" ht="14.25" hidden="false" customHeight="true" outlineLevel="0" collapsed="false">
      <c r="A197" s="8" t="str">
        <f aca="false">parametros_manuales!$B$25</f>
        <v>Soldadura del cuello a la cúpula</v>
      </c>
      <c r="B197" s="9" t="n">
        <f aca="false">(parametros_manuales!$D$25*('Plan mensual'!D79+IF(parametros_manuales!$H$25="Todos",'Plan mensual'!D83,0))+parametros_manuales!$E$25*('Plan mensual'!D80+IF(parametros_manuales!$H$25="Todos",'Plan mensual'!D84,0))+parametros_manuales!$F$25*('Plan mensual'!D81+IF(parametros_manuales!$H$25="Todos",'Plan mensual'!D85,0))+parametros_manuales!$G$25*('Plan mensual'!D82+IF(parametros_manuales!$H$25="Todos",'Plan mensual'!D86,0)))*parametros_manuales!$I$25*parametros_manuales!$J$25</f>
        <v>24946.8271945</v>
      </c>
      <c r="C197" s="9" t="n">
        <f aca="false">(parametros_manuales!$D$25*('Plan mensual'!E79+IF(parametros_manuales!$H$25="Todos",'Plan mensual'!E83,0))+parametros_manuales!$E$25*('Plan mensual'!E80+IF(parametros_manuales!$H$25="Todos",'Plan mensual'!E84,0))+parametros_manuales!$F$25*('Plan mensual'!E81+IF(parametros_manuales!$H$25="Todos",'Plan mensual'!E85,0))+parametros_manuales!$G$25*('Plan mensual'!E82+IF(parametros_manuales!$H$25="Todos",'Plan mensual'!E86,0)))*parametros_manuales!$I$25*parametros_manuales!$J$25</f>
        <v>19020.66328472</v>
      </c>
      <c r="D197" s="9" t="n">
        <f aca="false">(parametros_manuales!$D$25*('Plan mensual'!F79+IF(parametros_manuales!$H$25="Todos",'Plan mensual'!F83,0))+parametros_manuales!$E$25*('Plan mensual'!F80+IF(parametros_manuales!$H$25="Todos",'Plan mensual'!F84,0))+parametros_manuales!$F$25*('Plan mensual'!F81+IF(parametros_manuales!$H$25="Todos",'Plan mensual'!F85,0))+parametros_manuales!$G$25*('Plan mensual'!F82+IF(parametros_manuales!$H$25="Todos",'Plan mensual'!F86,0)))*parametros_manuales!$I$25*parametros_manuales!$J$25</f>
        <v>17769.875388765</v>
      </c>
      <c r="E197" s="9" t="n">
        <f aca="false">(parametros_manuales!$D$25*('Plan mensual'!G79+IF(parametros_manuales!$H$25="Todos",'Plan mensual'!G83,0))+parametros_manuales!$E$25*('Plan mensual'!G80+IF(parametros_manuales!$H$25="Todos",'Plan mensual'!G84,0))+parametros_manuales!$F$25*('Plan mensual'!G81+IF(parametros_manuales!$H$25="Todos",'Plan mensual'!G85,0))+parametros_manuales!$G$25*('Plan mensual'!G82+IF(parametros_manuales!$H$25="Todos",'Plan mensual'!G86,0)))*parametros_manuales!$I$25*parametros_manuales!$J$25</f>
        <v>16989.209996365</v>
      </c>
      <c r="F197" s="9" t="n">
        <f aca="false">(parametros_manuales!$D$25*('Plan mensual'!H79+IF(parametros_manuales!$H$25="Todos",'Plan mensual'!H83,0))+parametros_manuales!$E$25*('Plan mensual'!H80+IF(parametros_manuales!$H$25="Todos",'Plan mensual'!H84,0))+parametros_manuales!$F$25*('Plan mensual'!H81+IF(parametros_manuales!$H$25="Todos",'Plan mensual'!H85,0))+parametros_manuales!$G$25*('Plan mensual'!H82+IF(parametros_manuales!$H$25="Todos",'Plan mensual'!H86,0)))*parametros_manuales!$I$25*parametros_manuales!$J$25</f>
        <v>15898.00171512</v>
      </c>
      <c r="G197" s="9" t="n">
        <f aca="false">(parametros_manuales!$D$25*('Plan mensual'!I79+IF(parametros_manuales!$H$25="Todos",'Plan mensual'!I83,0))+parametros_manuales!$E$25*('Plan mensual'!I80+IF(parametros_manuales!$H$25="Todos",'Plan mensual'!I84,0))+parametros_manuales!$F$25*('Plan mensual'!I81+IF(parametros_manuales!$H$25="Todos",'Plan mensual'!I85,0))+parametros_manuales!$G$25*('Plan mensual'!I82+IF(parametros_manuales!$H$25="Todos",'Plan mensual'!I86,0)))*parametros_manuales!$I$25*parametros_manuales!$J$25</f>
        <v>15587.458826275</v>
      </c>
      <c r="H197" s="9" t="n">
        <f aca="false">(parametros_manuales!$D$25*('Plan mensual'!J79+IF(parametros_manuales!$H$25="Todos",'Plan mensual'!J83,0))+parametros_manuales!$E$25*('Plan mensual'!J80+IF(parametros_manuales!$H$25="Todos",'Plan mensual'!J84,0))+parametros_manuales!$F$25*('Plan mensual'!J81+IF(parametros_manuales!$H$25="Todos",'Plan mensual'!J85,0))+parametros_manuales!$G$25*('Plan mensual'!J82+IF(parametros_manuales!$H$25="Todos",'Plan mensual'!J86,0)))*parametros_manuales!$I$25*parametros_manuales!$J$25</f>
        <v>16678.66710752</v>
      </c>
      <c r="I197" s="9" t="n">
        <f aca="false">(parametros_manuales!$D$25*('Plan mensual'!K79+IF(parametros_manuales!$H$25="Todos",'Plan mensual'!K83,0))+parametros_manuales!$E$25*('Plan mensual'!K80+IF(parametros_manuales!$H$25="Todos",'Plan mensual'!K84,0))+parametros_manuales!$F$25*('Plan mensual'!K81+IF(parametros_manuales!$H$25="Todos",'Plan mensual'!K85,0))+parametros_manuales!$G$25*('Plan mensual'!K82+IF(parametros_manuales!$H$25="Todos",'Plan mensual'!K86,0)))*parametros_manuales!$I$25*parametros_manuales!$J$25</f>
        <v>16678.66710752</v>
      </c>
      <c r="J197" s="9" t="n">
        <f aca="false">(parametros_manuales!$D$25*('Plan mensual'!L79+IF(parametros_manuales!$H$25="Todos",'Plan mensual'!L83,0))+parametros_manuales!$E$25*('Plan mensual'!L80+IF(parametros_manuales!$H$25="Todos",'Plan mensual'!L84,0))+parametros_manuales!$F$25*('Plan mensual'!L81+IF(parametros_manuales!$H$25="Todos",'Plan mensual'!L85,0))+parametros_manuales!$G$25*('Plan mensual'!L82+IF(parametros_manuales!$H$25="Todos",'Plan mensual'!L86,0)))*parametros_manuales!$I$25*parametros_manuales!$J$25</f>
        <v>16678.66710752</v>
      </c>
      <c r="K197" s="9" t="n">
        <f aca="false">(parametros_manuales!$D$25*('Plan mensual'!M79+IF(parametros_manuales!$H$25="Todos",'Plan mensual'!M83,0))+parametros_manuales!$E$25*('Plan mensual'!M80+IF(parametros_manuales!$H$25="Todos",'Plan mensual'!M84,0))+parametros_manuales!$F$25*('Plan mensual'!M81+IF(parametros_manuales!$H$25="Todos",'Plan mensual'!M85,0))+parametros_manuales!$G$25*('Plan mensual'!M82+IF(parametros_manuales!$H$25="Todos",'Plan mensual'!M86,0)))*parametros_manuales!$I$25*parametros_manuales!$J$25</f>
        <v>16368.124218675</v>
      </c>
      <c r="L197" s="9" t="n">
        <f aca="false">(parametros_manuales!$D$25*('Plan mensual'!N79+IF(parametros_manuales!$H$25="Todos",'Plan mensual'!N83,0))+parametros_manuales!$E$25*('Plan mensual'!N80+IF(parametros_manuales!$H$25="Todos",'Plan mensual'!N84,0))+parametros_manuales!$F$25*('Plan mensual'!N81+IF(parametros_manuales!$H$25="Todos",'Plan mensual'!N85,0))+parametros_manuales!$G$25*('Plan mensual'!N82+IF(parametros_manuales!$H$25="Todos",'Plan mensual'!N86,0)))*parametros_manuales!$I$25*parametros_manuales!$J$25</f>
        <v>16057.58132983</v>
      </c>
      <c r="M197" s="9" t="n">
        <f aca="false">(parametros_manuales!$D$25*('Plan mensual'!O79+IF(parametros_manuales!$H$25="Todos",'Plan mensual'!O83,0))+parametros_manuales!$E$25*('Plan mensual'!O80+IF(parametros_manuales!$H$25="Todos",'Plan mensual'!O84,0))+parametros_manuales!$F$25*('Plan mensual'!O81+IF(parametros_manuales!$H$25="Todos",'Plan mensual'!O85,0))+parametros_manuales!$G$25*('Plan mensual'!O82+IF(parametros_manuales!$H$25="Todos",'Plan mensual'!O86,0)))*parametros_manuales!$I$25*parametros_manuales!$J$25</f>
        <v>25567.91297219</v>
      </c>
      <c r="N197" s="9" t="n">
        <f aca="false">SUM(B197:M197)</f>
        <v>218241.656249</v>
      </c>
      <c r="O197" s="9" t="n">
        <f aca="false">MAX(B197:M197)</f>
        <v>25567.91297219</v>
      </c>
      <c r="P197" s="43" t="n">
        <f aca="false">O197/(parametros_manuales!$B$7)</f>
        <v>170.452753147933</v>
      </c>
      <c r="Q197" s="8" t="str">
        <f aca="false">IF(O197=0,"-",INDEX($B$190:$M$190,MATCH(O197,B197:M197,0)))</f>
        <v>Dic</v>
      </c>
    </row>
    <row r="198" customFormat="false" ht="14.25" hidden="false" customHeight="true" outlineLevel="0" collapsed="false">
      <c r="A198" s="8" t="str">
        <f aca="false">parametros_manuales!$B$26</f>
        <v>Cilindrado</v>
      </c>
      <c r="B198" s="9" t="n">
        <f aca="false">(parametros_manuales!$D$26*('Plan mensual'!D79+IF(parametros_manuales!$H$26="Todos",'Plan mensual'!D83,0))+parametros_manuales!$E$26*('Plan mensual'!D80+IF(parametros_manuales!$H$26="Todos",'Plan mensual'!D84,0))+parametros_manuales!$F$26*('Plan mensual'!D81+IF(parametros_manuales!$H$26="Todos",'Plan mensual'!D85,0))+parametros_manuales!$G$26*('Plan mensual'!D82+IF(parametros_manuales!$H$26="Todos",'Plan mensual'!D86,0)))*parametros_manuales!$I$26*parametros_manuales!$J$26</f>
        <v>6210.8577769</v>
      </c>
      <c r="C198" s="9" t="n">
        <f aca="false">(parametros_manuales!$D$26*('Plan mensual'!E79+IF(parametros_manuales!$H$26="Todos",'Plan mensual'!E83,0))+parametros_manuales!$E$26*('Plan mensual'!E80+IF(parametros_manuales!$H$26="Todos",'Plan mensual'!E84,0))+parametros_manuales!$F$26*('Plan mensual'!E81+IF(parametros_manuales!$H$26="Todos",'Plan mensual'!E85,0))+parametros_manuales!$G$26*('Plan mensual'!E82+IF(parametros_manuales!$H$26="Todos",'Plan mensual'!E86,0)))*parametros_manuales!$I$26*parametros_manuales!$J$26</f>
        <v>4968.68622152</v>
      </c>
      <c r="D198" s="9" t="n">
        <f aca="false">(parametros_manuales!$D$26*('Plan mensual'!F79+IF(parametros_manuales!$H$26="Todos",'Plan mensual'!F83,0))+parametros_manuales!$E$26*('Plan mensual'!F80+IF(parametros_manuales!$H$26="Todos",'Plan mensual'!F84,0))+parametros_manuales!$F$26*('Plan mensual'!F81+IF(parametros_manuales!$H$26="Todos",'Plan mensual'!F85,0))+parametros_manuales!$G$26*('Plan mensual'!F82+IF(parametros_manuales!$H$26="Todos",'Plan mensual'!F86,0)))*parametros_manuales!$I$26*parametros_manuales!$J$26</f>
        <v>5279.229110365</v>
      </c>
      <c r="E198" s="9" t="n">
        <f aca="false">(parametros_manuales!$D$26*('Plan mensual'!G79+IF(parametros_manuales!$H$26="Todos",'Plan mensual'!G83,0))+parametros_manuales!$E$26*('Plan mensual'!G80+IF(parametros_manuales!$H$26="Todos",'Plan mensual'!G84,0))+parametros_manuales!$F$26*('Plan mensual'!G81+IF(parametros_manuales!$H$26="Todos",'Plan mensual'!G85,0))+parametros_manuales!$G$26*('Plan mensual'!G82+IF(parametros_manuales!$H$26="Todos",'Plan mensual'!G86,0)))*parametros_manuales!$I$26*parametros_manuales!$J$26</f>
        <v>5279.229110365</v>
      </c>
      <c r="F198" s="9" t="n">
        <f aca="false">(parametros_manuales!$D$26*('Plan mensual'!H79+IF(parametros_manuales!$H$26="Todos",'Plan mensual'!H83,0))+parametros_manuales!$E$26*('Plan mensual'!H80+IF(parametros_manuales!$H$26="Todos",'Plan mensual'!H84,0))+parametros_manuales!$F$26*('Plan mensual'!H81+IF(parametros_manuales!$H$26="Todos",'Plan mensual'!H85,0))+parametros_manuales!$G$26*('Plan mensual'!H82+IF(parametros_manuales!$H$26="Todos",'Plan mensual'!H86,0)))*parametros_manuales!$I$26*parametros_manuales!$J$26</f>
        <v>4968.68622152</v>
      </c>
      <c r="G198" s="9" t="n">
        <f aca="false">(parametros_manuales!$D$26*('Plan mensual'!I79+IF(parametros_manuales!$H$26="Todos",'Plan mensual'!I83,0))+parametros_manuales!$E$26*('Plan mensual'!I80+IF(parametros_manuales!$H$26="Todos",'Plan mensual'!I84,0))+parametros_manuales!$F$26*('Plan mensual'!I81+IF(parametros_manuales!$H$26="Todos",'Plan mensual'!I85,0))+parametros_manuales!$G$26*('Plan mensual'!I82+IF(parametros_manuales!$H$26="Todos",'Plan mensual'!I86,0)))*parametros_manuales!$I$26*parametros_manuales!$J$26</f>
        <v>4658.143332675</v>
      </c>
      <c r="H198" s="9" t="n">
        <f aca="false">(parametros_manuales!$D$26*('Plan mensual'!J79+IF(parametros_manuales!$H$26="Todos",'Plan mensual'!J83,0))+parametros_manuales!$E$26*('Plan mensual'!J80+IF(parametros_manuales!$H$26="Todos",'Plan mensual'!J84,0))+parametros_manuales!$F$26*('Plan mensual'!J81+IF(parametros_manuales!$H$26="Todos",'Plan mensual'!J85,0))+parametros_manuales!$G$26*('Plan mensual'!J82+IF(parametros_manuales!$H$26="Todos",'Plan mensual'!J86,0)))*parametros_manuales!$I$26*parametros_manuales!$J$26</f>
        <v>4968.68622152</v>
      </c>
      <c r="I198" s="9" t="n">
        <f aca="false">(parametros_manuales!$D$26*('Plan mensual'!K79+IF(parametros_manuales!$H$26="Todos",'Plan mensual'!K83,0))+parametros_manuales!$E$26*('Plan mensual'!K80+IF(parametros_manuales!$H$26="Todos",'Plan mensual'!K84,0))+parametros_manuales!$F$26*('Plan mensual'!K81+IF(parametros_manuales!$H$26="Todos",'Plan mensual'!K85,0))+parametros_manuales!$G$26*('Plan mensual'!K82+IF(parametros_manuales!$H$26="Todos",'Plan mensual'!K86,0)))*parametros_manuales!$I$26*parametros_manuales!$J$26</f>
        <v>4968.68622152</v>
      </c>
      <c r="J198" s="9" t="n">
        <f aca="false">(parametros_manuales!$D$26*('Plan mensual'!L79+IF(parametros_manuales!$H$26="Todos",'Plan mensual'!L83,0))+parametros_manuales!$E$26*('Plan mensual'!L80+IF(parametros_manuales!$H$26="Todos",'Plan mensual'!L84,0))+parametros_manuales!$F$26*('Plan mensual'!L81+IF(parametros_manuales!$H$26="Todos",'Plan mensual'!L85,0))+parametros_manuales!$G$26*('Plan mensual'!L82+IF(parametros_manuales!$H$26="Todos",'Plan mensual'!L86,0)))*parametros_manuales!$I$26*parametros_manuales!$J$26</f>
        <v>4968.68622152</v>
      </c>
      <c r="K198" s="9" t="n">
        <f aca="false">(parametros_manuales!$D$26*('Plan mensual'!M79+IF(parametros_manuales!$H$26="Todos",'Plan mensual'!M83,0))+parametros_manuales!$E$26*('Plan mensual'!M80+IF(parametros_manuales!$H$26="Todos",'Plan mensual'!M84,0))+parametros_manuales!$F$26*('Plan mensual'!M81+IF(parametros_manuales!$H$26="Todos",'Plan mensual'!M85,0))+parametros_manuales!$G$26*('Plan mensual'!M82+IF(parametros_manuales!$H$26="Todos",'Plan mensual'!M86,0)))*parametros_manuales!$I$26*parametros_manuales!$J$26</f>
        <v>4658.143332675</v>
      </c>
      <c r="L198" s="9" t="n">
        <f aca="false">(parametros_manuales!$D$26*('Plan mensual'!N79+IF(parametros_manuales!$H$26="Todos",'Plan mensual'!N83,0))+parametros_manuales!$E$26*('Plan mensual'!N80+IF(parametros_manuales!$H$26="Todos",'Plan mensual'!N84,0))+parametros_manuales!$F$26*('Plan mensual'!N81+IF(parametros_manuales!$H$26="Todos",'Plan mensual'!N85,0))+parametros_manuales!$G$26*('Plan mensual'!N82+IF(parametros_manuales!$H$26="Todos",'Plan mensual'!N86,0)))*parametros_manuales!$I$26*parametros_manuales!$J$26</f>
        <v>4347.60044383</v>
      </c>
      <c r="M198" s="9" t="n">
        <f aca="false">(parametros_manuales!$D$26*('Plan mensual'!O79+IF(parametros_manuales!$H$26="Todos",'Plan mensual'!O83,0))+parametros_manuales!$E$26*('Plan mensual'!O80+IF(parametros_manuales!$H$26="Todos",'Plan mensual'!O84,0))+parametros_manuales!$F$26*('Plan mensual'!O81+IF(parametros_manuales!$H$26="Todos",'Plan mensual'!O85,0))+parametros_manuales!$G$26*('Plan mensual'!O82+IF(parametros_manuales!$H$26="Todos",'Plan mensual'!O86,0)))*parametros_manuales!$I$26*parametros_manuales!$J$26</f>
        <v>6831.94355459</v>
      </c>
      <c r="N198" s="9" t="n">
        <f aca="false">SUM(B198:M198)</f>
        <v>62108.577769</v>
      </c>
      <c r="O198" s="9" t="n">
        <f aca="false">MAX(B198:M198)</f>
        <v>6831.94355459</v>
      </c>
      <c r="P198" s="43" t="n">
        <f aca="false">O198/(parametros_manuales!$B$7)</f>
        <v>45.5462903639333</v>
      </c>
      <c r="Q198" s="8" t="str">
        <f aca="false">IF(O198=0,"-",INDEX($B$190:$M$190,MATCH(O198,B198:M198,0)))</f>
        <v>Dic</v>
      </c>
    </row>
    <row r="199" customFormat="false" ht="14.25" hidden="false" customHeight="true" outlineLevel="0" collapsed="false">
      <c r="A199" s="8" t="str">
        <f aca="false">parametros_manuales!$B$27</f>
        <v>Soldadura longitudinal</v>
      </c>
      <c r="B199" s="9" t="n">
        <f aca="false">(parametros_manuales!$D$27*('Plan mensual'!D79+IF(parametros_manuales!$H$27="Todos",'Plan mensual'!D83,0))+parametros_manuales!$E$27*('Plan mensual'!D80+IF(parametros_manuales!$H$27="Todos",'Plan mensual'!D84,0))+parametros_manuales!$F$27*('Plan mensual'!D81+IF(parametros_manuales!$H$27="Todos",'Plan mensual'!D85,0))+parametros_manuales!$G$27*('Plan mensual'!D82+IF(parametros_manuales!$H$27="Todos",'Plan mensual'!D86,0)))*parametros_manuales!$I$27*parametros_manuales!$J$27</f>
        <v>6210.8577769</v>
      </c>
      <c r="C199" s="9" t="n">
        <f aca="false">(parametros_manuales!$D$27*('Plan mensual'!E79+IF(parametros_manuales!$H$27="Todos",'Plan mensual'!E83,0))+parametros_manuales!$E$27*('Plan mensual'!E80+IF(parametros_manuales!$H$27="Todos",'Plan mensual'!E84,0))+parametros_manuales!$F$27*('Plan mensual'!E81+IF(parametros_manuales!$H$27="Todos",'Plan mensual'!E85,0))+parametros_manuales!$G$27*('Plan mensual'!E82+IF(parametros_manuales!$H$27="Todos",'Plan mensual'!E86,0)))*parametros_manuales!$I$27*parametros_manuales!$J$27</f>
        <v>4968.68622152</v>
      </c>
      <c r="D199" s="9" t="n">
        <f aca="false">(parametros_manuales!$D$27*('Plan mensual'!F79+IF(parametros_manuales!$H$27="Todos",'Plan mensual'!F83,0))+parametros_manuales!$E$27*('Plan mensual'!F80+IF(parametros_manuales!$H$27="Todos",'Plan mensual'!F84,0))+parametros_manuales!$F$27*('Plan mensual'!F81+IF(parametros_manuales!$H$27="Todos",'Plan mensual'!F85,0))+parametros_manuales!$G$27*('Plan mensual'!F82+IF(parametros_manuales!$H$27="Todos",'Plan mensual'!F86,0)))*parametros_manuales!$I$27*parametros_manuales!$J$27</f>
        <v>5279.229110365</v>
      </c>
      <c r="E199" s="9" t="n">
        <f aca="false">(parametros_manuales!$D$27*('Plan mensual'!G79+IF(parametros_manuales!$H$27="Todos",'Plan mensual'!G83,0))+parametros_manuales!$E$27*('Plan mensual'!G80+IF(parametros_manuales!$H$27="Todos",'Plan mensual'!G84,0))+parametros_manuales!$F$27*('Plan mensual'!G81+IF(parametros_manuales!$H$27="Todos",'Plan mensual'!G85,0))+parametros_manuales!$G$27*('Plan mensual'!G82+IF(parametros_manuales!$H$27="Todos",'Plan mensual'!G86,0)))*parametros_manuales!$I$27*parametros_manuales!$J$27</f>
        <v>5279.229110365</v>
      </c>
      <c r="F199" s="9" t="n">
        <f aca="false">(parametros_manuales!$D$27*('Plan mensual'!H79+IF(parametros_manuales!$H$27="Todos",'Plan mensual'!H83,0))+parametros_manuales!$E$27*('Plan mensual'!H80+IF(parametros_manuales!$H$27="Todos",'Plan mensual'!H84,0))+parametros_manuales!$F$27*('Plan mensual'!H81+IF(parametros_manuales!$H$27="Todos",'Plan mensual'!H85,0))+parametros_manuales!$G$27*('Plan mensual'!H82+IF(parametros_manuales!$H$27="Todos",'Plan mensual'!H86,0)))*parametros_manuales!$I$27*parametros_manuales!$J$27</f>
        <v>4968.68622152</v>
      </c>
      <c r="G199" s="9" t="n">
        <f aca="false">(parametros_manuales!$D$27*('Plan mensual'!I79+IF(parametros_manuales!$H$27="Todos",'Plan mensual'!I83,0))+parametros_manuales!$E$27*('Plan mensual'!I80+IF(parametros_manuales!$H$27="Todos",'Plan mensual'!I84,0))+parametros_manuales!$F$27*('Plan mensual'!I81+IF(parametros_manuales!$H$27="Todos",'Plan mensual'!I85,0))+parametros_manuales!$G$27*('Plan mensual'!I82+IF(parametros_manuales!$H$27="Todos",'Plan mensual'!I86,0)))*parametros_manuales!$I$27*parametros_manuales!$J$27</f>
        <v>4658.143332675</v>
      </c>
      <c r="H199" s="9" t="n">
        <f aca="false">(parametros_manuales!$D$27*('Plan mensual'!J79+IF(parametros_manuales!$H$27="Todos",'Plan mensual'!J83,0))+parametros_manuales!$E$27*('Plan mensual'!J80+IF(parametros_manuales!$H$27="Todos",'Plan mensual'!J84,0))+parametros_manuales!$F$27*('Plan mensual'!J81+IF(parametros_manuales!$H$27="Todos",'Plan mensual'!J85,0))+parametros_manuales!$G$27*('Plan mensual'!J82+IF(parametros_manuales!$H$27="Todos",'Plan mensual'!J86,0)))*parametros_manuales!$I$27*parametros_manuales!$J$27</f>
        <v>4968.68622152</v>
      </c>
      <c r="I199" s="9" t="n">
        <f aca="false">(parametros_manuales!$D$27*('Plan mensual'!K79+IF(parametros_manuales!$H$27="Todos",'Plan mensual'!K83,0))+parametros_manuales!$E$27*('Plan mensual'!K80+IF(parametros_manuales!$H$27="Todos",'Plan mensual'!K84,0))+parametros_manuales!$F$27*('Plan mensual'!K81+IF(parametros_manuales!$H$27="Todos",'Plan mensual'!K85,0))+parametros_manuales!$G$27*('Plan mensual'!K82+IF(parametros_manuales!$H$27="Todos",'Plan mensual'!K86,0)))*parametros_manuales!$I$27*parametros_manuales!$J$27</f>
        <v>4968.68622152</v>
      </c>
      <c r="J199" s="9" t="n">
        <f aca="false">(parametros_manuales!$D$27*('Plan mensual'!L79+IF(parametros_manuales!$H$27="Todos",'Plan mensual'!L83,0))+parametros_manuales!$E$27*('Plan mensual'!L80+IF(parametros_manuales!$H$27="Todos",'Plan mensual'!L84,0))+parametros_manuales!$F$27*('Plan mensual'!L81+IF(parametros_manuales!$H$27="Todos",'Plan mensual'!L85,0))+parametros_manuales!$G$27*('Plan mensual'!L82+IF(parametros_manuales!$H$27="Todos",'Plan mensual'!L86,0)))*parametros_manuales!$I$27*parametros_manuales!$J$27</f>
        <v>4968.68622152</v>
      </c>
      <c r="K199" s="9" t="n">
        <f aca="false">(parametros_manuales!$D$27*('Plan mensual'!M79+IF(parametros_manuales!$H$27="Todos",'Plan mensual'!M83,0))+parametros_manuales!$E$27*('Plan mensual'!M80+IF(parametros_manuales!$H$27="Todos",'Plan mensual'!M84,0))+parametros_manuales!$F$27*('Plan mensual'!M81+IF(parametros_manuales!$H$27="Todos",'Plan mensual'!M85,0))+parametros_manuales!$G$27*('Plan mensual'!M82+IF(parametros_manuales!$H$27="Todos",'Plan mensual'!M86,0)))*parametros_manuales!$I$27*parametros_manuales!$J$27</f>
        <v>4658.143332675</v>
      </c>
      <c r="L199" s="9" t="n">
        <f aca="false">(parametros_manuales!$D$27*('Plan mensual'!N79+IF(parametros_manuales!$H$27="Todos",'Plan mensual'!N83,0))+parametros_manuales!$E$27*('Plan mensual'!N80+IF(parametros_manuales!$H$27="Todos",'Plan mensual'!N84,0))+parametros_manuales!$F$27*('Plan mensual'!N81+IF(parametros_manuales!$H$27="Todos",'Plan mensual'!N85,0))+parametros_manuales!$G$27*('Plan mensual'!N82+IF(parametros_manuales!$H$27="Todos",'Plan mensual'!N86,0)))*parametros_manuales!$I$27*parametros_manuales!$J$27</f>
        <v>4347.60044383</v>
      </c>
      <c r="M199" s="9" t="n">
        <f aca="false">(parametros_manuales!$D$27*('Plan mensual'!O79+IF(parametros_manuales!$H$27="Todos",'Plan mensual'!O83,0))+parametros_manuales!$E$27*('Plan mensual'!O80+IF(parametros_manuales!$H$27="Todos",'Plan mensual'!O84,0))+parametros_manuales!$F$27*('Plan mensual'!O81+IF(parametros_manuales!$H$27="Todos",'Plan mensual'!O85,0))+parametros_manuales!$G$27*('Plan mensual'!O82+IF(parametros_manuales!$H$27="Todos",'Plan mensual'!O86,0)))*parametros_manuales!$I$27*parametros_manuales!$J$27</f>
        <v>6831.94355459</v>
      </c>
      <c r="N199" s="9" t="n">
        <f aca="false">SUM(B199:M199)</f>
        <v>62108.577769</v>
      </c>
      <c r="O199" s="9" t="n">
        <f aca="false">MAX(B199:M199)</f>
        <v>6831.94355459</v>
      </c>
      <c r="P199" s="43" t="n">
        <f aca="false">O199/(parametros_manuales!$B$7)</f>
        <v>45.5462903639333</v>
      </c>
      <c r="Q199" s="8" t="str">
        <f aca="false">IF(O199=0,"-",INDEX($B$190:$M$190,MATCH(O199,B199:M199,0)))</f>
        <v>Dic</v>
      </c>
    </row>
    <row r="200" customFormat="false" ht="14.25" hidden="false" customHeight="true" outlineLevel="0" collapsed="false">
      <c r="A200" s="8" t="str">
        <f aca="false">parametros_manuales!$B$28</f>
        <v>Encastre de fondo</v>
      </c>
      <c r="B200" s="9" t="n">
        <f aca="false">(parametros_manuales!$D$28*('Plan mensual'!D79+IF(parametros_manuales!$H$28="Todos",'Plan mensual'!D83,0))+parametros_manuales!$E$28*('Plan mensual'!D80+IF(parametros_manuales!$H$28="Todos",'Plan mensual'!D84,0))+parametros_manuales!$F$28*('Plan mensual'!D81+IF(parametros_manuales!$H$28="Todos",'Plan mensual'!D85,0))+parametros_manuales!$G$28*('Plan mensual'!D82+IF(parametros_manuales!$H$28="Todos",'Plan mensual'!D86,0)))*parametros_manuales!$I$28*parametros_manuales!$J$28</f>
        <v>24946.8271945</v>
      </c>
      <c r="C200" s="9" t="n">
        <f aca="false">(parametros_manuales!$D$28*('Plan mensual'!E79+IF(parametros_manuales!$H$28="Todos",'Plan mensual'!E83,0))+parametros_manuales!$E$28*('Plan mensual'!E80+IF(parametros_manuales!$H$28="Todos",'Plan mensual'!E84,0))+parametros_manuales!$F$28*('Plan mensual'!E81+IF(parametros_manuales!$H$28="Todos",'Plan mensual'!E85,0))+parametros_manuales!$G$28*('Plan mensual'!E82+IF(parametros_manuales!$H$28="Todos",'Plan mensual'!E86,0)))*parametros_manuales!$I$28*parametros_manuales!$J$28</f>
        <v>19020.66328472</v>
      </c>
      <c r="D200" s="9" t="n">
        <f aca="false">(parametros_manuales!$D$28*('Plan mensual'!F79+IF(parametros_manuales!$H$28="Todos",'Plan mensual'!F83,0))+parametros_manuales!$E$28*('Plan mensual'!F80+IF(parametros_manuales!$H$28="Todos",'Plan mensual'!F84,0))+parametros_manuales!$F$28*('Plan mensual'!F81+IF(parametros_manuales!$H$28="Todos",'Plan mensual'!F85,0))+parametros_manuales!$G$28*('Plan mensual'!F82+IF(parametros_manuales!$H$28="Todos",'Plan mensual'!F86,0)))*parametros_manuales!$I$28*parametros_manuales!$J$28</f>
        <v>17769.875388765</v>
      </c>
      <c r="E200" s="9" t="n">
        <f aca="false">(parametros_manuales!$D$28*('Plan mensual'!G79+IF(parametros_manuales!$H$28="Todos",'Plan mensual'!G83,0))+parametros_manuales!$E$28*('Plan mensual'!G80+IF(parametros_manuales!$H$28="Todos",'Plan mensual'!G84,0))+parametros_manuales!$F$28*('Plan mensual'!G81+IF(parametros_manuales!$H$28="Todos",'Plan mensual'!G85,0))+parametros_manuales!$G$28*('Plan mensual'!G82+IF(parametros_manuales!$H$28="Todos",'Plan mensual'!G86,0)))*parametros_manuales!$I$28*parametros_manuales!$J$28</f>
        <v>16989.209996365</v>
      </c>
      <c r="F200" s="9" t="n">
        <f aca="false">(parametros_manuales!$D$28*('Plan mensual'!H79+IF(parametros_manuales!$H$28="Todos",'Plan mensual'!H83,0))+parametros_manuales!$E$28*('Plan mensual'!H80+IF(parametros_manuales!$H$28="Todos",'Plan mensual'!H84,0))+parametros_manuales!$F$28*('Plan mensual'!H81+IF(parametros_manuales!$H$28="Todos",'Plan mensual'!H85,0))+parametros_manuales!$G$28*('Plan mensual'!H82+IF(parametros_manuales!$H$28="Todos",'Plan mensual'!H86,0)))*parametros_manuales!$I$28*parametros_manuales!$J$28</f>
        <v>15898.00171512</v>
      </c>
      <c r="G200" s="9" t="n">
        <f aca="false">(parametros_manuales!$D$28*('Plan mensual'!I79+IF(parametros_manuales!$H$28="Todos",'Plan mensual'!I83,0))+parametros_manuales!$E$28*('Plan mensual'!I80+IF(parametros_manuales!$H$28="Todos",'Plan mensual'!I84,0))+parametros_manuales!$F$28*('Plan mensual'!I81+IF(parametros_manuales!$H$28="Todos",'Plan mensual'!I85,0))+parametros_manuales!$G$28*('Plan mensual'!I82+IF(parametros_manuales!$H$28="Todos",'Plan mensual'!I86,0)))*parametros_manuales!$I$28*parametros_manuales!$J$28</f>
        <v>15587.458826275</v>
      </c>
      <c r="H200" s="9" t="n">
        <f aca="false">(parametros_manuales!$D$28*('Plan mensual'!J79+IF(parametros_manuales!$H$28="Todos",'Plan mensual'!J83,0))+parametros_manuales!$E$28*('Plan mensual'!J80+IF(parametros_manuales!$H$28="Todos",'Plan mensual'!J84,0))+parametros_manuales!$F$28*('Plan mensual'!J81+IF(parametros_manuales!$H$28="Todos",'Plan mensual'!J85,0))+parametros_manuales!$G$28*('Plan mensual'!J82+IF(parametros_manuales!$H$28="Todos",'Plan mensual'!J86,0)))*parametros_manuales!$I$28*parametros_manuales!$J$28</f>
        <v>16678.66710752</v>
      </c>
      <c r="I200" s="9" t="n">
        <f aca="false">(parametros_manuales!$D$28*('Plan mensual'!K79+IF(parametros_manuales!$H$28="Todos",'Plan mensual'!K83,0))+parametros_manuales!$E$28*('Plan mensual'!K80+IF(parametros_manuales!$H$28="Todos",'Plan mensual'!K84,0))+parametros_manuales!$F$28*('Plan mensual'!K81+IF(parametros_manuales!$H$28="Todos",'Plan mensual'!K85,0))+parametros_manuales!$G$28*('Plan mensual'!K82+IF(parametros_manuales!$H$28="Todos",'Plan mensual'!K86,0)))*parametros_manuales!$I$28*parametros_manuales!$J$28</f>
        <v>16678.66710752</v>
      </c>
      <c r="J200" s="9" t="n">
        <f aca="false">(parametros_manuales!$D$28*('Plan mensual'!L79+IF(parametros_manuales!$H$28="Todos",'Plan mensual'!L83,0))+parametros_manuales!$E$28*('Plan mensual'!L80+IF(parametros_manuales!$H$28="Todos",'Plan mensual'!L84,0))+parametros_manuales!$F$28*('Plan mensual'!L81+IF(parametros_manuales!$H$28="Todos",'Plan mensual'!L85,0))+parametros_manuales!$G$28*('Plan mensual'!L82+IF(parametros_manuales!$H$28="Todos",'Plan mensual'!L86,0)))*parametros_manuales!$I$28*parametros_manuales!$J$28</f>
        <v>16678.66710752</v>
      </c>
      <c r="K200" s="9" t="n">
        <f aca="false">(parametros_manuales!$D$28*('Plan mensual'!M79+IF(parametros_manuales!$H$28="Todos",'Plan mensual'!M83,0))+parametros_manuales!$E$28*('Plan mensual'!M80+IF(parametros_manuales!$H$28="Todos",'Plan mensual'!M84,0))+parametros_manuales!$F$28*('Plan mensual'!M81+IF(parametros_manuales!$H$28="Todos",'Plan mensual'!M85,0))+parametros_manuales!$G$28*('Plan mensual'!M82+IF(parametros_manuales!$H$28="Todos",'Plan mensual'!M86,0)))*parametros_manuales!$I$28*parametros_manuales!$J$28</f>
        <v>16368.124218675</v>
      </c>
      <c r="L200" s="9" t="n">
        <f aca="false">(parametros_manuales!$D$28*('Plan mensual'!N79+IF(parametros_manuales!$H$28="Todos",'Plan mensual'!N83,0))+parametros_manuales!$E$28*('Plan mensual'!N80+IF(parametros_manuales!$H$28="Todos",'Plan mensual'!N84,0))+parametros_manuales!$F$28*('Plan mensual'!N81+IF(parametros_manuales!$H$28="Todos",'Plan mensual'!N85,0))+parametros_manuales!$G$28*('Plan mensual'!N82+IF(parametros_manuales!$H$28="Todos",'Plan mensual'!N86,0)))*parametros_manuales!$I$28*parametros_manuales!$J$28</f>
        <v>16057.58132983</v>
      </c>
      <c r="M200" s="9" t="n">
        <f aca="false">(parametros_manuales!$D$28*('Plan mensual'!O79+IF(parametros_manuales!$H$28="Todos",'Plan mensual'!O83,0))+parametros_manuales!$E$28*('Plan mensual'!O80+IF(parametros_manuales!$H$28="Todos",'Plan mensual'!O84,0))+parametros_manuales!$F$28*('Plan mensual'!O81+IF(parametros_manuales!$H$28="Todos",'Plan mensual'!O85,0))+parametros_manuales!$G$28*('Plan mensual'!O82+IF(parametros_manuales!$H$28="Todos",'Plan mensual'!O86,0)))*parametros_manuales!$I$28*parametros_manuales!$J$28</f>
        <v>25567.91297219</v>
      </c>
      <c r="N200" s="9" t="n">
        <f aca="false">SUM(B200:M200)</f>
        <v>218241.656249</v>
      </c>
      <c r="O200" s="9" t="n">
        <f aca="false">MAX(B200:M200)</f>
        <v>25567.91297219</v>
      </c>
      <c r="P200" s="43" t="n">
        <f aca="false">O200/(parametros_manuales!$B$7)</f>
        <v>170.452753147933</v>
      </c>
      <c r="Q200" s="8" t="str">
        <f aca="false">IF(O200=0,"-",INDEX($B$190:$M$190,MATCH(O200,B200:M200,0)))</f>
        <v>Dic</v>
      </c>
    </row>
    <row r="201" customFormat="false" ht="14.25" hidden="false" customHeight="true" outlineLevel="0" collapsed="false">
      <c r="A201" s="8" t="str">
        <f aca="false">parametros_manuales!$B$29</f>
        <v>Bordoneado</v>
      </c>
      <c r="B201" s="9" t="n">
        <f aca="false">(parametros_manuales!$D$29*('Plan mensual'!D79+IF(parametros_manuales!$H$29="Todos",'Plan mensual'!D83,0))+parametros_manuales!$E$29*('Plan mensual'!D80+IF(parametros_manuales!$H$29="Todos",'Plan mensual'!D84,0))+parametros_manuales!$F$29*('Plan mensual'!D81+IF(parametros_manuales!$H$29="Todos",'Plan mensual'!D85,0))+parametros_manuales!$G$29*('Plan mensual'!D82+IF(parametros_manuales!$H$29="Todos",'Plan mensual'!D86,0)))*parametros_manuales!$I$29*parametros_manuales!$J$29</f>
        <v>24946.8271945</v>
      </c>
      <c r="C201" s="9" t="n">
        <f aca="false">(parametros_manuales!$D$29*('Plan mensual'!E79+IF(parametros_manuales!$H$29="Todos",'Plan mensual'!E83,0))+parametros_manuales!$E$29*('Plan mensual'!E80+IF(parametros_manuales!$H$29="Todos",'Plan mensual'!E84,0))+parametros_manuales!$F$29*('Plan mensual'!E81+IF(parametros_manuales!$H$29="Todos",'Plan mensual'!E85,0))+parametros_manuales!$G$29*('Plan mensual'!E82+IF(parametros_manuales!$H$29="Todos",'Plan mensual'!E86,0)))*parametros_manuales!$I$29*parametros_manuales!$J$29</f>
        <v>19020.66328472</v>
      </c>
      <c r="D201" s="9" t="n">
        <f aca="false">(parametros_manuales!$D$29*('Plan mensual'!F79+IF(parametros_manuales!$H$29="Todos",'Plan mensual'!F83,0))+parametros_manuales!$E$29*('Plan mensual'!F80+IF(parametros_manuales!$H$29="Todos",'Plan mensual'!F84,0))+parametros_manuales!$F$29*('Plan mensual'!F81+IF(parametros_manuales!$H$29="Todos",'Plan mensual'!F85,0))+parametros_manuales!$G$29*('Plan mensual'!F82+IF(parametros_manuales!$H$29="Todos",'Plan mensual'!F86,0)))*parametros_manuales!$I$29*parametros_manuales!$J$29</f>
        <v>17769.875388765</v>
      </c>
      <c r="E201" s="9" t="n">
        <f aca="false">(parametros_manuales!$D$29*('Plan mensual'!G79+IF(parametros_manuales!$H$29="Todos",'Plan mensual'!G83,0))+parametros_manuales!$E$29*('Plan mensual'!G80+IF(parametros_manuales!$H$29="Todos",'Plan mensual'!G84,0))+parametros_manuales!$F$29*('Plan mensual'!G81+IF(parametros_manuales!$H$29="Todos",'Plan mensual'!G85,0))+parametros_manuales!$G$29*('Plan mensual'!G82+IF(parametros_manuales!$H$29="Todos",'Plan mensual'!G86,0)))*parametros_manuales!$I$29*parametros_manuales!$J$29</f>
        <v>16989.209996365</v>
      </c>
      <c r="F201" s="9" t="n">
        <f aca="false">(parametros_manuales!$D$29*('Plan mensual'!H79+IF(parametros_manuales!$H$29="Todos",'Plan mensual'!H83,0))+parametros_manuales!$E$29*('Plan mensual'!H80+IF(parametros_manuales!$H$29="Todos",'Plan mensual'!H84,0))+parametros_manuales!$F$29*('Plan mensual'!H81+IF(parametros_manuales!$H$29="Todos",'Plan mensual'!H85,0))+parametros_manuales!$G$29*('Plan mensual'!H82+IF(parametros_manuales!$H$29="Todos",'Plan mensual'!H86,0)))*parametros_manuales!$I$29*parametros_manuales!$J$29</f>
        <v>15898.00171512</v>
      </c>
      <c r="G201" s="9" t="n">
        <f aca="false">(parametros_manuales!$D$29*('Plan mensual'!I79+IF(parametros_manuales!$H$29="Todos",'Plan mensual'!I83,0))+parametros_manuales!$E$29*('Plan mensual'!I80+IF(parametros_manuales!$H$29="Todos",'Plan mensual'!I84,0))+parametros_manuales!$F$29*('Plan mensual'!I81+IF(parametros_manuales!$H$29="Todos",'Plan mensual'!I85,0))+parametros_manuales!$G$29*('Plan mensual'!I82+IF(parametros_manuales!$H$29="Todos",'Plan mensual'!I86,0)))*parametros_manuales!$I$29*parametros_manuales!$J$29</f>
        <v>15587.458826275</v>
      </c>
      <c r="H201" s="9" t="n">
        <f aca="false">(parametros_manuales!$D$29*('Plan mensual'!J79+IF(parametros_manuales!$H$29="Todos",'Plan mensual'!J83,0))+parametros_manuales!$E$29*('Plan mensual'!J80+IF(parametros_manuales!$H$29="Todos",'Plan mensual'!J84,0))+parametros_manuales!$F$29*('Plan mensual'!J81+IF(parametros_manuales!$H$29="Todos",'Plan mensual'!J85,0))+parametros_manuales!$G$29*('Plan mensual'!J82+IF(parametros_manuales!$H$29="Todos",'Plan mensual'!J86,0)))*parametros_manuales!$I$29*parametros_manuales!$J$29</f>
        <v>16678.66710752</v>
      </c>
      <c r="I201" s="9" t="n">
        <f aca="false">(parametros_manuales!$D$29*('Plan mensual'!K79+IF(parametros_manuales!$H$29="Todos",'Plan mensual'!K83,0))+parametros_manuales!$E$29*('Plan mensual'!K80+IF(parametros_manuales!$H$29="Todos",'Plan mensual'!K84,0))+parametros_manuales!$F$29*('Plan mensual'!K81+IF(parametros_manuales!$H$29="Todos",'Plan mensual'!K85,0))+parametros_manuales!$G$29*('Plan mensual'!K82+IF(parametros_manuales!$H$29="Todos",'Plan mensual'!K86,0)))*parametros_manuales!$I$29*parametros_manuales!$J$29</f>
        <v>16678.66710752</v>
      </c>
      <c r="J201" s="9" t="n">
        <f aca="false">(parametros_manuales!$D$29*('Plan mensual'!L79+IF(parametros_manuales!$H$29="Todos",'Plan mensual'!L83,0))+parametros_manuales!$E$29*('Plan mensual'!L80+IF(parametros_manuales!$H$29="Todos",'Plan mensual'!L84,0))+parametros_manuales!$F$29*('Plan mensual'!L81+IF(parametros_manuales!$H$29="Todos",'Plan mensual'!L85,0))+parametros_manuales!$G$29*('Plan mensual'!L82+IF(parametros_manuales!$H$29="Todos",'Plan mensual'!L86,0)))*parametros_manuales!$I$29*parametros_manuales!$J$29</f>
        <v>16678.66710752</v>
      </c>
      <c r="K201" s="9" t="n">
        <f aca="false">(parametros_manuales!$D$29*('Plan mensual'!M79+IF(parametros_manuales!$H$29="Todos",'Plan mensual'!M83,0))+parametros_manuales!$E$29*('Plan mensual'!M80+IF(parametros_manuales!$H$29="Todos",'Plan mensual'!M84,0))+parametros_manuales!$F$29*('Plan mensual'!M81+IF(parametros_manuales!$H$29="Todos",'Plan mensual'!M85,0))+parametros_manuales!$G$29*('Plan mensual'!M82+IF(parametros_manuales!$H$29="Todos",'Plan mensual'!M86,0)))*parametros_manuales!$I$29*parametros_manuales!$J$29</f>
        <v>16368.124218675</v>
      </c>
      <c r="L201" s="9" t="n">
        <f aca="false">(parametros_manuales!$D$29*('Plan mensual'!N79+IF(parametros_manuales!$H$29="Todos",'Plan mensual'!N83,0))+parametros_manuales!$E$29*('Plan mensual'!N80+IF(parametros_manuales!$H$29="Todos",'Plan mensual'!N84,0))+parametros_manuales!$F$29*('Plan mensual'!N81+IF(parametros_manuales!$H$29="Todos",'Plan mensual'!N85,0))+parametros_manuales!$G$29*('Plan mensual'!N82+IF(parametros_manuales!$H$29="Todos",'Plan mensual'!N86,0)))*parametros_manuales!$I$29*parametros_manuales!$J$29</f>
        <v>16057.58132983</v>
      </c>
      <c r="M201" s="9" t="n">
        <f aca="false">(parametros_manuales!$D$29*('Plan mensual'!O79+IF(parametros_manuales!$H$29="Todos",'Plan mensual'!O83,0))+parametros_manuales!$E$29*('Plan mensual'!O80+IF(parametros_manuales!$H$29="Todos",'Plan mensual'!O84,0))+parametros_manuales!$F$29*('Plan mensual'!O81+IF(parametros_manuales!$H$29="Todos",'Plan mensual'!O85,0))+parametros_manuales!$G$29*('Plan mensual'!O82+IF(parametros_manuales!$H$29="Todos",'Plan mensual'!O86,0)))*parametros_manuales!$I$29*parametros_manuales!$J$29</f>
        <v>25567.91297219</v>
      </c>
      <c r="N201" s="9" t="n">
        <f aca="false">SUM(B201:M201)</f>
        <v>218241.656249</v>
      </c>
      <c r="O201" s="9" t="n">
        <f aca="false">MAX(B201:M201)</f>
        <v>25567.91297219</v>
      </c>
      <c r="P201" s="43" t="n">
        <f aca="false">O201/(parametros_manuales!$B$7)</f>
        <v>170.452753147933</v>
      </c>
      <c r="Q201" s="8" t="str">
        <f aca="false">IF(O201=0,"-",INDEX($B$190:$M$190,MATCH(O201,B201:M201,0)))</f>
        <v>Dic</v>
      </c>
    </row>
    <row r="202" customFormat="false" ht="14.25" hidden="false" customHeight="true" outlineLevel="0" collapsed="false">
      <c r="A202" s="8" t="str">
        <f aca="false">parametros_manuales!$B$30</f>
        <v>Soldadura circunferencial de cúpula y fondo</v>
      </c>
      <c r="B202" s="9" t="n">
        <f aca="false">(parametros_manuales!$D$30*('Plan mensual'!D79+IF(parametros_manuales!$H$30="Todos",'Plan mensual'!D83,0))+parametros_manuales!$E$30*('Plan mensual'!D80+IF(parametros_manuales!$H$30="Todos",'Plan mensual'!D84,0))+parametros_manuales!$F$30*('Plan mensual'!D81+IF(parametros_manuales!$H$30="Todos",'Plan mensual'!D85,0))+parametros_manuales!$G$30*('Plan mensual'!D82+IF(parametros_manuales!$H$30="Todos",'Plan mensual'!D86,0)))*parametros_manuales!$I$30*parametros_manuales!$J$30</f>
        <v>24946.8271945</v>
      </c>
      <c r="C202" s="9" t="n">
        <f aca="false">(parametros_manuales!$D$30*('Plan mensual'!E79+IF(parametros_manuales!$H$30="Todos",'Plan mensual'!E83,0))+parametros_manuales!$E$30*('Plan mensual'!E80+IF(parametros_manuales!$H$30="Todos",'Plan mensual'!E84,0))+parametros_manuales!$F$30*('Plan mensual'!E81+IF(parametros_manuales!$H$30="Todos",'Plan mensual'!E85,0))+parametros_manuales!$G$30*('Plan mensual'!E82+IF(parametros_manuales!$H$30="Todos",'Plan mensual'!E86,0)))*parametros_manuales!$I$30*parametros_manuales!$J$30</f>
        <v>19020.66328472</v>
      </c>
      <c r="D202" s="9" t="n">
        <f aca="false">(parametros_manuales!$D$30*('Plan mensual'!F79+IF(parametros_manuales!$H$30="Todos",'Plan mensual'!F83,0))+parametros_manuales!$E$30*('Plan mensual'!F80+IF(parametros_manuales!$H$30="Todos",'Plan mensual'!F84,0))+parametros_manuales!$F$30*('Plan mensual'!F81+IF(parametros_manuales!$H$30="Todos",'Plan mensual'!F85,0))+parametros_manuales!$G$30*('Plan mensual'!F82+IF(parametros_manuales!$H$30="Todos",'Plan mensual'!F86,0)))*parametros_manuales!$I$30*parametros_manuales!$J$30</f>
        <v>17769.875388765</v>
      </c>
      <c r="E202" s="9" t="n">
        <f aca="false">(parametros_manuales!$D$30*('Plan mensual'!G79+IF(parametros_manuales!$H$30="Todos",'Plan mensual'!G83,0))+parametros_manuales!$E$30*('Plan mensual'!G80+IF(parametros_manuales!$H$30="Todos",'Plan mensual'!G84,0))+parametros_manuales!$F$30*('Plan mensual'!G81+IF(parametros_manuales!$H$30="Todos",'Plan mensual'!G85,0))+parametros_manuales!$G$30*('Plan mensual'!G82+IF(parametros_manuales!$H$30="Todos",'Plan mensual'!G86,0)))*parametros_manuales!$I$30*parametros_manuales!$J$30</f>
        <v>16989.209996365</v>
      </c>
      <c r="F202" s="9" t="n">
        <f aca="false">(parametros_manuales!$D$30*('Plan mensual'!H79+IF(parametros_manuales!$H$30="Todos",'Plan mensual'!H83,0))+parametros_manuales!$E$30*('Plan mensual'!H80+IF(parametros_manuales!$H$30="Todos",'Plan mensual'!H84,0))+parametros_manuales!$F$30*('Plan mensual'!H81+IF(parametros_manuales!$H$30="Todos",'Plan mensual'!H85,0))+parametros_manuales!$G$30*('Plan mensual'!H82+IF(parametros_manuales!$H$30="Todos",'Plan mensual'!H86,0)))*parametros_manuales!$I$30*parametros_manuales!$J$30</f>
        <v>15898.00171512</v>
      </c>
      <c r="G202" s="9" t="n">
        <f aca="false">(parametros_manuales!$D$30*('Plan mensual'!I79+IF(parametros_manuales!$H$30="Todos",'Plan mensual'!I83,0))+parametros_manuales!$E$30*('Plan mensual'!I80+IF(parametros_manuales!$H$30="Todos",'Plan mensual'!I84,0))+parametros_manuales!$F$30*('Plan mensual'!I81+IF(parametros_manuales!$H$30="Todos",'Plan mensual'!I85,0))+parametros_manuales!$G$30*('Plan mensual'!I82+IF(parametros_manuales!$H$30="Todos",'Plan mensual'!I86,0)))*parametros_manuales!$I$30*parametros_manuales!$J$30</f>
        <v>15587.458826275</v>
      </c>
      <c r="H202" s="9" t="n">
        <f aca="false">(parametros_manuales!$D$30*('Plan mensual'!J79+IF(parametros_manuales!$H$30="Todos",'Plan mensual'!J83,0))+parametros_manuales!$E$30*('Plan mensual'!J80+IF(parametros_manuales!$H$30="Todos",'Plan mensual'!J84,0))+parametros_manuales!$F$30*('Plan mensual'!J81+IF(parametros_manuales!$H$30="Todos",'Plan mensual'!J85,0))+parametros_manuales!$G$30*('Plan mensual'!J82+IF(parametros_manuales!$H$30="Todos",'Plan mensual'!J86,0)))*parametros_manuales!$I$30*parametros_manuales!$J$30</f>
        <v>16678.66710752</v>
      </c>
      <c r="I202" s="9" t="n">
        <f aca="false">(parametros_manuales!$D$30*('Plan mensual'!K79+IF(parametros_manuales!$H$30="Todos",'Plan mensual'!K83,0))+parametros_manuales!$E$30*('Plan mensual'!K80+IF(parametros_manuales!$H$30="Todos",'Plan mensual'!K84,0))+parametros_manuales!$F$30*('Plan mensual'!K81+IF(parametros_manuales!$H$30="Todos",'Plan mensual'!K85,0))+parametros_manuales!$G$30*('Plan mensual'!K82+IF(parametros_manuales!$H$30="Todos",'Plan mensual'!K86,0)))*parametros_manuales!$I$30*parametros_manuales!$J$30</f>
        <v>16678.66710752</v>
      </c>
      <c r="J202" s="9" t="n">
        <f aca="false">(parametros_manuales!$D$30*('Plan mensual'!L79+IF(parametros_manuales!$H$30="Todos",'Plan mensual'!L83,0))+parametros_manuales!$E$30*('Plan mensual'!L80+IF(parametros_manuales!$H$30="Todos",'Plan mensual'!L84,0))+parametros_manuales!$F$30*('Plan mensual'!L81+IF(parametros_manuales!$H$30="Todos",'Plan mensual'!L85,0))+parametros_manuales!$G$30*('Plan mensual'!L82+IF(parametros_manuales!$H$30="Todos",'Plan mensual'!L86,0)))*parametros_manuales!$I$30*parametros_manuales!$J$30</f>
        <v>16678.66710752</v>
      </c>
      <c r="K202" s="9" t="n">
        <f aca="false">(parametros_manuales!$D$30*('Plan mensual'!M79+IF(parametros_manuales!$H$30="Todos",'Plan mensual'!M83,0))+parametros_manuales!$E$30*('Plan mensual'!M80+IF(parametros_manuales!$H$30="Todos",'Plan mensual'!M84,0))+parametros_manuales!$F$30*('Plan mensual'!M81+IF(parametros_manuales!$H$30="Todos",'Plan mensual'!M85,0))+parametros_manuales!$G$30*('Plan mensual'!M82+IF(parametros_manuales!$H$30="Todos",'Plan mensual'!M86,0)))*parametros_manuales!$I$30*parametros_manuales!$J$30</f>
        <v>16368.124218675</v>
      </c>
      <c r="L202" s="9" t="n">
        <f aca="false">(parametros_manuales!$D$30*('Plan mensual'!N79+IF(parametros_manuales!$H$30="Todos",'Plan mensual'!N83,0))+parametros_manuales!$E$30*('Plan mensual'!N80+IF(parametros_manuales!$H$30="Todos",'Plan mensual'!N84,0))+parametros_manuales!$F$30*('Plan mensual'!N81+IF(parametros_manuales!$H$30="Todos",'Plan mensual'!N85,0))+parametros_manuales!$G$30*('Plan mensual'!N82+IF(parametros_manuales!$H$30="Todos",'Plan mensual'!N86,0)))*parametros_manuales!$I$30*parametros_manuales!$J$30</f>
        <v>16057.58132983</v>
      </c>
      <c r="M202" s="9" t="n">
        <f aca="false">(parametros_manuales!$D$30*('Plan mensual'!O79+IF(parametros_manuales!$H$30="Todos",'Plan mensual'!O83,0))+parametros_manuales!$E$30*('Plan mensual'!O80+IF(parametros_manuales!$H$30="Todos",'Plan mensual'!O84,0))+parametros_manuales!$F$30*('Plan mensual'!O81+IF(parametros_manuales!$H$30="Todos",'Plan mensual'!O85,0))+parametros_manuales!$G$30*('Plan mensual'!O82+IF(parametros_manuales!$H$30="Todos",'Plan mensual'!O86,0)))*parametros_manuales!$I$30*parametros_manuales!$J$30</f>
        <v>25567.91297219</v>
      </c>
      <c r="N202" s="9" t="n">
        <f aca="false">SUM(B202:M202)</f>
        <v>218241.656249</v>
      </c>
      <c r="O202" s="9" t="n">
        <f aca="false">MAX(B202:M202)</f>
        <v>25567.91297219</v>
      </c>
      <c r="P202" s="43" t="n">
        <f aca="false">O202/(parametros_manuales!$B$7)</f>
        <v>170.452753147933</v>
      </c>
      <c r="Q202" s="8" t="str">
        <f aca="false">IF(O202=0,"-",INDEX($B$190:$M$190,MATCH(O202,B202:M202,0)))</f>
        <v>Dic</v>
      </c>
    </row>
    <row r="203" customFormat="false" ht="14.25" hidden="false" customHeight="true" outlineLevel="0" collapsed="false">
      <c r="A203" s="8" t="str">
        <f aca="false">parametros_manuales!$B$31</f>
        <v>Control de calidad — Espesor</v>
      </c>
      <c r="B203" s="9" t="n">
        <f aca="false">(parametros_manuales!$D$31*('Plan mensual'!D79+IF(parametros_manuales!$H$31="Todos",'Plan mensual'!D83,0))+parametros_manuales!$E$31*('Plan mensual'!D80+IF(parametros_manuales!$H$31="Todos",'Plan mensual'!D84,0))+parametros_manuales!$F$31*('Plan mensual'!D81+IF(parametros_manuales!$H$31="Todos",'Plan mensual'!D85,0))+parametros_manuales!$G$31*('Plan mensual'!D82+IF(parametros_manuales!$H$31="Todos",'Plan mensual'!D86,0)))*parametros_manuales!$I$31*parametros_manuales!$J$31</f>
        <v>498.93654389</v>
      </c>
      <c r="C203" s="9" t="n">
        <f aca="false">(parametros_manuales!$D$31*('Plan mensual'!E79+IF(parametros_manuales!$H$31="Todos",'Plan mensual'!E83,0))+parametros_manuales!$E$31*('Plan mensual'!E80+IF(parametros_manuales!$H$31="Todos",'Plan mensual'!E84,0))+parametros_manuales!$F$31*('Plan mensual'!E81+IF(parametros_manuales!$H$31="Todos",'Plan mensual'!E85,0))+parametros_manuales!$G$31*('Plan mensual'!E82+IF(parametros_manuales!$H$31="Todos",'Plan mensual'!E86,0)))*parametros_manuales!$I$31*parametros_manuales!$J$31</f>
        <v>380.4132656944</v>
      </c>
      <c r="D203" s="9" t="n">
        <f aca="false">(parametros_manuales!$D$31*('Plan mensual'!F79+IF(parametros_manuales!$H$31="Todos",'Plan mensual'!F83,0))+parametros_manuales!$E$31*('Plan mensual'!F80+IF(parametros_manuales!$H$31="Todos",'Plan mensual'!F84,0))+parametros_manuales!$F$31*('Plan mensual'!F81+IF(parametros_manuales!$H$31="Todos",'Plan mensual'!F85,0))+parametros_manuales!$G$31*('Plan mensual'!F82+IF(parametros_manuales!$H$31="Todos",'Plan mensual'!F86,0)))*parametros_manuales!$I$31*parametros_manuales!$J$31</f>
        <v>355.3975077753</v>
      </c>
      <c r="E203" s="9" t="n">
        <f aca="false">(parametros_manuales!$D$31*('Plan mensual'!G79+IF(parametros_manuales!$H$31="Todos",'Plan mensual'!G83,0))+parametros_manuales!$E$31*('Plan mensual'!G80+IF(parametros_manuales!$H$31="Todos",'Plan mensual'!G84,0))+parametros_manuales!$F$31*('Plan mensual'!G81+IF(parametros_manuales!$H$31="Todos",'Plan mensual'!G85,0))+parametros_manuales!$G$31*('Plan mensual'!G82+IF(parametros_manuales!$H$31="Todos",'Plan mensual'!G86,0)))*parametros_manuales!$I$31*parametros_manuales!$J$31</f>
        <v>339.7841999273</v>
      </c>
      <c r="F203" s="9" t="n">
        <f aca="false">(parametros_manuales!$D$31*('Plan mensual'!H79+IF(parametros_manuales!$H$31="Todos",'Plan mensual'!H83,0))+parametros_manuales!$E$31*('Plan mensual'!H80+IF(parametros_manuales!$H$31="Todos",'Plan mensual'!H84,0))+parametros_manuales!$F$31*('Plan mensual'!H81+IF(parametros_manuales!$H$31="Todos",'Plan mensual'!H85,0))+parametros_manuales!$G$31*('Plan mensual'!H82+IF(parametros_manuales!$H$31="Todos",'Plan mensual'!H86,0)))*parametros_manuales!$I$31*parametros_manuales!$J$31</f>
        <v>317.9600343024</v>
      </c>
      <c r="G203" s="9" t="n">
        <f aca="false">(parametros_manuales!$D$31*('Plan mensual'!I79+IF(parametros_manuales!$H$31="Todos",'Plan mensual'!I83,0))+parametros_manuales!$E$31*('Plan mensual'!I80+IF(parametros_manuales!$H$31="Todos",'Plan mensual'!I84,0))+parametros_manuales!$F$31*('Plan mensual'!I81+IF(parametros_manuales!$H$31="Todos",'Plan mensual'!I85,0))+parametros_manuales!$G$31*('Plan mensual'!I82+IF(parametros_manuales!$H$31="Todos",'Plan mensual'!I86,0)))*parametros_manuales!$I$31*parametros_manuales!$J$31</f>
        <v>311.7491765255</v>
      </c>
      <c r="H203" s="9" t="n">
        <f aca="false">(parametros_manuales!$D$31*('Plan mensual'!J79+IF(parametros_manuales!$H$31="Todos",'Plan mensual'!J83,0))+parametros_manuales!$E$31*('Plan mensual'!J80+IF(parametros_manuales!$H$31="Todos",'Plan mensual'!J84,0))+parametros_manuales!$F$31*('Plan mensual'!J81+IF(parametros_manuales!$H$31="Todos",'Plan mensual'!J85,0))+parametros_manuales!$G$31*('Plan mensual'!J82+IF(parametros_manuales!$H$31="Todos",'Plan mensual'!J86,0)))*parametros_manuales!$I$31*parametros_manuales!$J$31</f>
        <v>333.5733421504</v>
      </c>
      <c r="I203" s="9" t="n">
        <f aca="false">(parametros_manuales!$D$31*('Plan mensual'!K79+IF(parametros_manuales!$H$31="Todos",'Plan mensual'!K83,0))+parametros_manuales!$E$31*('Plan mensual'!K80+IF(parametros_manuales!$H$31="Todos",'Plan mensual'!K84,0))+parametros_manuales!$F$31*('Plan mensual'!K81+IF(parametros_manuales!$H$31="Todos",'Plan mensual'!K85,0))+parametros_manuales!$G$31*('Plan mensual'!K82+IF(parametros_manuales!$H$31="Todos",'Plan mensual'!K86,0)))*parametros_manuales!$I$31*parametros_manuales!$J$31</f>
        <v>333.5733421504</v>
      </c>
      <c r="J203" s="9" t="n">
        <f aca="false">(parametros_manuales!$D$31*('Plan mensual'!L79+IF(parametros_manuales!$H$31="Todos",'Plan mensual'!L83,0))+parametros_manuales!$E$31*('Plan mensual'!L80+IF(parametros_manuales!$H$31="Todos",'Plan mensual'!L84,0))+parametros_manuales!$F$31*('Plan mensual'!L81+IF(parametros_manuales!$H$31="Todos",'Plan mensual'!L85,0))+parametros_manuales!$G$31*('Plan mensual'!L82+IF(parametros_manuales!$H$31="Todos",'Plan mensual'!L86,0)))*parametros_manuales!$I$31*parametros_manuales!$J$31</f>
        <v>333.5733421504</v>
      </c>
      <c r="K203" s="9" t="n">
        <f aca="false">(parametros_manuales!$D$31*('Plan mensual'!M79+IF(parametros_manuales!$H$31="Todos",'Plan mensual'!M83,0))+parametros_manuales!$E$31*('Plan mensual'!M80+IF(parametros_manuales!$H$31="Todos",'Plan mensual'!M84,0))+parametros_manuales!$F$31*('Plan mensual'!M81+IF(parametros_manuales!$H$31="Todos",'Plan mensual'!M85,0))+parametros_manuales!$G$31*('Plan mensual'!M82+IF(parametros_manuales!$H$31="Todos",'Plan mensual'!M86,0)))*parametros_manuales!$I$31*parametros_manuales!$J$31</f>
        <v>327.3624843735</v>
      </c>
      <c r="L203" s="9" t="n">
        <f aca="false">(parametros_manuales!$D$31*('Plan mensual'!N79+IF(parametros_manuales!$H$31="Todos",'Plan mensual'!N83,0))+parametros_manuales!$E$31*('Plan mensual'!N80+IF(parametros_manuales!$H$31="Todos",'Plan mensual'!N84,0))+parametros_manuales!$F$31*('Plan mensual'!N81+IF(parametros_manuales!$H$31="Todos",'Plan mensual'!N85,0))+parametros_manuales!$G$31*('Plan mensual'!N82+IF(parametros_manuales!$H$31="Todos",'Plan mensual'!N86,0)))*parametros_manuales!$I$31*parametros_manuales!$J$31</f>
        <v>321.1516265966</v>
      </c>
      <c r="M203" s="9" t="n">
        <f aca="false">(parametros_manuales!$D$31*('Plan mensual'!O79+IF(parametros_manuales!$H$31="Todos",'Plan mensual'!O83,0))+parametros_manuales!$E$31*('Plan mensual'!O80+IF(parametros_manuales!$H$31="Todos",'Plan mensual'!O84,0))+parametros_manuales!$F$31*('Plan mensual'!O81+IF(parametros_manuales!$H$31="Todos",'Plan mensual'!O85,0))+parametros_manuales!$G$31*('Plan mensual'!O82+IF(parametros_manuales!$H$31="Todos",'Plan mensual'!O86,0)))*parametros_manuales!$I$31*parametros_manuales!$J$31</f>
        <v>511.3582594438</v>
      </c>
      <c r="N203" s="9" t="n">
        <f aca="false">SUM(B203:M203)</f>
        <v>4364.83312498</v>
      </c>
      <c r="O203" s="9" t="n">
        <f aca="false">MAX(B203:M203)</f>
        <v>511.3582594438</v>
      </c>
      <c r="P203" s="43" t="n">
        <f aca="false">O203/(parametros_manuales!$B$7)</f>
        <v>3.40905506295867</v>
      </c>
      <c r="Q203" s="8" t="str">
        <f aca="false">IF(O203=0,"-",INDEX($B$190:$M$190,MATCH(O203,B203:M203,0)))</f>
        <v>Dic</v>
      </c>
    </row>
    <row r="204" customFormat="false" ht="14.25" hidden="false" customHeight="true" outlineLevel="0" collapsed="false">
      <c r="A204" s="8" t="str">
        <f aca="false">parametros_manuales!$B$32</f>
        <v>Prueba hidráulica</v>
      </c>
      <c r="B204" s="9" t="n">
        <f aca="false">(parametros_manuales!$D$32*('Plan mensual'!D79+IF(parametros_manuales!$H$32="Todos",'Plan mensual'!D83,0))+parametros_manuales!$E$32*('Plan mensual'!D80+IF(parametros_manuales!$H$32="Todos",'Plan mensual'!D84,0))+parametros_manuales!$F$32*('Plan mensual'!D81+IF(parametros_manuales!$H$32="Todos",'Plan mensual'!D85,0))+parametros_manuales!$G$32*('Plan mensual'!D82+IF(parametros_manuales!$H$32="Todos",'Plan mensual'!D86,0)))*parametros_manuales!$I$32*parametros_manuales!$J$32</f>
        <v>24946.8271945</v>
      </c>
      <c r="C204" s="9" t="n">
        <f aca="false">(parametros_manuales!$D$32*('Plan mensual'!E79+IF(parametros_manuales!$H$32="Todos",'Plan mensual'!E83,0))+parametros_manuales!$E$32*('Plan mensual'!E80+IF(parametros_manuales!$H$32="Todos",'Plan mensual'!E84,0))+parametros_manuales!$F$32*('Plan mensual'!E81+IF(parametros_manuales!$H$32="Todos",'Plan mensual'!E85,0))+parametros_manuales!$G$32*('Plan mensual'!E82+IF(parametros_manuales!$H$32="Todos",'Plan mensual'!E86,0)))*parametros_manuales!$I$32*parametros_manuales!$J$32</f>
        <v>19020.66328472</v>
      </c>
      <c r="D204" s="9" t="n">
        <f aca="false">(parametros_manuales!$D$32*('Plan mensual'!F79+IF(parametros_manuales!$H$32="Todos",'Plan mensual'!F83,0))+parametros_manuales!$E$32*('Plan mensual'!F80+IF(parametros_manuales!$H$32="Todos",'Plan mensual'!F84,0))+parametros_manuales!$F$32*('Plan mensual'!F81+IF(parametros_manuales!$H$32="Todos",'Plan mensual'!F85,0))+parametros_manuales!$G$32*('Plan mensual'!F82+IF(parametros_manuales!$H$32="Todos",'Plan mensual'!F86,0)))*parametros_manuales!$I$32*parametros_manuales!$J$32</f>
        <v>17769.875388765</v>
      </c>
      <c r="E204" s="9" t="n">
        <f aca="false">(parametros_manuales!$D$32*('Plan mensual'!G79+IF(parametros_manuales!$H$32="Todos",'Plan mensual'!G83,0))+parametros_manuales!$E$32*('Plan mensual'!G80+IF(parametros_manuales!$H$32="Todos",'Plan mensual'!G84,0))+parametros_manuales!$F$32*('Plan mensual'!G81+IF(parametros_manuales!$H$32="Todos",'Plan mensual'!G85,0))+parametros_manuales!$G$32*('Plan mensual'!G82+IF(parametros_manuales!$H$32="Todos",'Plan mensual'!G86,0)))*parametros_manuales!$I$32*parametros_manuales!$J$32</f>
        <v>16989.209996365</v>
      </c>
      <c r="F204" s="9" t="n">
        <f aca="false">(parametros_manuales!$D$32*('Plan mensual'!H79+IF(parametros_manuales!$H$32="Todos",'Plan mensual'!H83,0))+parametros_manuales!$E$32*('Plan mensual'!H80+IF(parametros_manuales!$H$32="Todos",'Plan mensual'!H84,0))+parametros_manuales!$F$32*('Plan mensual'!H81+IF(parametros_manuales!$H$32="Todos",'Plan mensual'!H85,0))+parametros_manuales!$G$32*('Plan mensual'!H82+IF(parametros_manuales!$H$32="Todos",'Plan mensual'!H86,0)))*parametros_manuales!$I$32*parametros_manuales!$J$32</f>
        <v>15898.00171512</v>
      </c>
      <c r="G204" s="9" t="n">
        <f aca="false">(parametros_manuales!$D$32*('Plan mensual'!I79+IF(parametros_manuales!$H$32="Todos",'Plan mensual'!I83,0))+parametros_manuales!$E$32*('Plan mensual'!I80+IF(parametros_manuales!$H$32="Todos",'Plan mensual'!I84,0))+parametros_manuales!$F$32*('Plan mensual'!I81+IF(parametros_manuales!$H$32="Todos",'Plan mensual'!I85,0))+parametros_manuales!$G$32*('Plan mensual'!I82+IF(parametros_manuales!$H$32="Todos",'Plan mensual'!I86,0)))*parametros_manuales!$I$32*parametros_manuales!$J$32</f>
        <v>15587.458826275</v>
      </c>
      <c r="H204" s="9" t="n">
        <f aca="false">(parametros_manuales!$D$32*('Plan mensual'!J79+IF(parametros_manuales!$H$32="Todos",'Plan mensual'!J83,0))+parametros_manuales!$E$32*('Plan mensual'!J80+IF(parametros_manuales!$H$32="Todos",'Plan mensual'!J84,0))+parametros_manuales!$F$32*('Plan mensual'!J81+IF(parametros_manuales!$H$32="Todos",'Plan mensual'!J85,0))+parametros_manuales!$G$32*('Plan mensual'!J82+IF(parametros_manuales!$H$32="Todos",'Plan mensual'!J86,0)))*parametros_manuales!$I$32*parametros_manuales!$J$32</f>
        <v>16678.66710752</v>
      </c>
      <c r="I204" s="9" t="n">
        <f aca="false">(parametros_manuales!$D$32*('Plan mensual'!K79+IF(parametros_manuales!$H$32="Todos",'Plan mensual'!K83,0))+parametros_manuales!$E$32*('Plan mensual'!K80+IF(parametros_manuales!$H$32="Todos",'Plan mensual'!K84,0))+parametros_manuales!$F$32*('Plan mensual'!K81+IF(parametros_manuales!$H$32="Todos",'Plan mensual'!K85,0))+parametros_manuales!$G$32*('Plan mensual'!K82+IF(parametros_manuales!$H$32="Todos",'Plan mensual'!K86,0)))*parametros_manuales!$I$32*parametros_manuales!$J$32</f>
        <v>16678.66710752</v>
      </c>
      <c r="J204" s="9" t="n">
        <f aca="false">(parametros_manuales!$D$32*('Plan mensual'!L79+IF(parametros_manuales!$H$32="Todos",'Plan mensual'!L83,0))+parametros_manuales!$E$32*('Plan mensual'!L80+IF(parametros_manuales!$H$32="Todos",'Plan mensual'!L84,0))+parametros_manuales!$F$32*('Plan mensual'!L81+IF(parametros_manuales!$H$32="Todos",'Plan mensual'!L85,0))+parametros_manuales!$G$32*('Plan mensual'!L82+IF(parametros_manuales!$H$32="Todos",'Plan mensual'!L86,0)))*parametros_manuales!$I$32*parametros_manuales!$J$32</f>
        <v>16678.66710752</v>
      </c>
      <c r="K204" s="9" t="n">
        <f aca="false">(parametros_manuales!$D$32*('Plan mensual'!M79+IF(parametros_manuales!$H$32="Todos",'Plan mensual'!M83,0))+parametros_manuales!$E$32*('Plan mensual'!M80+IF(parametros_manuales!$H$32="Todos",'Plan mensual'!M84,0))+parametros_manuales!$F$32*('Plan mensual'!M81+IF(parametros_manuales!$H$32="Todos",'Plan mensual'!M85,0))+parametros_manuales!$G$32*('Plan mensual'!M82+IF(parametros_manuales!$H$32="Todos",'Plan mensual'!M86,0)))*parametros_manuales!$I$32*parametros_manuales!$J$32</f>
        <v>16368.124218675</v>
      </c>
      <c r="L204" s="9" t="n">
        <f aca="false">(parametros_manuales!$D$32*('Plan mensual'!N79+IF(parametros_manuales!$H$32="Todos",'Plan mensual'!N83,0))+parametros_manuales!$E$32*('Plan mensual'!N80+IF(parametros_manuales!$H$32="Todos",'Plan mensual'!N84,0))+parametros_manuales!$F$32*('Plan mensual'!N81+IF(parametros_manuales!$H$32="Todos",'Plan mensual'!N85,0))+parametros_manuales!$G$32*('Plan mensual'!N82+IF(parametros_manuales!$H$32="Todos",'Plan mensual'!N86,0)))*parametros_manuales!$I$32*parametros_manuales!$J$32</f>
        <v>16057.58132983</v>
      </c>
      <c r="M204" s="9" t="n">
        <f aca="false">(parametros_manuales!$D$32*('Plan mensual'!O79+IF(parametros_manuales!$H$32="Todos",'Plan mensual'!O83,0))+parametros_manuales!$E$32*('Plan mensual'!O80+IF(parametros_manuales!$H$32="Todos",'Plan mensual'!O84,0))+parametros_manuales!$F$32*('Plan mensual'!O81+IF(parametros_manuales!$H$32="Todos",'Plan mensual'!O85,0))+parametros_manuales!$G$32*('Plan mensual'!O82+IF(parametros_manuales!$H$32="Todos",'Plan mensual'!O86,0)))*parametros_manuales!$I$32*parametros_manuales!$J$32</f>
        <v>25567.91297219</v>
      </c>
      <c r="N204" s="9" t="n">
        <f aca="false">SUM(B204:M204)</f>
        <v>218241.656249</v>
      </c>
      <c r="O204" s="9" t="n">
        <f aca="false">MAX(B204:M204)</f>
        <v>25567.91297219</v>
      </c>
      <c r="P204" s="43" t="n">
        <f aca="false">O204/(parametros_manuales!$B$7)</f>
        <v>170.452753147933</v>
      </c>
      <c r="Q204" s="8" t="str">
        <f aca="false">IF(O204=0,"-",INDEX($B$190:$M$190,MATCH(O204,B204:M204,0)))</f>
        <v>Dic</v>
      </c>
    </row>
    <row r="205" customFormat="false" ht="14.25" hidden="false" customHeight="true" outlineLevel="0" collapsed="false">
      <c r="A205" s="8" t="str">
        <f aca="false">parametros_manuales!$B$33</f>
        <v>Secado</v>
      </c>
      <c r="B205" s="9" t="n">
        <f aca="false">(parametros_manuales!$D$33*('Plan mensual'!D79+IF(parametros_manuales!$H$33="Todos",'Plan mensual'!D83,0))+parametros_manuales!$E$33*('Plan mensual'!D80+IF(parametros_manuales!$H$33="Todos",'Plan mensual'!D84,0))+parametros_manuales!$F$33*('Plan mensual'!D81+IF(parametros_manuales!$H$33="Todos",'Plan mensual'!D85,0))+parametros_manuales!$G$33*('Plan mensual'!D82+IF(parametros_manuales!$H$33="Todos",'Plan mensual'!D86,0)))*parametros_manuales!$I$33*parametros_manuales!$J$33</f>
        <v>24946.8271945</v>
      </c>
      <c r="C205" s="9" t="n">
        <f aca="false">(parametros_manuales!$D$33*('Plan mensual'!E79+IF(parametros_manuales!$H$33="Todos",'Plan mensual'!E83,0))+parametros_manuales!$E$33*('Plan mensual'!E80+IF(parametros_manuales!$H$33="Todos",'Plan mensual'!E84,0))+parametros_manuales!$F$33*('Plan mensual'!E81+IF(parametros_manuales!$H$33="Todos",'Plan mensual'!E85,0))+parametros_manuales!$G$33*('Plan mensual'!E82+IF(parametros_manuales!$H$33="Todos",'Plan mensual'!E86,0)))*parametros_manuales!$I$33*parametros_manuales!$J$33</f>
        <v>19020.66328472</v>
      </c>
      <c r="D205" s="9" t="n">
        <f aca="false">(parametros_manuales!$D$33*('Plan mensual'!F79+IF(parametros_manuales!$H$33="Todos",'Plan mensual'!F83,0))+parametros_manuales!$E$33*('Plan mensual'!F80+IF(parametros_manuales!$H$33="Todos",'Plan mensual'!F84,0))+parametros_manuales!$F$33*('Plan mensual'!F81+IF(parametros_manuales!$H$33="Todos",'Plan mensual'!F85,0))+parametros_manuales!$G$33*('Plan mensual'!F82+IF(parametros_manuales!$H$33="Todos",'Plan mensual'!F86,0)))*parametros_manuales!$I$33*parametros_manuales!$J$33</f>
        <v>17769.875388765</v>
      </c>
      <c r="E205" s="9" t="n">
        <f aca="false">(parametros_manuales!$D$33*('Plan mensual'!G79+IF(parametros_manuales!$H$33="Todos",'Plan mensual'!G83,0))+parametros_manuales!$E$33*('Plan mensual'!G80+IF(parametros_manuales!$H$33="Todos",'Plan mensual'!G84,0))+parametros_manuales!$F$33*('Plan mensual'!G81+IF(parametros_manuales!$H$33="Todos",'Plan mensual'!G85,0))+parametros_manuales!$G$33*('Plan mensual'!G82+IF(parametros_manuales!$H$33="Todos",'Plan mensual'!G86,0)))*parametros_manuales!$I$33*parametros_manuales!$J$33</f>
        <v>16989.209996365</v>
      </c>
      <c r="F205" s="9" t="n">
        <f aca="false">(parametros_manuales!$D$33*('Plan mensual'!H79+IF(parametros_manuales!$H$33="Todos",'Plan mensual'!H83,0))+parametros_manuales!$E$33*('Plan mensual'!H80+IF(parametros_manuales!$H$33="Todos",'Plan mensual'!H84,0))+parametros_manuales!$F$33*('Plan mensual'!H81+IF(parametros_manuales!$H$33="Todos",'Plan mensual'!H85,0))+parametros_manuales!$G$33*('Plan mensual'!H82+IF(parametros_manuales!$H$33="Todos",'Plan mensual'!H86,0)))*parametros_manuales!$I$33*parametros_manuales!$J$33</f>
        <v>15898.00171512</v>
      </c>
      <c r="G205" s="9" t="n">
        <f aca="false">(parametros_manuales!$D$33*('Plan mensual'!I79+IF(parametros_manuales!$H$33="Todos",'Plan mensual'!I83,0))+parametros_manuales!$E$33*('Plan mensual'!I80+IF(parametros_manuales!$H$33="Todos",'Plan mensual'!I84,0))+parametros_manuales!$F$33*('Plan mensual'!I81+IF(parametros_manuales!$H$33="Todos",'Plan mensual'!I85,0))+parametros_manuales!$G$33*('Plan mensual'!I82+IF(parametros_manuales!$H$33="Todos",'Plan mensual'!I86,0)))*parametros_manuales!$I$33*parametros_manuales!$J$33</f>
        <v>15587.458826275</v>
      </c>
      <c r="H205" s="9" t="n">
        <f aca="false">(parametros_manuales!$D$33*('Plan mensual'!J79+IF(parametros_manuales!$H$33="Todos",'Plan mensual'!J83,0))+parametros_manuales!$E$33*('Plan mensual'!J80+IF(parametros_manuales!$H$33="Todos",'Plan mensual'!J84,0))+parametros_manuales!$F$33*('Plan mensual'!J81+IF(parametros_manuales!$H$33="Todos",'Plan mensual'!J85,0))+parametros_manuales!$G$33*('Plan mensual'!J82+IF(parametros_manuales!$H$33="Todos",'Plan mensual'!J86,0)))*parametros_manuales!$I$33*parametros_manuales!$J$33</f>
        <v>16678.66710752</v>
      </c>
      <c r="I205" s="9" t="n">
        <f aca="false">(parametros_manuales!$D$33*('Plan mensual'!K79+IF(parametros_manuales!$H$33="Todos",'Plan mensual'!K83,0))+parametros_manuales!$E$33*('Plan mensual'!K80+IF(parametros_manuales!$H$33="Todos",'Plan mensual'!K84,0))+parametros_manuales!$F$33*('Plan mensual'!K81+IF(parametros_manuales!$H$33="Todos",'Plan mensual'!K85,0))+parametros_manuales!$G$33*('Plan mensual'!K82+IF(parametros_manuales!$H$33="Todos",'Plan mensual'!K86,0)))*parametros_manuales!$I$33*parametros_manuales!$J$33</f>
        <v>16678.66710752</v>
      </c>
      <c r="J205" s="9" t="n">
        <f aca="false">(parametros_manuales!$D$33*('Plan mensual'!L79+IF(parametros_manuales!$H$33="Todos",'Plan mensual'!L83,0))+parametros_manuales!$E$33*('Plan mensual'!L80+IF(parametros_manuales!$H$33="Todos",'Plan mensual'!L84,0))+parametros_manuales!$F$33*('Plan mensual'!L81+IF(parametros_manuales!$H$33="Todos",'Plan mensual'!L85,0))+parametros_manuales!$G$33*('Plan mensual'!L82+IF(parametros_manuales!$H$33="Todos",'Plan mensual'!L86,0)))*parametros_manuales!$I$33*parametros_manuales!$J$33</f>
        <v>16678.66710752</v>
      </c>
      <c r="K205" s="9" t="n">
        <f aca="false">(parametros_manuales!$D$33*('Plan mensual'!M79+IF(parametros_manuales!$H$33="Todos",'Plan mensual'!M83,0))+parametros_manuales!$E$33*('Plan mensual'!M80+IF(parametros_manuales!$H$33="Todos",'Plan mensual'!M84,0))+parametros_manuales!$F$33*('Plan mensual'!M81+IF(parametros_manuales!$H$33="Todos",'Plan mensual'!M85,0))+parametros_manuales!$G$33*('Plan mensual'!M82+IF(parametros_manuales!$H$33="Todos",'Plan mensual'!M86,0)))*parametros_manuales!$I$33*parametros_manuales!$J$33</f>
        <v>16368.124218675</v>
      </c>
      <c r="L205" s="9" t="n">
        <f aca="false">(parametros_manuales!$D$33*('Plan mensual'!N79+IF(parametros_manuales!$H$33="Todos",'Plan mensual'!N83,0))+parametros_manuales!$E$33*('Plan mensual'!N80+IF(parametros_manuales!$H$33="Todos",'Plan mensual'!N84,0))+parametros_manuales!$F$33*('Plan mensual'!N81+IF(parametros_manuales!$H$33="Todos",'Plan mensual'!N85,0))+parametros_manuales!$G$33*('Plan mensual'!N82+IF(parametros_manuales!$H$33="Todos",'Plan mensual'!N86,0)))*parametros_manuales!$I$33*parametros_manuales!$J$33</f>
        <v>16057.58132983</v>
      </c>
      <c r="M205" s="9" t="n">
        <f aca="false">(parametros_manuales!$D$33*('Plan mensual'!O79+IF(parametros_manuales!$H$33="Todos",'Plan mensual'!O83,0))+parametros_manuales!$E$33*('Plan mensual'!O80+IF(parametros_manuales!$H$33="Todos",'Plan mensual'!O84,0))+parametros_manuales!$F$33*('Plan mensual'!O81+IF(parametros_manuales!$H$33="Todos",'Plan mensual'!O85,0))+parametros_manuales!$G$33*('Plan mensual'!O82+IF(parametros_manuales!$H$33="Todos",'Plan mensual'!O86,0)))*parametros_manuales!$I$33*parametros_manuales!$J$33</f>
        <v>25567.91297219</v>
      </c>
      <c r="N205" s="9" t="n">
        <f aca="false">SUM(B205:M205)</f>
        <v>218241.656249</v>
      </c>
      <c r="O205" s="9" t="n">
        <f aca="false">MAX(B205:M205)</f>
        <v>25567.91297219</v>
      </c>
      <c r="P205" s="43" t="n">
        <f aca="false">O205/(parametros_manuales!$B$7)</f>
        <v>170.452753147933</v>
      </c>
      <c r="Q205" s="8" t="str">
        <f aca="false">IF(O205=0,"-",INDEX($B$190:$M$190,MATCH(O205,B205:M205,0)))</f>
        <v>Dic</v>
      </c>
    </row>
    <row r="206" customFormat="false" ht="14.25" hidden="false" customHeight="true" outlineLevel="0" collapsed="false">
      <c r="A206" s="8" t="str">
        <f aca="false">parametros_manuales!$B$34</f>
        <v>Granallado</v>
      </c>
      <c r="B206" s="9" t="n">
        <f aca="false">(parametros_manuales!$D$34*('Plan mensual'!D79+IF(parametros_manuales!$H$34="Todos",'Plan mensual'!D83,0))+parametros_manuales!$E$34*('Plan mensual'!D80+IF(parametros_manuales!$H$34="Todos",'Plan mensual'!D84,0))+parametros_manuales!$F$34*('Plan mensual'!D81+IF(parametros_manuales!$H$34="Todos",'Plan mensual'!D85,0))+parametros_manuales!$G$34*('Plan mensual'!D82+IF(parametros_manuales!$H$34="Todos",'Plan mensual'!D86,0)))*parametros_manuales!$I$34*parametros_manuales!$J$34</f>
        <v>24946.8271945</v>
      </c>
      <c r="C206" s="9" t="n">
        <f aca="false">(parametros_manuales!$D$34*('Plan mensual'!E79+IF(parametros_manuales!$H$34="Todos",'Plan mensual'!E83,0))+parametros_manuales!$E$34*('Plan mensual'!E80+IF(parametros_manuales!$H$34="Todos",'Plan mensual'!E84,0))+parametros_manuales!$F$34*('Plan mensual'!E81+IF(parametros_manuales!$H$34="Todos",'Plan mensual'!E85,0))+parametros_manuales!$G$34*('Plan mensual'!E82+IF(parametros_manuales!$H$34="Todos",'Plan mensual'!E86,0)))*parametros_manuales!$I$34*parametros_manuales!$J$34</f>
        <v>19020.66328472</v>
      </c>
      <c r="D206" s="9" t="n">
        <f aca="false">(parametros_manuales!$D$34*('Plan mensual'!F79+IF(parametros_manuales!$H$34="Todos",'Plan mensual'!F83,0))+parametros_manuales!$E$34*('Plan mensual'!F80+IF(parametros_manuales!$H$34="Todos",'Plan mensual'!F84,0))+parametros_manuales!$F$34*('Plan mensual'!F81+IF(parametros_manuales!$H$34="Todos",'Plan mensual'!F85,0))+parametros_manuales!$G$34*('Plan mensual'!F82+IF(parametros_manuales!$H$34="Todos",'Plan mensual'!F86,0)))*parametros_manuales!$I$34*parametros_manuales!$J$34</f>
        <v>17769.875388765</v>
      </c>
      <c r="E206" s="9" t="n">
        <f aca="false">(parametros_manuales!$D$34*('Plan mensual'!G79+IF(parametros_manuales!$H$34="Todos",'Plan mensual'!G83,0))+parametros_manuales!$E$34*('Plan mensual'!G80+IF(parametros_manuales!$H$34="Todos",'Plan mensual'!G84,0))+parametros_manuales!$F$34*('Plan mensual'!G81+IF(parametros_manuales!$H$34="Todos",'Plan mensual'!G85,0))+parametros_manuales!$G$34*('Plan mensual'!G82+IF(parametros_manuales!$H$34="Todos",'Plan mensual'!G86,0)))*parametros_manuales!$I$34*parametros_manuales!$J$34</f>
        <v>16989.209996365</v>
      </c>
      <c r="F206" s="9" t="n">
        <f aca="false">(parametros_manuales!$D$34*('Plan mensual'!H79+IF(parametros_manuales!$H$34="Todos",'Plan mensual'!H83,0))+parametros_manuales!$E$34*('Plan mensual'!H80+IF(parametros_manuales!$H$34="Todos",'Plan mensual'!H84,0))+parametros_manuales!$F$34*('Plan mensual'!H81+IF(parametros_manuales!$H$34="Todos",'Plan mensual'!H85,0))+parametros_manuales!$G$34*('Plan mensual'!H82+IF(parametros_manuales!$H$34="Todos",'Plan mensual'!H86,0)))*parametros_manuales!$I$34*parametros_manuales!$J$34</f>
        <v>15898.00171512</v>
      </c>
      <c r="G206" s="9" t="n">
        <f aca="false">(parametros_manuales!$D$34*('Plan mensual'!I79+IF(parametros_manuales!$H$34="Todos",'Plan mensual'!I83,0))+parametros_manuales!$E$34*('Plan mensual'!I80+IF(parametros_manuales!$H$34="Todos",'Plan mensual'!I84,0))+parametros_manuales!$F$34*('Plan mensual'!I81+IF(parametros_manuales!$H$34="Todos",'Plan mensual'!I85,0))+parametros_manuales!$G$34*('Plan mensual'!I82+IF(parametros_manuales!$H$34="Todos",'Plan mensual'!I86,0)))*parametros_manuales!$I$34*parametros_manuales!$J$34</f>
        <v>15587.458826275</v>
      </c>
      <c r="H206" s="9" t="n">
        <f aca="false">(parametros_manuales!$D$34*('Plan mensual'!J79+IF(parametros_manuales!$H$34="Todos",'Plan mensual'!J83,0))+parametros_manuales!$E$34*('Plan mensual'!J80+IF(parametros_manuales!$H$34="Todos",'Plan mensual'!J84,0))+parametros_manuales!$F$34*('Plan mensual'!J81+IF(parametros_manuales!$H$34="Todos",'Plan mensual'!J85,0))+parametros_manuales!$G$34*('Plan mensual'!J82+IF(parametros_manuales!$H$34="Todos",'Plan mensual'!J86,0)))*parametros_manuales!$I$34*parametros_manuales!$J$34</f>
        <v>16678.66710752</v>
      </c>
      <c r="I206" s="9" t="n">
        <f aca="false">(parametros_manuales!$D$34*('Plan mensual'!K79+IF(parametros_manuales!$H$34="Todos",'Plan mensual'!K83,0))+parametros_manuales!$E$34*('Plan mensual'!K80+IF(parametros_manuales!$H$34="Todos",'Plan mensual'!K84,0))+parametros_manuales!$F$34*('Plan mensual'!K81+IF(parametros_manuales!$H$34="Todos",'Plan mensual'!K85,0))+parametros_manuales!$G$34*('Plan mensual'!K82+IF(parametros_manuales!$H$34="Todos",'Plan mensual'!K86,0)))*parametros_manuales!$I$34*parametros_manuales!$J$34</f>
        <v>16678.66710752</v>
      </c>
      <c r="J206" s="9" t="n">
        <f aca="false">(parametros_manuales!$D$34*('Plan mensual'!L79+IF(parametros_manuales!$H$34="Todos",'Plan mensual'!L83,0))+parametros_manuales!$E$34*('Plan mensual'!L80+IF(parametros_manuales!$H$34="Todos",'Plan mensual'!L84,0))+parametros_manuales!$F$34*('Plan mensual'!L81+IF(parametros_manuales!$H$34="Todos",'Plan mensual'!L85,0))+parametros_manuales!$G$34*('Plan mensual'!L82+IF(parametros_manuales!$H$34="Todos",'Plan mensual'!L86,0)))*parametros_manuales!$I$34*parametros_manuales!$J$34</f>
        <v>16678.66710752</v>
      </c>
      <c r="K206" s="9" t="n">
        <f aca="false">(parametros_manuales!$D$34*('Plan mensual'!M79+IF(parametros_manuales!$H$34="Todos",'Plan mensual'!M83,0))+parametros_manuales!$E$34*('Plan mensual'!M80+IF(parametros_manuales!$H$34="Todos",'Plan mensual'!M84,0))+parametros_manuales!$F$34*('Plan mensual'!M81+IF(parametros_manuales!$H$34="Todos",'Plan mensual'!M85,0))+parametros_manuales!$G$34*('Plan mensual'!M82+IF(parametros_manuales!$H$34="Todos",'Plan mensual'!M86,0)))*parametros_manuales!$I$34*parametros_manuales!$J$34</f>
        <v>16368.124218675</v>
      </c>
      <c r="L206" s="9" t="n">
        <f aca="false">(parametros_manuales!$D$34*('Plan mensual'!N79+IF(parametros_manuales!$H$34="Todos",'Plan mensual'!N83,0))+parametros_manuales!$E$34*('Plan mensual'!N80+IF(parametros_manuales!$H$34="Todos",'Plan mensual'!N84,0))+parametros_manuales!$F$34*('Plan mensual'!N81+IF(parametros_manuales!$H$34="Todos",'Plan mensual'!N85,0))+parametros_manuales!$G$34*('Plan mensual'!N82+IF(parametros_manuales!$H$34="Todos",'Plan mensual'!N86,0)))*parametros_manuales!$I$34*parametros_manuales!$J$34</f>
        <v>16057.58132983</v>
      </c>
      <c r="M206" s="9" t="n">
        <f aca="false">(parametros_manuales!$D$34*('Plan mensual'!O79+IF(parametros_manuales!$H$34="Todos",'Plan mensual'!O83,0))+parametros_manuales!$E$34*('Plan mensual'!O80+IF(parametros_manuales!$H$34="Todos",'Plan mensual'!O84,0))+parametros_manuales!$F$34*('Plan mensual'!O81+IF(parametros_manuales!$H$34="Todos",'Plan mensual'!O85,0))+parametros_manuales!$G$34*('Plan mensual'!O82+IF(parametros_manuales!$H$34="Todos",'Plan mensual'!O86,0)))*parametros_manuales!$I$34*parametros_manuales!$J$34</f>
        <v>25567.91297219</v>
      </c>
      <c r="N206" s="9" t="n">
        <f aca="false">SUM(B206:M206)</f>
        <v>218241.656249</v>
      </c>
      <c r="O206" s="9" t="n">
        <f aca="false">MAX(B206:M206)</f>
        <v>25567.91297219</v>
      </c>
      <c r="P206" s="43" t="n">
        <f aca="false">O206/(parametros_manuales!$B$7)</f>
        <v>170.452753147933</v>
      </c>
      <c r="Q206" s="8" t="str">
        <f aca="false">IF(O206=0,"-",INDEX($B$190:$M$190,MATCH(O206,B206:M206,0)))</f>
        <v>Dic</v>
      </c>
    </row>
    <row r="207" customFormat="false" ht="14.25" hidden="false" customHeight="true" outlineLevel="0" collapsed="false">
      <c r="A207" s="8" t="str">
        <f aca="false">parametros_manuales!$B$35</f>
        <v>Detección de defectos</v>
      </c>
      <c r="B207" s="9" t="n">
        <f aca="false">(parametros_manuales!$D$35*('Plan mensual'!D79+IF(parametros_manuales!$H$35="Todos",'Plan mensual'!D83,0))+parametros_manuales!$E$35*('Plan mensual'!D80+IF(parametros_manuales!$H$35="Todos",'Plan mensual'!D84,0))+parametros_manuales!$F$35*('Plan mensual'!D81+IF(parametros_manuales!$H$35="Todos",'Plan mensual'!D85,0))+parametros_manuales!$G$35*('Plan mensual'!D82+IF(parametros_manuales!$H$35="Todos",'Plan mensual'!D86,0)))*parametros_manuales!$I$35*parametros_manuales!$J$35</f>
        <v>24946.8271945</v>
      </c>
      <c r="C207" s="9" t="n">
        <f aca="false">(parametros_manuales!$D$35*('Plan mensual'!E79+IF(parametros_manuales!$H$35="Todos",'Plan mensual'!E83,0))+parametros_manuales!$E$35*('Plan mensual'!E80+IF(parametros_manuales!$H$35="Todos",'Plan mensual'!E84,0))+parametros_manuales!$F$35*('Plan mensual'!E81+IF(parametros_manuales!$H$35="Todos",'Plan mensual'!E85,0))+parametros_manuales!$G$35*('Plan mensual'!E82+IF(parametros_manuales!$H$35="Todos",'Plan mensual'!E86,0)))*parametros_manuales!$I$35*parametros_manuales!$J$35</f>
        <v>19020.66328472</v>
      </c>
      <c r="D207" s="9" t="n">
        <f aca="false">(parametros_manuales!$D$35*('Plan mensual'!F79+IF(parametros_manuales!$H$35="Todos",'Plan mensual'!F83,0))+parametros_manuales!$E$35*('Plan mensual'!F80+IF(parametros_manuales!$H$35="Todos",'Plan mensual'!F84,0))+parametros_manuales!$F$35*('Plan mensual'!F81+IF(parametros_manuales!$H$35="Todos",'Plan mensual'!F85,0))+parametros_manuales!$G$35*('Plan mensual'!F82+IF(parametros_manuales!$H$35="Todos",'Plan mensual'!F86,0)))*parametros_manuales!$I$35*parametros_manuales!$J$35</f>
        <v>17769.875388765</v>
      </c>
      <c r="E207" s="9" t="n">
        <f aca="false">(parametros_manuales!$D$35*('Plan mensual'!G79+IF(parametros_manuales!$H$35="Todos",'Plan mensual'!G83,0))+parametros_manuales!$E$35*('Plan mensual'!G80+IF(parametros_manuales!$H$35="Todos",'Plan mensual'!G84,0))+parametros_manuales!$F$35*('Plan mensual'!G81+IF(parametros_manuales!$H$35="Todos",'Plan mensual'!G85,0))+parametros_manuales!$G$35*('Plan mensual'!G82+IF(parametros_manuales!$H$35="Todos",'Plan mensual'!G86,0)))*parametros_manuales!$I$35*parametros_manuales!$J$35</f>
        <v>16989.209996365</v>
      </c>
      <c r="F207" s="9" t="n">
        <f aca="false">(parametros_manuales!$D$35*('Plan mensual'!H79+IF(parametros_manuales!$H$35="Todos",'Plan mensual'!H83,0))+parametros_manuales!$E$35*('Plan mensual'!H80+IF(parametros_manuales!$H$35="Todos",'Plan mensual'!H84,0))+parametros_manuales!$F$35*('Plan mensual'!H81+IF(parametros_manuales!$H$35="Todos",'Plan mensual'!H85,0))+parametros_manuales!$G$35*('Plan mensual'!H82+IF(parametros_manuales!$H$35="Todos",'Plan mensual'!H86,0)))*parametros_manuales!$I$35*parametros_manuales!$J$35</f>
        <v>15898.00171512</v>
      </c>
      <c r="G207" s="9" t="n">
        <f aca="false">(parametros_manuales!$D$35*('Plan mensual'!I79+IF(parametros_manuales!$H$35="Todos",'Plan mensual'!I83,0))+parametros_manuales!$E$35*('Plan mensual'!I80+IF(parametros_manuales!$H$35="Todos",'Plan mensual'!I84,0))+parametros_manuales!$F$35*('Plan mensual'!I81+IF(parametros_manuales!$H$35="Todos",'Plan mensual'!I85,0))+parametros_manuales!$G$35*('Plan mensual'!I82+IF(parametros_manuales!$H$35="Todos",'Plan mensual'!I86,0)))*parametros_manuales!$I$35*parametros_manuales!$J$35</f>
        <v>15587.458826275</v>
      </c>
      <c r="H207" s="9" t="n">
        <f aca="false">(parametros_manuales!$D$35*('Plan mensual'!J79+IF(parametros_manuales!$H$35="Todos",'Plan mensual'!J83,0))+parametros_manuales!$E$35*('Plan mensual'!J80+IF(parametros_manuales!$H$35="Todos",'Plan mensual'!J84,0))+parametros_manuales!$F$35*('Plan mensual'!J81+IF(parametros_manuales!$H$35="Todos",'Plan mensual'!J85,0))+parametros_manuales!$G$35*('Plan mensual'!J82+IF(parametros_manuales!$H$35="Todos",'Plan mensual'!J86,0)))*parametros_manuales!$I$35*parametros_manuales!$J$35</f>
        <v>16678.66710752</v>
      </c>
      <c r="I207" s="9" t="n">
        <f aca="false">(parametros_manuales!$D$35*('Plan mensual'!K79+IF(parametros_manuales!$H$35="Todos",'Plan mensual'!K83,0))+parametros_manuales!$E$35*('Plan mensual'!K80+IF(parametros_manuales!$H$35="Todos",'Plan mensual'!K84,0))+parametros_manuales!$F$35*('Plan mensual'!K81+IF(parametros_manuales!$H$35="Todos",'Plan mensual'!K85,0))+parametros_manuales!$G$35*('Plan mensual'!K82+IF(parametros_manuales!$H$35="Todos",'Plan mensual'!K86,0)))*parametros_manuales!$I$35*parametros_manuales!$J$35</f>
        <v>16678.66710752</v>
      </c>
      <c r="J207" s="9" t="n">
        <f aca="false">(parametros_manuales!$D$35*('Plan mensual'!L79+IF(parametros_manuales!$H$35="Todos",'Plan mensual'!L83,0))+parametros_manuales!$E$35*('Plan mensual'!L80+IF(parametros_manuales!$H$35="Todos",'Plan mensual'!L84,0))+parametros_manuales!$F$35*('Plan mensual'!L81+IF(parametros_manuales!$H$35="Todos",'Plan mensual'!L85,0))+parametros_manuales!$G$35*('Plan mensual'!L82+IF(parametros_manuales!$H$35="Todos",'Plan mensual'!L86,0)))*parametros_manuales!$I$35*parametros_manuales!$J$35</f>
        <v>16678.66710752</v>
      </c>
      <c r="K207" s="9" t="n">
        <f aca="false">(parametros_manuales!$D$35*('Plan mensual'!M79+IF(parametros_manuales!$H$35="Todos",'Plan mensual'!M83,0))+parametros_manuales!$E$35*('Plan mensual'!M80+IF(parametros_manuales!$H$35="Todos",'Plan mensual'!M84,0))+parametros_manuales!$F$35*('Plan mensual'!M81+IF(parametros_manuales!$H$35="Todos",'Plan mensual'!M85,0))+parametros_manuales!$G$35*('Plan mensual'!M82+IF(parametros_manuales!$H$35="Todos",'Plan mensual'!M86,0)))*parametros_manuales!$I$35*parametros_manuales!$J$35</f>
        <v>16368.124218675</v>
      </c>
      <c r="L207" s="9" t="n">
        <f aca="false">(parametros_manuales!$D$35*('Plan mensual'!N79+IF(parametros_manuales!$H$35="Todos",'Plan mensual'!N83,0))+parametros_manuales!$E$35*('Plan mensual'!N80+IF(parametros_manuales!$H$35="Todos",'Plan mensual'!N84,0))+parametros_manuales!$F$35*('Plan mensual'!N81+IF(parametros_manuales!$H$35="Todos",'Plan mensual'!N85,0))+parametros_manuales!$G$35*('Plan mensual'!N82+IF(parametros_manuales!$H$35="Todos",'Plan mensual'!N86,0)))*parametros_manuales!$I$35*parametros_manuales!$J$35</f>
        <v>16057.58132983</v>
      </c>
      <c r="M207" s="9" t="n">
        <f aca="false">(parametros_manuales!$D$35*('Plan mensual'!O79+IF(parametros_manuales!$H$35="Todos",'Plan mensual'!O83,0))+parametros_manuales!$E$35*('Plan mensual'!O80+IF(parametros_manuales!$H$35="Todos",'Plan mensual'!O84,0))+parametros_manuales!$F$35*('Plan mensual'!O81+IF(parametros_manuales!$H$35="Todos",'Plan mensual'!O85,0))+parametros_manuales!$G$35*('Plan mensual'!O82+IF(parametros_manuales!$H$35="Todos",'Plan mensual'!O86,0)))*parametros_manuales!$I$35*parametros_manuales!$J$35</f>
        <v>25567.91297219</v>
      </c>
      <c r="N207" s="9" t="n">
        <f aca="false">SUM(B207:M207)</f>
        <v>218241.656249</v>
      </c>
      <c r="O207" s="9" t="n">
        <f aca="false">MAX(B207:M207)</f>
        <v>25567.91297219</v>
      </c>
      <c r="P207" s="43" t="n">
        <f aca="false">O207/(parametros_manuales!$B$7)</f>
        <v>170.452753147933</v>
      </c>
      <c r="Q207" s="8" t="str">
        <f aca="false">IF(O207=0,"-",INDEX($B$190:$M$190,MATCH(O207,B207:M207,0)))</f>
        <v>Dic</v>
      </c>
    </row>
    <row r="208" customFormat="false" ht="14.25" hidden="false" customHeight="true" outlineLevel="0" collapsed="false">
      <c r="A208" s="8" t="str">
        <f aca="false">parametros_manuales!$B$36</f>
        <v>Corrección de defectos</v>
      </c>
      <c r="B208" s="9" t="n">
        <f aca="false">(parametros_manuales!$D$36*('Plan mensual'!D79+IF(parametros_manuales!$H$36="Todos",'Plan mensual'!D83,0))+parametros_manuales!$E$36*('Plan mensual'!D80+IF(parametros_manuales!$H$36="Todos",'Plan mensual'!D84,0))+parametros_manuales!$F$36*('Plan mensual'!D81+IF(parametros_manuales!$H$36="Todos",'Plan mensual'!D85,0))+parametros_manuales!$G$36*('Plan mensual'!D82+IF(parametros_manuales!$H$36="Todos",'Plan mensual'!D86,0)))*parametros_manuales!$I$36*parametros_manuales!$J$36</f>
        <v>1247.341359725</v>
      </c>
      <c r="C208" s="9" t="n">
        <f aca="false">(parametros_manuales!$D$36*('Plan mensual'!E79+IF(parametros_manuales!$H$36="Todos",'Plan mensual'!E83,0))+parametros_manuales!$E$36*('Plan mensual'!E80+IF(parametros_manuales!$H$36="Todos",'Plan mensual'!E84,0))+parametros_manuales!$F$36*('Plan mensual'!E81+IF(parametros_manuales!$H$36="Todos",'Plan mensual'!E85,0))+parametros_manuales!$G$36*('Plan mensual'!E82+IF(parametros_manuales!$H$36="Todos",'Plan mensual'!E86,0)))*parametros_manuales!$I$36*parametros_manuales!$J$36</f>
        <v>951.033164236</v>
      </c>
      <c r="D208" s="9" t="n">
        <f aca="false">(parametros_manuales!$D$36*('Plan mensual'!F79+IF(parametros_manuales!$H$36="Todos",'Plan mensual'!F83,0))+parametros_manuales!$E$36*('Plan mensual'!F80+IF(parametros_manuales!$H$36="Todos",'Plan mensual'!F84,0))+parametros_manuales!$F$36*('Plan mensual'!F81+IF(parametros_manuales!$H$36="Todos",'Plan mensual'!F85,0))+parametros_manuales!$G$36*('Plan mensual'!F82+IF(parametros_manuales!$H$36="Todos",'Plan mensual'!F86,0)))*parametros_manuales!$I$36*parametros_manuales!$J$36</f>
        <v>888.49376943825</v>
      </c>
      <c r="E208" s="9" t="n">
        <f aca="false">(parametros_manuales!$D$36*('Plan mensual'!G79+IF(parametros_manuales!$H$36="Todos",'Plan mensual'!G83,0))+parametros_manuales!$E$36*('Plan mensual'!G80+IF(parametros_manuales!$H$36="Todos",'Plan mensual'!G84,0))+parametros_manuales!$F$36*('Plan mensual'!G81+IF(parametros_manuales!$H$36="Todos",'Plan mensual'!G85,0))+parametros_manuales!$G$36*('Plan mensual'!G82+IF(parametros_manuales!$H$36="Todos",'Plan mensual'!G86,0)))*parametros_manuales!$I$36*parametros_manuales!$J$36</f>
        <v>849.46049981825</v>
      </c>
      <c r="F208" s="9" t="n">
        <f aca="false">(parametros_manuales!$D$36*('Plan mensual'!H79+IF(parametros_manuales!$H$36="Todos",'Plan mensual'!H83,0))+parametros_manuales!$E$36*('Plan mensual'!H80+IF(parametros_manuales!$H$36="Todos",'Plan mensual'!H84,0))+parametros_manuales!$F$36*('Plan mensual'!H81+IF(parametros_manuales!$H$36="Todos",'Plan mensual'!H85,0))+parametros_manuales!$G$36*('Plan mensual'!H82+IF(parametros_manuales!$H$36="Todos",'Plan mensual'!H86,0)))*parametros_manuales!$I$36*parametros_manuales!$J$36</f>
        <v>794.900085756</v>
      </c>
      <c r="G208" s="9" t="n">
        <f aca="false">(parametros_manuales!$D$36*('Plan mensual'!I79+IF(parametros_manuales!$H$36="Todos",'Plan mensual'!I83,0))+parametros_manuales!$E$36*('Plan mensual'!I80+IF(parametros_manuales!$H$36="Todos",'Plan mensual'!I84,0))+parametros_manuales!$F$36*('Plan mensual'!I81+IF(parametros_manuales!$H$36="Todos",'Plan mensual'!I85,0))+parametros_manuales!$G$36*('Plan mensual'!I82+IF(parametros_manuales!$H$36="Todos",'Plan mensual'!I86,0)))*parametros_manuales!$I$36*parametros_manuales!$J$36</f>
        <v>779.37294131375</v>
      </c>
      <c r="H208" s="9" t="n">
        <f aca="false">(parametros_manuales!$D$36*('Plan mensual'!J79+IF(parametros_manuales!$H$36="Todos",'Plan mensual'!J83,0))+parametros_manuales!$E$36*('Plan mensual'!J80+IF(parametros_manuales!$H$36="Todos",'Plan mensual'!J84,0))+parametros_manuales!$F$36*('Plan mensual'!J81+IF(parametros_manuales!$H$36="Todos",'Plan mensual'!J85,0))+parametros_manuales!$G$36*('Plan mensual'!J82+IF(parametros_manuales!$H$36="Todos",'Plan mensual'!J86,0)))*parametros_manuales!$I$36*parametros_manuales!$J$36</f>
        <v>833.933355376</v>
      </c>
      <c r="I208" s="9" t="n">
        <f aca="false">(parametros_manuales!$D$36*('Plan mensual'!K79+IF(parametros_manuales!$H$36="Todos",'Plan mensual'!K83,0))+parametros_manuales!$E$36*('Plan mensual'!K80+IF(parametros_manuales!$H$36="Todos",'Plan mensual'!K84,0))+parametros_manuales!$F$36*('Plan mensual'!K81+IF(parametros_manuales!$H$36="Todos",'Plan mensual'!K85,0))+parametros_manuales!$G$36*('Plan mensual'!K82+IF(parametros_manuales!$H$36="Todos",'Plan mensual'!K86,0)))*parametros_manuales!$I$36*parametros_manuales!$J$36</f>
        <v>833.933355376</v>
      </c>
      <c r="J208" s="9" t="n">
        <f aca="false">(parametros_manuales!$D$36*('Plan mensual'!L79+IF(parametros_manuales!$H$36="Todos",'Plan mensual'!L83,0))+parametros_manuales!$E$36*('Plan mensual'!L80+IF(parametros_manuales!$H$36="Todos",'Plan mensual'!L84,0))+parametros_manuales!$F$36*('Plan mensual'!L81+IF(parametros_manuales!$H$36="Todos",'Plan mensual'!L85,0))+parametros_manuales!$G$36*('Plan mensual'!L82+IF(parametros_manuales!$H$36="Todos",'Plan mensual'!L86,0)))*parametros_manuales!$I$36*parametros_manuales!$J$36</f>
        <v>833.933355376</v>
      </c>
      <c r="K208" s="9" t="n">
        <f aca="false">(parametros_manuales!$D$36*('Plan mensual'!M79+IF(parametros_manuales!$H$36="Todos",'Plan mensual'!M83,0))+parametros_manuales!$E$36*('Plan mensual'!M80+IF(parametros_manuales!$H$36="Todos",'Plan mensual'!M84,0))+parametros_manuales!$F$36*('Plan mensual'!M81+IF(parametros_manuales!$H$36="Todos",'Plan mensual'!M85,0))+parametros_manuales!$G$36*('Plan mensual'!M82+IF(parametros_manuales!$H$36="Todos",'Plan mensual'!M86,0)))*parametros_manuales!$I$36*parametros_manuales!$J$36</f>
        <v>818.40621093375</v>
      </c>
      <c r="L208" s="9" t="n">
        <f aca="false">(parametros_manuales!$D$36*('Plan mensual'!N79+IF(parametros_manuales!$H$36="Todos",'Plan mensual'!N83,0))+parametros_manuales!$E$36*('Plan mensual'!N80+IF(parametros_manuales!$H$36="Todos",'Plan mensual'!N84,0))+parametros_manuales!$F$36*('Plan mensual'!N81+IF(parametros_manuales!$H$36="Todos",'Plan mensual'!N85,0))+parametros_manuales!$G$36*('Plan mensual'!N82+IF(parametros_manuales!$H$36="Todos",'Plan mensual'!N86,0)))*parametros_manuales!$I$36*parametros_manuales!$J$36</f>
        <v>802.8790664915</v>
      </c>
      <c r="M208" s="9" t="n">
        <f aca="false">(parametros_manuales!$D$36*('Plan mensual'!O79+IF(parametros_manuales!$H$36="Todos",'Plan mensual'!O83,0))+parametros_manuales!$E$36*('Plan mensual'!O80+IF(parametros_manuales!$H$36="Todos",'Plan mensual'!O84,0))+parametros_manuales!$F$36*('Plan mensual'!O81+IF(parametros_manuales!$H$36="Todos",'Plan mensual'!O85,0))+parametros_manuales!$G$36*('Plan mensual'!O82+IF(parametros_manuales!$H$36="Todos",'Plan mensual'!O86,0)))*parametros_manuales!$I$36*parametros_manuales!$J$36</f>
        <v>1278.3956486095</v>
      </c>
      <c r="N208" s="9" t="n">
        <f aca="false">SUM(B208:M208)</f>
        <v>10912.08281245</v>
      </c>
      <c r="O208" s="9" t="n">
        <f aca="false">MAX(B208:M208)</f>
        <v>1278.3956486095</v>
      </c>
      <c r="P208" s="43" t="n">
        <f aca="false">O208/(parametros_manuales!$B$7)</f>
        <v>8.52263765739667</v>
      </c>
      <c r="Q208" s="8" t="str">
        <f aca="false">IF(O208=0,"-",INDEX($B$190:$M$190,MATCH(O208,B208:M208,0)))</f>
        <v>Dic</v>
      </c>
    </row>
    <row r="209" customFormat="false" ht="14.25" hidden="false" customHeight="true" outlineLevel="0" collapsed="false">
      <c r="A209" s="8" t="str">
        <f aca="false">parametros_manuales!$B$37</f>
        <v>Pintura en polvo + horno</v>
      </c>
      <c r="B209" s="9" t="n">
        <f aca="false">(parametros_manuales!$D$37*('Plan mensual'!D79+IF(parametros_manuales!$H$37="Todos",'Plan mensual'!D83,0))+parametros_manuales!$E$37*('Plan mensual'!D80+IF(parametros_manuales!$H$37="Todos",'Plan mensual'!D84,0))+parametros_manuales!$F$37*('Plan mensual'!D81+IF(parametros_manuales!$H$37="Todos",'Plan mensual'!D85,0))+parametros_manuales!$G$37*('Plan mensual'!D82+IF(parametros_manuales!$H$37="Todos",'Plan mensual'!D86,0)))*parametros_manuales!$I$37*parametros_manuales!$J$37</f>
        <v>24946.8271945</v>
      </c>
      <c r="C209" s="9" t="n">
        <f aca="false">(parametros_manuales!$D$37*('Plan mensual'!E79+IF(parametros_manuales!$H$37="Todos",'Plan mensual'!E83,0))+parametros_manuales!$E$37*('Plan mensual'!E80+IF(parametros_manuales!$H$37="Todos",'Plan mensual'!E84,0))+parametros_manuales!$F$37*('Plan mensual'!E81+IF(parametros_manuales!$H$37="Todos",'Plan mensual'!E85,0))+parametros_manuales!$G$37*('Plan mensual'!E82+IF(parametros_manuales!$H$37="Todos",'Plan mensual'!E86,0)))*parametros_manuales!$I$37*parametros_manuales!$J$37</f>
        <v>19020.66328472</v>
      </c>
      <c r="D209" s="9" t="n">
        <f aca="false">(parametros_manuales!$D$37*('Plan mensual'!F79+IF(parametros_manuales!$H$37="Todos",'Plan mensual'!F83,0))+parametros_manuales!$E$37*('Plan mensual'!F80+IF(parametros_manuales!$H$37="Todos",'Plan mensual'!F84,0))+parametros_manuales!$F$37*('Plan mensual'!F81+IF(parametros_manuales!$H$37="Todos",'Plan mensual'!F85,0))+parametros_manuales!$G$37*('Plan mensual'!F82+IF(parametros_manuales!$H$37="Todos",'Plan mensual'!F86,0)))*parametros_manuales!$I$37*parametros_manuales!$J$37</f>
        <v>17769.875388765</v>
      </c>
      <c r="E209" s="9" t="n">
        <f aca="false">(parametros_manuales!$D$37*('Plan mensual'!G79+IF(parametros_manuales!$H$37="Todos",'Plan mensual'!G83,0))+parametros_manuales!$E$37*('Plan mensual'!G80+IF(parametros_manuales!$H$37="Todos",'Plan mensual'!G84,0))+parametros_manuales!$F$37*('Plan mensual'!G81+IF(parametros_manuales!$H$37="Todos",'Plan mensual'!G85,0))+parametros_manuales!$G$37*('Plan mensual'!G82+IF(parametros_manuales!$H$37="Todos",'Plan mensual'!G86,0)))*parametros_manuales!$I$37*parametros_manuales!$J$37</f>
        <v>16989.209996365</v>
      </c>
      <c r="F209" s="9" t="n">
        <f aca="false">(parametros_manuales!$D$37*('Plan mensual'!H79+IF(parametros_manuales!$H$37="Todos",'Plan mensual'!H83,0))+parametros_manuales!$E$37*('Plan mensual'!H80+IF(parametros_manuales!$H$37="Todos",'Plan mensual'!H84,0))+parametros_manuales!$F$37*('Plan mensual'!H81+IF(parametros_manuales!$H$37="Todos",'Plan mensual'!H85,0))+parametros_manuales!$G$37*('Plan mensual'!H82+IF(parametros_manuales!$H$37="Todos",'Plan mensual'!H86,0)))*parametros_manuales!$I$37*parametros_manuales!$J$37</f>
        <v>15898.00171512</v>
      </c>
      <c r="G209" s="9" t="n">
        <f aca="false">(parametros_manuales!$D$37*('Plan mensual'!I79+IF(parametros_manuales!$H$37="Todos",'Plan mensual'!I83,0))+parametros_manuales!$E$37*('Plan mensual'!I80+IF(parametros_manuales!$H$37="Todos",'Plan mensual'!I84,0))+parametros_manuales!$F$37*('Plan mensual'!I81+IF(parametros_manuales!$H$37="Todos",'Plan mensual'!I85,0))+parametros_manuales!$G$37*('Plan mensual'!I82+IF(parametros_manuales!$H$37="Todos",'Plan mensual'!I86,0)))*parametros_manuales!$I$37*parametros_manuales!$J$37</f>
        <v>15587.458826275</v>
      </c>
      <c r="H209" s="9" t="n">
        <f aca="false">(parametros_manuales!$D$37*('Plan mensual'!J79+IF(parametros_manuales!$H$37="Todos",'Plan mensual'!J83,0))+parametros_manuales!$E$37*('Plan mensual'!J80+IF(parametros_manuales!$H$37="Todos",'Plan mensual'!J84,0))+parametros_manuales!$F$37*('Plan mensual'!J81+IF(parametros_manuales!$H$37="Todos",'Plan mensual'!J85,0))+parametros_manuales!$G$37*('Plan mensual'!J82+IF(parametros_manuales!$H$37="Todos",'Plan mensual'!J86,0)))*parametros_manuales!$I$37*parametros_manuales!$J$37</f>
        <v>16678.66710752</v>
      </c>
      <c r="I209" s="9" t="n">
        <f aca="false">(parametros_manuales!$D$37*('Plan mensual'!K79+IF(parametros_manuales!$H$37="Todos",'Plan mensual'!K83,0))+parametros_manuales!$E$37*('Plan mensual'!K80+IF(parametros_manuales!$H$37="Todos",'Plan mensual'!K84,0))+parametros_manuales!$F$37*('Plan mensual'!K81+IF(parametros_manuales!$H$37="Todos",'Plan mensual'!K85,0))+parametros_manuales!$G$37*('Plan mensual'!K82+IF(parametros_manuales!$H$37="Todos",'Plan mensual'!K86,0)))*parametros_manuales!$I$37*parametros_manuales!$J$37</f>
        <v>16678.66710752</v>
      </c>
      <c r="J209" s="9" t="n">
        <f aca="false">(parametros_manuales!$D$37*('Plan mensual'!L79+IF(parametros_manuales!$H$37="Todos",'Plan mensual'!L83,0))+parametros_manuales!$E$37*('Plan mensual'!L80+IF(parametros_manuales!$H$37="Todos",'Plan mensual'!L84,0))+parametros_manuales!$F$37*('Plan mensual'!L81+IF(parametros_manuales!$H$37="Todos",'Plan mensual'!L85,0))+parametros_manuales!$G$37*('Plan mensual'!L82+IF(parametros_manuales!$H$37="Todos",'Plan mensual'!L86,0)))*parametros_manuales!$I$37*parametros_manuales!$J$37</f>
        <v>16678.66710752</v>
      </c>
      <c r="K209" s="9" t="n">
        <f aca="false">(parametros_manuales!$D$37*('Plan mensual'!M79+IF(parametros_manuales!$H$37="Todos",'Plan mensual'!M83,0))+parametros_manuales!$E$37*('Plan mensual'!M80+IF(parametros_manuales!$H$37="Todos",'Plan mensual'!M84,0))+parametros_manuales!$F$37*('Plan mensual'!M81+IF(parametros_manuales!$H$37="Todos",'Plan mensual'!M85,0))+parametros_manuales!$G$37*('Plan mensual'!M82+IF(parametros_manuales!$H$37="Todos",'Plan mensual'!M86,0)))*parametros_manuales!$I$37*parametros_manuales!$J$37</f>
        <v>16368.124218675</v>
      </c>
      <c r="L209" s="9" t="n">
        <f aca="false">(parametros_manuales!$D$37*('Plan mensual'!N79+IF(parametros_manuales!$H$37="Todos",'Plan mensual'!N83,0))+parametros_manuales!$E$37*('Plan mensual'!N80+IF(parametros_manuales!$H$37="Todos",'Plan mensual'!N84,0))+parametros_manuales!$F$37*('Plan mensual'!N81+IF(parametros_manuales!$H$37="Todos",'Plan mensual'!N85,0))+parametros_manuales!$G$37*('Plan mensual'!N82+IF(parametros_manuales!$H$37="Todos",'Plan mensual'!N86,0)))*parametros_manuales!$I$37*parametros_manuales!$J$37</f>
        <v>16057.58132983</v>
      </c>
      <c r="M209" s="9" t="n">
        <f aca="false">(parametros_manuales!$D$37*('Plan mensual'!O79+IF(parametros_manuales!$H$37="Todos",'Plan mensual'!O83,0))+parametros_manuales!$E$37*('Plan mensual'!O80+IF(parametros_manuales!$H$37="Todos",'Plan mensual'!O84,0))+parametros_manuales!$F$37*('Plan mensual'!O81+IF(parametros_manuales!$H$37="Todos",'Plan mensual'!O85,0))+parametros_manuales!$G$37*('Plan mensual'!O82+IF(parametros_manuales!$H$37="Todos",'Plan mensual'!O86,0)))*parametros_manuales!$I$37*parametros_manuales!$J$37</f>
        <v>25567.91297219</v>
      </c>
      <c r="N209" s="9" t="n">
        <f aca="false">SUM(B209:M209)</f>
        <v>218241.656249</v>
      </c>
      <c r="O209" s="9" t="n">
        <f aca="false">MAX(B209:M209)</f>
        <v>25567.91297219</v>
      </c>
      <c r="P209" s="43" t="n">
        <f aca="false">O209/(parametros_manuales!$B$7)</f>
        <v>170.452753147933</v>
      </c>
      <c r="Q209" s="8" t="str">
        <f aca="false">IF(O209=0,"-",INDEX($B$190:$M$190,MATCH(O209,B209:M209,0)))</f>
        <v>Dic</v>
      </c>
    </row>
    <row r="210" customFormat="false" ht="14.25" hidden="false" customHeight="true" outlineLevel="0" collapsed="false">
      <c r="A210" s="8" t="str">
        <f aca="false">parametros_manuales!$B$38</f>
        <v>Carga de polvo</v>
      </c>
      <c r="B210" s="9" t="n">
        <f aca="false">(parametros_manuales!$D$38*('Plan mensual'!D79+IF(parametros_manuales!$H$38="Todos",'Plan mensual'!D83,0))+parametros_manuales!$E$38*('Plan mensual'!D80+IF(parametros_manuales!$H$38="Todos",'Plan mensual'!D84,0))+parametros_manuales!$F$38*('Plan mensual'!D81+IF(parametros_manuales!$H$38="Todos",'Plan mensual'!D85,0))+parametros_manuales!$G$38*('Plan mensual'!D82+IF(parametros_manuales!$H$38="Todos",'Plan mensual'!D86,0)))*parametros_manuales!$I$38*parametros_manuales!$J$38</f>
        <v>6012.9791945</v>
      </c>
      <c r="C210" s="9" t="n">
        <f aca="false">(parametros_manuales!$D$38*('Plan mensual'!E79+IF(parametros_manuales!$H$38="Todos",'Plan mensual'!E83,0))+parametros_manuales!$E$38*('Plan mensual'!E80+IF(parametros_manuales!$H$38="Todos",'Plan mensual'!E84,0))+parametros_manuales!$F$38*('Plan mensual'!E81+IF(parametros_manuales!$H$38="Todos",'Plan mensual'!E85,0))+parametros_manuales!$G$38*('Plan mensual'!E82+IF(parametros_manuales!$H$38="Todos",'Plan mensual'!E86,0)))*parametros_manuales!$I$38*parametros_manuales!$J$38</f>
        <v>4659.59088472</v>
      </c>
      <c r="D210" s="9" t="n">
        <f aca="false">(parametros_manuales!$D$38*('Plan mensual'!F79+IF(parametros_manuales!$H$38="Todos",'Plan mensual'!F83,0))+parametros_manuales!$E$38*('Plan mensual'!F80+IF(parametros_manuales!$H$38="Todos",'Plan mensual'!F84,0))+parametros_manuales!$F$38*('Plan mensual'!F81+IF(parametros_manuales!$H$38="Todos",'Plan mensual'!F85,0))+parametros_manuales!$G$38*('Plan mensual'!F82+IF(parametros_manuales!$H$38="Todos",'Plan mensual'!F86,0)))*parametros_manuales!$I$38*parametros_manuales!$J$38</f>
        <v>4558.126588765</v>
      </c>
      <c r="E210" s="9" t="n">
        <f aca="false">(parametros_manuales!$D$38*('Plan mensual'!G79+IF(parametros_manuales!$H$38="Todos",'Plan mensual'!G83,0))+parametros_manuales!$E$38*('Plan mensual'!G80+IF(parametros_manuales!$H$38="Todos",'Plan mensual'!G84,0))+parametros_manuales!$F$38*('Plan mensual'!G81+IF(parametros_manuales!$H$38="Todos",'Plan mensual'!G85,0))+parametros_manuales!$G$38*('Plan mensual'!G82+IF(parametros_manuales!$H$38="Todos",'Plan mensual'!G86,0)))*parametros_manuales!$I$38*parametros_manuales!$J$38</f>
        <v>4432.466196365</v>
      </c>
      <c r="F210" s="9" t="n">
        <f aca="false">(parametros_manuales!$D$38*('Plan mensual'!H79+IF(parametros_manuales!$H$38="Todos",'Plan mensual'!H83,0))+parametros_manuales!$E$38*('Plan mensual'!H80+IF(parametros_manuales!$H$38="Todos",'Plan mensual'!H84,0))+parametros_manuales!$F$38*('Plan mensual'!H81+IF(parametros_manuales!$H$38="Todos",'Plan mensual'!H85,0))+parametros_manuales!$G$38*('Plan mensual'!H82+IF(parametros_manuales!$H$38="Todos",'Plan mensual'!H86,0)))*parametros_manuales!$I$38*parametros_manuales!$J$38</f>
        <v>4156.94931512</v>
      </c>
      <c r="G210" s="9" t="n">
        <f aca="false">(parametros_manuales!$D$38*('Plan mensual'!I79+IF(parametros_manuales!$H$38="Todos",'Plan mensual'!I83,0))+parametros_manuales!$E$38*('Plan mensual'!I80+IF(parametros_manuales!$H$38="Todos",'Plan mensual'!I84,0))+parametros_manuales!$F$38*('Plan mensual'!I81+IF(parametros_manuales!$H$38="Todos",'Plan mensual'!I85,0))+parametros_manuales!$G$38*('Plan mensual'!I82+IF(parametros_manuales!$H$38="Todos",'Plan mensual'!I86,0)))*parametros_manuales!$I$38*parametros_manuales!$J$38</f>
        <v>4007.092826275</v>
      </c>
      <c r="H210" s="9" t="n">
        <f aca="false">(parametros_manuales!$D$38*('Plan mensual'!J79+IF(parametros_manuales!$H$38="Todos",'Plan mensual'!J83,0))+parametros_manuales!$E$38*('Plan mensual'!J80+IF(parametros_manuales!$H$38="Todos",'Plan mensual'!J84,0))+parametros_manuales!$F$38*('Plan mensual'!J81+IF(parametros_manuales!$H$38="Todos",'Plan mensual'!J85,0))+parametros_manuales!$G$38*('Plan mensual'!J82+IF(parametros_manuales!$H$38="Todos",'Plan mensual'!J86,0)))*parametros_manuales!$I$38*parametros_manuales!$J$38</f>
        <v>4282.60970752</v>
      </c>
      <c r="I210" s="9" t="n">
        <f aca="false">(parametros_manuales!$D$38*('Plan mensual'!K79+IF(parametros_manuales!$H$38="Todos",'Plan mensual'!K83,0))+parametros_manuales!$E$38*('Plan mensual'!K80+IF(parametros_manuales!$H$38="Todos",'Plan mensual'!K84,0))+parametros_manuales!$F$38*('Plan mensual'!K81+IF(parametros_manuales!$H$38="Todos",'Plan mensual'!K85,0))+parametros_manuales!$G$38*('Plan mensual'!K82+IF(parametros_manuales!$H$38="Todos",'Plan mensual'!K86,0)))*parametros_manuales!$I$38*parametros_manuales!$J$38</f>
        <v>4282.60970752</v>
      </c>
      <c r="J210" s="9" t="n">
        <f aca="false">(parametros_manuales!$D$38*('Plan mensual'!L79+IF(parametros_manuales!$H$38="Todos",'Plan mensual'!L83,0))+parametros_manuales!$E$38*('Plan mensual'!L80+IF(parametros_manuales!$H$38="Todos",'Plan mensual'!L84,0))+parametros_manuales!$F$38*('Plan mensual'!L81+IF(parametros_manuales!$H$38="Todos",'Plan mensual'!L85,0))+parametros_manuales!$G$38*('Plan mensual'!L82+IF(parametros_manuales!$H$38="Todos",'Plan mensual'!L86,0)))*parametros_manuales!$I$38*parametros_manuales!$J$38</f>
        <v>4282.60970752</v>
      </c>
      <c r="K210" s="9" t="n">
        <f aca="false">(parametros_manuales!$D$38*('Plan mensual'!M79+IF(parametros_manuales!$H$38="Todos",'Plan mensual'!M83,0))+parametros_manuales!$E$38*('Plan mensual'!M80+IF(parametros_manuales!$H$38="Todos",'Plan mensual'!M84,0))+parametros_manuales!$F$38*('Plan mensual'!M81+IF(parametros_manuales!$H$38="Todos",'Plan mensual'!M85,0))+parametros_manuales!$G$38*('Plan mensual'!M82+IF(parametros_manuales!$H$38="Todos",'Plan mensual'!M86,0)))*parametros_manuales!$I$38*parametros_manuales!$J$38</f>
        <v>4132.753218675</v>
      </c>
      <c r="L210" s="9" t="n">
        <f aca="false">(parametros_manuales!$D$38*('Plan mensual'!N79+IF(parametros_manuales!$H$38="Todos",'Plan mensual'!N83,0))+parametros_manuales!$E$38*('Plan mensual'!N80+IF(parametros_manuales!$H$38="Todos",'Plan mensual'!N84,0))+parametros_manuales!$F$38*('Plan mensual'!N81+IF(parametros_manuales!$H$38="Todos",'Plan mensual'!N85,0))+parametros_manuales!$G$38*('Plan mensual'!N82+IF(parametros_manuales!$H$38="Todos",'Plan mensual'!N86,0)))*parametros_manuales!$I$38*parametros_manuales!$J$38</f>
        <v>3982.89672983</v>
      </c>
      <c r="M210" s="9" t="n">
        <f aca="false">(parametros_manuales!$D$38*('Plan mensual'!O79+IF(parametros_manuales!$H$38="Todos",'Plan mensual'!O83,0))+parametros_manuales!$E$38*('Plan mensual'!O80+IF(parametros_manuales!$H$38="Todos",'Plan mensual'!O84,0))+parametros_manuales!$F$38*('Plan mensual'!O81+IF(parametros_manuales!$H$38="Todos",'Plan mensual'!O85,0))+parametros_manuales!$G$38*('Plan mensual'!O82+IF(parametros_manuales!$H$38="Todos",'Plan mensual'!O86,0)))*parametros_manuales!$I$38*parametros_manuales!$J$38</f>
        <v>6312.69217219</v>
      </c>
      <c r="N210" s="9" t="n">
        <f aca="false">SUM(B210:M210)</f>
        <v>55103.376249</v>
      </c>
      <c r="O210" s="9" t="n">
        <f aca="false">MAX(B210:M210)</f>
        <v>6312.69217219</v>
      </c>
      <c r="P210" s="43" t="n">
        <f aca="false">O210/(parametros_manuales!$B$7)</f>
        <v>42.0846144812667</v>
      </c>
      <c r="Q210" s="8" t="str">
        <f aca="false">IF(O210=0,"-",INDEX($B$190:$M$190,MATCH(O210,B210:M210,0)))</f>
        <v>Dic</v>
      </c>
    </row>
    <row r="211" customFormat="false" ht="14.25" hidden="false" customHeight="true" outlineLevel="0" collapsed="false">
      <c r="A211" s="8" t="str">
        <f aca="false">parametros_manuales!$B$39</f>
        <v>Ensamblaje</v>
      </c>
      <c r="B211" s="9" t="n">
        <f aca="false">(parametros_manuales!$D$39*('Plan mensual'!D79+IF(parametros_manuales!$H$39="Todos",'Plan mensual'!D83,0))+parametros_manuales!$E$39*('Plan mensual'!D80+IF(parametros_manuales!$H$39="Todos",'Plan mensual'!D84,0))+parametros_manuales!$F$39*('Plan mensual'!D81+IF(parametros_manuales!$H$39="Todos",'Plan mensual'!D85,0))+parametros_manuales!$G$39*('Plan mensual'!D82+IF(parametros_manuales!$H$39="Todos",'Plan mensual'!D86,0)))*parametros_manuales!$I$39*parametros_manuales!$J$39</f>
        <v>6012.9791945</v>
      </c>
      <c r="C211" s="9" t="n">
        <f aca="false">(parametros_manuales!$D$39*('Plan mensual'!E79+IF(parametros_manuales!$H$39="Todos",'Plan mensual'!E83,0))+parametros_manuales!$E$39*('Plan mensual'!E80+IF(parametros_manuales!$H$39="Todos",'Plan mensual'!E84,0))+parametros_manuales!$F$39*('Plan mensual'!E81+IF(parametros_manuales!$H$39="Todos",'Plan mensual'!E85,0))+parametros_manuales!$G$39*('Plan mensual'!E82+IF(parametros_manuales!$H$39="Todos",'Plan mensual'!E86,0)))*parametros_manuales!$I$39*parametros_manuales!$J$39</f>
        <v>4659.59088472</v>
      </c>
      <c r="D211" s="9" t="n">
        <f aca="false">(parametros_manuales!$D$39*('Plan mensual'!F79+IF(parametros_manuales!$H$39="Todos",'Plan mensual'!F83,0))+parametros_manuales!$E$39*('Plan mensual'!F80+IF(parametros_manuales!$H$39="Todos",'Plan mensual'!F84,0))+parametros_manuales!$F$39*('Plan mensual'!F81+IF(parametros_manuales!$H$39="Todos",'Plan mensual'!F85,0))+parametros_manuales!$G$39*('Plan mensual'!F82+IF(parametros_manuales!$H$39="Todos",'Plan mensual'!F86,0)))*parametros_manuales!$I$39*parametros_manuales!$J$39</f>
        <v>4558.126588765</v>
      </c>
      <c r="E211" s="9" t="n">
        <f aca="false">(parametros_manuales!$D$39*('Plan mensual'!G79+IF(parametros_manuales!$H$39="Todos",'Plan mensual'!G83,0))+parametros_manuales!$E$39*('Plan mensual'!G80+IF(parametros_manuales!$H$39="Todos",'Plan mensual'!G84,0))+parametros_manuales!$F$39*('Plan mensual'!G81+IF(parametros_manuales!$H$39="Todos",'Plan mensual'!G85,0))+parametros_manuales!$G$39*('Plan mensual'!G82+IF(parametros_manuales!$H$39="Todos",'Plan mensual'!G86,0)))*parametros_manuales!$I$39*parametros_manuales!$J$39</f>
        <v>4432.466196365</v>
      </c>
      <c r="F211" s="9" t="n">
        <f aca="false">(parametros_manuales!$D$39*('Plan mensual'!H79+IF(parametros_manuales!$H$39="Todos",'Plan mensual'!H83,0))+parametros_manuales!$E$39*('Plan mensual'!H80+IF(parametros_manuales!$H$39="Todos",'Plan mensual'!H84,0))+parametros_manuales!$F$39*('Plan mensual'!H81+IF(parametros_manuales!$H$39="Todos",'Plan mensual'!H85,0))+parametros_manuales!$G$39*('Plan mensual'!H82+IF(parametros_manuales!$H$39="Todos",'Plan mensual'!H86,0)))*parametros_manuales!$I$39*parametros_manuales!$J$39</f>
        <v>4156.94931512</v>
      </c>
      <c r="G211" s="9" t="n">
        <f aca="false">(parametros_manuales!$D$39*('Plan mensual'!I79+IF(parametros_manuales!$H$39="Todos",'Plan mensual'!I83,0))+parametros_manuales!$E$39*('Plan mensual'!I80+IF(parametros_manuales!$H$39="Todos",'Plan mensual'!I84,0))+parametros_manuales!$F$39*('Plan mensual'!I81+IF(parametros_manuales!$H$39="Todos",'Plan mensual'!I85,0))+parametros_manuales!$G$39*('Plan mensual'!I82+IF(parametros_manuales!$H$39="Todos",'Plan mensual'!I86,0)))*parametros_manuales!$I$39*parametros_manuales!$J$39</f>
        <v>4007.092826275</v>
      </c>
      <c r="H211" s="9" t="n">
        <f aca="false">(parametros_manuales!$D$39*('Plan mensual'!J79+IF(parametros_manuales!$H$39="Todos",'Plan mensual'!J83,0))+parametros_manuales!$E$39*('Plan mensual'!J80+IF(parametros_manuales!$H$39="Todos",'Plan mensual'!J84,0))+parametros_manuales!$F$39*('Plan mensual'!J81+IF(parametros_manuales!$H$39="Todos",'Plan mensual'!J85,0))+parametros_manuales!$G$39*('Plan mensual'!J82+IF(parametros_manuales!$H$39="Todos",'Plan mensual'!J86,0)))*parametros_manuales!$I$39*parametros_manuales!$J$39</f>
        <v>4282.60970752</v>
      </c>
      <c r="I211" s="9" t="n">
        <f aca="false">(parametros_manuales!$D$39*('Plan mensual'!K79+IF(parametros_manuales!$H$39="Todos",'Plan mensual'!K83,0))+parametros_manuales!$E$39*('Plan mensual'!K80+IF(parametros_manuales!$H$39="Todos",'Plan mensual'!K84,0))+parametros_manuales!$F$39*('Plan mensual'!K81+IF(parametros_manuales!$H$39="Todos",'Plan mensual'!K85,0))+parametros_manuales!$G$39*('Plan mensual'!K82+IF(parametros_manuales!$H$39="Todos",'Plan mensual'!K86,0)))*parametros_manuales!$I$39*parametros_manuales!$J$39</f>
        <v>4282.60970752</v>
      </c>
      <c r="J211" s="9" t="n">
        <f aca="false">(parametros_manuales!$D$39*('Plan mensual'!L79+IF(parametros_manuales!$H$39="Todos",'Plan mensual'!L83,0))+parametros_manuales!$E$39*('Plan mensual'!L80+IF(parametros_manuales!$H$39="Todos",'Plan mensual'!L84,0))+parametros_manuales!$F$39*('Plan mensual'!L81+IF(parametros_manuales!$H$39="Todos",'Plan mensual'!L85,0))+parametros_manuales!$G$39*('Plan mensual'!L82+IF(parametros_manuales!$H$39="Todos",'Plan mensual'!L86,0)))*parametros_manuales!$I$39*parametros_manuales!$J$39</f>
        <v>4282.60970752</v>
      </c>
      <c r="K211" s="9" t="n">
        <f aca="false">(parametros_manuales!$D$39*('Plan mensual'!M79+IF(parametros_manuales!$H$39="Todos",'Plan mensual'!M83,0))+parametros_manuales!$E$39*('Plan mensual'!M80+IF(parametros_manuales!$H$39="Todos",'Plan mensual'!M84,0))+parametros_manuales!$F$39*('Plan mensual'!M81+IF(parametros_manuales!$H$39="Todos",'Plan mensual'!M85,0))+parametros_manuales!$G$39*('Plan mensual'!M82+IF(parametros_manuales!$H$39="Todos",'Plan mensual'!M86,0)))*parametros_manuales!$I$39*parametros_manuales!$J$39</f>
        <v>4132.753218675</v>
      </c>
      <c r="L211" s="9" t="n">
        <f aca="false">(parametros_manuales!$D$39*('Plan mensual'!N79+IF(parametros_manuales!$H$39="Todos",'Plan mensual'!N83,0))+parametros_manuales!$E$39*('Plan mensual'!N80+IF(parametros_manuales!$H$39="Todos",'Plan mensual'!N84,0))+parametros_manuales!$F$39*('Plan mensual'!N81+IF(parametros_manuales!$H$39="Todos",'Plan mensual'!N85,0))+parametros_manuales!$G$39*('Plan mensual'!N82+IF(parametros_manuales!$H$39="Todos",'Plan mensual'!N86,0)))*parametros_manuales!$I$39*parametros_manuales!$J$39</f>
        <v>3982.89672983</v>
      </c>
      <c r="M211" s="9" t="n">
        <f aca="false">(parametros_manuales!$D$39*('Plan mensual'!O79+IF(parametros_manuales!$H$39="Todos",'Plan mensual'!O83,0))+parametros_manuales!$E$39*('Plan mensual'!O80+IF(parametros_manuales!$H$39="Todos",'Plan mensual'!O84,0))+parametros_manuales!$F$39*('Plan mensual'!O81+IF(parametros_manuales!$H$39="Todos",'Plan mensual'!O85,0))+parametros_manuales!$G$39*('Plan mensual'!O82+IF(parametros_manuales!$H$39="Todos",'Plan mensual'!O86,0)))*parametros_manuales!$I$39*parametros_manuales!$J$39</f>
        <v>6312.69217219</v>
      </c>
      <c r="N211" s="9" t="n">
        <f aca="false">SUM(B211:M211)</f>
        <v>55103.376249</v>
      </c>
      <c r="O211" s="9" t="n">
        <f aca="false">MAX(B211:M211)</f>
        <v>6312.69217219</v>
      </c>
      <c r="P211" s="43" t="n">
        <f aca="false">O211/(parametros_manuales!$B$7)</f>
        <v>42.0846144812667</v>
      </c>
      <c r="Q211" s="8" t="str">
        <f aca="false">IF(O211=0,"-",INDEX($B$190:$M$190,MATCH(O211,B211:M211,0)))</f>
        <v>Dic</v>
      </c>
    </row>
    <row r="212" customFormat="false" ht="14.25" hidden="false" customHeight="true" outlineLevel="0" collapsed="false">
      <c r="A212" s="8" t="str">
        <f aca="false">parametros_manuales!$B$40</f>
        <v>Presurización</v>
      </c>
      <c r="B212" s="9" t="n">
        <f aca="false">(parametros_manuales!$D$40*('Plan mensual'!D79+IF(parametros_manuales!$H$40="Todos",'Plan mensual'!D83,0))+parametros_manuales!$E$40*('Plan mensual'!D80+IF(parametros_manuales!$H$40="Todos",'Plan mensual'!D84,0))+parametros_manuales!$F$40*('Plan mensual'!D81+IF(parametros_manuales!$H$40="Todos",'Plan mensual'!D85,0))+parametros_manuales!$G$40*('Plan mensual'!D82+IF(parametros_manuales!$H$40="Todos",'Plan mensual'!D86,0)))*parametros_manuales!$I$40*parametros_manuales!$J$40</f>
        <v>6012.9791945</v>
      </c>
      <c r="C212" s="9" t="n">
        <f aca="false">(parametros_manuales!$D$40*('Plan mensual'!E79+IF(parametros_manuales!$H$40="Todos",'Plan mensual'!E83,0))+parametros_manuales!$E$40*('Plan mensual'!E80+IF(parametros_manuales!$H$40="Todos",'Plan mensual'!E84,0))+parametros_manuales!$F$40*('Plan mensual'!E81+IF(parametros_manuales!$H$40="Todos",'Plan mensual'!E85,0))+parametros_manuales!$G$40*('Plan mensual'!E82+IF(parametros_manuales!$H$40="Todos",'Plan mensual'!E86,0)))*parametros_manuales!$I$40*parametros_manuales!$J$40</f>
        <v>4659.59088472</v>
      </c>
      <c r="D212" s="9" t="n">
        <f aca="false">(parametros_manuales!$D$40*('Plan mensual'!F79+IF(parametros_manuales!$H$40="Todos",'Plan mensual'!F83,0))+parametros_manuales!$E$40*('Plan mensual'!F80+IF(parametros_manuales!$H$40="Todos",'Plan mensual'!F84,0))+parametros_manuales!$F$40*('Plan mensual'!F81+IF(parametros_manuales!$H$40="Todos",'Plan mensual'!F85,0))+parametros_manuales!$G$40*('Plan mensual'!F82+IF(parametros_manuales!$H$40="Todos",'Plan mensual'!F86,0)))*parametros_manuales!$I$40*parametros_manuales!$J$40</f>
        <v>4558.126588765</v>
      </c>
      <c r="E212" s="9" t="n">
        <f aca="false">(parametros_manuales!$D$40*('Plan mensual'!G79+IF(parametros_manuales!$H$40="Todos",'Plan mensual'!G83,0))+parametros_manuales!$E$40*('Plan mensual'!G80+IF(parametros_manuales!$H$40="Todos",'Plan mensual'!G84,0))+parametros_manuales!$F$40*('Plan mensual'!G81+IF(parametros_manuales!$H$40="Todos",'Plan mensual'!G85,0))+parametros_manuales!$G$40*('Plan mensual'!G82+IF(parametros_manuales!$H$40="Todos",'Plan mensual'!G86,0)))*parametros_manuales!$I$40*parametros_manuales!$J$40</f>
        <v>4432.466196365</v>
      </c>
      <c r="F212" s="9" t="n">
        <f aca="false">(parametros_manuales!$D$40*('Plan mensual'!H79+IF(parametros_manuales!$H$40="Todos",'Plan mensual'!H83,0))+parametros_manuales!$E$40*('Plan mensual'!H80+IF(parametros_manuales!$H$40="Todos",'Plan mensual'!H84,0))+parametros_manuales!$F$40*('Plan mensual'!H81+IF(parametros_manuales!$H$40="Todos",'Plan mensual'!H85,0))+parametros_manuales!$G$40*('Plan mensual'!H82+IF(parametros_manuales!$H$40="Todos",'Plan mensual'!H86,0)))*parametros_manuales!$I$40*parametros_manuales!$J$40</f>
        <v>4156.94931512</v>
      </c>
      <c r="G212" s="9" t="n">
        <f aca="false">(parametros_manuales!$D$40*('Plan mensual'!I79+IF(parametros_manuales!$H$40="Todos",'Plan mensual'!I83,0))+parametros_manuales!$E$40*('Plan mensual'!I80+IF(parametros_manuales!$H$40="Todos",'Plan mensual'!I84,0))+parametros_manuales!$F$40*('Plan mensual'!I81+IF(parametros_manuales!$H$40="Todos",'Plan mensual'!I85,0))+parametros_manuales!$G$40*('Plan mensual'!I82+IF(parametros_manuales!$H$40="Todos",'Plan mensual'!I86,0)))*parametros_manuales!$I$40*parametros_manuales!$J$40</f>
        <v>4007.092826275</v>
      </c>
      <c r="H212" s="9" t="n">
        <f aca="false">(parametros_manuales!$D$40*('Plan mensual'!J79+IF(parametros_manuales!$H$40="Todos",'Plan mensual'!J83,0))+parametros_manuales!$E$40*('Plan mensual'!J80+IF(parametros_manuales!$H$40="Todos",'Plan mensual'!J84,0))+parametros_manuales!$F$40*('Plan mensual'!J81+IF(parametros_manuales!$H$40="Todos",'Plan mensual'!J85,0))+parametros_manuales!$G$40*('Plan mensual'!J82+IF(parametros_manuales!$H$40="Todos",'Plan mensual'!J86,0)))*parametros_manuales!$I$40*parametros_manuales!$J$40</f>
        <v>4282.60970752</v>
      </c>
      <c r="I212" s="9" t="n">
        <f aca="false">(parametros_manuales!$D$40*('Plan mensual'!K79+IF(parametros_manuales!$H$40="Todos",'Plan mensual'!K83,0))+parametros_manuales!$E$40*('Plan mensual'!K80+IF(parametros_manuales!$H$40="Todos",'Plan mensual'!K84,0))+parametros_manuales!$F$40*('Plan mensual'!K81+IF(parametros_manuales!$H$40="Todos",'Plan mensual'!K85,0))+parametros_manuales!$G$40*('Plan mensual'!K82+IF(parametros_manuales!$H$40="Todos",'Plan mensual'!K86,0)))*parametros_manuales!$I$40*parametros_manuales!$J$40</f>
        <v>4282.60970752</v>
      </c>
      <c r="J212" s="9" t="n">
        <f aca="false">(parametros_manuales!$D$40*('Plan mensual'!L79+IF(parametros_manuales!$H$40="Todos",'Plan mensual'!L83,0))+parametros_manuales!$E$40*('Plan mensual'!L80+IF(parametros_manuales!$H$40="Todos",'Plan mensual'!L84,0))+parametros_manuales!$F$40*('Plan mensual'!L81+IF(parametros_manuales!$H$40="Todos",'Plan mensual'!L85,0))+parametros_manuales!$G$40*('Plan mensual'!L82+IF(parametros_manuales!$H$40="Todos",'Plan mensual'!L86,0)))*parametros_manuales!$I$40*parametros_manuales!$J$40</f>
        <v>4282.60970752</v>
      </c>
      <c r="K212" s="9" t="n">
        <f aca="false">(parametros_manuales!$D$40*('Plan mensual'!M79+IF(parametros_manuales!$H$40="Todos",'Plan mensual'!M83,0))+parametros_manuales!$E$40*('Plan mensual'!M80+IF(parametros_manuales!$H$40="Todos",'Plan mensual'!M84,0))+parametros_manuales!$F$40*('Plan mensual'!M81+IF(parametros_manuales!$H$40="Todos",'Plan mensual'!M85,0))+parametros_manuales!$G$40*('Plan mensual'!M82+IF(parametros_manuales!$H$40="Todos",'Plan mensual'!M86,0)))*parametros_manuales!$I$40*parametros_manuales!$J$40</f>
        <v>4132.753218675</v>
      </c>
      <c r="L212" s="9" t="n">
        <f aca="false">(parametros_manuales!$D$40*('Plan mensual'!N79+IF(parametros_manuales!$H$40="Todos",'Plan mensual'!N83,0))+parametros_manuales!$E$40*('Plan mensual'!N80+IF(parametros_manuales!$H$40="Todos",'Plan mensual'!N84,0))+parametros_manuales!$F$40*('Plan mensual'!N81+IF(parametros_manuales!$H$40="Todos",'Plan mensual'!N85,0))+parametros_manuales!$G$40*('Plan mensual'!N82+IF(parametros_manuales!$H$40="Todos",'Plan mensual'!N86,0)))*parametros_manuales!$I$40*parametros_manuales!$J$40</f>
        <v>3982.89672983</v>
      </c>
      <c r="M212" s="9" t="n">
        <f aca="false">(parametros_manuales!$D$40*('Plan mensual'!O79+IF(parametros_manuales!$H$40="Todos",'Plan mensual'!O83,0))+parametros_manuales!$E$40*('Plan mensual'!O80+IF(parametros_manuales!$H$40="Todos",'Plan mensual'!O84,0))+parametros_manuales!$F$40*('Plan mensual'!O81+IF(parametros_manuales!$H$40="Todos",'Plan mensual'!O85,0))+parametros_manuales!$G$40*('Plan mensual'!O82+IF(parametros_manuales!$H$40="Todos",'Plan mensual'!O86,0)))*parametros_manuales!$I$40*parametros_manuales!$J$40</f>
        <v>6312.69217219</v>
      </c>
      <c r="N212" s="9" t="n">
        <f aca="false">SUM(B212:M212)</f>
        <v>55103.376249</v>
      </c>
      <c r="O212" s="9" t="n">
        <f aca="false">MAX(B212:M212)</f>
        <v>6312.69217219</v>
      </c>
      <c r="P212" s="43" t="n">
        <f aca="false">O212/(parametros_manuales!$B$7)</f>
        <v>42.0846144812667</v>
      </c>
      <c r="Q212" s="8" t="str">
        <f aca="false">IF(O212=0,"-",INDEX($B$190:$M$190,MATCH(O212,B212:M212,0)))</f>
        <v>Dic</v>
      </c>
    </row>
    <row r="213" customFormat="false" ht="14.25" hidden="false" customHeight="true" outlineLevel="0" collapsed="false">
      <c r="A213" s="8" t="str">
        <f aca="false">parametros_manuales!$B$41</f>
        <v>Control de calidad — Ensayo de pérdidas</v>
      </c>
      <c r="B213" s="9" t="n">
        <f aca="false">(parametros_manuales!$D$41*('Plan mensual'!D79+IF(parametros_manuales!$H$41="Todos",'Plan mensual'!D83,0))+parametros_manuales!$E$41*('Plan mensual'!D80+IF(parametros_manuales!$H$41="Todos",'Plan mensual'!D84,0))+parametros_manuales!$F$41*('Plan mensual'!D81+IF(parametros_manuales!$H$41="Todos",'Plan mensual'!D85,0))+parametros_manuales!$G$41*('Plan mensual'!D82+IF(parametros_manuales!$H$41="Todos",'Plan mensual'!D86,0)))*parametros_manuales!$I$41*parametros_manuales!$J$41</f>
        <v>6012.9791945</v>
      </c>
      <c r="C213" s="9" t="n">
        <f aca="false">(parametros_manuales!$D$41*('Plan mensual'!E79+IF(parametros_manuales!$H$41="Todos",'Plan mensual'!E83,0))+parametros_manuales!$E$41*('Plan mensual'!E80+IF(parametros_manuales!$H$41="Todos",'Plan mensual'!E84,0))+parametros_manuales!$F$41*('Plan mensual'!E81+IF(parametros_manuales!$H$41="Todos",'Plan mensual'!E85,0))+parametros_manuales!$G$41*('Plan mensual'!E82+IF(parametros_manuales!$H$41="Todos",'Plan mensual'!E86,0)))*parametros_manuales!$I$41*parametros_manuales!$J$41</f>
        <v>4659.59088472</v>
      </c>
      <c r="D213" s="9" t="n">
        <f aca="false">(parametros_manuales!$D$41*('Plan mensual'!F79+IF(parametros_manuales!$H$41="Todos",'Plan mensual'!F83,0))+parametros_manuales!$E$41*('Plan mensual'!F80+IF(parametros_manuales!$H$41="Todos",'Plan mensual'!F84,0))+parametros_manuales!$F$41*('Plan mensual'!F81+IF(parametros_manuales!$H$41="Todos",'Plan mensual'!F85,0))+parametros_manuales!$G$41*('Plan mensual'!F82+IF(parametros_manuales!$H$41="Todos",'Plan mensual'!F86,0)))*parametros_manuales!$I$41*parametros_manuales!$J$41</f>
        <v>4558.126588765</v>
      </c>
      <c r="E213" s="9" t="n">
        <f aca="false">(parametros_manuales!$D$41*('Plan mensual'!G79+IF(parametros_manuales!$H$41="Todos",'Plan mensual'!G83,0))+parametros_manuales!$E$41*('Plan mensual'!G80+IF(parametros_manuales!$H$41="Todos",'Plan mensual'!G84,0))+parametros_manuales!$F$41*('Plan mensual'!G81+IF(parametros_manuales!$H$41="Todos",'Plan mensual'!G85,0))+parametros_manuales!$G$41*('Plan mensual'!G82+IF(parametros_manuales!$H$41="Todos",'Plan mensual'!G86,0)))*parametros_manuales!$I$41*parametros_manuales!$J$41</f>
        <v>4432.466196365</v>
      </c>
      <c r="F213" s="9" t="n">
        <f aca="false">(parametros_manuales!$D$41*('Plan mensual'!H79+IF(parametros_manuales!$H$41="Todos",'Plan mensual'!H83,0))+parametros_manuales!$E$41*('Plan mensual'!H80+IF(parametros_manuales!$H$41="Todos",'Plan mensual'!H84,0))+parametros_manuales!$F$41*('Plan mensual'!H81+IF(parametros_manuales!$H$41="Todos",'Plan mensual'!H85,0))+parametros_manuales!$G$41*('Plan mensual'!H82+IF(parametros_manuales!$H$41="Todos",'Plan mensual'!H86,0)))*parametros_manuales!$I$41*parametros_manuales!$J$41</f>
        <v>4156.94931512</v>
      </c>
      <c r="G213" s="9" t="n">
        <f aca="false">(parametros_manuales!$D$41*('Plan mensual'!I79+IF(parametros_manuales!$H$41="Todos",'Plan mensual'!I83,0))+parametros_manuales!$E$41*('Plan mensual'!I80+IF(parametros_manuales!$H$41="Todos",'Plan mensual'!I84,0))+parametros_manuales!$F$41*('Plan mensual'!I81+IF(parametros_manuales!$H$41="Todos",'Plan mensual'!I85,0))+parametros_manuales!$G$41*('Plan mensual'!I82+IF(parametros_manuales!$H$41="Todos",'Plan mensual'!I86,0)))*parametros_manuales!$I$41*parametros_manuales!$J$41</f>
        <v>4007.092826275</v>
      </c>
      <c r="H213" s="9" t="n">
        <f aca="false">(parametros_manuales!$D$41*('Plan mensual'!J79+IF(parametros_manuales!$H$41="Todos",'Plan mensual'!J83,0))+parametros_manuales!$E$41*('Plan mensual'!J80+IF(parametros_manuales!$H$41="Todos",'Plan mensual'!J84,0))+parametros_manuales!$F$41*('Plan mensual'!J81+IF(parametros_manuales!$H$41="Todos",'Plan mensual'!J85,0))+parametros_manuales!$G$41*('Plan mensual'!J82+IF(parametros_manuales!$H$41="Todos",'Plan mensual'!J86,0)))*parametros_manuales!$I$41*parametros_manuales!$J$41</f>
        <v>4282.60970752</v>
      </c>
      <c r="I213" s="9" t="n">
        <f aca="false">(parametros_manuales!$D$41*('Plan mensual'!K79+IF(parametros_manuales!$H$41="Todos",'Plan mensual'!K83,0))+parametros_manuales!$E$41*('Plan mensual'!K80+IF(parametros_manuales!$H$41="Todos",'Plan mensual'!K84,0))+parametros_manuales!$F$41*('Plan mensual'!K81+IF(parametros_manuales!$H$41="Todos",'Plan mensual'!K85,0))+parametros_manuales!$G$41*('Plan mensual'!K82+IF(parametros_manuales!$H$41="Todos",'Plan mensual'!K86,0)))*parametros_manuales!$I$41*parametros_manuales!$J$41</f>
        <v>4282.60970752</v>
      </c>
      <c r="J213" s="9" t="n">
        <f aca="false">(parametros_manuales!$D$41*('Plan mensual'!L79+IF(parametros_manuales!$H$41="Todos",'Plan mensual'!L83,0))+parametros_manuales!$E$41*('Plan mensual'!L80+IF(parametros_manuales!$H$41="Todos",'Plan mensual'!L84,0))+parametros_manuales!$F$41*('Plan mensual'!L81+IF(parametros_manuales!$H$41="Todos",'Plan mensual'!L85,0))+parametros_manuales!$G$41*('Plan mensual'!L82+IF(parametros_manuales!$H$41="Todos",'Plan mensual'!L86,0)))*parametros_manuales!$I$41*parametros_manuales!$J$41</f>
        <v>4282.60970752</v>
      </c>
      <c r="K213" s="9" t="n">
        <f aca="false">(parametros_manuales!$D$41*('Plan mensual'!M79+IF(parametros_manuales!$H$41="Todos",'Plan mensual'!M83,0))+parametros_manuales!$E$41*('Plan mensual'!M80+IF(parametros_manuales!$H$41="Todos",'Plan mensual'!M84,0))+parametros_manuales!$F$41*('Plan mensual'!M81+IF(parametros_manuales!$H$41="Todos",'Plan mensual'!M85,0))+parametros_manuales!$G$41*('Plan mensual'!M82+IF(parametros_manuales!$H$41="Todos",'Plan mensual'!M86,0)))*parametros_manuales!$I$41*parametros_manuales!$J$41</f>
        <v>4132.753218675</v>
      </c>
      <c r="L213" s="9" t="n">
        <f aca="false">(parametros_manuales!$D$41*('Plan mensual'!N79+IF(parametros_manuales!$H$41="Todos",'Plan mensual'!N83,0))+parametros_manuales!$E$41*('Plan mensual'!N80+IF(parametros_manuales!$H$41="Todos",'Plan mensual'!N84,0))+parametros_manuales!$F$41*('Plan mensual'!N81+IF(parametros_manuales!$H$41="Todos",'Plan mensual'!N85,0))+parametros_manuales!$G$41*('Plan mensual'!N82+IF(parametros_manuales!$H$41="Todos",'Plan mensual'!N86,0)))*parametros_manuales!$I$41*parametros_manuales!$J$41</f>
        <v>3982.89672983</v>
      </c>
      <c r="M213" s="9" t="n">
        <f aca="false">(parametros_manuales!$D$41*('Plan mensual'!O79+IF(parametros_manuales!$H$41="Todos",'Plan mensual'!O83,0))+parametros_manuales!$E$41*('Plan mensual'!O80+IF(parametros_manuales!$H$41="Todos",'Plan mensual'!O84,0))+parametros_manuales!$F$41*('Plan mensual'!O81+IF(parametros_manuales!$H$41="Todos",'Plan mensual'!O85,0))+parametros_manuales!$G$41*('Plan mensual'!O82+IF(parametros_manuales!$H$41="Todos",'Plan mensual'!O86,0)))*parametros_manuales!$I$41*parametros_manuales!$J$41</f>
        <v>6312.69217219</v>
      </c>
      <c r="N213" s="9" t="n">
        <f aca="false">SUM(B213:M213)</f>
        <v>55103.376249</v>
      </c>
      <c r="O213" s="9" t="n">
        <f aca="false">MAX(B213:M213)</f>
        <v>6312.69217219</v>
      </c>
      <c r="P213" s="43" t="n">
        <f aca="false">O213/(parametros_manuales!$B$7)</f>
        <v>42.0846144812667</v>
      </c>
      <c r="Q213" s="8" t="str">
        <f aca="false">IF(O213=0,"-",INDEX($B$190:$M$190,MATCH(O213,B213:M213,0)))</f>
        <v>Dic</v>
      </c>
    </row>
    <row r="214" customFormat="false" ht="14.25" hidden="false" customHeight="true" outlineLevel="0" collapsed="false">
      <c r="A214" s="8" t="str">
        <f aca="false">parametros_manuales!$B$42</f>
        <v>Etiquetado</v>
      </c>
      <c r="B214" s="9" t="n">
        <f aca="false">(parametros_manuales!$D$42*('Plan mensual'!D79+IF(parametros_manuales!$H$42="Todos",'Plan mensual'!D83,0))+parametros_manuales!$E$42*('Plan mensual'!D80+IF(parametros_manuales!$H$42="Todos",'Plan mensual'!D84,0))+parametros_manuales!$F$42*('Plan mensual'!D81+IF(parametros_manuales!$H$42="Todos",'Plan mensual'!D85,0))+parametros_manuales!$G$42*('Plan mensual'!D82+IF(parametros_manuales!$H$42="Todos",'Plan mensual'!D86,0)))*parametros_manuales!$I$42*parametros_manuales!$J$42</f>
        <v>6012.9791945</v>
      </c>
      <c r="C214" s="9" t="n">
        <f aca="false">(parametros_manuales!$D$42*('Plan mensual'!E79+IF(parametros_manuales!$H$42="Todos",'Plan mensual'!E83,0))+parametros_manuales!$E$42*('Plan mensual'!E80+IF(parametros_manuales!$H$42="Todos",'Plan mensual'!E84,0))+parametros_manuales!$F$42*('Plan mensual'!E81+IF(parametros_manuales!$H$42="Todos",'Plan mensual'!E85,0))+parametros_manuales!$G$42*('Plan mensual'!E82+IF(parametros_manuales!$H$42="Todos",'Plan mensual'!E86,0)))*parametros_manuales!$I$42*parametros_manuales!$J$42</f>
        <v>4659.59088472</v>
      </c>
      <c r="D214" s="9" t="n">
        <f aca="false">(parametros_manuales!$D$42*('Plan mensual'!F79+IF(parametros_manuales!$H$42="Todos",'Plan mensual'!F83,0))+parametros_manuales!$E$42*('Plan mensual'!F80+IF(parametros_manuales!$H$42="Todos",'Plan mensual'!F84,0))+parametros_manuales!$F$42*('Plan mensual'!F81+IF(parametros_manuales!$H$42="Todos",'Plan mensual'!F85,0))+parametros_manuales!$G$42*('Plan mensual'!F82+IF(parametros_manuales!$H$42="Todos",'Plan mensual'!F86,0)))*parametros_manuales!$I$42*parametros_manuales!$J$42</f>
        <v>4558.126588765</v>
      </c>
      <c r="E214" s="9" t="n">
        <f aca="false">(parametros_manuales!$D$42*('Plan mensual'!G79+IF(parametros_manuales!$H$42="Todos",'Plan mensual'!G83,0))+parametros_manuales!$E$42*('Plan mensual'!G80+IF(parametros_manuales!$H$42="Todos",'Plan mensual'!G84,0))+parametros_manuales!$F$42*('Plan mensual'!G81+IF(parametros_manuales!$H$42="Todos",'Plan mensual'!G85,0))+parametros_manuales!$G$42*('Plan mensual'!G82+IF(parametros_manuales!$H$42="Todos",'Plan mensual'!G86,0)))*parametros_manuales!$I$42*parametros_manuales!$J$42</f>
        <v>4432.466196365</v>
      </c>
      <c r="F214" s="9" t="n">
        <f aca="false">(parametros_manuales!$D$42*('Plan mensual'!H79+IF(parametros_manuales!$H$42="Todos",'Plan mensual'!H83,0))+parametros_manuales!$E$42*('Plan mensual'!H80+IF(parametros_manuales!$H$42="Todos",'Plan mensual'!H84,0))+parametros_manuales!$F$42*('Plan mensual'!H81+IF(parametros_manuales!$H$42="Todos",'Plan mensual'!H85,0))+parametros_manuales!$G$42*('Plan mensual'!H82+IF(parametros_manuales!$H$42="Todos",'Plan mensual'!H86,0)))*parametros_manuales!$I$42*parametros_manuales!$J$42</f>
        <v>4156.94931512</v>
      </c>
      <c r="G214" s="9" t="n">
        <f aca="false">(parametros_manuales!$D$42*('Plan mensual'!I79+IF(parametros_manuales!$H$42="Todos",'Plan mensual'!I83,0))+parametros_manuales!$E$42*('Plan mensual'!I80+IF(parametros_manuales!$H$42="Todos",'Plan mensual'!I84,0))+parametros_manuales!$F$42*('Plan mensual'!I81+IF(parametros_manuales!$H$42="Todos",'Plan mensual'!I85,0))+parametros_manuales!$G$42*('Plan mensual'!I82+IF(parametros_manuales!$H$42="Todos",'Plan mensual'!I86,0)))*parametros_manuales!$I$42*parametros_manuales!$J$42</f>
        <v>4007.092826275</v>
      </c>
      <c r="H214" s="9" t="n">
        <f aca="false">(parametros_manuales!$D$42*('Plan mensual'!J79+IF(parametros_manuales!$H$42="Todos",'Plan mensual'!J83,0))+parametros_manuales!$E$42*('Plan mensual'!J80+IF(parametros_manuales!$H$42="Todos",'Plan mensual'!J84,0))+parametros_manuales!$F$42*('Plan mensual'!J81+IF(parametros_manuales!$H$42="Todos",'Plan mensual'!J85,0))+parametros_manuales!$G$42*('Plan mensual'!J82+IF(parametros_manuales!$H$42="Todos",'Plan mensual'!J86,0)))*parametros_manuales!$I$42*parametros_manuales!$J$42</f>
        <v>4282.60970752</v>
      </c>
      <c r="I214" s="9" t="n">
        <f aca="false">(parametros_manuales!$D$42*('Plan mensual'!K79+IF(parametros_manuales!$H$42="Todos",'Plan mensual'!K83,0))+parametros_manuales!$E$42*('Plan mensual'!K80+IF(parametros_manuales!$H$42="Todos",'Plan mensual'!K84,0))+parametros_manuales!$F$42*('Plan mensual'!K81+IF(parametros_manuales!$H$42="Todos",'Plan mensual'!K85,0))+parametros_manuales!$G$42*('Plan mensual'!K82+IF(parametros_manuales!$H$42="Todos",'Plan mensual'!K86,0)))*parametros_manuales!$I$42*parametros_manuales!$J$42</f>
        <v>4282.60970752</v>
      </c>
      <c r="J214" s="9" t="n">
        <f aca="false">(parametros_manuales!$D$42*('Plan mensual'!L79+IF(parametros_manuales!$H$42="Todos",'Plan mensual'!L83,0))+parametros_manuales!$E$42*('Plan mensual'!L80+IF(parametros_manuales!$H$42="Todos",'Plan mensual'!L84,0))+parametros_manuales!$F$42*('Plan mensual'!L81+IF(parametros_manuales!$H$42="Todos",'Plan mensual'!L85,0))+parametros_manuales!$G$42*('Plan mensual'!L82+IF(parametros_manuales!$H$42="Todos",'Plan mensual'!L86,0)))*parametros_manuales!$I$42*parametros_manuales!$J$42</f>
        <v>4282.60970752</v>
      </c>
      <c r="K214" s="9" t="n">
        <f aca="false">(parametros_manuales!$D$42*('Plan mensual'!M79+IF(parametros_manuales!$H$42="Todos",'Plan mensual'!M83,0))+parametros_manuales!$E$42*('Plan mensual'!M80+IF(parametros_manuales!$H$42="Todos",'Plan mensual'!M84,0))+parametros_manuales!$F$42*('Plan mensual'!M81+IF(parametros_manuales!$H$42="Todos",'Plan mensual'!M85,0))+parametros_manuales!$G$42*('Plan mensual'!M82+IF(parametros_manuales!$H$42="Todos",'Plan mensual'!M86,0)))*parametros_manuales!$I$42*parametros_manuales!$J$42</f>
        <v>4132.753218675</v>
      </c>
      <c r="L214" s="9" t="n">
        <f aca="false">(parametros_manuales!$D$42*('Plan mensual'!N79+IF(parametros_manuales!$H$42="Todos",'Plan mensual'!N83,0))+parametros_manuales!$E$42*('Plan mensual'!N80+IF(parametros_manuales!$H$42="Todos",'Plan mensual'!N84,0))+parametros_manuales!$F$42*('Plan mensual'!N81+IF(parametros_manuales!$H$42="Todos",'Plan mensual'!N85,0))+parametros_manuales!$G$42*('Plan mensual'!N82+IF(parametros_manuales!$H$42="Todos",'Plan mensual'!N86,0)))*parametros_manuales!$I$42*parametros_manuales!$J$42</f>
        <v>3982.89672983</v>
      </c>
      <c r="M214" s="9" t="n">
        <f aca="false">(parametros_manuales!$D$42*('Plan mensual'!O79+IF(parametros_manuales!$H$42="Todos",'Plan mensual'!O83,0))+parametros_manuales!$E$42*('Plan mensual'!O80+IF(parametros_manuales!$H$42="Todos",'Plan mensual'!O84,0))+parametros_manuales!$F$42*('Plan mensual'!O81+IF(parametros_manuales!$H$42="Todos",'Plan mensual'!O85,0))+parametros_manuales!$G$42*('Plan mensual'!O82+IF(parametros_manuales!$H$42="Todos",'Plan mensual'!O86,0)))*parametros_manuales!$I$42*parametros_manuales!$J$42</f>
        <v>6312.69217219</v>
      </c>
      <c r="N214" s="9" t="n">
        <f aca="false">SUM(B214:M214)</f>
        <v>55103.376249</v>
      </c>
      <c r="O214" s="9" t="n">
        <f aca="false">MAX(B214:M214)</f>
        <v>6312.69217219</v>
      </c>
      <c r="P214" s="43" t="n">
        <f aca="false">O214/(parametros_manuales!$B$7)</f>
        <v>42.0846144812667</v>
      </c>
      <c r="Q214" s="8" t="str">
        <f aca="false">IF(O214=0,"-",INDEX($B$190:$M$190,MATCH(O214,B214:M214,0)))</f>
        <v>Dic</v>
      </c>
    </row>
    <row r="215" customFormat="false" ht="14.25" hidden="false" customHeight="true" outlineLevel="0" collapsed="false">
      <c r="A215" s="8" t="str">
        <f aca="false">parametros_manuales!$B$43</f>
        <v>Embalaje y paletizado</v>
      </c>
      <c r="B215" s="9" t="n">
        <f aca="false">(parametros_manuales!$D$43*('Plan mensual'!D79+IF(parametros_manuales!$H$43="Todos",'Plan mensual'!D83,0))+parametros_manuales!$E$43*('Plan mensual'!D80+IF(parametros_manuales!$H$43="Todos",'Plan mensual'!D84,0))+parametros_manuales!$F$43*('Plan mensual'!D81+IF(parametros_manuales!$H$43="Todos",'Plan mensual'!D85,0))+parametros_manuales!$G$43*('Plan mensual'!D82+IF(parametros_manuales!$H$43="Todos",'Plan mensual'!D86,0)))*parametros_manuales!$I$43*parametros_manuales!$J$43</f>
        <v>24946.8271945</v>
      </c>
      <c r="C215" s="9" t="n">
        <f aca="false">(parametros_manuales!$D$43*('Plan mensual'!E79+IF(parametros_manuales!$H$43="Todos",'Plan mensual'!E83,0))+parametros_manuales!$E$43*('Plan mensual'!E80+IF(parametros_manuales!$H$43="Todos",'Plan mensual'!E84,0))+parametros_manuales!$F$43*('Plan mensual'!E81+IF(parametros_manuales!$H$43="Todos",'Plan mensual'!E85,0))+parametros_manuales!$G$43*('Plan mensual'!E82+IF(parametros_manuales!$H$43="Todos",'Plan mensual'!E86,0)))*parametros_manuales!$I$43*parametros_manuales!$J$43</f>
        <v>19020.66328472</v>
      </c>
      <c r="D215" s="9" t="n">
        <f aca="false">(parametros_manuales!$D$43*('Plan mensual'!F79+IF(parametros_manuales!$H$43="Todos",'Plan mensual'!F83,0))+parametros_manuales!$E$43*('Plan mensual'!F80+IF(parametros_manuales!$H$43="Todos",'Plan mensual'!F84,0))+parametros_manuales!$F$43*('Plan mensual'!F81+IF(parametros_manuales!$H$43="Todos",'Plan mensual'!F85,0))+parametros_manuales!$G$43*('Plan mensual'!F82+IF(parametros_manuales!$H$43="Todos",'Plan mensual'!F86,0)))*parametros_manuales!$I$43*parametros_manuales!$J$43</f>
        <v>17769.875388765</v>
      </c>
      <c r="E215" s="9" t="n">
        <f aca="false">(parametros_manuales!$D$43*('Plan mensual'!G79+IF(parametros_manuales!$H$43="Todos",'Plan mensual'!G83,0))+parametros_manuales!$E$43*('Plan mensual'!G80+IF(parametros_manuales!$H$43="Todos",'Plan mensual'!G84,0))+parametros_manuales!$F$43*('Plan mensual'!G81+IF(parametros_manuales!$H$43="Todos",'Plan mensual'!G85,0))+parametros_manuales!$G$43*('Plan mensual'!G82+IF(parametros_manuales!$H$43="Todos",'Plan mensual'!G86,0)))*parametros_manuales!$I$43*parametros_manuales!$J$43</f>
        <v>16989.209996365</v>
      </c>
      <c r="F215" s="9" t="n">
        <f aca="false">(parametros_manuales!$D$43*('Plan mensual'!H79+IF(parametros_manuales!$H$43="Todos",'Plan mensual'!H83,0))+parametros_manuales!$E$43*('Plan mensual'!H80+IF(parametros_manuales!$H$43="Todos",'Plan mensual'!H84,0))+parametros_manuales!$F$43*('Plan mensual'!H81+IF(parametros_manuales!$H$43="Todos",'Plan mensual'!H85,0))+parametros_manuales!$G$43*('Plan mensual'!H82+IF(parametros_manuales!$H$43="Todos",'Plan mensual'!H86,0)))*parametros_manuales!$I$43*parametros_manuales!$J$43</f>
        <v>15898.00171512</v>
      </c>
      <c r="G215" s="9" t="n">
        <f aca="false">(parametros_manuales!$D$43*('Plan mensual'!I79+IF(parametros_manuales!$H$43="Todos",'Plan mensual'!I83,0))+parametros_manuales!$E$43*('Plan mensual'!I80+IF(parametros_manuales!$H$43="Todos",'Plan mensual'!I84,0))+parametros_manuales!$F$43*('Plan mensual'!I81+IF(parametros_manuales!$H$43="Todos",'Plan mensual'!I85,0))+parametros_manuales!$G$43*('Plan mensual'!I82+IF(parametros_manuales!$H$43="Todos",'Plan mensual'!I86,0)))*parametros_manuales!$I$43*parametros_manuales!$J$43</f>
        <v>15587.458826275</v>
      </c>
      <c r="H215" s="9" t="n">
        <f aca="false">(parametros_manuales!$D$43*('Plan mensual'!J79+IF(parametros_manuales!$H$43="Todos",'Plan mensual'!J83,0))+parametros_manuales!$E$43*('Plan mensual'!J80+IF(parametros_manuales!$H$43="Todos",'Plan mensual'!J84,0))+parametros_manuales!$F$43*('Plan mensual'!J81+IF(parametros_manuales!$H$43="Todos",'Plan mensual'!J85,0))+parametros_manuales!$G$43*('Plan mensual'!J82+IF(parametros_manuales!$H$43="Todos",'Plan mensual'!J86,0)))*parametros_manuales!$I$43*parametros_manuales!$J$43</f>
        <v>16678.66710752</v>
      </c>
      <c r="I215" s="9" t="n">
        <f aca="false">(parametros_manuales!$D$43*('Plan mensual'!K79+IF(parametros_manuales!$H$43="Todos",'Plan mensual'!K83,0))+parametros_manuales!$E$43*('Plan mensual'!K80+IF(parametros_manuales!$H$43="Todos",'Plan mensual'!K84,0))+parametros_manuales!$F$43*('Plan mensual'!K81+IF(parametros_manuales!$H$43="Todos",'Plan mensual'!K85,0))+parametros_manuales!$G$43*('Plan mensual'!K82+IF(parametros_manuales!$H$43="Todos",'Plan mensual'!K86,0)))*parametros_manuales!$I$43*parametros_manuales!$J$43</f>
        <v>16678.66710752</v>
      </c>
      <c r="J215" s="9" t="n">
        <f aca="false">(parametros_manuales!$D$43*('Plan mensual'!L79+IF(parametros_manuales!$H$43="Todos",'Plan mensual'!L83,0))+parametros_manuales!$E$43*('Plan mensual'!L80+IF(parametros_manuales!$H$43="Todos",'Plan mensual'!L84,0))+parametros_manuales!$F$43*('Plan mensual'!L81+IF(parametros_manuales!$H$43="Todos",'Plan mensual'!L85,0))+parametros_manuales!$G$43*('Plan mensual'!L82+IF(parametros_manuales!$H$43="Todos",'Plan mensual'!L86,0)))*parametros_manuales!$I$43*parametros_manuales!$J$43</f>
        <v>16678.66710752</v>
      </c>
      <c r="K215" s="9" t="n">
        <f aca="false">(parametros_manuales!$D$43*('Plan mensual'!M79+IF(parametros_manuales!$H$43="Todos",'Plan mensual'!M83,0))+parametros_manuales!$E$43*('Plan mensual'!M80+IF(parametros_manuales!$H$43="Todos",'Plan mensual'!M84,0))+parametros_manuales!$F$43*('Plan mensual'!M81+IF(parametros_manuales!$H$43="Todos",'Plan mensual'!M85,0))+parametros_manuales!$G$43*('Plan mensual'!M82+IF(parametros_manuales!$H$43="Todos",'Plan mensual'!M86,0)))*parametros_manuales!$I$43*parametros_manuales!$J$43</f>
        <v>16368.124218675</v>
      </c>
      <c r="L215" s="9" t="n">
        <f aca="false">(parametros_manuales!$D$43*('Plan mensual'!N79+IF(parametros_manuales!$H$43="Todos",'Plan mensual'!N83,0))+parametros_manuales!$E$43*('Plan mensual'!N80+IF(parametros_manuales!$H$43="Todos",'Plan mensual'!N84,0))+parametros_manuales!$F$43*('Plan mensual'!N81+IF(parametros_manuales!$H$43="Todos",'Plan mensual'!N85,0))+parametros_manuales!$G$43*('Plan mensual'!N82+IF(parametros_manuales!$H$43="Todos",'Plan mensual'!N86,0)))*parametros_manuales!$I$43*parametros_manuales!$J$43</f>
        <v>16057.58132983</v>
      </c>
      <c r="M215" s="9" t="n">
        <f aca="false">(parametros_manuales!$D$43*('Plan mensual'!O79+IF(parametros_manuales!$H$43="Todos",'Plan mensual'!O83,0))+parametros_manuales!$E$43*('Plan mensual'!O80+IF(parametros_manuales!$H$43="Todos",'Plan mensual'!O84,0))+parametros_manuales!$F$43*('Plan mensual'!O81+IF(parametros_manuales!$H$43="Todos",'Plan mensual'!O85,0))+parametros_manuales!$G$43*('Plan mensual'!O82+IF(parametros_manuales!$H$43="Todos",'Plan mensual'!O86,0)))*parametros_manuales!$I$43*parametros_manuales!$J$43</f>
        <v>25567.91297219</v>
      </c>
      <c r="N215" s="9" t="n">
        <f aca="false">SUM(B215:M215)</f>
        <v>218241.656249</v>
      </c>
      <c r="O215" s="9" t="n">
        <f aca="false">MAX(B215:M215)</f>
        <v>25567.91297219</v>
      </c>
      <c r="P215" s="43" t="n">
        <f aca="false">O215/(parametros_manuales!$B$7)</f>
        <v>170.452753147933</v>
      </c>
      <c r="Q215" s="8" t="str">
        <f aca="false">IF(O215=0,"-",INDEX($B$190:$M$190,MATCH(O215,B215:M215,0)))</f>
        <v>Dic</v>
      </c>
    </row>
    <row r="216" customFormat="false" ht="14.25" hidden="false" customHeight="true" outlineLevel="0" collapsed="false"/>
    <row r="217" customFormat="false" ht="14.25" hidden="false" customHeight="true" outlineLevel="0" collapsed="false">
      <c r="A217" s="7" t="s">
        <v>198</v>
      </c>
      <c r="B217" s="7" t="s">
        <v>61</v>
      </c>
      <c r="C217" s="7" t="s">
        <v>62</v>
      </c>
      <c r="D217" s="7" t="s">
        <v>63</v>
      </c>
      <c r="E217" s="7" t="s">
        <v>64</v>
      </c>
      <c r="F217" s="7" t="s">
        <v>65</v>
      </c>
      <c r="G217" s="7" t="s">
        <v>66</v>
      </c>
      <c r="H217" s="7" t="s">
        <v>67</v>
      </c>
      <c r="I217" s="7" t="s">
        <v>68</v>
      </c>
      <c r="J217" s="7" t="s">
        <v>69</v>
      </c>
      <c r="K217" s="7" t="s">
        <v>70</v>
      </c>
      <c r="L217" s="7" t="s">
        <v>71</v>
      </c>
      <c r="M217" s="7" t="s">
        <v>72</v>
      </c>
      <c r="N217" s="7" t="s">
        <v>183</v>
      </c>
      <c r="O217" s="7" t="s">
        <v>188</v>
      </c>
      <c r="P217" s="7" t="s">
        <v>189</v>
      </c>
      <c r="Q217" s="7" t="s">
        <v>190</v>
      </c>
    </row>
    <row r="218" customFormat="false" ht="14.25" hidden="false" customHeight="true" outlineLevel="0" collapsed="false">
      <c r="A218" s="8" t="str">
        <f aca="false">parametros_manuales!$B$19</f>
        <v>Recepción de materia prima</v>
      </c>
      <c r="B218" s="9" t="n">
        <f aca="false">(parametros_manuales!$D$19*('Plan mensual'!D90+IF(parametros_manuales!$H$19="Todos",'Plan mensual'!D94,0))+parametros_manuales!$E$19*('Plan mensual'!D91+IF(parametros_manuales!$H$19="Todos",'Plan mensual'!D95,0))+parametros_manuales!$F$19*('Plan mensual'!D92+IF(parametros_manuales!$H$19="Todos",'Plan mensual'!D96,0))+parametros_manuales!$G$19*('Plan mensual'!D93+IF(parametros_manuales!$H$19="Todos",'Plan mensual'!D97,0)))*parametros_manuales!$I$19*parametros_manuales!$J$19</f>
        <v>28132.5624215</v>
      </c>
      <c r="C218" s="9" t="n">
        <f aca="false">(parametros_manuales!$D$19*('Plan mensual'!E90+IF(parametros_manuales!$H$19="Todos",'Plan mensual'!E94,0))+parametros_manuales!$E$19*('Plan mensual'!E91+IF(parametros_manuales!$H$19="Todos",'Plan mensual'!E95,0))+parametros_manuales!$F$19*('Plan mensual'!E92+IF(parametros_manuales!$H$19="Todos",'Plan mensual'!E96,0))+parametros_manuales!$G$19*('Plan mensual'!E93+IF(parametros_manuales!$H$19="Todos",'Plan mensual'!E97,0)))*parametros_manuales!$I$19*parametros_manuales!$J$19</f>
        <v>21453.69112036</v>
      </c>
      <c r="D218" s="9" t="n">
        <f aca="false">(parametros_manuales!$D$19*('Plan mensual'!F90+IF(parametros_manuales!$H$19="Todos",'Plan mensual'!F94,0))+parametros_manuales!$E$19*('Plan mensual'!F91+IF(parametros_manuales!$H$19="Todos",'Plan mensual'!F95,0))+parametros_manuales!$F$19*('Plan mensual'!F92+IF(parametros_manuales!$H$19="Todos",'Plan mensual'!F96,0))+parametros_manuales!$G$19*('Plan mensual'!F93+IF(parametros_manuales!$H$19="Todos",'Plan mensual'!F97,0)))*parametros_manuales!$I$19*parametros_manuales!$J$19</f>
        <v>20054.029063195</v>
      </c>
      <c r="E218" s="9" t="n">
        <f aca="false">(parametros_manuales!$D$19*('Plan mensual'!G90+IF(parametros_manuales!$H$19="Todos",'Plan mensual'!G94,0))+parametros_manuales!$E$19*('Plan mensual'!G91+IF(parametros_manuales!$H$19="Todos",'Plan mensual'!G95,0))+parametros_manuales!$F$19*('Plan mensual'!G92+IF(parametros_manuales!$H$19="Todos",'Plan mensual'!G96,0))+parametros_manuales!$G$19*('Plan mensual'!G93+IF(parametros_manuales!$H$19="Todos",'Plan mensual'!G97,0)))*parametros_manuales!$I$19*parametros_manuales!$J$19</f>
        <v>19177.063382495</v>
      </c>
      <c r="F218" s="9" t="n">
        <f aca="false">(parametros_manuales!$D$19*('Plan mensual'!H90+IF(parametros_manuales!$H$19="Todos",'Plan mensual'!H94,0))+parametros_manuales!$E$19*('Plan mensual'!H91+IF(parametros_manuales!$H$19="Todos",'Plan mensual'!H95,0))+parametros_manuales!$F$19*('Plan mensual'!H92+IF(parametros_manuales!$H$19="Todos",'Plan mensual'!H96,0))+parametros_manuales!$G$19*('Plan mensual'!H93+IF(parametros_manuales!$H$19="Todos",'Plan mensual'!H97,0)))*parametros_manuales!$I$19*parametros_manuales!$J$19</f>
        <v>17945.82839756</v>
      </c>
      <c r="G218" s="9" t="n">
        <f aca="false">(parametros_manuales!$D$19*('Plan mensual'!I90+IF(parametros_manuales!$H$19="Todos",'Plan mensual'!I94,0))+parametros_manuales!$E$19*('Plan mensual'!I91+IF(parametros_manuales!$H$19="Todos",'Plan mensual'!I95,0))+parametros_manuales!$F$19*('Plan mensual'!I92+IF(parametros_manuales!$H$19="Todos",'Plan mensual'!I96,0))+parametros_manuales!$G$19*('Plan mensual'!I93+IF(parametros_manuales!$H$19="Todos",'Plan mensual'!I97,0)))*parametros_manuales!$I$19*parametros_manuales!$J$19</f>
        <v>17591.559093325</v>
      </c>
      <c r="H218" s="9" t="n">
        <f aca="false">(parametros_manuales!$D$19*('Plan mensual'!J90+IF(parametros_manuales!$H$19="Todos",'Plan mensual'!J94,0))+parametros_manuales!$E$19*('Plan mensual'!J91+IF(parametros_manuales!$H$19="Todos",'Plan mensual'!J95,0))+parametros_manuales!$F$19*('Plan mensual'!J92+IF(parametros_manuales!$H$19="Todos",'Plan mensual'!J96,0))+parametros_manuales!$G$19*('Plan mensual'!J93+IF(parametros_manuales!$H$19="Todos",'Plan mensual'!J97,0)))*parametros_manuales!$I$19*parametros_manuales!$J$19</f>
        <v>18822.79407826</v>
      </c>
      <c r="I218" s="9" t="n">
        <f aca="false">(parametros_manuales!$D$19*('Plan mensual'!K90+IF(parametros_manuales!$H$19="Todos",'Plan mensual'!K94,0))+parametros_manuales!$E$19*('Plan mensual'!K91+IF(parametros_manuales!$H$19="Todos",'Plan mensual'!K95,0))+parametros_manuales!$F$19*('Plan mensual'!K92+IF(parametros_manuales!$H$19="Todos",'Plan mensual'!K96,0))+parametros_manuales!$G$19*('Plan mensual'!K93+IF(parametros_manuales!$H$19="Todos",'Plan mensual'!K97,0)))*parametros_manuales!$I$19*parametros_manuales!$J$19</f>
        <v>18822.79407826</v>
      </c>
      <c r="J218" s="9" t="n">
        <f aca="false">(parametros_manuales!$D$19*('Plan mensual'!L90+IF(parametros_manuales!$H$19="Todos",'Plan mensual'!L94,0))+parametros_manuales!$E$19*('Plan mensual'!L91+IF(parametros_manuales!$H$19="Todos",'Plan mensual'!L95,0))+parametros_manuales!$F$19*('Plan mensual'!L92+IF(parametros_manuales!$H$19="Todos",'Plan mensual'!L96,0))+parametros_manuales!$G$19*('Plan mensual'!L93+IF(parametros_manuales!$H$19="Todos",'Plan mensual'!L97,0)))*parametros_manuales!$I$19*parametros_manuales!$J$19</f>
        <v>18822.79407826</v>
      </c>
      <c r="K218" s="9" t="n">
        <f aca="false">(parametros_manuales!$D$19*('Plan mensual'!M90+IF(parametros_manuales!$H$19="Todos",'Plan mensual'!M94,0))+parametros_manuales!$E$19*('Plan mensual'!M91+IF(parametros_manuales!$H$19="Todos",'Plan mensual'!M95,0))+parametros_manuales!$F$19*('Plan mensual'!M92+IF(parametros_manuales!$H$19="Todos",'Plan mensual'!M96,0))+parametros_manuales!$G$19*('Plan mensual'!M93+IF(parametros_manuales!$H$19="Todos",'Plan mensual'!M97,0)))*parametros_manuales!$I$19*parametros_manuales!$J$19</f>
        <v>18468.524774025</v>
      </c>
      <c r="L218" s="9" t="n">
        <f aca="false">(parametros_manuales!$D$19*('Plan mensual'!N90+IF(parametros_manuales!$H$19="Todos",'Plan mensual'!N94,0))+parametros_manuales!$E$19*('Plan mensual'!N91+IF(parametros_manuales!$H$19="Todos",'Plan mensual'!N95,0))+parametros_manuales!$F$19*('Plan mensual'!N92+IF(parametros_manuales!$H$19="Todos",'Plan mensual'!N96,0))+parametros_manuales!$G$19*('Plan mensual'!N93+IF(parametros_manuales!$H$19="Todos",'Plan mensual'!N97,0)))*parametros_manuales!$I$19*parametros_manuales!$J$19</f>
        <v>18114.25546979</v>
      </c>
      <c r="M218" s="9" t="n">
        <f aca="false">(parametros_manuales!$D$19*('Plan mensual'!O90+IF(parametros_manuales!$H$19="Todos",'Plan mensual'!O94,0))+parametros_manuales!$E$19*('Plan mensual'!O91+IF(parametros_manuales!$H$19="Todos",'Plan mensual'!O95,0))+parametros_manuales!$F$19*('Plan mensual'!O92+IF(parametros_manuales!$H$19="Todos",'Plan mensual'!O96,0))+parametros_manuales!$G$19*('Plan mensual'!O93+IF(parametros_manuales!$H$19="Todos",'Plan mensual'!O97,0)))*parametros_manuales!$I$19*parametros_manuales!$J$19</f>
        <v>28841.10102997</v>
      </c>
      <c r="N218" s="9" t="n">
        <f aca="false">SUM(B218:M218)</f>
        <v>246246.996987</v>
      </c>
      <c r="O218" s="9" t="n">
        <f aca="false">MAX(B218:M218)</f>
        <v>28841.10102997</v>
      </c>
      <c r="P218" s="43" t="n">
        <f aca="false">O218/(parametros_manuales!$B$7)</f>
        <v>192.274006866467</v>
      </c>
      <c r="Q218" s="8" t="str">
        <f aca="false">IF(O218=0,"-",INDEX($B$217:$M$217,MATCH(O218,B218:M218,0)))</f>
        <v>Dic</v>
      </c>
    </row>
    <row r="219" customFormat="false" ht="14.25" hidden="false" customHeight="true" outlineLevel="0" collapsed="false">
      <c r="A219" s="8" t="str">
        <f aca="false">parametros_manuales!$B$20</f>
        <v>Corte de chapa (guillotina) — 2,5 a 10 kg</v>
      </c>
      <c r="B219" s="9" t="n">
        <f aca="false">(parametros_manuales!$D$20*('Plan mensual'!D90+IF(parametros_manuales!$H$20="Todos",'Plan mensual'!D94,0))+parametros_manuales!$E$20*('Plan mensual'!D91+IF(parametros_manuales!$H$20="Todos",'Plan mensual'!D95,0))+parametros_manuales!$F$20*('Plan mensual'!D92+IF(parametros_manuales!$H$20="Todos",'Plan mensual'!D96,0))+parametros_manuales!$G$20*('Plan mensual'!D93+IF(parametros_manuales!$H$20="Todos",'Plan mensual'!D97,0)))*parametros_manuales!$I$20*parametros_manuales!$J$20</f>
        <v>7085.3860847</v>
      </c>
      <c r="C219" s="9" t="n">
        <f aca="false">(parametros_manuales!$D$20*('Plan mensual'!E90+IF(parametros_manuales!$H$20="Todos",'Plan mensual'!E94,0))+parametros_manuales!$E$20*('Plan mensual'!E91+IF(parametros_manuales!$H$20="Todos",'Plan mensual'!E95,0))+parametros_manuales!$F$20*('Plan mensual'!E92+IF(parametros_manuales!$H$20="Todos",'Plan mensual'!E96,0))+parametros_manuales!$G$20*('Plan mensual'!E93+IF(parametros_manuales!$H$20="Todos",'Plan mensual'!E97,0)))*parametros_manuales!$I$20*parametros_manuales!$J$20</f>
        <v>5668.30886776</v>
      </c>
      <c r="D219" s="9" t="n">
        <f aca="false">(parametros_manuales!$D$20*('Plan mensual'!F90+IF(parametros_manuales!$H$20="Todos",'Plan mensual'!F94,0))+parametros_manuales!$E$20*('Plan mensual'!F91+IF(parametros_manuales!$H$20="Todos",'Plan mensual'!F95,0))+parametros_manuales!$F$20*('Plan mensual'!F92+IF(parametros_manuales!$H$20="Todos",'Plan mensual'!F96,0))+parametros_manuales!$G$20*('Plan mensual'!F93+IF(parametros_manuales!$H$20="Todos",'Plan mensual'!F97,0)))*parametros_manuales!$I$20*parametros_manuales!$J$20</f>
        <v>6022.578171995</v>
      </c>
      <c r="E219" s="9" t="n">
        <f aca="false">(parametros_manuales!$D$20*('Plan mensual'!G90+IF(parametros_manuales!$H$20="Todos",'Plan mensual'!G94,0))+parametros_manuales!$E$20*('Plan mensual'!G91+IF(parametros_manuales!$H$20="Todos",'Plan mensual'!G95,0))+parametros_manuales!$F$20*('Plan mensual'!G92+IF(parametros_manuales!$H$20="Todos",'Plan mensual'!G96,0))+parametros_manuales!$G$20*('Plan mensual'!G93+IF(parametros_manuales!$H$20="Todos",'Plan mensual'!G97,0)))*parametros_manuales!$I$20*parametros_manuales!$J$20</f>
        <v>6022.578171995</v>
      </c>
      <c r="F219" s="9" t="n">
        <f aca="false">(parametros_manuales!$D$20*('Plan mensual'!H90+IF(parametros_manuales!$H$20="Todos",'Plan mensual'!H94,0))+parametros_manuales!$E$20*('Plan mensual'!H91+IF(parametros_manuales!$H$20="Todos",'Plan mensual'!H95,0))+parametros_manuales!$F$20*('Plan mensual'!H92+IF(parametros_manuales!$H$20="Todos",'Plan mensual'!H96,0))+parametros_manuales!$G$20*('Plan mensual'!H93+IF(parametros_manuales!$H$20="Todos",'Plan mensual'!H97,0)))*parametros_manuales!$I$20*parametros_manuales!$J$20</f>
        <v>5668.30886776</v>
      </c>
      <c r="G219" s="9" t="n">
        <f aca="false">(parametros_manuales!$D$20*('Plan mensual'!I90+IF(parametros_manuales!$H$20="Todos",'Plan mensual'!I94,0))+parametros_manuales!$E$20*('Plan mensual'!I91+IF(parametros_manuales!$H$20="Todos",'Plan mensual'!I95,0))+parametros_manuales!$F$20*('Plan mensual'!I92+IF(parametros_manuales!$H$20="Todos",'Plan mensual'!I96,0))+parametros_manuales!$G$20*('Plan mensual'!I93+IF(parametros_manuales!$H$20="Todos",'Plan mensual'!I97,0)))*parametros_manuales!$I$20*parametros_manuales!$J$20</f>
        <v>5314.039563525</v>
      </c>
      <c r="H219" s="9" t="n">
        <f aca="false">(parametros_manuales!$D$20*('Plan mensual'!J90+IF(parametros_manuales!$H$20="Todos",'Plan mensual'!J94,0))+parametros_manuales!$E$20*('Plan mensual'!J91+IF(parametros_manuales!$H$20="Todos",'Plan mensual'!J95,0))+parametros_manuales!$F$20*('Plan mensual'!J92+IF(parametros_manuales!$H$20="Todos",'Plan mensual'!J96,0))+parametros_manuales!$G$20*('Plan mensual'!J93+IF(parametros_manuales!$H$20="Todos",'Plan mensual'!J97,0)))*parametros_manuales!$I$20*parametros_manuales!$J$20</f>
        <v>5668.30886776</v>
      </c>
      <c r="I219" s="9" t="n">
        <f aca="false">(parametros_manuales!$D$20*('Plan mensual'!K90+IF(parametros_manuales!$H$20="Todos",'Plan mensual'!K94,0))+parametros_manuales!$E$20*('Plan mensual'!K91+IF(parametros_manuales!$H$20="Todos",'Plan mensual'!K95,0))+parametros_manuales!$F$20*('Plan mensual'!K92+IF(parametros_manuales!$H$20="Todos",'Plan mensual'!K96,0))+parametros_manuales!$G$20*('Plan mensual'!K93+IF(parametros_manuales!$H$20="Todos",'Plan mensual'!K97,0)))*parametros_manuales!$I$20*parametros_manuales!$J$20</f>
        <v>5668.30886776</v>
      </c>
      <c r="J219" s="9" t="n">
        <f aca="false">(parametros_manuales!$D$20*('Plan mensual'!L90+IF(parametros_manuales!$H$20="Todos",'Plan mensual'!L94,0))+parametros_manuales!$E$20*('Plan mensual'!L91+IF(parametros_manuales!$H$20="Todos",'Plan mensual'!L95,0))+parametros_manuales!$F$20*('Plan mensual'!L92+IF(parametros_manuales!$H$20="Todos",'Plan mensual'!L96,0))+parametros_manuales!$G$20*('Plan mensual'!L93+IF(parametros_manuales!$H$20="Todos",'Plan mensual'!L97,0)))*parametros_manuales!$I$20*parametros_manuales!$J$20</f>
        <v>5668.30886776</v>
      </c>
      <c r="K219" s="9" t="n">
        <f aca="false">(parametros_manuales!$D$20*('Plan mensual'!M90+IF(parametros_manuales!$H$20="Todos",'Plan mensual'!M94,0))+parametros_manuales!$E$20*('Plan mensual'!M91+IF(parametros_manuales!$H$20="Todos",'Plan mensual'!M95,0))+parametros_manuales!$F$20*('Plan mensual'!M92+IF(parametros_manuales!$H$20="Todos",'Plan mensual'!M96,0))+parametros_manuales!$G$20*('Plan mensual'!M93+IF(parametros_manuales!$H$20="Todos",'Plan mensual'!M97,0)))*parametros_manuales!$I$20*parametros_manuales!$J$20</f>
        <v>5314.039563525</v>
      </c>
      <c r="L219" s="9" t="n">
        <f aca="false">(parametros_manuales!$D$20*('Plan mensual'!N90+IF(parametros_manuales!$H$20="Todos",'Plan mensual'!N94,0))+parametros_manuales!$E$20*('Plan mensual'!N91+IF(parametros_manuales!$H$20="Todos",'Plan mensual'!N95,0))+parametros_manuales!$F$20*('Plan mensual'!N92+IF(parametros_manuales!$H$20="Todos",'Plan mensual'!N96,0))+parametros_manuales!$G$20*('Plan mensual'!N93+IF(parametros_manuales!$H$20="Todos",'Plan mensual'!N97,0)))*parametros_manuales!$I$20*parametros_manuales!$J$20</f>
        <v>4959.77025929</v>
      </c>
      <c r="M219" s="9" t="n">
        <f aca="false">(parametros_manuales!$D$20*('Plan mensual'!O90+IF(parametros_manuales!$H$20="Todos",'Plan mensual'!O94,0))+parametros_manuales!$E$20*('Plan mensual'!O91+IF(parametros_manuales!$H$20="Todos",'Plan mensual'!O95,0))+parametros_manuales!$F$20*('Plan mensual'!O92+IF(parametros_manuales!$H$20="Todos",'Plan mensual'!O96,0))+parametros_manuales!$G$20*('Plan mensual'!O93+IF(parametros_manuales!$H$20="Todos",'Plan mensual'!O97,0)))*parametros_manuales!$I$20*parametros_manuales!$J$20</f>
        <v>7793.92469317</v>
      </c>
      <c r="N219" s="9" t="n">
        <f aca="false">SUM(B219:M219)</f>
        <v>70853.860847</v>
      </c>
      <c r="O219" s="9" t="n">
        <f aca="false">MAX(B219:M219)</f>
        <v>7793.92469317</v>
      </c>
      <c r="P219" s="43" t="n">
        <f aca="false">O219/(parametros_manuales!$B$7)</f>
        <v>51.9594979544667</v>
      </c>
      <c r="Q219" s="8" t="str">
        <f aca="false">IF(O219=0,"-",INDEX($B$217:$M$217,MATCH(O219,B219:M219,0)))</f>
        <v>Dic</v>
      </c>
    </row>
    <row r="220" customFormat="false" ht="14.25" hidden="false" customHeight="true" outlineLevel="0" collapsed="false">
      <c r="A220" s="8" t="str">
        <f aca="false">parametros_manuales!$B$21</f>
        <v>Corte de tubo — 1 kg</v>
      </c>
      <c r="B220" s="9" t="n">
        <f aca="false">(parametros_manuales!$D$21*('Plan mensual'!D90+IF(parametros_manuales!$H$21="Todos",'Plan mensual'!D94,0))+parametros_manuales!$E$21*('Plan mensual'!D91+IF(parametros_manuales!$H$21="Todos",'Plan mensual'!D95,0))+parametros_manuales!$F$21*('Plan mensual'!D92+IF(parametros_manuales!$H$21="Todos",'Plan mensual'!D96,0))+parametros_manuales!$G$21*('Plan mensual'!D93+IF(parametros_manuales!$H$21="Todos",'Plan mensual'!D97,0)))*parametros_manuales!$I$21*parametros_manuales!$J$21</f>
        <v>21047.1763368</v>
      </c>
      <c r="C220" s="9" t="n">
        <f aca="false">(parametros_manuales!$D$21*('Plan mensual'!E90+IF(parametros_manuales!$H$21="Todos",'Plan mensual'!E94,0))+parametros_manuales!$E$21*('Plan mensual'!E91+IF(parametros_manuales!$H$21="Todos",'Plan mensual'!E95,0))+parametros_manuales!$F$21*('Plan mensual'!E92+IF(parametros_manuales!$H$21="Todos",'Plan mensual'!E96,0))+parametros_manuales!$G$21*('Plan mensual'!E93+IF(parametros_manuales!$H$21="Todos",'Plan mensual'!E97,0)))*parametros_manuales!$I$21*parametros_manuales!$J$21</f>
        <v>15785.3822526</v>
      </c>
      <c r="D220" s="9" t="n">
        <f aca="false">(parametros_manuales!$D$21*('Plan mensual'!F90+IF(parametros_manuales!$H$21="Todos",'Plan mensual'!F94,0))+parametros_manuales!$E$21*('Plan mensual'!F91+IF(parametros_manuales!$H$21="Todos",'Plan mensual'!F95,0))+parametros_manuales!$F$21*('Plan mensual'!F92+IF(parametros_manuales!$H$21="Todos",'Plan mensual'!F96,0))+parametros_manuales!$G$21*('Plan mensual'!F93+IF(parametros_manuales!$H$21="Todos",'Plan mensual'!F97,0)))*parametros_manuales!$I$21*parametros_manuales!$J$21</f>
        <v>14031.4508912</v>
      </c>
      <c r="E220" s="9" t="n">
        <f aca="false">(parametros_manuales!$D$21*('Plan mensual'!G90+IF(parametros_manuales!$H$21="Todos",'Plan mensual'!G94,0))+parametros_manuales!$E$21*('Plan mensual'!G91+IF(parametros_manuales!$H$21="Todos",'Plan mensual'!G95,0))+parametros_manuales!$F$21*('Plan mensual'!G92+IF(parametros_manuales!$H$21="Todos",'Plan mensual'!G96,0))+parametros_manuales!$G$21*('Plan mensual'!G93+IF(parametros_manuales!$H$21="Todos",'Plan mensual'!G97,0)))*parametros_manuales!$I$21*parametros_manuales!$J$21</f>
        <v>13154.4852105</v>
      </c>
      <c r="F220" s="9" t="n">
        <f aca="false">(parametros_manuales!$D$21*('Plan mensual'!H90+IF(parametros_manuales!$H$21="Todos",'Plan mensual'!H94,0))+parametros_manuales!$E$21*('Plan mensual'!H91+IF(parametros_manuales!$H$21="Todos",'Plan mensual'!H95,0))+parametros_manuales!$F$21*('Plan mensual'!H92+IF(parametros_manuales!$H$21="Todos",'Plan mensual'!H96,0))+parametros_manuales!$G$21*('Plan mensual'!H93+IF(parametros_manuales!$H$21="Todos",'Plan mensual'!H97,0)))*parametros_manuales!$I$21*parametros_manuales!$J$21</f>
        <v>12277.5195298</v>
      </c>
      <c r="G220" s="9" t="n">
        <f aca="false">(parametros_manuales!$D$21*('Plan mensual'!I90+IF(parametros_manuales!$H$21="Todos",'Plan mensual'!I94,0))+parametros_manuales!$E$21*('Plan mensual'!I91+IF(parametros_manuales!$H$21="Todos",'Plan mensual'!I95,0))+parametros_manuales!$F$21*('Plan mensual'!I92+IF(parametros_manuales!$H$21="Todos",'Plan mensual'!I96,0))+parametros_manuales!$G$21*('Plan mensual'!I93+IF(parametros_manuales!$H$21="Todos",'Plan mensual'!I97,0)))*parametros_manuales!$I$21*parametros_manuales!$J$21</f>
        <v>12277.5195298</v>
      </c>
      <c r="H220" s="9" t="n">
        <f aca="false">(parametros_manuales!$D$21*('Plan mensual'!J90+IF(parametros_manuales!$H$21="Todos",'Plan mensual'!J94,0))+parametros_manuales!$E$21*('Plan mensual'!J91+IF(parametros_manuales!$H$21="Todos",'Plan mensual'!J95,0))+parametros_manuales!$F$21*('Plan mensual'!J92+IF(parametros_manuales!$H$21="Todos",'Plan mensual'!J96,0))+parametros_manuales!$G$21*('Plan mensual'!J93+IF(parametros_manuales!$H$21="Todos",'Plan mensual'!J97,0)))*parametros_manuales!$I$21*parametros_manuales!$J$21</f>
        <v>13154.4852105</v>
      </c>
      <c r="I220" s="9" t="n">
        <f aca="false">(parametros_manuales!$D$21*('Plan mensual'!K90+IF(parametros_manuales!$H$21="Todos",'Plan mensual'!K94,0))+parametros_manuales!$E$21*('Plan mensual'!K91+IF(parametros_manuales!$H$21="Todos",'Plan mensual'!K95,0))+parametros_manuales!$F$21*('Plan mensual'!K92+IF(parametros_manuales!$H$21="Todos",'Plan mensual'!K96,0))+parametros_manuales!$G$21*('Plan mensual'!K93+IF(parametros_manuales!$H$21="Todos",'Plan mensual'!K97,0)))*parametros_manuales!$I$21*parametros_manuales!$J$21</f>
        <v>13154.4852105</v>
      </c>
      <c r="J220" s="9" t="n">
        <f aca="false">(parametros_manuales!$D$21*('Plan mensual'!L90+IF(parametros_manuales!$H$21="Todos",'Plan mensual'!L94,0))+parametros_manuales!$E$21*('Plan mensual'!L91+IF(parametros_manuales!$H$21="Todos",'Plan mensual'!L95,0))+parametros_manuales!$F$21*('Plan mensual'!L92+IF(parametros_manuales!$H$21="Todos",'Plan mensual'!L96,0))+parametros_manuales!$G$21*('Plan mensual'!L93+IF(parametros_manuales!$H$21="Todos",'Plan mensual'!L97,0)))*parametros_manuales!$I$21*parametros_manuales!$J$21</f>
        <v>13154.4852105</v>
      </c>
      <c r="K220" s="9" t="n">
        <f aca="false">(parametros_manuales!$D$21*('Plan mensual'!M90+IF(parametros_manuales!$H$21="Todos",'Plan mensual'!M94,0))+parametros_manuales!$E$21*('Plan mensual'!M91+IF(parametros_manuales!$H$21="Todos",'Plan mensual'!M95,0))+parametros_manuales!$F$21*('Plan mensual'!M92+IF(parametros_manuales!$H$21="Todos",'Plan mensual'!M96,0))+parametros_manuales!$G$21*('Plan mensual'!M93+IF(parametros_manuales!$H$21="Todos",'Plan mensual'!M97,0)))*parametros_manuales!$I$21*parametros_manuales!$J$21</f>
        <v>13154.4852105</v>
      </c>
      <c r="L220" s="9" t="n">
        <f aca="false">(parametros_manuales!$D$21*('Plan mensual'!N90+IF(parametros_manuales!$H$21="Todos",'Plan mensual'!N94,0))+parametros_manuales!$E$21*('Plan mensual'!N91+IF(parametros_manuales!$H$21="Todos",'Plan mensual'!N95,0))+parametros_manuales!$F$21*('Plan mensual'!N92+IF(parametros_manuales!$H$21="Todos",'Plan mensual'!N96,0))+parametros_manuales!$G$21*('Plan mensual'!N93+IF(parametros_manuales!$H$21="Todos",'Plan mensual'!N97,0)))*parametros_manuales!$I$21*parametros_manuales!$J$21</f>
        <v>13154.4852105</v>
      </c>
      <c r="M220" s="9" t="n">
        <f aca="false">(parametros_manuales!$D$21*('Plan mensual'!O90+IF(parametros_manuales!$H$21="Todos",'Plan mensual'!O94,0))+parametros_manuales!$E$21*('Plan mensual'!O91+IF(parametros_manuales!$H$21="Todos",'Plan mensual'!O95,0))+parametros_manuales!$F$21*('Plan mensual'!O92+IF(parametros_manuales!$H$21="Todos",'Plan mensual'!O96,0))+parametros_manuales!$G$21*('Plan mensual'!O93+IF(parametros_manuales!$H$21="Todos",'Plan mensual'!O97,0)))*parametros_manuales!$I$21*parametros_manuales!$J$21</f>
        <v>21047.1763368</v>
      </c>
      <c r="N220" s="9" t="n">
        <f aca="false">SUM(B220:M220)</f>
        <v>175393.13614</v>
      </c>
      <c r="O220" s="9" t="n">
        <f aca="false">MAX(B220:M220)</f>
        <v>21047.1763368</v>
      </c>
      <c r="P220" s="43" t="n">
        <f aca="false">O220/(parametros_manuales!$B$7)</f>
        <v>140.314508912</v>
      </c>
      <c r="Q220" s="8" t="str">
        <f aca="false">IF(O220=0,"-",INDEX($B$217:$M$217,MATCH(O220,B220:M220,0)))</f>
        <v>Ene</v>
      </c>
    </row>
    <row r="221" customFormat="false" ht="14.25" hidden="false" customHeight="true" outlineLevel="0" collapsed="false">
      <c r="A221" s="8" t="str">
        <f aca="false">parametros_manuales!$B$22</f>
        <v>Corte de disco y embutido (cúpula y fondo)</v>
      </c>
      <c r="B221" s="9" t="n">
        <f aca="false">(parametros_manuales!$D$22*('Plan mensual'!D90+IF(parametros_manuales!$H$22="Todos",'Plan mensual'!D94,0))+parametros_manuales!$E$22*('Plan mensual'!D91+IF(parametros_manuales!$H$22="Todos",'Plan mensual'!D95,0))+parametros_manuales!$F$22*('Plan mensual'!D92+IF(parametros_manuales!$H$22="Todos",'Plan mensual'!D96,0))+parametros_manuales!$G$22*('Plan mensual'!D93+IF(parametros_manuales!$H$22="Todos",'Plan mensual'!D97,0)))*parametros_manuales!$I$22*parametros_manuales!$J$22</f>
        <v>56265.124843</v>
      </c>
      <c r="C221" s="9" t="n">
        <f aca="false">(parametros_manuales!$D$22*('Plan mensual'!E90+IF(parametros_manuales!$H$22="Todos",'Plan mensual'!E94,0))+parametros_manuales!$E$22*('Plan mensual'!E91+IF(parametros_manuales!$H$22="Todos",'Plan mensual'!E95,0))+parametros_manuales!$F$22*('Plan mensual'!E92+IF(parametros_manuales!$H$22="Todos",'Plan mensual'!E96,0))+parametros_manuales!$G$22*('Plan mensual'!E93+IF(parametros_manuales!$H$22="Todos",'Plan mensual'!E97,0)))*parametros_manuales!$I$22*parametros_manuales!$J$22</f>
        <v>42907.38224072</v>
      </c>
      <c r="D221" s="9" t="n">
        <f aca="false">(parametros_manuales!$D$22*('Plan mensual'!F90+IF(parametros_manuales!$H$22="Todos",'Plan mensual'!F94,0))+parametros_manuales!$E$22*('Plan mensual'!F91+IF(parametros_manuales!$H$22="Todos",'Plan mensual'!F95,0))+parametros_manuales!$F$22*('Plan mensual'!F92+IF(parametros_manuales!$H$22="Todos",'Plan mensual'!F96,0))+parametros_manuales!$G$22*('Plan mensual'!F93+IF(parametros_manuales!$H$22="Todos",'Plan mensual'!F97,0)))*parametros_manuales!$I$22*parametros_manuales!$J$22</f>
        <v>40108.05812639</v>
      </c>
      <c r="E221" s="9" t="n">
        <f aca="false">(parametros_manuales!$D$22*('Plan mensual'!G90+IF(parametros_manuales!$H$22="Todos",'Plan mensual'!G94,0))+parametros_manuales!$E$22*('Plan mensual'!G91+IF(parametros_manuales!$H$22="Todos",'Plan mensual'!G95,0))+parametros_manuales!$F$22*('Plan mensual'!G92+IF(parametros_manuales!$H$22="Todos",'Plan mensual'!G96,0))+parametros_manuales!$G$22*('Plan mensual'!G93+IF(parametros_manuales!$H$22="Todos",'Plan mensual'!G97,0)))*parametros_manuales!$I$22*parametros_manuales!$J$22</f>
        <v>38354.12676499</v>
      </c>
      <c r="F221" s="9" t="n">
        <f aca="false">(parametros_manuales!$D$22*('Plan mensual'!H90+IF(parametros_manuales!$H$22="Todos",'Plan mensual'!H94,0))+parametros_manuales!$E$22*('Plan mensual'!H91+IF(parametros_manuales!$H$22="Todos",'Plan mensual'!H95,0))+parametros_manuales!$F$22*('Plan mensual'!H92+IF(parametros_manuales!$H$22="Todos",'Plan mensual'!H96,0))+parametros_manuales!$G$22*('Plan mensual'!H93+IF(parametros_manuales!$H$22="Todos",'Plan mensual'!H97,0)))*parametros_manuales!$I$22*parametros_manuales!$J$22</f>
        <v>35891.65679512</v>
      </c>
      <c r="G221" s="9" t="n">
        <f aca="false">(parametros_manuales!$D$22*('Plan mensual'!I90+IF(parametros_manuales!$H$22="Todos",'Plan mensual'!I94,0))+parametros_manuales!$E$22*('Plan mensual'!I91+IF(parametros_manuales!$H$22="Todos",'Plan mensual'!I95,0))+parametros_manuales!$F$22*('Plan mensual'!I92+IF(parametros_manuales!$H$22="Todos",'Plan mensual'!I96,0))+parametros_manuales!$G$22*('Plan mensual'!I93+IF(parametros_manuales!$H$22="Todos",'Plan mensual'!I97,0)))*parametros_manuales!$I$22*parametros_manuales!$J$22</f>
        <v>35183.11818665</v>
      </c>
      <c r="H221" s="9" t="n">
        <f aca="false">(parametros_manuales!$D$22*('Plan mensual'!J90+IF(parametros_manuales!$H$22="Todos",'Plan mensual'!J94,0))+parametros_manuales!$E$22*('Plan mensual'!J91+IF(parametros_manuales!$H$22="Todos",'Plan mensual'!J95,0))+parametros_manuales!$F$22*('Plan mensual'!J92+IF(parametros_manuales!$H$22="Todos",'Plan mensual'!J96,0))+parametros_manuales!$G$22*('Plan mensual'!J93+IF(parametros_manuales!$H$22="Todos",'Plan mensual'!J97,0)))*parametros_manuales!$I$22*parametros_manuales!$J$22</f>
        <v>37645.58815652</v>
      </c>
      <c r="I221" s="9" t="n">
        <f aca="false">(parametros_manuales!$D$22*('Plan mensual'!K90+IF(parametros_manuales!$H$22="Todos",'Plan mensual'!K94,0))+parametros_manuales!$E$22*('Plan mensual'!K91+IF(parametros_manuales!$H$22="Todos",'Plan mensual'!K95,0))+parametros_manuales!$F$22*('Plan mensual'!K92+IF(parametros_manuales!$H$22="Todos",'Plan mensual'!K96,0))+parametros_manuales!$G$22*('Plan mensual'!K93+IF(parametros_manuales!$H$22="Todos",'Plan mensual'!K97,0)))*parametros_manuales!$I$22*parametros_manuales!$J$22</f>
        <v>37645.58815652</v>
      </c>
      <c r="J221" s="9" t="n">
        <f aca="false">(parametros_manuales!$D$22*('Plan mensual'!L90+IF(parametros_manuales!$H$22="Todos",'Plan mensual'!L94,0))+parametros_manuales!$E$22*('Plan mensual'!L91+IF(parametros_manuales!$H$22="Todos",'Plan mensual'!L95,0))+parametros_manuales!$F$22*('Plan mensual'!L92+IF(parametros_manuales!$H$22="Todos",'Plan mensual'!L96,0))+parametros_manuales!$G$22*('Plan mensual'!L93+IF(parametros_manuales!$H$22="Todos",'Plan mensual'!L97,0)))*parametros_manuales!$I$22*parametros_manuales!$J$22</f>
        <v>37645.58815652</v>
      </c>
      <c r="K221" s="9" t="n">
        <f aca="false">(parametros_manuales!$D$22*('Plan mensual'!M90+IF(parametros_manuales!$H$22="Todos",'Plan mensual'!M94,0))+parametros_manuales!$E$22*('Plan mensual'!M91+IF(parametros_manuales!$H$22="Todos",'Plan mensual'!M95,0))+parametros_manuales!$F$22*('Plan mensual'!M92+IF(parametros_manuales!$H$22="Todos",'Plan mensual'!M96,0))+parametros_manuales!$G$22*('Plan mensual'!M93+IF(parametros_manuales!$H$22="Todos",'Plan mensual'!M97,0)))*parametros_manuales!$I$22*parametros_manuales!$J$22</f>
        <v>36937.04954805</v>
      </c>
      <c r="L221" s="9" t="n">
        <f aca="false">(parametros_manuales!$D$22*('Plan mensual'!N90+IF(parametros_manuales!$H$22="Todos",'Plan mensual'!N94,0))+parametros_manuales!$E$22*('Plan mensual'!N91+IF(parametros_manuales!$H$22="Todos",'Plan mensual'!N95,0))+parametros_manuales!$F$22*('Plan mensual'!N92+IF(parametros_manuales!$H$22="Todos",'Plan mensual'!N96,0))+parametros_manuales!$G$22*('Plan mensual'!N93+IF(parametros_manuales!$H$22="Todos",'Plan mensual'!N97,0)))*parametros_manuales!$I$22*parametros_manuales!$J$22</f>
        <v>36228.51093958</v>
      </c>
      <c r="M221" s="9" t="n">
        <f aca="false">(parametros_manuales!$D$22*('Plan mensual'!O90+IF(parametros_manuales!$H$22="Todos",'Plan mensual'!O94,0))+parametros_manuales!$E$22*('Plan mensual'!O91+IF(parametros_manuales!$H$22="Todos",'Plan mensual'!O95,0))+parametros_manuales!$F$22*('Plan mensual'!O92+IF(parametros_manuales!$H$22="Todos",'Plan mensual'!O96,0))+parametros_manuales!$G$22*('Plan mensual'!O93+IF(parametros_manuales!$H$22="Todos",'Plan mensual'!O97,0)))*parametros_manuales!$I$22*parametros_manuales!$J$22</f>
        <v>57682.20205994</v>
      </c>
      <c r="N221" s="9" t="n">
        <f aca="false">SUM(B221:M221)</f>
        <v>492493.993974</v>
      </c>
      <c r="O221" s="9" t="n">
        <f aca="false">MAX(B221:M221)</f>
        <v>57682.20205994</v>
      </c>
      <c r="P221" s="43" t="n">
        <f aca="false">O221/(parametros_manuales!$B$7)</f>
        <v>384.548013732933</v>
      </c>
      <c r="Q221" s="8" t="str">
        <f aca="false">IF(O221=0,"-",INDEX($B$217:$M$217,MATCH(O221,B221:M221,0)))</f>
        <v>Dic</v>
      </c>
    </row>
    <row r="222" customFormat="false" ht="14.25" hidden="false" customHeight="true" outlineLevel="0" collapsed="false">
      <c r="A222" s="8" t="str">
        <f aca="false">parametros_manuales!$B$23</f>
        <v>Preparación de cuello</v>
      </c>
      <c r="B222" s="9" t="n">
        <f aca="false">(parametros_manuales!$D$23*('Plan mensual'!D90+IF(parametros_manuales!$H$23="Todos",'Plan mensual'!D94,0))+parametros_manuales!$E$23*('Plan mensual'!D91+IF(parametros_manuales!$H$23="Todos",'Plan mensual'!D95,0))+parametros_manuales!$F$23*('Plan mensual'!D92+IF(parametros_manuales!$H$23="Todos",'Plan mensual'!D96,0))+parametros_manuales!$G$23*('Plan mensual'!D93+IF(parametros_manuales!$H$23="Todos",'Plan mensual'!D97,0)))*parametros_manuales!$I$23*parametros_manuales!$J$23</f>
        <v>28132.5624215</v>
      </c>
      <c r="C222" s="9" t="n">
        <f aca="false">(parametros_manuales!$D$23*('Plan mensual'!E90+IF(parametros_manuales!$H$23="Todos",'Plan mensual'!E94,0))+parametros_manuales!$E$23*('Plan mensual'!E91+IF(parametros_manuales!$H$23="Todos",'Plan mensual'!E95,0))+parametros_manuales!$F$23*('Plan mensual'!E92+IF(parametros_manuales!$H$23="Todos",'Plan mensual'!E96,0))+parametros_manuales!$G$23*('Plan mensual'!E93+IF(parametros_manuales!$H$23="Todos",'Plan mensual'!E97,0)))*parametros_manuales!$I$23*parametros_manuales!$J$23</f>
        <v>21453.69112036</v>
      </c>
      <c r="D222" s="9" t="n">
        <f aca="false">(parametros_manuales!$D$23*('Plan mensual'!F90+IF(parametros_manuales!$H$23="Todos",'Plan mensual'!F94,0))+parametros_manuales!$E$23*('Plan mensual'!F91+IF(parametros_manuales!$H$23="Todos",'Plan mensual'!F95,0))+parametros_manuales!$F$23*('Plan mensual'!F92+IF(parametros_manuales!$H$23="Todos",'Plan mensual'!F96,0))+parametros_manuales!$G$23*('Plan mensual'!F93+IF(parametros_manuales!$H$23="Todos",'Plan mensual'!F97,0)))*parametros_manuales!$I$23*parametros_manuales!$J$23</f>
        <v>20054.029063195</v>
      </c>
      <c r="E222" s="9" t="n">
        <f aca="false">(parametros_manuales!$D$23*('Plan mensual'!G90+IF(parametros_manuales!$H$23="Todos",'Plan mensual'!G94,0))+parametros_manuales!$E$23*('Plan mensual'!G91+IF(parametros_manuales!$H$23="Todos",'Plan mensual'!G95,0))+parametros_manuales!$F$23*('Plan mensual'!G92+IF(parametros_manuales!$H$23="Todos",'Plan mensual'!G96,0))+parametros_manuales!$G$23*('Plan mensual'!G93+IF(parametros_manuales!$H$23="Todos",'Plan mensual'!G97,0)))*parametros_manuales!$I$23*parametros_manuales!$J$23</f>
        <v>19177.063382495</v>
      </c>
      <c r="F222" s="9" t="n">
        <f aca="false">(parametros_manuales!$D$23*('Plan mensual'!H90+IF(parametros_manuales!$H$23="Todos",'Plan mensual'!H94,0))+parametros_manuales!$E$23*('Plan mensual'!H91+IF(parametros_manuales!$H$23="Todos",'Plan mensual'!H95,0))+parametros_manuales!$F$23*('Plan mensual'!H92+IF(parametros_manuales!$H$23="Todos",'Plan mensual'!H96,0))+parametros_manuales!$G$23*('Plan mensual'!H93+IF(parametros_manuales!$H$23="Todos",'Plan mensual'!H97,0)))*parametros_manuales!$I$23*parametros_manuales!$J$23</f>
        <v>17945.82839756</v>
      </c>
      <c r="G222" s="9" t="n">
        <f aca="false">(parametros_manuales!$D$23*('Plan mensual'!I90+IF(parametros_manuales!$H$23="Todos",'Plan mensual'!I94,0))+parametros_manuales!$E$23*('Plan mensual'!I91+IF(parametros_manuales!$H$23="Todos",'Plan mensual'!I95,0))+parametros_manuales!$F$23*('Plan mensual'!I92+IF(parametros_manuales!$H$23="Todos",'Plan mensual'!I96,0))+parametros_manuales!$G$23*('Plan mensual'!I93+IF(parametros_manuales!$H$23="Todos",'Plan mensual'!I97,0)))*parametros_manuales!$I$23*parametros_manuales!$J$23</f>
        <v>17591.559093325</v>
      </c>
      <c r="H222" s="9" t="n">
        <f aca="false">(parametros_manuales!$D$23*('Plan mensual'!J90+IF(parametros_manuales!$H$23="Todos",'Plan mensual'!J94,0))+parametros_manuales!$E$23*('Plan mensual'!J91+IF(parametros_manuales!$H$23="Todos",'Plan mensual'!J95,0))+parametros_manuales!$F$23*('Plan mensual'!J92+IF(parametros_manuales!$H$23="Todos",'Plan mensual'!J96,0))+parametros_manuales!$G$23*('Plan mensual'!J93+IF(parametros_manuales!$H$23="Todos",'Plan mensual'!J97,0)))*parametros_manuales!$I$23*parametros_manuales!$J$23</f>
        <v>18822.79407826</v>
      </c>
      <c r="I222" s="9" t="n">
        <f aca="false">(parametros_manuales!$D$23*('Plan mensual'!K90+IF(parametros_manuales!$H$23="Todos",'Plan mensual'!K94,0))+parametros_manuales!$E$23*('Plan mensual'!K91+IF(parametros_manuales!$H$23="Todos",'Plan mensual'!K95,0))+parametros_manuales!$F$23*('Plan mensual'!K92+IF(parametros_manuales!$H$23="Todos",'Plan mensual'!K96,0))+parametros_manuales!$G$23*('Plan mensual'!K93+IF(parametros_manuales!$H$23="Todos",'Plan mensual'!K97,0)))*parametros_manuales!$I$23*parametros_manuales!$J$23</f>
        <v>18822.79407826</v>
      </c>
      <c r="J222" s="9" t="n">
        <f aca="false">(parametros_manuales!$D$23*('Plan mensual'!L90+IF(parametros_manuales!$H$23="Todos",'Plan mensual'!L94,0))+parametros_manuales!$E$23*('Plan mensual'!L91+IF(parametros_manuales!$H$23="Todos",'Plan mensual'!L95,0))+parametros_manuales!$F$23*('Plan mensual'!L92+IF(parametros_manuales!$H$23="Todos",'Plan mensual'!L96,0))+parametros_manuales!$G$23*('Plan mensual'!L93+IF(parametros_manuales!$H$23="Todos",'Plan mensual'!L97,0)))*parametros_manuales!$I$23*parametros_manuales!$J$23</f>
        <v>18822.79407826</v>
      </c>
      <c r="K222" s="9" t="n">
        <f aca="false">(parametros_manuales!$D$23*('Plan mensual'!M90+IF(parametros_manuales!$H$23="Todos",'Plan mensual'!M94,0))+parametros_manuales!$E$23*('Plan mensual'!M91+IF(parametros_manuales!$H$23="Todos",'Plan mensual'!M95,0))+parametros_manuales!$F$23*('Plan mensual'!M92+IF(parametros_manuales!$H$23="Todos",'Plan mensual'!M96,0))+parametros_manuales!$G$23*('Plan mensual'!M93+IF(parametros_manuales!$H$23="Todos",'Plan mensual'!M97,0)))*parametros_manuales!$I$23*parametros_manuales!$J$23</f>
        <v>18468.524774025</v>
      </c>
      <c r="L222" s="9" t="n">
        <f aca="false">(parametros_manuales!$D$23*('Plan mensual'!N90+IF(parametros_manuales!$H$23="Todos",'Plan mensual'!N94,0))+parametros_manuales!$E$23*('Plan mensual'!N91+IF(parametros_manuales!$H$23="Todos",'Plan mensual'!N95,0))+parametros_manuales!$F$23*('Plan mensual'!N92+IF(parametros_manuales!$H$23="Todos",'Plan mensual'!N96,0))+parametros_manuales!$G$23*('Plan mensual'!N93+IF(parametros_manuales!$H$23="Todos",'Plan mensual'!N97,0)))*parametros_manuales!$I$23*parametros_manuales!$J$23</f>
        <v>18114.25546979</v>
      </c>
      <c r="M222" s="9" t="n">
        <f aca="false">(parametros_manuales!$D$23*('Plan mensual'!O90+IF(parametros_manuales!$H$23="Todos",'Plan mensual'!O94,0))+parametros_manuales!$E$23*('Plan mensual'!O91+IF(parametros_manuales!$H$23="Todos",'Plan mensual'!O95,0))+parametros_manuales!$F$23*('Plan mensual'!O92+IF(parametros_manuales!$H$23="Todos",'Plan mensual'!O96,0))+parametros_manuales!$G$23*('Plan mensual'!O93+IF(parametros_manuales!$H$23="Todos",'Plan mensual'!O97,0)))*parametros_manuales!$I$23*parametros_manuales!$J$23</f>
        <v>28841.10102997</v>
      </c>
      <c r="N222" s="9" t="n">
        <f aca="false">SUM(B222:M222)</f>
        <v>246246.996987</v>
      </c>
      <c r="O222" s="9" t="n">
        <f aca="false">MAX(B222:M222)</f>
        <v>28841.10102997</v>
      </c>
      <c r="P222" s="43" t="n">
        <f aca="false">O222/(parametros_manuales!$B$7)</f>
        <v>192.274006866467</v>
      </c>
      <c r="Q222" s="8" t="str">
        <f aca="false">IF(O222=0,"-",INDEX($B$217:$M$217,MATCH(O222,B222:M222,0)))</f>
        <v>Dic</v>
      </c>
    </row>
    <row r="223" customFormat="false" ht="14.25" hidden="false" customHeight="true" outlineLevel="0" collapsed="false">
      <c r="A223" s="8" t="str">
        <f aca="false">parametros_manuales!$B$24</f>
        <v>Numerado de cúpula</v>
      </c>
      <c r="B223" s="9" t="n">
        <f aca="false">(parametros_manuales!$D$24*('Plan mensual'!D90+IF(parametros_manuales!$H$24="Todos",'Plan mensual'!D94,0))+parametros_manuales!$E$24*('Plan mensual'!D91+IF(parametros_manuales!$H$24="Todos",'Plan mensual'!D95,0))+parametros_manuales!$F$24*('Plan mensual'!D92+IF(parametros_manuales!$H$24="Todos",'Plan mensual'!D96,0))+parametros_manuales!$G$24*('Plan mensual'!D93+IF(parametros_manuales!$H$24="Todos",'Plan mensual'!D97,0)))*parametros_manuales!$I$24*parametros_manuales!$J$24</f>
        <v>28132.5624215</v>
      </c>
      <c r="C223" s="9" t="n">
        <f aca="false">(parametros_manuales!$D$24*('Plan mensual'!E90+IF(parametros_manuales!$H$24="Todos",'Plan mensual'!E94,0))+parametros_manuales!$E$24*('Plan mensual'!E91+IF(parametros_manuales!$H$24="Todos",'Plan mensual'!E95,0))+parametros_manuales!$F$24*('Plan mensual'!E92+IF(parametros_manuales!$H$24="Todos",'Plan mensual'!E96,0))+parametros_manuales!$G$24*('Plan mensual'!E93+IF(parametros_manuales!$H$24="Todos",'Plan mensual'!E97,0)))*parametros_manuales!$I$24*parametros_manuales!$J$24</f>
        <v>21453.69112036</v>
      </c>
      <c r="D223" s="9" t="n">
        <f aca="false">(parametros_manuales!$D$24*('Plan mensual'!F90+IF(parametros_manuales!$H$24="Todos",'Plan mensual'!F94,0))+parametros_manuales!$E$24*('Plan mensual'!F91+IF(parametros_manuales!$H$24="Todos",'Plan mensual'!F95,0))+parametros_manuales!$F$24*('Plan mensual'!F92+IF(parametros_manuales!$H$24="Todos",'Plan mensual'!F96,0))+parametros_manuales!$G$24*('Plan mensual'!F93+IF(parametros_manuales!$H$24="Todos",'Plan mensual'!F97,0)))*parametros_manuales!$I$24*parametros_manuales!$J$24</f>
        <v>20054.029063195</v>
      </c>
      <c r="E223" s="9" t="n">
        <f aca="false">(parametros_manuales!$D$24*('Plan mensual'!G90+IF(parametros_manuales!$H$24="Todos",'Plan mensual'!G94,0))+parametros_manuales!$E$24*('Plan mensual'!G91+IF(parametros_manuales!$H$24="Todos",'Plan mensual'!G95,0))+parametros_manuales!$F$24*('Plan mensual'!G92+IF(parametros_manuales!$H$24="Todos",'Plan mensual'!G96,0))+parametros_manuales!$G$24*('Plan mensual'!G93+IF(parametros_manuales!$H$24="Todos",'Plan mensual'!G97,0)))*parametros_manuales!$I$24*parametros_manuales!$J$24</f>
        <v>19177.063382495</v>
      </c>
      <c r="F223" s="9" t="n">
        <f aca="false">(parametros_manuales!$D$24*('Plan mensual'!H90+IF(parametros_manuales!$H$24="Todos",'Plan mensual'!H94,0))+parametros_manuales!$E$24*('Plan mensual'!H91+IF(parametros_manuales!$H$24="Todos",'Plan mensual'!H95,0))+parametros_manuales!$F$24*('Plan mensual'!H92+IF(parametros_manuales!$H$24="Todos",'Plan mensual'!H96,0))+parametros_manuales!$G$24*('Plan mensual'!H93+IF(parametros_manuales!$H$24="Todos",'Plan mensual'!H97,0)))*parametros_manuales!$I$24*parametros_manuales!$J$24</f>
        <v>17945.82839756</v>
      </c>
      <c r="G223" s="9" t="n">
        <f aca="false">(parametros_manuales!$D$24*('Plan mensual'!I90+IF(parametros_manuales!$H$24="Todos",'Plan mensual'!I94,0))+parametros_manuales!$E$24*('Plan mensual'!I91+IF(parametros_manuales!$H$24="Todos",'Plan mensual'!I95,0))+parametros_manuales!$F$24*('Plan mensual'!I92+IF(parametros_manuales!$H$24="Todos",'Plan mensual'!I96,0))+parametros_manuales!$G$24*('Plan mensual'!I93+IF(parametros_manuales!$H$24="Todos",'Plan mensual'!I97,0)))*parametros_manuales!$I$24*parametros_manuales!$J$24</f>
        <v>17591.559093325</v>
      </c>
      <c r="H223" s="9" t="n">
        <f aca="false">(parametros_manuales!$D$24*('Plan mensual'!J90+IF(parametros_manuales!$H$24="Todos",'Plan mensual'!J94,0))+parametros_manuales!$E$24*('Plan mensual'!J91+IF(parametros_manuales!$H$24="Todos",'Plan mensual'!J95,0))+parametros_manuales!$F$24*('Plan mensual'!J92+IF(parametros_manuales!$H$24="Todos",'Plan mensual'!J96,0))+parametros_manuales!$G$24*('Plan mensual'!J93+IF(parametros_manuales!$H$24="Todos",'Plan mensual'!J97,0)))*parametros_manuales!$I$24*parametros_manuales!$J$24</f>
        <v>18822.79407826</v>
      </c>
      <c r="I223" s="9" t="n">
        <f aca="false">(parametros_manuales!$D$24*('Plan mensual'!K90+IF(parametros_manuales!$H$24="Todos",'Plan mensual'!K94,0))+parametros_manuales!$E$24*('Plan mensual'!K91+IF(parametros_manuales!$H$24="Todos",'Plan mensual'!K95,0))+parametros_manuales!$F$24*('Plan mensual'!K92+IF(parametros_manuales!$H$24="Todos",'Plan mensual'!K96,0))+parametros_manuales!$G$24*('Plan mensual'!K93+IF(parametros_manuales!$H$24="Todos",'Plan mensual'!K97,0)))*parametros_manuales!$I$24*parametros_manuales!$J$24</f>
        <v>18822.79407826</v>
      </c>
      <c r="J223" s="9" t="n">
        <f aca="false">(parametros_manuales!$D$24*('Plan mensual'!L90+IF(parametros_manuales!$H$24="Todos",'Plan mensual'!L94,0))+parametros_manuales!$E$24*('Plan mensual'!L91+IF(parametros_manuales!$H$24="Todos",'Plan mensual'!L95,0))+parametros_manuales!$F$24*('Plan mensual'!L92+IF(parametros_manuales!$H$24="Todos",'Plan mensual'!L96,0))+parametros_manuales!$G$24*('Plan mensual'!L93+IF(parametros_manuales!$H$24="Todos",'Plan mensual'!L97,0)))*parametros_manuales!$I$24*parametros_manuales!$J$24</f>
        <v>18822.79407826</v>
      </c>
      <c r="K223" s="9" t="n">
        <f aca="false">(parametros_manuales!$D$24*('Plan mensual'!M90+IF(parametros_manuales!$H$24="Todos",'Plan mensual'!M94,0))+parametros_manuales!$E$24*('Plan mensual'!M91+IF(parametros_manuales!$H$24="Todos",'Plan mensual'!M95,0))+parametros_manuales!$F$24*('Plan mensual'!M92+IF(parametros_manuales!$H$24="Todos",'Plan mensual'!M96,0))+parametros_manuales!$G$24*('Plan mensual'!M93+IF(parametros_manuales!$H$24="Todos",'Plan mensual'!M97,0)))*parametros_manuales!$I$24*parametros_manuales!$J$24</f>
        <v>18468.524774025</v>
      </c>
      <c r="L223" s="9" t="n">
        <f aca="false">(parametros_manuales!$D$24*('Plan mensual'!N90+IF(parametros_manuales!$H$24="Todos",'Plan mensual'!N94,0))+parametros_manuales!$E$24*('Plan mensual'!N91+IF(parametros_manuales!$H$24="Todos",'Plan mensual'!N95,0))+parametros_manuales!$F$24*('Plan mensual'!N92+IF(parametros_manuales!$H$24="Todos",'Plan mensual'!N96,0))+parametros_manuales!$G$24*('Plan mensual'!N93+IF(parametros_manuales!$H$24="Todos",'Plan mensual'!N97,0)))*parametros_manuales!$I$24*parametros_manuales!$J$24</f>
        <v>18114.25546979</v>
      </c>
      <c r="M223" s="9" t="n">
        <f aca="false">(parametros_manuales!$D$24*('Plan mensual'!O90+IF(parametros_manuales!$H$24="Todos",'Plan mensual'!O94,0))+parametros_manuales!$E$24*('Plan mensual'!O91+IF(parametros_manuales!$H$24="Todos",'Plan mensual'!O95,0))+parametros_manuales!$F$24*('Plan mensual'!O92+IF(parametros_manuales!$H$24="Todos",'Plan mensual'!O96,0))+parametros_manuales!$G$24*('Plan mensual'!O93+IF(parametros_manuales!$H$24="Todos",'Plan mensual'!O97,0)))*parametros_manuales!$I$24*parametros_manuales!$J$24</f>
        <v>28841.10102997</v>
      </c>
      <c r="N223" s="9" t="n">
        <f aca="false">SUM(B223:M223)</f>
        <v>246246.996987</v>
      </c>
      <c r="O223" s="9" t="n">
        <f aca="false">MAX(B223:M223)</f>
        <v>28841.10102997</v>
      </c>
      <c r="P223" s="43" t="n">
        <f aca="false">O223/(parametros_manuales!$B$7)</f>
        <v>192.274006866467</v>
      </c>
      <c r="Q223" s="8" t="str">
        <f aca="false">IF(O223=0,"-",INDEX($B$217:$M$217,MATCH(O223,B223:M223,0)))</f>
        <v>Dic</v>
      </c>
    </row>
    <row r="224" customFormat="false" ht="14.25" hidden="false" customHeight="true" outlineLevel="0" collapsed="false">
      <c r="A224" s="8" t="str">
        <f aca="false">parametros_manuales!$B$25</f>
        <v>Soldadura del cuello a la cúpula</v>
      </c>
      <c r="B224" s="9" t="n">
        <f aca="false">(parametros_manuales!$D$25*('Plan mensual'!D90+IF(parametros_manuales!$H$25="Todos",'Plan mensual'!D94,0))+parametros_manuales!$E$25*('Plan mensual'!D91+IF(parametros_manuales!$H$25="Todos",'Plan mensual'!D95,0))+parametros_manuales!$F$25*('Plan mensual'!D92+IF(parametros_manuales!$H$25="Todos",'Plan mensual'!D96,0))+parametros_manuales!$G$25*('Plan mensual'!D93+IF(parametros_manuales!$H$25="Todos",'Plan mensual'!D97,0)))*parametros_manuales!$I$25*parametros_manuales!$J$25</f>
        <v>28132.5624215</v>
      </c>
      <c r="C224" s="9" t="n">
        <f aca="false">(parametros_manuales!$D$25*('Plan mensual'!E90+IF(parametros_manuales!$H$25="Todos",'Plan mensual'!E94,0))+parametros_manuales!$E$25*('Plan mensual'!E91+IF(parametros_manuales!$H$25="Todos",'Plan mensual'!E95,0))+parametros_manuales!$F$25*('Plan mensual'!E92+IF(parametros_manuales!$H$25="Todos",'Plan mensual'!E96,0))+parametros_manuales!$G$25*('Plan mensual'!E93+IF(parametros_manuales!$H$25="Todos",'Plan mensual'!E97,0)))*parametros_manuales!$I$25*parametros_manuales!$J$25</f>
        <v>21453.69112036</v>
      </c>
      <c r="D224" s="9" t="n">
        <f aca="false">(parametros_manuales!$D$25*('Plan mensual'!F90+IF(parametros_manuales!$H$25="Todos",'Plan mensual'!F94,0))+parametros_manuales!$E$25*('Plan mensual'!F91+IF(parametros_manuales!$H$25="Todos",'Plan mensual'!F95,0))+parametros_manuales!$F$25*('Plan mensual'!F92+IF(parametros_manuales!$H$25="Todos",'Plan mensual'!F96,0))+parametros_manuales!$G$25*('Plan mensual'!F93+IF(parametros_manuales!$H$25="Todos",'Plan mensual'!F97,0)))*parametros_manuales!$I$25*parametros_manuales!$J$25</f>
        <v>20054.029063195</v>
      </c>
      <c r="E224" s="9" t="n">
        <f aca="false">(parametros_manuales!$D$25*('Plan mensual'!G90+IF(parametros_manuales!$H$25="Todos",'Plan mensual'!G94,0))+parametros_manuales!$E$25*('Plan mensual'!G91+IF(parametros_manuales!$H$25="Todos",'Plan mensual'!G95,0))+parametros_manuales!$F$25*('Plan mensual'!G92+IF(parametros_manuales!$H$25="Todos",'Plan mensual'!G96,0))+parametros_manuales!$G$25*('Plan mensual'!G93+IF(parametros_manuales!$H$25="Todos",'Plan mensual'!G97,0)))*parametros_manuales!$I$25*parametros_manuales!$J$25</f>
        <v>19177.063382495</v>
      </c>
      <c r="F224" s="9" t="n">
        <f aca="false">(parametros_manuales!$D$25*('Plan mensual'!H90+IF(parametros_manuales!$H$25="Todos",'Plan mensual'!H94,0))+parametros_manuales!$E$25*('Plan mensual'!H91+IF(parametros_manuales!$H$25="Todos",'Plan mensual'!H95,0))+parametros_manuales!$F$25*('Plan mensual'!H92+IF(parametros_manuales!$H$25="Todos",'Plan mensual'!H96,0))+parametros_manuales!$G$25*('Plan mensual'!H93+IF(parametros_manuales!$H$25="Todos",'Plan mensual'!H97,0)))*parametros_manuales!$I$25*parametros_manuales!$J$25</f>
        <v>17945.82839756</v>
      </c>
      <c r="G224" s="9" t="n">
        <f aca="false">(parametros_manuales!$D$25*('Plan mensual'!I90+IF(parametros_manuales!$H$25="Todos",'Plan mensual'!I94,0))+parametros_manuales!$E$25*('Plan mensual'!I91+IF(parametros_manuales!$H$25="Todos",'Plan mensual'!I95,0))+parametros_manuales!$F$25*('Plan mensual'!I92+IF(parametros_manuales!$H$25="Todos",'Plan mensual'!I96,0))+parametros_manuales!$G$25*('Plan mensual'!I93+IF(parametros_manuales!$H$25="Todos",'Plan mensual'!I97,0)))*parametros_manuales!$I$25*parametros_manuales!$J$25</f>
        <v>17591.559093325</v>
      </c>
      <c r="H224" s="9" t="n">
        <f aca="false">(parametros_manuales!$D$25*('Plan mensual'!J90+IF(parametros_manuales!$H$25="Todos",'Plan mensual'!J94,0))+parametros_manuales!$E$25*('Plan mensual'!J91+IF(parametros_manuales!$H$25="Todos",'Plan mensual'!J95,0))+parametros_manuales!$F$25*('Plan mensual'!J92+IF(parametros_manuales!$H$25="Todos",'Plan mensual'!J96,0))+parametros_manuales!$G$25*('Plan mensual'!J93+IF(parametros_manuales!$H$25="Todos",'Plan mensual'!J97,0)))*parametros_manuales!$I$25*parametros_manuales!$J$25</f>
        <v>18822.79407826</v>
      </c>
      <c r="I224" s="9" t="n">
        <f aca="false">(parametros_manuales!$D$25*('Plan mensual'!K90+IF(parametros_manuales!$H$25="Todos",'Plan mensual'!K94,0))+parametros_manuales!$E$25*('Plan mensual'!K91+IF(parametros_manuales!$H$25="Todos",'Plan mensual'!K95,0))+parametros_manuales!$F$25*('Plan mensual'!K92+IF(parametros_manuales!$H$25="Todos",'Plan mensual'!K96,0))+parametros_manuales!$G$25*('Plan mensual'!K93+IF(parametros_manuales!$H$25="Todos",'Plan mensual'!K97,0)))*parametros_manuales!$I$25*parametros_manuales!$J$25</f>
        <v>18822.79407826</v>
      </c>
      <c r="J224" s="9" t="n">
        <f aca="false">(parametros_manuales!$D$25*('Plan mensual'!L90+IF(parametros_manuales!$H$25="Todos",'Plan mensual'!L94,0))+parametros_manuales!$E$25*('Plan mensual'!L91+IF(parametros_manuales!$H$25="Todos",'Plan mensual'!L95,0))+parametros_manuales!$F$25*('Plan mensual'!L92+IF(parametros_manuales!$H$25="Todos",'Plan mensual'!L96,0))+parametros_manuales!$G$25*('Plan mensual'!L93+IF(parametros_manuales!$H$25="Todos",'Plan mensual'!L97,0)))*parametros_manuales!$I$25*parametros_manuales!$J$25</f>
        <v>18822.79407826</v>
      </c>
      <c r="K224" s="9" t="n">
        <f aca="false">(parametros_manuales!$D$25*('Plan mensual'!M90+IF(parametros_manuales!$H$25="Todos",'Plan mensual'!M94,0))+parametros_manuales!$E$25*('Plan mensual'!M91+IF(parametros_manuales!$H$25="Todos",'Plan mensual'!M95,0))+parametros_manuales!$F$25*('Plan mensual'!M92+IF(parametros_manuales!$H$25="Todos",'Plan mensual'!M96,0))+parametros_manuales!$G$25*('Plan mensual'!M93+IF(parametros_manuales!$H$25="Todos",'Plan mensual'!M97,0)))*parametros_manuales!$I$25*parametros_manuales!$J$25</f>
        <v>18468.524774025</v>
      </c>
      <c r="L224" s="9" t="n">
        <f aca="false">(parametros_manuales!$D$25*('Plan mensual'!N90+IF(parametros_manuales!$H$25="Todos",'Plan mensual'!N94,0))+parametros_manuales!$E$25*('Plan mensual'!N91+IF(parametros_manuales!$H$25="Todos",'Plan mensual'!N95,0))+parametros_manuales!$F$25*('Plan mensual'!N92+IF(parametros_manuales!$H$25="Todos",'Plan mensual'!N96,0))+parametros_manuales!$G$25*('Plan mensual'!N93+IF(parametros_manuales!$H$25="Todos",'Plan mensual'!N97,0)))*parametros_manuales!$I$25*parametros_manuales!$J$25</f>
        <v>18114.25546979</v>
      </c>
      <c r="M224" s="9" t="n">
        <f aca="false">(parametros_manuales!$D$25*('Plan mensual'!O90+IF(parametros_manuales!$H$25="Todos",'Plan mensual'!O94,0))+parametros_manuales!$E$25*('Plan mensual'!O91+IF(parametros_manuales!$H$25="Todos",'Plan mensual'!O95,0))+parametros_manuales!$F$25*('Plan mensual'!O92+IF(parametros_manuales!$H$25="Todos",'Plan mensual'!O96,0))+parametros_manuales!$G$25*('Plan mensual'!O93+IF(parametros_manuales!$H$25="Todos",'Plan mensual'!O97,0)))*parametros_manuales!$I$25*parametros_manuales!$J$25</f>
        <v>28841.10102997</v>
      </c>
      <c r="N224" s="9" t="n">
        <f aca="false">SUM(B224:M224)</f>
        <v>246246.996987</v>
      </c>
      <c r="O224" s="9" t="n">
        <f aca="false">MAX(B224:M224)</f>
        <v>28841.10102997</v>
      </c>
      <c r="P224" s="43" t="n">
        <f aca="false">O224/(parametros_manuales!$B$7)</f>
        <v>192.274006866467</v>
      </c>
      <c r="Q224" s="8" t="str">
        <f aca="false">IF(O224=0,"-",INDEX($B$217:$M$217,MATCH(O224,B224:M224,0)))</f>
        <v>Dic</v>
      </c>
    </row>
    <row r="225" customFormat="false" ht="14.25" hidden="false" customHeight="true" outlineLevel="0" collapsed="false">
      <c r="A225" s="8" t="str">
        <f aca="false">parametros_manuales!$B$26</f>
        <v>Cilindrado</v>
      </c>
      <c r="B225" s="9" t="n">
        <f aca="false">(parametros_manuales!$D$26*('Plan mensual'!D90+IF(parametros_manuales!$H$26="Todos",'Plan mensual'!D94,0))+parametros_manuales!$E$26*('Plan mensual'!D91+IF(parametros_manuales!$H$26="Todos",'Plan mensual'!D95,0))+parametros_manuales!$F$26*('Plan mensual'!D92+IF(parametros_manuales!$H$26="Todos",'Plan mensual'!D96,0))+parametros_manuales!$G$26*('Plan mensual'!D93+IF(parametros_manuales!$H$26="Todos",'Plan mensual'!D97,0)))*parametros_manuales!$I$26*parametros_manuales!$J$26</f>
        <v>7085.3860847</v>
      </c>
      <c r="C225" s="9" t="n">
        <f aca="false">(parametros_manuales!$D$26*('Plan mensual'!E90+IF(parametros_manuales!$H$26="Todos",'Plan mensual'!E94,0))+parametros_manuales!$E$26*('Plan mensual'!E91+IF(parametros_manuales!$H$26="Todos",'Plan mensual'!E95,0))+parametros_manuales!$F$26*('Plan mensual'!E92+IF(parametros_manuales!$H$26="Todos",'Plan mensual'!E96,0))+parametros_manuales!$G$26*('Plan mensual'!E93+IF(parametros_manuales!$H$26="Todos",'Plan mensual'!E97,0)))*parametros_manuales!$I$26*parametros_manuales!$J$26</f>
        <v>5668.30886776</v>
      </c>
      <c r="D225" s="9" t="n">
        <f aca="false">(parametros_manuales!$D$26*('Plan mensual'!F90+IF(parametros_manuales!$H$26="Todos",'Plan mensual'!F94,0))+parametros_manuales!$E$26*('Plan mensual'!F91+IF(parametros_manuales!$H$26="Todos",'Plan mensual'!F95,0))+parametros_manuales!$F$26*('Plan mensual'!F92+IF(parametros_manuales!$H$26="Todos",'Plan mensual'!F96,0))+parametros_manuales!$G$26*('Plan mensual'!F93+IF(parametros_manuales!$H$26="Todos",'Plan mensual'!F97,0)))*parametros_manuales!$I$26*parametros_manuales!$J$26</f>
        <v>6022.578171995</v>
      </c>
      <c r="E225" s="9" t="n">
        <f aca="false">(parametros_manuales!$D$26*('Plan mensual'!G90+IF(parametros_manuales!$H$26="Todos",'Plan mensual'!G94,0))+parametros_manuales!$E$26*('Plan mensual'!G91+IF(parametros_manuales!$H$26="Todos",'Plan mensual'!G95,0))+parametros_manuales!$F$26*('Plan mensual'!G92+IF(parametros_manuales!$H$26="Todos",'Plan mensual'!G96,0))+parametros_manuales!$G$26*('Plan mensual'!G93+IF(parametros_manuales!$H$26="Todos",'Plan mensual'!G97,0)))*parametros_manuales!$I$26*parametros_manuales!$J$26</f>
        <v>6022.578171995</v>
      </c>
      <c r="F225" s="9" t="n">
        <f aca="false">(parametros_manuales!$D$26*('Plan mensual'!H90+IF(parametros_manuales!$H$26="Todos",'Plan mensual'!H94,0))+parametros_manuales!$E$26*('Plan mensual'!H91+IF(parametros_manuales!$H$26="Todos",'Plan mensual'!H95,0))+parametros_manuales!$F$26*('Plan mensual'!H92+IF(parametros_manuales!$H$26="Todos",'Plan mensual'!H96,0))+parametros_manuales!$G$26*('Plan mensual'!H93+IF(parametros_manuales!$H$26="Todos",'Plan mensual'!H97,0)))*parametros_manuales!$I$26*parametros_manuales!$J$26</f>
        <v>5668.30886776</v>
      </c>
      <c r="G225" s="9" t="n">
        <f aca="false">(parametros_manuales!$D$26*('Plan mensual'!I90+IF(parametros_manuales!$H$26="Todos",'Plan mensual'!I94,0))+parametros_manuales!$E$26*('Plan mensual'!I91+IF(parametros_manuales!$H$26="Todos",'Plan mensual'!I95,0))+parametros_manuales!$F$26*('Plan mensual'!I92+IF(parametros_manuales!$H$26="Todos",'Plan mensual'!I96,0))+parametros_manuales!$G$26*('Plan mensual'!I93+IF(parametros_manuales!$H$26="Todos",'Plan mensual'!I97,0)))*parametros_manuales!$I$26*parametros_manuales!$J$26</f>
        <v>5314.039563525</v>
      </c>
      <c r="H225" s="9" t="n">
        <f aca="false">(parametros_manuales!$D$26*('Plan mensual'!J90+IF(parametros_manuales!$H$26="Todos",'Plan mensual'!J94,0))+parametros_manuales!$E$26*('Plan mensual'!J91+IF(parametros_manuales!$H$26="Todos",'Plan mensual'!J95,0))+parametros_manuales!$F$26*('Plan mensual'!J92+IF(parametros_manuales!$H$26="Todos",'Plan mensual'!J96,0))+parametros_manuales!$G$26*('Plan mensual'!J93+IF(parametros_manuales!$H$26="Todos",'Plan mensual'!J97,0)))*parametros_manuales!$I$26*parametros_manuales!$J$26</f>
        <v>5668.30886776</v>
      </c>
      <c r="I225" s="9" t="n">
        <f aca="false">(parametros_manuales!$D$26*('Plan mensual'!K90+IF(parametros_manuales!$H$26="Todos",'Plan mensual'!K94,0))+parametros_manuales!$E$26*('Plan mensual'!K91+IF(parametros_manuales!$H$26="Todos",'Plan mensual'!K95,0))+parametros_manuales!$F$26*('Plan mensual'!K92+IF(parametros_manuales!$H$26="Todos",'Plan mensual'!K96,0))+parametros_manuales!$G$26*('Plan mensual'!K93+IF(parametros_manuales!$H$26="Todos",'Plan mensual'!K97,0)))*parametros_manuales!$I$26*parametros_manuales!$J$26</f>
        <v>5668.30886776</v>
      </c>
      <c r="J225" s="9" t="n">
        <f aca="false">(parametros_manuales!$D$26*('Plan mensual'!L90+IF(parametros_manuales!$H$26="Todos",'Plan mensual'!L94,0))+parametros_manuales!$E$26*('Plan mensual'!L91+IF(parametros_manuales!$H$26="Todos",'Plan mensual'!L95,0))+parametros_manuales!$F$26*('Plan mensual'!L92+IF(parametros_manuales!$H$26="Todos",'Plan mensual'!L96,0))+parametros_manuales!$G$26*('Plan mensual'!L93+IF(parametros_manuales!$H$26="Todos",'Plan mensual'!L97,0)))*parametros_manuales!$I$26*parametros_manuales!$J$26</f>
        <v>5668.30886776</v>
      </c>
      <c r="K225" s="9" t="n">
        <f aca="false">(parametros_manuales!$D$26*('Plan mensual'!M90+IF(parametros_manuales!$H$26="Todos",'Plan mensual'!M94,0))+parametros_manuales!$E$26*('Plan mensual'!M91+IF(parametros_manuales!$H$26="Todos",'Plan mensual'!M95,0))+parametros_manuales!$F$26*('Plan mensual'!M92+IF(parametros_manuales!$H$26="Todos",'Plan mensual'!M96,0))+parametros_manuales!$G$26*('Plan mensual'!M93+IF(parametros_manuales!$H$26="Todos",'Plan mensual'!M97,0)))*parametros_manuales!$I$26*parametros_manuales!$J$26</f>
        <v>5314.039563525</v>
      </c>
      <c r="L225" s="9" t="n">
        <f aca="false">(parametros_manuales!$D$26*('Plan mensual'!N90+IF(parametros_manuales!$H$26="Todos",'Plan mensual'!N94,0))+parametros_manuales!$E$26*('Plan mensual'!N91+IF(parametros_manuales!$H$26="Todos",'Plan mensual'!N95,0))+parametros_manuales!$F$26*('Plan mensual'!N92+IF(parametros_manuales!$H$26="Todos",'Plan mensual'!N96,0))+parametros_manuales!$G$26*('Plan mensual'!N93+IF(parametros_manuales!$H$26="Todos",'Plan mensual'!N97,0)))*parametros_manuales!$I$26*parametros_manuales!$J$26</f>
        <v>4959.77025929</v>
      </c>
      <c r="M225" s="9" t="n">
        <f aca="false">(parametros_manuales!$D$26*('Plan mensual'!O90+IF(parametros_manuales!$H$26="Todos",'Plan mensual'!O94,0))+parametros_manuales!$E$26*('Plan mensual'!O91+IF(parametros_manuales!$H$26="Todos",'Plan mensual'!O95,0))+parametros_manuales!$F$26*('Plan mensual'!O92+IF(parametros_manuales!$H$26="Todos",'Plan mensual'!O96,0))+parametros_manuales!$G$26*('Plan mensual'!O93+IF(parametros_manuales!$H$26="Todos",'Plan mensual'!O97,0)))*parametros_manuales!$I$26*parametros_manuales!$J$26</f>
        <v>7793.92469317</v>
      </c>
      <c r="N225" s="9" t="n">
        <f aca="false">SUM(B225:M225)</f>
        <v>70853.860847</v>
      </c>
      <c r="O225" s="9" t="n">
        <f aca="false">MAX(B225:M225)</f>
        <v>7793.92469317</v>
      </c>
      <c r="P225" s="43" t="n">
        <f aca="false">O225/(parametros_manuales!$B$7)</f>
        <v>51.9594979544667</v>
      </c>
      <c r="Q225" s="8" t="str">
        <f aca="false">IF(O225=0,"-",INDEX($B$217:$M$217,MATCH(O225,B225:M225,0)))</f>
        <v>Dic</v>
      </c>
    </row>
    <row r="226" customFormat="false" ht="14.25" hidden="false" customHeight="true" outlineLevel="0" collapsed="false">
      <c r="A226" s="8" t="str">
        <f aca="false">parametros_manuales!$B$27</f>
        <v>Soldadura longitudinal</v>
      </c>
      <c r="B226" s="9" t="n">
        <f aca="false">(parametros_manuales!$D$27*('Plan mensual'!D90+IF(parametros_manuales!$H$27="Todos",'Plan mensual'!D94,0))+parametros_manuales!$E$27*('Plan mensual'!D91+IF(parametros_manuales!$H$27="Todos",'Plan mensual'!D95,0))+parametros_manuales!$F$27*('Plan mensual'!D92+IF(parametros_manuales!$H$27="Todos",'Plan mensual'!D96,0))+parametros_manuales!$G$27*('Plan mensual'!D93+IF(parametros_manuales!$H$27="Todos",'Plan mensual'!D97,0)))*parametros_manuales!$I$27*parametros_manuales!$J$27</f>
        <v>7085.3860847</v>
      </c>
      <c r="C226" s="9" t="n">
        <f aca="false">(parametros_manuales!$D$27*('Plan mensual'!E90+IF(parametros_manuales!$H$27="Todos",'Plan mensual'!E94,0))+parametros_manuales!$E$27*('Plan mensual'!E91+IF(parametros_manuales!$H$27="Todos",'Plan mensual'!E95,0))+parametros_manuales!$F$27*('Plan mensual'!E92+IF(parametros_manuales!$H$27="Todos",'Plan mensual'!E96,0))+parametros_manuales!$G$27*('Plan mensual'!E93+IF(parametros_manuales!$H$27="Todos",'Plan mensual'!E97,0)))*parametros_manuales!$I$27*parametros_manuales!$J$27</f>
        <v>5668.30886776</v>
      </c>
      <c r="D226" s="9" t="n">
        <f aca="false">(parametros_manuales!$D$27*('Plan mensual'!F90+IF(parametros_manuales!$H$27="Todos",'Plan mensual'!F94,0))+parametros_manuales!$E$27*('Plan mensual'!F91+IF(parametros_manuales!$H$27="Todos",'Plan mensual'!F95,0))+parametros_manuales!$F$27*('Plan mensual'!F92+IF(parametros_manuales!$H$27="Todos",'Plan mensual'!F96,0))+parametros_manuales!$G$27*('Plan mensual'!F93+IF(parametros_manuales!$H$27="Todos",'Plan mensual'!F97,0)))*parametros_manuales!$I$27*parametros_manuales!$J$27</f>
        <v>6022.578171995</v>
      </c>
      <c r="E226" s="9" t="n">
        <f aca="false">(parametros_manuales!$D$27*('Plan mensual'!G90+IF(parametros_manuales!$H$27="Todos",'Plan mensual'!G94,0))+parametros_manuales!$E$27*('Plan mensual'!G91+IF(parametros_manuales!$H$27="Todos",'Plan mensual'!G95,0))+parametros_manuales!$F$27*('Plan mensual'!G92+IF(parametros_manuales!$H$27="Todos",'Plan mensual'!G96,0))+parametros_manuales!$G$27*('Plan mensual'!G93+IF(parametros_manuales!$H$27="Todos",'Plan mensual'!G97,0)))*parametros_manuales!$I$27*parametros_manuales!$J$27</f>
        <v>6022.578171995</v>
      </c>
      <c r="F226" s="9" t="n">
        <f aca="false">(parametros_manuales!$D$27*('Plan mensual'!H90+IF(parametros_manuales!$H$27="Todos",'Plan mensual'!H94,0))+parametros_manuales!$E$27*('Plan mensual'!H91+IF(parametros_manuales!$H$27="Todos",'Plan mensual'!H95,0))+parametros_manuales!$F$27*('Plan mensual'!H92+IF(parametros_manuales!$H$27="Todos",'Plan mensual'!H96,0))+parametros_manuales!$G$27*('Plan mensual'!H93+IF(parametros_manuales!$H$27="Todos",'Plan mensual'!H97,0)))*parametros_manuales!$I$27*parametros_manuales!$J$27</f>
        <v>5668.30886776</v>
      </c>
      <c r="G226" s="9" t="n">
        <f aca="false">(parametros_manuales!$D$27*('Plan mensual'!I90+IF(parametros_manuales!$H$27="Todos",'Plan mensual'!I94,0))+parametros_manuales!$E$27*('Plan mensual'!I91+IF(parametros_manuales!$H$27="Todos",'Plan mensual'!I95,0))+parametros_manuales!$F$27*('Plan mensual'!I92+IF(parametros_manuales!$H$27="Todos",'Plan mensual'!I96,0))+parametros_manuales!$G$27*('Plan mensual'!I93+IF(parametros_manuales!$H$27="Todos",'Plan mensual'!I97,0)))*parametros_manuales!$I$27*parametros_manuales!$J$27</f>
        <v>5314.039563525</v>
      </c>
      <c r="H226" s="9" t="n">
        <f aca="false">(parametros_manuales!$D$27*('Plan mensual'!J90+IF(parametros_manuales!$H$27="Todos",'Plan mensual'!J94,0))+parametros_manuales!$E$27*('Plan mensual'!J91+IF(parametros_manuales!$H$27="Todos",'Plan mensual'!J95,0))+parametros_manuales!$F$27*('Plan mensual'!J92+IF(parametros_manuales!$H$27="Todos",'Plan mensual'!J96,0))+parametros_manuales!$G$27*('Plan mensual'!J93+IF(parametros_manuales!$H$27="Todos",'Plan mensual'!J97,0)))*parametros_manuales!$I$27*parametros_manuales!$J$27</f>
        <v>5668.30886776</v>
      </c>
      <c r="I226" s="9" t="n">
        <f aca="false">(parametros_manuales!$D$27*('Plan mensual'!K90+IF(parametros_manuales!$H$27="Todos",'Plan mensual'!K94,0))+parametros_manuales!$E$27*('Plan mensual'!K91+IF(parametros_manuales!$H$27="Todos",'Plan mensual'!K95,0))+parametros_manuales!$F$27*('Plan mensual'!K92+IF(parametros_manuales!$H$27="Todos",'Plan mensual'!K96,0))+parametros_manuales!$G$27*('Plan mensual'!K93+IF(parametros_manuales!$H$27="Todos",'Plan mensual'!K97,0)))*parametros_manuales!$I$27*parametros_manuales!$J$27</f>
        <v>5668.30886776</v>
      </c>
      <c r="J226" s="9" t="n">
        <f aca="false">(parametros_manuales!$D$27*('Plan mensual'!L90+IF(parametros_manuales!$H$27="Todos",'Plan mensual'!L94,0))+parametros_manuales!$E$27*('Plan mensual'!L91+IF(parametros_manuales!$H$27="Todos",'Plan mensual'!L95,0))+parametros_manuales!$F$27*('Plan mensual'!L92+IF(parametros_manuales!$H$27="Todos",'Plan mensual'!L96,0))+parametros_manuales!$G$27*('Plan mensual'!L93+IF(parametros_manuales!$H$27="Todos",'Plan mensual'!L97,0)))*parametros_manuales!$I$27*parametros_manuales!$J$27</f>
        <v>5668.30886776</v>
      </c>
      <c r="K226" s="9" t="n">
        <f aca="false">(parametros_manuales!$D$27*('Plan mensual'!M90+IF(parametros_manuales!$H$27="Todos",'Plan mensual'!M94,0))+parametros_manuales!$E$27*('Plan mensual'!M91+IF(parametros_manuales!$H$27="Todos",'Plan mensual'!M95,0))+parametros_manuales!$F$27*('Plan mensual'!M92+IF(parametros_manuales!$H$27="Todos",'Plan mensual'!M96,0))+parametros_manuales!$G$27*('Plan mensual'!M93+IF(parametros_manuales!$H$27="Todos",'Plan mensual'!M97,0)))*parametros_manuales!$I$27*parametros_manuales!$J$27</f>
        <v>5314.039563525</v>
      </c>
      <c r="L226" s="9" t="n">
        <f aca="false">(parametros_manuales!$D$27*('Plan mensual'!N90+IF(parametros_manuales!$H$27="Todos",'Plan mensual'!N94,0))+parametros_manuales!$E$27*('Plan mensual'!N91+IF(parametros_manuales!$H$27="Todos",'Plan mensual'!N95,0))+parametros_manuales!$F$27*('Plan mensual'!N92+IF(parametros_manuales!$H$27="Todos",'Plan mensual'!N96,0))+parametros_manuales!$G$27*('Plan mensual'!N93+IF(parametros_manuales!$H$27="Todos",'Plan mensual'!N97,0)))*parametros_manuales!$I$27*parametros_manuales!$J$27</f>
        <v>4959.77025929</v>
      </c>
      <c r="M226" s="9" t="n">
        <f aca="false">(parametros_manuales!$D$27*('Plan mensual'!O90+IF(parametros_manuales!$H$27="Todos",'Plan mensual'!O94,0))+parametros_manuales!$E$27*('Plan mensual'!O91+IF(parametros_manuales!$H$27="Todos",'Plan mensual'!O95,0))+parametros_manuales!$F$27*('Plan mensual'!O92+IF(parametros_manuales!$H$27="Todos",'Plan mensual'!O96,0))+parametros_manuales!$G$27*('Plan mensual'!O93+IF(parametros_manuales!$H$27="Todos",'Plan mensual'!O97,0)))*parametros_manuales!$I$27*parametros_manuales!$J$27</f>
        <v>7793.92469317</v>
      </c>
      <c r="N226" s="9" t="n">
        <f aca="false">SUM(B226:M226)</f>
        <v>70853.860847</v>
      </c>
      <c r="O226" s="9" t="n">
        <f aca="false">MAX(B226:M226)</f>
        <v>7793.92469317</v>
      </c>
      <c r="P226" s="43" t="n">
        <f aca="false">O226/(parametros_manuales!$B$7)</f>
        <v>51.9594979544667</v>
      </c>
      <c r="Q226" s="8" t="str">
        <f aca="false">IF(O226=0,"-",INDEX($B$217:$M$217,MATCH(O226,B226:M226,0)))</f>
        <v>Dic</v>
      </c>
    </row>
    <row r="227" customFormat="false" ht="14.25" hidden="false" customHeight="true" outlineLevel="0" collapsed="false">
      <c r="A227" s="8" t="str">
        <f aca="false">parametros_manuales!$B$28</f>
        <v>Encastre de fondo</v>
      </c>
      <c r="B227" s="9" t="n">
        <f aca="false">(parametros_manuales!$D$28*('Plan mensual'!D90+IF(parametros_manuales!$H$28="Todos",'Plan mensual'!D94,0))+parametros_manuales!$E$28*('Plan mensual'!D91+IF(parametros_manuales!$H$28="Todos",'Plan mensual'!D95,0))+parametros_manuales!$F$28*('Plan mensual'!D92+IF(parametros_manuales!$H$28="Todos",'Plan mensual'!D96,0))+parametros_manuales!$G$28*('Plan mensual'!D93+IF(parametros_manuales!$H$28="Todos",'Plan mensual'!D97,0)))*parametros_manuales!$I$28*parametros_manuales!$J$28</f>
        <v>28132.5624215</v>
      </c>
      <c r="C227" s="9" t="n">
        <f aca="false">(parametros_manuales!$D$28*('Plan mensual'!E90+IF(parametros_manuales!$H$28="Todos",'Plan mensual'!E94,0))+parametros_manuales!$E$28*('Plan mensual'!E91+IF(parametros_manuales!$H$28="Todos",'Plan mensual'!E95,0))+parametros_manuales!$F$28*('Plan mensual'!E92+IF(parametros_manuales!$H$28="Todos",'Plan mensual'!E96,0))+parametros_manuales!$G$28*('Plan mensual'!E93+IF(parametros_manuales!$H$28="Todos",'Plan mensual'!E97,0)))*parametros_manuales!$I$28*parametros_manuales!$J$28</f>
        <v>21453.69112036</v>
      </c>
      <c r="D227" s="9" t="n">
        <f aca="false">(parametros_manuales!$D$28*('Plan mensual'!F90+IF(parametros_manuales!$H$28="Todos",'Plan mensual'!F94,0))+parametros_manuales!$E$28*('Plan mensual'!F91+IF(parametros_manuales!$H$28="Todos",'Plan mensual'!F95,0))+parametros_manuales!$F$28*('Plan mensual'!F92+IF(parametros_manuales!$H$28="Todos",'Plan mensual'!F96,0))+parametros_manuales!$G$28*('Plan mensual'!F93+IF(parametros_manuales!$H$28="Todos",'Plan mensual'!F97,0)))*parametros_manuales!$I$28*parametros_manuales!$J$28</f>
        <v>20054.029063195</v>
      </c>
      <c r="E227" s="9" t="n">
        <f aca="false">(parametros_manuales!$D$28*('Plan mensual'!G90+IF(parametros_manuales!$H$28="Todos",'Plan mensual'!G94,0))+parametros_manuales!$E$28*('Plan mensual'!G91+IF(parametros_manuales!$H$28="Todos",'Plan mensual'!G95,0))+parametros_manuales!$F$28*('Plan mensual'!G92+IF(parametros_manuales!$H$28="Todos",'Plan mensual'!G96,0))+parametros_manuales!$G$28*('Plan mensual'!G93+IF(parametros_manuales!$H$28="Todos",'Plan mensual'!G97,0)))*parametros_manuales!$I$28*parametros_manuales!$J$28</f>
        <v>19177.063382495</v>
      </c>
      <c r="F227" s="9" t="n">
        <f aca="false">(parametros_manuales!$D$28*('Plan mensual'!H90+IF(parametros_manuales!$H$28="Todos",'Plan mensual'!H94,0))+parametros_manuales!$E$28*('Plan mensual'!H91+IF(parametros_manuales!$H$28="Todos",'Plan mensual'!H95,0))+parametros_manuales!$F$28*('Plan mensual'!H92+IF(parametros_manuales!$H$28="Todos",'Plan mensual'!H96,0))+parametros_manuales!$G$28*('Plan mensual'!H93+IF(parametros_manuales!$H$28="Todos",'Plan mensual'!H97,0)))*parametros_manuales!$I$28*parametros_manuales!$J$28</f>
        <v>17945.82839756</v>
      </c>
      <c r="G227" s="9" t="n">
        <f aca="false">(parametros_manuales!$D$28*('Plan mensual'!I90+IF(parametros_manuales!$H$28="Todos",'Plan mensual'!I94,0))+parametros_manuales!$E$28*('Plan mensual'!I91+IF(parametros_manuales!$H$28="Todos",'Plan mensual'!I95,0))+parametros_manuales!$F$28*('Plan mensual'!I92+IF(parametros_manuales!$H$28="Todos",'Plan mensual'!I96,0))+parametros_manuales!$G$28*('Plan mensual'!I93+IF(parametros_manuales!$H$28="Todos",'Plan mensual'!I97,0)))*parametros_manuales!$I$28*parametros_manuales!$J$28</f>
        <v>17591.559093325</v>
      </c>
      <c r="H227" s="9" t="n">
        <f aca="false">(parametros_manuales!$D$28*('Plan mensual'!J90+IF(parametros_manuales!$H$28="Todos",'Plan mensual'!J94,0))+parametros_manuales!$E$28*('Plan mensual'!J91+IF(parametros_manuales!$H$28="Todos",'Plan mensual'!J95,0))+parametros_manuales!$F$28*('Plan mensual'!J92+IF(parametros_manuales!$H$28="Todos",'Plan mensual'!J96,0))+parametros_manuales!$G$28*('Plan mensual'!J93+IF(parametros_manuales!$H$28="Todos",'Plan mensual'!J97,0)))*parametros_manuales!$I$28*parametros_manuales!$J$28</f>
        <v>18822.79407826</v>
      </c>
      <c r="I227" s="9" t="n">
        <f aca="false">(parametros_manuales!$D$28*('Plan mensual'!K90+IF(parametros_manuales!$H$28="Todos",'Plan mensual'!K94,0))+parametros_manuales!$E$28*('Plan mensual'!K91+IF(parametros_manuales!$H$28="Todos",'Plan mensual'!K95,0))+parametros_manuales!$F$28*('Plan mensual'!K92+IF(parametros_manuales!$H$28="Todos",'Plan mensual'!K96,0))+parametros_manuales!$G$28*('Plan mensual'!K93+IF(parametros_manuales!$H$28="Todos",'Plan mensual'!K97,0)))*parametros_manuales!$I$28*parametros_manuales!$J$28</f>
        <v>18822.79407826</v>
      </c>
      <c r="J227" s="9" t="n">
        <f aca="false">(parametros_manuales!$D$28*('Plan mensual'!L90+IF(parametros_manuales!$H$28="Todos",'Plan mensual'!L94,0))+parametros_manuales!$E$28*('Plan mensual'!L91+IF(parametros_manuales!$H$28="Todos",'Plan mensual'!L95,0))+parametros_manuales!$F$28*('Plan mensual'!L92+IF(parametros_manuales!$H$28="Todos",'Plan mensual'!L96,0))+parametros_manuales!$G$28*('Plan mensual'!L93+IF(parametros_manuales!$H$28="Todos",'Plan mensual'!L97,0)))*parametros_manuales!$I$28*parametros_manuales!$J$28</f>
        <v>18822.79407826</v>
      </c>
      <c r="K227" s="9" t="n">
        <f aca="false">(parametros_manuales!$D$28*('Plan mensual'!M90+IF(parametros_manuales!$H$28="Todos",'Plan mensual'!M94,0))+parametros_manuales!$E$28*('Plan mensual'!M91+IF(parametros_manuales!$H$28="Todos",'Plan mensual'!M95,0))+parametros_manuales!$F$28*('Plan mensual'!M92+IF(parametros_manuales!$H$28="Todos",'Plan mensual'!M96,0))+parametros_manuales!$G$28*('Plan mensual'!M93+IF(parametros_manuales!$H$28="Todos",'Plan mensual'!M97,0)))*parametros_manuales!$I$28*parametros_manuales!$J$28</f>
        <v>18468.524774025</v>
      </c>
      <c r="L227" s="9" t="n">
        <f aca="false">(parametros_manuales!$D$28*('Plan mensual'!N90+IF(parametros_manuales!$H$28="Todos",'Plan mensual'!N94,0))+parametros_manuales!$E$28*('Plan mensual'!N91+IF(parametros_manuales!$H$28="Todos",'Plan mensual'!N95,0))+parametros_manuales!$F$28*('Plan mensual'!N92+IF(parametros_manuales!$H$28="Todos",'Plan mensual'!N96,0))+parametros_manuales!$G$28*('Plan mensual'!N93+IF(parametros_manuales!$H$28="Todos",'Plan mensual'!N97,0)))*parametros_manuales!$I$28*parametros_manuales!$J$28</f>
        <v>18114.25546979</v>
      </c>
      <c r="M227" s="9" t="n">
        <f aca="false">(parametros_manuales!$D$28*('Plan mensual'!O90+IF(parametros_manuales!$H$28="Todos",'Plan mensual'!O94,0))+parametros_manuales!$E$28*('Plan mensual'!O91+IF(parametros_manuales!$H$28="Todos",'Plan mensual'!O95,0))+parametros_manuales!$F$28*('Plan mensual'!O92+IF(parametros_manuales!$H$28="Todos",'Plan mensual'!O96,0))+parametros_manuales!$G$28*('Plan mensual'!O93+IF(parametros_manuales!$H$28="Todos",'Plan mensual'!O97,0)))*parametros_manuales!$I$28*parametros_manuales!$J$28</f>
        <v>28841.10102997</v>
      </c>
      <c r="N227" s="9" t="n">
        <f aca="false">SUM(B227:M227)</f>
        <v>246246.996987</v>
      </c>
      <c r="O227" s="9" t="n">
        <f aca="false">MAX(B227:M227)</f>
        <v>28841.10102997</v>
      </c>
      <c r="P227" s="43" t="n">
        <f aca="false">O227/(parametros_manuales!$B$7)</f>
        <v>192.274006866467</v>
      </c>
      <c r="Q227" s="8" t="str">
        <f aca="false">IF(O227=0,"-",INDEX($B$217:$M$217,MATCH(O227,B227:M227,0)))</f>
        <v>Dic</v>
      </c>
    </row>
    <row r="228" customFormat="false" ht="14.25" hidden="false" customHeight="true" outlineLevel="0" collapsed="false">
      <c r="A228" s="8" t="str">
        <f aca="false">parametros_manuales!$B$29</f>
        <v>Bordoneado</v>
      </c>
      <c r="B228" s="9" t="n">
        <f aca="false">(parametros_manuales!$D$29*('Plan mensual'!D90+IF(parametros_manuales!$H$29="Todos",'Plan mensual'!D94,0))+parametros_manuales!$E$29*('Plan mensual'!D91+IF(parametros_manuales!$H$29="Todos",'Plan mensual'!D95,0))+parametros_manuales!$F$29*('Plan mensual'!D92+IF(parametros_manuales!$H$29="Todos",'Plan mensual'!D96,0))+parametros_manuales!$G$29*('Plan mensual'!D93+IF(parametros_manuales!$H$29="Todos",'Plan mensual'!D97,0)))*parametros_manuales!$I$29*parametros_manuales!$J$29</f>
        <v>28132.5624215</v>
      </c>
      <c r="C228" s="9" t="n">
        <f aca="false">(parametros_manuales!$D$29*('Plan mensual'!E90+IF(parametros_manuales!$H$29="Todos",'Plan mensual'!E94,0))+parametros_manuales!$E$29*('Plan mensual'!E91+IF(parametros_manuales!$H$29="Todos",'Plan mensual'!E95,0))+parametros_manuales!$F$29*('Plan mensual'!E92+IF(parametros_manuales!$H$29="Todos",'Plan mensual'!E96,0))+parametros_manuales!$G$29*('Plan mensual'!E93+IF(parametros_manuales!$H$29="Todos",'Plan mensual'!E97,0)))*parametros_manuales!$I$29*parametros_manuales!$J$29</f>
        <v>21453.69112036</v>
      </c>
      <c r="D228" s="9" t="n">
        <f aca="false">(parametros_manuales!$D$29*('Plan mensual'!F90+IF(parametros_manuales!$H$29="Todos",'Plan mensual'!F94,0))+parametros_manuales!$E$29*('Plan mensual'!F91+IF(parametros_manuales!$H$29="Todos",'Plan mensual'!F95,0))+parametros_manuales!$F$29*('Plan mensual'!F92+IF(parametros_manuales!$H$29="Todos",'Plan mensual'!F96,0))+parametros_manuales!$G$29*('Plan mensual'!F93+IF(parametros_manuales!$H$29="Todos",'Plan mensual'!F97,0)))*parametros_manuales!$I$29*parametros_manuales!$J$29</f>
        <v>20054.029063195</v>
      </c>
      <c r="E228" s="9" t="n">
        <f aca="false">(parametros_manuales!$D$29*('Plan mensual'!G90+IF(parametros_manuales!$H$29="Todos",'Plan mensual'!G94,0))+parametros_manuales!$E$29*('Plan mensual'!G91+IF(parametros_manuales!$H$29="Todos",'Plan mensual'!G95,0))+parametros_manuales!$F$29*('Plan mensual'!G92+IF(parametros_manuales!$H$29="Todos",'Plan mensual'!G96,0))+parametros_manuales!$G$29*('Plan mensual'!G93+IF(parametros_manuales!$H$29="Todos",'Plan mensual'!G97,0)))*parametros_manuales!$I$29*parametros_manuales!$J$29</f>
        <v>19177.063382495</v>
      </c>
      <c r="F228" s="9" t="n">
        <f aca="false">(parametros_manuales!$D$29*('Plan mensual'!H90+IF(parametros_manuales!$H$29="Todos",'Plan mensual'!H94,0))+parametros_manuales!$E$29*('Plan mensual'!H91+IF(parametros_manuales!$H$29="Todos",'Plan mensual'!H95,0))+parametros_manuales!$F$29*('Plan mensual'!H92+IF(parametros_manuales!$H$29="Todos",'Plan mensual'!H96,0))+parametros_manuales!$G$29*('Plan mensual'!H93+IF(parametros_manuales!$H$29="Todos",'Plan mensual'!H97,0)))*parametros_manuales!$I$29*parametros_manuales!$J$29</f>
        <v>17945.82839756</v>
      </c>
      <c r="G228" s="9" t="n">
        <f aca="false">(parametros_manuales!$D$29*('Plan mensual'!I90+IF(parametros_manuales!$H$29="Todos",'Plan mensual'!I94,0))+parametros_manuales!$E$29*('Plan mensual'!I91+IF(parametros_manuales!$H$29="Todos",'Plan mensual'!I95,0))+parametros_manuales!$F$29*('Plan mensual'!I92+IF(parametros_manuales!$H$29="Todos",'Plan mensual'!I96,0))+parametros_manuales!$G$29*('Plan mensual'!I93+IF(parametros_manuales!$H$29="Todos",'Plan mensual'!I97,0)))*parametros_manuales!$I$29*parametros_manuales!$J$29</f>
        <v>17591.559093325</v>
      </c>
      <c r="H228" s="9" t="n">
        <f aca="false">(parametros_manuales!$D$29*('Plan mensual'!J90+IF(parametros_manuales!$H$29="Todos",'Plan mensual'!J94,0))+parametros_manuales!$E$29*('Plan mensual'!J91+IF(parametros_manuales!$H$29="Todos",'Plan mensual'!J95,0))+parametros_manuales!$F$29*('Plan mensual'!J92+IF(parametros_manuales!$H$29="Todos",'Plan mensual'!J96,0))+parametros_manuales!$G$29*('Plan mensual'!J93+IF(parametros_manuales!$H$29="Todos",'Plan mensual'!J97,0)))*parametros_manuales!$I$29*parametros_manuales!$J$29</f>
        <v>18822.79407826</v>
      </c>
      <c r="I228" s="9" t="n">
        <f aca="false">(parametros_manuales!$D$29*('Plan mensual'!K90+IF(parametros_manuales!$H$29="Todos",'Plan mensual'!K94,0))+parametros_manuales!$E$29*('Plan mensual'!K91+IF(parametros_manuales!$H$29="Todos",'Plan mensual'!K95,0))+parametros_manuales!$F$29*('Plan mensual'!K92+IF(parametros_manuales!$H$29="Todos",'Plan mensual'!K96,0))+parametros_manuales!$G$29*('Plan mensual'!K93+IF(parametros_manuales!$H$29="Todos",'Plan mensual'!K97,0)))*parametros_manuales!$I$29*parametros_manuales!$J$29</f>
        <v>18822.79407826</v>
      </c>
      <c r="J228" s="9" t="n">
        <f aca="false">(parametros_manuales!$D$29*('Plan mensual'!L90+IF(parametros_manuales!$H$29="Todos",'Plan mensual'!L94,0))+parametros_manuales!$E$29*('Plan mensual'!L91+IF(parametros_manuales!$H$29="Todos",'Plan mensual'!L95,0))+parametros_manuales!$F$29*('Plan mensual'!L92+IF(parametros_manuales!$H$29="Todos",'Plan mensual'!L96,0))+parametros_manuales!$G$29*('Plan mensual'!L93+IF(parametros_manuales!$H$29="Todos",'Plan mensual'!L97,0)))*parametros_manuales!$I$29*parametros_manuales!$J$29</f>
        <v>18822.79407826</v>
      </c>
      <c r="K228" s="9" t="n">
        <f aca="false">(parametros_manuales!$D$29*('Plan mensual'!M90+IF(parametros_manuales!$H$29="Todos",'Plan mensual'!M94,0))+parametros_manuales!$E$29*('Plan mensual'!M91+IF(parametros_manuales!$H$29="Todos",'Plan mensual'!M95,0))+parametros_manuales!$F$29*('Plan mensual'!M92+IF(parametros_manuales!$H$29="Todos",'Plan mensual'!M96,0))+parametros_manuales!$G$29*('Plan mensual'!M93+IF(parametros_manuales!$H$29="Todos",'Plan mensual'!M97,0)))*parametros_manuales!$I$29*parametros_manuales!$J$29</f>
        <v>18468.524774025</v>
      </c>
      <c r="L228" s="9" t="n">
        <f aca="false">(parametros_manuales!$D$29*('Plan mensual'!N90+IF(parametros_manuales!$H$29="Todos",'Plan mensual'!N94,0))+parametros_manuales!$E$29*('Plan mensual'!N91+IF(parametros_manuales!$H$29="Todos",'Plan mensual'!N95,0))+parametros_manuales!$F$29*('Plan mensual'!N92+IF(parametros_manuales!$H$29="Todos",'Plan mensual'!N96,0))+parametros_manuales!$G$29*('Plan mensual'!N93+IF(parametros_manuales!$H$29="Todos",'Plan mensual'!N97,0)))*parametros_manuales!$I$29*parametros_manuales!$J$29</f>
        <v>18114.25546979</v>
      </c>
      <c r="M228" s="9" t="n">
        <f aca="false">(parametros_manuales!$D$29*('Plan mensual'!O90+IF(parametros_manuales!$H$29="Todos",'Plan mensual'!O94,0))+parametros_manuales!$E$29*('Plan mensual'!O91+IF(parametros_manuales!$H$29="Todos",'Plan mensual'!O95,0))+parametros_manuales!$F$29*('Plan mensual'!O92+IF(parametros_manuales!$H$29="Todos",'Plan mensual'!O96,0))+parametros_manuales!$G$29*('Plan mensual'!O93+IF(parametros_manuales!$H$29="Todos",'Plan mensual'!O97,0)))*parametros_manuales!$I$29*parametros_manuales!$J$29</f>
        <v>28841.10102997</v>
      </c>
      <c r="N228" s="9" t="n">
        <f aca="false">SUM(B228:M228)</f>
        <v>246246.996987</v>
      </c>
      <c r="O228" s="9" t="n">
        <f aca="false">MAX(B228:M228)</f>
        <v>28841.10102997</v>
      </c>
      <c r="P228" s="43" t="n">
        <f aca="false">O228/(parametros_manuales!$B$7)</f>
        <v>192.274006866467</v>
      </c>
      <c r="Q228" s="8" t="str">
        <f aca="false">IF(O228=0,"-",INDEX($B$217:$M$217,MATCH(O228,B228:M228,0)))</f>
        <v>Dic</v>
      </c>
    </row>
    <row r="229" customFormat="false" ht="14.25" hidden="false" customHeight="true" outlineLevel="0" collapsed="false">
      <c r="A229" s="8" t="str">
        <f aca="false">parametros_manuales!$B$30</f>
        <v>Soldadura circunferencial de cúpula y fondo</v>
      </c>
      <c r="B229" s="9" t="n">
        <f aca="false">(parametros_manuales!$D$30*('Plan mensual'!D90+IF(parametros_manuales!$H$30="Todos",'Plan mensual'!D94,0))+parametros_manuales!$E$30*('Plan mensual'!D91+IF(parametros_manuales!$H$30="Todos",'Plan mensual'!D95,0))+parametros_manuales!$F$30*('Plan mensual'!D92+IF(parametros_manuales!$H$30="Todos",'Plan mensual'!D96,0))+parametros_manuales!$G$30*('Plan mensual'!D93+IF(parametros_manuales!$H$30="Todos",'Plan mensual'!D97,0)))*parametros_manuales!$I$30*parametros_manuales!$J$30</f>
        <v>28132.5624215</v>
      </c>
      <c r="C229" s="9" t="n">
        <f aca="false">(parametros_manuales!$D$30*('Plan mensual'!E90+IF(parametros_manuales!$H$30="Todos",'Plan mensual'!E94,0))+parametros_manuales!$E$30*('Plan mensual'!E91+IF(parametros_manuales!$H$30="Todos",'Plan mensual'!E95,0))+parametros_manuales!$F$30*('Plan mensual'!E92+IF(parametros_manuales!$H$30="Todos",'Plan mensual'!E96,0))+parametros_manuales!$G$30*('Plan mensual'!E93+IF(parametros_manuales!$H$30="Todos",'Plan mensual'!E97,0)))*parametros_manuales!$I$30*parametros_manuales!$J$30</f>
        <v>21453.69112036</v>
      </c>
      <c r="D229" s="9" t="n">
        <f aca="false">(parametros_manuales!$D$30*('Plan mensual'!F90+IF(parametros_manuales!$H$30="Todos",'Plan mensual'!F94,0))+parametros_manuales!$E$30*('Plan mensual'!F91+IF(parametros_manuales!$H$30="Todos",'Plan mensual'!F95,0))+parametros_manuales!$F$30*('Plan mensual'!F92+IF(parametros_manuales!$H$30="Todos",'Plan mensual'!F96,0))+parametros_manuales!$G$30*('Plan mensual'!F93+IF(parametros_manuales!$H$30="Todos",'Plan mensual'!F97,0)))*parametros_manuales!$I$30*parametros_manuales!$J$30</f>
        <v>20054.029063195</v>
      </c>
      <c r="E229" s="9" t="n">
        <f aca="false">(parametros_manuales!$D$30*('Plan mensual'!G90+IF(parametros_manuales!$H$30="Todos",'Plan mensual'!G94,0))+parametros_manuales!$E$30*('Plan mensual'!G91+IF(parametros_manuales!$H$30="Todos",'Plan mensual'!G95,0))+parametros_manuales!$F$30*('Plan mensual'!G92+IF(parametros_manuales!$H$30="Todos",'Plan mensual'!G96,0))+parametros_manuales!$G$30*('Plan mensual'!G93+IF(parametros_manuales!$H$30="Todos",'Plan mensual'!G97,0)))*parametros_manuales!$I$30*parametros_manuales!$J$30</f>
        <v>19177.063382495</v>
      </c>
      <c r="F229" s="9" t="n">
        <f aca="false">(parametros_manuales!$D$30*('Plan mensual'!H90+IF(parametros_manuales!$H$30="Todos",'Plan mensual'!H94,0))+parametros_manuales!$E$30*('Plan mensual'!H91+IF(parametros_manuales!$H$30="Todos",'Plan mensual'!H95,0))+parametros_manuales!$F$30*('Plan mensual'!H92+IF(parametros_manuales!$H$30="Todos",'Plan mensual'!H96,0))+parametros_manuales!$G$30*('Plan mensual'!H93+IF(parametros_manuales!$H$30="Todos",'Plan mensual'!H97,0)))*parametros_manuales!$I$30*parametros_manuales!$J$30</f>
        <v>17945.82839756</v>
      </c>
      <c r="G229" s="9" t="n">
        <f aca="false">(parametros_manuales!$D$30*('Plan mensual'!I90+IF(parametros_manuales!$H$30="Todos",'Plan mensual'!I94,0))+parametros_manuales!$E$30*('Plan mensual'!I91+IF(parametros_manuales!$H$30="Todos",'Plan mensual'!I95,0))+parametros_manuales!$F$30*('Plan mensual'!I92+IF(parametros_manuales!$H$30="Todos",'Plan mensual'!I96,0))+parametros_manuales!$G$30*('Plan mensual'!I93+IF(parametros_manuales!$H$30="Todos",'Plan mensual'!I97,0)))*parametros_manuales!$I$30*parametros_manuales!$J$30</f>
        <v>17591.559093325</v>
      </c>
      <c r="H229" s="9" t="n">
        <f aca="false">(parametros_manuales!$D$30*('Plan mensual'!J90+IF(parametros_manuales!$H$30="Todos",'Plan mensual'!J94,0))+parametros_manuales!$E$30*('Plan mensual'!J91+IF(parametros_manuales!$H$30="Todos",'Plan mensual'!J95,0))+parametros_manuales!$F$30*('Plan mensual'!J92+IF(parametros_manuales!$H$30="Todos",'Plan mensual'!J96,0))+parametros_manuales!$G$30*('Plan mensual'!J93+IF(parametros_manuales!$H$30="Todos",'Plan mensual'!J97,0)))*parametros_manuales!$I$30*parametros_manuales!$J$30</f>
        <v>18822.79407826</v>
      </c>
      <c r="I229" s="9" t="n">
        <f aca="false">(parametros_manuales!$D$30*('Plan mensual'!K90+IF(parametros_manuales!$H$30="Todos",'Plan mensual'!K94,0))+parametros_manuales!$E$30*('Plan mensual'!K91+IF(parametros_manuales!$H$30="Todos",'Plan mensual'!K95,0))+parametros_manuales!$F$30*('Plan mensual'!K92+IF(parametros_manuales!$H$30="Todos",'Plan mensual'!K96,0))+parametros_manuales!$G$30*('Plan mensual'!K93+IF(parametros_manuales!$H$30="Todos",'Plan mensual'!K97,0)))*parametros_manuales!$I$30*parametros_manuales!$J$30</f>
        <v>18822.79407826</v>
      </c>
      <c r="J229" s="9" t="n">
        <f aca="false">(parametros_manuales!$D$30*('Plan mensual'!L90+IF(parametros_manuales!$H$30="Todos",'Plan mensual'!L94,0))+parametros_manuales!$E$30*('Plan mensual'!L91+IF(parametros_manuales!$H$30="Todos",'Plan mensual'!L95,0))+parametros_manuales!$F$30*('Plan mensual'!L92+IF(parametros_manuales!$H$30="Todos",'Plan mensual'!L96,0))+parametros_manuales!$G$30*('Plan mensual'!L93+IF(parametros_manuales!$H$30="Todos",'Plan mensual'!L97,0)))*parametros_manuales!$I$30*parametros_manuales!$J$30</f>
        <v>18822.79407826</v>
      </c>
      <c r="K229" s="9" t="n">
        <f aca="false">(parametros_manuales!$D$30*('Plan mensual'!M90+IF(parametros_manuales!$H$30="Todos",'Plan mensual'!M94,0))+parametros_manuales!$E$30*('Plan mensual'!M91+IF(parametros_manuales!$H$30="Todos",'Plan mensual'!M95,0))+parametros_manuales!$F$30*('Plan mensual'!M92+IF(parametros_manuales!$H$30="Todos",'Plan mensual'!M96,0))+parametros_manuales!$G$30*('Plan mensual'!M93+IF(parametros_manuales!$H$30="Todos",'Plan mensual'!M97,0)))*parametros_manuales!$I$30*parametros_manuales!$J$30</f>
        <v>18468.524774025</v>
      </c>
      <c r="L229" s="9" t="n">
        <f aca="false">(parametros_manuales!$D$30*('Plan mensual'!N90+IF(parametros_manuales!$H$30="Todos",'Plan mensual'!N94,0))+parametros_manuales!$E$30*('Plan mensual'!N91+IF(parametros_manuales!$H$30="Todos",'Plan mensual'!N95,0))+parametros_manuales!$F$30*('Plan mensual'!N92+IF(parametros_manuales!$H$30="Todos",'Plan mensual'!N96,0))+parametros_manuales!$G$30*('Plan mensual'!N93+IF(parametros_manuales!$H$30="Todos",'Plan mensual'!N97,0)))*parametros_manuales!$I$30*parametros_manuales!$J$30</f>
        <v>18114.25546979</v>
      </c>
      <c r="M229" s="9" t="n">
        <f aca="false">(parametros_manuales!$D$30*('Plan mensual'!O90+IF(parametros_manuales!$H$30="Todos",'Plan mensual'!O94,0))+parametros_manuales!$E$30*('Plan mensual'!O91+IF(parametros_manuales!$H$30="Todos",'Plan mensual'!O95,0))+parametros_manuales!$F$30*('Plan mensual'!O92+IF(parametros_manuales!$H$30="Todos",'Plan mensual'!O96,0))+parametros_manuales!$G$30*('Plan mensual'!O93+IF(parametros_manuales!$H$30="Todos",'Plan mensual'!O97,0)))*parametros_manuales!$I$30*parametros_manuales!$J$30</f>
        <v>28841.10102997</v>
      </c>
      <c r="N229" s="9" t="n">
        <f aca="false">SUM(B229:M229)</f>
        <v>246246.996987</v>
      </c>
      <c r="O229" s="9" t="n">
        <f aca="false">MAX(B229:M229)</f>
        <v>28841.10102997</v>
      </c>
      <c r="P229" s="43" t="n">
        <f aca="false">O229/(parametros_manuales!$B$7)</f>
        <v>192.274006866467</v>
      </c>
      <c r="Q229" s="8" t="str">
        <f aca="false">IF(O229=0,"-",INDEX($B$217:$M$217,MATCH(O229,B229:M229,0)))</f>
        <v>Dic</v>
      </c>
    </row>
    <row r="230" customFormat="false" ht="14.25" hidden="false" customHeight="true" outlineLevel="0" collapsed="false">
      <c r="A230" s="8" t="str">
        <f aca="false">parametros_manuales!$B$31</f>
        <v>Control de calidad — Espesor</v>
      </c>
      <c r="B230" s="9" t="n">
        <f aca="false">(parametros_manuales!$D$31*('Plan mensual'!D90+IF(parametros_manuales!$H$31="Todos",'Plan mensual'!D94,0))+parametros_manuales!$E$31*('Plan mensual'!D91+IF(parametros_manuales!$H$31="Todos",'Plan mensual'!D95,0))+parametros_manuales!$F$31*('Plan mensual'!D92+IF(parametros_manuales!$H$31="Todos",'Plan mensual'!D96,0))+parametros_manuales!$G$31*('Plan mensual'!D93+IF(parametros_manuales!$H$31="Todos",'Plan mensual'!D97,0)))*parametros_manuales!$I$31*parametros_manuales!$J$31</f>
        <v>562.65124843</v>
      </c>
      <c r="C230" s="9" t="n">
        <f aca="false">(parametros_manuales!$D$31*('Plan mensual'!E90+IF(parametros_manuales!$H$31="Todos",'Plan mensual'!E94,0))+parametros_manuales!$E$31*('Plan mensual'!E91+IF(parametros_manuales!$H$31="Todos",'Plan mensual'!E95,0))+parametros_manuales!$F$31*('Plan mensual'!E92+IF(parametros_manuales!$H$31="Todos",'Plan mensual'!E96,0))+parametros_manuales!$G$31*('Plan mensual'!E93+IF(parametros_manuales!$H$31="Todos",'Plan mensual'!E97,0)))*parametros_manuales!$I$31*parametros_manuales!$J$31</f>
        <v>429.0738224072</v>
      </c>
      <c r="D230" s="9" t="n">
        <f aca="false">(parametros_manuales!$D$31*('Plan mensual'!F90+IF(parametros_manuales!$H$31="Todos",'Plan mensual'!F94,0))+parametros_manuales!$E$31*('Plan mensual'!F91+IF(parametros_manuales!$H$31="Todos",'Plan mensual'!F95,0))+parametros_manuales!$F$31*('Plan mensual'!F92+IF(parametros_manuales!$H$31="Todos",'Plan mensual'!F96,0))+parametros_manuales!$G$31*('Plan mensual'!F93+IF(parametros_manuales!$H$31="Todos",'Plan mensual'!F97,0)))*parametros_manuales!$I$31*parametros_manuales!$J$31</f>
        <v>401.0805812639</v>
      </c>
      <c r="E230" s="9" t="n">
        <f aca="false">(parametros_manuales!$D$31*('Plan mensual'!G90+IF(parametros_manuales!$H$31="Todos",'Plan mensual'!G94,0))+parametros_manuales!$E$31*('Plan mensual'!G91+IF(parametros_manuales!$H$31="Todos",'Plan mensual'!G95,0))+parametros_manuales!$F$31*('Plan mensual'!G92+IF(parametros_manuales!$H$31="Todos",'Plan mensual'!G96,0))+parametros_manuales!$G$31*('Plan mensual'!G93+IF(parametros_manuales!$H$31="Todos",'Plan mensual'!G97,0)))*parametros_manuales!$I$31*parametros_manuales!$J$31</f>
        <v>383.5412676499</v>
      </c>
      <c r="F230" s="9" t="n">
        <f aca="false">(parametros_manuales!$D$31*('Plan mensual'!H90+IF(parametros_manuales!$H$31="Todos",'Plan mensual'!H94,0))+parametros_manuales!$E$31*('Plan mensual'!H91+IF(parametros_manuales!$H$31="Todos",'Plan mensual'!H95,0))+parametros_manuales!$F$31*('Plan mensual'!H92+IF(parametros_manuales!$H$31="Todos",'Plan mensual'!H96,0))+parametros_manuales!$G$31*('Plan mensual'!H93+IF(parametros_manuales!$H$31="Todos",'Plan mensual'!H97,0)))*parametros_manuales!$I$31*parametros_manuales!$J$31</f>
        <v>358.9165679512</v>
      </c>
      <c r="G230" s="9" t="n">
        <f aca="false">(parametros_manuales!$D$31*('Plan mensual'!I90+IF(parametros_manuales!$H$31="Todos",'Plan mensual'!I94,0))+parametros_manuales!$E$31*('Plan mensual'!I91+IF(parametros_manuales!$H$31="Todos",'Plan mensual'!I95,0))+parametros_manuales!$F$31*('Plan mensual'!I92+IF(parametros_manuales!$H$31="Todos",'Plan mensual'!I96,0))+parametros_manuales!$G$31*('Plan mensual'!I93+IF(parametros_manuales!$H$31="Todos",'Plan mensual'!I97,0)))*parametros_manuales!$I$31*parametros_manuales!$J$31</f>
        <v>351.8311818665</v>
      </c>
      <c r="H230" s="9" t="n">
        <f aca="false">(parametros_manuales!$D$31*('Plan mensual'!J90+IF(parametros_manuales!$H$31="Todos",'Plan mensual'!J94,0))+parametros_manuales!$E$31*('Plan mensual'!J91+IF(parametros_manuales!$H$31="Todos",'Plan mensual'!J95,0))+parametros_manuales!$F$31*('Plan mensual'!J92+IF(parametros_manuales!$H$31="Todos",'Plan mensual'!J96,0))+parametros_manuales!$G$31*('Plan mensual'!J93+IF(parametros_manuales!$H$31="Todos",'Plan mensual'!J97,0)))*parametros_manuales!$I$31*parametros_manuales!$J$31</f>
        <v>376.4558815652</v>
      </c>
      <c r="I230" s="9" t="n">
        <f aca="false">(parametros_manuales!$D$31*('Plan mensual'!K90+IF(parametros_manuales!$H$31="Todos",'Plan mensual'!K94,0))+parametros_manuales!$E$31*('Plan mensual'!K91+IF(parametros_manuales!$H$31="Todos",'Plan mensual'!K95,0))+parametros_manuales!$F$31*('Plan mensual'!K92+IF(parametros_manuales!$H$31="Todos",'Plan mensual'!K96,0))+parametros_manuales!$G$31*('Plan mensual'!K93+IF(parametros_manuales!$H$31="Todos",'Plan mensual'!K97,0)))*parametros_manuales!$I$31*parametros_manuales!$J$31</f>
        <v>376.4558815652</v>
      </c>
      <c r="J230" s="9" t="n">
        <f aca="false">(parametros_manuales!$D$31*('Plan mensual'!L90+IF(parametros_manuales!$H$31="Todos",'Plan mensual'!L94,0))+parametros_manuales!$E$31*('Plan mensual'!L91+IF(parametros_manuales!$H$31="Todos",'Plan mensual'!L95,0))+parametros_manuales!$F$31*('Plan mensual'!L92+IF(parametros_manuales!$H$31="Todos",'Plan mensual'!L96,0))+parametros_manuales!$G$31*('Plan mensual'!L93+IF(parametros_manuales!$H$31="Todos",'Plan mensual'!L97,0)))*parametros_manuales!$I$31*parametros_manuales!$J$31</f>
        <v>376.4558815652</v>
      </c>
      <c r="K230" s="9" t="n">
        <f aca="false">(parametros_manuales!$D$31*('Plan mensual'!M90+IF(parametros_manuales!$H$31="Todos",'Plan mensual'!M94,0))+parametros_manuales!$E$31*('Plan mensual'!M91+IF(parametros_manuales!$H$31="Todos",'Plan mensual'!M95,0))+parametros_manuales!$F$31*('Plan mensual'!M92+IF(parametros_manuales!$H$31="Todos",'Plan mensual'!M96,0))+parametros_manuales!$G$31*('Plan mensual'!M93+IF(parametros_manuales!$H$31="Todos",'Plan mensual'!M97,0)))*parametros_manuales!$I$31*parametros_manuales!$J$31</f>
        <v>369.3704954805</v>
      </c>
      <c r="L230" s="9" t="n">
        <f aca="false">(parametros_manuales!$D$31*('Plan mensual'!N90+IF(parametros_manuales!$H$31="Todos",'Plan mensual'!N94,0))+parametros_manuales!$E$31*('Plan mensual'!N91+IF(parametros_manuales!$H$31="Todos",'Plan mensual'!N95,0))+parametros_manuales!$F$31*('Plan mensual'!N92+IF(parametros_manuales!$H$31="Todos",'Plan mensual'!N96,0))+parametros_manuales!$G$31*('Plan mensual'!N93+IF(parametros_manuales!$H$31="Todos",'Plan mensual'!N97,0)))*parametros_manuales!$I$31*parametros_manuales!$J$31</f>
        <v>362.2851093958</v>
      </c>
      <c r="M230" s="9" t="n">
        <f aca="false">(parametros_manuales!$D$31*('Plan mensual'!O90+IF(parametros_manuales!$H$31="Todos",'Plan mensual'!O94,0))+parametros_manuales!$E$31*('Plan mensual'!O91+IF(parametros_manuales!$H$31="Todos",'Plan mensual'!O95,0))+parametros_manuales!$F$31*('Plan mensual'!O92+IF(parametros_manuales!$H$31="Todos",'Plan mensual'!O96,0))+parametros_manuales!$G$31*('Plan mensual'!O93+IF(parametros_manuales!$H$31="Todos",'Plan mensual'!O97,0)))*parametros_manuales!$I$31*parametros_manuales!$J$31</f>
        <v>576.8220205994</v>
      </c>
      <c r="N230" s="9" t="n">
        <f aca="false">SUM(B230:M230)</f>
        <v>4924.93993974</v>
      </c>
      <c r="O230" s="9" t="n">
        <f aca="false">MAX(B230:M230)</f>
        <v>576.8220205994</v>
      </c>
      <c r="P230" s="43" t="n">
        <f aca="false">O230/(parametros_manuales!$B$7)</f>
        <v>3.84548013732933</v>
      </c>
      <c r="Q230" s="8" t="str">
        <f aca="false">IF(O230=0,"-",INDEX($B$217:$M$217,MATCH(O230,B230:M230,0)))</f>
        <v>Dic</v>
      </c>
    </row>
    <row r="231" customFormat="false" ht="14.25" hidden="false" customHeight="true" outlineLevel="0" collapsed="false">
      <c r="A231" s="8" t="str">
        <f aca="false">parametros_manuales!$B$32</f>
        <v>Prueba hidráulica</v>
      </c>
      <c r="B231" s="9" t="n">
        <f aca="false">(parametros_manuales!$D$32*('Plan mensual'!D90+IF(parametros_manuales!$H$32="Todos",'Plan mensual'!D94,0))+parametros_manuales!$E$32*('Plan mensual'!D91+IF(parametros_manuales!$H$32="Todos",'Plan mensual'!D95,0))+parametros_manuales!$F$32*('Plan mensual'!D92+IF(parametros_manuales!$H$32="Todos",'Plan mensual'!D96,0))+parametros_manuales!$G$32*('Plan mensual'!D93+IF(parametros_manuales!$H$32="Todos",'Plan mensual'!D97,0)))*parametros_manuales!$I$32*parametros_manuales!$J$32</f>
        <v>28132.5624215</v>
      </c>
      <c r="C231" s="9" t="n">
        <f aca="false">(parametros_manuales!$D$32*('Plan mensual'!E90+IF(parametros_manuales!$H$32="Todos",'Plan mensual'!E94,0))+parametros_manuales!$E$32*('Plan mensual'!E91+IF(parametros_manuales!$H$32="Todos",'Plan mensual'!E95,0))+parametros_manuales!$F$32*('Plan mensual'!E92+IF(parametros_manuales!$H$32="Todos",'Plan mensual'!E96,0))+parametros_manuales!$G$32*('Plan mensual'!E93+IF(parametros_manuales!$H$32="Todos",'Plan mensual'!E97,0)))*parametros_manuales!$I$32*parametros_manuales!$J$32</f>
        <v>21453.69112036</v>
      </c>
      <c r="D231" s="9" t="n">
        <f aca="false">(parametros_manuales!$D$32*('Plan mensual'!F90+IF(parametros_manuales!$H$32="Todos",'Plan mensual'!F94,0))+parametros_manuales!$E$32*('Plan mensual'!F91+IF(parametros_manuales!$H$32="Todos",'Plan mensual'!F95,0))+parametros_manuales!$F$32*('Plan mensual'!F92+IF(parametros_manuales!$H$32="Todos",'Plan mensual'!F96,0))+parametros_manuales!$G$32*('Plan mensual'!F93+IF(parametros_manuales!$H$32="Todos",'Plan mensual'!F97,0)))*parametros_manuales!$I$32*parametros_manuales!$J$32</f>
        <v>20054.029063195</v>
      </c>
      <c r="E231" s="9" t="n">
        <f aca="false">(parametros_manuales!$D$32*('Plan mensual'!G90+IF(parametros_manuales!$H$32="Todos",'Plan mensual'!G94,0))+parametros_manuales!$E$32*('Plan mensual'!G91+IF(parametros_manuales!$H$32="Todos",'Plan mensual'!G95,0))+parametros_manuales!$F$32*('Plan mensual'!G92+IF(parametros_manuales!$H$32="Todos",'Plan mensual'!G96,0))+parametros_manuales!$G$32*('Plan mensual'!G93+IF(parametros_manuales!$H$32="Todos",'Plan mensual'!G97,0)))*parametros_manuales!$I$32*parametros_manuales!$J$32</f>
        <v>19177.063382495</v>
      </c>
      <c r="F231" s="9" t="n">
        <f aca="false">(parametros_manuales!$D$32*('Plan mensual'!H90+IF(parametros_manuales!$H$32="Todos",'Plan mensual'!H94,0))+parametros_manuales!$E$32*('Plan mensual'!H91+IF(parametros_manuales!$H$32="Todos",'Plan mensual'!H95,0))+parametros_manuales!$F$32*('Plan mensual'!H92+IF(parametros_manuales!$H$32="Todos",'Plan mensual'!H96,0))+parametros_manuales!$G$32*('Plan mensual'!H93+IF(parametros_manuales!$H$32="Todos",'Plan mensual'!H97,0)))*parametros_manuales!$I$32*parametros_manuales!$J$32</f>
        <v>17945.82839756</v>
      </c>
      <c r="G231" s="9" t="n">
        <f aca="false">(parametros_manuales!$D$32*('Plan mensual'!I90+IF(parametros_manuales!$H$32="Todos",'Plan mensual'!I94,0))+parametros_manuales!$E$32*('Plan mensual'!I91+IF(parametros_manuales!$H$32="Todos",'Plan mensual'!I95,0))+parametros_manuales!$F$32*('Plan mensual'!I92+IF(parametros_manuales!$H$32="Todos",'Plan mensual'!I96,0))+parametros_manuales!$G$32*('Plan mensual'!I93+IF(parametros_manuales!$H$32="Todos",'Plan mensual'!I97,0)))*parametros_manuales!$I$32*parametros_manuales!$J$32</f>
        <v>17591.559093325</v>
      </c>
      <c r="H231" s="9" t="n">
        <f aca="false">(parametros_manuales!$D$32*('Plan mensual'!J90+IF(parametros_manuales!$H$32="Todos",'Plan mensual'!J94,0))+parametros_manuales!$E$32*('Plan mensual'!J91+IF(parametros_manuales!$H$32="Todos",'Plan mensual'!J95,0))+parametros_manuales!$F$32*('Plan mensual'!J92+IF(parametros_manuales!$H$32="Todos",'Plan mensual'!J96,0))+parametros_manuales!$G$32*('Plan mensual'!J93+IF(parametros_manuales!$H$32="Todos",'Plan mensual'!J97,0)))*parametros_manuales!$I$32*parametros_manuales!$J$32</f>
        <v>18822.79407826</v>
      </c>
      <c r="I231" s="9" t="n">
        <f aca="false">(parametros_manuales!$D$32*('Plan mensual'!K90+IF(parametros_manuales!$H$32="Todos",'Plan mensual'!K94,0))+parametros_manuales!$E$32*('Plan mensual'!K91+IF(parametros_manuales!$H$32="Todos",'Plan mensual'!K95,0))+parametros_manuales!$F$32*('Plan mensual'!K92+IF(parametros_manuales!$H$32="Todos",'Plan mensual'!K96,0))+parametros_manuales!$G$32*('Plan mensual'!K93+IF(parametros_manuales!$H$32="Todos",'Plan mensual'!K97,0)))*parametros_manuales!$I$32*parametros_manuales!$J$32</f>
        <v>18822.79407826</v>
      </c>
      <c r="J231" s="9" t="n">
        <f aca="false">(parametros_manuales!$D$32*('Plan mensual'!L90+IF(parametros_manuales!$H$32="Todos",'Plan mensual'!L94,0))+parametros_manuales!$E$32*('Plan mensual'!L91+IF(parametros_manuales!$H$32="Todos",'Plan mensual'!L95,0))+parametros_manuales!$F$32*('Plan mensual'!L92+IF(parametros_manuales!$H$32="Todos",'Plan mensual'!L96,0))+parametros_manuales!$G$32*('Plan mensual'!L93+IF(parametros_manuales!$H$32="Todos",'Plan mensual'!L97,0)))*parametros_manuales!$I$32*parametros_manuales!$J$32</f>
        <v>18822.79407826</v>
      </c>
      <c r="K231" s="9" t="n">
        <f aca="false">(parametros_manuales!$D$32*('Plan mensual'!M90+IF(parametros_manuales!$H$32="Todos",'Plan mensual'!M94,0))+parametros_manuales!$E$32*('Plan mensual'!M91+IF(parametros_manuales!$H$32="Todos",'Plan mensual'!M95,0))+parametros_manuales!$F$32*('Plan mensual'!M92+IF(parametros_manuales!$H$32="Todos",'Plan mensual'!M96,0))+parametros_manuales!$G$32*('Plan mensual'!M93+IF(parametros_manuales!$H$32="Todos",'Plan mensual'!M97,0)))*parametros_manuales!$I$32*parametros_manuales!$J$32</f>
        <v>18468.524774025</v>
      </c>
      <c r="L231" s="9" t="n">
        <f aca="false">(parametros_manuales!$D$32*('Plan mensual'!N90+IF(parametros_manuales!$H$32="Todos",'Plan mensual'!N94,0))+parametros_manuales!$E$32*('Plan mensual'!N91+IF(parametros_manuales!$H$32="Todos",'Plan mensual'!N95,0))+parametros_manuales!$F$32*('Plan mensual'!N92+IF(parametros_manuales!$H$32="Todos",'Plan mensual'!N96,0))+parametros_manuales!$G$32*('Plan mensual'!N93+IF(parametros_manuales!$H$32="Todos",'Plan mensual'!N97,0)))*parametros_manuales!$I$32*parametros_manuales!$J$32</f>
        <v>18114.25546979</v>
      </c>
      <c r="M231" s="9" t="n">
        <f aca="false">(parametros_manuales!$D$32*('Plan mensual'!O90+IF(parametros_manuales!$H$32="Todos",'Plan mensual'!O94,0))+parametros_manuales!$E$32*('Plan mensual'!O91+IF(parametros_manuales!$H$32="Todos",'Plan mensual'!O95,0))+parametros_manuales!$F$32*('Plan mensual'!O92+IF(parametros_manuales!$H$32="Todos",'Plan mensual'!O96,0))+parametros_manuales!$G$32*('Plan mensual'!O93+IF(parametros_manuales!$H$32="Todos",'Plan mensual'!O97,0)))*parametros_manuales!$I$32*parametros_manuales!$J$32</f>
        <v>28841.10102997</v>
      </c>
      <c r="N231" s="9" t="n">
        <f aca="false">SUM(B231:M231)</f>
        <v>246246.996987</v>
      </c>
      <c r="O231" s="9" t="n">
        <f aca="false">MAX(B231:M231)</f>
        <v>28841.10102997</v>
      </c>
      <c r="P231" s="43" t="n">
        <f aca="false">O231/(parametros_manuales!$B$7)</f>
        <v>192.274006866467</v>
      </c>
      <c r="Q231" s="8" t="str">
        <f aca="false">IF(O231=0,"-",INDEX($B$217:$M$217,MATCH(O231,B231:M231,0)))</f>
        <v>Dic</v>
      </c>
    </row>
    <row r="232" customFormat="false" ht="14.25" hidden="false" customHeight="true" outlineLevel="0" collapsed="false">
      <c r="A232" s="8" t="str">
        <f aca="false">parametros_manuales!$B$33</f>
        <v>Secado</v>
      </c>
      <c r="B232" s="9" t="n">
        <f aca="false">(parametros_manuales!$D$33*('Plan mensual'!D90+IF(parametros_manuales!$H$33="Todos",'Plan mensual'!D94,0))+parametros_manuales!$E$33*('Plan mensual'!D91+IF(parametros_manuales!$H$33="Todos",'Plan mensual'!D95,0))+parametros_manuales!$F$33*('Plan mensual'!D92+IF(parametros_manuales!$H$33="Todos",'Plan mensual'!D96,0))+parametros_manuales!$G$33*('Plan mensual'!D93+IF(parametros_manuales!$H$33="Todos",'Plan mensual'!D97,0)))*parametros_manuales!$I$33*parametros_manuales!$J$33</f>
        <v>28132.5624215</v>
      </c>
      <c r="C232" s="9" t="n">
        <f aca="false">(parametros_manuales!$D$33*('Plan mensual'!E90+IF(parametros_manuales!$H$33="Todos",'Plan mensual'!E94,0))+parametros_manuales!$E$33*('Plan mensual'!E91+IF(parametros_manuales!$H$33="Todos",'Plan mensual'!E95,0))+parametros_manuales!$F$33*('Plan mensual'!E92+IF(parametros_manuales!$H$33="Todos",'Plan mensual'!E96,0))+parametros_manuales!$G$33*('Plan mensual'!E93+IF(parametros_manuales!$H$33="Todos",'Plan mensual'!E97,0)))*parametros_manuales!$I$33*parametros_manuales!$J$33</f>
        <v>21453.69112036</v>
      </c>
      <c r="D232" s="9" t="n">
        <f aca="false">(parametros_manuales!$D$33*('Plan mensual'!F90+IF(parametros_manuales!$H$33="Todos",'Plan mensual'!F94,0))+parametros_manuales!$E$33*('Plan mensual'!F91+IF(parametros_manuales!$H$33="Todos",'Plan mensual'!F95,0))+parametros_manuales!$F$33*('Plan mensual'!F92+IF(parametros_manuales!$H$33="Todos",'Plan mensual'!F96,0))+parametros_manuales!$G$33*('Plan mensual'!F93+IF(parametros_manuales!$H$33="Todos",'Plan mensual'!F97,0)))*parametros_manuales!$I$33*parametros_manuales!$J$33</f>
        <v>20054.029063195</v>
      </c>
      <c r="E232" s="9" t="n">
        <f aca="false">(parametros_manuales!$D$33*('Plan mensual'!G90+IF(parametros_manuales!$H$33="Todos",'Plan mensual'!G94,0))+parametros_manuales!$E$33*('Plan mensual'!G91+IF(parametros_manuales!$H$33="Todos",'Plan mensual'!G95,0))+parametros_manuales!$F$33*('Plan mensual'!G92+IF(parametros_manuales!$H$33="Todos",'Plan mensual'!G96,0))+parametros_manuales!$G$33*('Plan mensual'!G93+IF(parametros_manuales!$H$33="Todos",'Plan mensual'!G97,0)))*parametros_manuales!$I$33*parametros_manuales!$J$33</f>
        <v>19177.063382495</v>
      </c>
      <c r="F232" s="9" t="n">
        <f aca="false">(parametros_manuales!$D$33*('Plan mensual'!H90+IF(parametros_manuales!$H$33="Todos",'Plan mensual'!H94,0))+parametros_manuales!$E$33*('Plan mensual'!H91+IF(parametros_manuales!$H$33="Todos",'Plan mensual'!H95,0))+parametros_manuales!$F$33*('Plan mensual'!H92+IF(parametros_manuales!$H$33="Todos",'Plan mensual'!H96,0))+parametros_manuales!$G$33*('Plan mensual'!H93+IF(parametros_manuales!$H$33="Todos",'Plan mensual'!H97,0)))*parametros_manuales!$I$33*parametros_manuales!$J$33</f>
        <v>17945.82839756</v>
      </c>
      <c r="G232" s="9" t="n">
        <f aca="false">(parametros_manuales!$D$33*('Plan mensual'!I90+IF(parametros_manuales!$H$33="Todos",'Plan mensual'!I94,0))+parametros_manuales!$E$33*('Plan mensual'!I91+IF(parametros_manuales!$H$33="Todos",'Plan mensual'!I95,0))+parametros_manuales!$F$33*('Plan mensual'!I92+IF(parametros_manuales!$H$33="Todos",'Plan mensual'!I96,0))+parametros_manuales!$G$33*('Plan mensual'!I93+IF(parametros_manuales!$H$33="Todos",'Plan mensual'!I97,0)))*parametros_manuales!$I$33*parametros_manuales!$J$33</f>
        <v>17591.559093325</v>
      </c>
      <c r="H232" s="9" t="n">
        <f aca="false">(parametros_manuales!$D$33*('Plan mensual'!J90+IF(parametros_manuales!$H$33="Todos",'Plan mensual'!J94,0))+parametros_manuales!$E$33*('Plan mensual'!J91+IF(parametros_manuales!$H$33="Todos",'Plan mensual'!J95,0))+parametros_manuales!$F$33*('Plan mensual'!J92+IF(parametros_manuales!$H$33="Todos",'Plan mensual'!J96,0))+parametros_manuales!$G$33*('Plan mensual'!J93+IF(parametros_manuales!$H$33="Todos",'Plan mensual'!J97,0)))*parametros_manuales!$I$33*parametros_manuales!$J$33</f>
        <v>18822.79407826</v>
      </c>
      <c r="I232" s="9" t="n">
        <f aca="false">(parametros_manuales!$D$33*('Plan mensual'!K90+IF(parametros_manuales!$H$33="Todos",'Plan mensual'!K94,0))+parametros_manuales!$E$33*('Plan mensual'!K91+IF(parametros_manuales!$H$33="Todos",'Plan mensual'!K95,0))+parametros_manuales!$F$33*('Plan mensual'!K92+IF(parametros_manuales!$H$33="Todos",'Plan mensual'!K96,0))+parametros_manuales!$G$33*('Plan mensual'!K93+IF(parametros_manuales!$H$33="Todos",'Plan mensual'!K97,0)))*parametros_manuales!$I$33*parametros_manuales!$J$33</f>
        <v>18822.79407826</v>
      </c>
      <c r="J232" s="9" t="n">
        <f aca="false">(parametros_manuales!$D$33*('Plan mensual'!L90+IF(parametros_manuales!$H$33="Todos",'Plan mensual'!L94,0))+parametros_manuales!$E$33*('Plan mensual'!L91+IF(parametros_manuales!$H$33="Todos",'Plan mensual'!L95,0))+parametros_manuales!$F$33*('Plan mensual'!L92+IF(parametros_manuales!$H$33="Todos",'Plan mensual'!L96,0))+parametros_manuales!$G$33*('Plan mensual'!L93+IF(parametros_manuales!$H$33="Todos",'Plan mensual'!L97,0)))*parametros_manuales!$I$33*parametros_manuales!$J$33</f>
        <v>18822.79407826</v>
      </c>
      <c r="K232" s="9" t="n">
        <f aca="false">(parametros_manuales!$D$33*('Plan mensual'!M90+IF(parametros_manuales!$H$33="Todos",'Plan mensual'!M94,0))+parametros_manuales!$E$33*('Plan mensual'!M91+IF(parametros_manuales!$H$33="Todos",'Plan mensual'!M95,0))+parametros_manuales!$F$33*('Plan mensual'!M92+IF(parametros_manuales!$H$33="Todos",'Plan mensual'!M96,0))+parametros_manuales!$G$33*('Plan mensual'!M93+IF(parametros_manuales!$H$33="Todos",'Plan mensual'!M97,0)))*parametros_manuales!$I$33*parametros_manuales!$J$33</f>
        <v>18468.524774025</v>
      </c>
      <c r="L232" s="9" t="n">
        <f aca="false">(parametros_manuales!$D$33*('Plan mensual'!N90+IF(parametros_manuales!$H$33="Todos",'Plan mensual'!N94,0))+parametros_manuales!$E$33*('Plan mensual'!N91+IF(parametros_manuales!$H$33="Todos",'Plan mensual'!N95,0))+parametros_manuales!$F$33*('Plan mensual'!N92+IF(parametros_manuales!$H$33="Todos",'Plan mensual'!N96,0))+parametros_manuales!$G$33*('Plan mensual'!N93+IF(parametros_manuales!$H$33="Todos",'Plan mensual'!N97,0)))*parametros_manuales!$I$33*parametros_manuales!$J$33</f>
        <v>18114.25546979</v>
      </c>
      <c r="M232" s="9" t="n">
        <f aca="false">(parametros_manuales!$D$33*('Plan mensual'!O90+IF(parametros_manuales!$H$33="Todos",'Plan mensual'!O94,0))+parametros_manuales!$E$33*('Plan mensual'!O91+IF(parametros_manuales!$H$33="Todos",'Plan mensual'!O95,0))+parametros_manuales!$F$33*('Plan mensual'!O92+IF(parametros_manuales!$H$33="Todos",'Plan mensual'!O96,0))+parametros_manuales!$G$33*('Plan mensual'!O93+IF(parametros_manuales!$H$33="Todos",'Plan mensual'!O97,0)))*parametros_manuales!$I$33*parametros_manuales!$J$33</f>
        <v>28841.10102997</v>
      </c>
      <c r="N232" s="9" t="n">
        <f aca="false">SUM(B232:M232)</f>
        <v>246246.996987</v>
      </c>
      <c r="O232" s="9" t="n">
        <f aca="false">MAX(B232:M232)</f>
        <v>28841.10102997</v>
      </c>
      <c r="P232" s="43" t="n">
        <f aca="false">O232/(parametros_manuales!$B$7)</f>
        <v>192.274006866467</v>
      </c>
      <c r="Q232" s="8" t="str">
        <f aca="false">IF(O232=0,"-",INDEX($B$217:$M$217,MATCH(O232,B232:M232,0)))</f>
        <v>Dic</v>
      </c>
    </row>
    <row r="233" customFormat="false" ht="14.25" hidden="false" customHeight="true" outlineLevel="0" collapsed="false">
      <c r="A233" s="8" t="str">
        <f aca="false">parametros_manuales!$B$34</f>
        <v>Granallado</v>
      </c>
      <c r="B233" s="9" t="n">
        <f aca="false">(parametros_manuales!$D$34*('Plan mensual'!D90+IF(parametros_manuales!$H$34="Todos",'Plan mensual'!D94,0))+parametros_manuales!$E$34*('Plan mensual'!D91+IF(parametros_manuales!$H$34="Todos",'Plan mensual'!D95,0))+parametros_manuales!$F$34*('Plan mensual'!D92+IF(parametros_manuales!$H$34="Todos",'Plan mensual'!D96,0))+parametros_manuales!$G$34*('Plan mensual'!D93+IF(parametros_manuales!$H$34="Todos",'Plan mensual'!D97,0)))*parametros_manuales!$I$34*parametros_manuales!$J$34</f>
        <v>28132.5624215</v>
      </c>
      <c r="C233" s="9" t="n">
        <f aca="false">(parametros_manuales!$D$34*('Plan mensual'!E90+IF(parametros_manuales!$H$34="Todos",'Plan mensual'!E94,0))+parametros_manuales!$E$34*('Plan mensual'!E91+IF(parametros_manuales!$H$34="Todos",'Plan mensual'!E95,0))+parametros_manuales!$F$34*('Plan mensual'!E92+IF(parametros_manuales!$H$34="Todos",'Plan mensual'!E96,0))+parametros_manuales!$G$34*('Plan mensual'!E93+IF(parametros_manuales!$H$34="Todos",'Plan mensual'!E97,0)))*parametros_manuales!$I$34*parametros_manuales!$J$34</f>
        <v>21453.69112036</v>
      </c>
      <c r="D233" s="9" t="n">
        <f aca="false">(parametros_manuales!$D$34*('Plan mensual'!F90+IF(parametros_manuales!$H$34="Todos",'Plan mensual'!F94,0))+parametros_manuales!$E$34*('Plan mensual'!F91+IF(parametros_manuales!$H$34="Todos",'Plan mensual'!F95,0))+parametros_manuales!$F$34*('Plan mensual'!F92+IF(parametros_manuales!$H$34="Todos",'Plan mensual'!F96,0))+parametros_manuales!$G$34*('Plan mensual'!F93+IF(parametros_manuales!$H$34="Todos",'Plan mensual'!F97,0)))*parametros_manuales!$I$34*parametros_manuales!$J$34</f>
        <v>20054.029063195</v>
      </c>
      <c r="E233" s="9" t="n">
        <f aca="false">(parametros_manuales!$D$34*('Plan mensual'!G90+IF(parametros_manuales!$H$34="Todos",'Plan mensual'!G94,0))+parametros_manuales!$E$34*('Plan mensual'!G91+IF(parametros_manuales!$H$34="Todos",'Plan mensual'!G95,0))+parametros_manuales!$F$34*('Plan mensual'!G92+IF(parametros_manuales!$H$34="Todos",'Plan mensual'!G96,0))+parametros_manuales!$G$34*('Plan mensual'!G93+IF(parametros_manuales!$H$34="Todos",'Plan mensual'!G97,0)))*parametros_manuales!$I$34*parametros_manuales!$J$34</f>
        <v>19177.063382495</v>
      </c>
      <c r="F233" s="9" t="n">
        <f aca="false">(parametros_manuales!$D$34*('Plan mensual'!H90+IF(parametros_manuales!$H$34="Todos",'Plan mensual'!H94,0))+parametros_manuales!$E$34*('Plan mensual'!H91+IF(parametros_manuales!$H$34="Todos",'Plan mensual'!H95,0))+parametros_manuales!$F$34*('Plan mensual'!H92+IF(parametros_manuales!$H$34="Todos",'Plan mensual'!H96,0))+parametros_manuales!$G$34*('Plan mensual'!H93+IF(parametros_manuales!$H$34="Todos",'Plan mensual'!H97,0)))*parametros_manuales!$I$34*parametros_manuales!$J$34</f>
        <v>17945.82839756</v>
      </c>
      <c r="G233" s="9" t="n">
        <f aca="false">(parametros_manuales!$D$34*('Plan mensual'!I90+IF(parametros_manuales!$H$34="Todos",'Plan mensual'!I94,0))+parametros_manuales!$E$34*('Plan mensual'!I91+IF(parametros_manuales!$H$34="Todos",'Plan mensual'!I95,0))+parametros_manuales!$F$34*('Plan mensual'!I92+IF(parametros_manuales!$H$34="Todos",'Plan mensual'!I96,0))+parametros_manuales!$G$34*('Plan mensual'!I93+IF(parametros_manuales!$H$34="Todos",'Plan mensual'!I97,0)))*parametros_manuales!$I$34*parametros_manuales!$J$34</f>
        <v>17591.559093325</v>
      </c>
      <c r="H233" s="9" t="n">
        <f aca="false">(parametros_manuales!$D$34*('Plan mensual'!J90+IF(parametros_manuales!$H$34="Todos",'Plan mensual'!J94,0))+parametros_manuales!$E$34*('Plan mensual'!J91+IF(parametros_manuales!$H$34="Todos",'Plan mensual'!J95,0))+parametros_manuales!$F$34*('Plan mensual'!J92+IF(parametros_manuales!$H$34="Todos",'Plan mensual'!J96,0))+parametros_manuales!$G$34*('Plan mensual'!J93+IF(parametros_manuales!$H$34="Todos",'Plan mensual'!J97,0)))*parametros_manuales!$I$34*parametros_manuales!$J$34</f>
        <v>18822.79407826</v>
      </c>
      <c r="I233" s="9" t="n">
        <f aca="false">(parametros_manuales!$D$34*('Plan mensual'!K90+IF(parametros_manuales!$H$34="Todos",'Plan mensual'!K94,0))+parametros_manuales!$E$34*('Plan mensual'!K91+IF(parametros_manuales!$H$34="Todos",'Plan mensual'!K95,0))+parametros_manuales!$F$34*('Plan mensual'!K92+IF(parametros_manuales!$H$34="Todos",'Plan mensual'!K96,0))+parametros_manuales!$G$34*('Plan mensual'!K93+IF(parametros_manuales!$H$34="Todos",'Plan mensual'!K97,0)))*parametros_manuales!$I$34*parametros_manuales!$J$34</f>
        <v>18822.79407826</v>
      </c>
      <c r="J233" s="9" t="n">
        <f aca="false">(parametros_manuales!$D$34*('Plan mensual'!L90+IF(parametros_manuales!$H$34="Todos",'Plan mensual'!L94,0))+parametros_manuales!$E$34*('Plan mensual'!L91+IF(parametros_manuales!$H$34="Todos",'Plan mensual'!L95,0))+parametros_manuales!$F$34*('Plan mensual'!L92+IF(parametros_manuales!$H$34="Todos",'Plan mensual'!L96,0))+parametros_manuales!$G$34*('Plan mensual'!L93+IF(parametros_manuales!$H$34="Todos",'Plan mensual'!L97,0)))*parametros_manuales!$I$34*parametros_manuales!$J$34</f>
        <v>18822.79407826</v>
      </c>
      <c r="K233" s="9" t="n">
        <f aca="false">(parametros_manuales!$D$34*('Plan mensual'!M90+IF(parametros_manuales!$H$34="Todos",'Plan mensual'!M94,0))+parametros_manuales!$E$34*('Plan mensual'!M91+IF(parametros_manuales!$H$34="Todos",'Plan mensual'!M95,0))+parametros_manuales!$F$34*('Plan mensual'!M92+IF(parametros_manuales!$H$34="Todos",'Plan mensual'!M96,0))+parametros_manuales!$G$34*('Plan mensual'!M93+IF(parametros_manuales!$H$34="Todos",'Plan mensual'!M97,0)))*parametros_manuales!$I$34*parametros_manuales!$J$34</f>
        <v>18468.524774025</v>
      </c>
      <c r="L233" s="9" t="n">
        <f aca="false">(parametros_manuales!$D$34*('Plan mensual'!N90+IF(parametros_manuales!$H$34="Todos",'Plan mensual'!N94,0))+parametros_manuales!$E$34*('Plan mensual'!N91+IF(parametros_manuales!$H$34="Todos",'Plan mensual'!N95,0))+parametros_manuales!$F$34*('Plan mensual'!N92+IF(parametros_manuales!$H$34="Todos",'Plan mensual'!N96,0))+parametros_manuales!$G$34*('Plan mensual'!N93+IF(parametros_manuales!$H$34="Todos",'Plan mensual'!N97,0)))*parametros_manuales!$I$34*parametros_manuales!$J$34</f>
        <v>18114.25546979</v>
      </c>
      <c r="M233" s="9" t="n">
        <f aca="false">(parametros_manuales!$D$34*('Plan mensual'!O90+IF(parametros_manuales!$H$34="Todos",'Plan mensual'!O94,0))+parametros_manuales!$E$34*('Plan mensual'!O91+IF(parametros_manuales!$H$34="Todos",'Plan mensual'!O95,0))+parametros_manuales!$F$34*('Plan mensual'!O92+IF(parametros_manuales!$H$34="Todos",'Plan mensual'!O96,0))+parametros_manuales!$G$34*('Plan mensual'!O93+IF(parametros_manuales!$H$34="Todos",'Plan mensual'!O97,0)))*parametros_manuales!$I$34*parametros_manuales!$J$34</f>
        <v>28841.10102997</v>
      </c>
      <c r="N233" s="9" t="n">
        <f aca="false">SUM(B233:M233)</f>
        <v>246246.996987</v>
      </c>
      <c r="O233" s="9" t="n">
        <f aca="false">MAX(B233:M233)</f>
        <v>28841.10102997</v>
      </c>
      <c r="P233" s="43" t="n">
        <f aca="false">O233/(parametros_manuales!$B$7)</f>
        <v>192.274006866467</v>
      </c>
      <c r="Q233" s="8" t="str">
        <f aca="false">IF(O233=0,"-",INDEX($B$217:$M$217,MATCH(O233,B233:M233,0)))</f>
        <v>Dic</v>
      </c>
    </row>
    <row r="234" customFormat="false" ht="14.25" hidden="false" customHeight="true" outlineLevel="0" collapsed="false">
      <c r="A234" s="8" t="str">
        <f aca="false">parametros_manuales!$B$35</f>
        <v>Detección de defectos</v>
      </c>
      <c r="B234" s="9" t="n">
        <f aca="false">(parametros_manuales!$D$35*('Plan mensual'!D90+IF(parametros_manuales!$H$35="Todos",'Plan mensual'!D94,0))+parametros_manuales!$E$35*('Plan mensual'!D91+IF(parametros_manuales!$H$35="Todos",'Plan mensual'!D95,0))+parametros_manuales!$F$35*('Plan mensual'!D92+IF(parametros_manuales!$H$35="Todos",'Plan mensual'!D96,0))+parametros_manuales!$G$35*('Plan mensual'!D93+IF(parametros_manuales!$H$35="Todos",'Plan mensual'!D97,0)))*parametros_manuales!$I$35*parametros_manuales!$J$35</f>
        <v>28132.5624215</v>
      </c>
      <c r="C234" s="9" t="n">
        <f aca="false">(parametros_manuales!$D$35*('Plan mensual'!E90+IF(parametros_manuales!$H$35="Todos",'Plan mensual'!E94,0))+parametros_manuales!$E$35*('Plan mensual'!E91+IF(parametros_manuales!$H$35="Todos",'Plan mensual'!E95,0))+parametros_manuales!$F$35*('Plan mensual'!E92+IF(parametros_manuales!$H$35="Todos",'Plan mensual'!E96,0))+parametros_manuales!$G$35*('Plan mensual'!E93+IF(parametros_manuales!$H$35="Todos",'Plan mensual'!E97,0)))*parametros_manuales!$I$35*parametros_manuales!$J$35</f>
        <v>21453.69112036</v>
      </c>
      <c r="D234" s="9" t="n">
        <f aca="false">(parametros_manuales!$D$35*('Plan mensual'!F90+IF(parametros_manuales!$H$35="Todos",'Plan mensual'!F94,0))+parametros_manuales!$E$35*('Plan mensual'!F91+IF(parametros_manuales!$H$35="Todos",'Plan mensual'!F95,0))+parametros_manuales!$F$35*('Plan mensual'!F92+IF(parametros_manuales!$H$35="Todos",'Plan mensual'!F96,0))+parametros_manuales!$G$35*('Plan mensual'!F93+IF(parametros_manuales!$H$35="Todos",'Plan mensual'!F97,0)))*parametros_manuales!$I$35*parametros_manuales!$J$35</f>
        <v>20054.029063195</v>
      </c>
      <c r="E234" s="9" t="n">
        <f aca="false">(parametros_manuales!$D$35*('Plan mensual'!G90+IF(parametros_manuales!$H$35="Todos",'Plan mensual'!G94,0))+parametros_manuales!$E$35*('Plan mensual'!G91+IF(parametros_manuales!$H$35="Todos",'Plan mensual'!G95,0))+parametros_manuales!$F$35*('Plan mensual'!G92+IF(parametros_manuales!$H$35="Todos",'Plan mensual'!G96,0))+parametros_manuales!$G$35*('Plan mensual'!G93+IF(parametros_manuales!$H$35="Todos",'Plan mensual'!G97,0)))*parametros_manuales!$I$35*parametros_manuales!$J$35</f>
        <v>19177.063382495</v>
      </c>
      <c r="F234" s="9" t="n">
        <f aca="false">(parametros_manuales!$D$35*('Plan mensual'!H90+IF(parametros_manuales!$H$35="Todos",'Plan mensual'!H94,0))+parametros_manuales!$E$35*('Plan mensual'!H91+IF(parametros_manuales!$H$35="Todos",'Plan mensual'!H95,0))+parametros_manuales!$F$35*('Plan mensual'!H92+IF(parametros_manuales!$H$35="Todos",'Plan mensual'!H96,0))+parametros_manuales!$G$35*('Plan mensual'!H93+IF(parametros_manuales!$H$35="Todos",'Plan mensual'!H97,0)))*parametros_manuales!$I$35*parametros_manuales!$J$35</f>
        <v>17945.82839756</v>
      </c>
      <c r="G234" s="9" t="n">
        <f aca="false">(parametros_manuales!$D$35*('Plan mensual'!I90+IF(parametros_manuales!$H$35="Todos",'Plan mensual'!I94,0))+parametros_manuales!$E$35*('Plan mensual'!I91+IF(parametros_manuales!$H$35="Todos",'Plan mensual'!I95,0))+parametros_manuales!$F$35*('Plan mensual'!I92+IF(parametros_manuales!$H$35="Todos",'Plan mensual'!I96,0))+parametros_manuales!$G$35*('Plan mensual'!I93+IF(parametros_manuales!$H$35="Todos",'Plan mensual'!I97,0)))*parametros_manuales!$I$35*parametros_manuales!$J$35</f>
        <v>17591.559093325</v>
      </c>
      <c r="H234" s="9" t="n">
        <f aca="false">(parametros_manuales!$D$35*('Plan mensual'!J90+IF(parametros_manuales!$H$35="Todos",'Plan mensual'!J94,0))+parametros_manuales!$E$35*('Plan mensual'!J91+IF(parametros_manuales!$H$35="Todos",'Plan mensual'!J95,0))+parametros_manuales!$F$35*('Plan mensual'!J92+IF(parametros_manuales!$H$35="Todos",'Plan mensual'!J96,0))+parametros_manuales!$G$35*('Plan mensual'!J93+IF(parametros_manuales!$H$35="Todos",'Plan mensual'!J97,0)))*parametros_manuales!$I$35*parametros_manuales!$J$35</f>
        <v>18822.79407826</v>
      </c>
      <c r="I234" s="9" t="n">
        <f aca="false">(parametros_manuales!$D$35*('Plan mensual'!K90+IF(parametros_manuales!$H$35="Todos",'Plan mensual'!K94,0))+parametros_manuales!$E$35*('Plan mensual'!K91+IF(parametros_manuales!$H$35="Todos",'Plan mensual'!K95,0))+parametros_manuales!$F$35*('Plan mensual'!K92+IF(parametros_manuales!$H$35="Todos",'Plan mensual'!K96,0))+parametros_manuales!$G$35*('Plan mensual'!K93+IF(parametros_manuales!$H$35="Todos",'Plan mensual'!K97,0)))*parametros_manuales!$I$35*parametros_manuales!$J$35</f>
        <v>18822.79407826</v>
      </c>
      <c r="J234" s="9" t="n">
        <f aca="false">(parametros_manuales!$D$35*('Plan mensual'!L90+IF(parametros_manuales!$H$35="Todos",'Plan mensual'!L94,0))+parametros_manuales!$E$35*('Plan mensual'!L91+IF(parametros_manuales!$H$35="Todos",'Plan mensual'!L95,0))+parametros_manuales!$F$35*('Plan mensual'!L92+IF(parametros_manuales!$H$35="Todos",'Plan mensual'!L96,0))+parametros_manuales!$G$35*('Plan mensual'!L93+IF(parametros_manuales!$H$35="Todos",'Plan mensual'!L97,0)))*parametros_manuales!$I$35*parametros_manuales!$J$35</f>
        <v>18822.79407826</v>
      </c>
      <c r="K234" s="9" t="n">
        <f aca="false">(parametros_manuales!$D$35*('Plan mensual'!M90+IF(parametros_manuales!$H$35="Todos",'Plan mensual'!M94,0))+parametros_manuales!$E$35*('Plan mensual'!M91+IF(parametros_manuales!$H$35="Todos",'Plan mensual'!M95,0))+parametros_manuales!$F$35*('Plan mensual'!M92+IF(parametros_manuales!$H$35="Todos",'Plan mensual'!M96,0))+parametros_manuales!$G$35*('Plan mensual'!M93+IF(parametros_manuales!$H$35="Todos",'Plan mensual'!M97,0)))*parametros_manuales!$I$35*parametros_manuales!$J$35</f>
        <v>18468.524774025</v>
      </c>
      <c r="L234" s="9" t="n">
        <f aca="false">(parametros_manuales!$D$35*('Plan mensual'!N90+IF(parametros_manuales!$H$35="Todos",'Plan mensual'!N94,0))+parametros_manuales!$E$35*('Plan mensual'!N91+IF(parametros_manuales!$H$35="Todos",'Plan mensual'!N95,0))+parametros_manuales!$F$35*('Plan mensual'!N92+IF(parametros_manuales!$H$35="Todos",'Plan mensual'!N96,0))+parametros_manuales!$G$35*('Plan mensual'!N93+IF(parametros_manuales!$H$35="Todos",'Plan mensual'!N97,0)))*parametros_manuales!$I$35*parametros_manuales!$J$35</f>
        <v>18114.25546979</v>
      </c>
      <c r="M234" s="9" t="n">
        <f aca="false">(parametros_manuales!$D$35*('Plan mensual'!O90+IF(parametros_manuales!$H$35="Todos",'Plan mensual'!O94,0))+parametros_manuales!$E$35*('Plan mensual'!O91+IF(parametros_manuales!$H$35="Todos",'Plan mensual'!O95,0))+parametros_manuales!$F$35*('Plan mensual'!O92+IF(parametros_manuales!$H$35="Todos",'Plan mensual'!O96,0))+parametros_manuales!$G$35*('Plan mensual'!O93+IF(parametros_manuales!$H$35="Todos",'Plan mensual'!O97,0)))*parametros_manuales!$I$35*parametros_manuales!$J$35</f>
        <v>28841.10102997</v>
      </c>
      <c r="N234" s="9" t="n">
        <f aca="false">SUM(B234:M234)</f>
        <v>246246.996987</v>
      </c>
      <c r="O234" s="9" t="n">
        <f aca="false">MAX(B234:M234)</f>
        <v>28841.10102997</v>
      </c>
      <c r="P234" s="43" t="n">
        <f aca="false">O234/(parametros_manuales!$B$7)</f>
        <v>192.274006866467</v>
      </c>
      <c r="Q234" s="8" t="str">
        <f aca="false">IF(O234=0,"-",INDEX($B$217:$M$217,MATCH(O234,B234:M234,0)))</f>
        <v>Dic</v>
      </c>
    </row>
    <row r="235" customFormat="false" ht="14.25" hidden="false" customHeight="true" outlineLevel="0" collapsed="false">
      <c r="A235" s="8" t="str">
        <f aca="false">parametros_manuales!$B$36</f>
        <v>Corrección de defectos</v>
      </c>
      <c r="B235" s="9" t="n">
        <f aca="false">(parametros_manuales!$D$36*('Plan mensual'!D90+IF(parametros_manuales!$H$36="Todos",'Plan mensual'!D94,0))+parametros_manuales!$E$36*('Plan mensual'!D91+IF(parametros_manuales!$H$36="Todos",'Plan mensual'!D95,0))+parametros_manuales!$F$36*('Plan mensual'!D92+IF(parametros_manuales!$H$36="Todos",'Plan mensual'!D96,0))+parametros_manuales!$G$36*('Plan mensual'!D93+IF(parametros_manuales!$H$36="Todos",'Plan mensual'!D97,0)))*parametros_manuales!$I$36*parametros_manuales!$J$36</f>
        <v>1406.628121075</v>
      </c>
      <c r="C235" s="9" t="n">
        <f aca="false">(parametros_manuales!$D$36*('Plan mensual'!E90+IF(parametros_manuales!$H$36="Todos",'Plan mensual'!E94,0))+parametros_manuales!$E$36*('Plan mensual'!E91+IF(parametros_manuales!$H$36="Todos",'Plan mensual'!E95,0))+parametros_manuales!$F$36*('Plan mensual'!E92+IF(parametros_manuales!$H$36="Todos",'Plan mensual'!E96,0))+parametros_manuales!$G$36*('Plan mensual'!E93+IF(parametros_manuales!$H$36="Todos",'Plan mensual'!E97,0)))*parametros_manuales!$I$36*parametros_manuales!$J$36</f>
        <v>1072.684556018</v>
      </c>
      <c r="D235" s="9" t="n">
        <f aca="false">(parametros_manuales!$D$36*('Plan mensual'!F90+IF(parametros_manuales!$H$36="Todos",'Plan mensual'!F94,0))+parametros_manuales!$E$36*('Plan mensual'!F91+IF(parametros_manuales!$H$36="Todos",'Plan mensual'!F95,0))+parametros_manuales!$F$36*('Plan mensual'!F92+IF(parametros_manuales!$H$36="Todos",'Plan mensual'!F96,0))+parametros_manuales!$G$36*('Plan mensual'!F93+IF(parametros_manuales!$H$36="Todos",'Plan mensual'!F97,0)))*parametros_manuales!$I$36*parametros_manuales!$J$36</f>
        <v>1002.70145315975</v>
      </c>
      <c r="E235" s="9" t="n">
        <f aca="false">(parametros_manuales!$D$36*('Plan mensual'!G90+IF(parametros_manuales!$H$36="Todos",'Plan mensual'!G94,0))+parametros_manuales!$E$36*('Plan mensual'!G91+IF(parametros_manuales!$H$36="Todos",'Plan mensual'!G95,0))+parametros_manuales!$F$36*('Plan mensual'!G92+IF(parametros_manuales!$H$36="Todos",'Plan mensual'!G96,0))+parametros_manuales!$G$36*('Plan mensual'!G93+IF(parametros_manuales!$H$36="Todos",'Plan mensual'!G97,0)))*parametros_manuales!$I$36*parametros_manuales!$J$36</f>
        <v>958.85316912475</v>
      </c>
      <c r="F235" s="9" t="n">
        <f aca="false">(parametros_manuales!$D$36*('Plan mensual'!H90+IF(parametros_manuales!$H$36="Todos",'Plan mensual'!H94,0))+parametros_manuales!$E$36*('Plan mensual'!H91+IF(parametros_manuales!$H$36="Todos",'Plan mensual'!H95,0))+parametros_manuales!$F$36*('Plan mensual'!H92+IF(parametros_manuales!$H$36="Todos",'Plan mensual'!H96,0))+parametros_manuales!$G$36*('Plan mensual'!H93+IF(parametros_manuales!$H$36="Todos",'Plan mensual'!H97,0)))*parametros_manuales!$I$36*parametros_manuales!$J$36</f>
        <v>897.291419878</v>
      </c>
      <c r="G235" s="9" t="n">
        <f aca="false">(parametros_manuales!$D$36*('Plan mensual'!I90+IF(parametros_manuales!$H$36="Todos",'Plan mensual'!I94,0))+parametros_manuales!$E$36*('Plan mensual'!I91+IF(parametros_manuales!$H$36="Todos",'Plan mensual'!I95,0))+parametros_manuales!$F$36*('Plan mensual'!I92+IF(parametros_manuales!$H$36="Todos",'Plan mensual'!I96,0))+parametros_manuales!$G$36*('Plan mensual'!I93+IF(parametros_manuales!$H$36="Todos",'Plan mensual'!I97,0)))*parametros_manuales!$I$36*parametros_manuales!$J$36</f>
        <v>879.57795466625</v>
      </c>
      <c r="H235" s="9" t="n">
        <f aca="false">(parametros_manuales!$D$36*('Plan mensual'!J90+IF(parametros_manuales!$H$36="Todos",'Plan mensual'!J94,0))+parametros_manuales!$E$36*('Plan mensual'!J91+IF(parametros_manuales!$H$36="Todos",'Plan mensual'!J95,0))+parametros_manuales!$F$36*('Plan mensual'!J92+IF(parametros_manuales!$H$36="Todos",'Plan mensual'!J96,0))+parametros_manuales!$G$36*('Plan mensual'!J93+IF(parametros_manuales!$H$36="Todos",'Plan mensual'!J97,0)))*parametros_manuales!$I$36*parametros_manuales!$J$36</f>
        <v>941.139703913</v>
      </c>
      <c r="I235" s="9" t="n">
        <f aca="false">(parametros_manuales!$D$36*('Plan mensual'!K90+IF(parametros_manuales!$H$36="Todos",'Plan mensual'!K94,0))+parametros_manuales!$E$36*('Plan mensual'!K91+IF(parametros_manuales!$H$36="Todos",'Plan mensual'!K95,0))+parametros_manuales!$F$36*('Plan mensual'!K92+IF(parametros_manuales!$H$36="Todos",'Plan mensual'!K96,0))+parametros_manuales!$G$36*('Plan mensual'!K93+IF(parametros_manuales!$H$36="Todos",'Plan mensual'!K97,0)))*parametros_manuales!$I$36*parametros_manuales!$J$36</f>
        <v>941.139703913</v>
      </c>
      <c r="J235" s="9" t="n">
        <f aca="false">(parametros_manuales!$D$36*('Plan mensual'!L90+IF(parametros_manuales!$H$36="Todos",'Plan mensual'!L94,0))+parametros_manuales!$E$36*('Plan mensual'!L91+IF(parametros_manuales!$H$36="Todos",'Plan mensual'!L95,0))+parametros_manuales!$F$36*('Plan mensual'!L92+IF(parametros_manuales!$H$36="Todos",'Plan mensual'!L96,0))+parametros_manuales!$G$36*('Plan mensual'!L93+IF(parametros_manuales!$H$36="Todos",'Plan mensual'!L97,0)))*parametros_manuales!$I$36*parametros_manuales!$J$36</f>
        <v>941.139703913</v>
      </c>
      <c r="K235" s="9" t="n">
        <f aca="false">(parametros_manuales!$D$36*('Plan mensual'!M90+IF(parametros_manuales!$H$36="Todos",'Plan mensual'!M94,0))+parametros_manuales!$E$36*('Plan mensual'!M91+IF(parametros_manuales!$H$36="Todos",'Plan mensual'!M95,0))+parametros_manuales!$F$36*('Plan mensual'!M92+IF(parametros_manuales!$H$36="Todos",'Plan mensual'!M96,0))+parametros_manuales!$G$36*('Plan mensual'!M93+IF(parametros_manuales!$H$36="Todos",'Plan mensual'!M97,0)))*parametros_manuales!$I$36*parametros_manuales!$J$36</f>
        <v>923.42623870125</v>
      </c>
      <c r="L235" s="9" t="n">
        <f aca="false">(parametros_manuales!$D$36*('Plan mensual'!N90+IF(parametros_manuales!$H$36="Todos",'Plan mensual'!N94,0))+parametros_manuales!$E$36*('Plan mensual'!N91+IF(parametros_manuales!$H$36="Todos",'Plan mensual'!N95,0))+parametros_manuales!$F$36*('Plan mensual'!N92+IF(parametros_manuales!$H$36="Todos",'Plan mensual'!N96,0))+parametros_manuales!$G$36*('Plan mensual'!N93+IF(parametros_manuales!$H$36="Todos",'Plan mensual'!N97,0)))*parametros_manuales!$I$36*parametros_manuales!$J$36</f>
        <v>905.7127734895</v>
      </c>
      <c r="M235" s="9" t="n">
        <f aca="false">(parametros_manuales!$D$36*('Plan mensual'!O90+IF(parametros_manuales!$H$36="Todos",'Plan mensual'!O94,0))+parametros_manuales!$E$36*('Plan mensual'!O91+IF(parametros_manuales!$H$36="Todos",'Plan mensual'!O95,0))+parametros_manuales!$F$36*('Plan mensual'!O92+IF(parametros_manuales!$H$36="Todos",'Plan mensual'!O96,0))+parametros_manuales!$G$36*('Plan mensual'!O93+IF(parametros_manuales!$H$36="Todos",'Plan mensual'!O97,0)))*parametros_manuales!$I$36*parametros_manuales!$J$36</f>
        <v>1442.0550514985</v>
      </c>
      <c r="N235" s="9" t="n">
        <f aca="false">SUM(B235:M235)</f>
        <v>12312.34984935</v>
      </c>
      <c r="O235" s="9" t="n">
        <f aca="false">MAX(B235:M235)</f>
        <v>1442.0550514985</v>
      </c>
      <c r="P235" s="43" t="n">
        <f aca="false">O235/(parametros_manuales!$B$7)</f>
        <v>9.61370034332333</v>
      </c>
      <c r="Q235" s="8" t="str">
        <f aca="false">IF(O235=0,"-",INDEX($B$217:$M$217,MATCH(O235,B235:M235,0)))</f>
        <v>Dic</v>
      </c>
    </row>
    <row r="236" customFormat="false" ht="14.25" hidden="false" customHeight="true" outlineLevel="0" collapsed="false">
      <c r="A236" s="8" t="str">
        <f aca="false">parametros_manuales!$B$37</f>
        <v>Pintura en polvo + horno</v>
      </c>
      <c r="B236" s="9" t="n">
        <f aca="false">(parametros_manuales!$D$37*('Plan mensual'!D90+IF(parametros_manuales!$H$37="Todos",'Plan mensual'!D94,0))+parametros_manuales!$E$37*('Plan mensual'!D91+IF(parametros_manuales!$H$37="Todos",'Plan mensual'!D95,0))+parametros_manuales!$F$37*('Plan mensual'!D92+IF(parametros_manuales!$H$37="Todos",'Plan mensual'!D96,0))+parametros_manuales!$G$37*('Plan mensual'!D93+IF(parametros_manuales!$H$37="Todos",'Plan mensual'!D97,0)))*parametros_manuales!$I$37*parametros_manuales!$J$37</f>
        <v>28132.5624215</v>
      </c>
      <c r="C236" s="9" t="n">
        <f aca="false">(parametros_manuales!$D$37*('Plan mensual'!E90+IF(parametros_manuales!$H$37="Todos",'Plan mensual'!E94,0))+parametros_manuales!$E$37*('Plan mensual'!E91+IF(parametros_manuales!$H$37="Todos",'Plan mensual'!E95,0))+parametros_manuales!$F$37*('Plan mensual'!E92+IF(parametros_manuales!$H$37="Todos",'Plan mensual'!E96,0))+parametros_manuales!$G$37*('Plan mensual'!E93+IF(parametros_manuales!$H$37="Todos",'Plan mensual'!E97,0)))*parametros_manuales!$I$37*parametros_manuales!$J$37</f>
        <v>21453.69112036</v>
      </c>
      <c r="D236" s="9" t="n">
        <f aca="false">(parametros_manuales!$D$37*('Plan mensual'!F90+IF(parametros_manuales!$H$37="Todos",'Plan mensual'!F94,0))+parametros_manuales!$E$37*('Plan mensual'!F91+IF(parametros_manuales!$H$37="Todos",'Plan mensual'!F95,0))+parametros_manuales!$F$37*('Plan mensual'!F92+IF(parametros_manuales!$H$37="Todos",'Plan mensual'!F96,0))+parametros_manuales!$G$37*('Plan mensual'!F93+IF(parametros_manuales!$H$37="Todos",'Plan mensual'!F97,0)))*parametros_manuales!$I$37*parametros_manuales!$J$37</f>
        <v>20054.029063195</v>
      </c>
      <c r="E236" s="9" t="n">
        <f aca="false">(parametros_manuales!$D$37*('Plan mensual'!G90+IF(parametros_manuales!$H$37="Todos",'Plan mensual'!G94,0))+parametros_manuales!$E$37*('Plan mensual'!G91+IF(parametros_manuales!$H$37="Todos",'Plan mensual'!G95,0))+parametros_manuales!$F$37*('Plan mensual'!G92+IF(parametros_manuales!$H$37="Todos",'Plan mensual'!G96,0))+parametros_manuales!$G$37*('Plan mensual'!G93+IF(parametros_manuales!$H$37="Todos",'Plan mensual'!G97,0)))*parametros_manuales!$I$37*parametros_manuales!$J$37</f>
        <v>19177.063382495</v>
      </c>
      <c r="F236" s="9" t="n">
        <f aca="false">(parametros_manuales!$D$37*('Plan mensual'!H90+IF(parametros_manuales!$H$37="Todos",'Plan mensual'!H94,0))+parametros_manuales!$E$37*('Plan mensual'!H91+IF(parametros_manuales!$H$37="Todos",'Plan mensual'!H95,0))+parametros_manuales!$F$37*('Plan mensual'!H92+IF(parametros_manuales!$H$37="Todos",'Plan mensual'!H96,0))+parametros_manuales!$G$37*('Plan mensual'!H93+IF(parametros_manuales!$H$37="Todos",'Plan mensual'!H97,0)))*parametros_manuales!$I$37*parametros_manuales!$J$37</f>
        <v>17945.82839756</v>
      </c>
      <c r="G236" s="9" t="n">
        <f aca="false">(parametros_manuales!$D$37*('Plan mensual'!I90+IF(parametros_manuales!$H$37="Todos",'Plan mensual'!I94,0))+parametros_manuales!$E$37*('Plan mensual'!I91+IF(parametros_manuales!$H$37="Todos",'Plan mensual'!I95,0))+parametros_manuales!$F$37*('Plan mensual'!I92+IF(parametros_manuales!$H$37="Todos",'Plan mensual'!I96,0))+parametros_manuales!$G$37*('Plan mensual'!I93+IF(parametros_manuales!$H$37="Todos",'Plan mensual'!I97,0)))*parametros_manuales!$I$37*parametros_manuales!$J$37</f>
        <v>17591.559093325</v>
      </c>
      <c r="H236" s="9" t="n">
        <f aca="false">(parametros_manuales!$D$37*('Plan mensual'!J90+IF(parametros_manuales!$H$37="Todos",'Plan mensual'!J94,0))+parametros_manuales!$E$37*('Plan mensual'!J91+IF(parametros_manuales!$H$37="Todos",'Plan mensual'!J95,0))+parametros_manuales!$F$37*('Plan mensual'!J92+IF(parametros_manuales!$H$37="Todos",'Plan mensual'!J96,0))+parametros_manuales!$G$37*('Plan mensual'!J93+IF(parametros_manuales!$H$37="Todos",'Plan mensual'!J97,0)))*parametros_manuales!$I$37*parametros_manuales!$J$37</f>
        <v>18822.79407826</v>
      </c>
      <c r="I236" s="9" t="n">
        <f aca="false">(parametros_manuales!$D$37*('Plan mensual'!K90+IF(parametros_manuales!$H$37="Todos",'Plan mensual'!K94,0))+parametros_manuales!$E$37*('Plan mensual'!K91+IF(parametros_manuales!$H$37="Todos",'Plan mensual'!K95,0))+parametros_manuales!$F$37*('Plan mensual'!K92+IF(parametros_manuales!$H$37="Todos",'Plan mensual'!K96,0))+parametros_manuales!$G$37*('Plan mensual'!K93+IF(parametros_manuales!$H$37="Todos",'Plan mensual'!K97,0)))*parametros_manuales!$I$37*parametros_manuales!$J$37</f>
        <v>18822.79407826</v>
      </c>
      <c r="J236" s="9" t="n">
        <f aca="false">(parametros_manuales!$D$37*('Plan mensual'!L90+IF(parametros_manuales!$H$37="Todos",'Plan mensual'!L94,0))+parametros_manuales!$E$37*('Plan mensual'!L91+IF(parametros_manuales!$H$37="Todos",'Plan mensual'!L95,0))+parametros_manuales!$F$37*('Plan mensual'!L92+IF(parametros_manuales!$H$37="Todos",'Plan mensual'!L96,0))+parametros_manuales!$G$37*('Plan mensual'!L93+IF(parametros_manuales!$H$37="Todos",'Plan mensual'!L97,0)))*parametros_manuales!$I$37*parametros_manuales!$J$37</f>
        <v>18822.79407826</v>
      </c>
      <c r="K236" s="9" t="n">
        <f aca="false">(parametros_manuales!$D$37*('Plan mensual'!M90+IF(parametros_manuales!$H$37="Todos",'Plan mensual'!M94,0))+parametros_manuales!$E$37*('Plan mensual'!M91+IF(parametros_manuales!$H$37="Todos",'Plan mensual'!M95,0))+parametros_manuales!$F$37*('Plan mensual'!M92+IF(parametros_manuales!$H$37="Todos",'Plan mensual'!M96,0))+parametros_manuales!$G$37*('Plan mensual'!M93+IF(parametros_manuales!$H$37="Todos",'Plan mensual'!M97,0)))*parametros_manuales!$I$37*parametros_manuales!$J$37</f>
        <v>18468.524774025</v>
      </c>
      <c r="L236" s="9" t="n">
        <f aca="false">(parametros_manuales!$D$37*('Plan mensual'!N90+IF(parametros_manuales!$H$37="Todos",'Plan mensual'!N94,0))+parametros_manuales!$E$37*('Plan mensual'!N91+IF(parametros_manuales!$H$37="Todos",'Plan mensual'!N95,0))+parametros_manuales!$F$37*('Plan mensual'!N92+IF(parametros_manuales!$H$37="Todos",'Plan mensual'!N96,0))+parametros_manuales!$G$37*('Plan mensual'!N93+IF(parametros_manuales!$H$37="Todos",'Plan mensual'!N97,0)))*parametros_manuales!$I$37*parametros_manuales!$J$37</f>
        <v>18114.25546979</v>
      </c>
      <c r="M236" s="9" t="n">
        <f aca="false">(parametros_manuales!$D$37*('Plan mensual'!O90+IF(parametros_manuales!$H$37="Todos",'Plan mensual'!O94,0))+parametros_manuales!$E$37*('Plan mensual'!O91+IF(parametros_manuales!$H$37="Todos",'Plan mensual'!O95,0))+parametros_manuales!$F$37*('Plan mensual'!O92+IF(parametros_manuales!$H$37="Todos",'Plan mensual'!O96,0))+parametros_manuales!$G$37*('Plan mensual'!O93+IF(parametros_manuales!$H$37="Todos",'Plan mensual'!O97,0)))*parametros_manuales!$I$37*parametros_manuales!$J$37</f>
        <v>28841.10102997</v>
      </c>
      <c r="N236" s="9" t="n">
        <f aca="false">SUM(B236:M236)</f>
        <v>246246.996987</v>
      </c>
      <c r="O236" s="9" t="n">
        <f aca="false">MAX(B236:M236)</f>
        <v>28841.10102997</v>
      </c>
      <c r="P236" s="43" t="n">
        <f aca="false">O236/(parametros_manuales!$B$7)</f>
        <v>192.274006866467</v>
      </c>
      <c r="Q236" s="8" t="str">
        <f aca="false">IF(O236=0,"-",INDEX($B$217:$M$217,MATCH(O236,B236:M236,0)))</f>
        <v>Dic</v>
      </c>
    </row>
    <row r="237" customFormat="false" ht="14.25" hidden="false" customHeight="true" outlineLevel="0" collapsed="false">
      <c r="A237" s="8" t="str">
        <f aca="false">parametros_manuales!$B$38</f>
        <v>Carga de polvo</v>
      </c>
      <c r="B237" s="9" t="n">
        <f aca="false">(parametros_manuales!$D$38*('Plan mensual'!D90+IF(parametros_manuales!$H$38="Todos",'Plan mensual'!D94,0))+parametros_manuales!$E$38*('Plan mensual'!D91+IF(parametros_manuales!$H$38="Todos",'Plan mensual'!D95,0))+parametros_manuales!$F$38*('Plan mensual'!D92+IF(parametros_manuales!$H$38="Todos",'Plan mensual'!D96,0))+parametros_manuales!$G$38*('Plan mensual'!D93+IF(parametros_manuales!$H$38="Todos",'Plan mensual'!D97,0)))*parametros_manuales!$I$38*parametros_manuales!$J$38</f>
        <v>6915.8424215</v>
      </c>
      <c r="C237" s="9" t="n">
        <f aca="false">(parametros_manuales!$D$38*('Plan mensual'!E90+IF(parametros_manuales!$H$38="Todos",'Plan mensual'!E94,0))+parametros_manuales!$E$38*('Plan mensual'!E91+IF(parametros_manuales!$H$38="Todos",'Plan mensual'!E95,0))+parametros_manuales!$F$38*('Plan mensual'!E92+IF(parametros_manuales!$H$38="Todos",'Plan mensual'!E96,0))+parametros_manuales!$G$38*('Plan mensual'!E93+IF(parametros_manuales!$H$38="Todos",'Plan mensual'!E97,0)))*parametros_manuales!$I$38*parametros_manuales!$J$38</f>
        <v>5361.23392036</v>
      </c>
      <c r="D237" s="9" t="n">
        <f aca="false">(parametros_manuales!$D$38*('Plan mensual'!F90+IF(parametros_manuales!$H$38="Todos",'Plan mensual'!F94,0))+parametros_manuales!$E$38*('Plan mensual'!F91+IF(parametros_manuales!$H$38="Todos",'Plan mensual'!F95,0))+parametros_manuales!$F$38*('Plan mensual'!F92+IF(parametros_manuales!$H$38="Todos",'Plan mensual'!F96,0))+parametros_manuales!$G$38*('Plan mensual'!F93+IF(parametros_manuales!$H$38="Todos",'Plan mensual'!F97,0)))*parametros_manuales!$I$38*parametros_manuales!$J$38</f>
        <v>5249.852663195</v>
      </c>
      <c r="E237" s="9" t="n">
        <f aca="false">(parametros_manuales!$D$38*('Plan mensual'!G90+IF(parametros_manuales!$H$38="Todos",'Plan mensual'!G94,0))+parametros_manuales!$E$38*('Plan mensual'!G91+IF(parametros_manuales!$H$38="Todos",'Plan mensual'!G95,0))+parametros_manuales!$F$38*('Plan mensual'!G92+IF(parametros_manuales!$H$38="Todos",'Plan mensual'!G96,0))+parametros_manuales!$G$38*('Plan mensual'!G93+IF(parametros_manuales!$H$38="Todos",'Plan mensual'!G97,0)))*parametros_manuales!$I$38*parametros_manuales!$J$38</f>
        <v>5106.985982495</v>
      </c>
      <c r="F237" s="9" t="n">
        <f aca="false">(parametros_manuales!$D$38*('Plan mensual'!H90+IF(parametros_manuales!$H$38="Todos",'Plan mensual'!H94,0))+parametros_manuales!$E$38*('Plan mensual'!H91+IF(parametros_manuales!$H$38="Todos",'Plan mensual'!H95,0))+parametros_manuales!$F$38*('Plan mensual'!H92+IF(parametros_manuales!$H$38="Todos",'Plan mensual'!H96,0))+parametros_manuales!$G$38*('Plan mensual'!H93+IF(parametros_manuales!$H$38="Todos",'Plan mensual'!H97,0)))*parametros_manuales!$I$38*parametros_manuales!$J$38</f>
        <v>4789.76719756</v>
      </c>
      <c r="G237" s="9" t="n">
        <f aca="false">(parametros_manuales!$D$38*('Plan mensual'!I90+IF(parametros_manuales!$H$38="Todos",'Plan mensual'!I94,0))+parametros_manuales!$E$38*('Plan mensual'!I91+IF(parametros_manuales!$H$38="Todos",'Plan mensual'!I95,0))+parametros_manuales!$F$38*('Plan mensual'!I92+IF(parametros_manuales!$H$38="Todos",'Plan mensual'!I96,0))+parametros_manuales!$G$38*('Plan mensual'!I93+IF(parametros_manuales!$H$38="Todos",'Plan mensual'!I97,0)))*parametros_manuales!$I$38*parametros_manuales!$J$38</f>
        <v>4615.415093325</v>
      </c>
      <c r="H237" s="9" t="n">
        <f aca="false">(parametros_manuales!$D$38*('Plan mensual'!J90+IF(parametros_manuales!$H$38="Todos",'Plan mensual'!J94,0))+parametros_manuales!$E$38*('Plan mensual'!J91+IF(parametros_manuales!$H$38="Todos",'Plan mensual'!J95,0))+parametros_manuales!$F$38*('Plan mensual'!J92+IF(parametros_manuales!$H$38="Todos",'Plan mensual'!J96,0))+parametros_manuales!$G$38*('Plan mensual'!J93+IF(parametros_manuales!$H$38="Todos",'Plan mensual'!J97,0)))*parametros_manuales!$I$38*parametros_manuales!$J$38</f>
        <v>4932.63387826</v>
      </c>
      <c r="I237" s="9" t="n">
        <f aca="false">(parametros_manuales!$D$38*('Plan mensual'!K90+IF(parametros_manuales!$H$38="Todos",'Plan mensual'!K94,0))+parametros_manuales!$E$38*('Plan mensual'!K91+IF(parametros_manuales!$H$38="Todos",'Plan mensual'!K95,0))+parametros_manuales!$F$38*('Plan mensual'!K92+IF(parametros_manuales!$H$38="Todos",'Plan mensual'!K96,0))+parametros_manuales!$G$38*('Plan mensual'!K93+IF(parametros_manuales!$H$38="Todos",'Plan mensual'!K97,0)))*parametros_manuales!$I$38*parametros_manuales!$J$38</f>
        <v>4932.63387826</v>
      </c>
      <c r="J237" s="9" t="n">
        <f aca="false">(parametros_manuales!$D$38*('Plan mensual'!L90+IF(parametros_manuales!$H$38="Todos",'Plan mensual'!L94,0))+parametros_manuales!$E$38*('Plan mensual'!L91+IF(parametros_manuales!$H$38="Todos",'Plan mensual'!L95,0))+parametros_manuales!$F$38*('Plan mensual'!L92+IF(parametros_manuales!$H$38="Todos",'Plan mensual'!L96,0))+parametros_manuales!$G$38*('Plan mensual'!L93+IF(parametros_manuales!$H$38="Todos",'Plan mensual'!L97,0)))*parametros_manuales!$I$38*parametros_manuales!$J$38</f>
        <v>4932.63387826</v>
      </c>
      <c r="K237" s="9" t="n">
        <f aca="false">(parametros_manuales!$D$38*('Plan mensual'!M90+IF(parametros_manuales!$H$38="Todos",'Plan mensual'!M94,0))+parametros_manuales!$E$38*('Plan mensual'!M91+IF(parametros_manuales!$H$38="Todos",'Plan mensual'!M95,0))+parametros_manuales!$F$38*('Plan mensual'!M92+IF(parametros_manuales!$H$38="Todos",'Plan mensual'!M96,0))+parametros_manuales!$G$38*('Plan mensual'!M93+IF(parametros_manuales!$H$38="Todos",'Plan mensual'!M97,0)))*parametros_manuales!$I$38*parametros_manuales!$J$38</f>
        <v>4758.281774025</v>
      </c>
      <c r="L237" s="9" t="n">
        <f aca="false">(parametros_manuales!$D$38*('Plan mensual'!N90+IF(parametros_manuales!$H$38="Todos",'Plan mensual'!N94,0))+parametros_manuales!$E$38*('Plan mensual'!N91+IF(parametros_manuales!$H$38="Todos",'Plan mensual'!N95,0))+parametros_manuales!$F$38*('Plan mensual'!N92+IF(parametros_manuales!$H$38="Todos",'Plan mensual'!N96,0))+parametros_manuales!$G$38*('Plan mensual'!N93+IF(parametros_manuales!$H$38="Todos",'Plan mensual'!N97,0)))*parametros_manuales!$I$38*parametros_manuales!$J$38</f>
        <v>4583.92966979</v>
      </c>
      <c r="M237" s="9" t="n">
        <f aca="false">(parametros_manuales!$D$38*('Plan mensual'!O90+IF(parametros_manuales!$H$38="Todos",'Plan mensual'!O94,0))+parametros_manuales!$E$38*('Plan mensual'!O91+IF(parametros_manuales!$H$38="Todos",'Plan mensual'!O95,0))+parametros_manuales!$F$38*('Plan mensual'!O92+IF(parametros_manuales!$H$38="Todos",'Plan mensual'!O96,0))+parametros_manuales!$G$38*('Plan mensual'!O93+IF(parametros_manuales!$H$38="Todos",'Plan mensual'!O97,0)))*parametros_manuales!$I$38*parametros_manuales!$J$38</f>
        <v>7264.54662997</v>
      </c>
      <c r="N237" s="9" t="n">
        <f aca="false">SUM(B237:M237)</f>
        <v>63443.756987</v>
      </c>
      <c r="O237" s="9" t="n">
        <f aca="false">MAX(B237:M237)</f>
        <v>7264.54662997</v>
      </c>
      <c r="P237" s="43" t="n">
        <f aca="false">O237/(parametros_manuales!$B$7)</f>
        <v>48.4303108664667</v>
      </c>
      <c r="Q237" s="8" t="str">
        <f aca="false">IF(O237=0,"-",INDEX($B$217:$M$217,MATCH(O237,B237:M237,0)))</f>
        <v>Dic</v>
      </c>
    </row>
    <row r="238" customFormat="false" ht="14.25" hidden="false" customHeight="true" outlineLevel="0" collapsed="false">
      <c r="A238" s="8" t="str">
        <f aca="false">parametros_manuales!$B$39</f>
        <v>Ensamblaje</v>
      </c>
      <c r="B238" s="9" t="n">
        <f aca="false">(parametros_manuales!$D$39*('Plan mensual'!D90+IF(parametros_manuales!$H$39="Todos",'Plan mensual'!D94,0))+parametros_manuales!$E$39*('Plan mensual'!D91+IF(parametros_manuales!$H$39="Todos",'Plan mensual'!D95,0))+parametros_manuales!$F$39*('Plan mensual'!D92+IF(parametros_manuales!$H$39="Todos",'Plan mensual'!D96,0))+parametros_manuales!$G$39*('Plan mensual'!D93+IF(parametros_manuales!$H$39="Todos",'Plan mensual'!D97,0)))*parametros_manuales!$I$39*parametros_manuales!$J$39</f>
        <v>6915.8424215</v>
      </c>
      <c r="C238" s="9" t="n">
        <f aca="false">(parametros_manuales!$D$39*('Plan mensual'!E90+IF(parametros_manuales!$H$39="Todos",'Plan mensual'!E94,0))+parametros_manuales!$E$39*('Plan mensual'!E91+IF(parametros_manuales!$H$39="Todos",'Plan mensual'!E95,0))+parametros_manuales!$F$39*('Plan mensual'!E92+IF(parametros_manuales!$H$39="Todos",'Plan mensual'!E96,0))+parametros_manuales!$G$39*('Plan mensual'!E93+IF(parametros_manuales!$H$39="Todos",'Plan mensual'!E97,0)))*parametros_manuales!$I$39*parametros_manuales!$J$39</f>
        <v>5361.23392036</v>
      </c>
      <c r="D238" s="9" t="n">
        <f aca="false">(parametros_manuales!$D$39*('Plan mensual'!F90+IF(parametros_manuales!$H$39="Todos",'Plan mensual'!F94,0))+parametros_manuales!$E$39*('Plan mensual'!F91+IF(parametros_manuales!$H$39="Todos",'Plan mensual'!F95,0))+parametros_manuales!$F$39*('Plan mensual'!F92+IF(parametros_manuales!$H$39="Todos",'Plan mensual'!F96,0))+parametros_manuales!$G$39*('Plan mensual'!F93+IF(parametros_manuales!$H$39="Todos",'Plan mensual'!F97,0)))*parametros_manuales!$I$39*parametros_manuales!$J$39</f>
        <v>5249.852663195</v>
      </c>
      <c r="E238" s="9" t="n">
        <f aca="false">(parametros_manuales!$D$39*('Plan mensual'!G90+IF(parametros_manuales!$H$39="Todos",'Plan mensual'!G94,0))+parametros_manuales!$E$39*('Plan mensual'!G91+IF(parametros_manuales!$H$39="Todos",'Plan mensual'!G95,0))+parametros_manuales!$F$39*('Plan mensual'!G92+IF(parametros_manuales!$H$39="Todos",'Plan mensual'!G96,0))+parametros_manuales!$G$39*('Plan mensual'!G93+IF(parametros_manuales!$H$39="Todos",'Plan mensual'!G97,0)))*parametros_manuales!$I$39*parametros_manuales!$J$39</f>
        <v>5106.985982495</v>
      </c>
      <c r="F238" s="9" t="n">
        <f aca="false">(parametros_manuales!$D$39*('Plan mensual'!H90+IF(parametros_manuales!$H$39="Todos",'Plan mensual'!H94,0))+parametros_manuales!$E$39*('Plan mensual'!H91+IF(parametros_manuales!$H$39="Todos",'Plan mensual'!H95,0))+parametros_manuales!$F$39*('Plan mensual'!H92+IF(parametros_manuales!$H$39="Todos",'Plan mensual'!H96,0))+parametros_manuales!$G$39*('Plan mensual'!H93+IF(parametros_manuales!$H$39="Todos",'Plan mensual'!H97,0)))*parametros_manuales!$I$39*parametros_manuales!$J$39</f>
        <v>4789.76719756</v>
      </c>
      <c r="G238" s="9" t="n">
        <f aca="false">(parametros_manuales!$D$39*('Plan mensual'!I90+IF(parametros_manuales!$H$39="Todos",'Plan mensual'!I94,0))+parametros_manuales!$E$39*('Plan mensual'!I91+IF(parametros_manuales!$H$39="Todos",'Plan mensual'!I95,0))+parametros_manuales!$F$39*('Plan mensual'!I92+IF(parametros_manuales!$H$39="Todos",'Plan mensual'!I96,0))+parametros_manuales!$G$39*('Plan mensual'!I93+IF(parametros_manuales!$H$39="Todos",'Plan mensual'!I97,0)))*parametros_manuales!$I$39*parametros_manuales!$J$39</f>
        <v>4615.415093325</v>
      </c>
      <c r="H238" s="9" t="n">
        <f aca="false">(parametros_manuales!$D$39*('Plan mensual'!J90+IF(parametros_manuales!$H$39="Todos",'Plan mensual'!J94,0))+parametros_manuales!$E$39*('Plan mensual'!J91+IF(parametros_manuales!$H$39="Todos",'Plan mensual'!J95,0))+parametros_manuales!$F$39*('Plan mensual'!J92+IF(parametros_manuales!$H$39="Todos",'Plan mensual'!J96,0))+parametros_manuales!$G$39*('Plan mensual'!J93+IF(parametros_manuales!$H$39="Todos",'Plan mensual'!J97,0)))*parametros_manuales!$I$39*parametros_manuales!$J$39</f>
        <v>4932.63387826</v>
      </c>
      <c r="I238" s="9" t="n">
        <f aca="false">(parametros_manuales!$D$39*('Plan mensual'!K90+IF(parametros_manuales!$H$39="Todos",'Plan mensual'!K94,0))+parametros_manuales!$E$39*('Plan mensual'!K91+IF(parametros_manuales!$H$39="Todos",'Plan mensual'!K95,0))+parametros_manuales!$F$39*('Plan mensual'!K92+IF(parametros_manuales!$H$39="Todos",'Plan mensual'!K96,0))+parametros_manuales!$G$39*('Plan mensual'!K93+IF(parametros_manuales!$H$39="Todos",'Plan mensual'!K97,0)))*parametros_manuales!$I$39*parametros_manuales!$J$39</f>
        <v>4932.63387826</v>
      </c>
      <c r="J238" s="9" t="n">
        <f aca="false">(parametros_manuales!$D$39*('Plan mensual'!L90+IF(parametros_manuales!$H$39="Todos",'Plan mensual'!L94,0))+parametros_manuales!$E$39*('Plan mensual'!L91+IF(parametros_manuales!$H$39="Todos",'Plan mensual'!L95,0))+parametros_manuales!$F$39*('Plan mensual'!L92+IF(parametros_manuales!$H$39="Todos",'Plan mensual'!L96,0))+parametros_manuales!$G$39*('Plan mensual'!L93+IF(parametros_manuales!$H$39="Todos",'Plan mensual'!L97,0)))*parametros_manuales!$I$39*parametros_manuales!$J$39</f>
        <v>4932.63387826</v>
      </c>
      <c r="K238" s="9" t="n">
        <f aca="false">(parametros_manuales!$D$39*('Plan mensual'!M90+IF(parametros_manuales!$H$39="Todos",'Plan mensual'!M94,0))+parametros_manuales!$E$39*('Plan mensual'!M91+IF(parametros_manuales!$H$39="Todos",'Plan mensual'!M95,0))+parametros_manuales!$F$39*('Plan mensual'!M92+IF(parametros_manuales!$H$39="Todos",'Plan mensual'!M96,0))+parametros_manuales!$G$39*('Plan mensual'!M93+IF(parametros_manuales!$H$39="Todos",'Plan mensual'!M97,0)))*parametros_manuales!$I$39*parametros_manuales!$J$39</f>
        <v>4758.281774025</v>
      </c>
      <c r="L238" s="9" t="n">
        <f aca="false">(parametros_manuales!$D$39*('Plan mensual'!N90+IF(parametros_manuales!$H$39="Todos",'Plan mensual'!N94,0))+parametros_manuales!$E$39*('Plan mensual'!N91+IF(parametros_manuales!$H$39="Todos",'Plan mensual'!N95,0))+parametros_manuales!$F$39*('Plan mensual'!N92+IF(parametros_manuales!$H$39="Todos",'Plan mensual'!N96,0))+parametros_manuales!$G$39*('Plan mensual'!N93+IF(parametros_manuales!$H$39="Todos",'Plan mensual'!N97,0)))*parametros_manuales!$I$39*parametros_manuales!$J$39</f>
        <v>4583.92966979</v>
      </c>
      <c r="M238" s="9" t="n">
        <f aca="false">(parametros_manuales!$D$39*('Plan mensual'!O90+IF(parametros_manuales!$H$39="Todos",'Plan mensual'!O94,0))+parametros_manuales!$E$39*('Plan mensual'!O91+IF(parametros_manuales!$H$39="Todos",'Plan mensual'!O95,0))+parametros_manuales!$F$39*('Plan mensual'!O92+IF(parametros_manuales!$H$39="Todos",'Plan mensual'!O96,0))+parametros_manuales!$G$39*('Plan mensual'!O93+IF(parametros_manuales!$H$39="Todos",'Plan mensual'!O97,0)))*parametros_manuales!$I$39*parametros_manuales!$J$39</f>
        <v>7264.54662997</v>
      </c>
      <c r="N238" s="9" t="n">
        <f aca="false">SUM(B238:M238)</f>
        <v>63443.756987</v>
      </c>
      <c r="O238" s="9" t="n">
        <f aca="false">MAX(B238:M238)</f>
        <v>7264.54662997</v>
      </c>
      <c r="P238" s="43" t="n">
        <f aca="false">O238/(parametros_manuales!$B$7)</f>
        <v>48.4303108664667</v>
      </c>
      <c r="Q238" s="8" t="str">
        <f aca="false">IF(O238=0,"-",INDEX($B$217:$M$217,MATCH(O238,B238:M238,0)))</f>
        <v>Dic</v>
      </c>
    </row>
    <row r="239" customFormat="false" ht="14.25" hidden="false" customHeight="true" outlineLevel="0" collapsed="false">
      <c r="A239" s="8" t="str">
        <f aca="false">parametros_manuales!$B$40</f>
        <v>Presurización</v>
      </c>
      <c r="B239" s="9" t="n">
        <f aca="false">(parametros_manuales!$D$40*('Plan mensual'!D90+IF(parametros_manuales!$H$40="Todos",'Plan mensual'!D94,0))+parametros_manuales!$E$40*('Plan mensual'!D91+IF(parametros_manuales!$H$40="Todos",'Plan mensual'!D95,0))+parametros_manuales!$F$40*('Plan mensual'!D92+IF(parametros_manuales!$H$40="Todos",'Plan mensual'!D96,0))+parametros_manuales!$G$40*('Plan mensual'!D93+IF(parametros_manuales!$H$40="Todos",'Plan mensual'!D97,0)))*parametros_manuales!$I$40*parametros_manuales!$J$40</f>
        <v>6915.8424215</v>
      </c>
      <c r="C239" s="9" t="n">
        <f aca="false">(parametros_manuales!$D$40*('Plan mensual'!E90+IF(parametros_manuales!$H$40="Todos",'Plan mensual'!E94,0))+parametros_manuales!$E$40*('Plan mensual'!E91+IF(parametros_manuales!$H$40="Todos",'Plan mensual'!E95,0))+parametros_manuales!$F$40*('Plan mensual'!E92+IF(parametros_manuales!$H$40="Todos",'Plan mensual'!E96,0))+parametros_manuales!$G$40*('Plan mensual'!E93+IF(parametros_manuales!$H$40="Todos",'Plan mensual'!E97,0)))*parametros_manuales!$I$40*parametros_manuales!$J$40</f>
        <v>5361.23392036</v>
      </c>
      <c r="D239" s="9" t="n">
        <f aca="false">(parametros_manuales!$D$40*('Plan mensual'!F90+IF(parametros_manuales!$H$40="Todos",'Plan mensual'!F94,0))+parametros_manuales!$E$40*('Plan mensual'!F91+IF(parametros_manuales!$H$40="Todos",'Plan mensual'!F95,0))+parametros_manuales!$F$40*('Plan mensual'!F92+IF(parametros_manuales!$H$40="Todos",'Plan mensual'!F96,0))+parametros_manuales!$G$40*('Plan mensual'!F93+IF(parametros_manuales!$H$40="Todos",'Plan mensual'!F97,0)))*parametros_manuales!$I$40*parametros_manuales!$J$40</f>
        <v>5249.852663195</v>
      </c>
      <c r="E239" s="9" t="n">
        <f aca="false">(parametros_manuales!$D$40*('Plan mensual'!G90+IF(parametros_manuales!$H$40="Todos",'Plan mensual'!G94,0))+parametros_manuales!$E$40*('Plan mensual'!G91+IF(parametros_manuales!$H$40="Todos",'Plan mensual'!G95,0))+parametros_manuales!$F$40*('Plan mensual'!G92+IF(parametros_manuales!$H$40="Todos",'Plan mensual'!G96,0))+parametros_manuales!$G$40*('Plan mensual'!G93+IF(parametros_manuales!$H$40="Todos",'Plan mensual'!G97,0)))*parametros_manuales!$I$40*parametros_manuales!$J$40</f>
        <v>5106.985982495</v>
      </c>
      <c r="F239" s="9" t="n">
        <f aca="false">(parametros_manuales!$D$40*('Plan mensual'!H90+IF(parametros_manuales!$H$40="Todos",'Plan mensual'!H94,0))+parametros_manuales!$E$40*('Plan mensual'!H91+IF(parametros_manuales!$H$40="Todos",'Plan mensual'!H95,0))+parametros_manuales!$F$40*('Plan mensual'!H92+IF(parametros_manuales!$H$40="Todos",'Plan mensual'!H96,0))+parametros_manuales!$G$40*('Plan mensual'!H93+IF(parametros_manuales!$H$40="Todos",'Plan mensual'!H97,0)))*parametros_manuales!$I$40*parametros_manuales!$J$40</f>
        <v>4789.76719756</v>
      </c>
      <c r="G239" s="9" t="n">
        <f aca="false">(parametros_manuales!$D$40*('Plan mensual'!I90+IF(parametros_manuales!$H$40="Todos",'Plan mensual'!I94,0))+parametros_manuales!$E$40*('Plan mensual'!I91+IF(parametros_manuales!$H$40="Todos",'Plan mensual'!I95,0))+parametros_manuales!$F$40*('Plan mensual'!I92+IF(parametros_manuales!$H$40="Todos",'Plan mensual'!I96,0))+parametros_manuales!$G$40*('Plan mensual'!I93+IF(parametros_manuales!$H$40="Todos",'Plan mensual'!I97,0)))*parametros_manuales!$I$40*parametros_manuales!$J$40</f>
        <v>4615.415093325</v>
      </c>
      <c r="H239" s="9" t="n">
        <f aca="false">(parametros_manuales!$D$40*('Plan mensual'!J90+IF(parametros_manuales!$H$40="Todos",'Plan mensual'!J94,0))+parametros_manuales!$E$40*('Plan mensual'!J91+IF(parametros_manuales!$H$40="Todos",'Plan mensual'!J95,0))+parametros_manuales!$F$40*('Plan mensual'!J92+IF(parametros_manuales!$H$40="Todos",'Plan mensual'!J96,0))+parametros_manuales!$G$40*('Plan mensual'!J93+IF(parametros_manuales!$H$40="Todos",'Plan mensual'!J97,0)))*parametros_manuales!$I$40*parametros_manuales!$J$40</f>
        <v>4932.63387826</v>
      </c>
      <c r="I239" s="9" t="n">
        <f aca="false">(parametros_manuales!$D$40*('Plan mensual'!K90+IF(parametros_manuales!$H$40="Todos",'Plan mensual'!K94,0))+parametros_manuales!$E$40*('Plan mensual'!K91+IF(parametros_manuales!$H$40="Todos",'Plan mensual'!K95,0))+parametros_manuales!$F$40*('Plan mensual'!K92+IF(parametros_manuales!$H$40="Todos",'Plan mensual'!K96,0))+parametros_manuales!$G$40*('Plan mensual'!K93+IF(parametros_manuales!$H$40="Todos",'Plan mensual'!K97,0)))*parametros_manuales!$I$40*parametros_manuales!$J$40</f>
        <v>4932.63387826</v>
      </c>
      <c r="J239" s="9" t="n">
        <f aca="false">(parametros_manuales!$D$40*('Plan mensual'!L90+IF(parametros_manuales!$H$40="Todos",'Plan mensual'!L94,0))+parametros_manuales!$E$40*('Plan mensual'!L91+IF(parametros_manuales!$H$40="Todos",'Plan mensual'!L95,0))+parametros_manuales!$F$40*('Plan mensual'!L92+IF(parametros_manuales!$H$40="Todos",'Plan mensual'!L96,0))+parametros_manuales!$G$40*('Plan mensual'!L93+IF(parametros_manuales!$H$40="Todos",'Plan mensual'!L97,0)))*parametros_manuales!$I$40*parametros_manuales!$J$40</f>
        <v>4932.63387826</v>
      </c>
      <c r="K239" s="9" t="n">
        <f aca="false">(parametros_manuales!$D$40*('Plan mensual'!M90+IF(parametros_manuales!$H$40="Todos",'Plan mensual'!M94,0))+parametros_manuales!$E$40*('Plan mensual'!M91+IF(parametros_manuales!$H$40="Todos",'Plan mensual'!M95,0))+parametros_manuales!$F$40*('Plan mensual'!M92+IF(parametros_manuales!$H$40="Todos",'Plan mensual'!M96,0))+parametros_manuales!$G$40*('Plan mensual'!M93+IF(parametros_manuales!$H$40="Todos",'Plan mensual'!M97,0)))*parametros_manuales!$I$40*parametros_manuales!$J$40</f>
        <v>4758.281774025</v>
      </c>
      <c r="L239" s="9" t="n">
        <f aca="false">(parametros_manuales!$D$40*('Plan mensual'!N90+IF(parametros_manuales!$H$40="Todos",'Plan mensual'!N94,0))+parametros_manuales!$E$40*('Plan mensual'!N91+IF(parametros_manuales!$H$40="Todos",'Plan mensual'!N95,0))+parametros_manuales!$F$40*('Plan mensual'!N92+IF(parametros_manuales!$H$40="Todos",'Plan mensual'!N96,0))+parametros_manuales!$G$40*('Plan mensual'!N93+IF(parametros_manuales!$H$40="Todos",'Plan mensual'!N97,0)))*parametros_manuales!$I$40*parametros_manuales!$J$40</f>
        <v>4583.92966979</v>
      </c>
      <c r="M239" s="9" t="n">
        <f aca="false">(parametros_manuales!$D$40*('Plan mensual'!O90+IF(parametros_manuales!$H$40="Todos",'Plan mensual'!O94,0))+parametros_manuales!$E$40*('Plan mensual'!O91+IF(parametros_manuales!$H$40="Todos",'Plan mensual'!O95,0))+parametros_manuales!$F$40*('Plan mensual'!O92+IF(parametros_manuales!$H$40="Todos",'Plan mensual'!O96,0))+parametros_manuales!$G$40*('Plan mensual'!O93+IF(parametros_manuales!$H$40="Todos",'Plan mensual'!O97,0)))*parametros_manuales!$I$40*parametros_manuales!$J$40</f>
        <v>7264.54662997</v>
      </c>
      <c r="N239" s="9" t="n">
        <f aca="false">SUM(B239:M239)</f>
        <v>63443.756987</v>
      </c>
      <c r="O239" s="9" t="n">
        <f aca="false">MAX(B239:M239)</f>
        <v>7264.54662997</v>
      </c>
      <c r="P239" s="43" t="n">
        <f aca="false">O239/(parametros_manuales!$B$7)</f>
        <v>48.4303108664667</v>
      </c>
      <c r="Q239" s="8" t="str">
        <f aca="false">IF(O239=0,"-",INDEX($B$217:$M$217,MATCH(O239,B239:M239,0)))</f>
        <v>Dic</v>
      </c>
    </row>
    <row r="240" customFormat="false" ht="14.25" hidden="false" customHeight="true" outlineLevel="0" collapsed="false">
      <c r="A240" s="8" t="str">
        <f aca="false">parametros_manuales!$B$41</f>
        <v>Control de calidad — Ensayo de pérdidas</v>
      </c>
      <c r="B240" s="9" t="n">
        <f aca="false">(parametros_manuales!$D$41*('Plan mensual'!D90+IF(parametros_manuales!$H$41="Todos",'Plan mensual'!D94,0))+parametros_manuales!$E$41*('Plan mensual'!D91+IF(parametros_manuales!$H$41="Todos",'Plan mensual'!D95,0))+parametros_manuales!$F$41*('Plan mensual'!D92+IF(parametros_manuales!$H$41="Todos",'Plan mensual'!D96,0))+parametros_manuales!$G$41*('Plan mensual'!D93+IF(parametros_manuales!$H$41="Todos",'Plan mensual'!D97,0)))*parametros_manuales!$I$41*parametros_manuales!$J$41</f>
        <v>6915.8424215</v>
      </c>
      <c r="C240" s="9" t="n">
        <f aca="false">(parametros_manuales!$D$41*('Plan mensual'!E90+IF(parametros_manuales!$H$41="Todos",'Plan mensual'!E94,0))+parametros_manuales!$E$41*('Plan mensual'!E91+IF(parametros_manuales!$H$41="Todos",'Plan mensual'!E95,0))+parametros_manuales!$F$41*('Plan mensual'!E92+IF(parametros_manuales!$H$41="Todos",'Plan mensual'!E96,0))+parametros_manuales!$G$41*('Plan mensual'!E93+IF(parametros_manuales!$H$41="Todos",'Plan mensual'!E97,0)))*parametros_manuales!$I$41*parametros_manuales!$J$41</f>
        <v>5361.23392036</v>
      </c>
      <c r="D240" s="9" t="n">
        <f aca="false">(parametros_manuales!$D$41*('Plan mensual'!F90+IF(parametros_manuales!$H$41="Todos",'Plan mensual'!F94,0))+parametros_manuales!$E$41*('Plan mensual'!F91+IF(parametros_manuales!$H$41="Todos",'Plan mensual'!F95,0))+parametros_manuales!$F$41*('Plan mensual'!F92+IF(parametros_manuales!$H$41="Todos",'Plan mensual'!F96,0))+parametros_manuales!$G$41*('Plan mensual'!F93+IF(parametros_manuales!$H$41="Todos",'Plan mensual'!F97,0)))*parametros_manuales!$I$41*parametros_manuales!$J$41</f>
        <v>5249.852663195</v>
      </c>
      <c r="E240" s="9" t="n">
        <f aca="false">(parametros_manuales!$D$41*('Plan mensual'!G90+IF(parametros_manuales!$H$41="Todos",'Plan mensual'!G94,0))+parametros_manuales!$E$41*('Plan mensual'!G91+IF(parametros_manuales!$H$41="Todos",'Plan mensual'!G95,0))+parametros_manuales!$F$41*('Plan mensual'!G92+IF(parametros_manuales!$H$41="Todos",'Plan mensual'!G96,0))+parametros_manuales!$G$41*('Plan mensual'!G93+IF(parametros_manuales!$H$41="Todos",'Plan mensual'!G97,0)))*parametros_manuales!$I$41*parametros_manuales!$J$41</f>
        <v>5106.985982495</v>
      </c>
      <c r="F240" s="9" t="n">
        <f aca="false">(parametros_manuales!$D$41*('Plan mensual'!H90+IF(parametros_manuales!$H$41="Todos",'Plan mensual'!H94,0))+parametros_manuales!$E$41*('Plan mensual'!H91+IF(parametros_manuales!$H$41="Todos",'Plan mensual'!H95,0))+parametros_manuales!$F$41*('Plan mensual'!H92+IF(parametros_manuales!$H$41="Todos",'Plan mensual'!H96,0))+parametros_manuales!$G$41*('Plan mensual'!H93+IF(parametros_manuales!$H$41="Todos",'Plan mensual'!H97,0)))*parametros_manuales!$I$41*parametros_manuales!$J$41</f>
        <v>4789.76719756</v>
      </c>
      <c r="G240" s="9" t="n">
        <f aca="false">(parametros_manuales!$D$41*('Plan mensual'!I90+IF(parametros_manuales!$H$41="Todos",'Plan mensual'!I94,0))+parametros_manuales!$E$41*('Plan mensual'!I91+IF(parametros_manuales!$H$41="Todos",'Plan mensual'!I95,0))+parametros_manuales!$F$41*('Plan mensual'!I92+IF(parametros_manuales!$H$41="Todos",'Plan mensual'!I96,0))+parametros_manuales!$G$41*('Plan mensual'!I93+IF(parametros_manuales!$H$41="Todos",'Plan mensual'!I97,0)))*parametros_manuales!$I$41*parametros_manuales!$J$41</f>
        <v>4615.415093325</v>
      </c>
      <c r="H240" s="9" t="n">
        <f aca="false">(parametros_manuales!$D$41*('Plan mensual'!J90+IF(parametros_manuales!$H$41="Todos",'Plan mensual'!J94,0))+parametros_manuales!$E$41*('Plan mensual'!J91+IF(parametros_manuales!$H$41="Todos",'Plan mensual'!J95,0))+parametros_manuales!$F$41*('Plan mensual'!J92+IF(parametros_manuales!$H$41="Todos",'Plan mensual'!J96,0))+parametros_manuales!$G$41*('Plan mensual'!J93+IF(parametros_manuales!$H$41="Todos",'Plan mensual'!J97,0)))*parametros_manuales!$I$41*parametros_manuales!$J$41</f>
        <v>4932.63387826</v>
      </c>
      <c r="I240" s="9" t="n">
        <f aca="false">(parametros_manuales!$D$41*('Plan mensual'!K90+IF(parametros_manuales!$H$41="Todos",'Plan mensual'!K94,0))+parametros_manuales!$E$41*('Plan mensual'!K91+IF(parametros_manuales!$H$41="Todos",'Plan mensual'!K95,0))+parametros_manuales!$F$41*('Plan mensual'!K92+IF(parametros_manuales!$H$41="Todos",'Plan mensual'!K96,0))+parametros_manuales!$G$41*('Plan mensual'!K93+IF(parametros_manuales!$H$41="Todos",'Plan mensual'!K97,0)))*parametros_manuales!$I$41*parametros_manuales!$J$41</f>
        <v>4932.63387826</v>
      </c>
      <c r="J240" s="9" t="n">
        <f aca="false">(parametros_manuales!$D$41*('Plan mensual'!L90+IF(parametros_manuales!$H$41="Todos",'Plan mensual'!L94,0))+parametros_manuales!$E$41*('Plan mensual'!L91+IF(parametros_manuales!$H$41="Todos",'Plan mensual'!L95,0))+parametros_manuales!$F$41*('Plan mensual'!L92+IF(parametros_manuales!$H$41="Todos",'Plan mensual'!L96,0))+parametros_manuales!$G$41*('Plan mensual'!L93+IF(parametros_manuales!$H$41="Todos",'Plan mensual'!L97,0)))*parametros_manuales!$I$41*parametros_manuales!$J$41</f>
        <v>4932.63387826</v>
      </c>
      <c r="K240" s="9" t="n">
        <f aca="false">(parametros_manuales!$D$41*('Plan mensual'!M90+IF(parametros_manuales!$H$41="Todos",'Plan mensual'!M94,0))+parametros_manuales!$E$41*('Plan mensual'!M91+IF(parametros_manuales!$H$41="Todos",'Plan mensual'!M95,0))+parametros_manuales!$F$41*('Plan mensual'!M92+IF(parametros_manuales!$H$41="Todos",'Plan mensual'!M96,0))+parametros_manuales!$G$41*('Plan mensual'!M93+IF(parametros_manuales!$H$41="Todos",'Plan mensual'!M97,0)))*parametros_manuales!$I$41*parametros_manuales!$J$41</f>
        <v>4758.281774025</v>
      </c>
      <c r="L240" s="9" t="n">
        <f aca="false">(parametros_manuales!$D$41*('Plan mensual'!N90+IF(parametros_manuales!$H$41="Todos",'Plan mensual'!N94,0))+parametros_manuales!$E$41*('Plan mensual'!N91+IF(parametros_manuales!$H$41="Todos",'Plan mensual'!N95,0))+parametros_manuales!$F$41*('Plan mensual'!N92+IF(parametros_manuales!$H$41="Todos",'Plan mensual'!N96,0))+parametros_manuales!$G$41*('Plan mensual'!N93+IF(parametros_manuales!$H$41="Todos",'Plan mensual'!N97,0)))*parametros_manuales!$I$41*parametros_manuales!$J$41</f>
        <v>4583.92966979</v>
      </c>
      <c r="M240" s="9" t="n">
        <f aca="false">(parametros_manuales!$D$41*('Plan mensual'!O90+IF(parametros_manuales!$H$41="Todos",'Plan mensual'!O94,0))+parametros_manuales!$E$41*('Plan mensual'!O91+IF(parametros_manuales!$H$41="Todos",'Plan mensual'!O95,0))+parametros_manuales!$F$41*('Plan mensual'!O92+IF(parametros_manuales!$H$41="Todos",'Plan mensual'!O96,0))+parametros_manuales!$G$41*('Plan mensual'!O93+IF(parametros_manuales!$H$41="Todos",'Plan mensual'!O97,0)))*parametros_manuales!$I$41*parametros_manuales!$J$41</f>
        <v>7264.54662997</v>
      </c>
      <c r="N240" s="9" t="n">
        <f aca="false">SUM(B240:M240)</f>
        <v>63443.756987</v>
      </c>
      <c r="O240" s="9" t="n">
        <f aca="false">MAX(B240:M240)</f>
        <v>7264.54662997</v>
      </c>
      <c r="P240" s="43" t="n">
        <f aca="false">O240/(parametros_manuales!$B$7)</f>
        <v>48.4303108664667</v>
      </c>
      <c r="Q240" s="8" t="str">
        <f aca="false">IF(O240=0,"-",INDEX($B$217:$M$217,MATCH(O240,B240:M240,0)))</f>
        <v>Dic</v>
      </c>
    </row>
    <row r="241" customFormat="false" ht="14.25" hidden="false" customHeight="true" outlineLevel="0" collapsed="false">
      <c r="A241" s="8" t="str">
        <f aca="false">parametros_manuales!$B$42</f>
        <v>Etiquetado</v>
      </c>
      <c r="B241" s="9" t="n">
        <f aca="false">(parametros_manuales!$D$42*('Plan mensual'!D90+IF(parametros_manuales!$H$42="Todos",'Plan mensual'!D94,0))+parametros_manuales!$E$42*('Plan mensual'!D91+IF(parametros_manuales!$H$42="Todos",'Plan mensual'!D95,0))+parametros_manuales!$F$42*('Plan mensual'!D92+IF(parametros_manuales!$H$42="Todos",'Plan mensual'!D96,0))+parametros_manuales!$G$42*('Plan mensual'!D93+IF(parametros_manuales!$H$42="Todos",'Plan mensual'!D97,0)))*parametros_manuales!$I$42*parametros_manuales!$J$42</f>
        <v>6915.8424215</v>
      </c>
      <c r="C241" s="9" t="n">
        <f aca="false">(parametros_manuales!$D$42*('Plan mensual'!E90+IF(parametros_manuales!$H$42="Todos",'Plan mensual'!E94,0))+parametros_manuales!$E$42*('Plan mensual'!E91+IF(parametros_manuales!$H$42="Todos",'Plan mensual'!E95,0))+parametros_manuales!$F$42*('Plan mensual'!E92+IF(parametros_manuales!$H$42="Todos",'Plan mensual'!E96,0))+parametros_manuales!$G$42*('Plan mensual'!E93+IF(parametros_manuales!$H$42="Todos",'Plan mensual'!E97,0)))*parametros_manuales!$I$42*parametros_manuales!$J$42</f>
        <v>5361.23392036</v>
      </c>
      <c r="D241" s="9" t="n">
        <f aca="false">(parametros_manuales!$D$42*('Plan mensual'!F90+IF(parametros_manuales!$H$42="Todos",'Plan mensual'!F94,0))+parametros_manuales!$E$42*('Plan mensual'!F91+IF(parametros_manuales!$H$42="Todos",'Plan mensual'!F95,0))+parametros_manuales!$F$42*('Plan mensual'!F92+IF(parametros_manuales!$H$42="Todos",'Plan mensual'!F96,0))+parametros_manuales!$G$42*('Plan mensual'!F93+IF(parametros_manuales!$H$42="Todos",'Plan mensual'!F97,0)))*parametros_manuales!$I$42*parametros_manuales!$J$42</f>
        <v>5249.852663195</v>
      </c>
      <c r="E241" s="9" t="n">
        <f aca="false">(parametros_manuales!$D$42*('Plan mensual'!G90+IF(parametros_manuales!$H$42="Todos",'Plan mensual'!G94,0))+parametros_manuales!$E$42*('Plan mensual'!G91+IF(parametros_manuales!$H$42="Todos",'Plan mensual'!G95,0))+parametros_manuales!$F$42*('Plan mensual'!G92+IF(parametros_manuales!$H$42="Todos",'Plan mensual'!G96,0))+parametros_manuales!$G$42*('Plan mensual'!G93+IF(parametros_manuales!$H$42="Todos",'Plan mensual'!G97,0)))*parametros_manuales!$I$42*parametros_manuales!$J$42</f>
        <v>5106.985982495</v>
      </c>
      <c r="F241" s="9" t="n">
        <f aca="false">(parametros_manuales!$D$42*('Plan mensual'!H90+IF(parametros_manuales!$H$42="Todos",'Plan mensual'!H94,0))+parametros_manuales!$E$42*('Plan mensual'!H91+IF(parametros_manuales!$H$42="Todos",'Plan mensual'!H95,0))+parametros_manuales!$F$42*('Plan mensual'!H92+IF(parametros_manuales!$H$42="Todos",'Plan mensual'!H96,0))+parametros_manuales!$G$42*('Plan mensual'!H93+IF(parametros_manuales!$H$42="Todos",'Plan mensual'!H97,0)))*parametros_manuales!$I$42*parametros_manuales!$J$42</f>
        <v>4789.76719756</v>
      </c>
      <c r="G241" s="9" t="n">
        <f aca="false">(parametros_manuales!$D$42*('Plan mensual'!I90+IF(parametros_manuales!$H$42="Todos",'Plan mensual'!I94,0))+parametros_manuales!$E$42*('Plan mensual'!I91+IF(parametros_manuales!$H$42="Todos",'Plan mensual'!I95,0))+parametros_manuales!$F$42*('Plan mensual'!I92+IF(parametros_manuales!$H$42="Todos",'Plan mensual'!I96,0))+parametros_manuales!$G$42*('Plan mensual'!I93+IF(parametros_manuales!$H$42="Todos",'Plan mensual'!I97,0)))*parametros_manuales!$I$42*parametros_manuales!$J$42</f>
        <v>4615.415093325</v>
      </c>
      <c r="H241" s="9" t="n">
        <f aca="false">(parametros_manuales!$D$42*('Plan mensual'!J90+IF(parametros_manuales!$H$42="Todos",'Plan mensual'!J94,0))+parametros_manuales!$E$42*('Plan mensual'!J91+IF(parametros_manuales!$H$42="Todos",'Plan mensual'!J95,0))+parametros_manuales!$F$42*('Plan mensual'!J92+IF(parametros_manuales!$H$42="Todos",'Plan mensual'!J96,0))+parametros_manuales!$G$42*('Plan mensual'!J93+IF(parametros_manuales!$H$42="Todos",'Plan mensual'!J97,0)))*parametros_manuales!$I$42*parametros_manuales!$J$42</f>
        <v>4932.63387826</v>
      </c>
      <c r="I241" s="9" t="n">
        <f aca="false">(parametros_manuales!$D$42*('Plan mensual'!K90+IF(parametros_manuales!$H$42="Todos",'Plan mensual'!K94,0))+parametros_manuales!$E$42*('Plan mensual'!K91+IF(parametros_manuales!$H$42="Todos",'Plan mensual'!K95,0))+parametros_manuales!$F$42*('Plan mensual'!K92+IF(parametros_manuales!$H$42="Todos",'Plan mensual'!K96,0))+parametros_manuales!$G$42*('Plan mensual'!K93+IF(parametros_manuales!$H$42="Todos",'Plan mensual'!K97,0)))*parametros_manuales!$I$42*parametros_manuales!$J$42</f>
        <v>4932.63387826</v>
      </c>
      <c r="J241" s="9" t="n">
        <f aca="false">(parametros_manuales!$D$42*('Plan mensual'!L90+IF(parametros_manuales!$H$42="Todos",'Plan mensual'!L94,0))+parametros_manuales!$E$42*('Plan mensual'!L91+IF(parametros_manuales!$H$42="Todos",'Plan mensual'!L95,0))+parametros_manuales!$F$42*('Plan mensual'!L92+IF(parametros_manuales!$H$42="Todos",'Plan mensual'!L96,0))+parametros_manuales!$G$42*('Plan mensual'!L93+IF(parametros_manuales!$H$42="Todos",'Plan mensual'!L97,0)))*parametros_manuales!$I$42*parametros_manuales!$J$42</f>
        <v>4932.63387826</v>
      </c>
      <c r="K241" s="9" t="n">
        <f aca="false">(parametros_manuales!$D$42*('Plan mensual'!M90+IF(parametros_manuales!$H$42="Todos",'Plan mensual'!M94,0))+parametros_manuales!$E$42*('Plan mensual'!M91+IF(parametros_manuales!$H$42="Todos",'Plan mensual'!M95,0))+parametros_manuales!$F$42*('Plan mensual'!M92+IF(parametros_manuales!$H$42="Todos",'Plan mensual'!M96,0))+parametros_manuales!$G$42*('Plan mensual'!M93+IF(parametros_manuales!$H$42="Todos",'Plan mensual'!M97,0)))*parametros_manuales!$I$42*parametros_manuales!$J$42</f>
        <v>4758.281774025</v>
      </c>
      <c r="L241" s="9" t="n">
        <f aca="false">(parametros_manuales!$D$42*('Plan mensual'!N90+IF(parametros_manuales!$H$42="Todos",'Plan mensual'!N94,0))+parametros_manuales!$E$42*('Plan mensual'!N91+IF(parametros_manuales!$H$42="Todos",'Plan mensual'!N95,0))+parametros_manuales!$F$42*('Plan mensual'!N92+IF(parametros_manuales!$H$42="Todos",'Plan mensual'!N96,0))+parametros_manuales!$G$42*('Plan mensual'!N93+IF(parametros_manuales!$H$42="Todos",'Plan mensual'!N97,0)))*parametros_manuales!$I$42*parametros_manuales!$J$42</f>
        <v>4583.92966979</v>
      </c>
      <c r="M241" s="9" t="n">
        <f aca="false">(parametros_manuales!$D$42*('Plan mensual'!O90+IF(parametros_manuales!$H$42="Todos",'Plan mensual'!O94,0))+parametros_manuales!$E$42*('Plan mensual'!O91+IF(parametros_manuales!$H$42="Todos",'Plan mensual'!O95,0))+parametros_manuales!$F$42*('Plan mensual'!O92+IF(parametros_manuales!$H$42="Todos",'Plan mensual'!O96,0))+parametros_manuales!$G$42*('Plan mensual'!O93+IF(parametros_manuales!$H$42="Todos",'Plan mensual'!O97,0)))*parametros_manuales!$I$42*parametros_manuales!$J$42</f>
        <v>7264.54662997</v>
      </c>
      <c r="N241" s="9" t="n">
        <f aca="false">SUM(B241:M241)</f>
        <v>63443.756987</v>
      </c>
      <c r="O241" s="9" t="n">
        <f aca="false">MAX(B241:M241)</f>
        <v>7264.54662997</v>
      </c>
      <c r="P241" s="43" t="n">
        <f aca="false">O241/(parametros_manuales!$B$7)</f>
        <v>48.4303108664667</v>
      </c>
      <c r="Q241" s="8" t="str">
        <f aca="false">IF(O241=0,"-",INDEX($B$217:$M$217,MATCH(O241,B241:M241,0)))</f>
        <v>Dic</v>
      </c>
    </row>
    <row r="242" customFormat="false" ht="14.25" hidden="false" customHeight="true" outlineLevel="0" collapsed="false">
      <c r="A242" s="8" t="str">
        <f aca="false">parametros_manuales!$B$43</f>
        <v>Embalaje y paletizado</v>
      </c>
      <c r="B242" s="9" t="n">
        <f aca="false">(parametros_manuales!$D$43*('Plan mensual'!D90+IF(parametros_manuales!$H$43="Todos",'Plan mensual'!D94,0))+parametros_manuales!$E$43*('Plan mensual'!D91+IF(parametros_manuales!$H$43="Todos",'Plan mensual'!D95,0))+parametros_manuales!$F$43*('Plan mensual'!D92+IF(parametros_manuales!$H$43="Todos",'Plan mensual'!D96,0))+parametros_manuales!$G$43*('Plan mensual'!D93+IF(parametros_manuales!$H$43="Todos",'Plan mensual'!D97,0)))*parametros_manuales!$I$43*parametros_manuales!$J$43</f>
        <v>28132.5624215</v>
      </c>
      <c r="C242" s="9" t="n">
        <f aca="false">(parametros_manuales!$D$43*('Plan mensual'!E90+IF(parametros_manuales!$H$43="Todos",'Plan mensual'!E94,0))+parametros_manuales!$E$43*('Plan mensual'!E91+IF(parametros_manuales!$H$43="Todos",'Plan mensual'!E95,0))+parametros_manuales!$F$43*('Plan mensual'!E92+IF(parametros_manuales!$H$43="Todos",'Plan mensual'!E96,0))+parametros_manuales!$G$43*('Plan mensual'!E93+IF(parametros_manuales!$H$43="Todos",'Plan mensual'!E97,0)))*parametros_manuales!$I$43*parametros_manuales!$J$43</f>
        <v>21453.69112036</v>
      </c>
      <c r="D242" s="9" t="n">
        <f aca="false">(parametros_manuales!$D$43*('Plan mensual'!F90+IF(parametros_manuales!$H$43="Todos",'Plan mensual'!F94,0))+parametros_manuales!$E$43*('Plan mensual'!F91+IF(parametros_manuales!$H$43="Todos",'Plan mensual'!F95,0))+parametros_manuales!$F$43*('Plan mensual'!F92+IF(parametros_manuales!$H$43="Todos",'Plan mensual'!F96,0))+parametros_manuales!$G$43*('Plan mensual'!F93+IF(parametros_manuales!$H$43="Todos",'Plan mensual'!F97,0)))*parametros_manuales!$I$43*parametros_manuales!$J$43</f>
        <v>20054.029063195</v>
      </c>
      <c r="E242" s="9" t="n">
        <f aca="false">(parametros_manuales!$D$43*('Plan mensual'!G90+IF(parametros_manuales!$H$43="Todos",'Plan mensual'!G94,0))+parametros_manuales!$E$43*('Plan mensual'!G91+IF(parametros_manuales!$H$43="Todos",'Plan mensual'!G95,0))+parametros_manuales!$F$43*('Plan mensual'!G92+IF(parametros_manuales!$H$43="Todos",'Plan mensual'!G96,0))+parametros_manuales!$G$43*('Plan mensual'!G93+IF(parametros_manuales!$H$43="Todos",'Plan mensual'!G97,0)))*parametros_manuales!$I$43*parametros_manuales!$J$43</f>
        <v>19177.063382495</v>
      </c>
      <c r="F242" s="9" t="n">
        <f aca="false">(parametros_manuales!$D$43*('Plan mensual'!H90+IF(parametros_manuales!$H$43="Todos",'Plan mensual'!H94,0))+parametros_manuales!$E$43*('Plan mensual'!H91+IF(parametros_manuales!$H$43="Todos",'Plan mensual'!H95,0))+parametros_manuales!$F$43*('Plan mensual'!H92+IF(parametros_manuales!$H$43="Todos",'Plan mensual'!H96,0))+parametros_manuales!$G$43*('Plan mensual'!H93+IF(parametros_manuales!$H$43="Todos",'Plan mensual'!H97,0)))*parametros_manuales!$I$43*parametros_manuales!$J$43</f>
        <v>17945.82839756</v>
      </c>
      <c r="G242" s="9" t="n">
        <f aca="false">(parametros_manuales!$D$43*('Plan mensual'!I90+IF(parametros_manuales!$H$43="Todos",'Plan mensual'!I94,0))+parametros_manuales!$E$43*('Plan mensual'!I91+IF(parametros_manuales!$H$43="Todos",'Plan mensual'!I95,0))+parametros_manuales!$F$43*('Plan mensual'!I92+IF(parametros_manuales!$H$43="Todos",'Plan mensual'!I96,0))+parametros_manuales!$G$43*('Plan mensual'!I93+IF(parametros_manuales!$H$43="Todos",'Plan mensual'!I97,0)))*parametros_manuales!$I$43*parametros_manuales!$J$43</f>
        <v>17591.559093325</v>
      </c>
      <c r="H242" s="9" t="n">
        <f aca="false">(parametros_manuales!$D$43*('Plan mensual'!J90+IF(parametros_manuales!$H$43="Todos",'Plan mensual'!J94,0))+parametros_manuales!$E$43*('Plan mensual'!J91+IF(parametros_manuales!$H$43="Todos",'Plan mensual'!J95,0))+parametros_manuales!$F$43*('Plan mensual'!J92+IF(parametros_manuales!$H$43="Todos",'Plan mensual'!J96,0))+parametros_manuales!$G$43*('Plan mensual'!J93+IF(parametros_manuales!$H$43="Todos",'Plan mensual'!J97,0)))*parametros_manuales!$I$43*parametros_manuales!$J$43</f>
        <v>18822.79407826</v>
      </c>
      <c r="I242" s="9" t="n">
        <f aca="false">(parametros_manuales!$D$43*('Plan mensual'!K90+IF(parametros_manuales!$H$43="Todos",'Plan mensual'!K94,0))+parametros_manuales!$E$43*('Plan mensual'!K91+IF(parametros_manuales!$H$43="Todos",'Plan mensual'!K95,0))+parametros_manuales!$F$43*('Plan mensual'!K92+IF(parametros_manuales!$H$43="Todos",'Plan mensual'!K96,0))+parametros_manuales!$G$43*('Plan mensual'!K93+IF(parametros_manuales!$H$43="Todos",'Plan mensual'!K97,0)))*parametros_manuales!$I$43*parametros_manuales!$J$43</f>
        <v>18822.79407826</v>
      </c>
      <c r="J242" s="9" t="n">
        <f aca="false">(parametros_manuales!$D$43*('Plan mensual'!L90+IF(parametros_manuales!$H$43="Todos",'Plan mensual'!L94,0))+parametros_manuales!$E$43*('Plan mensual'!L91+IF(parametros_manuales!$H$43="Todos",'Plan mensual'!L95,0))+parametros_manuales!$F$43*('Plan mensual'!L92+IF(parametros_manuales!$H$43="Todos",'Plan mensual'!L96,0))+parametros_manuales!$G$43*('Plan mensual'!L93+IF(parametros_manuales!$H$43="Todos",'Plan mensual'!L97,0)))*parametros_manuales!$I$43*parametros_manuales!$J$43</f>
        <v>18822.79407826</v>
      </c>
      <c r="K242" s="9" t="n">
        <f aca="false">(parametros_manuales!$D$43*('Plan mensual'!M90+IF(parametros_manuales!$H$43="Todos",'Plan mensual'!M94,0))+parametros_manuales!$E$43*('Plan mensual'!M91+IF(parametros_manuales!$H$43="Todos",'Plan mensual'!M95,0))+parametros_manuales!$F$43*('Plan mensual'!M92+IF(parametros_manuales!$H$43="Todos",'Plan mensual'!M96,0))+parametros_manuales!$G$43*('Plan mensual'!M93+IF(parametros_manuales!$H$43="Todos",'Plan mensual'!M97,0)))*parametros_manuales!$I$43*parametros_manuales!$J$43</f>
        <v>18468.524774025</v>
      </c>
      <c r="L242" s="9" t="n">
        <f aca="false">(parametros_manuales!$D$43*('Plan mensual'!N90+IF(parametros_manuales!$H$43="Todos",'Plan mensual'!N94,0))+parametros_manuales!$E$43*('Plan mensual'!N91+IF(parametros_manuales!$H$43="Todos",'Plan mensual'!N95,0))+parametros_manuales!$F$43*('Plan mensual'!N92+IF(parametros_manuales!$H$43="Todos",'Plan mensual'!N96,0))+parametros_manuales!$G$43*('Plan mensual'!N93+IF(parametros_manuales!$H$43="Todos",'Plan mensual'!N97,0)))*parametros_manuales!$I$43*parametros_manuales!$J$43</f>
        <v>18114.25546979</v>
      </c>
      <c r="M242" s="9" t="n">
        <f aca="false">(parametros_manuales!$D$43*('Plan mensual'!O90+IF(parametros_manuales!$H$43="Todos",'Plan mensual'!O94,0))+parametros_manuales!$E$43*('Plan mensual'!O91+IF(parametros_manuales!$H$43="Todos",'Plan mensual'!O95,0))+parametros_manuales!$F$43*('Plan mensual'!O92+IF(parametros_manuales!$H$43="Todos",'Plan mensual'!O96,0))+parametros_manuales!$G$43*('Plan mensual'!O93+IF(parametros_manuales!$H$43="Todos",'Plan mensual'!O97,0)))*parametros_manuales!$I$43*parametros_manuales!$J$43</f>
        <v>28841.10102997</v>
      </c>
      <c r="N242" s="9" t="n">
        <f aca="false">SUM(B242:M242)</f>
        <v>246246.996987</v>
      </c>
      <c r="O242" s="9" t="n">
        <f aca="false">MAX(B242:M242)</f>
        <v>28841.10102997</v>
      </c>
      <c r="P242" s="43" t="n">
        <f aca="false">O242/(parametros_manuales!$B$7)</f>
        <v>192.274006866467</v>
      </c>
      <c r="Q242" s="8" t="str">
        <f aca="false">IF(O242=0,"-",INDEX($B$217:$M$217,MATCH(O242,B242:M242,0)))</f>
        <v>Dic</v>
      </c>
    </row>
    <row r="243" customFormat="false" ht="14.25" hidden="false" customHeight="true" outlineLevel="0" collapsed="false"/>
    <row r="244" customFormat="false" ht="14.25" hidden="false" customHeight="true" outlineLevel="0" collapsed="false">
      <c r="A244" s="7" t="s">
        <v>199</v>
      </c>
      <c r="B244" s="7" t="s">
        <v>61</v>
      </c>
      <c r="C244" s="7" t="s">
        <v>62</v>
      </c>
      <c r="D244" s="7" t="s">
        <v>63</v>
      </c>
      <c r="E244" s="7" t="s">
        <v>64</v>
      </c>
      <c r="F244" s="7" t="s">
        <v>65</v>
      </c>
      <c r="G244" s="7" t="s">
        <v>66</v>
      </c>
      <c r="H244" s="7" t="s">
        <v>67</v>
      </c>
      <c r="I244" s="7" t="s">
        <v>68</v>
      </c>
      <c r="J244" s="7" t="s">
        <v>69</v>
      </c>
      <c r="K244" s="7" t="s">
        <v>70</v>
      </c>
      <c r="L244" s="7" t="s">
        <v>71</v>
      </c>
      <c r="M244" s="7" t="s">
        <v>72</v>
      </c>
      <c r="N244" s="7" t="s">
        <v>183</v>
      </c>
      <c r="O244" s="7" t="s">
        <v>188</v>
      </c>
      <c r="P244" s="7" t="s">
        <v>189</v>
      </c>
      <c r="Q244" s="7" t="s">
        <v>190</v>
      </c>
    </row>
    <row r="245" customFormat="false" ht="14.25" hidden="false" customHeight="true" outlineLevel="0" collapsed="false">
      <c r="A245" s="8" t="str">
        <f aca="false">parametros_manuales!$B$19</f>
        <v>Recepción de materia prima</v>
      </c>
      <c r="B245" s="9" t="n">
        <f aca="false">(parametros_manuales!$D$19*('Plan mensual'!D101+IF(parametros_manuales!$H$19="Todos",'Plan mensual'!D105,0))+parametros_manuales!$E$19*('Plan mensual'!D102+IF(parametros_manuales!$H$19="Todos",'Plan mensual'!D106,0))+parametros_manuales!$F$19*('Plan mensual'!D103+IF(parametros_manuales!$H$19="Todos",'Plan mensual'!D107,0))+parametros_manuales!$G$19*('Plan mensual'!D104+IF(parametros_manuales!$H$19="Todos",'Plan mensual'!D108,0)))*parametros_manuales!$I$19*parametros_manuales!$J$19</f>
        <v>32503.8972199</v>
      </c>
      <c r="C245" s="9" t="n">
        <f aca="false">(parametros_manuales!$D$19*('Plan mensual'!E101+IF(parametros_manuales!$H$19="Todos",'Plan mensual'!E105,0))+parametros_manuales!$E$19*('Plan mensual'!E102+IF(parametros_manuales!$H$19="Todos",'Plan mensual'!E106,0))+parametros_manuales!$F$19*('Plan mensual'!E103+IF(parametros_manuales!$H$19="Todos",'Plan mensual'!E107,0))+parametros_manuales!$G$19*('Plan mensual'!E104+IF(parametros_manuales!$H$19="Todos",'Plan mensual'!E108,0)))*parametros_manuales!$I$19*parametros_manuales!$J$19</f>
        <v>24787.39394114</v>
      </c>
      <c r="D245" s="9" t="n">
        <f aca="false">(parametros_manuales!$D$19*('Plan mensual'!F101+IF(parametros_manuales!$H$19="Todos",'Plan mensual'!F105,0))+parametros_manuales!$E$19*('Plan mensual'!F102+IF(parametros_manuales!$H$19="Todos",'Plan mensual'!F106,0))+parametros_manuales!$F$19*('Plan mensual'!F103+IF(parametros_manuales!$H$19="Todos",'Plan mensual'!F107,0))+parametros_manuales!$G$19*('Plan mensual'!F104+IF(parametros_manuales!$H$19="Todos",'Plan mensual'!F108,0)))*parametros_manuales!$I$19*parametros_manuales!$J$19</f>
        <v>23170.658576055</v>
      </c>
      <c r="E245" s="9" t="n">
        <f aca="false">(parametros_manuales!$D$19*('Plan mensual'!G101+IF(parametros_manuales!$H$19="Todos",'Plan mensual'!G105,0))+parametros_manuales!$E$19*('Plan mensual'!G102+IF(parametros_manuales!$H$19="Todos",'Plan mensual'!G106,0))+parametros_manuales!$F$19*('Plan mensual'!G103+IF(parametros_manuales!$H$19="Todos",'Plan mensual'!G107,0))+parametros_manuales!$G$19*('Plan mensual'!G104+IF(parametros_manuales!$H$19="Todos",'Plan mensual'!G108,0)))*parametros_manuales!$I$19*parametros_manuales!$J$19</f>
        <v>22157.555380405</v>
      </c>
      <c r="F245" s="9" t="n">
        <f aca="false">(parametros_manuales!$D$19*('Plan mensual'!H101+IF(parametros_manuales!$H$19="Todos",'Plan mensual'!H105,0))+parametros_manuales!$E$19*('Plan mensual'!H102+IF(parametros_manuales!$H$19="Todos",'Plan mensual'!H106,0))+parametros_manuales!$F$19*('Plan mensual'!H103+IF(parametros_manuales!$H$19="Todos",'Plan mensual'!H107,0))+parametros_manuales!$G$19*('Plan mensual'!H104+IF(parametros_manuales!$H$19="Todos",'Plan mensual'!H108,0)))*parametros_manuales!$I$19*parametros_manuales!$J$19</f>
        <v>20734.98115854</v>
      </c>
      <c r="G245" s="9" t="n">
        <f aca="false">(parametros_manuales!$D$19*('Plan mensual'!I101+IF(parametros_manuales!$H$19="Todos",'Plan mensual'!I105,0))+parametros_manuales!$E$19*('Plan mensual'!I102+IF(parametros_manuales!$H$19="Todos",'Plan mensual'!I106,0))+parametros_manuales!$F$19*('Plan mensual'!I103+IF(parametros_manuales!$H$19="Todos",'Plan mensual'!I107,0))+parametros_manuales!$G$19*('Plan mensual'!I104+IF(parametros_manuales!$H$19="Todos",'Plan mensual'!I108,0)))*parametros_manuales!$I$19*parametros_manuales!$J$19</f>
        <v>20325.510132325</v>
      </c>
      <c r="H245" s="9" t="n">
        <f aca="false">(parametros_manuales!$D$19*('Plan mensual'!J101+IF(parametros_manuales!$H$19="Todos",'Plan mensual'!J105,0))+parametros_manuales!$E$19*('Plan mensual'!J102+IF(parametros_manuales!$H$19="Todos",'Plan mensual'!J106,0))+parametros_manuales!$F$19*('Plan mensual'!J103+IF(parametros_manuales!$H$19="Todos",'Plan mensual'!J107,0))+parametros_manuales!$G$19*('Plan mensual'!J104+IF(parametros_manuales!$H$19="Todos",'Plan mensual'!J108,0)))*parametros_manuales!$I$19*parametros_manuales!$J$19</f>
        <v>21748.08435419</v>
      </c>
      <c r="I245" s="9" t="n">
        <f aca="false">(parametros_manuales!$D$19*('Plan mensual'!K101+IF(parametros_manuales!$H$19="Todos",'Plan mensual'!K105,0))+parametros_manuales!$E$19*('Plan mensual'!K102+IF(parametros_manuales!$H$19="Todos",'Plan mensual'!K106,0))+parametros_manuales!$F$19*('Plan mensual'!K103+IF(parametros_manuales!$H$19="Todos",'Plan mensual'!K107,0))+parametros_manuales!$G$19*('Plan mensual'!K104+IF(parametros_manuales!$H$19="Todos",'Plan mensual'!K108,0)))*parametros_manuales!$I$19*parametros_manuales!$J$19</f>
        <v>21748.08435419</v>
      </c>
      <c r="J245" s="9" t="n">
        <f aca="false">(parametros_manuales!$D$19*('Plan mensual'!L101+IF(parametros_manuales!$H$19="Todos",'Plan mensual'!L105,0))+parametros_manuales!$E$19*('Plan mensual'!L102+IF(parametros_manuales!$H$19="Todos",'Plan mensual'!L106,0))+parametros_manuales!$F$19*('Plan mensual'!L103+IF(parametros_manuales!$H$19="Todos",'Plan mensual'!L107,0))+parametros_manuales!$G$19*('Plan mensual'!L104+IF(parametros_manuales!$H$19="Todos",'Plan mensual'!L108,0)))*parametros_manuales!$I$19*parametros_manuales!$J$19</f>
        <v>21748.08435419</v>
      </c>
      <c r="K245" s="9" t="n">
        <f aca="false">(parametros_manuales!$D$19*('Plan mensual'!M101+IF(parametros_manuales!$H$19="Todos",'Plan mensual'!M105,0))+parametros_manuales!$E$19*('Plan mensual'!M102+IF(parametros_manuales!$H$19="Todos",'Plan mensual'!M106,0))+parametros_manuales!$F$19*('Plan mensual'!M103+IF(parametros_manuales!$H$19="Todos",'Plan mensual'!M107,0))+parametros_manuales!$G$19*('Plan mensual'!M104+IF(parametros_manuales!$H$19="Todos",'Plan mensual'!M108,0)))*parametros_manuales!$I$19*parametros_manuales!$J$19</f>
        <v>21338.613327975</v>
      </c>
      <c r="L245" s="9" t="n">
        <f aca="false">(parametros_manuales!$D$19*('Plan mensual'!N101+IF(parametros_manuales!$H$19="Todos",'Plan mensual'!N105,0))+parametros_manuales!$E$19*('Plan mensual'!N102+IF(parametros_manuales!$H$19="Todos",'Plan mensual'!N106,0))+parametros_manuales!$F$19*('Plan mensual'!N103+IF(parametros_manuales!$H$19="Todos",'Plan mensual'!N107,0))+parametros_manuales!$G$19*('Plan mensual'!N104+IF(parametros_manuales!$H$19="Todos",'Plan mensual'!N108,0)))*parametros_manuales!$I$19*parametros_manuales!$J$19</f>
        <v>20929.14230176</v>
      </c>
      <c r="M245" s="9" t="n">
        <f aca="false">(parametros_manuales!$D$19*('Plan mensual'!O101+IF(parametros_manuales!$H$19="Todos",'Plan mensual'!O105,0))+parametros_manuales!$E$19*('Plan mensual'!O102+IF(parametros_manuales!$H$19="Todos",'Plan mensual'!O106,0))+parametros_manuales!$F$19*('Plan mensual'!O103+IF(parametros_manuales!$H$19="Todos",'Plan mensual'!O107,0))+parametros_manuales!$G$19*('Plan mensual'!O104+IF(parametros_manuales!$H$19="Todos",'Plan mensual'!O108,0)))*parametros_manuales!$I$19*parametros_manuales!$J$19</f>
        <v>33322.83927233</v>
      </c>
      <c r="N245" s="9" t="n">
        <f aca="false">SUM(B245:M245)</f>
        <v>284514.844373</v>
      </c>
      <c r="O245" s="9" t="n">
        <f aca="false">MAX(B245:M245)</f>
        <v>33322.83927233</v>
      </c>
      <c r="P245" s="43" t="n">
        <f aca="false">O245/(parametros_manuales!$B$7)</f>
        <v>222.152261815533</v>
      </c>
      <c r="Q245" s="8" t="str">
        <f aca="false">IF(O245=0,"-",INDEX($B$244:$M$244,MATCH(O245,B245:M245,0)))</f>
        <v>Dic</v>
      </c>
    </row>
    <row r="246" customFormat="false" ht="14.25" hidden="false" customHeight="true" outlineLevel="0" collapsed="false">
      <c r="A246" s="8" t="str">
        <f aca="false">parametros_manuales!$B$20</f>
        <v>Corte de chapa (guillotina) — 2,5 a 10 kg</v>
      </c>
      <c r="B246" s="9" t="n">
        <f aca="false">(parametros_manuales!$D$20*('Plan mensual'!D101+IF(parametros_manuales!$H$20="Todos",'Plan mensual'!D105,0))+parametros_manuales!$E$20*('Plan mensual'!D102+IF(parametros_manuales!$H$20="Todos",'Plan mensual'!D106,0))+parametros_manuales!$F$20*('Plan mensual'!D103+IF(parametros_manuales!$H$20="Todos",'Plan mensual'!D107,0))+parametros_manuales!$G$20*('Plan mensual'!D104+IF(parametros_manuales!$H$20="Todos",'Plan mensual'!D108,0)))*parametros_manuales!$I$20*parametros_manuales!$J$20</f>
        <v>8189.4205243</v>
      </c>
      <c r="C246" s="9" t="n">
        <f aca="false">(parametros_manuales!$D$20*('Plan mensual'!E101+IF(parametros_manuales!$H$20="Todos",'Plan mensual'!E105,0))+parametros_manuales!$E$20*('Plan mensual'!E102+IF(parametros_manuales!$H$20="Todos",'Plan mensual'!E106,0))+parametros_manuales!$F$20*('Plan mensual'!E103+IF(parametros_manuales!$H$20="Todos",'Plan mensual'!E107,0))+parametros_manuales!$G$20*('Plan mensual'!E104+IF(parametros_manuales!$H$20="Todos",'Plan mensual'!E108,0)))*parametros_manuales!$I$20*parametros_manuales!$J$20</f>
        <v>6551.53641944</v>
      </c>
      <c r="D246" s="9" t="n">
        <f aca="false">(parametros_manuales!$D$20*('Plan mensual'!F101+IF(parametros_manuales!$H$20="Todos",'Plan mensual'!F105,0))+parametros_manuales!$E$20*('Plan mensual'!F102+IF(parametros_manuales!$H$20="Todos",'Plan mensual'!F106,0))+parametros_manuales!$F$20*('Plan mensual'!F103+IF(parametros_manuales!$H$20="Todos",'Plan mensual'!F107,0))+parametros_manuales!$G$20*('Plan mensual'!F104+IF(parametros_manuales!$H$20="Todos",'Plan mensual'!F108,0)))*parametros_manuales!$I$20*parametros_manuales!$J$20</f>
        <v>6961.007445655</v>
      </c>
      <c r="E246" s="9" t="n">
        <f aca="false">(parametros_manuales!$D$20*('Plan mensual'!G101+IF(parametros_manuales!$H$20="Todos",'Plan mensual'!G105,0))+parametros_manuales!$E$20*('Plan mensual'!G102+IF(parametros_manuales!$H$20="Todos",'Plan mensual'!G106,0))+parametros_manuales!$F$20*('Plan mensual'!G103+IF(parametros_manuales!$H$20="Todos",'Plan mensual'!G107,0))+parametros_manuales!$G$20*('Plan mensual'!G104+IF(parametros_manuales!$H$20="Todos",'Plan mensual'!G108,0)))*parametros_manuales!$I$20*parametros_manuales!$J$20</f>
        <v>6961.007445655</v>
      </c>
      <c r="F246" s="9" t="n">
        <f aca="false">(parametros_manuales!$D$20*('Plan mensual'!H101+IF(parametros_manuales!$H$20="Todos",'Plan mensual'!H105,0))+parametros_manuales!$E$20*('Plan mensual'!H102+IF(parametros_manuales!$H$20="Todos",'Plan mensual'!H106,0))+parametros_manuales!$F$20*('Plan mensual'!H103+IF(parametros_manuales!$H$20="Todos",'Plan mensual'!H107,0))+parametros_manuales!$G$20*('Plan mensual'!H104+IF(parametros_manuales!$H$20="Todos",'Plan mensual'!H108,0)))*parametros_manuales!$I$20*parametros_manuales!$J$20</f>
        <v>6551.53641944</v>
      </c>
      <c r="G246" s="9" t="n">
        <f aca="false">(parametros_manuales!$D$20*('Plan mensual'!I101+IF(parametros_manuales!$H$20="Todos",'Plan mensual'!I105,0))+parametros_manuales!$E$20*('Plan mensual'!I102+IF(parametros_manuales!$H$20="Todos",'Plan mensual'!I106,0))+parametros_manuales!$F$20*('Plan mensual'!I103+IF(parametros_manuales!$H$20="Todos",'Plan mensual'!I107,0))+parametros_manuales!$G$20*('Plan mensual'!I104+IF(parametros_manuales!$H$20="Todos",'Plan mensual'!I108,0)))*parametros_manuales!$I$20*parametros_manuales!$J$20</f>
        <v>6142.065393225</v>
      </c>
      <c r="H246" s="9" t="n">
        <f aca="false">(parametros_manuales!$D$20*('Plan mensual'!J101+IF(parametros_manuales!$H$20="Todos",'Plan mensual'!J105,0))+parametros_manuales!$E$20*('Plan mensual'!J102+IF(parametros_manuales!$H$20="Todos",'Plan mensual'!J106,0))+parametros_manuales!$F$20*('Plan mensual'!J103+IF(parametros_manuales!$H$20="Todos",'Plan mensual'!J107,0))+parametros_manuales!$G$20*('Plan mensual'!J104+IF(parametros_manuales!$H$20="Todos",'Plan mensual'!J108,0)))*parametros_manuales!$I$20*parametros_manuales!$J$20</f>
        <v>6551.53641944</v>
      </c>
      <c r="I246" s="9" t="n">
        <f aca="false">(parametros_manuales!$D$20*('Plan mensual'!K101+IF(parametros_manuales!$H$20="Todos",'Plan mensual'!K105,0))+parametros_manuales!$E$20*('Plan mensual'!K102+IF(parametros_manuales!$H$20="Todos",'Plan mensual'!K106,0))+parametros_manuales!$F$20*('Plan mensual'!K103+IF(parametros_manuales!$H$20="Todos",'Plan mensual'!K107,0))+parametros_manuales!$G$20*('Plan mensual'!K104+IF(parametros_manuales!$H$20="Todos",'Plan mensual'!K108,0)))*parametros_manuales!$I$20*parametros_manuales!$J$20</f>
        <v>6551.53641944</v>
      </c>
      <c r="J246" s="9" t="n">
        <f aca="false">(parametros_manuales!$D$20*('Plan mensual'!L101+IF(parametros_manuales!$H$20="Todos",'Plan mensual'!L105,0))+parametros_manuales!$E$20*('Plan mensual'!L102+IF(parametros_manuales!$H$20="Todos",'Plan mensual'!L106,0))+parametros_manuales!$F$20*('Plan mensual'!L103+IF(parametros_manuales!$H$20="Todos",'Plan mensual'!L107,0))+parametros_manuales!$G$20*('Plan mensual'!L104+IF(parametros_manuales!$H$20="Todos",'Plan mensual'!L108,0)))*parametros_manuales!$I$20*parametros_manuales!$J$20</f>
        <v>6551.53641944</v>
      </c>
      <c r="K246" s="9" t="n">
        <f aca="false">(parametros_manuales!$D$20*('Plan mensual'!M101+IF(parametros_manuales!$H$20="Todos",'Plan mensual'!M105,0))+parametros_manuales!$E$20*('Plan mensual'!M102+IF(parametros_manuales!$H$20="Todos",'Plan mensual'!M106,0))+parametros_manuales!$F$20*('Plan mensual'!M103+IF(parametros_manuales!$H$20="Todos",'Plan mensual'!M107,0))+parametros_manuales!$G$20*('Plan mensual'!M104+IF(parametros_manuales!$H$20="Todos",'Plan mensual'!M108,0)))*parametros_manuales!$I$20*parametros_manuales!$J$20</f>
        <v>6142.065393225</v>
      </c>
      <c r="L246" s="9" t="n">
        <f aca="false">(parametros_manuales!$D$20*('Plan mensual'!N101+IF(parametros_manuales!$H$20="Todos",'Plan mensual'!N105,0))+parametros_manuales!$E$20*('Plan mensual'!N102+IF(parametros_manuales!$H$20="Todos",'Plan mensual'!N106,0))+parametros_manuales!$F$20*('Plan mensual'!N103+IF(parametros_manuales!$H$20="Todos",'Plan mensual'!N107,0))+parametros_manuales!$G$20*('Plan mensual'!N104+IF(parametros_manuales!$H$20="Todos",'Plan mensual'!N108,0)))*parametros_manuales!$I$20*parametros_manuales!$J$20</f>
        <v>5732.59436701</v>
      </c>
      <c r="M246" s="9" t="n">
        <f aca="false">(parametros_manuales!$D$20*('Plan mensual'!O101+IF(parametros_manuales!$H$20="Todos",'Plan mensual'!O105,0))+parametros_manuales!$E$20*('Plan mensual'!O102+IF(parametros_manuales!$H$20="Todos",'Plan mensual'!O106,0))+parametros_manuales!$F$20*('Plan mensual'!O103+IF(parametros_manuales!$H$20="Todos",'Plan mensual'!O107,0))+parametros_manuales!$G$20*('Plan mensual'!O104+IF(parametros_manuales!$H$20="Todos",'Plan mensual'!O108,0)))*parametros_manuales!$I$20*parametros_manuales!$J$20</f>
        <v>9008.36257673</v>
      </c>
      <c r="N246" s="9" t="n">
        <f aca="false">SUM(B246:M246)</f>
        <v>81894.205243</v>
      </c>
      <c r="O246" s="9" t="n">
        <f aca="false">MAX(B246:M246)</f>
        <v>9008.36257673</v>
      </c>
      <c r="P246" s="43" t="n">
        <f aca="false">O246/(parametros_manuales!$B$7)</f>
        <v>60.0557505115333</v>
      </c>
      <c r="Q246" s="8" t="str">
        <f aca="false">IF(O246=0,"-",INDEX($B$244:$M$244,MATCH(O246,B246:M246,0)))</f>
        <v>Dic</v>
      </c>
    </row>
    <row r="247" customFormat="false" ht="14.25" hidden="false" customHeight="true" outlineLevel="0" collapsed="false">
      <c r="A247" s="8" t="str">
        <f aca="false">parametros_manuales!$B$21</f>
        <v>Corte de tubo — 1 kg</v>
      </c>
      <c r="B247" s="9" t="n">
        <f aca="false">(parametros_manuales!$D$21*('Plan mensual'!D101+IF(parametros_manuales!$H$21="Todos",'Plan mensual'!D105,0))+parametros_manuales!$E$21*('Plan mensual'!D102+IF(parametros_manuales!$H$21="Todos",'Plan mensual'!D106,0))+parametros_manuales!$F$21*('Plan mensual'!D103+IF(parametros_manuales!$H$21="Todos",'Plan mensual'!D107,0))+parametros_manuales!$G$21*('Plan mensual'!D104+IF(parametros_manuales!$H$21="Todos",'Plan mensual'!D108,0)))*parametros_manuales!$I$21*parametros_manuales!$J$21</f>
        <v>24314.4766956</v>
      </c>
      <c r="C247" s="9" t="n">
        <f aca="false">(parametros_manuales!$D$21*('Plan mensual'!E101+IF(parametros_manuales!$H$21="Todos",'Plan mensual'!E105,0))+parametros_manuales!$E$21*('Plan mensual'!E102+IF(parametros_manuales!$H$21="Todos",'Plan mensual'!E106,0))+parametros_manuales!$F$21*('Plan mensual'!E103+IF(parametros_manuales!$H$21="Todos",'Plan mensual'!E107,0))+parametros_manuales!$G$21*('Plan mensual'!E104+IF(parametros_manuales!$H$21="Todos",'Plan mensual'!E108,0)))*parametros_manuales!$I$21*parametros_manuales!$J$21</f>
        <v>18235.8575217</v>
      </c>
      <c r="D247" s="9" t="n">
        <f aca="false">(parametros_manuales!$D$21*('Plan mensual'!F101+IF(parametros_manuales!$H$21="Todos",'Plan mensual'!F105,0))+parametros_manuales!$E$21*('Plan mensual'!F102+IF(parametros_manuales!$H$21="Todos",'Plan mensual'!F106,0))+parametros_manuales!$F$21*('Plan mensual'!F103+IF(parametros_manuales!$H$21="Todos",'Plan mensual'!F107,0))+parametros_manuales!$G$21*('Plan mensual'!F104+IF(parametros_manuales!$H$21="Todos",'Plan mensual'!F108,0)))*parametros_manuales!$I$21*parametros_manuales!$J$21</f>
        <v>16209.6511304</v>
      </c>
      <c r="E247" s="9" t="n">
        <f aca="false">(parametros_manuales!$D$21*('Plan mensual'!G101+IF(parametros_manuales!$H$21="Todos",'Plan mensual'!G105,0))+parametros_manuales!$E$21*('Plan mensual'!G102+IF(parametros_manuales!$H$21="Todos",'Plan mensual'!G106,0))+parametros_manuales!$F$21*('Plan mensual'!G103+IF(parametros_manuales!$H$21="Todos",'Plan mensual'!G107,0))+parametros_manuales!$G$21*('Plan mensual'!G104+IF(parametros_manuales!$H$21="Todos",'Plan mensual'!G108,0)))*parametros_manuales!$I$21*parametros_manuales!$J$21</f>
        <v>15196.54793475</v>
      </c>
      <c r="F247" s="9" t="n">
        <f aca="false">(parametros_manuales!$D$21*('Plan mensual'!H101+IF(parametros_manuales!$H$21="Todos",'Plan mensual'!H105,0))+parametros_manuales!$E$21*('Plan mensual'!H102+IF(parametros_manuales!$H$21="Todos",'Plan mensual'!H106,0))+parametros_manuales!$F$21*('Plan mensual'!H103+IF(parametros_manuales!$H$21="Todos",'Plan mensual'!H107,0))+parametros_manuales!$G$21*('Plan mensual'!H104+IF(parametros_manuales!$H$21="Todos",'Plan mensual'!H108,0)))*parametros_manuales!$I$21*parametros_manuales!$J$21</f>
        <v>14183.4447391</v>
      </c>
      <c r="G247" s="9" t="n">
        <f aca="false">(parametros_manuales!$D$21*('Plan mensual'!I101+IF(parametros_manuales!$H$21="Todos",'Plan mensual'!I105,0))+parametros_manuales!$E$21*('Plan mensual'!I102+IF(parametros_manuales!$H$21="Todos",'Plan mensual'!I106,0))+parametros_manuales!$F$21*('Plan mensual'!I103+IF(parametros_manuales!$H$21="Todos",'Plan mensual'!I107,0))+parametros_manuales!$G$21*('Plan mensual'!I104+IF(parametros_manuales!$H$21="Todos",'Plan mensual'!I108,0)))*parametros_manuales!$I$21*parametros_manuales!$J$21</f>
        <v>14183.4447391</v>
      </c>
      <c r="H247" s="9" t="n">
        <f aca="false">(parametros_manuales!$D$21*('Plan mensual'!J101+IF(parametros_manuales!$H$21="Todos",'Plan mensual'!J105,0))+parametros_manuales!$E$21*('Plan mensual'!J102+IF(parametros_manuales!$H$21="Todos",'Plan mensual'!J106,0))+parametros_manuales!$F$21*('Plan mensual'!J103+IF(parametros_manuales!$H$21="Todos",'Plan mensual'!J107,0))+parametros_manuales!$G$21*('Plan mensual'!J104+IF(parametros_manuales!$H$21="Todos",'Plan mensual'!J108,0)))*parametros_manuales!$I$21*parametros_manuales!$J$21</f>
        <v>15196.54793475</v>
      </c>
      <c r="I247" s="9" t="n">
        <f aca="false">(parametros_manuales!$D$21*('Plan mensual'!K101+IF(parametros_manuales!$H$21="Todos",'Plan mensual'!K105,0))+parametros_manuales!$E$21*('Plan mensual'!K102+IF(parametros_manuales!$H$21="Todos",'Plan mensual'!K106,0))+parametros_manuales!$F$21*('Plan mensual'!K103+IF(parametros_manuales!$H$21="Todos",'Plan mensual'!K107,0))+parametros_manuales!$G$21*('Plan mensual'!K104+IF(parametros_manuales!$H$21="Todos",'Plan mensual'!K108,0)))*parametros_manuales!$I$21*parametros_manuales!$J$21</f>
        <v>15196.54793475</v>
      </c>
      <c r="J247" s="9" t="n">
        <f aca="false">(parametros_manuales!$D$21*('Plan mensual'!L101+IF(parametros_manuales!$H$21="Todos",'Plan mensual'!L105,0))+parametros_manuales!$E$21*('Plan mensual'!L102+IF(parametros_manuales!$H$21="Todos",'Plan mensual'!L106,0))+parametros_manuales!$F$21*('Plan mensual'!L103+IF(parametros_manuales!$H$21="Todos",'Plan mensual'!L107,0))+parametros_manuales!$G$21*('Plan mensual'!L104+IF(parametros_manuales!$H$21="Todos",'Plan mensual'!L108,0)))*parametros_manuales!$I$21*parametros_manuales!$J$21</f>
        <v>15196.54793475</v>
      </c>
      <c r="K247" s="9" t="n">
        <f aca="false">(parametros_manuales!$D$21*('Plan mensual'!M101+IF(parametros_manuales!$H$21="Todos",'Plan mensual'!M105,0))+parametros_manuales!$E$21*('Plan mensual'!M102+IF(parametros_manuales!$H$21="Todos",'Plan mensual'!M106,0))+parametros_manuales!$F$21*('Plan mensual'!M103+IF(parametros_manuales!$H$21="Todos",'Plan mensual'!M107,0))+parametros_manuales!$G$21*('Plan mensual'!M104+IF(parametros_manuales!$H$21="Todos",'Plan mensual'!M108,0)))*parametros_manuales!$I$21*parametros_manuales!$J$21</f>
        <v>15196.54793475</v>
      </c>
      <c r="L247" s="9" t="n">
        <f aca="false">(parametros_manuales!$D$21*('Plan mensual'!N101+IF(parametros_manuales!$H$21="Todos",'Plan mensual'!N105,0))+parametros_manuales!$E$21*('Plan mensual'!N102+IF(parametros_manuales!$H$21="Todos",'Plan mensual'!N106,0))+parametros_manuales!$F$21*('Plan mensual'!N103+IF(parametros_manuales!$H$21="Todos",'Plan mensual'!N107,0))+parametros_manuales!$G$21*('Plan mensual'!N104+IF(parametros_manuales!$H$21="Todos",'Plan mensual'!N108,0)))*parametros_manuales!$I$21*parametros_manuales!$J$21</f>
        <v>15196.54793475</v>
      </c>
      <c r="M247" s="9" t="n">
        <f aca="false">(parametros_manuales!$D$21*('Plan mensual'!O101+IF(parametros_manuales!$H$21="Todos",'Plan mensual'!O105,0))+parametros_manuales!$E$21*('Plan mensual'!O102+IF(parametros_manuales!$H$21="Todos",'Plan mensual'!O106,0))+parametros_manuales!$F$21*('Plan mensual'!O103+IF(parametros_manuales!$H$21="Todos",'Plan mensual'!O107,0))+parametros_manuales!$G$21*('Plan mensual'!O104+IF(parametros_manuales!$H$21="Todos",'Plan mensual'!O108,0)))*parametros_manuales!$I$21*parametros_manuales!$J$21</f>
        <v>24314.4766956</v>
      </c>
      <c r="N247" s="9" t="n">
        <f aca="false">SUM(B247:M247)</f>
        <v>202620.63913</v>
      </c>
      <c r="O247" s="9" t="n">
        <f aca="false">MAX(B247:M247)</f>
        <v>24314.4766956</v>
      </c>
      <c r="P247" s="43" t="n">
        <f aca="false">O247/(parametros_manuales!$B$7)</f>
        <v>162.096511304</v>
      </c>
      <c r="Q247" s="8" t="str">
        <f aca="false">IF(O247=0,"-",INDEX($B$244:$M$244,MATCH(O247,B247:M247,0)))</f>
        <v>Ene</v>
      </c>
    </row>
    <row r="248" customFormat="false" ht="14.25" hidden="false" customHeight="true" outlineLevel="0" collapsed="false">
      <c r="A248" s="8" t="str">
        <f aca="false">parametros_manuales!$B$22</f>
        <v>Corte de disco y embutido (cúpula y fondo)</v>
      </c>
      <c r="B248" s="9" t="n">
        <f aca="false">(parametros_manuales!$D$22*('Plan mensual'!D101+IF(parametros_manuales!$H$22="Todos",'Plan mensual'!D105,0))+parametros_manuales!$E$22*('Plan mensual'!D102+IF(parametros_manuales!$H$22="Todos",'Plan mensual'!D106,0))+parametros_manuales!$F$22*('Plan mensual'!D103+IF(parametros_manuales!$H$22="Todos",'Plan mensual'!D107,0))+parametros_manuales!$G$22*('Plan mensual'!D104+IF(parametros_manuales!$H$22="Todos",'Plan mensual'!D108,0)))*parametros_manuales!$I$22*parametros_manuales!$J$22</f>
        <v>65007.7944398</v>
      </c>
      <c r="C248" s="9" t="n">
        <f aca="false">(parametros_manuales!$D$22*('Plan mensual'!E101+IF(parametros_manuales!$H$22="Todos",'Plan mensual'!E105,0))+parametros_manuales!$E$22*('Plan mensual'!E102+IF(parametros_manuales!$H$22="Todos",'Plan mensual'!E106,0))+parametros_manuales!$F$22*('Plan mensual'!E103+IF(parametros_manuales!$H$22="Todos",'Plan mensual'!E107,0))+parametros_manuales!$G$22*('Plan mensual'!E104+IF(parametros_manuales!$H$22="Todos",'Plan mensual'!E108,0)))*parametros_manuales!$I$22*parametros_manuales!$J$22</f>
        <v>49574.78788228</v>
      </c>
      <c r="D248" s="9" t="n">
        <f aca="false">(parametros_manuales!$D$22*('Plan mensual'!F101+IF(parametros_manuales!$H$22="Todos",'Plan mensual'!F105,0))+parametros_manuales!$E$22*('Plan mensual'!F102+IF(parametros_manuales!$H$22="Todos",'Plan mensual'!F106,0))+parametros_manuales!$F$22*('Plan mensual'!F103+IF(parametros_manuales!$H$22="Todos",'Plan mensual'!F107,0))+parametros_manuales!$G$22*('Plan mensual'!F104+IF(parametros_manuales!$H$22="Todos",'Plan mensual'!F108,0)))*parametros_manuales!$I$22*parametros_manuales!$J$22</f>
        <v>46341.31715211</v>
      </c>
      <c r="E248" s="9" t="n">
        <f aca="false">(parametros_manuales!$D$22*('Plan mensual'!G101+IF(parametros_manuales!$H$22="Todos",'Plan mensual'!G105,0))+parametros_manuales!$E$22*('Plan mensual'!G102+IF(parametros_manuales!$H$22="Todos",'Plan mensual'!G106,0))+parametros_manuales!$F$22*('Plan mensual'!G103+IF(parametros_manuales!$H$22="Todos",'Plan mensual'!G107,0))+parametros_manuales!$G$22*('Plan mensual'!G104+IF(parametros_manuales!$H$22="Todos",'Plan mensual'!G108,0)))*parametros_manuales!$I$22*parametros_manuales!$J$22</f>
        <v>44315.11076081</v>
      </c>
      <c r="F248" s="9" t="n">
        <f aca="false">(parametros_manuales!$D$22*('Plan mensual'!H101+IF(parametros_manuales!$H$22="Todos",'Plan mensual'!H105,0))+parametros_manuales!$E$22*('Plan mensual'!H102+IF(parametros_manuales!$H$22="Todos",'Plan mensual'!H106,0))+parametros_manuales!$F$22*('Plan mensual'!H103+IF(parametros_manuales!$H$22="Todos",'Plan mensual'!H107,0))+parametros_manuales!$G$22*('Plan mensual'!H104+IF(parametros_manuales!$H$22="Todos",'Plan mensual'!H108,0)))*parametros_manuales!$I$22*parametros_manuales!$J$22</f>
        <v>41469.96231708</v>
      </c>
      <c r="G248" s="9" t="n">
        <f aca="false">(parametros_manuales!$D$22*('Plan mensual'!I101+IF(parametros_manuales!$H$22="Todos",'Plan mensual'!I105,0))+parametros_manuales!$E$22*('Plan mensual'!I102+IF(parametros_manuales!$H$22="Todos",'Plan mensual'!I106,0))+parametros_manuales!$F$22*('Plan mensual'!I103+IF(parametros_manuales!$H$22="Todos",'Plan mensual'!I107,0))+parametros_manuales!$G$22*('Plan mensual'!I104+IF(parametros_manuales!$H$22="Todos",'Plan mensual'!I108,0)))*parametros_manuales!$I$22*parametros_manuales!$J$22</f>
        <v>40651.02026465</v>
      </c>
      <c r="H248" s="9" t="n">
        <f aca="false">(parametros_manuales!$D$22*('Plan mensual'!J101+IF(parametros_manuales!$H$22="Todos",'Plan mensual'!J105,0))+parametros_manuales!$E$22*('Plan mensual'!J102+IF(parametros_manuales!$H$22="Todos",'Plan mensual'!J106,0))+parametros_manuales!$F$22*('Plan mensual'!J103+IF(parametros_manuales!$H$22="Todos",'Plan mensual'!J107,0))+parametros_manuales!$G$22*('Plan mensual'!J104+IF(parametros_manuales!$H$22="Todos",'Plan mensual'!J108,0)))*parametros_manuales!$I$22*parametros_manuales!$J$22</f>
        <v>43496.16870838</v>
      </c>
      <c r="I248" s="9" t="n">
        <f aca="false">(parametros_manuales!$D$22*('Plan mensual'!K101+IF(parametros_manuales!$H$22="Todos",'Plan mensual'!K105,0))+parametros_manuales!$E$22*('Plan mensual'!K102+IF(parametros_manuales!$H$22="Todos",'Plan mensual'!K106,0))+parametros_manuales!$F$22*('Plan mensual'!K103+IF(parametros_manuales!$H$22="Todos",'Plan mensual'!K107,0))+parametros_manuales!$G$22*('Plan mensual'!K104+IF(parametros_manuales!$H$22="Todos",'Plan mensual'!K108,0)))*parametros_manuales!$I$22*parametros_manuales!$J$22</f>
        <v>43496.16870838</v>
      </c>
      <c r="J248" s="9" t="n">
        <f aca="false">(parametros_manuales!$D$22*('Plan mensual'!L101+IF(parametros_manuales!$H$22="Todos",'Plan mensual'!L105,0))+parametros_manuales!$E$22*('Plan mensual'!L102+IF(parametros_manuales!$H$22="Todos",'Plan mensual'!L106,0))+parametros_manuales!$F$22*('Plan mensual'!L103+IF(parametros_manuales!$H$22="Todos",'Plan mensual'!L107,0))+parametros_manuales!$G$22*('Plan mensual'!L104+IF(parametros_manuales!$H$22="Todos",'Plan mensual'!L108,0)))*parametros_manuales!$I$22*parametros_manuales!$J$22</f>
        <v>43496.16870838</v>
      </c>
      <c r="K248" s="9" t="n">
        <f aca="false">(parametros_manuales!$D$22*('Plan mensual'!M101+IF(parametros_manuales!$H$22="Todos",'Plan mensual'!M105,0))+parametros_manuales!$E$22*('Plan mensual'!M102+IF(parametros_manuales!$H$22="Todos",'Plan mensual'!M106,0))+parametros_manuales!$F$22*('Plan mensual'!M103+IF(parametros_manuales!$H$22="Todos",'Plan mensual'!M107,0))+parametros_manuales!$G$22*('Plan mensual'!M104+IF(parametros_manuales!$H$22="Todos",'Plan mensual'!M108,0)))*parametros_manuales!$I$22*parametros_manuales!$J$22</f>
        <v>42677.22665595</v>
      </c>
      <c r="L248" s="9" t="n">
        <f aca="false">(parametros_manuales!$D$22*('Plan mensual'!N101+IF(parametros_manuales!$H$22="Todos",'Plan mensual'!N105,0))+parametros_manuales!$E$22*('Plan mensual'!N102+IF(parametros_manuales!$H$22="Todos",'Plan mensual'!N106,0))+parametros_manuales!$F$22*('Plan mensual'!N103+IF(parametros_manuales!$H$22="Todos",'Plan mensual'!N107,0))+parametros_manuales!$G$22*('Plan mensual'!N104+IF(parametros_manuales!$H$22="Todos",'Plan mensual'!N108,0)))*parametros_manuales!$I$22*parametros_manuales!$J$22</f>
        <v>41858.28460352</v>
      </c>
      <c r="M248" s="9" t="n">
        <f aca="false">(parametros_manuales!$D$22*('Plan mensual'!O101+IF(parametros_manuales!$H$22="Todos",'Plan mensual'!O105,0))+parametros_manuales!$E$22*('Plan mensual'!O102+IF(parametros_manuales!$H$22="Todos",'Plan mensual'!O106,0))+parametros_manuales!$F$22*('Plan mensual'!O103+IF(parametros_manuales!$H$22="Todos",'Plan mensual'!O107,0))+parametros_manuales!$G$22*('Plan mensual'!O104+IF(parametros_manuales!$H$22="Todos",'Plan mensual'!O108,0)))*parametros_manuales!$I$22*parametros_manuales!$J$22</f>
        <v>66645.67854466</v>
      </c>
      <c r="N248" s="9" t="n">
        <f aca="false">SUM(B248:M248)</f>
        <v>569029.688746</v>
      </c>
      <c r="O248" s="9" t="n">
        <f aca="false">MAX(B248:M248)</f>
        <v>66645.67854466</v>
      </c>
      <c r="P248" s="43" t="n">
        <f aca="false">O248/(parametros_manuales!$B$7)</f>
        <v>444.304523631067</v>
      </c>
      <c r="Q248" s="8" t="str">
        <f aca="false">IF(O248=0,"-",INDEX($B$244:$M$244,MATCH(O248,B248:M248,0)))</f>
        <v>Dic</v>
      </c>
    </row>
    <row r="249" customFormat="false" ht="14.25" hidden="false" customHeight="true" outlineLevel="0" collapsed="false">
      <c r="A249" s="8" t="str">
        <f aca="false">parametros_manuales!$B$23</f>
        <v>Preparación de cuello</v>
      </c>
      <c r="B249" s="9" t="n">
        <f aca="false">(parametros_manuales!$D$23*('Plan mensual'!D101+IF(parametros_manuales!$H$23="Todos",'Plan mensual'!D105,0))+parametros_manuales!$E$23*('Plan mensual'!D102+IF(parametros_manuales!$H$23="Todos",'Plan mensual'!D106,0))+parametros_manuales!$F$23*('Plan mensual'!D103+IF(parametros_manuales!$H$23="Todos",'Plan mensual'!D107,0))+parametros_manuales!$G$23*('Plan mensual'!D104+IF(parametros_manuales!$H$23="Todos",'Plan mensual'!D108,0)))*parametros_manuales!$I$23*parametros_manuales!$J$23</f>
        <v>32503.8972199</v>
      </c>
      <c r="C249" s="9" t="n">
        <f aca="false">(parametros_manuales!$D$23*('Plan mensual'!E101+IF(parametros_manuales!$H$23="Todos",'Plan mensual'!E105,0))+parametros_manuales!$E$23*('Plan mensual'!E102+IF(parametros_manuales!$H$23="Todos",'Plan mensual'!E106,0))+parametros_manuales!$F$23*('Plan mensual'!E103+IF(parametros_manuales!$H$23="Todos",'Plan mensual'!E107,0))+parametros_manuales!$G$23*('Plan mensual'!E104+IF(parametros_manuales!$H$23="Todos",'Plan mensual'!E108,0)))*parametros_manuales!$I$23*parametros_manuales!$J$23</f>
        <v>24787.39394114</v>
      </c>
      <c r="D249" s="9" t="n">
        <f aca="false">(parametros_manuales!$D$23*('Plan mensual'!F101+IF(parametros_manuales!$H$23="Todos",'Plan mensual'!F105,0))+parametros_manuales!$E$23*('Plan mensual'!F102+IF(parametros_manuales!$H$23="Todos",'Plan mensual'!F106,0))+parametros_manuales!$F$23*('Plan mensual'!F103+IF(parametros_manuales!$H$23="Todos",'Plan mensual'!F107,0))+parametros_manuales!$G$23*('Plan mensual'!F104+IF(parametros_manuales!$H$23="Todos",'Plan mensual'!F108,0)))*parametros_manuales!$I$23*parametros_manuales!$J$23</f>
        <v>23170.658576055</v>
      </c>
      <c r="E249" s="9" t="n">
        <f aca="false">(parametros_manuales!$D$23*('Plan mensual'!G101+IF(parametros_manuales!$H$23="Todos",'Plan mensual'!G105,0))+parametros_manuales!$E$23*('Plan mensual'!G102+IF(parametros_manuales!$H$23="Todos",'Plan mensual'!G106,0))+parametros_manuales!$F$23*('Plan mensual'!G103+IF(parametros_manuales!$H$23="Todos",'Plan mensual'!G107,0))+parametros_manuales!$G$23*('Plan mensual'!G104+IF(parametros_manuales!$H$23="Todos",'Plan mensual'!G108,0)))*parametros_manuales!$I$23*parametros_manuales!$J$23</f>
        <v>22157.555380405</v>
      </c>
      <c r="F249" s="9" t="n">
        <f aca="false">(parametros_manuales!$D$23*('Plan mensual'!H101+IF(parametros_manuales!$H$23="Todos",'Plan mensual'!H105,0))+parametros_manuales!$E$23*('Plan mensual'!H102+IF(parametros_manuales!$H$23="Todos",'Plan mensual'!H106,0))+parametros_manuales!$F$23*('Plan mensual'!H103+IF(parametros_manuales!$H$23="Todos",'Plan mensual'!H107,0))+parametros_manuales!$G$23*('Plan mensual'!H104+IF(parametros_manuales!$H$23="Todos",'Plan mensual'!H108,0)))*parametros_manuales!$I$23*parametros_manuales!$J$23</f>
        <v>20734.98115854</v>
      </c>
      <c r="G249" s="9" t="n">
        <f aca="false">(parametros_manuales!$D$23*('Plan mensual'!I101+IF(parametros_manuales!$H$23="Todos",'Plan mensual'!I105,0))+parametros_manuales!$E$23*('Plan mensual'!I102+IF(parametros_manuales!$H$23="Todos",'Plan mensual'!I106,0))+parametros_manuales!$F$23*('Plan mensual'!I103+IF(parametros_manuales!$H$23="Todos",'Plan mensual'!I107,0))+parametros_manuales!$G$23*('Plan mensual'!I104+IF(parametros_manuales!$H$23="Todos",'Plan mensual'!I108,0)))*parametros_manuales!$I$23*parametros_manuales!$J$23</f>
        <v>20325.510132325</v>
      </c>
      <c r="H249" s="9" t="n">
        <f aca="false">(parametros_manuales!$D$23*('Plan mensual'!J101+IF(parametros_manuales!$H$23="Todos",'Plan mensual'!J105,0))+parametros_manuales!$E$23*('Plan mensual'!J102+IF(parametros_manuales!$H$23="Todos",'Plan mensual'!J106,0))+parametros_manuales!$F$23*('Plan mensual'!J103+IF(parametros_manuales!$H$23="Todos",'Plan mensual'!J107,0))+parametros_manuales!$G$23*('Plan mensual'!J104+IF(parametros_manuales!$H$23="Todos",'Plan mensual'!J108,0)))*parametros_manuales!$I$23*parametros_manuales!$J$23</f>
        <v>21748.08435419</v>
      </c>
      <c r="I249" s="9" t="n">
        <f aca="false">(parametros_manuales!$D$23*('Plan mensual'!K101+IF(parametros_manuales!$H$23="Todos",'Plan mensual'!K105,0))+parametros_manuales!$E$23*('Plan mensual'!K102+IF(parametros_manuales!$H$23="Todos",'Plan mensual'!K106,0))+parametros_manuales!$F$23*('Plan mensual'!K103+IF(parametros_manuales!$H$23="Todos",'Plan mensual'!K107,0))+parametros_manuales!$G$23*('Plan mensual'!K104+IF(parametros_manuales!$H$23="Todos",'Plan mensual'!K108,0)))*parametros_manuales!$I$23*parametros_manuales!$J$23</f>
        <v>21748.08435419</v>
      </c>
      <c r="J249" s="9" t="n">
        <f aca="false">(parametros_manuales!$D$23*('Plan mensual'!L101+IF(parametros_manuales!$H$23="Todos",'Plan mensual'!L105,0))+parametros_manuales!$E$23*('Plan mensual'!L102+IF(parametros_manuales!$H$23="Todos",'Plan mensual'!L106,0))+parametros_manuales!$F$23*('Plan mensual'!L103+IF(parametros_manuales!$H$23="Todos",'Plan mensual'!L107,0))+parametros_manuales!$G$23*('Plan mensual'!L104+IF(parametros_manuales!$H$23="Todos",'Plan mensual'!L108,0)))*parametros_manuales!$I$23*parametros_manuales!$J$23</f>
        <v>21748.08435419</v>
      </c>
      <c r="K249" s="9" t="n">
        <f aca="false">(parametros_manuales!$D$23*('Plan mensual'!M101+IF(parametros_manuales!$H$23="Todos",'Plan mensual'!M105,0))+parametros_manuales!$E$23*('Plan mensual'!M102+IF(parametros_manuales!$H$23="Todos",'Plan mensual'!M106,0))+parametros_manuales!$F$23*('Plan mensual'!M103+IF(parametros_manuales!$H$23="Todos",'Plan mensual'!M107,0))+parametros_manuales!$G$23*('Plan mensual'!M104+IF(parametros_manuales!$H$23="Todos",'Plan mensual'!M108,0)))*parametros_manuales!$I$23*parametros_manuales!$J$23</f>
        <v>21338.613327975</v>
      </c>
      <c r="L249" s="9" t="n">
        <f aca="false">(parametros_manuales!$D$23*('Plan mensual'!N101+IF(parametros_manuales!$H$23="Todos",'Plan mensual'!N105,0))+parametros_manuales!$E$23*('Plan mensual'!N102+IF(parametros_manuales!$H$23="Todos",'Plan mensual'!N106,0))+parametros_manuales!$F$23*('Plan mensual'!N103+IF(parametros_manuales!$H$23="Todos",'Plan mensual'!N107,0))+parametros_manuales!$G$23*('Plan mensual'!N104+IF(parametros_manuales!$H$23="Todos",'Plan mensual'!N108,0)))*parametros_manuales!$I$23*parametros_manuales!$J$23</f>
        <v>20929.14230176</v>
      </c>
      <c r="M249" s="9" t="n">
        <f aca="false">(parametros_manuales!$D$23*('Plan mensual'!O101+IF(parametros_manuales!$H$23="Todos",'Plan mensual'!O105,0))+parametros_manuales!$E$23*('Plan mensual'!O102+IF(parametros_manuales!$H$23="Todos",'Plan mensual'!O106,0))+parametros_manuales!$F$23*('Plan mensual'!O103+IF(parametros_manuales!$H$23="Todos",'Plan mensual'!O107,0))+parametros_manuales!$G$23*('Plan mensual'!O104+IF(parametros_manuales!$H$23="Todos",'Plan mensual'!O108,0)))*parametros_manuales!$I$23*parametros_manuales!$J$23</f>
        <v>33322.83927233</v>
      </c>
      <c r="N249" s="9" t="n">
        <f aca="false">SUM(B249:M249)</f>
        <v>284514.844373</v>
      </c>
      <c r="O249" s="9" t="n">
        <f aca="false">MAX(B249:M249)</f>
        <v>33322.83927233</v>
      </c>
      <c r="P249" s="43" t="n">
        <f aca="false">O249/(parametros_manuales!$B$7)</f>
        <v>222.152261815533</v>
      </c>
      <c r="Q249" s="8" t="str">
        <f aca="false">IF(O249=0,"-",INDEX($B$244:$M$244,MATCH(O249,B249:M249,0)))</f>
        <v>Dic</v>
      </c>
    </row>
    <row r="250" customFormat="false" ht="14.25" hidden="false" customHeight="true" outlineLevel="0" collapsed="false">
      <c r="A250" s="8" t="str">
        <f aca="false">parametros_manuales!$B$24</f>
        <v>Numerado de cúpula</v>
      </c>
      <c r="B250" s="9" t="n">
        <f aca="false">(parametros_manuales!$D$24*('Plan mensual'!D101+IF(parametros_manuales!$H$24="Todos",'Plan mensual'!D105,0))+parametros_manuales!$E$24*('Plan mensual'!D102+IF(parametros_manuales!$H$24="Todos",'Plan mensual'!D106,0))+parametros_manuales!$F$24*('Plan mensual'!D103+IF(parametros_manuales!$H$24="Todos",'Plan mensual'!D107,0))+parametros_manuales!$G$24*('Plan mensual'!D104+IF(parametros_manuales!$H$24="Todos",'Plan mensual'!D108,0)))*parametros_manuales!$I$24*parametros_manuales!$J$24</f>
        <v>32503.8972199</v>
      </c>
      <c r="C250" s="9" t="n">
        <f aca="false">(parametros_manuales!$D$24*('Plan mensual'!E101+IF(parametros_manuales!$H$24="Todos",'Plan mensual'!E105,0))+parametros_manuales!$E$24*('Plan mensual'!E102+IF(parametros_manuales!$H$24="Todos",'Plan mensual'!E106,0))+parametros_manuales!$F$24*('Plan mensual'!E103+IF(parametros_manuales!$H$24="Todos",'Plan mensual'!E107,0))+parametros_manuales!$G$24*('Plan mensual'!E104+IF(parametros_manuales!$H$24="Todos",'Plan mensual'!E108,0)))*parametros_manuales!$I$24*parametros_manuales!$J$24</f>
        <v>24787.39394114</v>
      </c>
      <c r="D250" s="9" t="n">
        <f aca="false">(parametros_manuales!$D$24*('Plan mensual'!F101+IF(parametros_manuales!$H$24="Todos",'Plan mensual'!F105,0))+parametros_manuales!$E$24*('Plan mensual'!F102+IF(parametros_manuales!$H$24="Todos",'Plan mensual'!F106,0))+parametros_manuales!$F$24*('Plan mensual'!F103+IF(parametros_manuales!$H$24="Todos",'Plan mensual'!F107,0))+parametros_manuales!$G$24*('Plan mensual'!F104+IF(parametros_manuales!$H$24="Todos",'Plan mensual'!F108,0)))*parametros_manuales!$I$24*parametros_manuales!$J$24</f>
        <v>23170.658576055</v>
      </c>
      <c r="E250" s="9" t="n">
        <f aca="false">(parametros_manuales!$D$24*('Plan mensual'!G101+IF(parametros_manuales!$H$24="Todos",'Plan mensual'!G105,0))+parametros_manuales!$E$24*('Plan mensual'!G102+IF(parametros_manuales!$H$24="Todos",'Plan mensual'!G106,0))+parametros_manuales!$F$24*('Plan mensual'!G103+IF(parametros_manuales!$H$24="Todos",'Plan mensual'!G107,0))+parametros_manuales!$G$24*('Plan mensual'!G104+IF(parametros_manuales!$H$24="Todos",'Plan mensual'!G108,0)))*parametros_manuales!$I$24*parametros_manuales!$J$24</f>
        <v>22157.555380405</v>
      </c>
      <c r="F250" s="9" t="n">
        <f aca="false">(parametros_manuales!$D$24*('Plan mensual'!H101+IF(parametros_manuales!$H$24="Todos",'Plan mensual'!H105,0))+parametros_manuales!$E$24*('Plan mensual'!H102+IF(parametros_manuales!$H$24="Todos",'Plan mensual'!H106,0))+parametros_manuales!$F$24*('Plan mensual'!H103+IF(parametros_manuales!$H$24="Todos",'Plan mensual'!H107,0))+parametros_manuales!$G$24*('Plan mensual'!H104+IF(parametros_manuales!$H$24="Todos",'Plan mensual'!H108,0)))*parametros_manuales!$I$24*parametros_manuales!$J$24</f>
        <v>20734.98115854</v>
      </c>
      <c r="G250" s="9" t="n">
        <f aca="false">(parametros_manuales!$D$24*('Plan mensual'!I101+IF(parametros_manuales!$H$24="Todos",'Plan mensual'!I105,0))+parametros_manuales!$E$24*('Plan mensual'!I102+IF(parametros_manuales!$H$24="Todos",'Plan mensual'!I106,0))+parametros_manuales!$F$24*('Plan mensual'!I103+IF(parametros_manuales!$H$24="Todos",'Plan mensual'!I107,0))+parametros_manuales!$G$24*('Plan mensual'!I104+IF(parametros_manuales!$H$24="Todos",'Plan mensual'!I108,0)))*parametros_manuales!$I$24*parametros_manuales!$J$24</f>
        <v>20325.510132325</v>
      </c>
      <c r="H250" s="9" t="n">
        <f aca="false">(parametros_manuales!$D$24*('Plan mensual'!J101+IF(parametros_manuales!$H$24="Todos",'Plan mensual'!J105,0))+parametros_manuales!$E$24*('Plan mensual'!J102+IF(parametros_manuales!$H$24="Todos",'Plan mensual'!J106,0))+parametros_manuales!$F$24*('Plan mensual'!J103+IF(parametros_manuales!$H$24="Todos",'Plan mensual'!J107,0))+parametros_manuales!$G$24*('Plan mensual'!J104+IF(parametros_manuales!$H$24="Todos",'Plan mensual'!J108,0)))*parametros_manuales!$I$24*parametros_manuales!$J$24</f>
        <v>21748.08435419</v>
      </c>
      <c r="I250" s="9" t="n">
        <f aca="false">(parametros_manuales!$D$24*('Plan mensual'!K101+IF(parametros_manuales!$H$24="Todos",'Plan mensual'!K105,0))+parametros_manuales!$E$24*('Plan mensual'!K102+IF(parametros_manuales!$H$24="Todos",'Plan mensual'!K106,0))+parametros_manuales!$F$24*('Plan mensual'!K103+IF(parametros_manuales!$H$24="Todos",'Plan mensual'!K107,0))+parametros_manuales!$G$24*('Plan mensual'!K104+IF(parametros_manuales!$H$24="Todos",'Plan mensual'!K108,0)))*parametros_manuales!$I$24*parametros_manuales!$J$24</f>
        <v>21748.08435419</v>
      </c>
      <c r="J250" s="9" t="n">
        <f aca="false">(parametros_manuales!$D$24*('Plan mensual'!L101+IF(parametros_manuales!$H$24="Todos",'Plan mensual'!L105,0))+parametros_manuales!$E$24*('Plan mensual'!L102+IF(parametros_manuales!$H$24="Todos",'Plan mensual'!L106,0))+parametros_manuales!$F$24*('Plan mensual'!L103+IF(parametros_manuales!$H$24="Todos",'Plan mensual'!L107,0))+parametros_manuales!$G$24*('Plan mensual'!L104+IF(parametros_manuales!$H$24="Todos",'Plan mensual'!L108,0)))*parametros_manuales!$I$24*parametros_manuales!$J$24</f>
        <v>21748.08435419</v>
      </c>
      <c r="K250" s="9" t="n">
        <f aca="false">(parametros_manuales!$D$24*('Plan mensual'!M101+IF(parametros_manuales!$H$24="Todos",'Plan mensual'!M105,0))+parametros_manuales!$E$24*('Plan mensual'!M102+IF(parametros_manuales!$H$24="Todos",'Plan mensual'!M106,0))+parametros_manuales!$F$24*('Plan mensual'!M103+IF(parametros_manuales!$H$24="Todos",'Plan mensual'!M107,0))+parametros_manuales!$G$24*('Plan mensual'!M104+IF(parametros_manuales!$H$24="Todos",'Plan mensual'!M108,0)))*parametros_manuales!$I$24*parametros_manuales!$J$24</f>
        <v>21338.613327975</v>
      </c>
      <c r="L250" s="9" t="n">
        <f aca="false">(parametros_manuales!$D$24*('Plan mensual'!N101+IF(parametros_manuales!$H$24="Todos",'Plan mensual'!N105,0))+parametros_manuales!$E$24*('Plan mensual'!N102+IF(parametros_manuales!$H$24="Todos",'Plan mensual'!N106,0))+parametros_manuales!$F$24*('Plan mensual'!N103+IF(parametros_manuales!$H$24="Todos",'Plan mensual'!N107,0))+parametros_manuales!$G$24*('Plan mensual'!N104+IF(parametros_manuales!$H$24="Todos",'Plan mensual'!N108,0)))*parametros_manuales!$I$24*parametros_manuales!$J$24</f>
        <v>20929.14230176</v>
      </c>
      <c r="M250" s="9" t="n">
        <f aca="false">(parametros_manuales!$D$24*('Plan mensual'!O101+IF(parametros_manuales!$H$24="Todos",'Plan mensual'!O105,0))+parametros_manuales!$E$24*('Plan mensual'!O102+IF(parametros_manuales!$H$24="Todos",'Plan mensual'!O106,0))+parametros_manuales!$F$24*('Plan mensual'!O103+IF(parametros_manuales!$H$24="Todos",'Plan mensual'!O107,0))+parametros_manuales!$G$24*('Plan mensual'!O104+IF(parametros_manuales!$H$24="Todos",'Plan mensual'!O108,0)))*parametros_manuales!$I$24*parametros_manuales!$J$24</f>
        <v>33322.83927233</v>
      </c>
      <c r="N250" s="9" t="n">
        <f aca="false">SUM(B250:M250)</f>
        <v>284514.844373</v>
      </c>
      <c r="O250" s="9" t="n">
        <f aca="false">MAX(B250:M250)</f>
        <v>33322.83927233</v>
      </c>
      <c r="P250" s="43" t="n">
        <f aca="false">O250/(parametros_manuales!$B$7)</f>
        <v>222.152261815533</v>
      </c>
      <c r="Q250" s="8" t="str">
        <f aca="false">IF(O250=0,"-",INDEX($B$244:$M$244,MATCH(O250,B250:M250,0)))</f>
        <v>Dic</v>
      </c>
    </row>
    <row r="251" customFormat="false" ht="14.25" hidden="false" customHeight="true" outlineLevel="0" collapsed="false">
      <c r="A251" s="8" t="str">
        <f aca="false">parametros_manuales!$B$25</f>
        <v>Soldadura del cuello a la cúpula</v>
      </c>
      <c r="B251" s="9" t="n">
        <f aca="false">(parametros_manuales!$D$25*('Plan mensual'!D101+IF(parametros_manuales!$H$25="Todos",'Plan mensual'!D105,0))+parametros_manuales!$E$25*('Plan mensual'!D102+IF(parametros_manuales!$H$25="Todos",'Plan mensual'!D106,0))+parametros_manuales!$F$25*('Plan mensual'!D103+IF(parametros_manuales!$H$25="Todos",'Plan mensual'!D107,0))+parametros_manuales!$G$25*('Plan mensual'!D104+IF(parametros_manuales!$H$25="Todos",'Plan mensual'!D108,0)))*parametros_manuales!$I$25*parametros_manuales!$J$25</f>
        <v>32503.8972199</v>
      </c>
      <c r="C251" s="9" t="n">
        <f aca="false">(parametros_manuales!$D$25*('Plan mensual'!E101+IF(parametros_manuales!$H$25="Todos",'Plan mensual'!E105,0))+parametros_manuales!$E$25*('Plan mensual'!E102+IF(parametros_manuales!$H$25="Todos",'Plan mensual'!E106,0))+parametros_manuales!$F$25*('Plan mensual'!E103+IF(parametros_manuales!$H$25="Todos",'Plan mensual'!E107,0))+parametros_manuales!$G$25*('Plan mensual'!E104+IF(parametros_manuales!$H$25="Todos",'Plan mensual'!E108,0)))*parametros_manuales!$I$25*parametros_manuales!$J$25</f>
        <v>24787.39394114</v>
      </c>
      <c r="D251" s="9" t="n">
        <f aca="false">(parametros_manuales!$D$25*('Plan mensual'!F101+IF(parametros_manuales!$H$25="Todos",'Plan mensual'!F105,0))+parametros_manuales!$E$25*('Plan mensual'!F102+IF(parametros_manuales!$H$25="Todos",'Plan mensual'!F106,0))+parametros_manuales!$F$25*('Plan mensual'!F103+IF(parametros_manuales!$H$25="Todos",'Plan mensual'!F107,0))+parametros_manuales!$G$25*('Plan mensual'!F104+IF(parametros_manuales!$H$25="Todos",'Plan mensual'!F108,0)))*parametros_manuales!$I$25*parametros_manuales!$J$25</f>
        <v>23170.658576055</v>
      </c>
      <c r="E251" s="9" t="n">
        <f aca="false">(parametros_manuales!$D$25*('Plan mensual'!G101+IF(parametros_manuales!$H$25="Todos",'Plan mensual'!G105,0))+parametros_manuales!$E$25*('Plan mensual'!G102+IF(parametros_manuales!$H$25="Todos",'Plan mensual'!G106,0))+parametros_manuales!$F$25*('Plan mensual'!G103+IF(parametros_manuales!$H$25="Todos",'Plan mensual'!G107,0))+parametros_manuales!$G$25*('Plan mensual'!G104+IF(parametros_manuales!$H$25="Todos",'Plan mensual'!G108,0)))*parametros_manuales!$I$25*parametros_manuales!$J$25</f>
        <v>22157.555380405</v>
      </c>
      <c r="F251" s="9" t="n">
        <f aca="false">(parametros_manuales!$D$25*('Plan mensual'!H101+IF(parametros_manuales!$H$25="Todos",'Plan mensual'!H105,0))+parametros_manuales!$E$25*('Plan mensual'!H102+IF(parametros_manuales!$H$25="Todos",'Plan mensual'!H106,0))+parametros_manuales!$F$25*('Plan mensual'!H103+IF(parametros_manuales!$H$25="Todos",'Plan mensual'!H107,0))+parametros_manuales!$G$25*('Plan mensual'!H104+IF(parametros_manuales!$H$25="Todos",'Plan mensual'!H108,0)))*parametros_manuales!$I$25*parametros_manuales!$J$25</f>
        <v>20734.98115854</v>
      </c>
      <c r="G251" s="9" t="n">
        <f aca="false">(parametros_manuales!$D$25*('Plan mensual'!I101+IF(parametros_manuales!$H$25="Todos",'Plan mensual'!I105,0))+parametros_manuales!$E$25*('Plan mensual'!I102+IF(parametros_manuales!$H$25="Todos",'Plan mensual'!I106,0))+parametros_manuales!$F$25*('Plan mensual'!I103+IF(parametros_manuales!$H$25="Todos",'Plan mensual'!I107,0))+parametros_manuales!$G$25*('Plan mensual'!I104+IF(parametros_manuales!$H$25="Todos",'Plan mensual'!I108,0)))*parametros_manuales!$I$25*parametros_manuales!$J$25</f>
        <v>20325.510132325</v>
      </c>
      <c r="H251" s="9" t="n">
        <f aca="false">(parametros_manuales!$D$25*('Plan mensual'!J101+IF(parametros_manuales!$H$25="Todos",'Plan mensual'!J105,0))+parametros_manuales!$E$25*('Plan mensual'!J102+IF(parametros_manuales!$H$25="Todos",'Plan mensual'!J106,0))+parametros_manuales!$F$25*('Plan mensual'!J103+IF(parametros_manuales!$H$25="Todos",'Plan mensual'!J107,0))+parametros_manuales!$G$25*('Plan mensual'!J104+IF(parametros_manuales!$H$25="Todos",'Plan mensual'!J108,0)))*parametros_manuales!$I$25*parametros_manuales!$J$25</f>
        <v>21748.08435419</v>
      </c>
      <c r="I251" s="9" t="n">
        <f aca="false">(parametros_manuales!$D$25*('Plan mensual'!K101+IF(parametros_manuales!$H$25="Todos",'Plan mensual'!K105,0))+parametros_manuales!$E$25*('Plan mensual'!K102+IF(parametros_manuales!$H$25="Todos",'Plan mensual'!K106,0))+parametros_manuales!$F$25*('Plan mensual'!K103+IF(parametros_manuales!$H$25="Todos",'Plan mensual'!K107,0))+parametros_manuales!$G$25*('Plan mensual'!K104+IF(parametros_manuales!$H$25="Todos",'Plan mensual'!K108,0)))*parametros_manuales!$I$25*parametros_manuales!$J$25</f>
        <v>21748.08435419</v>
      </c>
      <c r="J251" s="9" t="n">
        <f aca="false">(parametros_manuales!$D$25*('Plan mensual'!L101+IF(parametros_manuales!$H$25="Todos",'Plan mensual'!L105,0))+parametros_manuales!$E$25*('Plan mensual'!L102+IF(parametros_manuales!$H$25="Todos",'Plan mensual'!L106,0))+parametros_manuales!$F$25*('Plan mensual'!L103+IF(parametros_manuales!$H$25="Todos",'Plan mensual'!L107,0))+parametros_manuales!$G$25*('Plan mensual'!L104+IF(parametros_manuales!$H$25="Todos",'Plan mensual'!L108,0)))*parametros_manuales!$I$25*parametros_manuales!$J$25</f>
        <v>21748.08435419</v>
      </c>
      <c r="K251" s="9" t="n">
        <f aca="false">(parametros_manuales!$D$25*('Plan mensual'!M101+IF(parametros_manuales!$H$25="Todos",'Plan mensual'!M105,0))+parametros_manuales!$E$25*('Plan mensual'!M102+IF(parametros_manuales!$H$25="Todos",'Plan mensual'!M106,0))+parametros_manuales!$F$25*('Plan mensual'!M103+IF(parametros_manuales!$H$25="Todos",'Plan mensual'!M107,0))+parametros_manuales!$G$25*('Plan mensual'!M104+IF(parametros_manuales!$H$25="Todos",'Plan mensual'!M108,0)))*parametros_manuales!$I$25*parametros_manuales!$J$25</f>
        <v>21338.613327975</v>
      </c>
      <c r="L251" s="9" t="n">
        <f aca="false">(parametros_manuales!$D$25*('Plan mensual'!N101+IF(parametros_manuales!$H$25="Todos",'Plan mensual'!N105,0))+parametros_manuales!$E$25*('Plan mensual'!N102+IF(parametros_manuales!$H$25="Todos",'Plan mensual'!N106,0))+parametros_manuales!$F$25*('Plan mensual'!N103+IF(parametros_manuales!$H$25="Todos",'Plan mensual'!N107,0))+parametros_manuales!$G$25*('Plan mensual'!N104+IF(parametros_manuales!$H$25="Todos",'Plan mensual'!N108,0)))*parametros_manuales!$I$25*parametros_manuales!$J$25</f>
        <v>20929.14230176</v>
      </c>
      <c r="M251" s="9" t="n">
        <f aca="false">(parametros_manuales!$D$25*('Plan mensual'!O101+IF(parametros_manuales!$H$25="Todos",'Plan mensual'!O105,0))+parametros_manuales!$E$25*('Plan mensual'!O102+IF(parametros_manuales!$H$25="Todos",'Plan mensual'!O106,0))+parametros_manuales!$F$25*('Plan mensual'!O103+IF(parametros_manuales!$H$25="Todos",'Plan mensual'!O107,0))+parametros_manuales!$G$25*('Plan mensual'!O104+IF(parametros_manuales!$H$25="Todos",'Plan mensual'!O108,0)))*parametros_manuales!$I$25*parametros_manuales!$J$25</f>
        <v>33322.83927233</v>
      </c>
      <c r="N251" s="9" t="n">
        <f aca="false">SUM(B251:M251)</f>
        <v>284514.844373</v>
      </c>
      <c r="O251" s="9" t="n">
        <f aca="false">MAX(B251:M251)</f>
        <v>33322.83927233</v>
      </c>
      <c r="P251" s="43" t="n">
        <f aca="false">O251/(parametros_manuales!$B$7)</f>
        <v>222.152261815533</v>
      </c>
      <c r="Q251" s="8" t="str">
        <f aca="false">IF(O251=0,"-",INDEX($B$244:$M$244,MATCH(O251,B251:M251,0)))</f>
        <v>Dic</v>
      </c>
    </row>
    <row r="252" customFormat="false" ht="14.25" hidden="false" customHeight="true" outlineLevel="0" collapsed="false">
      <c r="A252" s="8" t="str">
        <f aca="false">parametros_manuales!$B$26</f>
        <v>Cilindrado</v>
      </c>
      <c r="B252" s="9" t="n">
        <f aca="false">(parametros_manuales!$D$26*('Plan mensual'!D101+IF(parametros_manuales!$H$26="Todos",'Plan mensual'!D105,0))+parametros_manuales!$E$26*('Plan mensual'!D102+IF(parametros_manuales!$H$26="Todos",'Plan mensual'!D106,0))+parametros_manuales!$F$26*('Plan mensual'!D103+IF(parametros_manuales!$H$26="Todos",'Plan mensual'!D107,0))+parametros_manuales!$G$26*('Plan mensual'!D104+IF(parametros_manuales!$H$26="Todos",'Plan mensual'!D108,0)))*parametros_manuales!$I$26*parametros_manuales!$J$26</f>
        <v>8189.4205243</v>
      </c>
      <c r="C252" s="9" t="n">
        <f aca="false">(parametros_manuales!$D$26*('Plan mensual'!E101+IF(parametros_manuales!$H$26="Todos",'Plan mensual'!E105,0))+parametros_manuales!$E$26*('Plan mensual'!E102+IF(parametros_manuales!$H$26="Todos",'Plan mensual'!E106,0))+parametros_manuales!$F$26*('Plan mensual'!E103+IF(parametros_manuales!$H$26="Todos",'Plan mensual'!E107,0))+parametros_manuales!$G$26*('Plan mensual'!E104+IF(parametros_manuales!$H$26="Todos",'Plan mensual'!E108,0)))*parametros_manuales!$I$26*parametros_manuales!$J$26</f>
        <v>6551.53641944</v>
      </c>
      <c r="D252" s="9" t="n">
        <f aca="false">(parametros_manuales!$D$26*('Plan mensual'!F101+IF(parametros_manuales!$H$26="Todos",'Plan mensual'!F105,0))+parametros_manuales!$E$26*('Plan mensual'!F102+IF(parametros_manuales!$H$26="Todos",'Plan mensual'!F106,0))+parametros_manuales!$F$26*('Plan mensual'!F103+IF(parametros_manuales!$H$26="Todos",'Plan mensual'!F107,0))+parametros_manuales!$G$26*('Plan mensual'!F104+IF(parametros_manuales!$H$26="Todos",'Plan mensual'!F108,0)))*parametros_manuales!$I$26*parametros_manuales!$J$26</f>
        <v>6961.007445655</v>
      </c>
      <c r="E252" s="9" t="n">
        <f aca="false">(parametros_manuales!$D$26*('Plan mensual'!G101+IF(parametros_manuales!$H$26="Todos",'Plan mensual'!G105,0))+parametros_manuales!$E$26*('Plan mensual'!G102+IF(parametros_manuales!$H$26="Todos",'Plan mensual'!G106,0))+parametros_manuales!$F$26*('Plan mensual'!G103+IF(parametros_manuales!$H$26="Todos",'Plan mensual'!G107,0))+parametros_manuales!$G$26*('Plan mensual'!G104+IF(parametros_manuales!$H$26="Todos",'Plan mensual'!G108,0)))*parametros_manuales!$I$26*parametros_manuales!$J$26</f>
        <v>6961.007445655</v>
      </c>
      <c r="F252" s="9" t="n">
        <f aca="false">(parametros_manuales!$D$26*('Plan mensual'!H101+IF(parametros_manuales!$H$26="Todos",'Plan mensual'!H105,0))+parametros_manuales!$E$26*('Plan mensual'!H102+IF(parametros_manuales!$H$26="Todos",'Plan mensual'!H106,0))+parametros_manuales!$F$26*('Plan mensual'!H103+IF(parametros_manuales!$H$26="Todos",'Plan mensual'!H107,0))+parametros_manuales!$G$26*('Plan mensual'!H104+IF(parametros_manuales!$H$26="Todos",'Plan mensual'!H108,0)))*parametros_manuales!$I$26*parametros_manuales!$J$26</f>
        <v>6551.53641944</v>
      </c>
      <c r="G252" s="9" t="n">
        <f aca="false">(parametros_manuales!$D$26*('Plan mensual'!I101+IF(parametros_manuales!$H$26="Todos",'Plan mensual'!I105,0))+parametros_manuales!$E$26*('Plan mensual'!I102+IF(parametros_manuales!$H$26="Todos",'Plan mensual'!I106,0))+parametros_manuales!$F$26*('Plan mensual'!I103+IF(parametros_manuales!$H$26="Todos",'Plan mensual'!I107,0))+parametros_manuales!$G$26*('Plan mensual'!I104+IF(parametros_manuales!$H$26="Todos",'Plan mensual'!I108,0)))*parametros_manuales!$I$26*parametros_manuales!$J$26</f>
        <v>6142.065393225</v>
      </c>
      <c r="H252" s="9" t="n">
        <f aca="false">(parametros_manuales!$D$26*('Plan mensual'!J101+IF(parametros_manuales!$H$26="Todos",'Plan mensual'!J105,0))+parametros_manuales!$E$26*('Plan mensual'!J102+IF(parametros_manuales!$H$26="Todos",'Plan mensual'!J106,0))+parametros_manuales!$F$26*('Plan mensual'!J103+IF(parametros_manuales!$H$26="Todos",'Plan mensual'!J107,0))+parametros_manuales!$G$26*('Plan mensual'!J104+IF(parametros_manuales!$H$26="Todos",'Plan mensual'!J108,0)))*parametros_manuales!$I$26*parametros_manuales!$J$26</f>
        <v>6551.53641944</v>
      </c>
      <c r="I252" s="9" t="n">
        <f aca="false">(parametros_manuales!$D$26*('Plan mensual'!K101+IF(parametros_manuales!$H$26="Todos",'Plan mensual'!K105,0))+parametros_manuales!$E$26*('Plan mensual'!K102+IF(parametros_manuales!$H$26="Todos",'Plan mensual'!K106,0))+parametros_manuales!$F$26*('Plan mensual'!K103+IF(parametros_manuales!$H$26="Todos",'Plan mensual'!K107,0))+parametros_manuales!$G$26*('Plan mensual'!K104+IF(parametros_manuales!$H$26="Todos",'Plan mensual'!K108,0)))*parametros_manuales!$I$26*parametros_manuales!$J$26</f>
        <v>6551.53641944</v>
      </c>
      <c r="J252" s="9" t="n">
        <f aca="false">(parametros_manuales!$D$26*('Plan mensual'!L101+IF(parametros_manuales!$H$26="Todos",'Plan mensual'!L105,0))+parametros_manuales!$E$26*('Plan mensual'!L102+IF(parametros_manuales!$H$26="Todos",'Plan mensual'!L106,0))+parametros_manuales!$F$26*('Plan mensual'!L103+IF(parametros_manuales!$H$26="Todos",'Plan mensual'!L107,0))+parametros_manuales!$G$26*('Plan mensual'!L104+IF(parametros_manuales!$H$26="Todos",'Plan mensual'!L108,0)))*parametros_manuales!$I$26*parametros_manuales!$J$26</f>
        <v>6551.53641944</v>
      </c>
      <c r="K252" s="9" t="n">
        <f aca="false">(parametros_manuales!$D$26*('Plan mensual'!M101+IF(parametros_manuales!$H$26="Todos",'Plan mensual'!M105,0))+parametros_manuales!$E$26*('Plan mensual'!M102+IF(parametros_manuales!$H$26="Todos",'Plan mensual'!M106,0))+parametros_manuales!$F$26*('Plan mensual'!M103+IF(parametros_manuales!$H$26="Todos",'Plan mensual'!M107,0))+parametros_manuales!$G$26*('Plan mensual'!M104+IF(parametros_manuales!$H$26="Todos",'Plan mensual'!M108,0)))*parametros_manuales!$I$26*parametros_manuales!$J$26</f>
        <v>6142.065393225</v>
      </c>
      <c r="L252" s="9" t="n">
        <f aca="false">(parametros_manuales!$D$26*('Plan mensual'!N101+IF(parametros_manuales!$H$26="Todos",'Plan mensual'!N105,0))+parametros_manuales!$E$26*('Plan mensual'!N102+IF(parametros_manuales!$H$26="Todos",'Plan mensual'!N106,0))+parametros_manuales!$F$26*('Plan mensual'!N103+IF(parametros_manuales!$H$26="Todos",'Plan mensual'!N107,0))+parametros_manuales!$G$26*('Plan mensual'!N104+IF(parametros_manuales!$H$26="Todos",'Plan mensual'!N108,0)))*parametros_manuales!$I$26*parametros_manuales!$J$26</f>
        <v>5732.59436701</v>
      </c>
      <c r="M252" s="9" t="n">
        <f aca="false">(parametros_manuales!$D$26*('Plan mensual'!O101+IF(parametros_manuales!$H$26="Todos",'Plan mensual'!O105,0))+parametros_manuales!$E$26*('Plan mensual'!O102+IF(parametros_manuales!$H$26="Todos",'Plan mensual'!O106,0))+parametros_manuales!$F$26*('Plan mensual'!O103+IF(parametros_manuales!$H$26="Todos",'Plan mensual'!O107,0))+parametros_manuales!$G$26*('Plan mensual'!O104+IF(parametros_manuales!$H$26="Todos",'Plan mensual'!O108,0)))*parametros_manuales!$I$26*parametros_manuales!$J$26</f>
        <v>9008.36257673</v>
      </c>
      <c r="N252" s="9" t="n">
        <f aca="false">SUM(B252:M252)</f>
        <v>81894.205243</v>
      </c>
      <c r="O252" s="9" t="n">
        <f aca="false">MAX(B252:M252)</f>
        <v>9008.36257673</v>
      </c>
      <c r="P252" s="43" t="n">
        <f aca="false">O252/(parametros_manuales!$B$7)</f>
        <v>60.0557505115333</v>
      </c>
      <c r="Q252" s="8" t="str">
        <f aca="false">IF(O252=0,"-",INDEX($B$244:$M$244,MATCH(O252,B252:M252,0)))</f>
        <v>Dic</v>
      </c>
    </row>
    <row r="253" customFormat="false" ht="14.25" hidden="false" customHeight="true" outlineLevel="0" collapsed="false">
      <c r="A253" s="8" t="str">
        <f aca="false">parametros_manuales!$B$27</f>
        <v>Soldadura longitudinal</v>
      </c>
      <c r="B253" s="9" t="n">
        <f aca="false">(parametros_manuales!$D$27*('Plan mensual'!D101+IF(parametros_manuales!$H$27="Todos",'Plan mensual'!D105,0))+parametros_manuales!$E$27*('Plan mensual'!D102+IF(parametros_manuales!$H$27="Todos",'Plan mensual'!D106,0))+parametros_manuales!$F$27*('Plan mensual'!D103+IF(parametros_manuales!$H$27="Todos",'Plan mensual'!D107,0))+parametros_manuales!$G$27*('Plan mensual'!D104+IF(parametros_manuales!$H$27="Todos",'Plan mensual'!D108,0)))*parametros_manuales!$I$27*parametros_manuales!$J$27</f>
        <v>8189.4205243</v>
      </c>
      <c r="C253" s="9" t="n">
        <f aca="false">(parametros_manuales!$D$27*('Plan mensual'!E101+IF(parametros_manuales!$H$27="Todos",'Plan mensual'!E105,0))+parametros_manuales!$E$27*('Plan mensual'!E102+IF(parametros_manuales!$H$27="Todos",'Plan mensual'!E106,0))+parametros_manuales!$F$27*('Plan mensual'!E103+IF(parametros_manuales!$H$27="Todos",'Plan mensual'!E107,0))+parametros_manuales!$G$27*('Plan mensual'!E104+IF(parametros_manuales!$H$27="Todos",'Plan mensual'!E108,0)))*parametros_manuales!$I$27*parametros_manuales!$J$27</f>
        <v>6551.53641944</v>
      </c>
      <c r="D253" s="9" t="n">
        <f aca="false">(parametros_manuales!$D$27*('Plan mensual'!F101+IF(parametros_manuales!$H$27="Todos",'Plan mensual'!F105,0))+parametros_manuales!$E$27*('Plan mensual'!F102+IF(parametros_manuales!$H$27="Todos",'Plan mensual'!F106,0))+parametros_manuales!$F$27*('Plan mensual'!F103+IF(parametros_manuales!$H$27="Todos",'Plan mensual'!F107,0))+parametros_manuales!$G$27*('Plan mensual'!F104+IF(parametros_manuales!$H$27="Todos",'Plan mensual'!F108,0)))*parametros_manuales!$I$27*parametros_manuales!$J$27</f>
        <v>6961.007445655</v>
      </c>
      <c r="E253" s="9" t="n">
        <f aca="false">(parametros_manuales!$D$27*('Plan mensual'!G101+IF(parametros_manuales!$H$27="Todos",'Plan mensual'!G105,0))+parametros_manuales!$E$27*('Plan mensual'!G102+IF(parametros_manuales!$H$27="Todos",'Plan mensual'!G106,0))+parametros_manuales!$F$27*('Plan mensual'!G103+IF(parametros_manuales!$H$27="Todos",'Plan mensual'!G107,0))+parametros_manuales!$G$27*('Plan mensual'!G104+IF(parametros_manuales!$H$27="Todos",'Plan mensual'!G108,0)))*parametros_manuales!$I$27*parametros_manuales!$J$27</f>
        <v>6961.007445655</v>
      </c>
      <c r="F253" s="9" t="n">
        <f aca="false">(parametros_manuales!$D$27*('Plan mensual'!H101+IF(parametros_manuales!$H$27="Todos",'Plan mensual'!H105,0))+parametros_manuales!$E$27*('Plan mensual'!H102+IF(parametros_manuales!$H$27="Todos",'Plan mensual'!H106,0))+parametros_manuales!$F$27*('Plan mensual'!H103+IF(parametros_manuales!$H$27="Todos",'Plan mensual'!H107,0))+parametros_manuales!$G$27*('Plan mensual'!H104+IF(parametros_manuales!$H$27="Todos",'Plan mensual'!H108,0)))*parametros_manuales!$I$27*parametros_manuales!$J$27</f>
        <v>6551.53641944</v>
      </c>
      <c r="G253" s="9" t="n">
        <f aca="false">(parametros_manuales!$D$27*('Plan mensual'!I101+IF(parametros_manuales!$H$27="Todos",'Plan mensual'!I105,0))+parametros_manuales!$E$27*('Plan mensual'!I102+IF(parametros_manuales!$H$27="Todos",'Plan mensual'!I106,0))+parametros_manuales!$F$27*('Plan mensual'!I103+IF(parametros_manuales!$H$27="Todos",'Plan mensual'!I107,0))+parametros_manuales!$G$27*('Plan mensual'!I104+IF(parametros_manuales!$H$27="Todos",'Plan mensual'!I108,0)))*parametros_manuales!$I$27*parametros_manuales!$J$27</f>
        <v>6142.065393225</v>
      </c>
      <c r="H253" s="9" t="n">
        <f aca="false">(parametros_manuales!$D$27*('Plan mensual'!J101+IF(parametros_manuales!$H$27="Todos",'Plan mensual'!J105,0))+parametros_manuales!$E$27*('Plan mensual'!J102+IF(parametros_manuales!$H$27="Todos",'Plan mensual'!J106,0))+parametros_manuales!$F$27*('Plan mensual'!J103+IF(parametros_manuales!$H$27="Todos",'Plan mensual'!J107,0))+parametros_manuales!$G$27*('Plan mensual'!J104+IF(parametros_manuales!$H$27="Todos",'Plan mensual'!J108,0)))*parametros_manuales!$I$27*parametros_manuales!$J$27</f>
        <v>6551.53641944</v>
      </c>
      <c r="I253" s="9" t="n">
        <f aca="false">(parametros_manuales!$D$27*('Plan mensual'!K101+IF(parametros_manuales!$H$27="Todos",'Plan mensual'!K105,0))+parametros_manuales!$E$27*('Plan mensual'!K102+IF(parametros_manuales!$H$27="Todos",'Plan mensual'!K106,0))+parametros_manuales!$F$27*('Plan mensual'!K103+IF(parametros_manuales!$H$27="Todos",'Plan mensual'!K107,0))+parametros_manuales!$G$27*('Plan mensual'!K104+IF(parametros_manuales!$H$27="Todos",'Plan mensual'!K108,0)))*parametros_manuales!$I$27*parametros_manuales!$J$27</f>
        <v>6551.53641944</v>
      </c>
      <c r="J253" s="9" t="n">
        <f aca="false">(parametros_manuales!$D$27*('Plan mensual'!L101+IF(parametros_manuales!$H$27="Todos",'Plan mensual'!L105,0))+parametros_manuales!$E$27*('Plan mensual'!L102+IF(parametros_manuales!$H$27="Todos",'Plan mensual'!L106,0))+parametros_manuales!$F$27*('Plan mensual'!L103+IF(parametros_manuales!$H$27="Todos",'Plan mensual'!L107,0))+parametros_manuales!$G$27*('Plan mensual'!L104+IF(parametros_manuales!$H$27="Todos",'Plan mensual'!L108,0)))*parametros_manuales!$I$27*parametros_manuales!$J$27</f>
        <v>6551.53641944</v>
      </c>
      <c r="K253" s="9" t="n">
        <f aca="false">(parametros_manuales!$D$27*('Plan mensual'!M101+IF(parametros_manuales!$H$27="Todos",'Plan mensual'!M105,0))+parametros_manuales!$E$27*('Plan mensual'!M102+IF(parametros_manuales!$H$27="Todos",'Plan mensual'!M106,0))+parametros_manuales!$F$27*('Plan mensual'!M103+IF(parametros_manuales!$H$27="Todos",'Plan mensual'!M107,0))+parametros_manuales!$G$27*('Plan mensual'!M104+IF(parametros_manuales!$H$27="Todos",'Plan mensual'!M108,0)))*parametros_manuales!$I$27*parametros_manuales!$J$27</f>
        <v>6142.065393225</v>
      </c>
      <c r="L253" s="9" t="n">
        <f aca="false">(parametros_manuales!$D$27*('Plan mensual'!N101+IF(parametros_manuales!$H$27="Todos",'Plan mensual'!N105,0))+parametros_manuales!$E$27*('Plan mensual'!N102+IF(parametros_manuales!$H$27="Todos",'Plan mensual'!N106,0))+parametros_manuales!$F$27*('Plan mensual'!N103+IF(parametros_manuales!$H$27="Todos",'Plan mensual'!N107,0))+parametros_manuales!$G$27*('Plan mensual'!N104+IF(parametros_manuales!$H$27="Todos",'Plan mensual'!N108,0)))*parametros_manuales!$I$27*parametros_manuales!$J$27</f>
        <v>5732.59436701</v>
      </c>
      <c r="M253" s="9" t="n">
        <f aca="false">(parametros_manuales!$D$27*('Plan mensual'!O101+IF(parametros_manuales!$H$27="Todos",'Plan mensual'!O105,0))+parametros_manuales!$E$27*('Plan mensual'!O102+IF(parametros_manuales!$H$27="Todos",'Plan mensual'!O106,0))+parametros_manuales!$F$27*('Plan mensual'!O103+IF(parametros_manuales!$H$27="Todos",'Plan mensual'!O107,0))+parametros_manuales!$G$27*('Plan mensual'!O104+IF(parametros_manuales!$H$27="Todos",'Plan mensual'!O108,0)))*parametros_manuales!$I$27*parametros_manuales!$J$27</f>
        <v>9008.36257673</v>
      </c>
      <c r="N253" s="9" t="n">
        <f aca="false">SUM(B253:M253)</f>
        <v>81894.205243</v>
      </c>
      <c r="O253" s="9" t="n">
        <f aca="false">MAX(B253:M253)</f>
        <v>9008.36257673</v>
      </c>
      <c r="P253" s="43" t="n">
        <f aca="false">O253/(parametros_manuales!$B$7)</f>
        <v>60.0557505115333</v>
      </c>
      <c r="Q253" s="8" t="str">
        <f aca="false">IF(O253=0,"-",INDEX($B$244:$M$244,MATCH(O253,B253:M253,0)))</f>
        <v>Dic</v>
      </c>
    </row>
    <row r="254" customFormat="false" ht="14.25" hidden="false" customHeight="true" outlineLevel="0" collapsed="false">
      <c r="A254" s="8" t="str">
        <f aca="false">parametros_manuales!$B$28</f>
        <v>Encastre de fondo</v>
      </c>
      <c r="B254" s="9" t="n">
        <f aca="false">(parametros_manuales!$D$28*('Plan mensual'!D101+IF(parametros_manuales!$H$28="Todos",'Plan mensual'!D105,0))+parametros_manuales!$E$28*('Plan mensual'!D102+IF(parametros_manuales!$H$28="Todos",'Plan mensual'!D106,0))+parametros_manuales!$F$28*('Plan mensual'!D103+IF(parametros_manuales!$H$28="Todos",'Plan mensual'!D107,0))+parametros_manuales!$G$28*('Plan mensual'!D104+IF(parametros_manuales!$H$28="Todos",'Plan mensual'!D108,0)))*parametros_manuales!$I$28*parametros_manuales!$J$28</f>
        <v>32503.8972199</v>
      </c>
      <c r="C254" s="9" t="n">
        <f aca="false">(parametros_manuales!$D$28*('Plan mensual'!E101+IF(parametros_manuales!$H$28="Todos",'Plan mensual'!E105,0))+parametros_manuales!$E$28*('Plan mensual'!E102+IF(parametros_manuales!$H$28="Todos",'Plan mensual'!E106,0))+parametros_manuales!$F$28*('Plan mensual'!E103+IF(parametros_manuales!$H$28="Todos",'Plan mensual'!E107,0))+parametros_manuales!$G$28*('Plan mensual'!E104+IF(parametros_manuales!$H$28="Todos",'Plan mensual'!E108,0)))*parametros_manuales!$I$28*parametros_manuales!$J$28</f>
        <v>24787.39394114</v>
      </c>
      <c r="D254" s="9" t="n">
        <f aca="false">(parametros_manuales!$D$28*('Plan mensual'!F101+IF(parametros_manuales!$H$28="Todos",'Plan mensual'!F105,0))+parametros_manuales!$E$28*('Plan mensual'!F102+IF(parametros_manuales!$H$28="Todos",'Plan mensual'!F106,0))+parametros_manuales!$F$28*('Plan mensual'!F103+IF(parametros_manuales!$H$28="Todos",'Plan mensual'!F107,0))+parametros_manuales!$G$28*('Plan mensual'!F104+IF(parametros_manuales!$H$28="Todos",'Plan mensual'!F108,0)))*parametros_manuales!$I$28*parametros_manuales!$J$28</f>
        <v>23170.658576055</v>
      </c>
      <c r="E254" s="9" t="n">
        <f aca="false">(parametros_manuales!$D$28*('Plan mensual'!G101+IF(parametros_manuales!$H$28="Todos",'Plan mensual'!G105,0))+parametros_manuales!$E$28*('Plan mensual'!G102+IF(parametros_manuales!$H$28="Todos",'Plan mensual'!G106,0))+parametros_manuales!$F$28*('Plan mensual'!G103+IF(parametros_manuales!$H$28="Todos",'Plan mensual'!G107,0))+parametros_manuales!$G$28*('Plan mensual'!G104+IF(parametros_manuales!$H$28="Todos",'Plan mensual'!G108,0)))*parametros_manuales!$I$28*parametros_manuales!$J$28</f>
        <v>22157.555380405</v>
      </c>
      <c r="F254" s="9" t="n">
        <f aca="false">(parametros_manuales!$D$28*('Plan mensual'!H101+IF(parametros_manuales!$H$28="Todos",'Plan mensual'!H105,0))+parametros_manuales!$E$28*('Plan mensual'!H102+IF(parametros_manuales!$H$28="Todos",'Plan mensual'!H106,0))+parametros_manuales!$F$28*('Plan mensual'!H103+IF(parametros_manuales!$H$28="Todos",'Plan mensual'!H107,0))+parametros_manuales!$G$28*('Plan mensual'!H104+IF(parametros_manuales!$H$28="Todos",'Plan mensual'!H108,0)))*parametros_manuales!$I$28*parametros_manuales!$J$28</f>
        <v>20734.98115854</v>
      </c>
      <c r="G254" s="9" t="n">
        <f aca="false">(parametros_manuales!$D$28*('Plan mensual'!I101+IF(parametros_manuales!$H$28="Todos",'Plan mensual'!I105,0))+parametros_manuales!$E$28*('Plan mensual'!I102+IF(parametros_manuales!$H$28="Todos",'Plan mensual'!I106,0))+parametros_manuales!$F$28*('Plan mensual'!I103+IF(parametros_manuales!$H$28="Todos",'Plan mensual'!I107,0))+parametros_manuales!$G$28*('Plan mensual'!I104+IF(parametros_manuales!$H$28="Todos",'Plan mensual'!I108,0)))*parametros_manuales!$I$28*parametros_manuales!$J$28</f>
        <v>20325.510132325</v>
      </c>
      <c r="H254" s="9" t="n">
        <f aca="false">(parametros_manuales!$D$28*('Plan mensual'!J101+IF(parametros_manuales!$H$28="Todos",'Plan mensual'!J105,0))+parametros_manuales!$E$28*('Plan mensual'!J102+IF(parametros_manuales!$H$28="Todos",'Plan mensual'!J106,0))+parametros_manuales!$F$28*('Plan mensual'!J103+IF(parametros_manuales!$H$28="Todos",'Plan mensual'!J107,0))+parametros_manuales!$G$28*('Plan mensual'!J104+IF(parametros_manuales!$H$28="Todos",'Plan mensual'!J108,0)))*parametros_manuales!$I$28*parametros_manuales!$J$28</f>
        <v>21748.08435419</v>
      </c>
      <c r="I254" s="9" t="n">
        <f aca="false">(parametros_manuales!$D$28*('Plan mensual'!K101+IF(parametros_manuales!$H$28="Todos",'Plan mensual'!K105,0))+parametros_manuales!$E$28*('Plan mensual'!K102+IF(parametros_manuales!$H$28="Todos",'Plan mensual'!K106,0))+parametros_manuales!$F$28*('Plan mensual'!K103+IF(parametros_manuales!$H$28="Todos",'Plan mensual'!K107,0))+parametros_manuales!$G$28*('Plan mensual'!K104+IF(parametros_manuales!$H$28="Todos",'Plan mensual'!K108,0)))*parametros_manuales!$I$28*parametros_manuales!$J$28</f>
        <v>21748.08435419</v>
      </c>
      <c r="J254" s="9" t="n">
        <f aca="false">(parametros_manuales!$D$28*('Plan mensual'!L101+IF(parametros_manuales!$H$28="Todos",'Plan mensual'!L105,0))+parametros_manuales!$E$28*('Plan mensual'!L102+IF(parametros_manuales!$H$28="Todos",'Plan mensual'!L106,0))+parametros_manuales!$F$28*('Plan mensual'!L103+IF(parametros_manuales!$H$28="Todos",'Plan mensual'!L107,0))+parametros_manuales!$G$28*('Plan mensual'!L104+IF(parametros_manuales!$H$28="Todos",'Plan mensual'!L108,0)))*parametros_manuales!$I$28*parametros_manuales!$J$28</f>
        <v>21748.08435419</v>
      </c>
      <c r="K254" s="9" t="n">
        <f aca="false">(parametros_manuales!$D$28*('Plan mensual'!M101+IF(parametros_manuales!$H$28="Todos",'Plan mensual'!M105,0))+parametros_manuales!$E$28*('Plan mensual'!M102+IF(parametros_manuales!$H$28="Todos",'Plan mensual'!M106,0))+parametros_manuales!$F$28*('Plan mensual'!M103+IF(parametros_manuales!$H$28="Todos",'Plan mensual'!M107,0))+parametros_manuales!$G$28*('Plan mensual'!M104+IF(parametros_manuales!$H$28="Todos",'Plan mensual'!M108,0)))*parametros_manuales!$I$28*parametros_manuales!$J$28</f>
        <v>21338.613327975</v>
      </c>
      <c r="L254" s="9" t="n">
        <f aca="false">(parametros_manuales!$D$28*('Plan mensual'!N101+IF(parametros_manuales!$H$28="Todos",'Plan mensual'!N105,0))+parametros_manuales!$E$28*('Plan mensual'!N102+IF(parametros_manuales!$H$28="Todos",'Plan mensual'!N106,0))+parametros_manuales!$F$28*('Plan mensual'!N103+IF(parametros_manuales!$H$28="Todos",'Plan mensual'!N107,0))+parametros_manuales!$G$28*('Plan mensual'!N104+IF(parametros_manuales!$H$28="Todos",'Plan mensual'!N108,0)))*parametros_manuales!$I$28*parametros_manuales!$J$28</f>
        <v>20929.14230176</v>
      </c>
      <c r="M254" s="9" t="n">
        <f aca="false">(parametros_manuales!$D$28*('Plan mensual'!O101+IF(parametros_manuales!$H$28="Todos",'Plan mensual'!O105,0))+parametros_manuales!$E$28*('Plan mensual'!O102+IF(parametros_manuales!$H$28="Todos",'Plan mensual'!O106,0))+parametros_manuales!$F$28*('Plan mensual'!O103+IF(parametros_manuales!$H$28="Todos",'Plan mensual'!O107,0))+parametros_manuales!$G$28*('Plan mensual'!O104+IF(parametros_manuales!$H$28="Todos",'Plan mensual'!O108,0)))*parametros_manuales!$I$28*parametros_manuales!$J$28</f>
        <v>33322.83927233</v>
      </c>
      <c r="N254" s="9" t="n">
        <f aca="false">SUM(B254:M254)</f>
        <v>284514.844373</v>
      </c>
      <c r="O254" s="9" t="n">
        <f aca="false">MAX(B254:M254)</f>
        <v>33322.83927233</v>
      </c>
      <c r="P254" s="43" t="n">
        <f aca="false">O254/(parametros_manuales!$B$7)</f>
        <v>222.152261815533</v>
      </c>
      <c r="Q254" s="8" t="str">
        <f aca="false">IF(O254=0,"-",INDEX($B$244:$M$244,MATCH(O254,B254:M254,0)))</f>
        <v>Dic</v>
      </c>
    </row>
    <row r="255" customFormat="false" ht="14.25" hidden="false" customHeight="true" outlineLevel="0" collapsed="false">
      <c r="A255" s="8" t="str">
        <f aca="false">parametros_manuales!$B$29</f>
        <v>Bordoneado</v>
      </c>
      <c r="B255" s="9" t="n">
        <f aca="false">(parametros_manuales!$D$29*('Plan mensual'!D101+IF(parametros_manuales!$H$29="Todos",'Plan mensual'!D105,0))+parametros_manuales!$E$29*('Plan mensual'!D102+IF(parametros_manuales!$H$29="Todos",'Plan mensual'!D106,0))+parametros_manuales!$F$29*('Plan mensual'!D103+IF(parametros_manuales!$H$29="Todos",'Plan mensual'!D107,0))+parametros_manuales!$G$29*('Plan mensual'!D104+IF(parametros_manuales!$H$29="Todos",'Plan mensual'!D108,0)))*parametros_manuales!$I$29*parametros_manuales!$J$29</f>
        <v>32503.8972199</v>
      </c>
      <c r="C255" s="9" t="n">
        <f aca="false">(parametros_manuales!$D$29*('Plan mensual'!E101+IF(parametros_manuales!$H$29="Todos",'Plan mensual'!E105,0))+parametros_manuales!$E$29*('Plan mensual'!E102+IF(parametros_manuales!$H$29="Todos",'Plan mensual'!E106,0))+parametros_manuales!$F$29*('Plan mensual'!E103+IF(parametros_manuales!$H$29="Todos",'Plan mensual'!E107,0))+parametros_manuales!$G$29*('Plan mensual'!E104+IF(parametros_manuales!$H$29="Todos",'Plan mensual'!E108,0)))*parametros_manuales!$I$29*parametros_manuales!$J$29</f>
        <v>24787.39394114</v>
      </c>
      <c r="D255" s="9" t="n">
        <f aca="false">(parametros_manuales!$D$29*('Plan mensual'!F101+IF(parametros_manuales!$H$29="Todos",'Plan mensual'!F105,0))+parametros_manuales!$E$29*('Plan mensual'!F102+IF(parametros_manuales!$H$29="Todos",'Plan mensual'!F106,0))+parametros_manuales!$F$29*('Plan mensual'!F103+IF(parametros_manuales!$H$29="Todos",'Plan mensual'!F107,0))+parametros_manuales!$G$29*('Plan mensual'!F104+IF(parametros_manuales!$H$29="Todos",'Plan mensual'!F108,0)))*parametros_manuales!$I$29*parametros_manuales!$J$29</f>
        <v>23170.658576055</v>
      </c>
      <c r="E255" s="9" t="n">
        <f aca="false">(parametros_manuales!$D$29*('Plan mensual'!G101+IF(parametros_manuales!$H$29="Todos",'Plan mensual'!G105,0))+parametros_manuales!$E$29*('Plan mensual'!G102+IF(parametros_manuales!$H$29="Todos",'Plan mensual'!G106,0))+parametros_manuales!$F$29*('Plan mensual'!G103+IF(parametros_manuales!$H$29="Todos",'Plan mensual'!G107,0))+parametros_manuales!$G$29*('Plan mensual'!G104+IF(parametros_manuales!$H$29="Todos",'Plan mensual'!G108,0)))*parametros_manuales!$I$29*parametros_manuales!$J$29</f>
        <v>22157.555380405</v>
      </c>
      <c r="F255" s="9" t="n">
        <f aca="false">(parametros_manuales!$D$29*('Plan mensual'!H101+IF(parametros_manuales!$H$29="Todos",'Plan mensual'!H105,0))+parametros_manuales!$E$29*('Plan mensual'!H102+IF(parametros_manuales!$H$29="Todos",'Plan mensual'!H106,0))+parametros_manuales!$F$29*('Plan mensual'!H103+IF(parametros_manuales!$H$29="Todos",'Plan mensual'!H107,0))+parametros_manuales!$G$29*('Plan mensual'!H104+IF(parametros_manuales!$H$29="Todos",'Plan mensual'!H108,0)))*parametros_manuales!$I$29*parametros_manuales!$J$29</f>
        <v>20734.98115854</v>
      </c>
      <c r="G255" s="9" t="n">
        <f aca="false">(parametros_manuales!$D$29*('Plan mensual'!I101+IF(parametros_manuales!$H$29="Todos",'Plan mensual'!I105,0))+parametros_manuales!$E$29*('Plan mensual'!I102+IF(parametros_manuales!$H$29="Todos",'Plan mensual'!I106,0))+parametros_manuales!$F$29*('Plan mensual'!I103+IF(parametros_manuales!$H$29="Todos",'Plan mensual'!I107,0))+parametros_manuales!$G$29*('Plan mensual'!I104+IF(parametros_manuales!$H$29="Todos",'Plan mensual'!I108,0)))*parametros_manuales!$I$29*parametros_manuales!$J$29</f>
        <v>20325.510132325</v>
      </c>
      <c r="H255" s="9" t="n">
        <f aca="false">(parametros_manuales!$D$29*('Plan mensual'!J101+IF(parametros_manuales!$H$29="Todos",'Plan mensual'!J105,0))+parametros_manuales!$E$29*('Plan mensual'!J102+IF(parametros_manuales!$H$29="Todos",'Plan mensual'!J106,0))+parametros_manuales!$F$29*('Plan mensual'!J103+IF(parametros_manuales!$H$29="Todos",'Plan mensual'!J107,0))+parametros_manuales!$G$29*('Plan mensual'!J104+IF(parametros_manuales!$H$29="Todos",'Plan mensual'!J108,0)))*parametros_manuales!$I$29*parametros_manuales!$J$29</f>
        <v>21748.08435419</v>
      </c>
      <c r="I255" s="9" t="n">
        <f aca="false">(parametros_manuales!$D$29*('Plan mensual'!K101+IF(parametros_manuales!$H$29="Todos",'Plan mensual'!K105,0))+parametros_manuales!$E$29*('Plan mensual'!K102+IF(parametros_manuales!$H$29="Todos",'Plan mensual'!K106,0))+parametros_manuales!$F$29*('Plan mensual'!K103+IF(parametros_manuales!$H$29="Todos",'Plan mensual'!K107,0))+parametros_manuales!$G$29*('Plan mensual'!K104+IF(parametros_manuales!$H$29="Todos",'Plan mensual'!K108,0)))*parametros_manuales!$I$29*parametros_manuales!$J$29</f>
        <v>21748.08435419</v>
      </c>
      <c r="J255" s="9" t="n">
        <f aca="false">(parametros_manuales!$D$29*('Plan mensual'!L101+IF(parametros_manuales!$H$29="Todos",'Plan mensual'!L105,0))+parametros_manuales!$E$29*('Plan mensual'!L102+IF(parametros_manuales!$H$29="Todos",'Plan mensual'!L106,0))+parametros_manuales!$F$29*('Plan mensual'!L103+IF(parametros_manuales!$H$29="Todos",'Plan mensual'!L107,0))+parametros_manuales!$G$29*('Plan mensual'!L104+IF(parametros_manuales!$H$29="Todos",'Plan mensual'!L108,0)))*parametros_manuales!$I$29*parametros_manuales!$J$29</f>
        <v>21748.08435419</v>
      </c>
      <c r="K255" s="9" t="n">
        <f aca="false">(parametros_manuales!$D$29*('Plan mensual'!M101+IF(parametros_manuales!$H$29="Todos",'Plan mensual'!M105,0))+parametros_manuales!$E$29*('Plan mensual'!M102+IF(parametros_manuales!$H$29="Todos",'Plan mensual'!M106,0))+parametros_manuales!$F$29*('Plan mensual'!M103+IF(parametros_manuales!$H$29="Todos",'Plan mensual'!M107,0))+parametros_manuales!$G$29*('Plan mensual'!M104+IF(parametros_manuales!$H$29="Todos",'Plan mensual'!M108,0)))*parametros_manuales!$I$29*parametros_manuales!$J$29</f>
        <v>21338.613327975</v>
      </c>
      <c r="L255" s="9" t="n">
        <f aca="false">(parametros_manuales!$D$29*('Plan mensual'!N101+IF(parametros_manuales!$H$29="Todos",'Plan mensual'!N105,0))+parametros_manuales!$E$29*('Plan mensual'!N102+IF(parametros_manuales!$H$29="Todos",'Plan mensual'!N106,0))+parametros_manuales!$F$29*('Plan mensual'!N103+IF(parametros_manuales!$H$29="Todos",'Plan mensual'!N107,0))+parametros_manuales!$G$29*('Plan mensual'!N104+IF(parametros_manuales!$H$29="Todos",'Plan mensual'!N108,0)))*parametros_manuales!$I$29*parametros_manuales!$J$29</f>
        <v>20929.14230176</v>
      </c>
      <c r="M255" s="9" t="n">
        <f aca="false">(parametros_manuales!$D$29*('Plan mensual'!O101+IF(parametros_manuales!$H$29="Todos",'Plan mensual'!O105,0))+parametros_manuales!$E$29*('Plan mensual'!O102+IF(parametros_manuales!$H$29="Todos",'Plan mensual'!O106,0))+parametros_manuales!$F$29*('Plan mensual'!O103+IF(parametros_manuales!$H$29="Todos",'Plan mensual'!O107,0))+parametros_manuales!$G$29*('Plan mensual'!O104+IF(parametros_manuales!$H$29="Todos",'Plan mensual'!O108,0)))*parametros_manuales!$I$29*parametros_manuales!$J$29</f>
        <v>33322.83927233</v>
      </c>
      <c r="N255" s="9" t="n">
        <f aca="false">SUM(B255:M255)</f>
        <v>284514.844373</v>
      </c>
      <c r="O255" s="9" t="n">
        <f aca="false">MAX(B255:M255)</f>
        <v>33322.83927233</v>
      </c>
      <c r="P255" s="43" t="n">
        <f aca="false">O255/(parametros_manuales!$B$7)</f>
        <v>222.152261815533</v>
      </c>
      <c r="Q255" s="8" t="str">
        <f aca="false">IF(O255=0,"-",INDEX($B$244:$M$244,MATCH(O255,B255:M255,0)))</f>
        <v>Dic</v>
      </c>
    </row>
    <row r="256" customFormat="false" ht="14.25" hidden="false" customHeight="true" outlineLevel="0" collapsed="false">
      <c r="A256" s="8" t="str">
        <f aca="false">parametros_manuales!$B$30</f>
        <v>Soldadura circunferencial de cúpula y fondo</v>
      </c>
      <c r="B256" s="9" t="n">
        <f aca="false">(parametros_manuales!$D$30*('Plan mensual'!D101+IF(parametros_manuales!$H$30="Todos",'Plan mensual'!D105,0))+parametros_manuales!$E$30*('Plan mensual'!D102+IF(parametros_manuales!$H$30="Todos",'Plan mensual'!D106,0))+parametros_manuales!$F$30*('Plan mensual'!D103+IF(parametros_manuales!$H$30="Todos",'Plan mensual'!D107,0))+parametros_manuales!$G$30*('Plan mensual'!D104+IF(parametros_manuales!$H$30="Todos",'Plan mensual'!D108,0)))*parametros_manuales!$I$30*parametros_manuales!$J$30</f>
        <v>32503.8972199</v>
      </c>
      <c r="C256" s="9" t="n">
        <f aca="false">(parametros_manuales!$D$30*('Plan mensual'!E101+IF(parametros_manuales!$H$30="Todos",'Plan mensual'!E105,0))+parametros_manuales!$E$30*('Plan mensual'!E102+IF(parametros_manuales!$H$30="Todos",'Plan mensual'!E106,0))+parametros_manuales!$F$30*('Plan mensual'!E103+IF(parametros_manuales!$H$30="Todos",'Plan mensual'!E107,0))+parametros_manuales!$G$30*('Plan mensual'!E104+IF(parametros_manuales!$H$30="Todos",'Plan mensual'!E108,0)))*parametros_manuales!$I$30*parametros_manuales!$J$30</f>
        <v>24787.39394114</v>
      </c>
      <c r="D256" s="9" t="n">
        <f aca="false">(parametros_manuales!$D$30*('Plan mensual'!F101+IF(parametros_manuales!$H$30="Todos",'Plan mensual'!F105,0))+parametros_manuales!$E$30*('Plan mensual'!F102+IF(parametros_manuales!$H$30="Todos",'Plan mensual'!F106,0))+parametros_manuales!$F$30*('Plan mensual'!F103+IF(parametros_manuales!$H$30="Todos",'Plan mensual'!F107,0))+parametros_manuales!$G$30*('Plan mensual'!F104+IF(parametros_manuales!$H$30="Todos",'Plan mensual'!F108,0)))*parametros_manuales!$I$30*parametros_manuales!$J$30</f>
        <v>23170.658576055</v>
      </c>
      <c r="E256" s="9" t="n">
        <f aca="false">(parametros_manuales!$D$30*('Plan mensual'!G101+IF(parametros_manuales!$H$30="Todos",'Plan mensual'!G105,0))+parametros_manuales!$E$30*('Plan mensual'!G102+IF(parametros_manuales!$H$30="Todos",'Plan mensual'!G106,0))+parametros_manuales!$F$30*('Plan mensual'!G103+IF(parametros_manuales!$H$30="Todos",'Plan mensual'!G107,0))+parametros_manuales!$G$30*('Plan mensual'!G104+IF(parametros_manuales!$H$30="Todos",'Plan mensual'!G108,0)))*parametros_manuales!$I$30*parametros_manuales!$J$30</f>
        <v>22157.555380405</v>
      </c>
      <c r="F256" s="9" t="n">
        <f aca="false">(parametros_manuales!$D$30*('Plan mensual'!H101+IF(parametros_manuales!$H$30="Todos",'Plan mensual'!H105,0))+parametros_manuales!$E$30*('Plan mensual'!H102+IF(parametros_manuales!$H$30="Todos",'Plan mensual'!H106,0))+parametros_manuales!$F$30*('Plan mensual'!H103+IF(parametros_manuales!$H$30="Todos",'Plan mensual'!H107,0))+parametros_manuales!$G$30*('Plan mensual'!H104+IF(parametros_manuales!$H$30="Todos",'Plan mensual'!H108,0)))*parametros_manuales!$I$30*parametros_manuales!$J$30</f>
        <v>20734.98115854</v>
      </c>
      <c r="G256" s="9" t="n">
        <f aca="false">(parametros_manuales!$D$30*('Plan mensual'!I101+IF(parametros_manuales!$H$30="Todos",'Plan mensual'!I105,0))+parametros_manuales!$E$30*('Plan mensual'!I102+IF(parametros_manuales!$H$30="Todos",'Plan mensual'!I106,0))+parametros_manuales!$F$30*('Plan mensual'!I103+IF(parametros_manuales!$H$30="Todos",'Plan mensual'!I107,0))+parametros_manuales!$G$30*('Plan mensual'!I104+IF(parametros_manuales!$H$30="Todos",'Plan mensual'!I108,0)))*parametros_manuales!$I$30*parametros_manuales!$J$30</f>
        <v>20325.510132325</v>
      </c>
      <c r="H256" s="9" t="n">
        <f aca="false">(parametros_manuales!$D$30*('Plan mensual'!J101+IF(parametros_manuales!$H$30="Todos",'Plan mensual'!J105,0))+parametros_manuales!$E$30*('Plan mensual'!J102+IF(parametros_manuales!$H$30="Todos",'Plan mensual'!J106,0))+parametros_manuales!$F$30*('Plan mensual'!J103+IF(parametros_manuales!$H$30="Todos",'Plan mensual'!J107,0))+parametros_manuales!$G$30*('Plan mensual'!J104+IF(parametros_manuales!$H$30="Todos",'Plan mensual'!J108,0)))*parametros_manuales!$I$30*parametros_manuales!$J$30</f>
        <v>21748.08435419</v>
      </c>
      <c r="I256" s="9" t="n">
        <f aca="false">(parametros_manuales!$D$30*('Plan mensual'!K101+IF(parametros_manuales!$H$30="Todos",'Plan mensual'!K105,0))+parametros_manuales!$E$30*('Plan mensual'!K102+IF(parametros_manuales!$H$30="Todos",'Plan mensual'!K106,0))+parametros_manuales!$F$30*('Plan mensual'!K103+IF(parametros_manuales!$H$30="Todos",'Plan mensual'!K107,0))+parametros_manuales!$G$30*('Plan mensual'!K104+IF(parametros_manuales!$H$30="Todos",'Plan mensual'!K108,0)))*parametros_manuales!$I$30*parametros_manuales!$J$30</f>
        <v>21748.08435419</v>
      </c>
      <c r="J256" s="9" t="n">
        <f aca="false">(parametros_manuales!$D$30*('Plan mensual'!L101+IF(parametros_manuales!$H$30="Todos",'Plan mensual'!L105,0))+parametros_manuales!$E$30*('Plan mensual'!L102+IF(parametros_manuales!$H$30="Todos",'Plan mensual'!L106,0))+parametros_manuales!$F$30*('Plan mensual'!L103+IF(parametros_manuales!$H$30="Todos",'Plan mensual'!L107,0))+parametros_manuales!$G$30*('Plan mensual'!L104+IF(parametros_manuales!$H$30="Todos",'Plan mensual'!L108,0)))*parametros_manuales!$I$30*parametros_manuales!$J$30</f>
        <v>21748.08435419</v>
      </c>
      <c r="K256" s="9" t="n">
        <f aca="false">(parametros_manuales!$D$30*('Plan mensual'!M101+IF(parametros_manuales!$H$30="Todos",'Plan mensual'!M105,0))+parametros_manuales!$E$30*('Plan mensual'!M102+IF(parametros_manuales!$H$30="Todos",'Plan mensual'!M106,0))+parametros_manuales!$F$30*('Plan mensual'!M103+IF(parametros_manuales!$H$30="Todos",'Plan mensual'!M107,0))+parametros_manuales!$G$30*('Plan mensual'!M104+IF(parametros_manuales!$H$30="Todos",'Plan mensual'!M108,0)))*parametros_manuales!$I$30*parametros_manuales!$J$30</f>
        <v>21338.613327975</v>
      </c>
      <c r="L256" s="9" t="n">
        <f aca="false">(parametros_manuales!$D$30*('Plan mensual'!N101+IF(parametros_manuales!$H$30="Todos",'Plan mensual'!N105,0))+parametros_manuales!$E$30*('Plan mensual'!N102+IF(parametros_manuales!$H$30="Todos",'Plan mensual'!N106,0))+parametros_manuales!$F$30*('Plan mensual'!N103+IF(parametros_manuales!$H$30="Todos",'Plan mensual'!N107,0))+parametros_manuales!$G$30*('Plan mensual'!N104+IF(parametros_manuales!$H$30="Todos",'Plan mensual'!N108,0)))*parametros_manuales!$I$30*parametros_manuales!$J$30</f>
        <v>20929.14230176</v>
      </c>
      <c r="M256" s="9" t="n">
        <f aca="false">(parametros_manuales!$D$30*('Plan mensual'!O101+IF(parametros_manuales!$H$30="Todos",'Plan mensual'!O105,0))+parametros_manuales!$E$30*('Plan mensual'!O102+IF(parametros_manuales!$H$30="Todos",'Plan mensual'!O106,0))+parametros_manuales!$F$30*('Plan mensual'!O103+IF(parametros_manuales!$H$30="Todos",'Plan mensual'!O107,0))+parametros_manuales!$G$30*('Plan mensual'!O104+IF(parametros_manuales!$H$30="Todos",'Plan mensual'!O108,0)))*parametros_manuales!$I$30*parametros_manuales!$J$30</f>
        <v>33322.83927233</v>
      </c>
      <c r="N256" s="9" t="n">
        <f aca="false">SUM(B256:M256)</f>
        <v>284514.844373</v>
      </c>
      <c r="O256" s="9" t="n">
        <f aca="false">MAX(B256:M256)</f>
        <v>33322.83927233</v>
      </c>
      <c r="P256" s="43" t="n">
        <f aca="false">O256/(parametros_manuales!$B$7)</f>
        <v>222.152261815533</v>
      </c>
      <c r="Q256" s="8" t="str">
        <f aca="false">IF(O256=0,"-",INDEX($B$244:$M$244,MATCH(O256,B256:M256,0)))</f>
        <v>Dic</v>
      </c>
    </row>
    <row r="257" customFormat="false" ht="14.25" hidden="false" customHeight="true" outlineLevel="0" collapsed="false">
      <c r="A257" s="8" t="str">
        <f aca="false">parametros_manuales!$B$31</f>
        <v>Control de calidad — Espesor</v>
      </c>
      <c r="B257" s="9" t="n">
        <f aca="false">(parametros_manuales!$D$31*('Plan mensual'!D101+IF(parametros_manuales!$H$31="Todos",'Plan mensual'!D105,0))+parametros_manuales!$E$31*('Plan mensual'!D102+IF(parametros_manuales!$H$31="Todos",'Plan mensual'!D106,0))+parametros_manuales!$F$31*('Plan mensual'!D103+IF(parametros_manuales!$H$31="Todos",'Plan mensual'!D107,0))+parametros_manuales!$G$31*('Plan mensual'!D104+IF(parametros_manuales!$H$31="Todos",'Plan mensual'!D108,0)))*parametros_manuales!$I$31*parametros_manuales!$J$31</f>
        <v>650.077944398</v>
      </c>
      <c r="C257" s="9" t="n">
        <f aca="false">(parametros_manuales!$D$31*('Plan mensual'!E101+IF(parametros_manuales!$H$31="Todos",'Plan mensual'!E105,0))+parametros_manuales!$E$31*('Plan mensual'!E102+IF(parametros_manuales!$H$31="Todos",'Plan mensual'!E106,0))+parametros_manuales!$F$31*('Plan mensual'!E103+IF(parametros_manuales!$H$31="Todos",'Plan mensual'!E107,0))+parametros_manuales!$G$31*('Plan mensual'!E104+IF(parametros_manuales!$H$31="Todos",'Plan mensual'!E108,0)))*parametros_manuales!$I$31*parametros_manuales!$J$31</f>
        <v>495.7478788228</v>
      </c>
      <c r="D257" s="9" t="n">
        <f aca="false">(parametros_manuales!$D$31*('Plan mensual'!F101+IF(parametros_manuales!$H$31="Todos",'Plan mensual'!F105,0))+parametros_manuales!$E$31*('Plan mensual'!F102+IF(parametros_manuales!$H$31="Todos",'Plan mensual'!F106,0))+parametros_manuales!$F$31*('Plan mensual'!F103+IF(parametros_manuales!$H$31="Todos",'Plan mensual'!F107,0))+parametros_manuales!$G$31*('Plan mensual'!F104+IF(parametros_manuales!$H$31="Todos",'Plan mensual'!F108,0)))*parametros_manuales!$I$31*parametros_manuales!$J$31</f>
        <v>463.4131715211</v>
      </c>
      <c r="E257" s="9" t="n">
        <f aca="false">(parametros_manuales!$D$31*('Plan mensual'!G101+IF(parametros_manuales!$H$31="Todos",'Plan mensual'!G105,0))+parametros_manuales!$E$31*('Plan mensual'!G102+IF(parametros_manuales!$H$31="Todos",'Plan mensual'!G106,0))+parametros_manuales!$F$31*('Plan mensual'!G103+IF(parametros_manuales!$H$31="Todos",'Plan mensual'!G107,0))+parametros_manuales!$G$31*('Plan mensual'!G104+IF(parametros_manuales!$H$31="Todos",'Plan mensual'!G108,0)))*parametros_manuales!$I$31*parametros_manuales!$J$31</f>
        <v>443.1511076081</v>
      </c>
      <c r="F257" s="9" t="n">
        <f aca="false">(parametros_manuales!$D$31*('Plan mensual'!H101+IF(parametros_manuales!$H$31="Todos",'Plan mensual'!H105,0))+parametros_manuales!$E$31*('Plan mensual'!H102+IF(parametros_manuales!$H$31="Todos",'Plan mensual'!H106,0))+parametros_manuales!$F$31*('Plan mensual'!H103+IF(parametros_manuales!$H$31="Todos",'Plan mensual'!H107,0))+parametros_manuales!$G$31*('Plan mensual'!H104+IF(parametros_manuales!$H$31="Todos",'Plan mensual'!H108,0)))*parametros_manuales!$I$31*parametros_manuales!$J$31</f>
        <v>414.6996231708</v>
      </c>
      <c r="G257" s="9" t="n">
        <f aca="false">(parametros_manuales!$D$31*('Plan mensual'!I101+IF(parametros_manuales!$H$31="Todos",'Plan mensual'!I105,0))+parametros_manuales!$E$31*('Plan mensual'!I102+IF(parametros_manuales!$H$31="Todos",'Plan mensual'!I106,0))+parametros_manuales!$F$31*('Plan mensual'!I103+IF(parametros_manuales!$H$31="Todos",'Plan mensual'!I107,0))+parametros_manuales!$G$31*('Plan mensual'!I104+IF(parametros_manuales!$H$31="Todos",'Plan mensual'!I108,0)))*parametros_manuales!$I$31*parametros_manuales!$J$31</f>
        <v>406.5102026465</v>
      </c>
      <c r="H257" s="9" t="n">
        <f aca="false">(parametros_manuales!$D$31*('Plan mensual'!J101+IF(parametros_manuales!$H$31="Todos",'Plan mensual'!J105,0))+parametros_manuales!$E$31*('Plan mensual'!J102+IF(parametros_manuales!$H$31="Todos",'Plan mensual'!J106,0))+parametros_manuales!$F$31*('Plan mensual'!J103+IF(parametros_manuales!$H$31="Todos",'Plan mensual'!J107,0))+parametros_manuales!$G$31*('Plan mensual'!J104+IF(parametros_manuales!$H$31="Todos",'Plan mensual'!J108,0)))*parametros_manuales!$I$31*parametros_manuales!$J$31</f>
        <v>434.9616870838</v>
      </c>
      <c r="I257" s="9" t="n">
        <f aca="false">(parametros_manuales!$D$31*('Plan mensual'!K101+IF(parametros_manuales!$H$31="Todos",'Plan mensual'!K105,0))+parametros_manuales!$E$31*('Plan mensual'!K102+IF(parametros_manuales!$H$31="Todos",'Plan mensual'!K106,0))+parametros_manuales!$F$31*('Plan mensual'!K103+IF(parametros_manuales!$H$31="Todos",'Plan mensual'!K107,0))+parametros_manuales!$G$31*('Plan mensual'!K104+IF(parametros_manuales!$H$31="Todos",'Plan mensual'!K108,0)))*parametros_manuales!$I$31*parametros_manuales!$J$31</f>
        <v>434.9616870838</v>
      </c>
      <c r="J257" s="9" t="n">
        <f aca="false">(parametros_manuales!$D$31*('Plan mensual'!L101+IF(parametros_manuales!$H$31="Todos",'Plan mensual'!L105,0))+parametros_manuales!$E$31*('Plan mensual'!L102+IF(parametros_manuales!$H$31="Todos",'Plan mensual'!L106,0))+parametros_manuales!$F$31*('Plan mensual'!L103+IF(parametros_manuales!$H$31="Todos",'Plan mensual'!L107,0))+parametros_manuales!$G$31*('Plan mensual'!L104+IF(parametros_manuales!$H$31="Todos",'Plan mensual'!L108,0)))*parametros_manuales!$I$31*parametros_manuales!$J$31</f>
        <v>434.9616870838</v>
      </c>
      <c r="K257" s="9" t="n">
        <f aca="false">(parametros_manuales!$D$31*('Plan mensual'!M101+IF(parametros_manuales!$H$31="Todos",'Plan mensual'!M105,0))+parametros_manuales!$E$31*('Plan mensual'!M102+IF(parametros_manuales!$H$31="Todos",'Plan mensual'!M106,0))+parametros_manuales!$F$31*('Plan mensual'!M103+IF(parametros_manuales!$H$31="Todos",'Plan mensual'!M107,0))+parametros_manuales!$G$31*('Plan mensual'!M104+IF(parametros_manuales!$H$31="Todos",'Plan mensual'!M108,0)))*parametros_manuales!$I$31*parametros_manuales!$J$31</f>
        <v>426.7722665595</v>
      </c>
      <c r="L257" s="9" t="n">
        <f aca="false">(parametros_manuales!$D$31*('Plan mensual'!N101+IF(parametros_manuales!$H$31="Todos",'Plan mensual'!N105,0))+parametros_manuales!$E$31*('Plan mensual'!N102+IF(parametros_manuales!$H$31="Todos",'Plan mensual'!N106,0))+parametros_manuales!$F$31*('Plan mensual'!N103+IF(parametros_manuales!$H$31="Todos",'Plan mensual'!N107,0))+parametros_manuales!$G$31*('Plan mensual'!N104+IF(parametros_manuales!$H$31="Todos",'Plan mensual'!N108,0)))*parametros_manuales!$I$31*parametros_manuales!$J$31</f>
        <v>418.5828460352</v>
      </c>
      <c r="M257" s="9" t="n">
        <f aca="false">(parametros_manuales!$D$31*('Plan mensual'!O101+IF(parametros_manuales!$H$31="Todos",'Plan mensual'!O105,0))+parametros_manuales!$E$31*('Plan mensual'!O102+IF(parametros_manuales!$H$31="Todos",'Plan mensual'!O106,0))+parametros_manuales!$F$31*('Plan mensual'!O103+IF(parametros_manuales!$H$31="Todos",'Plan mensual'!O107,0))+parametros_manuales!$G$31*('Plan mensual'!O104+IF(parametros_manuales!$H$31="Todos",'Plan mensual'!O108,0)))*parametros_manuales!$I$31*parametros_manuales!$J$31</f>
        <v>666.4567854466</v>
      </c>
      <c r="N257" s="9" t="n">
        <f aca="false">SUM(B257:M257)</f>
        <v>5690.29688746</v>
      </c>
      <c r="O257" s="9" t="n">
        <f aca="false">MAX(B257:M257)</f>
        <v>666.4567854466</v>
      </c>
      <c r="P257" s="43" t="n">
        <f aca="false">O257/(parametros_manuales!$B$7)</f>
        <v>4.44304523631067</v>
      </c>
      <c r="Q257" s="8" t="str">
        <f aca="false">IF(O257=0,"-",INDEX($B$244:$M$244,MATCH(O257,B257:M257,0)))</f>
        <v>Dic</v>
      </c>
    </row>
    <row r="258" customFormat="false" ht="14.25" hidden="false" customHeight="true" outlineLevel="0" collapsed="false">
      <c r="A258" s="8" t="str">
        <f aca="false">parametros_manuales!$B$32</f>
        <v>Prueba hidráulica</v>
      </c>
      <c r="B258" s="9" t="n">
        <f aca="false">(parametros_manuales!$D$32*('Plan mensual'!D101+IF(parametros_manuales!$H$32="Todos",'Plan mensual'!D105,0))+parametros_manuales!$E$32*('Plan mensual'!D102+IF(parametros_manuales!$H$32="Todos",'Plan mensual'!D106,0))+parametros_manuales!$F$32*('Plan mensual'!D103+IF(parametros_manuales!$H$32="Todos",'Plan mensual'!D107,0))+parametros_manuales!$G$32*('Plan mensual'!D104+IF(parametros_manuales!$H$32="Todos",'Plan mensual'!D108,0)))*parametros_manuales!$I$32*parametros_manuales!$J$32</f>
        <v>32503.8972199</v>
      </c>
      <c r="C258" s="9" t="n">
        <f aca="false">(parametros_manuales!$D$32*('Plan mensual'!E101+IF(parametros_manuales!$H$32="Todos",'Plan mensual'!E105,0))+parametros_manuales!$E$32*('Plan mensual'!E102+IF(parametros_manuales!$H$32="Todos",'Plan mensual'!E106,0))+parametros_manuales!$F$32*('Plan mensual'!E103+IF(parametros_manuales!$H$32="Todos",'Plan mensual'!E107,0))+parametros_manuales!$G$32*('Plan mensual'!E104+IF(parametros_manuales!$H$32="Todos",'Plan mensual'!E108,0)))*parametros_manuales!$I$32*parametros_manuales!$J$32</f>
        <v>24787.39394114</v>
      </c>
      <c r="D258" s="9" t="n">
        <f aca="false">(parametros_manuales!$D$32*('Plan mensual'!F101+IF(parametros_manuales!$H$32="Todos",'Plan mensual'!F105,0))+parametros_manuales!$E$32*('Plan mensual'!F102+IF(parametros_manuales!$H$32="Todos",'Plan mensual'!F106,0))+parametros_manuales!$F$32*('Plan mensual'!F103+IF(parametros_manuales!$H$32="Todos",'Plan mensual'!F107,0))+parametros_manuales!$G$32*('Plan mensual'!F104+IF(parametros_manuales!$H$32="Todos",'Plan mensual'!F108,0)))*parametros_manuales!$I$32*parametros_manuales!$J$32</f>
        <v>23170.658576055</v>
      </c>
      <c r="E258" s="9" t="n">
        <f aca="false">(parametros_manuales!$D$32*('Plan mensual'!G101+IF(parametros_manuales!$H$32="Todos",'Plan mensual'!G105,0))+parametros_manuales!$E$32*('Plan mensual'!G102+IF(parametros_manuales!$H$32="Todos",'Plan mensual'!G106,0))+parametros_manuales!$F$32*('Plan mensual'!G103+IF(parametros_manuales!$H$32="Todos",'Plan mensual'!G107,0))+parametros_manuales!$G$32*('Plan mensual'!G104+IF(parametros_manuales!$H$32="Todos",'Plan mensual'!G108,0)))*parametros_manuales!$I$32*parametros_manuales!$J$32</f>
        <v>22157.555380405</v>
      </c>
      <c r="F258" s="9" t="n">
        <f aca="false">(parametros_manuales!$D$32*('Plan mensual'!H101+IF(parametros_manuales!$H$32="Todos",'Plan mensual'!H105,0))+parametros_manuales!$E$32*('Plan mensual'!H102+IF(parametros_manuales!$H$32="Todos",'Plan mensual'!H106,0))+parametros_manuales!$F$32*('Plan mensual'!H103+IF(parametros_manuales!$H$32="Todos",'Plan mensual'!H107,0))+parametros_manuales!$G$32*('Plan mensual'!H104+IF(parametros_manuales!$H$32="Todos",'Plan mensual'!H108,0)))*parametros_manuales!$I$32*parametros_manuales!$J$32</f>
        <v>20734.98115854</v>
      </c>
      <c r="G258" s="9" t="n">
        <f aca="false">(parametros_manuales!$D$32*('Plan mensual'!I101+IF(parametros_manuales!$H$32="Todos",'Plan mensual'!I105,0))+parametros_manuales!$E$32*('Plan mensual'!I102+IF(parametros_manuales!$H$32="Todos",'Plan mensual'!I106,0))+parametros_manuales!$F$32*('Plan mensual'!I103+IF(parametros_manuales!$H$32="Todos",'Plan mensual'!I107,0))+parametros_manuales!$G$32*('Plan mensual'!I104+IF(parametros_manuales!$H$32="Todos",'Plan mensual'!I108,0)))*parametros_manuales!$I$32*parametros_manuales!$J$32</f>
        <v>20325.510132325</v>
      </c>
      <c r="H258" s="9" t="n">
        <f aca="false">(parametros_manuales!$D$32*('Plan mensual'!J101+IF(parametros_manuales!$H$32="Todos",'Plan mensual'!J105,0))+parametros_manuales!$E$32*('Plan mensual'!J102+IF(parametros_manuales!$H$32="Todos",'Plan mensual'!J106,0))+parametros_manuales!$F$32*('Plan mensual'!J103+IF(parametros_manuales!$H$32="Todos",'Plan mensual'!J107,0))+parametros_manuales!$G$32*('Plan mensual'!J104+IF(parametros_manuales!$H$32="Todos",'Plan mensual'!J108,0)))*parametros_manuales!$I$32*parametros_manuales!$J$32</f>
        <v>21748.08435419</v>
      </c>
      <c r="I258" s="9" t="n">
        <f aca="false">(parametros_manuales!$D$32*('Plan mensual'!K101+IF(parametros_manuales!$H$32="Todos",'Plan mensual'!K105,0))+parametros_manuales!$E$32*('Plan mensual'!K102+IF(parametros_manuales!$H$32="Todos",'Plan mensual'!K106,0))+parametros_manuales!$F$32*('Plan mensual'!K103+IF(parametros_manuales!$H$32="Todos",'Plan mensual'!K107,0))+parametros_manuales!$G$32*('Plan mensual'!K104+IF(parametros_manuales!$H$32="Todos",'Plan mensual'!K108,0)))*parametros_manuales!$I$32*parametros_manuales!$J$32</f>
        <v>21748.08435419</v>
      </c>
      <c r="J258" s="9" t="n">
        <f aca="false">(parametros_manuales!$D$32*('Plan mensual'!L101+IF(parametros_manuales!$H$32="Todos",'Plan mensual'!L105,0))+parametros_manuales!$E$32*('Plan mensual'!L102+IF(parametros_manuales!$H$32="Todos",'Plan mensual'!L106,0))+parametros_manuales!$F$32*('Plan mensual'!L103+IF(parametros_manuales!$H$32="Todos",'Plan mensual'!L107,0))+parametros_manuales!$G$32*('Plan mensual'!L104+IF(parametros_manuales!$H$32="Todos",'Plan mensual'!L108,0)))*parametros_manuales!$I$32*parametros_manuales!$J$32</f>
        <v>21748.08435419</v>
      </c>
      <c r="K258" s="9" t="n">
        <f aca="false">(parametros_manuales!$D$32*('Plan mensual'!M101+IF(parametros_manuales!$H$32="Todos",'Plan mensual'!M105,0))+parametros_manuales!$E$32*('Plan mensual'!M102+IF(parametros_manuales!$H$32="Todos",'Plan mensual'!M106,0))+parametros_manuales!$F$32*('Plan mensual'!M103+IF(parametros_manuales!$H$32="Todos",'Plan mensual'!M107,0))+parametros_manuales!$G$32*('Plan mensual'!M104+IF(parametros_manuales!$H$32="Todos",'Plan mensual'!M108,0)))*parametros_manuales!$I$32*parametros_manuales!$J$32</f>
        <v>21338.613327975</v>
      </c>
      <c r="L258" s="9" t="n">
        <f aca="false">(parametros_manuales!$D$32*('Plan mensual'!N101+IF(parametros_manuales!$H$32="Todos",'Plan mensual'!N105,0))+parametros_manuales!$E$32*('Plan mensual'!N102+IF(parametros_manuales!$H$32="Todos",'Plan mensual'!N106,0))+parametros_manuales!$F$32*('Plan mensual'!N103+IF(parametros_manuales!$H$32="Todos",'Plan mensual'!N107,0))+parametros_manuales!$G$32*('Plan mensual'!N104+IF(parametros_manuales!$H$32="Todos",'Plan mensual'!N108,0)))*parametros_manuales!$I$32*parametros_manuales!$J$32</f>
        <v>20929.14230176</v>
      </c>
      <c r="M258" s="9" t="n">
        <f aca="false">(parametros_manuales!$D$32*('Plan mensual'!O101+IF(parametros_manuales!$H$32="Todos",'Plan mensual'!O105,0))+parametros_manuales!$E$32*('Plan mensual'!O102+IF(parametros_manuales!$H$32="Todos",'Plan mensual'!O106,0))+parametros_manuales!$F$32*('Plan mensual'!O103+IF(parametros_manuales!$H$32="Todos",'Plan mensual'!O107,0))+parametros_manuales!$G$32*('Plan mensual'!O104+IF(parametros_manuales!$H$32="Todos",'Plan mensual'!O108,0)))*parametros_manuales!$I$32*parametros_manuales!$J$32</f>
        <v>33322.83927233</v>
      </c>
      <c r="N258" s="9" t="n">
        <f aca="false">SUM(B258:M258)</f>
        <v>284514.844373</v>
      </c>
      <c r="O258" s="9" t="n">
        <f aca="false">MAX(B258:M258)</f>
        <v>33322.83927233</v>
      </c>
      <c r="P258" s="43" t="n">
        <f aca="false">O258/(parametros_manuales!$B$7)</f>
        <v>222.152261815533</v>
      </c>
      <c r="Q258" s="8" t="str">
        <f aca="false">IF(O258=0,"-",INDEX($B$244:$M$244,MATCH(O258,B258:M258,0)))</f>
        <v>Dic</v>
      </c>
    </row>
    <row r="259" customFormat="false" ht="14.25" hidden="false" customHeight="true" outlineLevel="0" collapsed="false">
      <c r="A259" s="8" t="str">
        <f aca="false">parametros_manuales!$B$33</f>
        <v>Secado</v>
      </c>
      <c r="B259" s="9" t="n">
        <f aca="false">(parametros_manuales!$D$33*('Plan mensual'!D101+IF(parametros_manuales!$H$33="Todos",'Plan mensual'!D105,0))+parametros_manuales!$E$33*('Plan mensual'!D102+IF(parametros_manuales!$H$33="Todos",'Plan mensual'!D106,0))+parametros_manuales!$F$33*('Plan mensual'!D103+IF(parametros_manuales!$H$33="Todos",'Plan mensual'!D107,0))+parametros_manuales!$G$33*('Plan mensual'!D104+IF(parametros_manuales!$H$33="Todos",'Plan mensual'!D108,0)))*parametros_manuales!$I$33*parametros_manuales!$J$33</f>
        <v>32503.8972199</v>
      </c>
      <c r="C259" s="9" t="n">
        <f aca="false">(parametros_manuales!$D$33*('Plan mensual'!E101+IF(parametros_manuales!$H$33="Todos",'Plan mensual'!E105,0))+parametros_manuales!$E$33*('Plan mensual'!E102+IF(parametros_manuales!$H$33="Todos",'Plan mensual'!E106,0))+parametros_manuales!$F$33*('Plan mensual'!E103+IF(parametros_manuales!$H$33="Todos",'Plan mensual'!E107,0))+parametros_manuales!$G$33*('Plan mensual'!E104+IF(parametros_manuales!$H$33="Todos",'Plan mensual'!E108,0)))*parametros_manuales!$I$33*parametros_manuales!$J$33</f>
        <v>24787.39394114</v>
      </c>
      <c r="D259" s="9" t="n">
        <f aca="false">(parametros_manuales!$D$33*('Plan mensual'!F101+IF(parametros_manuales!$H$33="Todos",'Plan mensual'!F105,0))+parametros_manuales!$E$33*('Plan mensual'!F102+IF(parametros_manuales!$H$33="Todos",'Plan mensual'!F106,0))+parametros_manuales!$F$33*('Plan mensual'!F103+IF(parametros_manuales!$H$33="Todos",'Plan mensual'!F107,0))+parametros_manuales!$G$33*('Plan mensual'!F104+IF(parametros_manuales!$H$33="Todos",'Plan mensual'!F108,0)))*parametros_manuales!$I$33*parametros_manuales!$J$33</f>
        <v>23170.658576055</v>
      </c>
      <c r="E259" s="9" t="n">
        <f aca="false">(parametros_manuales!$D$33*('Plan mensual'!G101+IF(parametros_manuales!$H$33="Todos",'Plan mensual'!G105,0))+parametros_manuales!$E$33*('Plan mensual'!G102+IF(parametros_manuales!$H$33="Todos",'Plan mensual'!G106,0))+parametros_manuales!$F$33*('Plan mensual'!G103+IF(parametros_manuales!$H$33="Todos",'Plan mensual'!G107,0))+parametros_manuales!$G$33*('Plan mensual'!G104+IF(parametros_manuales!$H$33="Todos",'Plan mensual'!G108,0)))*parametros_manuales!$I$33*parametros_manuales!$J$33</f>
        <v>22157.555380405</v>
      </c>
      <c r="F259" s="9" t="n">
        <f aca="false">(parametros_manuales!$D$33*('Plan mensual'!H101+IF(parametros_manuales!$H$33="Todos",'Plan mensual'!H105,0))+parametros_manuales!$E$33*('Plan mensual'!H102+IF(parametros_manuales!$H$33="Todos",'Plan mensual'!H106,0))+parametros_manuales!$F$33*('Plan mensual'!H103+IF(parametros_manuales!$H$33="Todos",'Plan mensual'!H107,0))+parametros_manuales!$G$33*('Plan mensual'!H104+IF(parametros_manuales!$H$33="Todos",'Plan mensual'!H108,0)))*parametros_manuales!$I$33*parametros_manuales!$J$33</f>
        <v>20734.98115854</v>
      </c>
      <c r="G259" s="9" t="n">
        <f aca="false">(parametros_manuales!$D$33*('Plan mensual'!I101+IF(parametros_manuales!$H$33="Todos",'Plan mensual'!I105,0))+parametros_manuales!$E$33*('Plan mensual'!I102+IF(parametros_manuales!$H$33="Todos",'Plan mensual'!I106,0))+parametros_manuales!$F$33*('Plan mensual'!I103+IF(parametros_manuales!$H$33="Todos",'Plan mensual'!I107,0))+parametros_manuales!$G$33*('Plan mensual'!I104+IF(parametros_manuales!$H$33="Todos",'Plan mensual'!I108,0)))*parametros_manuales!$I$33*parametros_manuales!$J$33</f>
        <v>20325.510132325</v>
      </c>
      <c r="H259" s="9" t="n">
        <f aca="false">(parametros_manuales!$D$33*('Plan mensual'!J101+IF(parametros_manuales!$H$33="Todos",'Plan mensual'!J105,0))+parametros_manuales!$E$33*('Plan mensual'!J102+IF(parametros_manuales!$H$33="Todos",'Plan mensual'!J106,0))+parametros_manuales!$F$33*('Plan mensual'!J103+IF(parametros_manuales!$H$33="Todos",'Plan mensual'!J107,0))+parametros_manuales!$G$33*('Plan mensual'!J104+IF(parametros_manuales!$H$33="Todos",'Plan mensual'!J108,0)))*parametros_manuales!$I$33*parametros_manuales!$J$33</f>
        <v>21748.08435419</v>
      </c>
      <c r="I259" s="9" t="n">
        <f aca="false">(parametros_manuales!$D$33*('Plan mensual'!K101+IF(parametros_manuales!$H$33="Todos",'Plan mensual'!K105,0))+parametros_manuales!$E$33*('Plan mensual'!K102+IF(parametros_manuales!$H$33="Todos",'Plan mensual'!K106,0))+parametros_manuales!$F$33*('Plan mensual'!K103+IF(parametros_manuales!$H$33="Todos",'Plan mensual'!K107,0))+parametros_manuales!$G$33*('Plan mensual'!K104+IF(parametros_manuales!$H$33="Todos",'Plan mensual'!K108,0)))*parametros_manuales!$I$33*parametros_manuales!$J$33</f>
        <v>21748.08435419</v>
      </c>
      <c r="J259" s="9" t="n">
        <f aca="false">(parametros_manuales!$D$33*('Plan mensual'!L101+IF(parametros_manuales!$H$33="Todos",'Plan mensual'!L105,0))+parametros_manuales!$E$33*('Plan mensual'!L102+IF(parametros_manuales!$H$33="Todos",'Plan mensual'!L106,0))+parametros_manuales!$F$33*('Plan mensual'!L103+IF(parametros_manuales!$H$33="Todos",'Plan mensual'!L107,0))+parametros_manuales!$G$33*('Plan mensual'!L104+IF(parametros_manuales!$H$33="Todos",'Plan mensual'!L108,0)))*parametros_manuales!$I$33*parametros_manuales!$J$33</f>
        <v>21748.08435419</v>
      </c>
      <c r="K259" s="9" t="n">
        <f aca="false">(parametros_manuales!$D$33*('Plan mensual'!M101+IF(parametros_manuales!$H$33="Todos",'Plan mensual'!M105,0))+parametros_manuales!$E$33*('Plan mensual'!M102+IF(parametros_manuales!$H$33="Todos",'Plan mensual'!M106,0))+parametros_manuales!$F$33*('Plan mensual'!M103+IF(parametros_manuales!$H$33="Todos",'Plan mensual'!M107,0))+parametros_manuales!$G$33*('Plan mensual'!M104+IF(parametros_manuales!$H$33="Todos",'Plan mensual'!M108,0)))*parametros_manuales!$I$33*parametros_manuales!$J$33</f>
        <v>21338.613327975</v>
      </c>
      <c r="L259" s="9" t="n">
        <f aca="false">(parametros_manuales!$D$33*('Plan mensual'!N101+IF(parametros_manuales!$H$33="Todos",'Plan mensual'!N105,0))+parametros_manuales!$E$33*('Plan mensual'!N102+IF(parametros_manuales!$H$33="Todos",'Plan mensual'!N106,0))+parametros_manuales!$F$33*('Plan mensual'!N103+IF(parametros_manuales!$H$33="Todos",'Plan mensual'!N107,0))+parametros_manuales!$G$33*('Plan mensual'!N104+IF(parametros_manuales!$H$33="Todos",'Plan mensual'!N108,0)))*parametros_manuales!$I$33*parametros_manuales!$J$33</f>
        <v>20929.14230176</v>
      </c>
      <c r="M259" s="9" t="n">
        <f aca="false">(parametros_manuales!$D$33*('Plan mensual'!O101+IF(parametros_manuales!$H$33="Todos",'Plan mensual'!O105,0))+parametros_manuales!$E$33*('Plan mensual'!O102+IF(parametros_manuales!$H$33="Todos",'Plan mensual'!O106,0))+parametros_manuales!$F$33*('Plan mensual'!O103+IF(parametros_manuales!$H$33="Todos",'Plan mensual'!O107,0))+parametros_manuales!$G$33*('Plan mensual'!O104+IF(parametros_manuales!$H$33="Todos",'Plan mensual'!O108,0)))*parametros_manuales!$I$33*parametros_manuales!$J$33</f>
        <v>33322.83927233</v>
      </c>
      <c r="N259" s="9" t="n">
        <f aca="false">SUM(B259:M259)</f>
        <v>284514.844373</v>
      </c>
      <c r="O259" s="9" t="n">
        <f aca="false">MAX(B259:M259)</f>
        <v>33322.83927233</v>
      </c>
      <c r="P259" s="43" t="n">
        <f aca="false">O259/(parametros_manuales!$B$7)</f>
        <v>222.152261815533</v>
      </c>
      <c r="Q259" s="8" t="str">
        <f aca="false">IF(O259=0,"-",INDEX($B$244:$M$244,MATCH(O259,B259:M259,0)))</f>
        <v>Dic</v>
      </c>
    </row>
    <row r="260" customFormat="false" ht="14.25" hidden="false" customHeight="true" outlineLevel="0" collapsed="false">
      <c r="A260" s="8" t="str">
        <f aca="false">parametros_manuales!$B$34</f>
        <v>Granallado</v>
      </c>
      <c r="B260" s="9" t="n">
        <f aca="false">(parametros_manuales!$D$34*('Plan mensual'!D101+IF(parametros_manuales!$H$34="Todos",'Plan mensual'!D105,0))+parametros_manuales!$E$34*('Plan mensual'!D102+IF(parametros_manuales!$H$34="Todos",'Plan mensual'!D106,0))+parametros_manuales!$F$34*('Plan mensual'!D103+IF(parametros_manuales!$H$34="Todos",'Plan mensual'!D107,0))+parametros_manuales!$G$34*('Plan mensual'!D104+IF(parametros_manuales!$H$34="Todos",'Plan mensual'!D108,0)))*parametros_manuales!$I$34*parametros_manuales!$J$34</f>
        <v>32503.8972199</v>
      </c>
      <c r="C260" s="9" t="n">
        <f aca="false">(parametros_manuales!$D$34*('Plan mensual'!E101+IF(parametros_manuales!$H$34="Todos",'Plan mensual'!E105,0))+parametros_manuales!$E$34*('Plan mensual'!E102+IF(parametros_manuales!$H$34="Todos",'Plan mensual'!E106,0))+parametros_manuales!$F$34*('Plan mensual'!E103+IF(parametros_manuales!$H$34="Todos",'Plan mensual'!E107,0))+parametros_manuales!$G$34*('Plan mensual'!E104+IF(parametros_manuales!$H$34="Todos",'Plan mensual'!E108,0)))*parametros_manuales!$I$34*parametros_manuales!$J$34</f>
        <v>24787.39394114</v>
      </c>
      <c r="D260" s="9" t="n">
        <f aca="false">(parametros_manuales!$D$34*('Plan mensual'!F101+IF(parametros_manuales!$H$34="Todos",'Plan mensual'!F105,0))+parametros_manuales!$E$34*('Plan mensual'!F102+IF(parametros_manuales!$H$34="Todos",'Plan mensual'!F106,0))+parametros_manuales!$F$34*('Plan mensual'!F103+IF(parametros_manuales!$H$34="Todos",'Plan mensual'!F107,0))+parametros_manuales!$G$34*('Plan mensual'!F104+IF(parametros_manuales!$H$34="Todos",'Plan mensual'!F108,0)))*parametros_manuales!$I$34*parametros_manuales!$J$34</f>
        <v>23170.658576055</v>
      </c>
      <c r="E260" s="9" t="n">
        <f aca="false">(parametros_manuales!$D$34*('Plan mensual'!G101+IF(parametros_manuales!$H$34="Todos",'Plan mensual'!G105,0))+parametros_manuales!$E$34*('Plan mensual'!G102+IF(parametros_manuales!$H$34="Todos",'Plan mensual'!G106,0))+parametros_manuales!$F$34*('Plan mensual'!G103+IF(parametros_manuales!$H$34="Todos",'Plan mensual'!G107,0))+parametros_manuales!$G$34*('Plan mensual'!G104+IF(parametros_manuales!$H$34="Todos",'Plan mensual'!G108,0)))*parametros_manuales!$I$34*parametros_manuales!$J$34</f>
        <v>22157.555380405</v>
      </c>
      <c r="F260" s="9" t="n">
        <f aca="false">(parametros_manuales!$D$34*('Plan mensual'!H101+IF(parametros_manuales!$H$34="Todos",'Plan mensual'!H105,0))+parametros_manuales!$E$34*('Plan mensual'!H102+IF(parametros_manuales!$H$34="Todos",'Plan mensual'!H106,0))+parametros_manuales!$F$34*('Plan mensual'!H103+IF(parametros_manuales!$H$34="Todos",'Plan mensual'!H107,0))+parametros_manuales!$G$34*('Plan mensual'!H104+IF(parametros_manuales!$H$34="Todos",'Plan mensual'!H108,0)))*parametros_manuales!$I$34*parametros_manuales!$J$34</f>
        <v>20734.98115854</v>
      </c>
      <c r="G260" s="9" t="n">
        <f aca="false">(parametros_manuales!$D$34*('Plan mensual'!I101+IF(parametros_manuales!$H$34="Todos",'Plan mensual'!I105,0))+parametros_manuales!$E$34*('Plan mensual'!I102+IF(parametros_manuales!$H$34="Todos",'Plan mensual'!I106,0))+parametros_manuales!$F$34*('Plan mensual'!I103+IF(parametros_manuales!$H$34="Todos",'Plan mensual'!I107,0))+parametros_manuales!$G$34*('Plan mensual'!I104+IF(parametros_manuales!$H$34="Todos",'Plan mensual'!I108,0)))*parametros_manuales!$I$34*parametros_manuales!$J$34</f>
        <v>20325.510132325</v>
      </c>
      <c r="H260" s="9" t="n">
        <f aca="false">(parametros_manuales!$D$34*('Plan mensual'!J101+IF(parametros_manuales!$H$34="Todos",'Plan mensual'!J105,0))+parametros_manuales!$E$34*('Plan mensual'!J102+IF(parametros_manuales!$H$34="Todos",'Plan mensual'!J106,0))+parametros_manuales!$F$34*('Plan mensual'!J103+IF(parametros_manuales!$H$34="Todos",'Plan mensual'!J107,0))+parametros_manuales!$G$34*('Plan mensual'!J104+IF(parametros_manuales!$H$34="Todos",'Plan mensual'!J108,0)))*parametros_manuales!$I$34*parametros_manuales!$J$34</f>
        <v>21748.08435419</v>
      </c>
      <c r="I260" s="9" t="n">
        <f aca="false">(parametros_manuales!$D$34*('Plan mensual'!K101+IF(parametros_manuales!$H$34="Todos",'Plan mensual'!K105,0))+parametros_manuales!$E$34*('Plan mensual'!K102+IF(parametros_manuales!$H$34="Todos",'Plan mensual'!K106,0))+parametros_manuales!$F$34*('Plan mensual'!K103+IF(parametros_manuales!$H$34="Todos",'Plan mensual'!K107,0))+parametros_manuales!$G$34*('Plan mensual'!K104+IF(parametros_manuales!$H$34="Todos",'Plan mensual'!K108,0)))*parametros_manuales!$I$34*parametros_manuales!$J$34</f>
        <v>21748.08435419</v>
      </c>
      <c r="J260" s="9" t="n">
        <f aca="false">(parametros_manuales!$D$34*('Plan mensual'!L101+IF(parametros_manuales!$H$34="Todos",'Plan mensual'!L105,0))+parametros_manuales!$E$34*('Plan mensual'!L102+IF(parametros_manuales!$H$34="Todos",'Plan mensual'!L106,0))+parametros_manuales!$F$34*('Plan mensual'!L103+IF(parametros_manuales!$H$34="Todos",'Plan mensual'!L107,0))+parametros_manuales!$G$34*('Plan mensual'!L104+IF(parametros_manuales!$H$34="Todos",'Plan mensual'!L108,0)))*parametros_manuales!$I$34*parametros_manuales!$J$34</f>
        <v>21748.08435419</v>
      </c>
      <c r="K260" s="9" t="n">
        <f aca="false">(parametros_manuales!$D$34*('Plan mensual'!M101+IF(parametros_manuales!$H$34="Todos",'Plan mensual'!M105,0))+parametros_manuales!$E$34*('Plan mensual'!M102+IF(parametros_manuales!$H$34="Todos",'Plan mensual'!M106,0))+parametros_manuales!$F$34*('Plan mensual'!M103+IF(parametros_manuales!$H$34="Todos",'Plan mensual'!M107,0))+parametros_manuales!$G$34*('Plan mensual'!M104+IF(parametros_manuales!$H$34="Todos",'Plan mensual'!M108,0)))*parametros_manuales!$I$34*parametros_manuales!$J$34</f>
        <v>21338.613327975</v>
      </c>
      <c r="L260" s="9" t="n">
        <f aca="false">(parametros_manuales!$D$34*('Plan mensual'!N101+IF(parametros_manuales!$H$34="Todos",'Plan mensual'!N105,0))+parametros_manuales!$E$34*('Plan mensual'!N102+IF(parametros_manuales!$H$34="Todos",'Plan mensual'!N106,0))+parametros_manuales!$F$34*('Plan mensual'!N103+IF(parametros_manuales!$H$34="Todos",'Plan mensual'!N107,0))+parametros_manuales!$G$34*('Plan mensual'!N104+IF(parametros_manuales!$H$34="Todos",'Plan mensual'!N108,0)))*parametros_manuales!$I$34*parametros_manuales!$J$34</f>
        <v>20929.14230176</v>
      </c>
      <c r="M260" s="9" t="n">
        <f aca="false">(parametros_manuales!$D$34*('Plan mensual'!O101+IF(parametros_manuales!$H$34="Todos",'Plan mensual'!O105,0))+parametros_manuales!$E$34*('Plan mensual'!O102+IF(parametros_manuales!$H$34="Todos",'Plan mensual'!O106,0))+parametros_manuales!$F$34*('Plan mensual'!O103+IF(parametros_manuales!$H$34="Todos",'Plan mensual'!O107,0))+parametros_manuales!$G$34*('Plan mensual'!O104+IF(parametros_manuales!$H$34="Todos",'Plan mensual'!O108,0)))*parametros_manuales!$I$34*parametros_manuales!$J$34</f>
        <v>33322.83927233</v>
      </c>
      <c r="N260" s="9" t="n">
        <f aca="false">SUM(B260:M260)</f>
        <v>284514.844373</v>
      </c>
      <c r="O260" s="9" t="n">
        <f aca="false">MAX(B260:M260)</f>
        <v>33322.83927233</v>
      </c>
      <c r="P260" s="43" t="n">
        <f aca="false">O260/(parametros_manuales!$B$7)</f>
        <v>222.152261815533</v>
      </c>
      <c r="Q260" s="8" t="str">
        <f aca="false">IF(O260=0,"-",INDEX($B$244:$M$244,MATCH(O260,B260:M260,0)))</f>
        <v>Dic</v>
      </c>
    </row>
    <row r="261" customFormat="false" ht="14.25" hidden="false" customHeight="true" outlineLevel="0" collapsed="false">
      <c r="A261" s="8" t="str">
        <f aca="false">parametros_manuales!$B$35</f>
        <v>Detección de defectos</v>
      </c>
      <c r="B261" s="9" t="n">
        <f aca="false">(parametros_manuales!$D$35*('Plan mensual'!D101+IF(parametros_manuales!$H$35="Todos",'Plan mensual'!D105,0))+parametros_manuales!$E$35*('Plan mensual'!D102+IF(parametros_manuales!$H$35="Todos",'Plan mensual'!D106,0))+parametros_manuales!$F$35*('Plan mensual'!D103+IF(parametros_manuales!$H$35="Todos",'Plan mensual'!D107,0))+parametros_manuales!$G$35*('Plan mensual'!D104+IF(parametros_manuales!$H$35="Todos",'Plan mensual'!D108,0)))*parametros_manuales!$I$35*parametros_manuales!$J$35</f>
        <v>32503.8972199</v>
      </c>
      <c r="C261" s="9" t="n">
        <f aca="false">(parametros_manuales!$D$35*('Plan mensual'!E101+IF(parametros_manuales!$H$35="Todos",'Plan mensual'!E105,0))+parametros_manuales!$E$35*('Plan mensual'!E102+IF(parametros_manuales!$H$35="Todos",'Plan mensual'!E106,0))+parametros_manuales!$F$35*('Plan mensual'!E103+IF(parametros_manuales!$H$35="Todos",'Plan mensual'!E107,0))+parametros_manuales!$G$35*('Plan mensual'!E104+IF(parametros_manuales!$H$35="Todos",'Plan mensual'!E108,0)))*parametros_manuales!$I$35*parametros_manuales!$J$35</f>
        <v>24787.39394114</v>
      </c>
      <c r="D261" s="9" t="n">
        <f aca="false">(parametros_manuales!$D$35*('Plan mensual'!F101+IF(parametros_manuales!$H$35="Todos",'Plan mensual'!F105,0))+parametros_manuales!$E$35*('Plan mensual'!F102+IF(parametros_manuales!$H$35="Todos",'Plan mensual'!F106,0))+parametros_manuales!$F$35*('Plan mensual'!F103+IF(parametros_manuales!$H$35="Todos",'Plan mensual'!F107,0))+parametros_manuales!$G$35*('Plan mensual'!F104+IF(parametros_manuales!$H$35="Todos",'Plan mensual'!F108,0)))*parametros_manuales!$I$35*parametros_manuales!$J$35</f>
        <v>23170.658576055</v>
      </c>
      <c r="E261" s="9" t="n">
        <f aca="false">(parametros_manuales!$D$35*('Plan mensual'!G101+IF(parametros_manuales!$H$35="Todos",'Plan mensual'!G105,0))+parametros_manuales!$E$35*('Plan mensual'!G102+IF(parametros_manuales!$H$35="Todos",'Plan mensual'!G106,0))+parametros_manuales!$F$35*('Plan mensual'!G103+IF(parametros_manuales!$H$35="Todos",'Plan mensual'!G107,0))+parametros_manuales!$G$35*('Plan mensual'!G104+IF(parametros_manuales!$H$35="Todos",'Plan mensual'!G108,0)))*parametros_manuales!$I$35*parametros_manuales!$J$35</f>
        <v>22157.555380405</v>
      </c>
      <c r="F261" s="9" t="n">
        <f aca="false">(parametros_manuales!$D$35*('Plan mensual'!H101+IF(parametros_manuales!$H$35="Todos",'Plan mensual'!H105,0))+parametros_manuales!$E$35*('Plan mensual'!H102+IF(parametros_manuales!$H$35="Todos",'Plan mensual'!H106,0))+parametros_manuales!$F$35*('Plan mensual'!H103+IF(parametros_manuales!$H$35="Todos",'Plan mensual'!H107,0))+parametros_manuales!$G$35*('Plan mensual'!H104+IF(parametros_manuales!$H$35="Todos",'Plan mensual'!H108,0)))*parametros_manuales!$I$35*parametros_manuales!$J$35</f>
        <v>20734.98115854</v>
      </c>
      <c r="G261" s="9" t="n">
        <f aca="false">(parametros_manuales!$D$35*('Plan mensual'!I101+IF(parametros_manuales!$H$35="Todos",'Plan mensual'!I105,0))+parametros_manuales!$E$35*('Plan mensual'!I102+IF(parametros_manuales!$H$35="Todos",'Plan mensual'!I106,0))+parametros_manuales!$F$35*('Plan mensual'!I103+IF(parametros_manuales!$H$35="Todos",'Plan mensual'!I107,0))+parametros_manuales!$G$35*('Plan mensual'!I104+IF(parametros_manuales!$H$35="Todos",'Plan mensual'!I108,0)))*parametros_manuales!$I$35*parametros_manuales!$J$35</f>
        <v>20325.510132325</v>
      </c>
      <c r="H261" s="9" t="n">
        <f aca="false">(parametros_manuales!$D$35*('Plan mensual'!J101+IF(parametros_manuales!$H$35="Todos",'Plan mensual'!J105,0))+parametros_manuales!$E$35*('Plan mensual'!J102+IF(parametros_manuales!$H$35="Todos",'Plan mensual'!J106,0))+parametros_manuales!$F$35*('Plan mensual'!J103+IF(parametros_manuales!$H$35="Todos",'Plan mensual'!J107,0))+parametros_manuales!$G$35*('Plan mensual'!J104+IF(parametros_manuales!$H$35="Todos",'Plan mensual'!J108,0)))*parametros_manuales!$I$35*parametros_manuales!$J$35</f>
        <v>21748.08435419</v>
      </c>
      <c r="I261" s="9" t="n">
        <f aca="false">(parametros_manuales!$D$35*('Plan mensual'!K101+IF(parametros_manuales!$H$35="Todos",'Plan mensual'!K105,0))+parametros_manuales!$E$35*('Plan mensual'!K102+IF(parametros_manuales!$H$35="Todos",'Plan mensual'!K106,0))+parametros_manuales!$F$35*('Plan mensual'!K103+IF(parametros_manuales!$H$35="Todos",'Plan mensual'!K107,0))+parametros_manuales!$G$35*('Plan mensual'!K104+IF(parametros_manuales!$H$35="Todos",'Plan mensual'!K108,0)))*parametros_manuales!$I$35*parametros_manuales!$J$35</f>
        <v>21748.08435419</v>
      </c>
      <c r="J261" s="9" t="n">
        <f aca="false">(parametros_manuales!$D$35*('Plan mensual'!L101+IF(parametros_manuales!$H$35="Todos",'Plan mensual'!L105,0))+parametros_manuales!$E$35*('Plan mensual'!L102+IF(parametros_manuales!$H$35="Todos",'Plan mensual'!L106,0))+parametros_manuales!$F$35*('Plan mensual'!L103+IF(parametros_manuales!$H$35="Todos",'Plan mensual'!L107,0))+parametros_manuales!$G$35*('Plan mensual'!L104+IF(parametros_manuales!$H$35="Todos",'Plan mensual'!L108,0)))*parametros_manuales!$I$35*parametros_manuales!$J$35</f>
        <v>21748.08435419</v>
      </c>
      <c r="K261" s="9" t="n">
        <f aca="false">(parametros_manuales!$D$35*('Plan mensual'!M101+IF(parametros_manuales!$H$35="Todos",'Plan mensual'!M105,0))+parametros_manuales!$E$35*('Plan mensual'!M102+IF(parametros_manuales!$H$35="Todos",'Plan mensual'!M106,0))+parametros_manuales!$F$35*('Plan mensual'!M103+IF(parametros_manuales!$H$35="Todos",'Plan mensual'!M107,0))+parametros_manuales!$G$35*('Plan mensual'!M104+IF(parametros_manuales!$H$35="Todos",'Plan mensual'!M108,0)))*parametros_manuales!$I$35*parametros_manuales!$J$35</f>
        <v>21338.613327975</v>
      </c>
      <c r="L261" s="9" t="n">
        <f aca="false">(parametros_manuales!$D$35*('Plan mensual'!N101+IF(parametros_manuales!$H$35="Todos",'Plan mensual'!N105,0))+parametros_manuales!$E$35*('Plan mensual'!N102+IF(parametros_manuales!$H$35="Todos",'Plan mensual'!N106,0))+parametros_manuales!$F$35*('Plan mensual'!N103+IF(parametros_manuales!$H$35="Todos",'Plan mensual'!N107,0))+parametros_manuales!$G$35*('Plan mensual'!N104+IF(parametros_manuales!$H$35="Todos",'Plan mensual'!N108,0)))*parametros_manuales!$I$35*parametros_manuales!$J$35</f>
        <v>20929.14230176</v>
      </c>
      <c r="M261" s="9" t="n">
        <f aca="false">(parametros_manuales!$D$35*('Plan mensual'!O101+IF(parametros_manuales!$H$35="Todos",'Plan mensual'!O105,0))+parametros_manuales!$E$35*('Plan mensual'!O102+IF(parametros_manuales!$H$35="Todos",'Plan mensual'!O106,0))+parametros_manuales!$F$35*('Plan mensual'!O103+IF(parametros_manuales!$H$35="Todos",'Plan mensual'!O107,0))+parametros_manuales!$G$35*('Plan mensual'!O104+IF(parametros_manuales!$H$35="Todos",'Plan mensual'!O108,0)))*parametros_manuales!$I$35*parametros_manuales!$J$35</f>
        <v>33322.83927233</v>
      </c>
      <c r="N261" s="9" t="n">
        <f aca="false">SUM(B261:M261)</f>
        <v>284514.844373</v>
      </c>
      <c r="O261" s="9" t="n">
        <f aca="false">MAX(B261:M261)</f>
        <v>33322.83927233</v>
      </c>
      <c r="P261" s="43" t="n">
        <f aca="false">O261/(parametros_manuales!$B$7)</f>
        <v>222.152261815533</v>
      </c>
      <c r="Q261" s="8" t="str">
        <f aca="false">IF(O261=0,"-",INDEX($B$244:$M$244,MATCH(O261,B261:M261,0)))</f>
        <v>Dic</v>
      </c>
    </row>
    <row r="262" customFormat="false" ht="14.25" hidden="false" customHeight="true" outlineLevel="0" collapsed="false">
      <c r="A262" s="8" t="str">
        <f aca="false">parametros_manuales!$B$36</f>
        <v>Corrección de defectos</v>
      </c>
      <c r="B262" s="9" t="n">
        <f aca="false">(parametros_manuales!$D$36*('Plan mensual'!D101+IF(parametros_manuales!$H$36="Todos",'Plan mensual'!D105,0))+parametros_manuales!$E$36*('Plan mensual'!D102+IF(parametros_manuales!$H$36="Todos",'Plan mensual'!D106,0))+parametros_manuales!$F$36*('Plan mensual'!D103+IF(parametros_manuales!$H$36="Todos",'Plan mensual'!D107,0))+parametros_manuales!$G$36*('Plan mensual'!D104+IF(parametros_manuales!$H$36="Todos",'Plan mensual'!D108,0)))*parametros_manuales!$I$36*parametros_manuales!$J$36</f>
        <v>1625.194860995</v>
      </c>
      <c r="C262" s="9" t="n">
        <f aca="false">(parametros_manuales!$D$36*('Plan mensual'!E101+IF(parametros_manuales!$H$36="Todos",'Plan mensual'!E105,0))+parametros_manuales!$E$36*('Plan mensual'!E102+IF(parametros_manuales!$H$36="Todos",'Plan mensual'!E106,0))+parametros_manuales!$F$36*('Plan mensual'!E103+IF(parametros_manuales!$H$36="Todos",'Plan mensual'!E107,0))+parametros_manuales!$G$36*('Plan mensual'!E104+IF(parametros_manuales!$H$36="Todos",'Plan mensual'!E108,0)))*parametros_manuales!$I$36*parametros_manuales!$J$36</f>
        <v>1239.369697057</v>
      </c>
      <c r="D262" s="9" t="n">
        <f aca="false">(parametros_manuales!$D$36*('Plan mensual'!F101+IF(parametros_manuales!$H$36="Todos",'Plan mensual'!F105,0))+parametros_manuales!$E$36*('Plan mensual'!F102+IF(parametros_manuales!$H$36="Todos",'Plan mensual'!F106,0))+parametros_manuales!$F$36*('Plan mensual'!F103+IF(parametros_manuales!$H$36="Todos",'Plan mensual'!F107,0))+parametros_manuales!$G$36*('Plan mensual'!F104+IF(parametros_manuales!$H$36="Todos",'Plan mensual'!F108,0)))*parametros_manuales!$I$36*parametros_manuales!$J$36</f>
        <v>1158.53292880275</v>
      </c>
      <c r="E262" s="9" t="n">
        <f aca="false">(parametros_manuales!$D$36*('Plan mensual'!G101+IF(parametros_manuales!$H$36="Todos",'Plan mensual'!G105,0))+parametros_manuales!$E$36*('Plan mensual'!G102+IF(parametros_manuales!$H$36="Todos",'Plan mensual'!G106,0))+parametros_manuales!$F$36*('Plan mensual'!G103+IF(parametros_manuales!$H$36="Todos",'Plan mensual'!G107,0))+parametros_manuales!$G$36*('Plan mensual'!G104+IF(parametros_manuales!$H$36="Todos",'Plan mensual'!G108,0)))*parametros_manuales!$I$36*parametros_manuales!$J$36</f>
        <v>1107.87776902025</v>
      </c>
      <c r="F262" s="9" t="n">
        <f aca="false">(parametros_manuales!$D$36*('Plan mensual'!H101+IF(parametros_manuales!$H$36="Todos",'Plan mensual'!H105,0))+parametros_manuales!$E$36*('Plan mensual'!H102+IF(parametros_manuales!$H$36="Todos",'Plan mensual'!H106,0))+parametros_manuales!$F$36*('Plan mensual'!H103+IF(parametros_manuales!$H$36="Todos",'Plan mensual'!H107,0))+parametros_manuales!$G$36*('Plan mensual'!H104+IF(parametros_manuales!$H$36="Todos",'Plan mensual'!H108,0)))*parametros_manuales!$I$36*parametros_manuales!$J$36</f>
        <v>1036.749057927</v>
      </c>
      <c r="G262" s="9" t="n">
        <f aca="false">(parametros_manuales!$D$36*('Plan mensual'!I101+IF(parametros_manuales!$H$36="Todos",'Plan mensual'!I105,0))+parametros_manuales!$E$36*('Plan mensual'!I102+IF(parametros_manuales!$H$36="Todos",'Plan mensual'!I106,0))+parametros_manuales!$F$36*('Plan mensual'!I103+IF(parametros_manuales!$H$36="Todos",'Plan mensual'!I107,0))+parametros_manuales!$G$36*('Plan mensual'!I104+IF(parametros_manuales!$H$36="Todos",'Plan mensual'!I108,0)))*parametros_manuales!$I$36*parametros_manuales!$J$36</f>
        <v>1016.27550661625</v>
      </c>
      <c r="H262" s="9" t="n">
        <f aca="false">(parametros_manuales!$D$36*('Plan mensual'!J101+IF(parametros_manuales!$H$36="Todos",'Plan mensual'!J105,0))+parametros_manuales!$E$36*('Plan mensual'!J102+IF(parametros_manuales!$H$36="Todos",'Plan mensual'!J106,0))+parametros_manuales!$F$36*('Plan mensual'!J103+IF(parametros_manuales!$H$36="Todos",'Plan mensual'!J107,0))+parametros_manuales!$G$36*('Plan mensual'!J104+IF(parametros_manuales!$H$36="Todos",'Plan mensual'!J108,0)))*parametros_manuales!$I$36*parametros_manuales!$J$36</f>
        <v>1087.4042177095</v>
      </c>
      <c r="I262" s="9" t="n">
        <f aca="false">(parametros_manuales!$D$36*('Plan mensual'!K101+IF(parametros_manuales!$H$36="Todos",'Plan mensual'!K105,0))+parametros_manuales!$E$36*('Plan mensual'!K102+IF(parametros_manuales!$H$36="Todos",'Plan mensual'!K106,0))+parametros_manuales!$F$36*('Plan mensual'!K103+IF(parametros_manuales!$H$36="Todos",'Plan mensual'!K107,0))+parametros_manuales!$G$36*('Plan mensual'!K104+IF(parametros_manuales!$H$36="Todos",'Plan mensual'!K108,0)))*parametros_manuales!$I$36*parametros_manuales!$J$36</f>
        <v>1087.4042177095</v>
      </c>
      <c r="J262" s="9" t="n">
        <f aca="false">(parametros_manuales!$D$36*('Plan mensual'!L101+IF(parametros_manuales!$H$36="Todos",'Plan mensual'!L105,0))+parametros_manuales!$E$36*('Plan mensual'!L102+IF(parametros_manuales!$H$36="Todos",'Plan mensual'!L106,0))+parametros_manuales!$F$36*('Plan mensual'!L103+IF(parametros_manuales!$H$36="Todos",'Plan mensual'!L107,0))+parametros_manuales!$G$36*('Plan mensual'!L104+IF(parametros_manuales!$H$36="Todos",'Plan mensual'!L108,0)))*parametros_manuales!$I$36*parametros_manuales!$J$36</f>
        <v>1087.4042177095</v>
      </c>
      <c r="K262" s="9" t="n">
        <f aca="false">(parametros_manuales!$D$36*('Plan mensual'!M101+IF(parametros_manuales!$H$36="Todos",'Plan mensual'!M105,0))+parametros_manuales!$E$36*('Plan mensual'!M102+IF(parametros_manuales!$H$36="Todos",'Plan mensual'!M106,0))+parametros_manuales!$F$36*('Plan mensual'!M103+IF(parametros_manuales!$H$36="Todos",'Plan mensual'!M107,0))+parametros_manuales!$G$36*('Plan mensual'!M104+IF(parametros_manuales!$H$36="Todos",'Plan mensual'!M108,0)))*parametros_manuales!$I$36*parametros_manuales!$J$36</f>
        <v>1066.93066639875</v>
      </c>
      <c r="L262" s="9" t="n">
        <f aca="false">(parametros_manuales!$D$36*('Plan mensual'!N101+IF(parametros_manuales!$H$36="Todos",'Plan mensual'!N105,0))+parametros_manuales!$E$36*('Plan mensual'!N102+IF(parametros_manuales!$H$36="Todos",'Plan mensual'!N106,0))+parametros_manuales!$F$36*('Plan mensual'!N103+IF(parametros_manuales!$H$36="Todos",'Plan mensual'!N107,0))+parametros_manuales!$G$36*('Plan mensual'!N104+IF(parametros_manuales!$H$36="Todos",'Plan mensual'!N108,0)))*parametros_manuales!$I$36*parametros_manuales!$J$36</f>
        <v>1046.457115088</v>
      </c>
      <c r="M262" s="9" t="n">
        <f aca="false">(parametros_manuales!$D$36*('Plan mensual'!O101+IF(parametros_manuales!$H$36="Todos",'Plan mensual'!O105,0))+parametros_manuales!$E$36*('Plan mensual'!O102+IF(parametros_manuales!$H$36="Todos",'Plan mensual'!O106,0))+parametros_manuales!$F$36*('Plan mensual'!O103+IF(parametros_manuales!$H$36="Todos",'Plan mensual'!O107,0))+parametros_manuales!$G$36*('Plan mensual'!O104+IF(parametros_manuales!$H$36="Todos",'Plan mensual'!O108,0)))*parametros_manuales!$I$36*parametros_manuales!$J$36</f>
        <v>1666.1419636165</v>
      </c>
      <c r="N262" s="9" t="n">
        <f aca="false">SUM(B262:M262)</f>
        <v>14225.74221865</v>
      </c>
      <c r="O262" s="9" t="n">
        <f aca="false">MAX(B262:M262)</f>
        <v>1666.1419636165</v>
      </c>
      <c r="P262" s="43" t="n">
        <f aca="false">O262/(parametros_manuales!$B$7)</f>
        <v>11.1076130907767</v>
      </c>
      <c r="Q262" s="8" t="str">
        <f aca="false">IF(O262=0,"-",INDEX($B$244:$M$244,MATCH(O262,B262:M262,0)))</f>
        <v>Dic</v>
      </c>
    </row>
    <row r="263" customFormat="false" ht="14.25" hidden="false" customHeight="true" outlineLevel="0" collapsed="false">
      <c r="A263" s="8" t="str">
        <f aca="false">parametros_manuales!$B$37</f>
        <v>Pintura en polvo + horno</v>
      </c>
      <c r="B263" s="9" t="n">
        <f aca="false">(parametros_manuales!$D$37*('Plan mensual'!D101+IF(parametros_manuales!$H$37="Todos",'Plan mensual'!D105,0))+parametros_manuales!$E$37*('Plan mensual'!D102+IF(parametros_manuales!$H$37="Todos",'Plan mensual'!D106,0))+parametros_manuales!$F$37*('Plan mensual'!D103+IF(parametros_manuales!$H$37="Todos",'Plan mensual'!D107,0))+parametros_manuales!$G$37*('Plan mensual'!D104+IF(parametros_manuales!$H$37="Todos",'Plan mensual'!D108,0)))*parametros_manuales!$I$37*parametros_manuales!$J$37</f>
        <v>32503.8972199</v>
      </c>
      <c r="C263" s="9" t="n">
        <f aca="false">(parametros_manuales!$D$37*('Plan mensual'!E101+IF(parametros_manuales!$H$37="Todos",'Plan mensual'!E105,0))+parametros_manuales!$E$37*('Plan mensual'!E102+IF(parametros_manuales!$H$37="Todos",'Plan mensual'!E106,0))+parametros_manuales!$F$37*('Plan mensual'!E103+IF(parametros_manuales!$H$37="Todos",'Plan mensual'!E107,0))+parametros_manuales!$G$37*('Plan mensual'!E104+IF(parametros_manuales!$H$37="Todos",'Plan mensual'!E108,0)))*parametros_manuales!$I$37*parametros_manuales!$J$37</f>
        <v>24787.39394114</v>
      </c>
      <c r="D263" s="9" t="n">
        <f aca="false">(parametros_manuales!$D$37*('Plan mensual'!F101+IF(parametros_manuales!$H$37="Todos",'Plan mensual'!F105,0))+parametros_manuales!$E$37*('Plan mensual'!F102+IF(parametros_manuales!$H$37="Todos",'Plan mensual'!F106,0))+parametros_manuales!$F$37*('Plan mensual'!F103+IF(parametros_manuales!$H$37="Todos",'Plan mensual'!F107,0))+parametros_manuales!$G$37*('Plan mensual'!F104+IF(parametros_manuales!$H$37="Todos",'Plan mensual'!F108,0)))*parametros_manuales!$I$37*parametros_manuales!$J$37</f>
        <v>23170.658576055</v>
      </c>
      <c r="E263" s="9" t="n">
        <f aca="false">(parametros_manuales!$D$37*('Plan mensual'!G101+IF(parametros_manuales!$H$37="Todos",'Plan mensual'!G105,0))+parametros_manuales!$E$37*('Plan mensual'!G102+IF(parametros_manuales!$H$37="Todos",'Plan mensual'!G106,0))+parametros_manuales!$F$37*('Plan mensual'!G103+IF(parametros_manuales!$H$37="Todos",'Plan mensual'!G107,0))+parametros_manuales!$G$37*('Plan mensual'!G104+IF(parametros_manuales!$H$37="Todos",'Plan mensual'!G108,0)))*parametros_manuales!$I$37*parametros_manuales!$J$37</f>
        <v>22157.555380405</v>
      </c>
      <c r="F263" s="9" t="n">
        <f aca="false">(parametros_manuales!$D$37*('Plan mensual'!H101+IF(parametros_manuales!$H$37="Todos",'Plan mensual'!H105,0))+parametros_manuales!$E$37*('Plan mensual'!H102+IF(parametros_manuales!$H$37="Todos",'Plan mensual'!H106,0))+parametros_manuales!$F$37*('Plan mensual'!H103+IF(parametros_manuales!$H$37="Todos",'Plan mensual'!H107,0))+parametros_manuales!$G$37*('Plan mensual'!H104+IF(parametros_manuales!$H$37="Todos",'Plan mensual'!H108,0)))*parametros_manuales!$I$37*parametros_manuales!$J$37</f>
        <v>20734.98115854</v>
      </c>
      <c r="G263" s="9" t="n">
        <f aca="false">(parametros_manuales!$D$37*('Plan mensual'!I101+IF(parametros_manuales!$H$37="Todos",'Plan mensual'!I105,0))+parametros_manuales!$E$37*('Plan mensual'!I102+IF(parametros_manuales!$H$37="Todos",'Plan mensual'!I106,0))+parametros_manuales!$F$37*('Plan mensual'!I103+IF(parametros_manuales!$H$37="Todos",'Plan mensual'!I107,0))+parametros_manuales!$G$37*('Plan mensual'!I104+IF(parametros_manuales!$H$37="Todos",'Plan mensual'!I108,0)))*parametros_manuales!$I$37*parametros_manuales!$J$37</f>
        <v>20325.510132325</v>
      </c>
      <c r="H263" s="9" t="n">
        <f aca="false">(parametros_manuales!$D$37*('Plan mensual'!J101+IF(parametros_manuales!$H$37="Todos",'Plan mensual'!J105,0))+parametros_manuales!$E$37*('Plan mensual'!J102+IF(parametros_manuales!$H$37="Todos",'Plan mensual'!J106,0))+parametros_manuales!$F$37*('Plan mensual'!J103+IF(parametros_manuales!$H$37="Todos",'Plan mensual'!J107,0))+parametros_manuales!$G$37*('Plan mensual'!J104+IF(parametros_manuales!$H$37="Todos",'Plan mensual'!J108,0)))*parametros_manuales!$I$37*parametros_manuales!$J$37</f>
        <v>21748.08435419</v>
      </c>
      <c r="I263" s="9" t="n">
        <f aca="false">(parametros_manuales!$D$37*('Plan mensual'!K101+IF(parametros_manuales!$H$37="Todos",'Plan mensual'!K105,0))+parametros_manuales!$E$37*('Plan mensual'!K102+IF(parametros_manuales!$H$37="Todos",'Plan mensual'!K106,0))+parametros_manuales!$F$37*('Plan mensual'!K103+IF(parametros_manuales!$H$37="Todos",'Plan mensual'!K107,0))+parametros_manuales!$G$37*('Plan mensual'!K104+IF(parametros_manuales!$H$37="Todos",'Plan mensual'!K108,0)))*parametros_manuales!$I$37*parametros_manuales!$J$37</f>
        <v>21748.08435419</v>
      </c>
      <c r="J263" s="9" t="n">
        <f aca="false">(parametros_manuales!$D$37*('Plan mensual'!L101+IF(parametros_manuales!$H$37="Todos",'Plan mensual'!L105,0))+parametros_manuales!$E$37*('Plan mensual'!L102+IF(parametros_manuales!$H$37="Todos",'Plan mensual'!L106,0))+parametros_manuales!$F$37*('Plan mensual'!L103+IF(parametros_manuales!$H$37="Todos",'Plan mensual'!L107,0))+parametros_manuales!$G$37*('Plan mensual'!L104+IF(parametros_manuales!$H$37="Todos",'Plan mensual'!L108,0)))*parametros_manuales!$I$37*parametros_manuales!$J$37</f>
        <v>21748.08435419</v>
      </c>
      <c r="K263" s="9" t="n">
        <f aca="false">(parametros_manuales!$D$37*('Plan mensual'!M101+IF(parametros_manuales!$H$37="Todos",'Plan mensual'!M105,0))+parametros_manuales!$E$37*('Plan mensual'!M102+IF(parametros_manuales!$H$37="Todos",'Plan mensual'!M106,0))+parametros_manuales!$F$37*('Plan mensual'!M103+IF(parametros_manuales!$H$37="Todos",'Plan mensual'!M107,0))+parametros_manuales!$G$37*('Plan mensual'!M104+IF(parametros_manuales!$H$37="Todos",'Plan mensual'!M108,0)))*parametros_manuales!$I$37*parametros_manuales!$J$37</f>
        <v>21338.613327975</v>
      </c>
      <c r="L263" s="9" t="n">
        <f aca="false">(parametros_manuales!$D$37*('Plan mensual'!N101+IF(parametros_manuales!$H$37="Todos",'Plan mensual'!N105,0))+parametros_manuales!$E$37*('Plan mensual'!N102+IF(parametros_manuales!$H$37="Todos",'Plan mensual'!N106,0))+parametros_manuales!$F$37*('Plan mensual'!N103+IF(parametros_manuales!$H$37="Todos",'Plan mensual'!N107,0))+parametros_manuales!$G$37*('Plan mensual'!N104+IF(parametros_manuales!$H$37="Todos",'Plan mensual'!N108,0)))*parametros_manuales!$I$37*parametros_manuales!$J$37</f>
        <v>20929.14230176</v>
      </c>
      <c r="M263" s="9" t="n">
        <f aca="false">(parametros_manuales!$D$37*('Plan mensual'!O101+IF(parametros_manuales!$H$37="Todos",'Plan mensual'!O105,0))+parametros_manuales!$E$37*('Plan mensual'!O102+IF(parametros_manuales!$H$37="Todos",'Plan mensual'!O106,0))+parametros_manuales!$F$37*('Plan mensual'!O103+IF(parametros_manuales!$H$37="Todos",'Plan mensual'!O107,0))+parametros_manuales!$G$37*('Plan mensual'!O104+IF(parametros_manuales!$H$37="Todos",'Plan mensual'!O108,0)))*parametros_manuales!$I$37*parametros_manuales!$J$37</f>
        <v>33322.83927233</v>
      </c>
      <c r="N263" s="9" t="n">
        <f aca="false">SUM(B263:M263)</f>
        <v>284514.844373</v>
      </c>
      <c r="O263" s="9" t="n">
        <f aca="false">MAX(B263:M263)</f>
        <v>33322.83927233</v>
      </c>
      <c r="P263" s="43" t="n">
        <f aca="false">O263/(parametros_manuales!$B$7)</f>
        <v>222.152261815533</v>
      </c>
      <c r="Q263" s="8" t="str">
        <f aca="false">IF(O263=0,"-",INDEX($B$244:$M$244,MATCH(O263,B263:M263,0)))</f>
        <v>Dic</v>
      </c>
    </row>
    <row r="264" customFormat="false" ht="14.25" hidden="false" customHeight="true" outlineLevel="0" collapsed="false">
      <c r="A264" s="8" t="str">
        <f aca="false">parametros_manuales!$B$38</f>
        <v>Carga de polvo</v>
      </c>
      <c r="B264" s="9" t="n">
        <f aca="false">(parametros_manuales!$D$38*('Plan mensual'!D101+IF(parametros_manuales!$H$38="Todos",'Plan mensual'!D105,0))+parametros_manuales!$E$38*('Plan mensual'!D102+IF(parametros_manuales!$H$38="Todos",'Plan mensual'!D106,0))+parametros_manuales!$F$38*('Plan mensual'!D103+IF(parametros_manuales!$H$38="Todos",'Plan mensual'!D107,0))+parametros_manuales!$G$38*('Plan mensual'!D104+IF(parametros_manuales!$H$38="Todos",'Plan mensual'!D108,0)))*parametros_manuales!$I$38*parametros_manuales!$J$38</f>
        <v>7860.3572199</v>
      </c>
      <c r="C264" s="9" t="n">
        <f aca="false">(parametros_manuales!$D$38*('Plan mensual'!E101+IF(parametros_manuales!$H$38="Todos",'Plan mensual'!E105,0))+parametros_manuales!$E$38*('Plan mensual'!E102+IF(parametros_manuales!$H$38="Todos",'Plan mensual'!E106,0))+parametros_manuales!$F$38*('Plan mensual'!E103+IF(parametros_manuales!$H$38="Todos",'Plan mensual'!E107,0))+parametros_manuales!$G$38*('Plan mensual'!E104+IF(parametros_manuales!$H$38="Todos",'Plan mensual'!E108,0)))*parametros_manuales!$I$38*parametros_manuales!$J$38</f>
        <v>6095.84994114</v>
      </c>
      <c r="D264" s="9" t="n">
        <f aca="false">(parametros_manuales!$D$38*('Plan mensual'!F101+IF(parametros_manuales!$H$38="Todos",'Plan mensual'!F105,0))+parametros_manuales!$E$38*('Plan mensual'!F102+IF(parametros_manuales!$H$38="Todos",'Plan mensual'!F106,0))+parametros_manuales!$F$38*('Plan mensual'!F103+IF(parametros_manuales!$H$38="Todos",'Plan mensual'!F107,0))+parametros_manuales!$G$38*('Plan mensual'!F104+IF(parametros_manuales!$H$38="Todos",'Plan mensual'!F108,0)))*parametros_manuales!$I$38*parametros_manuales!$J$38</f>
        <v>5975.705576055</v>
      </c>
      <c r="E264" s="9" t="n">
        <f aca="false">(parametros_manuales!$D$38*('Plan mensual'!G101+IF(parametros_manuales!$H$38="Todos",'Plan mensual'!G105,0))+parametros_manuales!$E$38*('Plan mensual'!G102+IF(parametros_manuales!$H$38="Todos",'Plan mensual'!G106,0))+parametros_manuales!$F$38*('Plan mensual'!G103+IF(parametros_manuales!$H$38="Todos",'Plan mensual'!G107,0))+parametros_manuales!$G$38*('Plan mensual'!G104+IF(parametros_manuales!$H$38="Todos",'Plan mensual'!G108,0)))*parametros_manuales!$I$38*parametros_manuales!$J$38</f>
        <v>5815.342380405</v>
      </c>
      <c r="F264" s="9" t="n">
        <f aca="false">(parametros_manuales!$D$38*('Plan mensual'!H101+IF(parametros_manuales!$H$38="Todos",'Plan mensual'!H105,0))+parametros_manuales!$E$38*('Plan mensual'!H102+IF(parametros_manuales!$H$38="Todos",'Plan mensual'!H106,0))+parametros_manuales!$F$38*('Plan mensual'!H103+IF(parametros_manuales!$H$38="Todos",'Plan mensual'!H107,0))+parametros_manuales!$G$38*('Plan mensual'!H104+IF(parametros_manuales!$H$38="Todos",'Plan mensual'!H108,0)))*parametros_manuales!$I$38*parametros_manuales!$J$38</f>
        <v>5454.39715854</v>
      </c>
      <c r="G264" s="9" t="n">
        <f aca="false">(parametros_manuales!$D$38*('Plan mensual'!I101+IF(parametros_manuales!$H$38="Todos",'Plan mensual'!I105,0))+parametros_manuales!$E$38*('Plan mensual'!I102+IF(parametros_manuales!$H$38="Todos",'Plan mensual'!I106,0))+parametros_manuales!$F$38*('Plan mensual'!I103+IF(parametros_manuales!$H$38="Todos",'Plan mensual'!I107,0))+parametros_manuales!$G$38*('Plan mensual'!I104+IF(parametros_manuales!$H$38="Todos",'Plan mensual'!I108,0)))*parametros_manuales!$I$38*parametros_manuales!$J$38</f>
        <v>5253.815132325</v>
      </c>
      <c r="H264" s="9" t="n">
        <f aca="false">(parametros_manuales!$D$38*('Plan mensual'!J101+IF(parametros_manuales!$H$38="Todos",'Plan mensual'!J105,0))+parametros_manuales!$E$38*('Plan mensual'!J102+IF(parametros_manuales!$H$38="Todos",'Plan mensual'!J106,0))+parametros_manuales!$F$38*('Plan mensual'!J103+IF(parametros_manuales!$H$38="Todos",'Plan mensual'!J107,0))+parametros_manuales!$G$38*('Plan mensual'!J104+IF(parametros_manuales!$H$38="Todos",'Plan mensual'!J108,0)))*parametros_manuales!$I$38*parametros_manuales!$J$38</f>
        <v>5614.76035419</v>
      </c>
      <c r="I264" s="9" t="n">
        <f aca="false">(parametros_manuales!$D$38*('Plan mensual'!K101+IF(parametros_manuales!$H$38="Todos",'Plan mensual'!K105,0))+parametros_manuales!$E$38*('Plan mensual'!K102+IF(parametros_manuales!$H$38="Todos",'Plan mensual'!K106,0))+parametros_manuales!$F$38*('Plan mensual'!K103+IF(parametros_manuales!$H$38="Todos",'Plan mensual'!K107,0))+parametros_manuales!$G$38*('Plan mensual'!K104+IF(parametros_manuales!$H$38="Todos",'Plan mensual'!K108,0)))*parametros_manuales!$I$38*parametros_manuales!$J$38</f>
        <v>5614.76035419</v>
      </c>
      <c r="J264" s="9" t="n">
        <f aca="false">(parametros_manuales!$D$38*('Plan mensual'!L101+IF(parametros_manuales!$H$38="Todos",'Plan mensual'!L105,0))+parametros_manuales!$E$38*('Plan mensual'!L102+IF(parametros_manuales!$H$38="Todos",'Plan mensual'!L106,0))+parametros_manuales!$F$38*('Plan mensual'!L103+IF(parametros_manuales!$H$38="Todos",'Plan mensual'!L107,0))+parametros_manuales!$G$38*('Plan mensual'!L104+IF(parametros_manuales!$H$38="Todos",'Plan mensual'!L108,0)))*parametros_manuales!$I$38*parametros_manuales!$J$38</f>
        <v>5614.76035419</v>
      </c>
      <c r="K264" s="9" t="n">
        <f aca="false">(parametros_manuales!$D$38*('Plan mensual'!M101+IF(parametros_manuales!$H$38="Todos",'Plan mensual'!M105,0))+parametros_manuales!$E$38*('Plan mensual'!M102+IF(parametros_manuales!$H$38="Todos",'Plan mensual'!M106,0))+parametros_manuales!$F$38*('Plan mensual'!M103+IF(parametros_manuales!$H$38="Todos",'Plan mensual'!M107,0))+parametros_manuales!$G$38*('Plan mensual'!M104+IF(parametros_manuales!$H$38="Todos",'Plan mensual'!M108,0)))*parametros_manuales!$I$38*parametros_manuales!$J$38</f>
        <v>5414.178327975</v>
      </c>
      <c r="L264" s="9" t="n">
        <f aca="false">(parametros_manuales!$D$38*('Plan mensual'!N101+IF(parametros_manuales!$H$38="Todos",'Plan mensual'!N105,0))+parametros_manuales!$E$38*('Plan mensual'!N102+IF(parametros_manuales!$H$38="Todos",'Plan mensual'!N106,0))+parametros_manuales!$F$38*('Plan mensual'!N103+IF(parametros_manuales!$H$38="Todos",'Plan mensual'!N107,0))+parametros_manuales!$G$38*('Plan mensual'!N104+IF(parametros_manuales!$H$38="Todos",'Plan mensual'!N108,0)))*parametros_manuales!$I$38*parametros_manuales!$J$38</f>
        <v>5213.59630176</v>
      </c>
      <c r="M264" s="9" t="n">
        <f aca="false">(parametros_manuales!$D$38*('Plan mensual'!O101+IF(parametros_manuales!$H$38="Todos",'Plan mensual'!O105,0))+parametros_manuales!$E$38*('Plan mensual'!O102+IF(parametros_manuales!$H$38="Todos",'Plan mensual'!O106,0))+parametros_manuales!$F$38*('Plan mensual'!O103+IF(parametros_manuales!$H$38="Todos",'Plan mensual'!O107,0))+parametros_manuales!$G$38*('Plan mensual'!O104+IF(parametros_manuales!$H$38="Todos",'Plan mensual'!O108,0)))*parametros_manuales!$I$38*parametros_manuales!$J$38</f>
        <v>8261.52127233</v>
      </c>
      <c r="N264" s="9" t="n">
        <f aca="false">SUM(B264:M264)</f>
        <v>72189.044373</v>
      </c>
      <c r="O264" s="9" t="n">
        <f aca="false">MAX(B264:M264)</f>
        <v>8261.52127233</v>
      </c>
      <c r="P264" s="43" t="n">
        <f aca="false">O264/(parametros_manuales!$B$7)</f>
        <v>55.0768084822</v>
      </c>
      <c r="Q264" s="8" t="str">
        <f aca="false">IF(O264=0,"-",INDEX($B$244:$M$244,MATCH(O264,B264:M264,0)))</f>
        <v>Dic</v>
      </c>
    </row>
    <row r="265" customFormat="false" ht="14.25" hidden="false" customHeight="true" outlineLevel="0" collapsed="false">
      <c r="A265" s="8" t="str">
        <f aca="false">parametros_manuales!$B$39</f>
        <v>Ensamblaje</v>
      </c>
      <c r="B265" s="9" t="n">
        <f aca="false">(parametros_manuales!$D$39*('Plan mensual'!D101+IF(parametros_manuales!$H$39="Todos",'Plan mensual'!D105,0))+parametros_manuales!$E$39*('Plan mensual'!D102+IF(parametros_manuales!$H$39="Todos",'Plan mensual'!D106,0))+parametros_manuales!$F$39*('Plan mensual'!D103+IF(parametros_manuales!$H$39="Todos",'Plan mensual'!D107,0))+parametros_manuales!$G$39*('Plan mensual'!D104+IF(parametros_manuales!$H$39="Todos",'Plan mensual'!D108,0)))*parametros_manuales!$I$39*parametros_manuales!$J$39</f>
        <v>7860.3572199</v>
      </c>
      <c r="C265" s="9" t="n">
        <f aca="false">(parametros_manuales!$D$39*('Plan mensual'!E101+IF(parametros_manuales!$H$39="Todos",'Plan mensual'!E105,0))+parametros_manuales!$E$39*('Plan mensual'!E102+IF(parametros_manuales!$H$39="Todos",'Plan mensual'!E106,0))+parametros_manuales!$F$39*('Plan mensual'!E103+IF(parametros_manuales!$H$39="Todos",'Plan mensual'!E107,0))+parametros_manuales!$G$39*('Plan mensual'!E104+IF(parametros_manuales!$H$39="Todos",'Plan mensual'!E108,0)))*parametros_manuales!$I$39*parametros_manuales!$J$39</f>
        <v>6095.84994114</v>
      </c>
      <c r="D265" s="9" t="n">
        <f aca="false">(parametros_manuales!$D$39*('Plan mensual'!F101+IF(parametros_manuales!$H$39="Todos",'Plan mensual'!F105,0))+parametros_manuales!$E$39*('Plan mensual'!F102+IF(parametros_manuales!$H$39="Todos",'Plan mensual'!F106,0))+parametros_manuales!$F$39*('Plan mensual'!F103+IF(parametros_manuales!$H$39="Todos",'Plan mensual'!F107,0))+parametros_manuales!$G$39*('Plan mensual'!F104+IF(parametros_manuales!$H$39="Todos",'Plan mensual'!F108,0)))*parametros_manuales!$I$39*parametros_manuales!$J$39</f>
        <v>5975.705576055</v>
      </c>
      <c r="E265" s="9" t="n">
        <f aca="false">(parametros_manuales!$D$39*('Plan mensual'!G101+IF(parametros_manuales!$H$39="Todos",'Plan mensual'!G105,0))+parametros_manuales!$E$39*('Plan mensual'!G102+IF(parametros_manuales!$H$39="Todos",'Plan mensual'!G106,0))+parametros_manuales!$F$39*('Plan mensual'!G103+IF(parametros_manuales!$H$39="Todos",'Plan mensual'!G107,0))+parametros_manuales!$G$39*('Plan mensual'!G104+IF(parametros_manuales!$H$39="Todos",'Plan mensual'!G108,0)))*parametros_manuales!$I$39*parametros_manuales!$J$39</f>
        <v>5815.342380405</v>
      </c>
      <c r="F265" s="9" t="n">
        <f aca="false">(parametros_manuales!$D$39*('Plan mensual'!H101+IF(parametros_manuales!$H$39="Todos",'Plan mensual'!H105,0))+parametros_manuales!$E$39*('Plan mensual'!H102+IF(parametros_manuales!$H$39="Todos",'Plan mensual'!H106,0))+parametros_manuales!$F$39*('Plan mensual'!H103+IF(parametros_manuales!$H$39="Todos",'Plan mensual'!H107,0))+parametros_manuales!$G$39*('Plan mensual'!H104+IF(parametros_manuales!$H$39="Todos",'Plan mensual'!H108,0)))*parametros_manuales!$I$39*parametros_manuales!$J$39</f>
        <v>5454.39715854</v>
      </c>
      <c r="G265" s="9" t="n">
        <f aca="false">(parametros_manuales!$D$39*('Plan mensual'!I101+IF(parametros_manuales!$H$39="Todos",'Plan mensual'!I105,0))+parametros_manuales!$E$39*('Plan mensual'!I102+IF(parametros_manuales!$H$39="Todos",'Plan mensual'!I106,0))+parametros_manuales!$F$39*('Plan mensual'!I103+IF(parametros_manuales!$H$39="Todos",'Plan mensual'!I107,0))+parametros_manuales!$G$39*('Plan mensual'!I104+IF(parametros_manuales!$H$39="Todos",'Plan mensual'!I108,0)))*parametros_manuales!$I$39*parametros_manuales!$J$39</f>
        <v>5253.815132325</v>
      </c>
      <c r="H265" s="9" t="n">
        <f aca="false">(parametros_manuales!$D$39*('Plan mensual'!J101+IF(parametros_manuales!$H$39="Todos",'Plan mensual'!J105,0))+parametros_manuales!$E$39*('Plan mensual'!J102+IF(parametros_manuales!$H$39="Todos",'Plan mensual'!J106,0))+parametros_manuales!$F$39*('Plan mensual'!J103+IF(parametros_manuales!$H$39="Todos",'Plan mensual'!J107,0))+parametros_manuales!$G$39*('Plan mensual'!J104+IF(parametros_manuales!$H$39="Todos",'Plan mensual'!J108,0)))*parametros_manuales!$I$39*parametros_manuales!$J$39</f>
        <v>5614.76035419</v>
      </c>
      <c r="I265" s="9" t="n">
        <f aca="false">(parametros_manuales!$D$39*('Plan mensual'!K101+IF(parametros_manuales!$H$39="Todos",'Plan mensual'!K105,0))+parametros_manuales!$E$39*('Plan mensual'!K102+IF(parametros_manuales!$H$39="Todos",'Plan mensual'!K106,0))+parametros_manuales!$F$39*('Plan mensual'!K103+IF(parametros_manuales!$H$39="Todos",'Plan mensual'!K107,0))+parametros_manuales!$G$39*('Plan mensual'!K104+IF(parametros_manuales!$H$39="Todos",'Plan mensual'!K108,0)))*parametros_manuales!$I$39*parametros_manuales!$J$39</f>
        <v>5614.76035419</v>
      </c>
      <c r="J265" s="9" t="n">
        <f aca="false">(parametros_manuales!$D$39*('Plan mensual'!L101+IF(parametros_manuales!$H$39="Todos",'Plan mensual'!L105,0))+parametros_manuales!$E$39*('Plan mensual'!L102+IF(parametros_manuales!$H$39="Todos",'Plan mensual'!L106,0))+parametros_manuales!$F$39*('Plan mensual'!L103+IF(parametros_manuales!$H$39="Todos",'Plan mensual'!L107,0))+parametros_manuales!$G$39*('Plan mensual'!L104+IF(parametros_manuales!$H$39="Todos",'Plan mensual'!L108,0)))*parametros_manuales!$I$39*parametros_manuales!$J$39</f>
        <v>5614.76035419</v>
      </c>
      <c r="K265" s="9" t="n">
        <f aca="false">(parametros_manuales!$D$39*('Plan mensual'!M101+IF(parametros_manuales!$H$39="Todos",'Plan mensual'!M105,0))+parametros_manuales!$E$39*('Plan mensual'!M102+IF(parametros_manuales!$H$39="Todos",'Plan mensual'!M106,0))+parametros_manuales!$F$39*('Plan mensual'!M103+IF(parametros_manuales!$H$39="Todos",'Plan mensual'!M107,0))+parametros_manuales!$G$39*('Plan mensual'!M104+IF(parametros_manuales!$H$39="Todos",'Plan mensual'!M108,0)))*parametros_manuales!$I$39*parametros_manuales!$J$39</f>
        <v>5414.178327975</v>
      </c>
      <c r="L265" s="9" t="n">
        <f aca="false">(parametros_manuales!$D$39*('Plan mensual'!N101+IF(parametros_manuales!$H$39="Todos",'Plan mensual'!N105,0))+parametros_manuales!$E$39*('Plan mensual'!N102+IF(parametros_manuales!$H$39="Todos",'Plan mensual'!N106,0))+parametros_manuales!$F$39*('Plan mensual'!N103+IF(parametros_manuales!$H$39="Todos",'Plan mensual'!N107,0))+parametros_manuales!$G$39*('Plan mensual'!N104+IF(parametros_manuales!$H$39="Todos",'Plan mensual'!N108,0)))*parametros_manuales!$I$39*parametros_manuales!$J$39</f>
        <v>5213.59630176</v>
      </c>
      <c r="M265" s="9" t="n">
        <f aca="false">(parametros_manuales!$D$39*('Plan mensual'!O101+IF(parametros_manuales!$H$39="Todos",'Plan mensual'!O105,0))+parametros_manuales!$E$39*('Plan mensual'!O102+IF(parametros_manuales!$H$39="Todos",'Plan mensual'!O106,0))+parametros_manuales!$F$39*('Plan mensual'!O103+IF(parametros_manuales!$H$39="Todos",'Plan mensual'!O107,0))+parametros_manuales!$G$39*('Plan mensual'!O104+IF(parametros_manuales!$H$39="Todos",'Plan mensual'!O108,0)))*parametros_manuales!$I$39*parametros_manuales!$J$39</f>
        <v>8261.52127233</v>
      </c>
      <c r="N265" s="9" t="n">
        <f aca="false">SUM(B265:M265)</f>
        <v>72189.044373</v>
      </c>
      <c r="O265" s="9" t="n">
        <f aca="false">MAX(B265:M265)</f>
        <v>8261.52127233</v>
      </c>
      <c r="P265" s="43" t="n">
        <f aca="false">O265/(parametros_manuales!$B$7)</f>
        <v>55.0768084822</v>
      </c>
      <c r="Q265" s="8" t="str">
        <f aca="false">IF(O265=0,"-",INDEX($B$244:$M$244,MATCH(O265,B265:M265,0)))</f>
        <v>Dic</v>
      </c>
    </row>
    <row r="266" customFormat="false" ht="14.25" hidden="false" customHeight="true" outlineLevel="0" collapsed="false">
      <c r="A266" s="8" t="str">
        <f aca="false">parametros_manuales!$B$40</f>
        <v>Presurización</v>
      </c>
      <c r="B266" s="9" t="n">
        <f aca="false">(parametros_manuales!$D$40*('Plan mensual'!D101+IF(parametros_manuales!$H$40="Todos",'Plan mensual'!D105,0))+parametros_manuales!$E$40*('Plan mensual'!D102+IF(parametros_manuales!$H$40="Todos",'Plan mensual'!D106,0))+parametros_manuales!$F$40*('Plan mensual'!D103+IF(parametros_manuales!$H$40="Todos",'Plan mensual'!D107,0))+parametros_manuales!$G$40*('Plan mensual'!D104+IF(parametros_manuales!$H$40="Todos",'Plan mensual'!D108,0)))*parametros_manuales!$I$40*parametros_manuales!$J$40</f>
        <v>7860.3572199</v>
      </c>
      <c r="C266" s="9" t="n">
        <f aca="false">(parametros_manuales!$D$40*('Plan mensual'!E101+IF(parametros_manuales!$H$40="Todos",'Plan mensual'!E105,0))+parametros_manuales!$E$40*('Plan mensual'!E102+IF(parametros_manuales!$H$40="Todos",'Plan mensual'!E106,0))+parametros_manuales!$F$40*('Plan mensual'!E103+IF(parametros_manuales!$H$40="Todos",'Plan mensual'!E107,0))+parametros_manuales!$G$40*('Plan mensual'!E104+IF(parametros_manuales!$H$40="Todos",'Plan mensual'!E108,0)))*parametros_manuales!$I$40*parametros_manuales!$J$40</f>
        <v>6095.84994114</v>
      </c>
      <c r="D266" s="9" t="n">
        <f aca="false">(parametros_manuales!$D$40*('Plan mensual'!F101+IF(parametros_manuales!$H$40="Todos",'Plan mensual'!F105,0))+parametros_manuales!$E$40*('Plan mensual'!F102+IF(parametros_manuales!$H$40="Todos",'Plan mensual'!F106,0))+parametros_manuales!$F$40*('Plan mensual'!F103+IF(parametros_manuales!$H$40="Todos",'Plan mensual'!F107,0))+parametros_manuales!$G$40*('Plan mensual'!F104+IF(parametros_manuales!$H$40="Todos",'Plan mensual'!F108,0)))*parametros_manuales!$I$40*parametros_manuales!$J$40</f>
        <v>5975.705576055</v>
      </c>
      <c r="E266" s="9" t="n">
        <f aca="false">(parametros_manuales!$D$40*('Plan mensual'!G101+IF(parametros_manuales!$H$40="Todos",'Plan mensual'!G105,0))+parametros_manuales!$E$40*('Plan mensual'!G102+IF(parametros_manuales!$H$40="Todos",'Plan mensual'!G106,0))+parametros_manuales!$F$40*('Plan mensual'!G103+IF(parametros_manuales!$H$40="Todos",'Plan mensual'!G107,0))+parametros_manuales!$G$40*('Plan mensual'!G104+IF(parametros_manuales!$H$40="Todos",'Plan mensual'!G108,0)))*parametros_manuales!$I$40*parametros_manuales!$J$40</f>
        <v>5815.342380405</v>
      </c>
      <c r="F266" s="9" t="n">
        <f aca="false">(parametros_manuales!$D$40*('Plan mensual'!H101+IF(parametros_manuales!$H$40="Todos",'Plan mensual'!H105,0))+parametros_manuales!$E$40*('Plan mensual'!H102+IF(parametros_manuales!$H$40="Todos",'Plan mensual'!H106,0))+parametros_manuales!$F$40*('Plan mensual'!H103+IF(parametros_manuales!$H$40="Todos",'Plan mensual'!H107,0))+parametros_manuales!$G$40*('Plan mensual'!H104+IF(parametros_manuales!$H$40="Todos",'Plan mensual'!H108,0)))*parametros_manuales!$I$40*parametros_manuales!$J$40</f>
        <v>5454.39715854</v>
      </c>
      <c r="G266" s="9" t="n">
        <f aca="false">(parametros_manuales!$D$40*('Plan mensual'!I101+IF(parametros_manuales!$H$40="Todos",'Plan mensual'!I105,0))+parametros_manuales!$E$40*('Plan mensual'!I102+IF(parametros_manuales!$H$40="Todos",'Plan mensual'!I106,0))+parametros_manuales!$F$40*('Plan mensual'!I103+IF(parametros_manuales!$H$40="Todos",'Plan mensual'!I107,0))+parametros_manuales!$G$40*('Plan mensual'!I104+IF(parametros_manuales!$H$40="Todos",'Plan mensual'!I108,0)))*parametros_manuales!$I$40*parametros_manuales!$J$40</f>
        <v>5253.815132325</v>
      </c>
      <c r="H266" s="9" t="n">
        <f aca="false">(parametros_manuales!$D$40*('Plan mensual'!J101+IF(parametros_manuales!$H$40="Todos",'Plan mensual'!J105,0))+parametros_manuales!$E$40*('Plan mensual'!J102+IF(parametros_manuales!$H$40="Todos",'Plan mensual'!J106,0))+parametros_manuales!$F$40*('Plan mensual'!J103+IF(parametros_manuales!$H$40="Todos",'Plan mensual'!J107,0))+parametros_manuales!$G$40*('Plan mensual'!J104+IF(parametros_manuales!$H$40="Todos",'Plan mensual'!J108,0)))*parametros_manuales!$I$40*parametros_manuales!$J$40</f>
        <v>5614.76035419</v>
      </c>
      <c r="I266" s="9" t="n">
        <f aca="false">(parametros_manuales!$D$40*('Plan mensual'!K101+IF(parametros_manuales!$H$40="Todos",'Plan mensual'!K105,0))+parametros_manuales!$E$40*('Plan mensual'!K102+IF(parametros_manuales!$H$40="Todos",'Plan mensual'!K106,0))+parametros_manuales!$F$40*('Plan mensual'!K103+IF(parametros_manuales!$H$40="Todos",'Plan mensual'!K107,0))+parametros_manuales!$G$40*('Plan mensual'!K104+IF(parametros_manuales!$H$40="Todos",'Plan mensual'!K108,0)))*parametros_manuales!$I$40*parametros_manuales!$J$40</f>
        <v>5614.76035419</v>
      </c>
      <c r="J266" s="9" t="n">
        <f aca="false">(parametros_manuales!$D$40*('Plan mensual'!L101+IF(parametros_manuales!$H$40="Todos",'Plan mensual'!L105,0))+parametros_manuales!$E$40*('Plan mensual'!L102+IF(parametros_manuales!$H$40="Todos",'Plan mensual'!L106,0))+parametros_manuales!$F$40*('Plan mensual'!L103+IF(parametros_manuales!$H$40="Todos",'Plan mensual'!L107,0))+parametros_manuales!$G$40*('Plan mensual'!L104+IF(parametros_manuales!$H$40="Todos",'Plan mensual'!L108,0)))*parametros_manuales!$I$40*parametros_manuales!$J$40</f>
        <v>5614.76035419</v>
      </c>
      <c r="K266" s="9" t="n">
        <f aca="false">(parametros_manuales!$D$40*('Plan mensual'!M101+IF(parametros_manuales!$H$40="Todos",'Plan mensual'!M105,0))+parametros_manuales!$E$40*('Plan mensual'!M102+IF(parametros_manuales!$H$40="Todos",'Plan mensual'!M106,0))+parametros_manuales!$F$40*('Plan mensual'!M103+IF(parametros_manuales!$H$40="Todos",'Plan mensual'!M107,0))+parametros_manuales!$G$40*('Plan mensual'!M104+IF(parametros_manuales!$H$40="Todos",'Plan mensual'!M108,0)))*parametros_manuales!$I$40*parametros_manuales!$J$40</f>
        <v>5414.178327975</v>
      </c>
      <c r="L266" s="9" t="n">
        <f aca="false">(parametros_manuales!$D$40*('Plan mensual'!N101+IF(parametros_manuales!$H$40="Todos",'Plan mensual'!N105,0))+parametros_manuales!$E$40*('Plan mensual'!N102+IF(parametros_manuales!$H$40="Todos",'Plan mensual'!N106,0))+parametros_manuales!$F$40*('Plan mensual'!N103+IF(parametros_manuales!$H$40="Todos",'Plan mensual'!N107,0))+parametros_manuales!$G$40*('Plan mensual'!N104+IF(parametros_manuales!$H$40="Todos",'Plan mensual'!N108,0)))*parametros_manuales!$I$40*parametros_manuales!$J$40</f>
        <v>5213.59630176</v>
      </c>
      <c r="M266" s="9" t="n">
        <f aca="false">(parametros_manuales!$D$40*('Plan mensual'!O101+IF(parametros_manuales!$H$40="Todos",'Plan mensual'!O105,0))+parametros_manuales!$E$40*('Plan mensual'!O102+IF(parametros_manuales!$H$40="Todos",'Plan mensual'!O106,0))+parametros_manuales!$F$40*('Plan mensual'!O103+IF(parametros_manuales!$H$40="Todos",'Plan mensual'!O107,0))+parametros_manuales!$G$40*('Plan mensual'!O104+IF(parametros_manuales!$H$40="Todos",'Plan mensual'!O108,0)))*parametros_manuales!$I$40*parametros_manuales!$J$40</f>
        <v>8261.52127233</v>
      </c>
      <c r="N266" s="9" t="n">
        <f aca="false">SUM(B266:M266)</f>
        <v>72189.044373</v>
      </c>
      <c r="O266" s="9" t="n">
        <f aca="false">MAX(B266:M266)</f>
        <v>8261.52127233</v>
      </c>
      <c r="P266" s="43" t="n">
        <f aca="false">O266/(parametros_manuales!$B$7)</f>
        <v>55.0768084822</v>
      </c>
      <c r="Q266" s="8" t="str">
        <f aca="false">IF(O266=0,"-",INDEX($B$244:$M$244,MATCH(O266,B266:M266,0)))</f>
        <v>Dic</v>
      </c>
    </row>
    <row r="267" customFormat="false" ht="14.25" hidden="false" customHeight="true" outlineLevel="0" collapsed="false">
      <c r="A267" s="8" t="str">
        <f aca="false">parametros_manuales!$B$41</f>
        <v>Control de calidad — Ensayo de pérdidas</v>
      </c>
      <c r="B267" s="9" t="n">
        <f aca="false">(parametros_manuales!$D$41*('Plan mensual'!D101+IF(parametros_manuales!$H$41="Todos",'Plan mensual'!D105,0))+parametros_manuales!$E$41*('Plan mensual'!D102+IF(parametros_manuales!$H$41="Todos",'Plan mensual'!D106,0))+parametros_manuales!$F$41*('Plan mensual'!D103+IF(parametros_manuales!$H$41="Todos",'Plan mensual'!D107,0))+parametros_manuales!$G$41*('Plan mensual'!D104+IF(parametros_manuales!$H$41="Todos",'Plan mensual'!D108,0)))*parametros_manuales!$I$41*parametros_manuales!$J$41</f>
        <v>7860.3572199</v>
      </c>
      <c r="C267" s="9" t="n">
        <f aca="false">(parametros_manuales!$D$41*('Plan mensual'!E101+IF(parametros_manuales!$H$41="Todos",'Plan mensual'!E105,0))+parametros_manuales!$E$41*('Plan mensual'!E102+IF(parametros_manuales!$H$41="Todos",'Plan mensual'!E106,0))+parametros_manuales!$F$41*('Plan mensual'!E103+IF(parametros_manuales!$H$41="Todos",'Plan mensual'!E107,0))+parametros_manuales!$G$41*('Plan mensual'!E104+IF(parametros_manuales!$H$41="Todos",'Plan mensual'!E108,0)))*parametros_manuales!$I$41*parametros_manuales!$J$41</f>
        <v>6095.84994114</v>
      </c>
      <c r="D267" s="9" t="n">
        <f aca="false">(parametros_manuales!$D$41*('Plan mensual'!F101+IF(parametros_manuales!$H$41="Todos",'Plan mensual'!F105,0))+parametros_manuales!$E$41*('Plan mensual'!F102+IF(parametros_manuales!$H$41="Todos",'Plan mensual'!F106,0))+parametros_manuales!$F$41*('Plan mensual'!F103+IF(parametros_manuales!$H$41="Todos",'Plan mensual'!F107,0))+parametros_manuales!$G$41*('Plan mensual'!F104+IF(parametros_manuales!$H$41="Todos",'Plan mensual'!F108,0)))*parametros_manuales!$I$41*parametros_manuales!$J$41</f>
        <v>5975.705576055</v>
      </c>
      <c r="E267" s="9" t="n">
        <f aca="false">(parametros_manuales!$D$41*('Plan mensual'!G101+IF(parametros_manuales!$H$41="Todos",'Plan mensual'!G105,0))+parametros_manuales!$E$41*('Plan mensual'!G102+IF(parametros_manuales!$H$41="Todos",'Plan mensual'!G106,0))+parametros_manuales!$F$41*('Plan mensual'!G103+IF(parametros_manuales!$H$41="Todos",'Plan mensual'!G107,0))+parametros_manuales!$G$41*('Plan mensual'!G104+IF(parametros_manuales!$H$41="Todos",'Plan mensual'!G108,0)))*parametros_manuales!$I$41*parametros_manuales!$J$41</f>
        <v>5815.342380405</v>
      </c>
      <c r="F267" s="9" t="n">
        <f aca="false">(parametros_manuales!$D$41*('Plan mensual'!H101+IF(parametros_manuales!$H$41="Todos",'Plan mensual'!H105,0))+parametros_manuales!$E$41*('Plan mensual'!H102+IF(parametros_manuales!$H$41="Todos",'Plan mensual'!H106,0))+parametros_manuales!$F$41*('Plan mensual'!H103+IF(parametros_manuales!$H$41="Todos",'Plan mensual'!H107,0))+parametros_manuales!$G$41*('Plan mensual'!H104+IF(parametros_manuales!$H$41="Todos",'Plan mensual'!H108,0)))*parametros_manuales!$I$41*parametros_manuales!$J$41</f>
        <v>5454.39715854</v>
      </c>
      <c r="G267" s="9" t="n">
        <f aca="false">(parametros_manuales!$D$41*('Plan mensual'!I101+IF(parametros_manuales!$H$41="Todos",'Plan mensual'!I105,0))+parametros_manuales!$E$41*('Plan mensual'!I102+IF(parametros_manuales!$H$41="Todos",'Plan mensual'!I106,0))+parametros_manuales!$F$41*('Plan mensual'!I103+IF(parametros_manuales!$H$41="Todos",'Plan mensual'!I107,0))+parametros_manuales!$G$41*('Plan mensual'!I104+IF(parametros_manuales!$H$41="Todos",'Plan mensual'!I108,0)))*parametros_manuales!$I$41*parametros_manuales!$J$41</f>
        <v>5253.815132325</v>
      </c>
      <c r="H267" s="9" t="n">
        <f aca="false">(parametros_manuales!$D$41*('Plan mensual'!J101+IF(parametros_manuales!$H$41="Todos",'Plan mensual'!J105,0))+parametros_manuales!$E$41*('Plan mensual'!J102+IF(parametros_manuales!$H$41="Todos",'Plan mensual'!J106,0))+parametros_manuales!$F$41*('Plan mensual'!J103+IF(parametros_manuales!$H$41="Todos",'Plan mensual'!J107,0))+parametros_manuales!$G$41*('Plan mensual'!J104+IF(parametros_manuales!$H$41="Todos",'Plan mensual'!J108,0)))*parametros_manuales!$I$41*parametros_manuales!$J$41</f>
        <v>5614.76035419</v>
      </c>
      <c r="I267" s="9" t="n">
        <f aca="false">(parametros_manuales!$D$41*('Plan mensual'!K101+IF(parametros_manuales!$H$41="Todos",'Plan mensual'!K105,0))+parametros_manuales!$E$41*('Plan mensual'!K102+IF(parametros_manuales!$H$41="Todos",'Plan mensual'!K106,0))+parametros_manuales!$F$41*('Plan mensual'!K103+IF(parametros_manuales!$H$41="Todos",'Plan mensual'!K107,0))+parametros_manuales!$G$41*('Plan mensual'!K104+IF(parametros_manuales!$H$41="Todos",'Plan mensual'!K108,0)))*parametros_manuales!$I$41*parametros_manuales!$J$41</f>
        <v>5614.76035419</v>
      </c>
      <c r="J267" s="9" t="n">
        <f aca="false">(parametros_manuales!$D$41*('Plan mensual'!L101+IF(parametros_manuales!$H$41="Todos",'Plan mensual'!L105,0))+parametros_manuales!$E$41*('Plan mensual'!L102+IF(parametros_manuales!$H$41="Todos",'Plan mensual'!L106,0))+parametros_manuales!$F$41*('Plan mensual'!L103+IF(parametros_manuales!$H$41="Todos",'Plan mensual'!L107,0))+parametros_manuales!$G$41*('Plan mensual'!L104+IF(parametros_manuales!$H$41="Todos",'Plan mensual'!L108,0)))*parametros_manuales!$I$41*parametros_manuales!$J$41</f>
        <v>5614.76035419</v>
      </c>
      <c r="K267" s="9" t="n">
        <f aca="false">(parametros_manuales!$D$41*('Plan mensual'!M101+IF(parametros_manuales!$H$41="Todos",'Plan mensual'!M105,0))+parametros_manuales!$E$41*('Plan mensual'!M102+IF(parametros_manuales!$H$41="Todos",'Plan mensual'!M106,0))+parametros_manuales!$F$41*('Plan mensual'!M103+IF(parametros_manuales!$H$41="Todos",'Plan mensual'!M107,0))+parametros_manuales!$G$41*('Plan mensual'!M104+IF(parametros_manuales!$H$41="Todos",'Plan mensual'!M108,0)))*parametros_manuales!$I$41*parametros_manuales!$J$41</f>
        <v>5414.178327975</v>
      </c>
      <c r="L267" s="9" t="n">
        <f aca="false">(parametros_manuales!$D$41*('Plan mensual'!N101+IF(parametros_manuales!$H$41="Todos",'Plan mensual'!N105,0))+parametros_manuales!$E$41*('Plan mensual'!N102+IF(parametros_manuales!$H$41="Todos",'Plan mensual'!N106,0))+parametros_manuales!$F$41*('Plan mensual'!N103+IF(parametros_manuales!$H$41="Todos",'Plan mensual'!N107,0))+parametros_manuales!$G$41*('Plan mensual'!N104+IF(parametros_manuales!$H$41="Todos",'Plan mensual'!N108,0)))*parametros_manuales!$I$41*parametros_manuales!$J$41</f>
        <v>5213.59630176</v>
      </c>
      <c r="M267" s="9" t="n">
        <f aca="false">(parametros_manuales!$D$41*('Plan mensual'!O101+IF(parametros_manuales!$H$41="Todos",'Plan mensual'!O105,0))+parametros_manuales!$E$41*('Plan mensual'!O102+IF(parametros_manuales!$H$41="Todos",'Plan mensual'!O106,0))+parametros_manuales!$F$41*('Plan mensual'!O103+IF(parametros_manuales!$H$41="Todos",'Plan mensual'!O107,0))+parametros_manuales!$G$41*('Plan mensual'!O104+IF(parametros_manuales!$H$41="Todos",'Plan mensual'!O108,0)))*parametros_manuales!$I$41*parametros_manuales!$J$41</f>
        <v>8261.52127233</v>
      </c>
      <c r="N267" s="9" t="n">
        <f aca="false">SUM(B267:M267)</f>
        <v>72189.044373</v>
      </c>
      <c r="O267" s="9" t="n">
        <f aca="false">MAX(B267:M267)</f>
        <v>8261.52127233</v>
      </c>
      <c r="P267" s="43" t="n">
        <f aca="false">O267/(parametros_manuales!$B$7)</f>
        <v>55.0768084822</v>
      </c>
      <c r="Q267" s="8" t="str">
        <f aca="false">IF(O267=0,"-",INDEX($B$244:$M$244,MATCH(O267,B267:M267,0)))</f>
        <v>Dic</v>
      </c>
    </row>
    <row r="268" customFormat="false" ht="14.25" hidden="false" customHeight="true" outlineLevel="0" collapsed="false">
      <c r="A268" s="8" t="str">
        <f aca="false">parametros_manuales!$B$42</f>
        <v>Etiquetado</v>
      </c>
      <c r="B268" s="9" t="n">
        <f aca="false">(parametros_manuales!$D$42*('Plan mensual'!D101+IF(parametros_manuales!$H$42="Todos",'Plan mensual'!D105,0))+parametros_manuales!$E$42*('Plan mensual'!D102+IF(parametros_manuales!$H$42="Todos",'Plan mensual'!D106,0))+parametros_manuales!$F$42*('Plan mensual'!D103+IF(parametros_manuales!$H$42="Todos",'Plan mensual'!D107,0))+parametros_manuales!$G$42*('Plan mensual'!D104+IF(parametros_manuales!$H$42="Todos",'Plan mensual'!D108,0)))*parametros_manuales!$I$42*parametros_manuales!$J$42</f>
        <v>7860.3572199</v>
      </c>
      <c r="C268" s="9" t="n">
        <f aca="false">(parametros_manuales!$D$42*('Plan mensual'!E101+IF(parametros_manuales!$H$42="Todos",'Plan mensual'!E105,0))+parametros_manuales!$E$42*('Plan mensual'!E102+IF(parametros_manuales!$H$42="Todos",'Plan mensual'!E106,0))+parametros_manuales!$F$42*('Plan mensual'!E103+IF(parametros_manuales!$H$42="Todos",'Plan mensual'!E107,0))+parametros_manuales!$G$42*('Plan mensual'!E104+IF(parametros_manuales!$H$42="Todos",'Plan mensual'!E108,0)))*parametros_manuales!$I$42*parametros_manuales!$J$42</f>
        <v>6095.84994114</v>
      </c>
      <c r="D268" s="9" t="n">
        <f aca="false">(parametros_manuales!$D$42*('Plan mensual'!F101+IF(parametros_manuales!$H$42="Todos",'Plan mensual'!F105,0))+parametros_manuales!$E$42*('Plan mensual'!F102+IF(parametros_manuales!$H$42="Todos",'Plan mensual'!F106,0))+parametros_manuales!$F$42*('Plan mensual'!F103+IF(parametros_manuales!$H$42="Todos",'Plan mensual'!F107,0))+parametros_manuales!$G$42*('Plan mensual'!F104+IF(parametros_manuales!$H$42="Todos",'Plan mensual'!F108,0)))*parametros_manuales!$I$42*parametros_manuales!$J$42</f>
        <v>5975.705576055</v>
      </c>
      <c r="E268" s="9" t="n">
        <f aca="false">(parametros_manuales!$D$42*('Plan mensual'!G101+IF(parametros_manuales!$H$42="Todos",'Plan mensual'!G105,0))+parametros_manuales!$E$42*('Plan mensual'!G102+IF(parametros_manuales!$H$42="Todos",'Plan mensual'!G106,0))+parametros_manuales!$F$42*('Plan mensual'!G103+IF(parametros_manuales!$H$42="Todos",'Plan mensual'!G107,0))+parametros_manuales!$G$42*('Plan mensual'!G104+IF(parametros_manuales!$H$42="Todos",'Plan mensual'!G108,0)))*parametros_manuales!$I$42*parametros_manuales!$J$42</f>
        <v>5815.342380405</v>
      </c>
      <c r="F268" s="9" t="n">
        <f aca="false">(parametros_manuales!$D$42*('Plan mensual'!H101+IF(parametros_manuales!$H$42="Todos",'Plan mensual'!H105,0))+parametros_manuales!$E$42*('Plan mensual'!H102+IF(parametros_manuales!$H$42="Todos",'Plan mensual'!H106,0))+parametros_manuales!$F$42*('Plan mensual'!H103+IF(parametros_manuales!$H$42="Todos",'Plan mensual'!H107,0))+parametros_manuales!$G$42*('Plan mensual'!H104+IF(parametros_manuales!$H$42="Todos",'Plan mensual'!H108,0)))*parametros_manuales!$I$42*parametros_manuales!$J$42</f>
        <v>5454.39715854</v>
      </c>
      <c r="G268" s="9" t="n">
        <f aca="false">(parametros_manuales!$D$42*('Plan mensual'!I101+IF(parametros_manuales!$H$42="Todos",'Plan mensual'!I105,0))+parametros_manuales!$E$42*('Plan mensual'!I102+IF(parametros_manuales!$H$42="Todos",'Plan mensual'!I106,0))+parametros_manuales!$F$42*('Plan mensual'!I103+IF(parametros_manuales!$H$42="Todos",'Plan mensual'!I107,0))+parametros_manuales!$G$42*('Plan mensual'!I104+IF(parametros_manuales!$H$42="Todos",'Plan mensual'!I108,0)))*parametros_manuales!$I$42*parametros_manuales!$J$42</f>
        <v>5253.815132325</v>
      </c>
      <c r="H268" s="9" t="n">
        <f aca="false">(parametros_manuales!$D$42*('Plan mensual'!J101+IF(parametros_manuales!$H$42="Todos",'Plan mensual'!J105,0))+parametros_manuales!$E$42*('Plan mensual'!J102+IF(parametros_manuales!$H$42="Todos",'Plan mensual'!J106,0))+parametros_manuales!$F$42*('Plan mensual'!J103+IF(parametros_manuales!$H$42="Todos",'Plan mensual'!J107,0))+parametros_manuales!$G$42*('Plan mensual'!J104+IF(parametros_manuales!$H$42="Todos",'Plan mensual'!J108,0)))*parametros_manuales!$I$42*parametros_manuales!$J$42</f>
        <v>5614.76035419</v>
      </c>
      <c r="I268" s="9" t="n">
        <f aca="false">(parametros_manuales!$D$42*('Plan mensual'!K101+IF(parametros_manuales!$H$42="Todos",'Plan mensual'!K105,0))+parametros_manuales!$E$42*('Plan mensual'!K102+IF(parametros_manuales!$H$42="Todos",'Plan mensual'!K106,0))+parametros_manuales!$F$42*('Plan mensual'!K103+IF(parametros_manuales!$H$42="Todos",'Plan mensual'!K107,0))+parametros_manuales!$G$42*('Plan mensual'!K104+IF(parametros_manuales!$H$42="Todos",'Plan mensual'!K108,0)))*parametros_manuales!$I$42*parametros_manuales!$J$42</f>
        <v>5614.76035419</v>
      </c>
      <c r="J268" s="9" t="n">
        <f aca="false">(parametros_manuales!$D$42*('Plan mensual'!L101+IF(parametros_manuales!$H$42="Todos",'Plan mensual'!L105,0))+parametros_manuales!$E$42*('Plan mensual'!L102+IF(parametros_manuales!$H$42="Todos",'Plan mensual'!L106,0))+parametros_manuales!$F$42*('Plan mensual'!L103+IF(parametros_manuales!$H$42="Todos",'Plan mensual'!L107,0))+parametros_manuales!$G$42*('Plan mensual'!L104+IF(parametros_manuales!$H$42="Todos",'Plan mensual'!L108,0)))*parametros_manuales!$I$42*parametros_manuales!$J$42</f>
        <v>5614.76035419</v>
      </c>
      <c r="K268" s="9" t="n">
        <f aca="false">(parametros_manuales!$D$42*('Plan mensual'!M101+IF(parametros_manuales!$H$42="Todos",'Plan mensual'!M105,0))+parametros_manuales!$E$42*('Plan mensual'!M102+IF(parametros_manuales!$H$42="Todos",'Plan mensual'!M106,0))+parametros_manuales!$F$42*('Plan mensual'!M103+IF(parametros_manuales!$H$42="Todos",'Plan mensual'!M107,0))+parametros_manuales!$G$42*('Plan mensual'!M104+IF(parametros_manuales!$H$42="Todos",'Plan mensual'!M108,0)))*parametros_manuales!$I$42*parametros_manuales!$J$42</f>
        <v>5414.178327975</v>
      </c>
      <c r="L268" s="9" t="n">
        <f aca="false">(parametros_manuales!$D$42*('Plan mensual'!N101+IF(parametros_manuales!$H$42="Todos",'Plan mensual'!N105,0))+parametros_manuales!$E$42*('Plan mensual'!N102+IF(parametros_manuales!$H$42="Todos",'Plan mensual'!N106,0))+parametros_manuales!$F$42*('Plan mensual'!N103+IF(parametros_manuales!$H$42="Todos",'Plan mensual'!N107,0))+parametros_manuales!$G$42*('Plan mensual'!N104+IF(parametros_manuales!$H$42="Todos",'Plan mensual'!N108,0)))*parametros_manuales!$I$42*parametros_manuales!$J$42</f>
        <v>5213.59630176</v>
      </c>
      <c r="M268" s="9" t="n">
        <f aca="false">(parametros_manuales!$D$42*('Plan mensual'!O101+IF(parametros_manuales!$H$42="Todos",'Plan mensual'!O105,0))+parametros_manuales!$E$42*('Plan mensual'!O102+IF(parametros_manuales!$H$42="Todos",'Plan mensual'!O106,0))+parametros_manuales!$F$42*('Plan mensual'!O103+IF(parametros_manuales!$H$42="Todos",'Plan mensual'!O107,0))+parametros_manuales!$G$42*('Plan mensual'!O104+IF(parametros_manuales!$H$42="Todos",'Plan mensual'!O108,0)))*parametros_manuales!$I$42*parametros_manuales!$J$42</f>
        <v>8261.52127233</v>
      </c>
      <c r="N268" s="9" t="n">
        <f aca="false">SUM(B268:M268)</f>
        <v>72189.044373</v>
      </c>
      <c r="O268" s="9" t="n">
        <f aca="false">MAX(B268:M268)</f>
        <v>8261.52127233</v>
      </c>
      <c r="P268" s="43" t="n">
        <f aca="false">O268/(parametros_manuales!$B$7)</f>
        <v>55.0768084822</v>
      </c>
      <c r="Q268" s="8" t="str">
        <f aca="false">IF(O268=0,"-",INDEX($B$244:$M$244,MATCH(O268,B268:M268,0)))</f>
        <v>Dic</v>
      </c>
    </row>
    <row r="269" customFormat="false" ht="14.25" hidden="false" customHeight="true" outlineLevel="0" collapsed="false">
      <c r="A269" s="8" t="str">
        <f aca="false">parametros_manuales!$B$43</f>
        <v>Embalaje y paletizado</v>
      </c>
      <c r="B269" s="9" t="n">
        <f aca="false">(parametros_manuales!$D$43*('Plan mensual'!D101+IF(parametros_manuales!$H$43="Todos",'Plan mensual'!D105,0))+parametros_manuales!$E$43*('Plan mensual'!D102+IF(parametros_manuales!$H$43="Todos",'Plan mensual'!D106,0))+parametros_manuales!$F$43*('Plan mensual'!D103+IF(parametros_manuales!$H$43="Todos",'Plan mensual'!D107,0))+parametros_manuales!$G$43*('Plan mensual'!D104+IF(parametros_manuales!$H$43="Todos",'Plan mensual'!D108,0)))*parametros_manuales!$I$43*parametros_manuales!$J$43</f>
        <v>32503.8972199</v>
      </c>
      <c r="C269" s="9" t="n">
        <f aca="false">(parametros_manuales!$D$43*('Plan mensual'!E101+IF(parametros_manuales!$H$43="Todos",'Plan mensual'!E105,0))+parametros_manuales!$E$43*('Plan mensual'!E102+IF(parametros_manuales!$H$43="Todos",'Plan mensual'!E106,0))+parametros_manuales!$F$43*('Plan mensual'!E103+IF(parametros_manuales!$H$43="Todos",'Plan mensual'!E107,0))+parametros_manuales!$G$43*('Plan mensual'!E104+IF(parametros_manuales!$H$43="Todos",'Plan mensual'!E108,0)))*parametros_manuales!$I$43*parametros_manuales!$J$43</f>
        <v>24787.39394114</v>
      </c>
      <c r="D269" s="9" t="n">
        <f aca="false">(parametros_manuales!$D$43*('Plan mensual'!F101+IF(parametros_manuales!$H$43="Todos",'Plan mensual'!F105,0))+parametros_manuales!$E$43*('Plan mensual'!F102+IF(parametros_manuales!$H$43="Todos",'Plan mensual'!F106,0))+parametros_manuales!$F$43*('Plan mensual'!F103+IF(parametros_manuales!$H$43="Todos",'Plan mensual'!F107,0))+parametros_manuales!$G$43*('Plan mensual'!F104+IF(parametros_manuales!$H$43="Todos",'Plan mensual'!F108,0)))*parametros_manuales!$I$43*parametros_manuales!$J$43</f>
        <v>23170.658576055</v>
      </c>
      <c r="E269" s="9" t="n">
        <f aca="false">(parametros_manuales!$D$43*('Plan mensual'!G101+IF(parametros_manuales!$H$43="Todos",'Plan mensual'!G105,0))+parametros_manuales!$E$43*('Plan mensual'!G102+IF(parametros_manuales!$H$43="Todos",'Plan mensual'!G106,0))+parametros_manuales!$F$43*('Plan mensual'!G103+IF(parametros_manuales!$H$43="Todos",'Plan mensual'!G107,0))+parametros_manuales!$G$43*('Plan mensual'!G104+IF(parametros_manuales!$H$43="Todos",'Plan mensual'!G108,0)))*parametros_manuales!$I$43*parametros_manuales!$J$43</f>
        <v>22157.555380405</v>
      </c>
      <c r="F269" s="9" t="n">
        <f aca="false">(parametros_manuales!$D$43*('Plan mensual'!H101+IF(parametros_manuales!$H$43="Todos",'Plan mensual'!H105,0))+parametros_manuales!$E$43*('Plan mensual'!H102+IF(parametros_manuales!$H$43="Todos",'Plan mensual'!H106,0))+parametros_manuales!$F$43*('Plan mensual'!H103+IF(parametros_manuales!$H$43="Todos",'Plan mensual'!H107,0))+parametros_manuales!$G$43*('Plan mensual'!H104+IF(parametros_manuales!$H$43="Todos",'Plan mensual'!H108,0)))*parametros_manuales!$I$43*parametros_manuales!$J$43</f>
        <v>20734.98115854</v>
      </c>
      <c r="G269" s="9" t="n">
        <f aca="false">(parametros_manuales!$D$43*('Plan mensual'!I101+IF(parametros_manuales!$H$43="Todos",'Plan mensual'!I105,0))+parametros_manuales!$E$43*('Plan mensual'!I102+IF(parametros_manuales!$H$43="Todos",'Plan mensual'!I106,0))+parametros_manuales!$F$43*('Plan mensual'!I103+IF(parametros_manuales!$H$43="Todos",'Plan mensual'!I107,0))+parametros_manuales!$G$43*('Plan mensual'!I104+IF(parametros_manuales!$H$43="Todos",'Plan mensual'!I108,0)))*parametros_manuales!$I$43*parametros_manuales!$J$43</f>
        <v>20325.510132325</v>
      </c>
      <c r="H269" s="9" t="n">
        <f aca="false">(parametros_manuales!$D$43*('Plan mensual'!J101+IF(parametros_manuales!$H$43="Todos",'Plan mensual'!J105,0))+parametros_manuales!$E$43*('Plan mensual'!J102+IF(parametros_manuales!$H$43="Todos",'Plan mensual'!J106,0))+parametros_manuales!$F$43*('Plan mensual'!J103+IF(parametros_manuales!$H$43="Todos",'Plan mensual'!J107,0))+parametros_manuales!$G$43*('Plan mensual'!J104+IF(parametros_manuales!$H$43="Todos",'Plan mensual'!J108,0)))*parametros_manuales!$I$43*parametros_manuales!$J$43</f>
        <v>21748.08435419</v>
      </c>
      <c r="I269" s="9" t="n">
        <f aca="false">(parametros_manuales!$D$43*('Plan mensual'!K101+IF(parametros_manuales!$H$43="Todos",'Plan mensual'!K105,0))+parametros_manuales!$E$43*('Plan mensual'!K102+IF(parametros_manuales!$H$43="Todos",'Plan mensual'!K106,0))+parametros_manuales!$F$43*('Plan mensual'!K103+IF(parametros_manuales!$H$43="Todos",'Plan mensual'!K107,0))+parametros_manuales!$G$43*('Plan mensual'!K104+IF(parametros_manuales!$H$43="Todos",'Plan mensual'!K108,0)))*parametros_manuales!$I$43*parametros_manuales!$J$43</f>
        <v>21748.08435419</v>
      </c>
      <c r="J269" s="9" t="n">
        <f aca="false">(parametros_manuales!$D$43*('Plan mensual'!L101+IF(parametros_manuales!$H$43="Todos",'Plan mensual'!L105,0))+parametros_manuales!$E$43*('Plan mensual'!L102+IF(parametros_manuales!$H$43="Todos",'Plan mensual'!L106,0))+parametros_manuales!$F$43*('Plan mensual'!L103+IF(parametros_manuales!$H$43="Todos",'Plan mensual'!L107,0))+parametros_manuales!$G$43*('Plan mensual'!L104+IF(parametros_manuales!$H$43="Todos",'Plan mensual'!L108,0)))*parametros_manuales!$I$43*parametros_manuales!$J$43</f>
        <v>21748.08435419</v>
      </c>
      <c r="K269" s="9" t="n">
        <f aca="false">(parametros_manuales!$D$43*('Plan mensual'!M101+IF(parametros_manuales!$H$43="Todos",'Plan mensual'!M105,0))+parametros_manuales!$E$43*('Plan mensual'!M102+IF(parametros_manuales!$H$43="Todos",'Plan mensual'!M106,0))+parametros_manuales!$F$43*('Plan mensual'!M103+IF(parametros_manuales!$H$43="Todos",'Plan mensual'!M107,0))+parametros_manuales!$G$43*('Plan mensual'!M104+IF(parametros_manuales!$H$43="Todos",'Plan mensual'!M108,0)))*parametros_manuales!$I$43*parametros_manuales!$J$43</f>
        <v>21338.613327975</v>
      </c>
      <c r="L269" s="9" t="n">
        <f aca="false">(parametros_manuales!$D$43*('Plan mensual'!N101+IF(parametros_manuales!$H$43="Todos",'Plan mensual'!N105,0))+parametros_manuales!$E$43*('Plan mensual'!N102+IF(parametros_manuales!$H$43="Todos",'Plan mensual'!N106,0))+parametros_manuales!$F$43*('Plan mensual'!N103+IF(parametros_manuales!$H$43="Todos",'Plan mensual'!N107,0))+parametros_manuales!$G$43*('Plan mensual'!N104+IF(parametros_manuales!$H$43="Todos",'Plan mensual'!N108,0)))*parametros_manuales!$I$43*parametros_manuales!$J$43</f>
        <v>20929.14230176</v>
      </c>
      <c r="M269" s="9" t="n">
        <f aca="false">(parametros_manuales!$D$43*('Plan mensual'!O101+IF(parametros_manuales!$H$43="Todos",'Plan mensual'!O105,0))+parametros_manuales!$E$43*('Plan mensual'!O102+IF(parametros_manuales!$H$43="Todos",'Plan mensual'!O106,0))+parametros_manuales!$F$43*('Plan mensual'!O103+IF(parametros_manuales!$H$43="Todos",'Plan mensual'!O107,0))+parametros_manuales!$G$43*('Plan mensual'!O104+IF(parametros_manuales!$H$43="Todos",'Plan mensual'!O108,0)))*parametros_manuales!$I$43*parametros_manuales!$J$43</f>
        <v>33322.83927233</v>
      </c>
      <c r="N269" s="9" t="n">
        <f aca="false">SUM(B269:M269)</f>
        <v>284514.844373</v>
      </c>
      <c r="O269" s="9" t="n">
        <f aca="false">MAX(B269:M269)</f>
        <v>33322.83927233</v>
      </c>
      <c r="P269" s="43" t="n">
        <f aca="false">O269/(parametros_manuales!$B$7)</f>
        <v>222.152261815533</v>
      </c>
      <c r="Q269" s="8" t="str">
        <f aca="false">IF(O269=0,"-",INDEX($B$244:$M$244,MATCH(O269,B269:M269,0)))</f>
        <v>Dic</v>
      </c>
    </row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11" min="2" style="1" width="10"/>
    <col collapsed="false" customWidth="true" hidden="false" outlineLevel="0" max="12" min="12" style="1" width="8.57"/>
    <col collapsed="false" customWidth="true" hidden="false" outlineLevel="0" max="13" min="13" style="1" width="34.71"/>
  </cols>
  <sheetData>
    <row r="1" customFormat="false" ht="14.25" hidden="false" customHeight="true" outlineLevel="0" collapsed="false">
      <c r="A1" s="7" t="s">
        <v>200</v>
      </c>
      <c r="B1" s="7" t="n">
        <v>2026</v>
      </c>
      <c r="C1" s="7" t="n">
        <v>2027</v>
      </c>
      <c r="D1" s="7" t="n">
        <v>2028</v>
      </c>
      <c r="E1" s="7" t="n">
        <v>2029</v>
      </c>
      <c r="F1" s="7" t="n">
        <v>2030</v>
      </c>
      <c r="G1" s="7" t="n">
        <v>2031</v>
      </c>
      <c r="H1" s="7" t="n">
        <v>2032</v>
      </c>
      <c r="I1" s="7" t="n">
        <v>2033</v>
      </c>
      <c r="J1" s="7" t="n">
        <v>2034</v>
      </c>
      <c r="K1" s="7" t="n">
        <v>2035</v>
      </c>
      <c r="L1" s="7" t="s">
        <v>201</v>
      </c>
    </row>
    <row r="2" customFormat="false" ht="14.25" hidden="false" customHeight="true" outlineLevel="0" collapsed="false">
      <c r="A2" s="44" t="str">
        <f aca="false">parametros_manuales!$B$19</f>
        <v>Recepción de materia prima</v>
      </c>
      <c r="B2" s="45" t="n">
        <f aca="false">IF(B30*B58*parametros_manuales!$M$19*parametros_manuales!$B$6=0,0,'Demanda puesto sin sobrestock'!$P$2/(parametros_manuales!$M$19*B30*B58*parametros_manuales!$B$6))</f>
        <v>0.0885531563522556</v>
      </c>
      <c r="C2" s="45" t="n">
        <f aca="false">IF(C30*C58*parametros_manuales!$M$19*parametros_manuales!$B$6=0,0,'Demanda puesto sin sobrestock'!$P$29/(parametros_manuales!$M$19*C30*C58*parametros_manuales!$B$6))</f>
        <v>0.139394286257778</v>
      </c>
      <c r="D2" s="45" t="n">
        <f aca="false">IF(D30*D58*parametros_manuales!$M$19*parametros_manuales!$B$6=0,0,'Demanda puesto sin sobrestock'!$P$56/(parametros_manuales!$M$19*D30*D58*parametros_manuales!$B$6))</f>
        <v>0.296502802009333</v>
      </c>
      <c r="E2" s="45" t="n">
        <f aca="false">IF(E30*E58*parametros_manuales!$M$19*parametros_manuales!$B$6=0,0,'Demanda puesto sin sobrestock'!$P$83/(parametros_manuales!$M$19*E30*E58*parametros_manuales!$B$6))</f>
        <v>0.658953400422333</v>
      </c>
      <c r="F2" s="46" t="n">
        <f aca="false">IF(F30*F58*parametros_manuales!$M$19*parametros_manuales!$B$6=0,0,'Demanda puesto sin sobrestock'!$P$110/(parametros_manuales!$M$19*F30*F58*parametros_manuales!$B$6))</f>
        <v>0.573968407509389</v>
      </c>
      <c r="G2" s="46" t="n">
        <f aca="false">IF(G30*G58*parametros_manuales!$M$19*parametros_manuales!$B$6=0,0,'Demanda puesto sin sobrestock'!$P$137/(parametros_manuales!$M$19*G30*G58*parametros_manuales!$B$6))</f>
        <v>0.537252780058889</v>
      </c>
      <c r="H2" s="45" t="n">
        <f aca="false">IF(H30*H58*parametros_manuales!$M$19*parametros_manuales!$B$6=0,0,'Demanda puesto sin sobrestock'!$P$164/(parametros_manuales!$M$19*H30*H58*parametros_manuales!$B$6))</f>
        <v>0.370413724836852</v>
      </c>
      <c r="I2" s="46" t="n">
        <f aca="false">IF(I30*I58*parametros_manuales!$M$19*parametros_manuales!$B$6=0,0,'Demanda puesto sin sobrestock'!$P$191/(parametros_manuales!$M$19*I30*I58*parametros_manuales!$B$6))</f>
        <v>0.47347986985537</v>
      </c>
      <c r="J2" s="45" t="n">
        <f aca="false">IF(J30*J58*parametros_manuales!$M$19*parametros_manuales!$B$6=0,0,'Demanda puesto sin sobrestock'!$P$218/(parametros_manuales!$M$19*J30*J58*parametros_manuales!$B$6))</f>
        <v>0.534094463517963</v>
      </c>
      <c r="K2" s="45" t="n">
        <f aca="false">IF(K30*K58*parametros_manuales!$M$19*parametros_manuales!$B$6=0,0,'Demanda puesto sin sobrestock'!$P$245/(parametros_manuales!$M$19*K30*K58*parametros_manuales!$B$6))</f>
        <v>0.617089616154259</v>
      </c>
      <c r="L2" s="44" t="s">
        <v>202</v>
      </c>
    </row>
    <row r="3" customFormat="false" ht="14.25" hidden="false" customHeight="true" outlineLevel="0" collapsed="false">
      <c r="A3" s="44" t="str">
        <f aca="false">parametros_manuales!$B$20</f>
        <v>Corte de chapa (guillotina) — 2,5 a 10 kg</v>
      </c>
      <c r="B3" s="45" t="n">
        <f aca="false">IF(B31*B59*parametros_manuales!$M$20*parametros_manuales!$B$6=0,0,'Demanda puesto sin sobrestock'!$P$3/(parametros_manuales!$M$20*B31*B59*parametros_manuales!$B$6))</f>
        <v>0.049585574162802</v>
      </c>
      <c r="C3" s="45" t="n">
        <f aca="false">IF(C31*C59*parametros_manuales!$M$20*parametros_manuales!$B$6=0,0,'Demanda puesto sin sobrestock'!$P$30/(parametros_manuales!$M$20*C31*C59*parametros_manuales!$B$6))</f>
        <v>0.0897436407852349</v>
      </c>
      <c r="D3" s="45" t="n">
        <f aca="false">IF(D31*D59*parametros_manuales!$M$20*parametros_manuales!$B$6=0,0,'Demanda puesto sin sobrestock'!$P$57/(parametros_manuales!$M$20*D31*D59*parametros_manuales!$B$6))</f>
        <v>0.155507967638255</v>
      </c>
      <c r="E3" s="45" t="n">
        <f aca="false">IF(E31*E59*parametros_manuales!$M$20*parametros_manuales!$B$6=0,0,'Demanda puesto sin sobrestock'!$P$84/(parametros_manuales!$M$20*E31*E59*parametros_manuales!$B$6))</f>
        <v>0.287105425825671</v>
      </c>
      <c r="F3" s="45" t="n">
        <f aca="false">IF(F31*F59*parametros_manuales!$M$20*parametros_manuales!$B$6=0,0,'Demanda puesto sin sobrestock'!$P$111/(parametros_manuales!$M$20*F31*F59*parametros_manuales!$B$6))</f>
        <v>0.482815337243121</v>
      </c>
      <c r="G3" s="45" t="n">
        <f aca="false">IF(G31*G59*parametros_manuales!$M$20*parametros_manuales!$B$6=0,0,'Demanda puesto sin sobrestock'!$P$138/(parametros_manuales!$M$20*G31*G59*parametros_manuales!$B$6))</f>
        <v>0.676136022347316</v>
      </c>
      <c r="H3" s="45" t="n">
        <f aca="false">IF(H31*H59*parametros_manuales!$M$20*parametros_manuales!$B$6=0,0,'Demanda puesto sin sobrestock'!$P$165/(parametros_manuales!$M$20*H31*H59*parametros_manuales!$B$6))</f>
        <v>0.453151237415268</v>
      </c>
      <c r="I3" s="46" t="n">
        <f aca="false">IF(I31*I59*parametros_manuales!$M$20*parametros_manuales!$B$6=0,0,'Demanda puesto sin sobrestock'!$P$192/(parametros_manuales!$M$20*I31*I59*parametros_manuales!$B$6))</f>
        <v>0.573149627062919</v>
      </c>
      <c r="J3" s="45" t="n">
        <f aca="false">IF(J31*J59*parametros_manuales!$M$20*parametros_manuales!$B$6=0,0,'Demanda puesto sin sobrestock'!$P$219/(parametros_manuales!$M$20*J31*J59*parametros_manuales!$B$6))</f>
        <v>0.653852742715604</v>
      </c>
      <c r="K3" s="45" t="n">
        <f aca="false">IF(K31*K59*parametros_manuales!$M$20*parametros_manuales!$B$6=0,0,'Demanda puesto sin sobrestock'!$P$246/(parametros_manuales!$M$20*K31*K59*parametros_manuales!$B$6))</f>
        <v>0.755735115497483</v>
      </c>
      <c r="L3" s="44" t="s">
        <v>83</v>
      </c>
    </row>
    <row r="4" customFormat="false" ht="14.25" hidden="false" customHeight="true" outlineLevel="0" collapsed="false">
      <c r="A4" s="44" t="str">
        <f aca="false">parametros_manuales!$B$21</f>
        <v>Corte de tubo — 1 kg</v>
      </c>
      <c r="B4" s="45" t="n">
        <f aca="false">IF(B32*B60*parametros_manuales!$M$21*parametros_manuales!$B$6=0,0,'Demanda puesto sin sobrestock'!$P$4/(parametros_manuales!$M$21*B32*B60*parametros_manuales!$B$6))</f>
        <v>0.02785824362</v>
      </c>
      <c r="C4" s="45" t="n">
        <f aca="false">IF(C32*C60*parametros_manuales!$M$21*parametros_manuales!$B$6=0,0,'Demanda puesto sin sobrestock'!$P$31/(parametros_manuales!$M$21*C32*C60*parametros_manuales!$B$6))</f>
        <v>0.0399820265133333</v>
      </c>
      <c r="D4" s="45" t="n">
        <f aca="false">IF(D32*D60*parametros_manuales!$M$21*parametros_manuales!$B$6=0,0,'Demanda puesto sin sobrestock'!$P$58/(parametros_manuales!$M$21*D32*D60*parametros_manuales!$B$6))</f>
        <v>0.0967609850533333</v>
      </c>
      <c r="E4" s="45" t="n">
        <f aca="false">IF(E32*E60*parametros_manuales!$M$21*parametros_manuales!$B$6=0,0,'Demanda puesto sin sobrestock'!$P$85/(parametros_manuales!$M$21*E32*E60*parametros_manuales!$B$6))</f>
        <v>0.23441290366</v>
      </c>
      <c r="F4" s="45" t="n">
        <f aca="false">IF(F32*F60*parametros_manuales!$M$21*parametros_manuales!$B$6=0,0,'Demanda puesto sin sobrestock'!$P$112/(parametros_manuales!$M$21*F32*F60*parametros_manuales!$B$6))</f>
        <v>0.414102884733333</v>
      </c>
      <c r="G4" s="45" t="n">
        <f aca="false">IF(G32*G60*parametros_manuales!$M$21*parametros_manuales!$B$6=0,0,'Demanda puesto sin sobrestock'!$P$139/(parametros_manuales!$M$21*G32*G60*parametros_manuales!$B$6))</f>
        <v>0.582003020466667</v>
      </c>
      <c r="H4" s="45" t="n">
        <f aca="false">IF(H32*H60*parametros_manuales!$M$21*parametros_manuales!$B$6=0,0,'Demanda puesto sin sobrestock'!$P$166/(parametros_manuales!$M$21*H32*H60*parametros_manuales!$B$6))</f>
        <v>0.405577177533333</v>
      </c>
      <c r="I4" s="46" t="n">
        <f aca="false">IF(I32*I60*parametros_manuales!$M$21*parametros_manuales!$B$6=0,0,'Demanda puesto sin sobrestock'!$P$193/(parametros_manuales!$M$21*I32*I60*parametros_manuales!$B$6))</f>
        <v>0.520443594933333</v>
      </c>
      <c r="J4" s="45" t="n">
        <f aca="false">IF(J32*J60*parametros_manuales!$M$21*parametros_manuales!$B$6=0,0,'Demanda puesto sin sobrestock'!$P$220/(parametros_manuales!$M$21*J32*J60*parametros_manuales!$B$6))</f>
        <v>0.584643787133333</v>
      </c>
      <c r="K4" s="45" t="n">
        <f aca="false">IF(K32*K60*parametros_manuales!$M$21*parametros_manuales!$B$6=0,0,'Demanda puesto sin sobrestock'!$P$247/(parametros_manuales!$M$21*K32*K60*parametros_manuales!$B$6))</f>
        <v>0.675402130433333</v>
      </c>
      <c r="L4" s="44" t="s">
        <v>83</v>
      </c>
    </row>
    <row r="5" customFormat="false" ht="14.25" hidden="false" customHeight="true" outlineLevel="0" collapsed="false">
      <c r="A5" s="44" t="str">
        <f aca="false">parametros_manuales!$B$22</f>
        <v>Corte de disco y embutido (cúpula y fondo)</v>
      </c>
      <c r="B5" s="45" t="n">
        <f aca="false">IF(B33*B61*parametros_manuales!$M$22*parametros_manuales!$B$6=0,0,'Demanda puesto sin sobrestock'!$P$5/(parametros_manuales!$M$22*B33*B61*parametros_manuales!$B$6))</f>
        <v>0.0347267279812767</v>
      </c>
      <c r="C5" s="45" t="n">
        <f aca="false">IF(C33*C61*parametros_manuales!$M$22*parametros_manuales!$B$6=0,0,'Demanda puesto sin sobrestock'!$P$32/(parametros_manuales!$M$22*C33*C61*parametros_manuales!$B$6))</f>
        <v>0.0546644259834423</v>
      </c>
      <c r="D5" s="45" t="n">
        <f aca="false">IF(D33*D61*parametros_manuales!$M$22*parametros_manuales!$B$6=0,0,'Demanda puesto sin sobrestock'!$P$59/(parametros_manuales!$M$22*D33*D61*parametros_manuales!$B$6))</f>
        <v>0.116275608631111</v>
      </c>
      <c r="E5" s="45" t="n">
        <f aca="false">IF(E33*E61*parametros_manuales!$M$22*parametros_manuales!$B$6=0,0,'Demanda puesto sin sobrestock'!$P$86/(parametros_manuales!$M$22*E33*E61*parametros_manuales!$B$6))</f>
        <v>0.258413098204837</v>
      </c>
      <c r="F5" s="45" t="n">
        <f aca="false">IF(F33*F61*parametros_manuales!$M$22*parametros_manuales!$B$6=0,0,'Demanda puesto sin sobrestock'!$P$113/(parametros_manuales!$M$22*F33*F61*parametros_manuales!$B$6))</f>
        <v>0.450171300007364</v>
      </c>
      <c r="G5" s="45" t="n">
        <f aca="false">IF(G33*G61*parametros_manuales!$M$22*parametros_manuales!$B$6=0,0,'Demanda puesto sin sobrestock'!$P$140/(parametros_manuales!$M$22*G33*G61*parametros_manuales!$B$6))</f>
        <v>0.632062094186928</v>
      </c>
      <c r="H5" s="45" t="n">
        <f aca="false">IF(H33*H61*parametros_manuales!$M$22*parametros_manuales!$B$6=0,0,'Demanda puesto sin sobrestock'!$P$167/(parametros_manuales!$M$22*H33*H61*parametros_manuales!$B$6))</f>
        <v>0.435780852749238</v>
      </c>
      <c r="I5" s="46" t="n">
        <f aca="false">IF(I33*I61*parametros_manuales!$M$22*parametros_manuales!$B$6=0,0,'Demanda puesto sin sobrestock'!$P$194/(parametros_manuales!$M$22*I33*I61*parametros_manuales!$B$6))</f>
        <v>0.557035141006318</v>
      </c>
      <c r="J5" s="45" t="n">
        <f aca="false">IF(J33*J61*parametros_manuales!$M$22*parametros_manuales!$B$6=0,0,'Demanda puesto sin sobrestock'!$P$221/(parametros_manuales!$M$22*J33*J61*parametros_manuales!$B$6))</f>
        <v>0.628346427668192</v>
      </c>
      <c r="K5" s="45" t="n">
        <f aca="false">IF(K33*K61*parametros_manuales!$M$22*parametros_manuales!$B$6=0,0,'Demanda puesto sin sobrestock'!$P$248/(parametros_manuales!$M$22*K33*K61*parametros_manuales!$B$6))</f>
        <v>0.725987783710893</v>
      </c>
      <c r="L5" s="44" t="s">
        <v>83</v>
      </c>
    </row>
    <row r="6" customFormat="false" ht="14.25" hidden="false" customHeight="true" outlineLevel="0" collapsed="false">
      <c r="A6" s="44" t="str">
        <f aca="false">parametros_manuales!$B$23</f>
        <v>Preparación de cuello</v>
      </c>
      <c r="B6" s="45" t="n">
        <f aca="false">IF(B34*B62*parametros_manuales!$M$23*parametros_manuales!$B$6=0,0,'Demanda puesto sin sobrestock'!$P$6/(parametros_manuales!$M$23*B34*B62*parametros_manuales!$B$6))</f>
        <v>0.0885531563522556</v>
      </c>
      <c r="C6" s="45" t="n">
        <f aca="false">IF(C34*C62*parametros_manuales!$M$23*parametros_manuales!$B$6=0,0,'Demanda puesto sin sobrestock'!$P$33/(parametros_manuales!$M$23*C34*C62*parametros_manuales!$B$6))</f>
        <v>0.139394286257778</v>
      </c>
      <c r="D6" s="45" t="n">
        <f aca="false">IF(D34*D62*parametros_manuales!$M$23*parametros_manuales!$B$6=0,0,'Demanda puesto sin sobrestock'!$P$60/(parametros_manuales!$M$23*D34*D62*parametros_manuales!$B$6))</f>
        <v>0.296502802009333</v>
      </c>
      <c r="E6" s="45" t="n">
        <f aca="false">IF(E34*E62*parametros_manuales!$M$23*parametros_manuales!$B$6=0,0,'Demanda puesto sin sobrestock'!$P$87/(parametros_manuales!$M$23*E34*E62*parametros_manuales!$B$6))</f>
        <v>0.658953400422333</v>
      </c>
      <c r="F6" s="46" t="n">
        <f aca="false">IF(F34*F62*parametros_manuales!$M$23*parametros_manuales!$B$6=0,0,'Demanda puesto sin sobrestock'!$P$114/(parametros_manuales!$M$23*F34*F62*parametros_manuales!$B$6))</f>
        <v>0.573968407509389</v>
      </c>
      <c r="G6" s="45" t="n">
        <f aca="false">IF(G34*G62*parametros_manuales!$M$23*parametros_manuales!$B$6=0,0,'Demanda puesto sin sobrestock'!$P$141/(parametros_manuales!$M$23*G34*G62*parametros_manuales!$B$6))</f>
        <v>0.805879170088333</v>
      </c>
      <c r="H6" s="46" t="n">
        <f aca="false">IF(H34*H62*parametros_manuales!$M$23*parametros_manuales!$B$6=0,0,'Demanda puesto sin sobrestock'!$P$168/(parametros_manuales!$M$23*H34*H62*parametros_manuales!$B$6))</f>
        <v>0.370413724836852</v>
      </c>
      <c r="I6" s="45" t="n">
        <f aca="false">IF(I34*I62*parametros_manuales!$M$23*parametros_manuales!$B$6=0,0,'Demanda puesto sin sobrestock'!$P$195/(parametros_manuales!$M$23*I34*I62*parametros_manuales!$B$6))</f>
        <v>0.47347986985537</v>
      </c>
      <c r="J6" s="45" t="n">
        <f aca="false">IF(J34*J62*parametros_manuales!$M$23*parametros_manuales!$B$6=0,0,'Demanda puesto sin sobrestock'!$P$222/(parametros_manuales!$M$23*J34*J62*parametros_manuales!$B$6))</f>
        <v>0.534094463517963</v>
      </c>
      <c r="K6" s="45" t="n">
        <f aca="false">IF(K34*K62*parametros_manuales!$M$23*parametros_manuales!$B$6=0,0,'Demanda puesto sin sobrestock'!$P$249/(parametros_manuales!$M$23*K34*K62*parametros_manuales!$B$6))</f>
        <v>0.617089616154259</v>
      </c>
      <c r="L6" s="44" t="s">
        <v>83</v>
      </c>
    </row>
    <row r="7" customFormat="false" ht="14.25" hidden="false" customHeight="true" outlineLevel="0" collapsed="false">
      <c r="A7" s="44" t="str">
        <f aca="false">parametros_manuales!$B$24</f>
        <v>Numerado de cúpula</v>
      </c>
      <c r="B7" s="45" t="n">
        <f aca="false">IF(B35*B63*parametros_manuales!$M$24*parametros_manuales!$B$6=0,0,'Demanda puesto sin sobrestock'!$P$7/(parametros_manuales!$M$24*B35*B63*parametros_manuales!$B$6))</f>
        <v>0.0295177187840852</v>
      </c>
      <c r="C7" s="45" t="n">
        <f aca="false">IF(C35*C63*parametros_manuales!$M$24*parametros_manuales!$B$6=0,0,'Demanda puesto sin sobrestock'!$P$34/(parametros_manuales!$M$24*C35*C63*parametros_manuales!$B$6))</f>
        <v>0.0464647620859259</v>
      </c>
      <c r="D7" s="45" t="n">
        <f aca="false">IF(D35*D63*parametros_manuales!$M$24*parametros_manuales!$B$6=0,0,'Demanda puesto sin sobrestock'!$P$61/(parametros_manuales!$M$24*D35*D63*parametros_manuales!$B$6))</f>
        <v>0.0988342673364444</v>
      </c>
      <c r="E7" s="45" t="n">
        <f aca="false">IF(E35*E63*parametros_manuales!$M$24*parametros_manuales!$B$6=0,0,'Demanda puesto sin sobrestock'!$P$88/(parametros_manuales!$M$24*E35*E63*parametros_manuales!$B$6))</f>
        <v>0.219651133474111</v>
      </c>
      <c r="F7" s="45" t="n">
        <f aca="false">IF(F35*F63*parametros_manuales!$M$24*parametros_manuales!$B$6=0,0,'Demanda puesto sin sobrestock'!$P$115/(parametros_manuales!$M$24*F35*F63*parametros_manuales!$B$6))</f>
        <v>0.382645605006259</v>
      </c>
      <c r="G7" s="45" t="n">
        <f aca="false">IF(G35*G63*parametros_manuales!$M$24*parametros_manuales!$B$6=0,0,'Demanda puesto sin sobrestock'!$P$142/(parametros_manuales!$M$24*G35*G63*parametros_manuales!$B$6))</f>
        <v>0.537252780058889</v>
      </c>
      <c r="H7" s="45" t="n">
        <f aca="false">IF(H35*H63*parametros_manuales!$M$24*parametros_manuales!$B$6=0,0,'Demanda puesto sin sobrestock'!$P$169/(parametros_manuales!$M$24*H35*H63*parametros_manuales!$B$6))</f>
        <v>0.370413724836852</v>
      </c>
      <c r="I7" s="46" t="n">
        <f aca="false">IF(I35*I63*parametros_manuales!$M$24*parametros_manuales!$B$6=0,0,'Demanda puesto sin sobrestock'!$P$196/(parametros_manuales!$M$24*I35*I63*parametros_manuales!$B$6))</f>
        <v>0.47347986985537</v>
      </c>
      <c r="J7" s="45" t="n">
        <f aca="false">IF(J35*J63*parametros_manuales!$M$24*parametros_manuales!$B$6=0,0,'Demanda puesto sin sobrestock'!$P$223/(parametros_manuales!$M$24*J35*J63*parametros_manuales!$B$6))</f>
        <v>0.534094463517963</v>
      </c>
      <c r="K7" s="45" t="n">
        <f aca="false">IF(K35*K63*parametros_manuales!$M$24*parametros_manuales!$B$6=0,0,'Demanda puesto sin sobrestock'!$P$250/(parametros_manuales!$M$24*K35*K63*parametros_manuales!$B$6))</f>
        <v>0.617089616154259</v>
      </c>
      <c r="L7" s="44" t="s">
        <v>83</v>
      </c>
      <c r="M7" s="47" t="s">
        <v>203</v>
      </c>
    </row>
    <row r="8" customFormat="false" ht="14.25" hidden="false" customHeight="true" outlineLevel="0" collapsed="false">
      <c r="A8" s="44" t="str">
        <f aca="false">parametros_manuales!$B$25</f>
        <v>Soldadura del cuello a la cúpula</v>
      </c>
      <c r="B8" s="45" t="n">
        <f aca="false">IF(B36*B64*parametros_manuales!$M$25*parametros_manuales!$B$6=0,0,'Demanda puesto sin sobrestock'!$P$8/(parametros_manuales!$M$25*B36*B64*parametros_manuales!$B$6))</f>
        <v>0.0379080292603834</v>
      </c>
      <c r="C8" s="45" t="n">
        <f aca="false">IF(C36*C64*parametros_manuales!$M$25*parametros_manuales!$B$6=0,0,'Demanda puesto sin sobrestock'!$P$35/(parametros_manuales!$M$25*C36*C64*parametros_manuales!$B$6))</f>
        <v>0.0596722115829528</v>
      </c>
      <c r="D8" s="45" t="n">
        <f aca="false">IF(D36*D64*parametros_manuales!$M$25*parametros_manuales!$B$6=0,0,'Demanda puesto sin sobrestock'!$P$62/(parametros_manuales!$M$25*D36*D64*parametros_manuales!$B$6))</f>
        <v>0.12692756935331</v>
      </c>
      <c r="E8" s="45" t="n">
        <f aca="false">IF(E36*E64*parametros_manuales!$M$25*parametros_manuales!$B$6=0,0,'Demanda puesto sin sobrestock'!$P$89/(parametros_manuales!$M$25*E36*E64*parametros_manuales!$B$6))</f>
        <v>0.282086215934218</v>
      </c>
      <c r="F8" s="45" t="n">
        <f aca="false">IF(F36*F64*parametros_manuales!$M$25*parametros_manuales!$B$6=0,0,'Demanda puesto sin sobrestock'!$P$116/(parametros_manuales!$M$25*F36*F64*parametros_manuales!$B$6))</f>
        <v>0.491411307799134</v>
      </c>
      <c r="G8" s="45" t="n">
        <f aca="false">IF(G36*G64*parametros_manuales!$M$25*parametros_manuales!$B$6=0,0,'Demanda puesto sin sobrestock'!$P$143/(parametros_manuales!$M$25*G36*G64*parametros_manuales!$B$6))</f>
        <v>0.689965042883847</v>
      </c>
      <c r="H8" s="46" t="n">
        <f aca="false">IF(H36*H64*parametros_manuales!$M$25*parametros_manuales!$B$6=0,0,'Demanda puesto sin sobrestock'!$P$170/(parametros_manuales!$M$25*H36*H64*parametros_manuales!$B$6))</f>
        <v>0.475702557581574</v>
      </c>
      <c r="I8" s="45" t="n">
        <f aca="false">IF(I36*I64*parametros_manuales!$M$25*parametros_manuales!$B$6=0,0,'Demanda puesto sin sobrestock'!$P$197/(parametros_manuales!$M$25*I36*I64*parametros_manuales!$B$6))</f>
        <v>0.608064901355356</v>
      </c>
      <c r="J8" s="45" t="n">
        <f aca="false">IF(J36*J64*parametros_manuales!$M$25*parametros_manuales!$B$6=0,0,'Demanda puesto sin sobrestock'!$P$224/(parametros_manuales!$M$25*J36*J64*parametros_manuales!$B$6))</f>
        <v>0.685908985682315</v>
      </c>
      <c r="K8" s="45" t="n">
        <f aca="false">IF(K36*K64*parametros_manuales!$M$25*parametros_manuales!$B$6=0,0,'Demanda puesto sin sobrestock'!$P$251/(parametros_manuales!$M$25*K36*K64*parametros_manuales!$B$6))</f>
        <v>0.792495226225504</v>
      </c>
      <c r="L8" s="44" t="s">
        <v>83</v>
      </c>
      <c r="M8" s="48" t="s">
        <v>204</v>
      </c>
    </row>
    <row r="9" customFormat="false" ht="14.25" hidden="false" customHeight="true" outlineLevel="0" collapsed="false">
      <c r="A9" s="44" t="str">
        <f aca="false">parametros_manuales!$B$26</f>
        <v>Cilindrado</v>
      </c>
      <c r="B9" s="45" t="n">
        <f aca="false">IF(B37*B65*parametros_manuales!$M$26*parametros_manuales!$B$6=0,0,'Demanda puesto sin sobrestock'!$P$9/(parametros_manuales!$M$26*B37*B65*parametros_manuales!$B$6))</f>
        <v>0.0443738771787237</v>
      </c>
      <c r="C9" s="45" t="n">
        <f aca="false">IF(C37*C65*parametros_manuales!$M$26*parametros_manuales!$B$6=0,0,'Demanda puesto sin sobrestock'!$P$36/(parametros_manuales!$M$26*C37*C65*parametros_manuales!$B$6))</f>
        <v>0.080311125987988</v>
      </c>
      <c r="D9" s="45" t="n">
        <f aca="false">IF(D37*D65*parametros_manuales!$M$26*parametros_manuales!$B$6=0,0,'Demanda puesto sin sobrestock'!$P$63/(parametros_manuales!$M$26*D37*D65*parametros_manuales!$B$6))</f>
        <v>0.139163286354955</v>
      </c>
      <c r="E9" s="45" t="n">
        <f aca="false">IF(E37*E65*parametros_manuales!$M$26*parametros_manuales!$B$6=0,0,'Demanda puesto sin sobrestock'!$P$90/(parametros_manuales!$M$26*E37*E65*parametros_manuales!$B$6))</f>
        <v>0.256929179868018</v>
      </c>
      <c r="F9" s="45" t="n">
        <f aca="false">IF(F37*F65*parametros_manuales!$M$26*parametros_manuales!$B$6=0,0,'Demanda puesto sin sobrestock'!$P$117/(parametros_manuales!$M$26*F37*F65*parametros_manuales!$B$6))</f>
        <v>0.432068980475826</v>
      </c>
      <c r="G9" s="45" t="n">
        <f aca="false">IF(G37*G65*parametros_manuales!$M$26*parametros_manuales!$B$6=0,0,'Demanda puesto sin sobrestock'!$P$144/(parametros_manuales!$M$26*G37*G65*parametros_manuales!$B$6))</f>
        <v>0.605070674653153</v>
      </c>
      <c r="H9" s="45" t="n">
        <f aca="false">IF(H37*H65*parametros_manuales!$M$26*parametros_manuales!$B$6=0,0,'Demanda puesto sin sobrestock'!$P$171/(parametros_manuales!$M$26*H37*H65*parametros_manuales!$B$6))</f>
        <v>0.405522728978228</v>
      </c>
      <c r="I9" s="46" t="n">
        <f aca="false">IF(I37*I65*parametros_manuales!$M$26*parametros_manuales!$B$6=0,0,'Demanda puesto sin sobrestock'!$P$198/(parametros_manuales!$M$26*I37*I65*parametros_manuales!$B$6))</f>
        <v>0.51290867526952</v>
      </c>
      <c r="J9" s="45" t="n">
        <f aca="false">IF(J37*J65*parametros_manuales!$M$26*parametros_manuales!$B$6=0,0,'Demanda puesto sin sobrestock'!$P$225/(parametros_manuales!$M$26*J37*J65*parametros_manuales!$B$6))</f>
        <v>0.585129481469219</v>
      </c>
      <c r="K9" s="45" t="n">
        <f aca="false">IF(K37*K65*parametros_manuales!$M$26*parametros_manuales!$B$6=0,0,'Demanda puesto sin sobrestock'!$P$252/(parametros_manuales!$M$26*K37*K65*parametros_manuales!$B$6))</f>
        <v>0.676303496751502</v>
      </c>
      <c r="L9" s="44" t="s">
        <v>83</v>
      </c>
      <c r="M9" s="49" t="s">
        <v>205</v>
      </c>
    </row>
    <row r="10" customFormat="false" ht="14.25" hidden="false" customHeight="true" outlineLevel="0" collapsed="false">
      <c r="A10" s="44" t="str">
        <f aca="false">parametros_manuales!$B$27</f>
        <v>Soldadura longitudinal</v>
      </c>
      <c r="B10" s="45" t="n">
        <f aca="false">IF(B38*B66*parametros_manuales!$M$27*parametros_manuales!$B$6=0,0,'Demanda puesto sin sobrestock'!$P$10/(parametros_manuales!$M$27*B38*B66*parametros_manuales!$B$6))</f>
        <v>0.0637874484444154</v>
      </c>
      <c r="C10" s="45" t="n">
        <f aca="false">IF(C38*C66*parametros_manuales!$M$27*parametros_manuales!$B$6=0,0,'Demanda puesto sin sobrestock'!$P$37/(parametros_manuales!$M$27*C38*C66*parametros_manuales!$B$6))</f>
        <v>0.115447243607733</v>
      </c>
      <c r="D10" s="45" t="n">
        <f aca="false">IF(D38*D66*parametros_manuales!$M$27*parametros_manuales!$B$6=0,0,'Demanda puesto sin sobrestock'!$P$64/(parametros_manuales!$M$27*D38*D66*parametros_manuales!$B$6))</f>
        <v>0.200047224135248</v>
      </c>
      <c r="E10" s="45" t="n">
        <f aca="false">IF(E38*E66*parametros_manuales!$M$27*parametros_manuales!$B$6=0,0,'Demanda puesto sin sobrestock'!$P$91/(parametros_manuales!$M$27*E38*E66*parametros_manuales!$B$6))</f>
        <v>0.369335696060276</v>
      </c>
      <c r="F10" s="45" t="n">
        <f aca="false">IF(F38*F66*parametros_manuales!$M$27*parametros_manuales!$B$6=0,0,'Demanda puesto sin sobrestock'!$P$118/(parametros_manuales!$M$27*F38*F66*parametros_manuales!$B$6))</f>
        <v>0.621099159434</v>
      </c>
      <c r="G10" s="45" t="n">
        <f aca="false">IF(G38*G66*parametros_manuales!$M$27*parametros_manuales!$B$6=0,0,'Demanda puesto sin sobrestock'!$P$145/(parametros_manuales!$M$27*G38*G66*parametros_manuales!$B$6))</f>
        <v>0.869789094813908</v>
      </c>
      <c r="H10" s="46" t="n">
        <f aca="false">IF(H38*H66*parametros_manuales!$M$27*parametros_manuales!$B$6=0,0,'Demanda puesto sin sobrestock'!$P$172/(parametros_manuales!$M$27*H38*H66*parametros_manuales!$B$6))</f>
        <v>0.291469461453102</v>
      </c>
      <c r="I10" s="45" t="n">
        <f aca="false">IF(I38*I66*parametros_manuales!$M$27*parametros_manuales!$B$6=0,0,'Demanda puesto sin sobrestock'!$P$199/(parametros_manuales!$M$27*I38*I66*parametros_manuales!$B$6))</f>
        <v>0.368653110349967</v>
      </c>
      <c r="J10" s="45" t="n">
        <f aca="false">IF(J38*J66*parametros_manuales!$M$27*parametros_manuales!$B$6=0,0,'Demanda puesto sin sobrestock'!$P$226/(parametros_manuales!$M$27*J38*J66*parametros_manuales!$B$6))</f>
        <v>0.420561814806001</v>
      </c>
      <c r="K10" s="45" t="n">
        <f aca="false">IF(K38*K66*parametros_manuales!$M$27*parametros_manuales!$B$6=0,0,'Demanda puesto sin sobrestock'!$P$253/(parametros_manuales!$M$27*K38*K66*parametros_manuales!$B$6))</f>
        <v>0.486093138290142</v>
      </c>
      <c r="L10" s="44" t="s">
        <v>83</v>
      </c>
      <c r="M10" s="50" t="s">
        <v>206</v>
      </c>
    </row>
    <row r="11" customFormat="false" ht="14.25" hidden="false" customHeight="true" outlineLevel="0" collapsed="false">
      <c r="A11" s="44" t="str">
        <f aca="false">parametros_manuales!$B$28</f>
        <v>Encastre de fondo</v>
      </c>
      <c r="B11" s="45" t="n">
        <f aca="false">IF(B39*B67*parametros_manuales!$M$28*parametros_manuales!$B$6=0,0,'Demanda puesto sin sobrestock'!$P$11/(parametros_manuales!$M$28*B39*B67*parametros_manuales!$B$6))</f>
        <v>0.0450779642064649</v>
      </c>
      <c r="C11" s="45" t="n">
        <f aca="false">IF(C39*C67*parametros_manuales!$M$28*parametros_manuales!$B$6=0,0,'Demanda puesto sin sobrestock'!$P$38/(parametros_manuales!$M$28*C39*C67*parametros_manuales!$B$6))</f>
        <v>0.0709586298823529</v>
      </c>
      <c r="D11" s="45" t="n">
        <f aca="false">IF(D39*D67*parametros_manuales!$M$28*parametros_manuales!$B$6=0,0,'Demanda puesto sin sobrestock'!$P$65/(parametros_manuales!$M$28*D39*D67*parametros_manuales!$B$6))</f>
        <v>0.150934684280769</v>
      </c>
      <c r="E11" s="45" t="n">
        <f aca="false">IF(E39*E67*parametros_manuales!$M$28*parametros_manuales!$B$6=0,0,'Demanda puesto sin sobrestock'!$P$92/(parametros_manuales!$M$28*E39*E67*parametros_manuales!$B$6))</f>
        <v>0.335440079400509</v>
      </c>
      <c r="F11" s="45" t="n">
        <f aca="false">IF(F39*F67*parametros_manuales!$M$28*parametros_manuales!$B$6=0,0,'Demanda puesto sin sobrestock'!$P$119/(parametros_manuales!$M$28*F39*F67*parametros_manuales!$B$6))</f>
        <v>0.584356975971097</v>
      </c>
      <c r="G11" s="45" t="n">
        <f aca="false">IF(G39*G67*parametros_manuales!$M$28*parametros_manuales!$B$6=0,0,'Demanda puesto sin sobrestock'!$P$146/(parametros_manuales!$M$28*G39*G67*parametros_manuales!$B$6))</f>
        <v>0.820465218415724</v>
      </c>
      <c r="H11" s="46" t="n">
        <f aca="false">IF(H39*H67*parametros_manuales!$M$28*parametros_manuales!$B$6=0,0,'Demanda puesto sin sobrestock'!$P$173/(parametros_manuales!$M$28*H39*H67*parametros_manuales!$B$6))</f>
        <v>0.282838534236284</v>
      </c>
      <c r="I11" s="45" t="n">
        <f aca="false">IF(I39*I67*parametros_manuales!$M$28*parametros_manuales!$B$6=0,0,'Demanda puesto sin sobrestock'!$P$200/(parametros_manuales!$M$28*I39*I67*parametros_manuales!$B$6))</f>
        <v>0.361537230941601</v>
      </c>
      <c r="J11" s="45" t="n">
        <f aca="false">IF(J39*J67*parametros_manuales!$M$28*parametros_manuales!$B$6=0,0,'Demanda puesto sin sobrestock'!$P$227/(parametros_manuales!$M$28*J39*J67*parametros_manuales!$B$6))</f>
        <v>0.407820998726951</v>
      </c>
      <c r="K11" s="45" t="n">
        <f aca="false">IF(K39*K67*parametros_manuales!$M$28*parametros_manuales!$B$6=0,0,'Demanda puesto sin sobrestock'!$P$254/(parametros_manuales!$M$28*K39*K67*parametros_manuales!$B$6))</f>
        <v>0.471193994235436</v>
      </c>
      <c r="L11" s="44" t="s">
        <v>83</v>
      </c>
      <c r="M11" s="51" t="s">
        <v>207</v>
      </c>
    </row>
    <row r="12" customFormat="false" ht="14.25" hidden="false" customHeight="true" outlineLevel="0" collapsed="false">
      <c r="A12" s="44" t="str">
        <f aca="false">parametros_manuales!$B$29</f>
        <v>Bordoneado</v>
      </c>
      <c r="B12" s="45" t="n">
        <f aca="false">IF(B40*B68*parametros_manuales!$M$29*parametros_manuales!$B$6=0,0,'Demanda puesto sin sobrestock'!$P$12/(parametros_manuales!$M$29*B40*B68*parametros_manuales!$B$6))</f>
        <v>0.0300519761376433</v>
      </c>
      <c r="C12" s="45" t="n">
        <f aca="false">IF(C40*C68*parametros_manuales!$M$29*parametros_manuales!$B$6=0,0,'Demanda puesto sin sobrestock'!$P$39/(parametros_manuales!$M$29*C40*C68*parametros_manuales!$B$6))</f>
        <v>0.0473057532549019</v>
      </c>
      <c r="D12" s="45" t="n">
        <f aca="false">IF(D40*D68*parametros_manuales!$M$29*parametros_manuales!$B$6=0,0,'Demanda puesto sin sobrestock'!$P$66/(parametros_manuales!$M$29*D40*D68*parametros_manuales!$B$6))</f>
        <v>0.100623122853846</v>
      </c>
      <c r="E12" s="45" t="n">
        <f aca="false">IF(E40*E68*parametros_manuales!$M$29*parametros_manuales!$B$6=0,0,'Demanda puesto sin sobrestock'!$P$93/(parametros_manuales!$M$29*E40*E68*parametros_manuales!$B$6))</f>
        <v>0.223626719600339</v>
      </c>
      <c r="F12" s="45" t="n">
        <f aca="false">IF(F40*F68*parametros_manuales!$M$29*parametros_manuales!$B$6=0,0,'Demanda puesto sin sobrestock'!$P$120/(parametros_manuales!$M$29*F40*F68*parametros_manuales!$B$6))</f>
        <v>0.389571317314065</v>
      </c>
      <c r="G12" s="45" t="n">
        <f aca="false">IF(G40*G68*parametros_manuales!$M$29*parametros_manuales!$B$6=0,0,'Demanda puesto sin sobrestock'!$P$147/(parametros_manuales!$M$29*G40*G68*parametros_manuales!$B$6))</f>
        <v>0.546976812277149</v>
      </c>
      <c r="H12" s="45" t="n">
        <f aca="false">IF(H40*H68*parametros_manuales!$M$29*parametros_manuales!$B$6=0,0,'Demanda puesto sin sobrestock'!$P$174/(parametros_manuales!$M$29*H40*H68*parametros_manuales!$B$6))</f>
        <v>0.377118045648379</v>
      </c>
      <c r="I12" s="46" t="n">
        <f aca="false">IF(I40*I68*parametros_manuales!$M$29*parametros_manuales!$B$6=0,0,'Demanda puesto sin sobrestock'!$P$201/(parametros_manuales!$M$29*I40*I68*parametros_manuales!$B$6))</f>
        <v>0.482049641255467</v>
      </c>
      <c r="J12" s="45" t="n">
        <f aca="false">IF(J40*J68*parametros_manuales!$M$29*parametros_manuales!$B$6=0,0,'Demanda puesto sin sobrestock'!$P$228/(parametros_manuales!$M$29*J40*J68*parametros_manuales!$B$6))</f>
        <v>0.543761331635935</v>
      </c>
      <c r="K12" s="45" t="n">
        <f aca="false">IF(K40*K68*parametros_manuales!$M$29*parametros_manuales!$B$6=0,0,'Demanda puesto sin sobrestock'!$P$255/(parametros_manuales!$M$29*K40*K68*parametros_manuales!$B$6))</f>
        <v>0.628258658980581</v>
      </c>
      <c r="L12" s="44" t="s">
        <v>83</v>
      </c>
    </row>
    <row r="13" customFormat="false" ht="14.25" hidden="false" customHeight="true" outlineLevel="0" collapsed="false">
      <c r="A13" s="44" t="str">
        <f aca="false">parametros_manuales!$B$30</f>
        <v>Soldadura circunferencial de cúpula y fondo</v>
      </c>
      <c r="B13" s="45" t="n">
        <f aca="false">IF(B41*B69*parametros_manuales!$M$30*parametros_manuales!$B$6=0,0,'Demanda puesto sin sobrestock'!$P$13/(parametros_manuales!$M$30*B41*B69*parametros_manuales!$B$6))</f>
        <v>0.0901559284129299</v>
      </c>
      <c r="C13" s="45" t="n">
        <f aca="false">IF(C41*C69*parametros_manuales!$M$30*parametros_manuales!$B$6=0,0,'Demanda puesto sin sobrestock'!$P$40/(parametros_manuales!$M$30*C41*C69*parametros_manuales!$B$6))</f>
        <v>0.141917259764706</v>
      </c>
      <c r="D13" s="45" t="n">
        <f aca="false">IF(D41*D69*parametros_manuales!$M$30*parametros_manuales!$B$6=0,0,'Demanda puesto sin sobrestock'!$P$67/(parametros_manuales!$M$30*D41*D69*parametros_manuales!$B$6))</f>
        <v>0.301869368561538</v>
      </c>
      <c r="E13" s="45" t="n">
        <f aca="false">IF(E41*E69*parametros_manuales!$M$30*parametros_manuales!$B$6=0,0,'Demanda puesto sin sobrestock'!$P$94/(parametros_manuales!$M$30*E41*E69*parametros_manuales!$B$6))</f>
        <v>0.670880158801018</v>
      </c>
      <c r="F13" s="46" t="n">
        <f aca="false">IF(F41*F69*parametros_manuales!$M$30*parametros_manuales!$B$6=0,0,'Demanda puesto sin sobrestock'!$P$121/(parametros_manuales!$M$30*F41*F69*parametros_manuales!$B$6))</f>
        <v>0.584356975971097</v>
      </c>
      <c r="G13" s="45" t="n">
        <f aca="false">IF(G41*G69*parametros_manuales!$M$30*parametros_manuales!$B$6=0,0,'Demanda puesto sin sobrestock'!$P$148/(parametros_manuales!$M$30*G41*G69*parametros_manuales!$B$6))</f>
        <v>0.820465218415724</v>
      </c>
      <c r="H13" s="46" t="n">
        <f aca="false">IF(H41*H69*parametros_manuales!$M$30*parametros_manuales!$B$6=0,0,'Demanda puesto sin sobrestock'!$P$175/(parametros_manuales!$M$30*H41*H69*parametros_manuales!$B$6))</f>
        <v>0.377118045648379</v>
      </c>
      <c r="I13" s="45" t="n">
        <f aca="false">IF(I41*I69*parametros_manuales!$M$30*parametros_manuales!$B$6=0,0,'Demanda puesto sin sobrestock'!$P$202/(parametros_manuales!$M$30*I41*I69*parametros_manuales!$B$6))</f>
        <v>0.482049641255468</v>
      </c>
      <c r="J13" s="45" t="n">
        <f aca="false">IF(J41*J69*parametros_manuales!$M$30*parametros_manuales!$B$6=0,0,'Demanda puesto sin sobrestock'!$P$229/(parametros_manuales!$M$30*J41*J69*parametros_manuales!$B$6))</f>
        <v>0.543761331635935</v>
      </c>
      <c r="K13" s="45" t="n">
        <f aca="false">IF(K41*K69*parametros_manuales!$M$30*parametros_manuales!$B$6=0,0,'Demanda puesto sin sobrestock'!$P$256/(parametros_manuales!$M$30*K41*K69*parametros_manuales!$B$6))</f>
        <v>0.628258658980581</v>
      </c>
      <c r="L13" s="44" t="s">
        <v>83</v>
      </c>
      <c r="M13" s="52" t="s">
        <v>55</v>
      </c>
      <c r="N13" s="53" t="n">
        <f aca="false">parametros_manuales!$B$8</f>
        <v>0.9</v>
      </c>
    </row>
    <row r="14" customFormat="false" ht="14.25" hidden="false" customHeight="true" outlineLevel="0" collapsed="false">
      <c r="A14" s="44" t="str">
        <f aca="false">parametros_manuales!$B$31</f>
        <v>Control de calidad — Espesor</v>
      </c>
      <c r="B14" s="45" t="n">
        <f aca="false">IF(B42*B70*parametros_manuales!$M$31*parametros_manuales!$B$6=0,0,'Demanda puesto sin sobrestock'!$P$14/(parametros_manuales!$M$31*B42*B70*parametros_manuales!$B$6))</f>
        <v>0.00354212625409022</v>
      </c>
      <c r="C14" s="45" t="n">
        <f aca="false">IF(C42*C70*parametros_manuales!$M$31*parametros_manuales!$B$6=0,0,'Demanda puesto sin sobrestock'!$P$41/(parametros_manuales!$M$31*C42*C70*parametros_manuales!$B$6))</f>
        <v>0.00557577145031111</v>
      </c>
      <c r="D14" s="45" t="n">
        <f aca="false">IF(D42*D70*parametros_manuales!$M$31*parametros_manuales!$B$6=0,0,'Demanda puesto sin sobrestock'!$P$68/(parametros_manuales!$M$31*D42*D70*parametros_manuales!$B$6))</f>
        <v>0.0118601120803733</v>
      </c>
      <c r="E14" s="45" t="n">
        <f aca="false">IF(E42*E70*parametros_manuales!$M$31*parametros_manuales!$B$6=0,0,'Demanda puesto sin sobrestock'!$P$95/(parametros_manuales!$M$31*E42*E70*parametros_manuales!$B$6))</f>
        <v>0.0263581360168933</v>
      </c>
      <c r="F14" s="45" t="n">
        <f aca="false">IF(F42*F70*parametros_manuales!$M$31*parametros_manuales!$B$6=0,0,'Demanda puesto sin sobrestock'!$P$122/(parametros_manuales!$M$31*F42*F70*parametros_manuales!$B$6))</f>
        <v>0.0459174726007511</v>
      </c>
      <c r="G14" s="45" t="n">
        <f aca="false">IF(G42*G70*parametros_manuales!$M$31*parametros_manuales!$B$6=0,0,'Demanda puesto sin sobrestock'!$P$149/(parametros_manuales!$M$31*G42*G70*parametros_manuales!$B$6))</f>
        <v>0.0644703336070667</v>
      </c>
      <c r="H14" s="45" t="n">
        <f aca="false">IF(H42*H70*parametros_manuales!$M$31*parametros_manuales!$B$6=0,0,'Demanda puesto sin sobrestock'!$P$176/(parametros_manuales!$M$31*H42*H70*parametros_manuales!$B$6))</f>
        <v>0.0888992939608445</v>
      </c>
      <c r="I14" s="45" t="n">
        <f aca="false">IF(I42*I70*parametros_manuales!$M$31*parametros_manuales!$B$6=0,0,'Demanda puesto sin sobrestock'!$P$203/(parametros_manuales!$M$31*I42*I70*parametros_manuales!$B$6))</f>
        <v>0.113635168765289</v>
      </c>
      <c r="J14" s="45" t="n">
        <f aca="false">IF(J42*J70*parametros_manuales!$M$31*parametros_manuales!$B$6=0,0,'Demanda puesto sin sobrestock'!$P$230/(parametros_manuales!$M$31*J42*J70*parametros_manuales!$B$6))</f>
        <v>0.128182671244311</v>
      </c>
      <c r="K14" s="45" t="n">
        <f aca="false">IF(K42*K70*parametros_manuales!$M$31*parametros_manuales!$B$6=0,0,'Demanda puesto sin sobrestock'!$P$257/(parametros_manuales!$M$31*K42*K70*parametros_manuales!$B$6))</f>
        <v>0.148101507877022</v>
      </c>
      <c r="L14" s="44" t="s">
        <v>202</v>
      </c>
      <c r="M14" s="12" t="s">
        <v>208</v>
      </c>
    </row>
    <row r="15" customFormat="false" ht="14.25" hidden="false" customHeight="true" outlineLevel="0" collapsed="false">
      <c r="A15" s="44" t="str">
        <f aca="false">parametros_manuales!$B$32</f>
        <v>Prueba hidráulica</v>
      </c>
      <c r="B15" s="45" t="n">
        <f aca="false">IF(B43*B71*parametros_manuales!$M$32*parametros_manuales!$B$6=0,0,'Demanda puesto sin sobrestock'!$P$15/(parametros_manuales!$M$32*B43*B71*parametros_manuales!$B$6))</f>
        <v>0.0901559284129299</v>
      </c>
      <c r="C15" s="45" t="n">
        <f aca="false">IF(C43*C71*parametros_manuales!$M$32*parametros_manuales!$B$6=0,0,'Demanda puesto sin sobrestock'!$P$42/(parametros_manuales!$M$32*C43*C71*parametros_manuales!$B$6))</f>
        <v>0.141917259764706</v>
      </c>
      <c r="D15" s="45" t="n">
        <f aca="false">IF(D43*D71*parametros_manuales!$M$32*parametros_manuales!$B$6=0,0,'Demanda puesto sin sobrestock'!$P$69/(parametros_manuales!$M$32*D43*D71*parametros_manuales!$B$6))</f>
        <v>0.301869368561538</v>
      </c>
      <c r="E15" s="45" t="n">
        <f aca="false">IF(E43*E71*parametros_manuales!$M$32*parametros_manuales!$B$6=0,0,'Demanda puesto sin sobrestock'!$P$96/(parametros_manuales!$M$32*E43*E71*parametros_manuales!$B$6))</f>
        <v>0.670880158801018</v>
      </c>
      <c r="F15" s="46" t="n">
        <f aca="false">IF(F43*F71*parametros_manuales!$M$32*parametros_manuales!$B$6=0,0,'Demanda puesto sin sobrestock'!$P$123/(parametros_manuales!$M$32*F43*F71*parametros_manuales!$B$6))</f>
        <v>0.584356975971097</v>
      </c>
      <c r="G15" s="45" t="n">
        <f aca="false">IF(G43*G71*parametros_manuales!$M$32*parametros_manuales!$B$6=0,0,'Demanda puesto sin sobrestock'!$P$150/(parametros_manuales!$M$32*G43*G71*parametros_manuales!$B$6))</f>
        <v>0.820465218415724</v>
      </c>
      <c r="H15" s="46" t="n">
        <f aca="false">IF(H43*H71*parametros_manuales!$M$32*parametros_manuales!$B$6=0,0,'Demanda puesto sin sobrestock'!$P$177/(parametros_manuales!$M$32*H43*H71*parametros_manuales!$B$6))</f>
        <v>0.377118045648379</v>
      </c>
      <c r="I15" s="45" t="n">
        <f aca="false">IF(I43*I71*parametros_manuales!$M$32*parametros_manuales!$B$6=0,0,'Demanda puesto sin sobrestock'!$P$204/(parametros_manuales!$M$32*I43*I71*parametros_manuales!$B$6))</f>
        <v>0.482049641255468</v>
      </c>
      <c r="J15" s="45" t="n">
        <f aca="false">IF(J43*J71*parametros_manuales!$M$32*parametros_manuales!$B$6=0,0,'Demanda puesto sin sobrestock'!$P$231/(parametros_manuales!$M$32*J43*J71*parametros_manuales!$B$6))</f>
        <v>0.543761331635935</v>
      </c>
      <c r="K15" s="45" t="n">
        <f aca="false">IF(K43*K71*parametros_manuales!$M$32*parametros_manuales!$B$6=0,0,'Demanda puesto sin sobrestock'!$P$258/(parametros_manuales!$M$32*K43*K71*parametros_manuales!$B$6))</f>
        <v>0.628258658980581</v>
      </c>
      <c r="L15" s="44" t="s">
        <v>83</v>
      </c>
    </row>
    <row r="16" customFormat="false" ht="14.25" hidden="false" customHeight="true" outlineLevel="0" collapsed="false">
      <c r="A16" s="44" t="str">
        <f aca="false">parametros_manuales!$B$33</f>
        <v>Secado</v>
      </c>
      <c r="B16" s="45" t="n">
        <f aca="false">IF(B44*B72*parametros_manuales!$M$33*parametros_manuales!$B$6=0,0,'Demanda puesto sin sobrestock'!$P$16/(parametros_manuales!$M$33*B44*B72*parametros_manuales!$B$6))</f>
        <v>0.177106312704511</v>
      </c>
      <c r="C16" s="45" t="n">
        <f aca="false">IF(C44*C72*parametros_manuales!$M$33*parametros_manuales!$B$6=0,0,'Demanda puesto sin sobrestock'!$P$43/(parametros_manuales!$M$33*C44*C72*parametros_manuales!$B$6))</f>
        <v>0.278788572515556</v>
      </c>
      <c r="D16" s="45" t="n">
        <f aca="false">IF(D44*D72*parametros_manuales!$M$33*parametros_manuales!$B$6=0,0,'Demanda puesto sin sobrestock'!$P$70/(parametros_manuales!$M$33*D44*D72*parametros_manuales!$B$6))</f>
        <v>0.593005604018667</v>
      </c>
      <c r="E16" s="46" t="n">
        <f aca="false">IF(E44*E72*parametros_manuales!$M$33*parametros_manuales!$B$6=0,0,'Demanda puesto sin sobrestock'!$P$97/(parametros_manuales!$M$33*E44*E72*parametros_manuales!$B$6))</f>
        <v>0.658953400422333</v>
      </c>
      <c r="F16" s="46" t="n">
        <f aca="false">IF(F44*F72*parametros_manuales!$M$33*parametros_manuales!$B$6=0,0,'Demanda puesto sin sobrestock'!$P$124/(parametros_manuales!$M$33*F44*F72*parametros_manuales!$B$6))</f>
        <v>0.765291210012519</v>
      </c>
      <c r="G16" s="46" t="n">
        <f aca="false">IF(G44*G72*parametros_manuales!$M$33*parametros_manuales!$B$6=0,0,'Demanda puesto sin sobrestock'!$P$151/(parametros_manuales!$M$33*G44*G72*parametros_manuales!$B$6))</f>
        <v>0.805879170088333</v>
      </c>
      <c r="H16" s="46" t="n">
        <f aca="false">IF(H44*H72*parametros_manuales!$M$33*parametros_manuales!$B$6=0,0,'Demanda puesto sin sobrestock'!$P$178/(parametros_manuales!$M$33*H44*H72*parametros_manuales!$B$6))</f>
        <v>0.444496469804222</v>
      </c>
      <c r="I16" s="45" t="n">
        <f aca="false">IF(I44*I72*parametros_manuales!$M$33*parametros_manuales!$B$6=0,0,'Demanda puesto sin sobrestock'!$P$205/(parametros_manuales!$M$33*I44*I72*parametros_manuales!$B$6))</f>
        <v>0.568175843826444</v>
      </c>
      <c r="J16" s="45" t="n">
        <f aca="false">IF(J44*J72*parametros_manuales!$M$33*parametros_manuales!$B$6=0,0,'Demanda puesto sin sobrestock'!$P$232/(parametros_manuales!$M$33*J44*J72*parametros_manuales!$B$6))</f>
        <v>0.640913356221555</v>
      </c>
      <c r="K16" s="45" t="n">
        <f aca="false">IF(K44*K72*parametros_manuales!$M$33*parametros_manuales!$B$6=0,0,'Demanda puesto sin sobrestock'!$P$259/(parametros_manuales!$M$33*K44*K72*parametros_manuales!$B$6))</f>
        <v>0.740507539385111</v>
      </c>
      <c r="L16" s="44" t="s">
        <v>83</v>
      </c>
    </row>
    <row r="17" customFormat="false" ht="14.25" hidden="false" customHeight="true" outlineLevel="0" collapsed="false">
      <c r="A17" s="44" t="str">
        <f aca="false">parametros_manuales!$B$34</f>
        <v>Granallado</v>
      </c>
      <c r="B17" s="45" t="n">
        <f aca="false">IF(B45*B73*parametros_manuales!$M$34*parametros_manuales!$B$6=0,0,'Demanda puesto sin sobrestock'!$P$17/(parametros_manuales!$M$34*B45*B73*parametros_manuales!$B$6))</f>
        <v>0.0442765781761278</v>
      </c>
      <c r="C17" s="45" t="n">
        <f aca="false">IF(C45*C73*parametros_manuales!$M$34*parametros_manuales!$B$6=0,0,'Demanda puesto sin sobrestock'!$P$44/(parametros_manuales!$M$34*C45*C73*parametros_manuales!$B$6))</f>
        <v>0.0696971431288889</v>
      </c>
      <c r="D17" s="45" t="n">
        <f aca="false">IF(D45*D73*parametros_manuales!$M$34*parametros_manuales!$B$6=0,0,'Demanda puesto sin sobrestock'!$P$71/(parametros_manuales!$M$34*D45*D73*parametros_manuales!$B$6))</f>
        <v>0.148251401004667</v>
      </c>
      <c r="E17" s="45" t="n">
        <f aca="false">IF(E45*E73*parametros_manuales!$M$34*parametros_manuales!$B$6=0,0,'Demanda puesto sin sobrestock'!$P$98/(parametros_manuales!$M$34*E45*E73*parametros_manuales!$B$6))</f>
        <v>0.329476700211167</v>
      </c>
      <c r="F17" s="45" t="n">
        <f aca="false">IF(F45*F73*parametros_manuales!$M$34*parametros_manuales!$B$6=0,0,'Demanda puesto sin sobrestock'!$P$125/(parametros_manuales!$M$34*F45*F73*parametros_manuales!$B$6))</f>
        <v>0.573968407509389</v>
      </c>
      <c r="G17" s="45" t="n">
        <f aca="false">IF(G45*G73*parametros_manuales!$M$34*parametros_manuales!$B$6=0,0,'Demanda puesto sin sobrestock'!$P$152/(parametros_manuales!$M$34*G45*G73*parametros_manuales!$B$6))</f>
        <v>0.805879170088333</v>
      </c>
      <c r="H17" s="46" t="n">
        <f aca="false">IF(H45*H73*parametros_manuales!$M$34*parametros_manuales!$B$6=0,0,'Demanda puesto sin sobrestock'!$P$179/(parametros_manuales!$M$34*H45*H73*parametros_manuales!$B$6))</f>
        <v>0.277810293627639</v>
      </c>
      <c r="I17" s="45" t="n">
        <f aca="false">IF(I45*I73*parametros_manuales!$M$34*parametros_manuales!$B$6=0,0,'Demanda puesto sin sobrestock'!$P$206/(parametros_manuales!$M$34*I45*I73*parametros_manuales!$B$6))</f>
        <v>0.355109902391528</v>
      </c>
      <c r="J17" s="45" t="n">
        <f aca="false">IF(J45*J73*parametros_manuales!$M$34*parametros_manuales!$B$6=0,0,'Demanda puesto sin sobrestock'!$P$233/(parametros_manuales!$M$34*J45*J73*parametros_manuales!$B$6))</f>
        <v>0.400570847638472</v>
      </c>
      <c r="K17" s="45" t="n">
        <f aca="false">IF(K45*K73*parametros_manuales!$M$34*parametros_manuales!$B$6=0,0,'Demanda puesto sin sobrestock'!$P$260/(parametros_manuales!$M$34*K45*K73*parametros_manuales!$B$6))</f>
        <v>0.462817212115694</v>
      </c>
      <c r="L17" s="44" t="s">
        <v>83</v>
      </c>
    </row>
    <row r="18" customFormat="false" ht="14.25" hidden="false" customHeight="true" outlineLevel="0" collapsed="false">
      <c r="A18" s="44" t="str">
        <f aca="false">parametros_manuales!$B$35</f>
        <v>Detección de defectos</v>
      </c>
      <c r="B18" s="45" t="n">
        <f aca="false">IF(B46*B74*parametros_manuales!$M$35*parametros_manuales!$B$6=0,0,'Demanda puesto sin sobrestock'!$P$18/(parametros_manuales!$M$35*B46*B74*parametros_manuales!$B$6))</f>
        <v>0.0295177187840852</v>
      </c>
      <c r="C18" s="45" t="n">
        <f aca="false">IF(C46*C74*parametros_manuales!$M$35*parametros_manuales!$B$6=0,0,'Demanda puesto sin sobrestock'!$P$45/(parametros_manuales!$M$35*C46*C74*parametros_manuales!$B$6))</f>
        <v>0.0464647620859259</v>
      </c>
      <c r="D18" s="45" t="n">
        <f aca="false">IF(D46*D74*parametros_manuales!$M$35*parametros_manuales!$B$6=0,0,'Demanda puesto sin sobrestock'!$P$72/(parametros_manuales!$M$35*D46*D74*parametros_manuales!$B$6))</f>
        <v>0.0988342673364444</v>
      </c>
      <c r="E18" s="45" t="n">
        <f aca="false">IF(E46*E74*parametros_manuales!$M$35*parametros_manuales!$B$6=0,0,'Demanda puesto sin sobrestock'!$P$99/(parametros_manuales!$M$35*E46*E74*parametros_manuales!$B$6))</f>
        <v>0.219651133474111</v>
      </c>
      <c r="F18" s="45" t="n">
        <f aca="false">IF(F46*F74*parametros_manuales!$M$35*parametros_manuales!$B$6=0,0,'Demanda puesto sin sobrestock'!$P$126/(parametros_manuales!$M$35*F46*F74*parametros_manuales!$B$6))</f>
        <v>0.382645605006259</v>
      </c>
      <c r="G18" s="45" t="n">
        <f aca="false">IF(G46*G74*parametros_manuales!$M$35*parametros_manuales!$B$6=0,0,'Demanda puesto sin sobrestock'!$P$153/(parametros_manuales!$M$35*G46*G74*parametros_manuales!$B$6))</f>
        <v>0.537252780058889</v>
      </c>
      <c r="H18" s="45" t="n">
        <f aca="false">IF(H46*H74*parametros_manuales!$M$35*parametros_manuales!$B$6=0,0,'Demanda puesto sin sobrestock'!$P$180/(parametros_manuales!$M$35*H46*H74*parametros_manuales!$B$6))</f>
        <v>0.370413724836852</v>
      </c>
      <c r="I18" s="46" t="n">
        <f aca="false">IF(I46*I74*parametros_manuales!$M$35*parametros_manuales!$B$6=0,0,'Demanda puesto sin sobrestock'!$P$207/(parametros_manuales!$M$35*I46*I74*parametros_manuales!$B$6))</f>
        <v>0.47347986985537</v>
      </c>
      <c r="J18" s="45" t="n">
        <f aca="false">IF(J46*J74*parametros_manuales!$M$35*parametros_manuales!$B$6=0,0,'Demanda puesto sin sobrestock'!$P$234/(parametros_manuales!$M$35*J46*J74*parametros_manuales!$B$6))</f>
        <v>0.534094463517963</v>
      </c>
      <c r="K18" s="45" t="n">
        <f aca="false">IF(K46*K74*parametros_manuales!$M$35*parametros_manuales!$B$6=0,0,'Demanda puesto sin sobrestock'!$P$261/(parametros_manuales!$M$35*K46*K74*parametros_manuales!$B$6))</f>
        <v>0.617089616154259</v>
      </c>
      <c r="L18" s="44" t="s">
        <v>202</v>
      </c>
    </row>
    <row r="19" customFormat="false" ht="14.25" hidden="false" customHeight="true" outlineLevel="0" collapsed="false">
      <c r="A19" s="44" t="str">
        <f aca="false">parametros_manuales!$B$36</f>
        <v>Corrección de defectos</v>
      </c>
      <c r="B19" s="45" t="n">
        <f aca="false">IF(B47*B75*parametros_manuales!$M$36*parametros_manuales!$B$6=0,0,'Demanda puesto sin sobrestock'!$P$19/(parametros_manuales!$M$36*B47*B75*parametros_manuales!$B$6))</f>
        <v>0.0132829734528383</v>
      </c>
      <c r="C19" s="45" t="n">
        <f aca="false">IF(C47*C75*parametros_manuales!$M$36*parametros_manuales!$B$6=0,0,'Demanda puesto sin sobrestock'!$P$46/(parametros_manuales!$M$36*C47*C75*parametros_manuales!$B$6))</f>
        <v>0.0209091429386667</v>
      </c>
      <c r="D19" s="45" t="n">
        <f aca="false">IF(D47*D75*parametros_manuales!$M$36*parametros_manuales!$B$6=0,0,'Demanda puesto sin sobrestock'!$P$73/(parametros_manuales!$M$36*D47*D75*parametros_manuales!$B$6))</f>
        <v>0.0444754203014</v>
      </c>
      <c r="E19" s="45" t="n">
        <f aca="false">IF(E47*E75*parametros_manuales!$M$36*parametros_manuales!$B$6=0,0,'Demanda puesto sin sobrestock'!$P$100/(parametros_manuales!$M$36*E47*E75*parametros_manuales!$B$6))</f>
        <v>0.09884301006335</v>
      </c>
      <c r="F19" s="45" t="n">
        <f aca="false">IF(F47*F75*parametros_manuales!$M$36*parametros_manuales!$B$6=0,0,'Demanda puesto sin sobrestock'!$P$127/(parametros_manuales!$M$36*F47*F75*parametros_manuales!$B$6))</f>
        <v>0.172190522252817</v>
      </c>
      <c r="G19" s="45" t="n">
        <f aca="false">IF(G47*G75*parametros_manuales!$M$36*parametros_manuales!$B$6=0,0,'Demanda puesto sin sobrestock'!$P$154/(parametros_manuales!$M$36*G47*G75*parametros_manuales!$B$6))</f>
        <v>0.2417637510265</v>
      </c>
      <c r="H19" s="45" t="n">
        <f aca="false">IF(H47*H75*parametros_manuales!$M$36*parametros_manuales!$B$6=0,0,'Demanda puesto sin sobrestock'!$P$181/(parametros_manuales!$M$36*H47*H75*parametros_manuales!$B$6))</f>
        <v>0.333372352353167</v>
      </c>
      <c r="I19" s="45" t="n">
        <f aca="false">IF(I47*I75*parametros_manuales!$M$36*parametros_manuales!$B$6=0,0,'Demanda puesto sin sobrestock'!$P$208/(parametros_manuales!$M$36*I47*I75*parametros_manuales!$B$6))</f>
        <v>0.426131882869833</v>
      </c>
      <c r="J19" s="45" t="n">
        <f aca="false">IF(J47*J75*parametros_manuales!$M$36*parametros_manuales!$B$6=0,0,'Demanda puesto sin sobrestock'!$P$235/(parametros_manuales!$M$36*J47*J75*parametros_manuales!$B$6))</f>
        <v>0.480685017166167</v>
      </c>
      <c r="K19" s="45" t="n">
        <f aca="false">IF(K47*K75*parametros_manuales!$M$36*parametros_manuales!$B$6=0,0,'Demanda puesto sin sobrestock'!$P$262/(parametros_manuales!$M$36*K47*K75*parametros_manuales!$B$6))</f>
        <v>0.555380654538833</v>
      </c>
      <c r="L19" s="44" t="s">
        <v>202</v>
      </c>
    </row>
    <row r="20" customFormat="false" ht="14.25" hidden="false" customHeight="true" outlineLevel="0" collapsed="false">
      <c r="A20" s="44" t="str">
        <f aca="false">parametros_manuales!$B$37</f>
        <v>Pintura en polvo + horno</v>
      </c>
      <c r="B20" s="46" t="n">
        <f aca="false">IF(B48*B76*parametros_manuales!$M$37*parametros_manuales!$B$6=0,0,'Demanda puesto sin sobrestock'!$P$20/(parametros_manuales!$M$37*B48*B76*parametros_manuales!$B$6))</f>
        <v>0</v>
      </c>
      <c r="C20" s="46" t="n">
        <f aca="false">IF(C48*C76*parametros_manuales!$M$37*parametros_manuales!$B$6=0,0,'Demanda puesto sin sobrestock'!$P$47/(parametros_manuales!$M$37*C48*C76*parametros_manuales!$B$6))</f>
        <v>0</v>
      </c>
      <c r="D20" s="46" t="n">
        <f aca="false">IF(D48*D76*parametros_manuales!$M$37*parametros_manuales!$B$6=0,0,'Demanda puesto sin sobrestock'!$P$74/(parametros_manuales!$M$37*D48*D76*parametros_manuales!$B$6))</f>
        <v>0</v>
      </c>
      <c r="E20" s="46" t="n">
        <f aca="false">IF(E48*E76*parametros_manuales!$M$37*parametros_manuales!$B$6=0,0,'Demanda puesto sin sobrestock'!$P$101/(parametros_manuales!$M$37*E48*E76*parametros_manuales!$B$6))</f>
        <v>0</v>
      </c>
      <c r="F20" s="45" t="n">
        <f aca="false">IF(F48*F76*parametros_manuales!$M$37*parametros_manuales!$B$6=0,0,'Demanda puesto sin sobrestock'!$P$128/(parametros_manuales!$M$37*F48*F76*parametros_manuales!$B$6))</f>
        <v>0.505253879849814</v>
      </c>
      <c r="G20" s="45" t="n">
        <f aca="false">IF(G48*G76*parametros_manuales!$M$37*parametros_manuales!$B$6=0,0,'Demanda puesto sin sobrestock'!$P$155/(parametros_manuales!$M$37*G48*G76*parametros_manuales!$B$6))</f>
        <v>0.70940067789466</v>
      </c>
      <c r="H20" s="46" t="n">
        <f aca="false">IF(H48*H76*parametros_manuales!$M$37*parametros_manuales!$B$6=0,0,'Demanda puesto sin sobrestock'!$P$182/(parametros_manuales!$M$37*H48*H76*parametros_manuales!$B$6))</f>
        <v>0.489102629626125</v>
      </c>
      <c r="I20" s="45" t="n">
        <f aca="false">IF(I48*I76*parametros_manuales!$M$37*parametros_manuales!$B$6=0,0,'Demanda puesto sin sobrestock'!$P$209/(parametros_manuales!$M$37*I48*I76*parametros_manuales!$B$6))</f>
        <v>0.625193490125929</v>
      </c>
      <c r="J20" s="45" t="n">
        <f aca="false">IF(J48*J76*parametros_manuales!$M$37*parametros_manuales!$B$6=0,0,'Demanda puesto sin sobrestock'!$P$236/(parametros_manuales!$M$37*J48*J76*parametros_manuales!$B$6))</f>
        <v>0.70523036556069</v>
      </c>
      <c r="K20" s="45" t="n">
        <f aca="false">IF(K48*K76*parametros_manuales!$M$37*parametros_manuales!$B$6=0,0,'Demanda puesto sin sobrestock'!$P$263/(parametros_manuales!$M$37*K48*K76*parametros_manuales!$B$6))</f>
        <v>0.814819035414955</v>
      </c>
      <c r="L20" s="44" t="s">
        <v>83</v>
      </c>
    </row>
    <row r="21" customFormat="false" ht="14.25" hidden="false" customHeight="true" outlineLevel="0" collapsed="false">
      <c r="A21" s="44" t="str">
        <f aca="false">parametros_manuales!$B$38</f>
        <v>Carga de polvo</v>
      </c>
      <c r="B21" s="45" t="n">
        <f aca="false">IF(B49*B77*parametros_manuales!$M$38*parametros_manuales!$B$6=0,0,'Demanda puesto sin sobrestock'!$P$21/(parametros_manuales!$M$38*B49*B77*parametros_manuales!$B$6))</f>
        <v>0.066158200597525</v>
      </c>
      <c r="C21" s="45" t="n">
        <f aca="false">IF(C49*C77*parametros_manuales!$M$38*parametros_manuales!$B$6=0,0,'Demanda puesto sin sobrestock'!$P$48/(parametros_manuales!$M$38*C49*C77*parametros_manuales!$B$6))</f>
        <v>0.10378268136</v>
      </c>
      <c r="D21" s="45" t="n">
        <f aca="false">IF(D49*D77*parametros_manuales!$M$38*parametros_manuales!$B$6=0,0,'Demanda puesto sin sobrestock'!$P$75/(parametros_manuales!$M$38*D49*D77*parametros_manuales!$B$6))</f>
        <v>0.127295834840333</v>
      </c>
      <c r="E21" s="45" t="n">
        <f aca="false">IF(E49*E77*parametros_manuales!$M$38*parametros_manuales!$B$6=0,0,'Demanda puesto sin sobrestock'!$P$102/(parametros_manuales!$M$38*E49*E77*parametros_manuales!$B$6))</f>
        <v>0.16542505031675</v>
      </c>
      <c r="F21" s="45" t="n">
        <f aca="false">IF(F49*F77*parametros_manuales!$M$38*parametros_manuales!$B$6=0,0,'Demanda puesto sin sobrestock'!$P$129/(parametros_manuales!$M$38*F49*F77*parametros_manuales!$B$6))</f>
        <v>0.253890544597417</v>
      </c>
      <c r="G21" s="45" t="n">
        <f aca="false">IF(G49*G77*parametros_manuales!$M$38*parametros_manuales!$B$6=0,0,'Demanda puesto sin sobrestock'!$P$156/(parametros_manuales!$M$38*G49*G77*parametros_manuales!$B$6))</f>
        <v>0.329262221799167</v>
      </c>
      <c r="H21" s="45" t="n">
        <f aca="false">IF(H49*H77*parametros_manuales!$M$38*parametros_manuales!$B$6=0,0,'Demanda puesto sin sobrestock'!$P$183/(parametros_manuales!$M$38*H49*H77*parametros_manuales!$B$6))</f>
        <v>0.425237295099167</v>
      </c>
      <c r="I21" s="45" t="n">
        <f aca="false">IF(I49*I77*parametros_manuales!$M$38*parametros_manuales!$B$6=0,0,'Demanda puesto sin sobrestock'!$P$210/(parametros_manuales!$M$38*I49*I77*parametros_manuales!$B$6))</f>
        <v>0.526057681015833</v>
      </c>
      <c r="J21" s="45" t="n">
        <f aca="false">IF(J49*J77*parametros_manuales!$M$38*parametros_manuales!$B$6=0,0,'Demanda puesto sin sobrestock'!$P$237/(parametros_manuales!$M$38*J49*J77*parametros_manuales!$B$6))</f>
        <v>0.605378885830833</v>
      </c>
      <c r="K21" s="45" t="n">
        <f aca="false">IF(K49*K77*parametros_manuales!$M$38*parametros_manuales!$B$6=0,0,'Demanda puesto sin sobrestock'!$P$264/(parametros_manuales!$M$38*K49*K77*parametros_manuales!$B$6))</f>
        <v>0.6884601060275</v>
      </c>
      <c r="L21" s="44" t="s">
        <v>83</v>
      </c>
    </row>
    <row r="22" customFormat="false" ht="14.25" hidden="false" customHeight="true" outlineLevel="0" collapsed="false">
      <c r="A22" s="44" t="str">
        <f aca="false">parametros_manuales!$B$39</f>
        <v>Ensamblaje</v>
      </c>
      <c r="B22" s="45" t="n">
        <f aca="false">IF(B50*B78*parametros_manuales!$M$39*parametros_manuales!$B$6=0,0,'Demanda puesto sin sobrestock'!$P$22/(parametros_manuales!$M$39*B50*B78*parametros_manuales!$B$6))</f>
        <v>0.149679186872229</v>
      </c>
      <c r="C22" s="45" t="n">
        <f aca="false">IF(C50*C78*parametros_manuales!$M$39*parametros_manuales!$B$6=0,0,'Demanda puesto sin sobrestock'!$P$49/(parametros_manuales!$M$39*C50*C78*parametros_manuales!$B$6))</f>
        <v>0.234802446515837</v>
      </c>
      <c r="D22" s="45" t="n">
        <f aca="false">IF(D50*D78*parametros_manuales!$M$39*parametros_manuales!$B$6=0,0,'Demanda puesto sin sobrestock'!$P$76/(parametros_manuales!$M$39*D50*D78*parametros_manuales!$B$6))</f>
        <v>0.287999626335596</v>
      </c>
      <c r="E22" s="45" t="n">
        <f aca="false">IF(E50*E78*parametros_manuales!$M$39*parametros_manuales!$B$6=0,0,'Demanda puesto sin sobrestock'!$P$103/(parametros_manuales!$M$39*E50*E78*parametros_manuales!$B$6))</f>
        <v>0.374264819721154</v>
      </c>
      <c r="F22" s="45" t="n">
        <f aca="false">IF(F50*F78*parametros_manuales!$M$39*parametros_manuales!$B$6=0,0,'Demanda puesto sin sobrestock'!$P$130/(parametros_manuales!$M$39*F50*F78*parametros_manuales!$B$6))</f>
        <v>0.574412996826735</v>
      </c>
      <c r="G22" s="45" t="n">
        <f aca="false">IF(G50*G78*parametros_manuales!$M$39*parametros_manuales!$B$6=0,0,'Demanda puesto sin sobrestock'!$P$157/(parametros_manuales!$M$39*G50*G78*parametros_manuales!$B$6))</f>
        <v>0.74493715339178</v>
      </c>
      <c r="H22" s="46" t="n">
        <f aca="false">IF(H50*H78*parametros_manuales!$M$39*parametros_manuales!$B$6=0,0,'Demanda puesto sin sobrestock'!$P$184/(parametros_manuales!$M$39*H50*H78*parametros_manuales!$B$6))</f>
        <v>0.481037664139329</v>
      </c>
      <c r="I22" s="45" t="n">
        <f aca="false">IF(I50*I78*parametros_manuales!$M$39*parametros_manuales!$B$6=0,0,'Demanda puesto sin sobrestock'!$P$211/(parametros_manuales!$M$39*I50*I78*parametros_manuales!$B$6))</f>
        <v>0.5950878744523</v>
      </c>
      <c r="J22" s="45" t="n">
        <f aca="false">IF(J50*J78*parametros_manuales!$M$39*parametros_manuales!$B$6=0,0,'Demanda puesto sin sobrestock'!$P$238/(parametros_manuales!$M$39*J50*J78*parametros_manuales!$B$6))</f>
        <v>0.684817744152527</v>
      </c>
      <c r="K22" s="45" t="n">
        <f aca="false">IF(K50*K78*parametros_manuales!$M$39*parametros_manuales!$B$6=0,0,'Demanda puesto sin sobrestock'!$P$265/(parametros_manuales!$M$39*K50*K78*parametros_manuales!$B$6))</f>
        <v>0.778801024917986</v>
      </c>
      <c r="L22" s="44" t="s">
        <v>202</v>
      </c>
    </row>
    <row r="23" customFormat="false" ht="14.25" hidden="false" customHeight="true" outlineLevel="0" collapsed="false">
      <c r="A23" s="44" t="str">
        <f aca="false">parametros_manuales!$B$40</f>
        <v>Presurización</v>
      </c>
      <c r="B23" s="45" t="n">
        <f aca="false">IF(B51*B79*parametros_manuales!$M$40*parametros_manuales!$B$6=0,0,'Demanda puesto sin sobrestock'!$P$23/(parametros_manuales!$M$40*B51*B79*parametros_manuales!$B$6))</f>
        <v>0.0441054670650167</v>
      </c>
      <c r="C23" s="45" t="n">
        <f aca="false">IF(C51*C79*parametros_manuales!$M$40*parametros_manuales!$B$6=0,0,'Demanda puesto sin sobrestock'!$P$50/(parametros_manuales!$M$40*C51*C79*parametros_manuales!$B$6))</f>
        <v>0.06918845424</v>
      </c>
      <c r="D23" s="45" t="n">
        <f aca="false">IF(D51*D79*parametros_manuales!$M$40*parametros_manuales!$B$6=0,0,'Demanda puesto sin sobrestock'!$P$77/(parametros_manuales!$M$40*D51*D79*parametros_manuales!$B$6))</f>
        <v>0.0848638898935556</v>
      </c>
      <c r="E23" s="45" t="n">
        <f aca="false">IF(E51*E79*parametros_manuales!$M$40*parametros_manuales!$B$6=0,0,'Demanda puesto sin sobrestock'!$P$104/(parametros_manuales!$M$40*E51*E79*parametros_manuales!$B$6))</f>
        <v>0.110283366877833</v>
      </c>
      <c r="F23" s="45" t="n">
        <f aca="false">IF(F51*F79*parametros_manuales!$M$40*parametros_manuales!$B$6=0,0,'Demanda puesto sin sobrestock'!$P$131/(parametros_manuales!$M$40*F51*F79*parametros_manuales!$B$6))</f>
        <v>0.169260363064944</v>
      </c>
      <c r="G23" s="45" t="n">
        <f aca="false">IF(G51*G79*parametros_manuales!$M$40*parametros_manuales!$B$6=0,0,'Demanda puesto sin sobrestock'!$P$158/(parametros_manuales!$M$40*G51*G79*parametros_manuales!$B$6))</f>
        <v>0.219508147866111</v>
      </c>
      <c r="H23" s="45" t="n">
        <f aca="false">IF(H51*H79*parametros_manuales!$M$40*parametros_manuales!$B$6=0,0,'Demanda puesto sin sobrestock'!$P$185/(parametros_manuales!$M$40*H51*H79*parametros_manuales!$B$6))</f>
        <v>0.283491530066111</v>
      </c>
      <c r="I23" s="45" t="n">
        <f aca="false">IF(I51*I79*parametros_manuales!$M$40*parametros_manuales!$B$6=0,0,'Demanda puesto sin sobrestock'!$P$212/(parametros_manuales!$M$40*I51*I79*parametros_manuales!$B$6))</f>
        <v>0.350705120677222</v>
      </c>
      <c r="J23" s="45" t="n">
        <f aca="false">IF(J51*J79*parametros_manuales!$M$40*parametros_manuales!$B$6=0,0,'Demanda puesto sin sobrestock'!$P$239/(parametros_manuales!$M$40*J51*J79*parametros_manuales!$B$6))</f>
        <v>0.403585923887222</v>
      </c>
      <c r="K23" s="45" t="n">
        <f aca="false">IF(K51*K79*parametros_manuales!$M$40*parametros_manuales!$B$6=0,0,'Demanda puesto sin sobrestock'!$P$266/(parametros_manuales!$M$40*K51*K79*parametros_manuales!$B$6))</f>
        <v>0.458973404018333</v>
      </c>
      <c r="L23" s="44" t="s">
        <v>83</v>
      </c>
    </row>
    <row r="24" customFormat="false" ht="14.25" hidden="false" customHeight="true" outlineLevel="0" collapsed="false">
      <c r="A24" s="44" t="str">
        <f aca="false">parametros_manuales!$B$41</f>
        <v>Control de calidad — Ensayo de pérdidas</v>
      </c>
      <c r="B24" s="45" t="n">
        <f aca="false">IF(B52*B80*parametros_manuales!$M$41*parametros_manuales!$B$6=0,0,'Demanda puesto sin sobrestock'!$P$24/(parametros_manuales!$M$41*B52*B80*parametros_manuales!$B$6))</f>
        <v>0.0808600229525306</v>
      </c>
      <c r="C24" s="45" t="n">
        <f aca="false">IF(C52*C80*parametros_manuales!$M$41*parametros_manuales!$B$6=0,0,'Demanda puesto sin sobrestock'!$P$51/(parametros_manuales!$M$41*C52*C80*parametros_manuales!$B$6))</f>
        <v>0.12684549944</v>
      </c>
      <c r="D24" s="45" t="n">
        <f aca="false">IF(D52*D80*parametros_manuales!$M$41*parametros_manuales!$B$6=0,0,'Demanda puesto sin sobrestock'!$P$78/(parametros_manuales!$M$41*D52*D80*parametros_manuales!$B$6))</f>
        <v>0.155583798138185</v>
      </c>
      <c r="E24" s="45" t="n">
        <f aca="false">IF(E52*E80*parametros_manuales!$M$41*parametros_manuales!$B$6=0,0,'Demanda puesto sin sobrestock'!$P$105/(parametros_manuales!$M$41*E52*E80*parametros_manuales!$B$6))</f>
        <v>0.202186172609361</v>
      </c>
      <c r="F24" s="45" t="n">
        <f aca="false">IF(F52*F80*parametros_manuales!$M$41*parametros_manuales!$B$6=0,0,'Demanda puesto sin sobrestock'!$P$132/(parametros_manuales!$M$41*F52*F80*parametros_manuales!$B$6))</f>
        <v>0.310310665619065</v>
      </c>
      <c r="G24" s="45" t="n">
        <f aca="false">IF(G52*G80*parametros_manuales!$M$41*parametros_manuales!$B$6=0,0,'Demanda puesto sin sobrestock'!$P$159/(parametros_manuales!$M$41*G52*G80*parametros_manuales!$B$6))</f>
        <v>0.402431604421204</v>
      </c>
      <c r="H24" s="45" t="n">
        <f aca="false">IF(H52*H80*parametros_manuales!$M$41*parametros_manuales!$B$6=0,0,'Demanda puesto sin sobrestock'!$P$186/(parametros_manuales!$M$41*H52*H80*parametros_manuales!$B$6))</f>
        <v>0.259867235893935</v>
      </c>
      <c r="I24" s="45" t="n">
        <f aca="false">IF(I52*I80*parametros_manuales!$M$41*parametros_manuales!$B$6=0,0,'Demanda puesto sin sobrestock'!$P$213/(parametros_manuales!$M$41*I52*I80*parametros_manuales!$B$6))</f>
        <v>0.32147969395412</v>
      </c>
      <c r="J24" s="46" t="n">
        <f aca="false">IF(J52*J80*parametros_manuales!$M$41*parametros_manuales!$B$6=0,0,'Demanda puesto sin sobrestock'!$P$240/(parametros_manuales!$M$41*J52*J80*parametros_manuales!$B$6))</f>
        <v>0.369953763563287</v>
      </c>
      <c r="K24" s="45" t="n">
        <f aca="false">IF(K52*K80*parametros_manuales!$M$41*parametros_manuales!$B$6=0,0,'Demanda puesto sin sobrestock'!$P$267/(parametros_manuales!$M$41*K52*K80*parametros_manuales!$B$6))</f>
        <v>0.420725620350139</v>
      </c>
      <c r="L24" s="44" t="s">
        <v>83</v>
      </c>
    </row>
    <row r="25" customFormat="false" ht="14.25" hidden="false" customHeight="true" outlineLevel="0" collapsed="false">
      <c r="A25" s="44" t="str">
        <f aca="false">parametros_manuales!$B$42</f>
        <v>Etiquetado</v>
      </c>
      <c r="B25" s="45" t="n">
        <f aca="false">IF(B53*B81*parametros_manuales!$M$42*parametros_manuales!$B$6=0,0,'Demanda puesto sin sobrestock'!$P$25/(parametros_manuales!$M$42*B53*B81*parametros_manuales!$B$6))</f>
        <v>0.0882109341300333</v>
      </c>
      <c r="C25" s="45" t="n">
        <f aca="false">IF(C53*C81*parametros_manuales!$M$42*parametros_manuales!$B$6=0,0,'Demanda puesto sin sobrestock'!$P$52/(parametros_manuales!$M$42*C53*C81*parametros_manuales!$B$6))</f>
        <v>0.13837690848</v>
      </c>
      <c r="D25" s="45" t="n">
        <f aca="false">IF(D53*D81*parametros_manuales!$M$42*parametros_manuales!$B$6=0,0,'Demanda puesto sin sobrestock'!$P$79/(parametros_manuales!$M$42*D53*D81*parametros_manuales!$B$6))</f>
        <v>0.169727779787111</v>
      </c>
      <c r="E25" s="45" t="n">
        <f aca="false">IF(E53*E81*parametros_manuales!$M$42*parametros_manuales!$B$6=0,0,'Demanda puesto sin sobrestock'!$P$106/(parametros_manuales!$M$42*E53*E81*parametros_manuales!$B$6))</f>
        <v>0.220566733755667</v>
      </c>
      <c r="F25" s="45" t="n">
        <f aca="false">IF(F53*F81*parametros_manuales!$M$42*parametros_manuales!$B$6=0,0,'Demanda puesto sin sobrestock'!$P$133/(parametros_manuales!$M$42*F53*F81*parametros_manuales!$B$6))</f>
        <v>0.338520726129889</v>
      </c>
      <c r="G25" s="45" t="n">
        <f aca="false">IF(G53*G81*parametros_manuales!$M$42*parametros_manuales!$B$6=0,0,'Demanda puesto sin sobrestock'!$P$160/(parametros_manuales!$M$42*G53*G81*parametros_manuales!$B$6))</f>
        <v>0.439016295732222</v>
      </c>
      <c r="H25" s="45" t="n">
        <f aca="false">IF(H53*H81*parametros_manuales!$M$42*parametros_manuales!$B$6=0,0,'Demanda puesto sin sobrestock'!$P$187/(parametros_manuales!$M$42*H53*H81*parametros_manuales!$B$6))</f>
        <v>0.283491530066111</v>
      </c>
      <c r="I25" s="45" t="n">
        <f aca="false">IF(I53*I81*parametros_manuales!$M$42*parametros_manuales!$B$6=0,0,'Demanda puesto sin sobrestock'!$P$214/(parametros_manuales!$M$42*I53*I81*parametros_manuales!$B$6))</f>
        <v>0.350705120677222</v>
      </c>
      <c r="J25" s="45" t="n">
        <f aca="false">IF(J53*J81*parametros_manuales!$M$42*parametros_manuales!$B$6=0,0,'Demanda puesto sin sobrestock'!$P$241/(parametros_manuales!$M$42*J53*J81*parametros_manuales!$B$6))</f>
        <v>0.403585923887222</v>
      </c>
      <c r="K25" s="45" t="n">
        <f aca="false">IF(K53*K81*parametros_manuales!$M$42*parametros_manuales!$B$6=0,0,'Demanda puesto sin sobrestock'!$P$268/(parametros_manuales!$M$42*K53*K81*parametros_manuales!$B$6))</f>
        <v>0.458973404018333</v>
      </c>
      <c r="L25" s="44" t="s">
        <v>83</v>
      </c>
    </row>
    <row r="26" customFormat="false" ht="14.25" hidden="false" customHeight="true" outlineLevel="0" collapsed="false">
      <c r="A26" s="44" t="str">
        <f aca="false">parametros_manuales!$B$43</f>
        <v>Embalaje y paletizado</v>
      </c>
      <c r="B26" s="45" t="n">
        <f aca="false">IF(B54*B82*parametros_manuales!$M$43*parametros_manuales!$B$6=0,0,'Demanda puesto sin sobrestock'!$P$26/(parametros_manuales!$M$43*B54*B82*parametros_manuales!$B$6))</f>
        <v>0.0670105162979512</v>
      </c>
      <c r="C26" s="45" t="n">
        <f aca="false">IF(C54*C82*parametros_manuales!$M$43*parametros_manuales!$B$6=0,0,'Demanda puesto sin sobrestock'!$P$53/(parametros_manuales!$M$43*C54*C82*parametros_manuales!$B$6))</f>
        <v>0.105483344421525</v>
      </c>
      <c r="D26" s="45" t="n">
        <f aca="false">IF(D54*D82*parametros_manuales!$M$43*parametros_manuales!$B$6=0,0,'Demanda puesto sin sobrestock'!$P$80/(parametros_manuales!$M$43*D54*D82*parametros_manuales!$B$6))</f>
        <v>0.22437151497343</v>
      </c>
      <c r="E26" s="45" t="n">
        <f aca="false">IF(E54*E82*parametros_manuales!$M$43*parametros_manuales!$B$6=0,0,'Demanda puesto sin sobrestock'!$P$107/(parametros_manuales!$M$43*E54*E82*parametros_manuales!$B$6))</f>
        <v>0.498647472292685</v>
      </c>
      <c r="F26" s="45" t="n">
        <f aca="false">IF(F54*F82*parametros_manuales!$M$43*parametros_manuales!$B$6=0,0,'Demanda puesto sin sobrestock'!$P$134/(parametros_manuales!$M$43*F54*F82*parametros_manuales!$B$6))</f>
        <v>0.868674159347169</v>
      </c>
      <c r="G26" s="46" t="n">
        <f aca="false">IF(G54*G82*parametros_manuales!$M$43*parametros_manuales!$B$6=0,0,'Demanda puesto sin sobrestock'!$P$161/(parametros_manuales!$M$43*G54*G82*parametros_manuales!$B$6))</f>
        <v>0.609830089472674</v>
      </c>
      <c r="H26" s="45" t="n">
        <f aca="false">IF(H54*H82*parametros_manuales!$M$43*parametros_manuales!$B$6=0,0,'Demanda puesto sin sobrestock'!$P$188/(parametros_manuales!$M$43*H54*H82*parametros_manuales!$B$6))</f>
        <v>0.420452798651696</v>
      </c>
      <c r="I26" s="46" t="n">
        <f aca="false">IF(I54*I82*parametros_manuales!$M$43*parametros_manuales!$B$6=0,0,'Demanda puesto sin sobrestock'!$P$215/(parametros_manuales!$M$43*I54*I82*parametros_manuales!$B$6))</f>
        <v>0.537442116848164</v>
      </c>
      <c r="J26" s="45" t="n">
        <f aca="false">IF(J54*J82*parametros_manuales!$M$43*parametros_manuales!$B$6=0,0,'Demanda puesto sin sobrestock'!$P$242/(parametros_manuales!$M$43*J54*J82*parametros_manuales!$B$6))</f>
        <v>0.606245116941634</v>
      </c>
      <c r="K26" s="45" t="n">
        <f aca="false">IF(K54*K82*parametros_manuales!$M$43*parametros_manuales!$B$6=0,0,'Demanda puesto sin sobrestock'!$P$269/(parametros_manuales!$M$43*K54*K82*parametros_manuales!$B$6))</f>
        <v>0.700452058695278</v>
      </c>
      <c r="L26" s="44" t="s">
        <v>202</v>
      </c>
    </row>
    <row r="27" customFormat="false" ht="14.25" hidden="false" customHeight="true" outlineLevel="0" collapsed="false">
      <c r="A27" s="10" t="s">
        <v>209</v>
      </c>
      <c r="B27" s="54" t="n">
        <f aca="false">MAX(B2:B26)</f>
        <v>0.177106312704511</v>
      </c>
      <c r="C27" s="54" t="n">
        <f aca="false">MAX(C2:C26)</f>
        <v>0.278788572515556</v>
      </c>
      <c r="D27" s="54" t="n">
        <f aca="false">MAX(D2:D26)</f>
        <v>0.593005604018667</v>
      </c>
      <c r="E27" s="54" t="n">
        <f aca="false">MAX(E2:E26)</f>
        <v>0.670880158801018</v>
      </c>
      <c r="F27" s="54" t="n">
        <f aca="false">MAX(F2:F26)</f>
        <v>0.868674159347169</v>
      </c>
      <c r="G27" s="54" t="n">
        <f aca="false">MAX(G2:G26)</f>
        <v>0.869789094813908</v>
      </c>
      <c r="H27" s="54" t="n">
        <f aca="false">MAX(H2:H26)</f>
        <v>0.489102629626125</v>
      </c>
      <c r="I27" s="54" t="n">
        <f aca="false">MAX(I2:I26)</f>
        <v>0.625193490125929</v>
      </c>
      <c r="J27" s="54" t="n">
        <f aca="false">MAX(J2:J26)</f>
        <v>0.70523036556069</v>
      </c>
      <c r="K27" s="54" t="n">
        <f aca="false">MAX(K2:K26)</f>
        <v>0.814819035414955</v>
      </c>
    </row>
    <row r="28" customFormat="false" ht="14.25" hidden="false" customHeight="true" outlineLevel="0" collapsed="false"/>
    <row r="29" customFormat="false" ht="14.25" hidden="false" customHeight="true" outlineLevel="0" collapsed="false">
      <c r="A29" s="7" t="s">
        <v>210</v>
      </c>
      <c r="B29" s="7" t="n">
        <v>2026</v>
      </c>
      <c r="C29" s="7" t="n">
        <v>2027</v>
      </c>
      <c r="D29" s="7" t="n">
        <v>2028</v>
      </c>
      <c r="E29" s="7" t="n">
        <v>2029</v>
      </c>
      <c r="F29" s="7" t="n">
        <v>2030</v>
      </c>
      <c r="G29" s="7" t="n">
        <v>2031</v>
      </c>
      <c r="H29" s="7" t="n">
        <v>2032</v>
      </c>
      <c r="I29" s="7" t="n">
        <v>2033</v>
      </c>
      <c r="J29" s="7" t="n">
        <v>2034</v>
      </c>
      <c r="K29" s="7" t="n">
        <v>2035</v>
      </c>
    </row>
    <row r="30" customFormat="false" ht="14.25" hidden="false" customHeight="true" outlineLevel="0" collapsed="false">
      <c r="A30" s="8" t="str">
        <f aca="false">parametros_manuales!$B$19</f>
        <v>Recepción de materia prima</v>
      </c>
      <c r="B30" s="41" t="n">
        <v>1</v>
      </c>
      <c r="C30" s="41" t="n">
        <v>1</v>
      </c>
      <c r="D30" s="41" t="n">
        <v>1</v>
      </c>
      <c r="E30" s="41" t="n">
        <v>1</v>
      </c>
      <c r="F30" s="41" t="n">
        <v>2</v>
      </c>
      <c r="G30" s="41" t="n">
        <v>3</v>
      </c>
      <c r="H30" s="41" t="n">
        <v>3</v>
      </c>
      <c r="I30" s="41" t="n">
        <v>3</v>
      </c>
      <c r="J30" s="41" t="n">
        <v>3</v>
      </c>
      <c r="K30" s="41" t="n">
        <v>3</v>
      </c>
    </row>
    <row r="31" customFormat="false" ht="14.25" hidden="false" customHeight="true" outlineLevel="0" collapsed="false">
      <c r="A31" s="8" t="str">
        <f aca="false">parametros_manuales!$B$20</f>
        <v>Corte de chapa (guillotina) — 2,5 a 10 kg</v>
      </c>
      <c r="B31" s="41" t="n">
        <v>1</v>
      </c>
      <c r="C31" s="41" t="n">
        <v>1</v>
      </c>
      <c r="D31" s="41" t="n">
        <v>1</v>
      </c>
      <c r="E31" s="41" t="n">
        <v>1</v>
      </c>
      <c r="F31" s="41" t="n">
        <v>1</v>
      </c>
      <c r="G31" s="41" t="n">
        <v>1</v>
      </c>
      <c r="H31" s="41" t="n">
        <v>1</v>
      </c>
      <c r="I31" s="41" t="n">
        <v>1</v>
      </c>
      <c r="J31" s="41" t="n">
        <v>1</v>
      </c>
      <c r="K31" s="41" t="n">
        <v>1</v>
      </c>
    </row>
    <row r="32" customFormat="false" ht="14.25" hidden="false" customHeight="true" outlineLevel="0" collapsed="false">
      <c r="A32" s="8" t="str">
        <f aca="false">parametros_manuales!$B$21</f>
        <v>Corte de tubo — 1 kg</v>
      </c>
      <c r="B32" s="41" t="n">
        <v>1</v>
      </c>
      <c r="C32" s="41" t="n">
        <v>1</v>
      </c>
      <c r="D32" s="41" t="n">
        <v>1</v>
      </c>
      <c r="E32" s="41" t="n">
        <v>1</v>
      </c>
      <c r="F32" s="41" t="n">
        <v>1</v>
      </c>
      <c r="G32" s="41" t="n">
        <v>1</v>
      </c>
      <c r="H32" s="41" t="n">
        <v>1</v>
      </c>
      <c r="I32" s="41" t="n">
        <v>1</v>
      </c>
      <c r="J32" s="41" t="n">
        <v>1</v>
      </c>
      <c r="K32" s="41" t="n">
        <v>1</v>
      </c>
    </row>
    <row r="33" customFormat="false" ht="14.25" hidden="false" customHeight="true" outlineLevel="0" collapsed="false">
      <c r="A33" s="8" t="str">
        <f aca="false">parametros_manuales!$B$22</f>
        <v>Corte de disco y embutido (cúpula y fondo)</v>
      </c>
      <c r="B33" s="41" t="n">
        <v>1</v>
      </c>
      <c r="C33" s="41" t="n">
        <v>1</v>
      </c>
      <c r="D33" s="41" t="n">
        <v>1</v>
      </c>
      <c r="E33" s="41" t="n">
        <v>1</v>
      </c>
      <c r="F33" s="41" t="n">
        <v>1</v>
      </c>
      <c r="G33" s="41" t="n">
        <v>1</v>
      </c>
      <c r="H33" s="41" t="n">
        <v>1</v>
      </c>
      <c r="I33" s="41" t="n">
        <v>1</v>
      </c>
      <c r="J33" s="41" t="n">
        <v>1</v>
      </c>
      <c r="K33" s="41" t="n">
        <v>1</v>
      </c>
    </row>
    <row r="34" customFormat="false" ht="14.25" hidden="false" customHeight="true" outlineLevel="0" collapsed="false">
      <c r="A34" s="8" t="str">
        <f aca="false">parametros_manuales!$B$23</f>
        <v>Preparación de cuello</v>
      </c>
      <c r="B34" s="41" t="n">
        <v>1</v>
      </c>
      <c r="C34" s="41" t="n">
        <v>1</v>
      </c>
      <c r="D34" s="41" t="n">
        <v>1</v>
      </c>
      <c r="E34" s="41" t="n">
        <v>1</v>
      </c>
      <c r="F34" s="41" t="n">
        <v>2</v>
      </c>
      <c r="G34" s="41" t="n">
        <v>2</v>
      </c>
      <c r="H34" s="41" t="n">
        <v>3</v>
      </c>
      <c r="I34" s="41" t="n">
        <v>3</v>
      </c>
      <c r="J34" s="41" t="n">
        <v>3</v>
      </c>
      <c r="K34" s="41" t="n">
        <v>3</v>
      </c>
    </row>
    <row r="35" customFormat="false" ht="14.25" hidden="false" customHeight="true" outlineLevel="0" collapsed="false">
      <c r="A35" s="8" t="str">
        <f aca="false">parametros_manuales!$B$24</f>
        <v>Numerado de cúpula</v>
      </c>
      <c r="B35" s="41" t="n">
        <v>1</v>
      </c>
      <c r="C35" s="41" t="n">
        <v>1</v>
      </c>
      <c r="D35" s="41" t="n">
        <v>1</v>
      </c>
      <c r="E35" s="41" t="n">
        <v>1</v>
      </c>
      <c r="F35" s="41" t="n">
        <v>1</v>
      </c>
      <c r="G35" s="41" t="n">
        <v>1</v>
      </c>
      <c r="H35" s="41" t="n">
        <v>1</v>
      </c>
      <c r="I35" s="41" t="n">
        <v>1</v>
      </c>
      <c r="J35" s="41" t="n">
        <v>1</v>
      </c>
      <c r="K35" s="41" t="n">
        <v>1</v>
      </c>
    </row>
    <row r="36" customFormat="false" ht="14.25" hidden="false" customHeight="true" outlineLevel="0" collapsed="false">
      <c r="A36" s="8" t="str">
        <f aca="false">parametros_manuales!$B$25</f>
        <v>Soldadura del cuello a la cúpula</v>
      </c>
      <c r="B36" s="41" t="n">
        <v>1</v>
      </c>
      <c r="C36" s="41" t="n">
        <v>1</v>
      </c>
      <c r="D36" s="41" t="n">
        <v>1</v>
      </c>
      <c r="E36" s="41" t="n">
        <v>1</v>
      </c>
      <c r="F36" s="41" t="n">
        <v>1</v>
      </c>
      <c r="G36" s="41" t="n">
        <v>1</v>
      </c>
      <c r="H36" s="41" t="n">
        <v>1</v>
      </c>
      <c r="I36" s="41" t="n">
        <v>1</v>
      </c>
      <c r="J36" s="41" t="n">
        <v>1</v>
      </c>
      <c r="K36" s="41" t="n">
        <v>1</v>
      </c>
    </row>
    <row r="37" customFormat="false" ht="14.25" hidden="false" customHeight="true" outlineLevel="0" collapsed="false">
      <c r="A37" s="8" t="str">
        <f aca="false">parametros_manuales!$B$26</f>
        <v>Cilindrado</v>
      </c>
      <c r="B37" s="41" t="n">
        <v>1</v>
      </c>
      <c r="C37" s="41" t="n">
        <v>1</v>
      </c>
      <c r="D37" s="41" t="n">
        <v>1</v>
      </c>
      <c r="E37" s="41" t="n">
        <v>1</v>
      </c>
      <c r="F37" s="41" t="n">
        <v>1</v>
      </c>
      <c r="G37" s="41" t="n">
        <v>1</v>
      </c>
      <c r="H37" s="41" t="n">
        <v>1</v>
      </c>
      <c r="I37" s="41" t="n">
        <v>1</v>
      </c>
      <c r="J37" s="41" t="n">
        <v>1</v>
      </c>
      <c r="K37" s="41" t="n">
        <v>1</v>
      </c>
    </row>
    <row r="38" customFormat="false" ht="14.25" hidden="false" customHeight="true" outlineLevel="0" collapsed="false">
      <c r="A38" s="8" t="str">
        <f aca="false">parametros_manuales!$B$27</f>
        <v>Soldadura longitudinal</v>
      </c>
      <c r="B38" s="41" t="n">
        <v>1</v>
      </c>
      <c r="C38" s="41" t="n">
        <v>1</v>
      </c>
      <c r="D38" s="41" t="n">
        <v>1</v>
      </c>
      <c r="E38" s="41" t="n">
        <v>1</v>
      </c>
      <c r="F38" s="41" t="n">
        <v>1</v>
      </c>
      <c r="G38" s="41" t="n">
        <v>1</v>
      </c>
      <c r="H38" s="41" t="n">
        <v>2</v>
      </c>
      <c r="I38" s="41" t="n">
        <v>2</v>
      </c>
      <c r="J38" s="41" t="n">
        <v>2</v>
      </c>
      <c r="K38" s="41" t="n">
        <v>2</v>
      </c>
    </row>
    <row r="39" customFormat="false" ht="14.25" hidden="false" customHeight="true" outlineLevel="0" collapsed="false">
      <c r="A39" s="8" t="str">
        <f aca="false">parametros_manuales!$B$28</f>
        <v>Encastre de fondo</v>
      </c>
      <c r="B39" s="41" t="n">
        <v>1</v>
      </c>
      <c r="C39" s="41" t="n">
        <v>1</v>
      </c>
      <c r="D39" s="41" t="n">
        <v>1</v>
      </c>
      <c r="E39" s="41" t="n">
        <v>1</v>
      </c>
      <c r="F39" s="41" t="n">
        <v>1</v>
      </c>
      <c r="G39" s="41" t="n">
        <v>1</v>
      </c>
      <c r="H39" s="41" t="n">
        <v>2</v>
      </c>
      <c r="I39" s="41" t="n">
        <v>2</v>
      </c>
      <c r="J39" s="41" t="n">
        <v>2</v>
      </c>
      <c r="K39" s="41" t="n">
        <v>2</v>
      </c>
    </row>
    <row r="40" customFormat="false" ht="14.25" hidden="false" customHeight="true" outlineLevel="0" collapsed="false">
      <c r="A40" s="8" t="str">
        <f aca="false">parametros_manuales!$B$29</f>
        <v>Bordoneado</v>
      </c>
      <c r="B40" s="41" t="n">
        <v>1</v>
      </c>
      <c r="C40" s="41" t="n">
        <v>1</v>
      </c>
      <c r="D40" s="41" t="n">
        <v>1</v>
      </c>
      <c r="E40" s="41" t="n">
        <v>1</v>
      </c>
      <c r="F40" s="41" t="n">
        <v>1</v>
      </c>
      <c r="G40" s="41" t="n">
        <v>1</v>
      </c>
      <c r="H40" s="41" t="n">
        <v>1</v>
      </c>
      <c r="I40" s="41" t="n">
        <v>1</v>
      </c>
      <c r="J40" s="41" t="n">
        <v>1</v>
      </c>
      <c r="K40" s="41" t="n">
        <v>1</v>
      </c>
    </row>
    <row r="41" customFormat="false" ht="14.25" hidden="false" customHeight="true" outlineLevel="0" collapsed="false">
      <c r="A41" s="8" t="str">
        <f aca="false">parametros_manuales!$B$30</f>
        <v>Soldadura circunferencial de cúpula y fondo</v>
      </c>
      <c r="B41" s="41" t="n">
        <v>1</v>
      </c>
      <c r="C41" s="41" t="n">
        <v>1</v>
      </c>
      <c r="D41" s="41" t="n">
        <v>1</v>
      </c>
      <c r="E41" s="41" t="n">
        <v>1</v>
      </c>
      <c r="F41" s="41" t="n">
        <v>2</v>
      </c>
      <c r="G41" s="41" t="n">
        <v>2</v>
      </c>
      <c r="H41" s="41" t="n">
        <v>3</v>
      </c>
      <c r="I41" s="41" t="n">
        <v>3</v>
      </c>
      <c r="J41" s="41" t="n">
        <v>3</v>
      </c>
      <c r="K41" s="41" t="n">
        <v>3</v>
      </c>
    </row>
    <row r="42" customFormat="false" ht="14.25" hidden="false" customHeight="true" outlineLevel="0" collapsed="false">
      <c r="A42" s="8" t="str">
        <f aca="false">parametros_manuales!$B$31</f>
        <v>Control de calidad — Espesor</v>
      </c>
      <c r="B42" s="41" t="n">
        <v>1</v>
      </c>
      <c r="C42" s="41" t="n">
        <v>1</v>
      </c>
      <c r="D42" s="41" t="n">
        <v>1</v>
      </c>
      <c r="E42" s="41" t="n">
        <v>1</v>
      </c>
      <c r="F42" s="41" t="n">
        <v>1</v>
      </c>
      <c r="G42" s="41" t="n">
        <v>1</v>
      </c>
      <c r="H42" s="41" t="n">
        <v>1</v>
      </c>
      <c r="I42" s="41" t="n">
        <v>1</v>
      </c>
      <c r="J42" s="41" t="n">
        <v>1</v>
      </c>
      <c r="K42" s="41" t="n">
        <v>1</v>
      </c>
    </row>
    <row r="43" customFormat="false" ht="14.25" hidden="false" customHeight="true" outlineLevel="0" collapsed="false">
      <c r="A43" s="8" t="str">
        <f aca="false">parametros_manuales!$B$32</f>
        <v>Prueba hidráulica</v>
      </c>
      <c r="B43" s="41" t="n">
        <v>1</v>
      </c>
      <c r="C43" s="41" t="n">
        <v>1</v>
      </c>
      <c r="D43" s="41" t="n">
        <v>1</v>
      </c>
      <c r="E43" s="41" t="n">
        <v>1</v>
      </c>
      <c r="F43" s="41" t="n">
        <v>2</v>
      </c>
      <c r="G43" s="41" t="n">
        <v>2</v>
      </c>
      <c r="H43" s="41" t="n">
        <v>3</v>
      </c>
      <c r="I43" s="41" t="n">
        <v>3</v>
      </c>
      <c r="J43" s="41" t="n">
        <v>3</v>
      </c>
      <c r="K43" s="41" t="n">
        <v>3</v>
      </c>
    </row>
    <row r="44" customFormat="false" ht="14.25" hidden="false" customHeight="true" outlineLevel="0" collapsed="false">
      <c r="A44" s="8" t="str">
        <f aca="false">parametros_manuales!$B$33</f>
        <v>Secado</v>
      </c>
      <c r="B44" s="41" t="n">
        <v>1</v>
      </c>
      <c r="C44" s="41" t="n">
        <v>1</v>
      </c>
      <c r="D44" s="41" t="n">
        <v>1</v>
      </c>
      <c r="E44" s="41" t="n">
        <v>2</v>
      </c>
      <c r="F44" s="41" t="n">
        <v>3</v>
      </c>
      <c r="G44" s="41" t="n">
        <v>4</v>
      </c>
      <c r="H44" s="41" t="n">
        <v>5</v>
      </c>
      <c r="I44" s="41" t="n">
        <v>5</v>
      </c>
      <c r="J44" s="41" t="n">
        <v>5</v>
      </c>
      <c r="K44" s="41" t="n">
        <v>5</v>
      </c>
    </row>
    <row r="45" customFormat="false" ht="14.25" hidden="false" customHeight="true" outlineLevel="0" collapsed="false">
      <c r="A45" s="8" t="str">
        <f aca="false">parametros_manuales!$B$34</f>
        <v>Granallado</v>
      </c>
      <c r="B45" s="41" t="n">
        <v>1</v>
      </c>
      <c r="C45" s="41" t="n">
        <v>1</v>
      </c>
      <c r="D45" s="41" t="n">
        <v>1</v>
      </c>
      <c r="E45" s="41" t="n">
        <v>1</v>
      </c>
      <c r="F45" s="41" t="n">
        <v>1</v>
      </c>
      <c r="G45" s="41" t="n">
        <v>1</v>
      </c>
      <c r="H45" s="41" t="n">
        <v>2</v>
      </c>
      <c r="I45" s="41" t="n">
        <v>2</v>
      </c>
      <c r="J45" s="41" t="n">
        <v>2</v>
      </c>
      <c r="K45" s="41" t="n">
        <v>2</v>
      </c>
    </row>
    <row r="46" customFormat="false" ht="14.25" hidden="false" customHeight="true" outlineLevel="0" collapsed="false">
      <c r="A46" s="8" t="str">
        <f aca="false">parametros_manuales!$B$35</f>
        <v>Detección de defectos</v>
      </c>
      <c r="B46" s="41" t="n">
        <v>1</v>
      </c>
      <c r="C46" s="41" t="n">
        <v>1</v>
      </c>
      <c r="D46" s="41" t="n">
        <v>1</v>
      </c>
      <c r="E46" s="41" t="n">
        <v>1</v>
      </c>
      <c r="F46" s="41" t="n">
        <v>1</v>
      </c>
      <c r="G46" s="41" t="n">
        <v>1</v>
      </c>
      <c r="H46" s="41" t="n">
        <v>1</v>
      </c>
      <c r="I46" s="41" t="n">
        <v>1</v>
      </c>
      <c r="J46" s="41" t="n">
        <v>1</v>
      </c>
      <c r="K46" s="41" t="n">
        <v>1</v>
      </c>
    </row>
    <row r="47" customFormat="false" ht="14.25" hidden="false" customHeight="true" outlineLevel="0" collapsed="false">
      <c r="A47" s="8" t="str">
        <f aca="false">parametros_manuales!$B$36</f>
        <v>Corrección de defectos</v>
      </c>
      <c r="B47" s="41" t="n">
        <v>1</v>
      </c>
      <c r="C47" s="41" t="n">
        <v>1</v>
      </c>
      <c r="D47" s="41" t="n">
        <v>1</v>
      </c>
      <c r="E47" s="41" t="n">
        <v>1</v>
      </c>
      <c r="F47" s="41" t="n">
        <v>1</v>
      </c>
      <c r="G47" s="41" t="n">
        <v>1</v>
      </c>
      <c r="H47" s="41" t="n">
        <v>1</v>
      </c>
      <c r="I47" s="41" t="n">
        <v>1</v>
      </c>
      <c r="J47" s="41" t="n">
        <v>1</v>
      </c>
      <c r="K47" s="41" t="n">
        <v>1</v>
      </c>
    </row>
    <row r="48" customFormat="false" ht="14.25" hidden="false" customHeight="true" outlineLevel="0" collapsed="false">
      <c r="A48" s="8" t="str">
        <f aca="false">parametros_manuales!$B$37</f>
        <v>Pintura en polvo + horno</v>
      </c>
      <c r="B48" s="41" t="n">
        <v>0</v>
      </c>
      <c r="C48" s="41" t="n">
        <v>0</v>
      </c>
      <c r="D48" s="41" t="n">
        <v>0</v>
      </c>
      <c r="E48" s="41" t="n">
        <v>0</v>
      </c>
      <c r="F48" s="41" t="n">
        <v>1</v>
      </c>
      <c r="G48" s="41" t="n">
        <v>1</v>
      </c>
      <c r="H48" s="41" t="n">
        <v>1</v>
      </c>
      <c r="I48" s="41" t="n">
        <v>1</v>
      </c>
      <c r="J48" s="41" t="n">
        <v>1</v>
      </c>
      <c r="K48" s="41" t="n">
        <v>1</v>
      </c>
    </row>
    <row r="49" customFormat="false" ht="14.25" hidden="false" customHeight="true" outlineLevel="0" collapsed="false">
      <c r="A49" s="8" t="str">
        <f aca="false">parametros_manuales!$B$38</f>
        <v>Carga de polvo</v>
      </c>
      <c r="B49" s="41" t="n">
        <v>1</v>
      </c>
      <c r="C49" s="41" t="n">
        <v>1</v>
      </c>
      <c r="D49" s="41" t="n">
        <v>1</v>
      </c>
      <c r="E49" s="41" t="n">
        <v>1</v>
      </c>
      <c r="F49" s="41" t="n">
        <v>1</v>
      </c>
      <c r="G49" s="41" t="n">
        <v>1</v>
      </c>
      <c r="H49" s="41" t="n">
        <v>1</v>
      </c>
      <c r="I49" s="41" t="n">
        <v>1</v>
      </c>
      <c r="J49" s="41" t="n">
        <v>1</v>
      </c>
      <c r="K49" s="41" t="n">
        <v>1</v>
      </c>
    </row>
    <row r="50" customFormat="false" ht="14.25" hidden="false" customHeight="true" outlineLevel="0" collapsed="false">
      <c r="A50" s="8" t="str">
        <f aca="false">parametros_manuales!$B$39</f>
        <v>Ensamblaje</v>
      </c>
      <c r="B50" s="41" t="n">
        <v>1</v>
      </c>
      <c r="C50" s="41" t="n">
        <v>1</v>
      </c>
      <c r="D50" s="41" t="n">
        <v>1</v>
      </c>
      <c r="E50" s="41" t="n">
        <v>1</v>
      </c>
      <c r="F50" s="41" t="n">
        <v>1</v>
      </c>
      <c r="G50" s="41" t="n">
        <v>1</v>
      </c>
      <c r="H50" s="41" t="n">
        <v>1</v>
      </c>
      <c r="I50" s="41" t="n">
        <v>1</v>
      </c>
      <c r="J50" s="41" t="n">
        <v>1</v>
      </c>
      <c r="K50" s="41" t="n">
        <v>1</v>
      </c>
    </row>
    <row r="51" customFormat="false" ht="14.25" hidden="false" customHeight="true" outlineLevel="0" collapsed="false">
      <c r="A51" s="8" t="str">
        <f aca="false">parametros_manuales!$B$40</f>
        <v>Presurización</v>
      </c>
      <c r="B51" s="41" t="n">
        <v>1</v>
      </c>
      <c r="C51" s="41" t="n">
        <v>1</v>
      </c>
      <c r="D51" s="41" t="n">
        <v>1</v>
      </c>
      <c r="E51" s="41" t="n">
        <v>1</v>
      </c>
      <c r="F51" s="41" t="n">
        <v>1</v>
      </c>
      <c r="G51" s="41" t="n">
        <v>1</v>
      </c>
      <c r="H51" s="41" t="n">
        <v>1</v>
      </c>
      <c r="I51" s="41" t="n">
        <v>1</v>
      </c>
      <c r="J51" s="41" t="n">
        <v>1</v>
      </c>
      <c r="K51" s="41" t="n">
        <v>1</v>
      </c>
    </row>
    <row r="52" customFormat="false" ht="14.25" hidden="false" customHeight="true" outlineLevel="0" collapsed="false">
      <c r="A52" s="8" t="str">
        <f aca="false">parametros_manuales!$B$41</f>
        <v>Control de calidad — Ensayo de pérdidas</v>
      </c>
      <c r="B52" s="41" t="n">
        <v>1</v>
      </c>
      <c r="C52" s="41" t="n">
        <v>1</v>
      </c>
      <c r="D52" s="41" t="n">
        <v>1</v>
      </c>
      <c r="E52" s="41" t="n">
        <v>1</v>
      </c>
      <c r="F52" s="41" t="n">
        <v>1</v>
      </c>
      <c r="G52" s="41" t="n">
        <v>1</v>
      </c>
      <c r="H52" s="41" t="n">
        <v>1</v>
      </c>
      <c r="I52" s="41" t="n">
        <v>1</v>
      </c>
      <c r="J52" s="41" t="n">
        <v>1</v>
      </c>
      <c r="K52" s="41" t="n">
        <v>1</v>
      </c>
    </row>
    <row r="53" customFormat="false" ht="14.25" hidden="false" customHeight="true" outlineLevel="0" collapsed="false">
      <c r="A53" s="8" t="str">
        <f aca="false">parametros_manuales!$B$42</f>
        <v>Etiquetado</v>
      </c>
      <c r="B53" s="41" t="n">
        <v>1</v>
      </c>
      <c r="C53" s="41" t="n">
        <v>1</v>
      </c>
      <c r="D53" s="41" t="n">
        <v>1</v>
      </c>
      <c r="E53" s="41" t="n">
        <v>1</v>
      </c>
      <c r="F53" s="41" t="n">
        <v>1</v>
      </c>
      <c r="G53" s="41" t="n">
        <v>1</v>
      </c>
      <c r="H53" s="41" t="n">
        <v>1</v>
      </c>
      <c r="I53" s="41" t="n">
        <v>1</v>
      </c>
      <c r="J53" s="41" t="n">
        <v>1</v>
      </c>
      <c r="K53" s="41" t="n">
        <v>1</v>
      </c>
    </row>
    <row r="54" customFormat="false" ht="14.25" hidden="false" customHeight="true" outlineLevel="0" collapsed="false">
      <c r="A54" s="8" t="str">
        <f aca="false">parametros_manuales!$B$43</f>
        <v>Embalaje y paletizado</v>
      </c>
      <c r="B54" s="41" t="n">
        <v>1</v>
      </c>
      <c r="C54" s="41" t="n">
        <v>1</v>
      </c>
      <c r="D54" s="41" t="n">
        <v>1</v>
      </c>
      <c r="E54" s="41" t="n">
        <v>1</v>
      </c>
      <c r="F54" s="41" t="n">
        <v>1</v>
      </c>
      <c r="G54" s="41" t="n">
        <v>2</v>
      </c>
      <c r="H54" s="41" t="n">
        <v>2</v>
      </c>
      <c r="I54" s="41" t="n">
        <v>2</v>
      </c>
      <c r="J54" s="41" t="n">
        <v>2</v>
      </c>
      <c r="K54" s="41" t="n">
        <v>2</v>
      </c>
    </row>
    <row r="55" customFormat="false" ht="14.25" hidden="false" customHeight="true" outlineLevel="0" collapsed="false">
      <c r="A55" s="10" t="s">
        <v>211</v>
      </c>
      <c r="B55" s="55" t="n">
        <f aca="false">SUM(B30:B54)</f>
        <v>24</v>
      </c>
      <c r="C55" s="55" t="n">
        <f aca="false">SUM(C30:C54)</f>
        <v>24</v>
      </c>
      <c r="D55" s="55" t="n">
        <f aca="false">SUM(D30:D54)</f>
        <v>24</v>
      </c>
      <c r="E55" s="55" t="n">
        <f aca="false">SUM(E30:E54)</f>
        <v>25</v>
      </c>
      <c r="F55" s="55" t="n">
        <f aca="false">SUM(F30:F54)</f>
        <v>31</v>
      </c>
      <c r="G55" s="55" t="n">
        <f aca="false">SUM(G30:G54)</f>
        <v>34</v>
      </c>
      <c r="H55" s="55" t="n">
        <f aca="false">SUM(H30:H54)</f>
        <v>41</v>
      </c>
      <c r="I55" s="55" t="n">
        <f aca="false">SUM(I30:I54)</f>
        <v>41</v>
      </c>
      <c r="J55" s="55" t="n">
        <f aca="false">SUM(J30:J54)</f>
        <v>41</v>
      </c>
      <c r="K55" s="55" t="n">
        <f aca="false">SUM(K30:K54)</f>
        <v>41</v>
      </c>
    </row>
    <row r="56" customFormat="false" ht="14.25" hidden="false" customHeight="true" outlineLevel="0" collapsed="false"/>
    <row r="57" customFormat="false" ht="14.25" hidden="false" customHeight="true" outlineLevel="0" collapsed="false">
      <c r="A57" s="7" t="s">
        <v>212</v>
      </c>
      <c r="B57" s="7" t="n">
        <v>2026</v>
      </c>
      <c r="C57" s="7" t="n">
        <v>2027</v>
      </c>
      <c r="D57" s="7" t="n">
        <v>2028</v>
      </c>
      <c r="E57" s="7" t="n">
        <v>2029</v>
      </c>
      <c r="F57" s="7" t="n">
        <v>2030</v>
      </c>
      <c r="G57" s="7" t="n">
        <v>2031</v>
      </c>
      <c r="H57" s="7" t="n">
        <v>2032</v>
      </c>
      <c r="I57" s="7" t="n">
        <v>2033</v>
      </c>
      <c r="J57" s="7" t="n">
        <v>2034</v>
      </c>
      <c r="K57" s="7" t="n">
        <v>2035</v>
      </c>
    </row>
    <row r="58" customFormat="false" ht="14.25" hidden="false" customHeight="true" outlineLevel="0" collapsed="false">
      <c r="A58" s="8" t="str">
        <f aca="false">parametros_manuales!$B$19</f>
        <v>Recepción de materia prima</v>
      </c>
      <c r="B58" s="41" t="n">
        <v>1</v>
      </c>
      <c r="C58" s="41" t="n">
        <v>1</v>
      </c>
      <c r="D58" s="41" t="n">
        <v>1</v>
      </c>
      <c r="E58" s="41" t="n">
        <v>1</v>
      </c>
      <c r="F58" s="41" t="n">
        <v>1</v>
      </c>
      <c r="G58" s="41" t="n">
        <v>1</v>
      </c>
      <c r="H58" s="41" t="n">
        <v>2</v>
      </c>
      <c r="I58" s="41" t="n">
        <v>2</v>
      </c>
      <c r="J58" s="41" t="n">
        <v>2</v>
      </c>
      <c r="K58" s="41" t="n">
        <v>2</v>
      </c>
    </row>
    <row r="59" customFormat="false" ht="14.25" hidden="false" customHeight="true" outlineLevel="0" collapsed="false">
      <c r="A59" s="8" t="str">
        <f aca="false">parametros_manuales!$B$20</f>
        <v>Corte de chapa (guillotina) — 2,5 a 10 kg</v>
      </c>
      <c r="B59" s="41" t="n">
        <v>1</v>
      </c>
      <c r="C59" s="41" t="n">
        <v>1</v>
      </c>
      <c r="D59" s="41" t="n">
        <v>1</v>
      </c>
      <c r="E59" s="41" t="n">
        <v>1</v>
      </c>
      <c r="F59" s="41" t="n">
        <v>1</v>
      </c>
      <c r="G59" s="41" t="n">
        <v>1</v>
      </c>
      <c r="H59" s="41" t="n">
        <v>2</v>
      </c>
      <c r="I59" s="41" t="n">
        <v>2</v>
      </c>
      <c r="J59" s="41" t="n">
        <v>2</v>
      </c>
      <c r="K59" s="41" t="n">
        <v>2</v>
      </c>
    </row>
    <row r="60" customFormat="false" ht="14.25" hidden="false" customHeight="true" outlineLevel="0" collapsed="false">
      <c r="A60" s="8" t="str">
        <f aca="false">parametros_manuales!$B$21</f>
        <v>Corte de tubo — 1 kg</v>
      </c>
      <c r="B60" s="41" t="n">
        <v>1</v>
      </c>
      <c r="C60" s="41" t="n">
        <v>1</v>
      </c>
      <c r="D60" s="41" t="n">
        <v>1</v>
      </c>
      <c r="E60" s="41" t="n">
        <v>1</v>
      </c>
      <c r="F60" s="41" t="n">
        <v>1</v>
      </c>
      <c r="G60" s="41" t="n">
        <v>1</v>
      </c>
      <c r="H60" s="41" t="n">
        <v>2</v>
      </c>
      <c r="I60" s="41" t="n">
        <v>2</v>
      </c>
      <c r="J60" s="41" t="n">
        <v>2</v>
      </c>
      <c r="K60" s="41" t="n">
        <v>2</v>
      </c>
    </row>
    <row r="61" customFormat="false" ht="14.25" hidden="false" customHeight="true" outlineLevel="0" collapsed="false">
      <c r="A61" s="8" t="str">
        <f aca="false">parametros_manuales!$B$22</f>
        <v>Corte de disco y embutido (cúpula y fondo)</v>
      </c>
      <c r="B61" s="41" t="n">
        <v>1</v>
      </c>
      <c r="C61" s="41" t="n">
        <v>1</v>
      </c>
      <c r="D61" s="41" t="n">
        <v>1</v>
      </c>
      <c r="E61" s="41" t="n">
        <v>1</v>
      </c>
      <c r="F61" s="41" t="n">
        <v>1</v>
      </c>
      <c r="G61" s="41" t="n">
        <v>1</v>
      </c>
      <c r="H61" s="41" t="n">
        <v>2</v>
      </c>
      <c r="I61" s="41" t="n">
        <v>2</v>
      </c>
      <c r="J61" s="41" t="n">
        <v>2</v>
      </c>
      <c r="K61" s="41" t="n">
        <v>2</v>
      </c>
    </row>
    <row r="62" customFormat="false" ht="14.25" hidden="false" customHeight="true" outlineLevel="0" collapsed="false">
      <c r="A62" s="8" t="str">
        <f aca="false">parametros_manuales!$B$23</f>
        <v>Preparación de cuello</v>
      </c>
      <c r="B62" s="41" t="n">
        <v>1</v>
      </c>
      <c r="C62" s="41" t="n">
        <v>1</v>
      </c>
      <c r="D62" s="41" t="n">
        <v>1</v>
      </c>
      <c r="E62" s="41" t="n">
        <v>1</v>
      </c>
      <c r="F62" s="41" t="n">
        <v>1</v>
      </c>
      <c r="G62" s="41" t="n">
        <v>1</v>
      </c>
      <c r="H62" s="41" t="n">
        <v>2</v>
      </c>
      <c r="I62" s="41" t="n">
        <v>2</v>
      </c>
      <c r="J62" s="41" t="n">
        <v>2</v>
      </c>
      <c r="K62" s="41" t="n">
        <v>2</v>
      </c>
    </row>
    <row r="63" customFormat="false" ht="14.25" hidden="false" customHeight="true" outlineLevel="0" collapsed="false">
      <c r="A63" s="8" t="str">
        <f aca="false">parametros_manuales!$B$24</f>
        <v>Numerado de cúpula</v>
      </c>
      <c r="B63" s="41" t="n">
        <v>1</v>
      </c>
      <c r="C63" s="41" t="n">
        <v>1</v>
      </c>
      <c r="D63" s="41" t="n">
        <v>1</v>
      </c>
      <c r="E63" s="41" t="n">
        <v>1</v>
      </c>
      <c r="F63" s="41" t="n">
        <v>1</v>
      </c>
      <c r="G63" s="41" t="n">
        <v>1</v>
      </c>
      <c r="H63" s="41" t="n">
        <v>2</v>
      </c>
      <c r="I63" s="41" t="n">
        <v>2</v>
      </c>
      <c r="J63" s="41" t="n">
        <v>2</v>
      </c>
      <c r="K63" s="41" t="n">
        <v>2</v>
      </c>
    </row>
    <row r="64" customFormat="false" ht="14.25" hidden="false" customHeight="true" outlineLevel="0" collapsed="false">
      <c r="A64" s="8" t="str">
        <f aca="false">parametros_manuales!$B$25</f>
        <v>Soldadura del cuello a la cúpula</v>
      </c>
      <c r="B64" s="41" t="n">
        <v>1</v>
      </c>
      <c r="C64" s="41" t="n">
        <v>1</v>
      </c>
      <c r="D64" s="41" t="n">
        <v>1</v>
      </c>
      <c r="E64" s="41" t="n">
        <v>1</v>
      </c>
      <c r="F64" s="41" t="n">
        <v>1</v>
      </c>
      <c r="G64" s="41" t="n">
        <v>1</v>
      </c>
      <c r="H64" s="41" t="n">
        <v>2</v>
      </c>
      <c r="I64" s="41" t="n">
        <v>2</v>
      </c>
      <c r="J64" s="41" t="n">
        <v>2</v>
      </c>
      <c r="K64" s="41" t="n">
        <v>2</v>
      </c>
    </row>
    <row r="65" customFormat="false" ht="14.25" hidden="false" customHeight="true" outlineLevel="0" collapsed="false">
      <c r="A65" s="8" t="str">
        <f aca="false">parametros_manuales!$B$26</f>
        <v>Cilindrado</v>
      </c>
      <c r="B65" s="41" t="n">
        <v>1</v>
      </c>
      <c r="C65" s="41" t="n">
        <v>1</v>
      </c>
      <c r="D65" s="41" t="n">
        <v>1</v>
      </c>
      <c r="E65" s="41" t="n">
        <v>1</v>
      </c>
      <c r="F65" s="41" t="n">
        <v>1</v>
      </c>
      <c r="G65" s="41" t="n">
        <v>1</v>
      </c>
      <c r="H65" s="41" t="n">
        <v>2</v>
      </c>
      <c r="I65" s="41" t="n">
        <v>2</v>
      </c>
      <c r="J65" s="41" t="n">
        <v>2</v>
      </c>
      <c r="K65" s="41" t="n">
        <v>2</v>
      </c>
    </row>
    <row r="66" customFormat="false" ht="14.25" hidden="false" customHeight="true" outlineLevel="0" collapsed="false">
      <c r="A66" s="8" t="str">
        <f aca="false">parametros_manuales!$B$27</f>
        <v>Soldadura longitudinal</v>
      </c>
      <c r="B66" s="41" t="n">
        <v>1</v>
      </c>
      <c r="C66" s="41" t="n">
        <v>1</v>
      </c>
      <c r="D66" s="41" t="n">
        <v>1</v>
      </c>
      <c r="E66" s="41" t="n">
        <v>1</v>
      </c>
      <c r="F66" s="41" t="n">
        <v>1</v>
      </c>
      <c r="G66" s="41" t="n">
        <v>1</v>
      </c>
      <c r="H66" s="41" t="n">
        <v>2</v>
      </c>
      <c r="I66" s="41" t="n">
        <v>2</v>
      </c>
      <c r="J66" s="41" t="n">
        <v>2</v>
      </c>
      <c r="K66" s="41" t="n">
        <v>2</v>
      </c>
    </row>
    <row r="67" customFormat="false" ht="14.25" hidden="false" customHeight="true" outlineLevel="0" collapsed="false">
      <c r="A67" s="8" t="str">
        <f aca="false">parametros_manuales!$B$28</f>
        <v>Encastre de fondo</v>
      </c>
      <c r="B67" s="41" t="n">
        <v>1</v>
      </c>
      <c r="C67" s="41" t="n">
        <v>1</v>
      </c>
      <c r="D67" s="41" t="n">
        <v>1</v>
      </c>
      <c r="E67" s="41" t="n">
        <v>1</v>
      </c>
      <c r="F67" s="41" t="n">
        <v>1</v>
      </c>
      <c r="G67" s="41" t="n">
        <v>1</v>
      </c>
      <c r="H67" s="41" t="n">
        <v>2</v>
      </c>
      <c r="I67" s="41" t="n">
        <v>2</v>
      </c>
      <c r="J67" s="41" t="n">
        <v>2</v>
      </c>
      <c r="K67" s="41" t="n">
        <v>2</v>
      </c>
    </row>
    <row r="68" customFormat="false" ht="14.25" hidden="false" customHeight="true" outlineLevel="0" collapsed="false">
      <c r="A68" s="8" t="str">
        <f aca="false">parametros_manuales!$B$29</f>
        <v>Bordoneado</v>
      </c>
      <c r="B68" s="41" t="n">
        <v>1</v>
      </c>
      <c r="C68" s="41" t="n">
        <v>1</v>
      </c>
      <c r="D68" s="41" t="n">
        <v>1</v>
      </c>
      <c r="E68" s="41" t="n">
        <v>1</v>
      </c>
      <c r="F68" s="41" t="n">
        <v>1</v>
      </c>
      <c r="G68" s="41" t="n">
        <v>1</v>
      </c>
      <c r="H68" s="41" t="n">
        <v>2</v>
      </c>
      <c r="I68" s="41" t="n">
        <v>2</v>
      </c>
      <c r="J68" s="41" t="n">
        <v>2</v>
      </c>
      <c r="K68" s="41" t="n">
        <v>2</v>
      </c>
    </row>
    <row r="69" customFormat="false" ht="14.25" hidden="false" customHeight="true" outlineLevel="0" collapsed="false">
      <c r="A69" s="8" t="str">
        <f aca="false">parametros_manuales!$B$30</f>
        <v>Soldadura circunferencial de cúpula y fondo</v>
      </c>
      <c r="B69" s="41" t="n">
        <v>1</v>
      </c>
      <c r="C69" s="41" t="n">
        <v>1</v>
      </c>
      <c r="D69" s="41" t="n">
        <v>1</v>
      </c>
      <c r="E69" s="41" t="n">
        <v>1</v>
      </c>
      <c r="F69" s="41" t="n">
        <v>1</v>
      </c>
      <c r="G69" s="41" t="n">
        <v>1</v>
      </c>
      <c r="H69" s="41" t="n">
        <v>2</v>
      </c>
      <c r="I69" s="41" t="n">
        <v>2</v>
      </c>
      <c r="J69" s="41" t="n">
        <v>2</v>
      </c>
      <c r="K69" s="41" t="n">
        <v>2</v>
      </c>
    </row>
    <row r="70" customFormat="false" ht="14.25" hidden="false" customHeight="true" outlineLevel="0" collapsed="false">
      <c r="A70" s="8" t="str">
        <f aca="false">parametros_manuales!$B$31</f>
        <v>Control de calidad — Espesor</v>
      </c>
      <c r="B70" s="41" t="n">
        <v>1</v>
      </c>
      <c r="C70" s="41" t="n">
        <v>1</v>
      </c>
      <c r="D70" s="41" t="n">
        <v>1</v>
      </c>
      <c r="E70" s="41" t="n">
        <v>1</v>
      </c>
      <c r="F70" s="41" t="n">
        <v>1</v>
      </c>
      <c r="G70" s="41" t="n">
        <v>1</v>
      </c>
      <c r="H70" s="41" t="n">
        <v>1</v>
      </c>
      <c r="I70" s="41" t="n">
        <v>1</v>
      </c>
      <c r="J70" s="41" t="n">
        <v>1</v>
      </c>
      <c r="K70" s="41" t="n">
        <v>1</v>
      </c>
    </row>
    <row r="71" customFormat="false" ht="14.25" hidden="false" customHeight="true" outlineLevel="0" collapsed="false">
      <c r="A71" s="8" t="str">
        <f aca="false">parametros_manuales!$B$32</f>
        <v>Prueba hidráulica</v>
      </c>
      <c r="B71" s="41" t="n">
        <v>1</v>
      </c>
      <c r="C71" s="41" t="n">
        <v>1</v>
      </c>
      <c r="D71" s="41" t="n">
        <v>1</v>
      </c>
      <c r="E71" s="41" t="n">
        <v>1</v>
      </c>
      <c r="F71" s="41" t="n">
        <v>1</v>
      </c>
      <c r="G71" s="41" t="n">
        <v>1</v>
      </c>
      <c r="H71" s="41" t="n">
        <v>2</v>
      </c>
      <c r="I71" s="41" t="n">
        <v>2</v>
      </c>
      <c r="J71" s="41" t="n">
        <v>2</v>
      </c>
      <c r="K71" s="41" t="n">
        <v>2</v>
      </c>
    </row>
    <row r="72" customFormat="false" ht="14.25" hidden="false" customHeight="true" outlineLevel="0" collapsed="false">
      <c r="A72" s="8" t="str">
        <f aca="false">parametros_manuales!$B$33</f>
        <v>Secado</v>
      </c>
      <c r="B72" s="41" t="n">
        <v>1</v>
      </c>
      <c r="C72" s="41" t="n">
        <v>1</v>
      </c>
      <c r="D72" s="41" t="n">
        <v>1</v>
      </c>
      <c r="E72" s="41" t="n">
        <v>1</v>
      </c>
      <c r="F72" s="41" t="n">
        <v>1</v>
      </c>
      <c r="G72" s="41" t="n">
        <v>1</v>
      </c>
      <c r="H72" s="41" t="n">
        <v>2</v>
      </c>
      <c r="I72" s="41" t="n">
        <v>2</v>
      </c>
      <c r="J72" s="41" t="n">
        <v>2</v>
      </c>
      <c r="K72" s="41" t="n">
        <v>2</v>
      </c>
    </row>
    <row r="73" customFormat="false" ht="14.25" hidden="false" customHeight="true" outlineLevel="0" collapsed="false">
      <c r="A73" s="8" t="str">
        <f aca="false">parametros_manuales!$B$34</f>
        <v>Granallado</v>
      </c>
      <c r="B73" s="41" t="n">
        <v>1</v>
      </c>
      <c r="C73" s="41" t="n">
        <v>1</v>
      </c>
      <c r="D73" s="41" t="n">
        <v>1</v>
      </c>
      <c r="E73" s="41" t="n">
        <v>1</v>
      </c>
      <c r="F73" s="41" t="n">
        <v>1</v>
      </c>
      <c r="G73" s="41" t="n">
        <v>1</v>
      </c>
      <c r="H73" s="41" t="n">
        <v>2</v>
      </c>
      <c r="I73" s="41" t="n">
        <v>2</v>
      </c>
      <c r="J73" s="41" t="n">
        <v>2</v>
      </c>
      <c r="K73" s="41" t="n">
        <v>2</v>
      </c>
    </row>
    <row r="74" customFormat="false" ht="14.25" hidden="false" customHeight="true" outlineLevel="0" collapsed="false">
      <c r="A74" s="8" t="str">
        <f aca="false">parametros_manuales!$B$35</f>
        <v>Detección de defectos</v>
      </c>
      <c r="B74" s="41" t="n">
        <v>1</v>
      </c>
      <c r="C74" s="41" t="n">
        <v>1</v>
      </c>
      <c r="D74" s="41" t="n">
        <v>1</v>
      </c>
      <c r="E74" s="41" t="n">
        <v>1</v>
      </c>
      <c r="F74" s="41" t="n">
        <v>1</v>
      </c>
      <c r="G74" s="41" t="n">
        <v>1</v>
      </c>
      <c r="H74" s="41" t="n">
        <v>2</v>
      </c>
      <c r="I74" s="41" t="n">
        <v>2</v>
      </c>
      <c r="J74" s="41" t="n">
        <v>2</v>
      </c>
      <c r="K74" s="41" t="n">
        <v>2</v>
      </c>
    </row>
    <row r="75" customFormat="false" ht="14.25" hidden="false" customHeight="true" outlineLevel="0" collapsed="false">
      <c r="A75" s="8" t="str">
        <f aca="false">parametros_manuales!$B$36</f>
        <v>Corrección de defectos</v>
      </c>
      <c r="B75" s="41" t="n">
        <v>1</v>
      </c>
      <c r="C75" s="41" t="n">
        <v>1</v>
      </c>
      <c r="D75" s="41" t="n">
        <v>1</v>
      </c>
      <c r="E75" s="41" t="n">
        <v>1</v>
      </c>
      <c r="F75" s="41" t="n">
        <v>1</v>
      </c>
      <c r="G75" s="41" t="n">
        <v>1</v>
      </c>
      <c r="H75" s="41" t="n">
        <v>1</v>
      </c>
      <c r="I75" s="41" t="n">
        <v>1</v>
      </c>
      <c r="J75" s="41" t="n">
        <v>1</v>
      </c>
      <c r="K75" s="41" t="n">
        <v>1</v>
      </c>
    </row>
    <row r="76" customFormat="false" ht="14.25" hidden="false" customHeight="true" outlineLevel="0" collapsed="false">
      <c r="A76" s="8" t="str">
        <f aca="false">parametros_manuales!$B$37</f>
        <v>Pintura en polvo + horno</v>
      </c>
      <c r="B76" s="41" t="n">
        <v>1</v>
      </c>
      <c r="C76" s="41" t="n">
        <v>1</v>
      </c>
      <c r="D76" s="41" t="n">
        <v>1</v>
      </c>
      <c r="E76" s="41" t="n">
        <v>1</v>
      </c>
      <c r="F76" s="41" t="n">
        <v>1</v>
      </c>
      <c r="G76" s="41" t="n">
        <v>1</v>
      </c>
      <c r="H76" s="41" t="n">
        <v>2</v>
      </c>
      <c r="I76" s="41" t="n">
        <v>2</v>
      </c>
      <c r="J76" s="41" t="n">
        <v>2</v>
      </c>
      <c r="K76" s="41" t="n">
        <v>2</v>
      </c>
    </row>
    <row r="77" customFormat="false" ht="14.25" hidden="false" customHeight="true" outlineLevel="0" collapsed="false">
      <c r="A77" s="8" t="str">
        <f aca="false">parametros_manuales!$B$38</f>
        <v>Carga de polvo</v>
      </c>
      <c r="B77" s="41" t="n">
        <v>1</v>
      </c>
      <c r="C77" s="41" t="n">
        <v>1</v>
      </c>
      <c r="D77" s="41" t="n">
        <v>1</v>
      </c>
      <c r="E77" s="41" t="n">
        <v>1</v>
      </c>
      <c r="F77" s="41" t="n">
        <v>1</v>
      </c>
      <c r="G77" s="41" t="n">
        <v>1</v>
      </c>
      <c r="H77" s="41" t="n">
        <v>1</v>
      </c>
      <c r="I77" s="41" t="n">
        <v>1</v>
      </c>
      <c r="J77" s="41" t="n">
        <v>1</v>
      </c>
      <c r="K77" s="41" t="n">
        <v>1</v>
      </c>
    </row>
    <row r="78" customFormat="false" ht="14.25" hidden="false" customHeight="true" outlineLevel="0" collapsed="false">
      <c r="A78" s="8" t="str">
        <f aca="false">parametros_manuales!$B$39</f>
        <v>Ensamblaje</v>
      </c>
      <c r="B78" s="41" t="n">
        <v>1</v>
      </c>
      <c r="C78" s="41" t="n">
        <v>1</v>
      </c>
      <c r="D78" s="41" t="n">
        <v>1</v>
      </c>
      <c r="E78" s="41" t="n">
        <v>1</v>
      </c>
      <c r="F78" s="41" t="n">
        <v>1</v>
      </c>
      <c r="G78" s="41" t="n">
        <v>1</v>
      </c>
      <c r="H78" s="41" t="n">
        <v>2</v>
      </c>
      <c r="I78" s="41" t="n">
        <v>2</v>
      </c>
      <c r="J78" s="41" t="n">
        <v>2</v>
      </c>
      <c r="K78" s="41" t="n">
        <v>2</v>
      </c>
    </row>
    <row r="79" customFormat="false" ht="14.25" hidden="false" customHeight="true" outlineLevel="0" collapsed="false">
      <c r="A79" s="8" t="str">
        <f aca="false">parametros_manuales!$B$40</f>
        <v>Presurización</v>
      </c>
      <c r="B79" s="41" t="n">
        <v>1</v>
      </c>
      <c r="C79" s="41" t="n">
        <v>1</v>
      </c>
      <c r="D79" s="41" t="n">
        <v>1</v>
      </c>
      <c r="E79" s="41" t="n">
        <v>1</v>
      </c>
      <c r="F79" s="41" t="n">
        <v>1</v>
      </c>
      <c r="G79" s="41" t="n">
        <v>1</v>
      </c>
      <c r="H79" s="41" t="n">
        <v>1</v>
      </c>
      <c r="I79" s="41" t="n">
        <v>1</v>
      </c>
      <c r="J79" s="41" t="n">
        <v>1</v>
      </c>
      <c r="K79" s="41" t="n">
        <v>1</v>
      </c>
    </row>
    <row r="80" customFormat="false" ht="14.25" hidden="false" customHeight="true" outlineLevel="0" collapsed="false">
      <c r="A80" s="8" t="str">
        <f aca="false">parametros_manuales!$B$41</f>
        <v>Control de calidad — Ensayo de pérdidas</v>
      </c>
      <c r="B80" s="41" t="n">
        <v>1</v>
      </c>
      <c r="C80" s="41" t="n">
        <v>1</v>
      </c>
      <c r="D80" s="41" t="n">
        <v>1</v>
      </c>
      <c r="E80" s="41" t="n">
        <v>1</v>
      </c>
      <c r="F80" s="41" t="n">
        <v>1</v>
      </c>
      <c r="G80" s="41" t="n">
        <v>1</v>
      </c>
      <c r="H80" s="41" t="n">
        <v>2</v>
      </c>
      <c r="I80" s="41" t="n">
        <v>2</v>
      </c>
      <c r="J80" s="41" t="n">
        <v>2</v>
      </c>
      <c r="K80" s="41" t="n">
        <v>2</v>
      </c>
    </row>
    <row r="81" customFormat="false" ht="14.25" hidden="false" customHeight="true" outlineLevel="0" collapsed="false">
      <c r="A81" s="8" t="str">
        <f aca="false">parametros_manuales!$B$42</f>
        <v>Etiquetado</v>
      </c>
      <c r="B81" s="41" t="n">
        <v>1</v>
      </c>
      <c r="C81" s="41" t="n">
        <v>1</v>
      </c>
      <c r="D81" s="41" t="n">
        <v>1</v>
      </c>
      <c r="E81" s="41" t="n">
        <v>1</v>
      </c>
      <c r="F81" s="41" t="n">
        <v>1</v>
      </c>
      <c r="G81" s="41" t="n">
        <v>1</v>
      </c>
      <c r="H81" s="41" t="n">
        <v>2</v>
      </c>
      <c r="I81" s="41" t="n">
        <v>2</v>
      </c>
      <c r="J81" s="41" t="n">
        <v>2</v>
      </c>
      <c r="K81" s="41" t="n">
        <v>2</v>
      </c>
    </row>
    <row r="82" customFormat="false" ht="14.25" hidden="false" customHeight="true" outlineLevel="0" collapsed="false">
      <c r="A82" s="8" t="str">
        <f aca="false">parametros_manuales!$B$43</f>
        <v>Embalaje y paletizado</v>
      </c>
      <c r="B82" s="41" t="n">
        <v>1</v>
      </c>
      <c r="C82" s="41" t="n">
        <v>1</v>
      </c>
      <c r="D82" s="41" t="n">
        <v>1</v>
      </c>
      <c r="E82" s="41" t="n">
        <v>1</v>
      </c>
      <c r="F82" s="41" t="n">
        <v>1</v>
      </c>
      <c r="G82" s="41" t="n">
        <v>1</v>
      </c>
      <c r="H82" s="41" t="n">
        <v>2</v>
      </c>
      <c r="I82" s="41" t="n">
        <v>2</v>
      </c>
      <c r="J82" s="41" t="n">
        <v>2</v>
      </c>
      <c r="K82" s="41" t="n">
        <v>2</v>
      </c>
    </row>
    <row r="83" customFormat="false" ht="14.25" hidden="false" customHeight="true" outlineLevel="0" collapsed="false">
      <c r="A83" s="10" t="s">
        <v>213</v>
      </c>
      <c r="B83" s="55" t="n">
        <f aca="false">MAX(B58:B82)</f>
        <v>1</v>
      </c>
      <c r="C83" s="55" t="n">
        <f aca="false">MAX(C58:C82)</f>
        <v>1</v>
      </c>
      <c r="D83" s="55" t="n">
        <f aca="false">MAX(D58:D82)</f>
        <v>1</v>
      </c>
      <c r="E83" s="55" t="n">
        <f aca="false">MAX(E58:E82)</f>
        <v>1</v>
      </c>
      <c r="F83" s="55" t="n">
        <f aca="false">MAX(F58:F82)</f>
        <v>1</v>
      </c>
      <c r="G83" s="55" t="n">
        <f aca="false">MAX(G58:G82)</f>
        <v>1</v>
      </c>
      <c r="H83" s="55" t="n">
        <f aca="false">MAX(H58:H82)</f>
        <v>2</v>
      </c>
      <c r="I83" s="55" t="n">
        <f aca="false">MAX(I58:I82)</f>
        <v>2</v>
      </c>
      <c r="J83" s="55" t="n">
        <f aca="false">MAX(J58:J82)</f>
        <v>2</v>
      </c>
      <c r="K83" s="55" t="n">
        <f aca="false">MAX(K58:K82)</f>
        <v>2</v>
      </c>
    </row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conditionalFormatting sqref="B2:B26">
    <cfRule type="expression" priority="2" aboveAverage="0" equalAverage="0" bottom="0" percent="0" rank="0" text="" dxfId="0">
      <formula>B2&gt;$N$13</formula>
    </cfRule>
    <cfRule type="expression" priority="3" aboveAverage="0" equalAverage="0" bottom="0" percent="0" rank="0" text="" dxfId="1">
      <formula>B30=0</formula>
    </cfRule>
    <cfRule type="expression" priority="4" aboveAverage="0" equalAverage="0" bottom="0" percent="0" rank="0" text="" dxfId="2">
      <formula>B58&gt;1</formula>
    </cfRule>
    <cfRule type="expression" priority="5" aboveAverage="0" equalAverage="0" bottom="0" percent="0" rank="0" text="" dxfId="3">
      <formula>AND(B30&gt;1,$L2&lt;&gt;"Manual")</formula>
    </cfRule>
    <cfRule type="expression" priority="6" aboveAverage="0" equalAverage="0" bottom="0" percent="0" rank="0" text="" dxfId="4">
      <formula>AND(B30&gt;1,$L2="Manual")</formula>
    </cfRule>
  </conditionalFormatting>
  <conditionalFormatting sqref="C2:K26">
    <cfRule type="expression" priority="7" aboveAverage="0" equalAverage="0" bottom="0" percent="0" rank="0" text="" dxfId="0">
      <formula>C2&gt;$N$13</formula>
    </cfRule>
    <cfRule type="expression" priority="8" aboveAverage="0" equalAverage="0" bottom="0" percent="0" rank="0" text="" dxfId="1">
      <formula>C30=0</formula>
    </cfRule>
    <cfRule type="expression" priority="9" aboveAverage="0" equalAverage="0" bottom="0" percent="0" rank="0" text="" dxfId="2">
      <formula>C58&gt;B58</formula>
    </cfRule>
    <cfRule type="expression" priority="10" aboveAverage="0" equalAverage="0" bottom="0" percent="0" rank="0" text="" dxfId="3">
      <formula>AND(C30&gt;B30,$L2&lt;&gt;"Manual")</formula>
    </cfRule>
    <cfRule type="expression" priority="11" aboveAverage="0" equalAverage="0" bottom="0" percent="0" rank="0" text="" dxfId="4">
      <formula>AND(C30&gt;B30,$L2="Manual")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14" min="2" style="1" width="9"/>
    <col collapsed="false" customWidth="true" hidden="false" outlineLevel="0" max="16" min="15" style="1" width="12"/>
    <col collapsed="false" customWidth="true" hidden="false" outlineLevel="0" max="17" min="17" style="1" width="9"/>
    <col collapsed="false" customWidth="true" hidden="false" outlineLevel="0" max="19" min="18" style="1" width="8.57"/>
  </cols>
  <sheetData>
    <row r="1" customFormat="false" ht="14.25" hidden="false" customHeight="true" outlineLevel="0" collapsed="false">
      <c r="A1" s="7" t="s">
        <v>187</v>
      </c>
      <c r="B1" s="7" t="s">
        <v>61</v>
      </c>
      <c r="C1" s="7" t="s">
        <v>62</v>
      </c>
      <c r="D1" s="7" t="s">
        <v>63</v>
      </c>
      <c r="E1" s="7" t="s">
        <v>64</v>
      </c>
      <c r="F1" s="7" t="s">
        <v>65</v>
      </c>
      <c r="G1" s="7" t="s">
        <v>66</v>
      </c>
      <c r="H1" s="7" t="s">
        <v>67</v>
      </c>
      <c r="I1" s="7" t="s">
        <v>68</v>
      </c>
      <c r="J1" s="7" t="s">
        <v>69</v>
      </c>
      <c r="K1" s="7" t="s">
        <v>70</v>
      </c>
      <c r="L1" s="7" t="s">
        <v>71</v>
      </c>
      <c r="M1" s="7" t="s">
        <v>72</v>
      </c>
      <c r="N1" s="7" t="s">
        <v>183</v>
      </c>
      <c r="O1" s="7" t="s">
        <v>188</v>
      </c>
      <c r="P1" s="7" t="s">
        <v>189</v>
      </c>
      <c r="Q1" s="7" t="s">
        <v>190</v>
      </c>
      <c r="S1" s="56" t="s">
        <v>214</v>
      </c>
    </row>
    <row r="2" customFormat="false" ht="14.25" hidden="false" customHeight="true" outlineLevel="0" collapsed="false">
      <c r="A2" s="8" t="str">
        <f aca="false">parametros_manuales!$B$19</f>
        <v>Recepción de materia prima</v>
      </c>
      <c r="B2" s="9" t="n">
        <f aca="false">(parametros_manuales!$D$19*(datos_base!$B$2+datos_base!$B$18+IF(parametros_manuales!$H$19="Todos",datos_base!$B$9+datos_base!$B$23,0))*parametros_manuales!$B$95+parametros_manuales!$E$19*(datos_base!$B$3+datos_base!$B$19+IF(parametros_manuales!$H$19="Todos",datos_base!$B$10+datos_base!$B$24,0))*parametros_manuales!$B$100+parametros_manuales!$F$19*(datos_base!$B$4+datos_base!$B$20+IF(parametros_manuales!$H$19="Todos",datos_base!$B$11+datos_base!$B$25,0))*parametros_manuales!$B$105+parametros_manuales!$G$19*(datos_base!$B$5+datos_base!$B$21+IF(parametros_manuales!$H$19="Todos",datos_base!$B$12+datos_base!$B$26,0))*parametros_manuales!$B$110)*parametros_manuales!$I$19*parametros_manuales!$J$19</f>
        <v>617.8835796057</v>
      </c>
      <c r="C2" s="9" t="n">
        <f aca="false">(parametros_manuales!$D$19*(datos_base!$B$2+datos_base!$B$18+IF(parametros_manuales!$H$19="Todos",datos_base!$B$9+datos_base!$B$23,0))*parametros_manuales!$C$95+parametros_manuales!$E$19*(datos_base!$B$3+datos_base!$B$19+IF(parametros_manuales!$H$19="Todos",datos_base!$B$10+datos_base!$B$24,0))*parametros_manuales!$C$100+parametros_manuales!$F$19*(datos_base!$B$4+datos_base!$B$20+IF(parametros_manuales!$H$19="Todos",datos_base!$B$11+datos_base!$B$25,0))*parametros_manuales!$C$105+parametros_manuales!$G$19*(datos_base!$B$5+datos_base!$B$21+IF(parametros_manuales!$H$19="Todos",datos_base!$B$12+datos_base!$B$26,0))*parametros_manuales!$C$110)*parametros_manuales!$I$19*parametros_manuales!$J$19</f>
        <v>591.0172139684</v>
      </c>
      <c r="D2" s="9" t="n">
        <f aca="false">(parametros_manuales!$D$19*(datos_base!$B$2+datos_base!$B$18+IF(parametros_manuales!$H$19="Todos",datos_base!$B$9+datos_base!$B$23,0))*parametros_manuales!$D$95+parametros_manuales!$E$19*(datos_base!$B$3+datos_base!$B$19+IF(parametros_manuales!$H$19="Todos",datos_base!$B$10+datos_base!$B$24,0))*parametros_manuales!$D$100+parametros_manuales!$F$19*(datos_base!$B$4+datos_base!$B$20+IF(parametros_manuales!$H$19="Todos",datos_base!$B$11+datos_base!$B$25,0))*parametros_manuales!$D$105+parametros_manuales!$G$19*(datos_base!$B$5+datos_base!$B$21+IF(parametros_manuales!$H$19="Todos",datos_base!$B$12+datos_base!$B$26,0))*parametros_manuales!$D$110)*parametros_manuales!$I$19*parametros_manuales!$J$19</f>
        <v>562.66303135705</v>
      </c>
      <c r="E2" s="9" t="n">
        <f aca="false">(parametros_manuales!$D$19*(datos_base!$B$2+datos_base!$B$18+IF(parametros_manuales!$H$19="Todos",datos_base!$B$9+datos_base!$B$23,0))*parametros_manuales!$E$95+parametros_manuales!$E$19*(datos_base!$B$3+datos_base!$B$19+IF(parametros_manuales!$H$19="Todos",datos_base!$B$10+datos_base!$B$24,0))*parametros_manuales!$E$100+parametros_manuales!$F$19*(datos_base!$B$4+datos_base!$B$20+IF(parametros_manuales!$H$19="Todos",datos_base!$B$11+datos_base!$B$25,0))*parametros_manuales!$E$105+parametros_manuales!$G$19*(datos_base!$B$5+datos_base!$B$21+IF(parametros_manuales!$H$19="Todos",datos_base!$B$12+datos_base!$B$26,0))*parametros_manuales!$E$110)*parametros_manuales!$I$19*parametros_manuales!$J$19</f>
        <v>541.76934864205</v>
      </c>
      <c r="F2" s="9" t="n">
        <f aca="false">(parametros_manuales!$D$19*(datos_base!$B$2+datos_base!$B$18+IF(parametros_manuales!$H$19="Todos",datos_base!$B$9+datos_base!$B$23,0))*parametros_manuales!$F$95+parametros_manuales!$E$19*(datos_base!$B$3+datos_base!$B$19+IF(parametros_manuales!$H$19="Todos",datos_base!$B$10+datos_base!$B$24,0))*parametros_manuales!$F$100+parametros_manuales!$F$19*(datos_base!$B$4+datos_base!$B$20+IF(parametros_manuales!$H$19="Todos",datos_base!$B$11+datos_base!$B$25,0))*parametros_manuales!$F$105+parametros_manuales!$G$19*(datos_base!$B$5+datos_base!$B$21+IF(parametros_manuales!$H$19="Todos",datos_base!$B$12+datos_base!$B$26,0))*parametros_manuales!$F$110)*parametros_manuales!$I$19*parametros_manuales!$J$19</f>
        <v>507.4424831084</v>
      </c>
      <c r="G2" s="9" t="n">
        <f aca="false">(parametros_manuales!$D$19*(datos_base!$B$2+datos_base!$B$18+IF(parametros_manuales!$H$19="Todos",datos_base!$B$9+datos_base!$B$23,0))*parametros_manuales!$G$95+parametros_manuales!$E$19*(datos_base!$B$3+datos_base!$B$19+IF(parametros_manuales!$H$19="Todos",datos_base!$B$10+datos_base!$B$24,0))*parametros_manuales!$G$100+parametros_manuales!$F$19*(datos_base!$B$4+datos_base!$B$20+IF(parametros_manuales!$H$19="Todos",datos_base!$B$11+datos_base!$B$25,0))*parametros_manuales!$G$105+parametros_manuales!$G$19*(datos_base!$B$5+datos_base!$B$21+IF(parametros_manuales!$H$19="Todos",datos_base!$B$12+datos_base!$B$26,0))*parametros_manuales!$G$110)*parametros_manuales!$I$19*parametros_manuales!$J$19</f>
        <v>494.00930028975</v>
      </c>
      <c r="H2" s="9" t="n">
        <f aca="false">(parametros_manuales!$D$19*(datos_base!$B$2+datos_base!$B$18+IF(parametros_manuales!$H$19="Todos",datos_base!$B$9+datos_base!$B$23,0))*parametros_manuales!$H$95+parametros_manuales!$E$19*(datos_base!$B$3+datos_base!$B$19+IF(parametros_manuales!$H$19="Todos",datos_base!$B$10+datos_base!$B$24,0))*parametros_manuales!$H$100+parametros_manuales!$F$19*(datos_base!$B$4+datos_base!$B$20+IF(parametros_manuales!$H$19="Todos",datos_base!$B$11+datos_base!$B$25,0))*parametros_manuales!$H$105+parametros_manuales!$G$19*(datos_base!$B$5+datos_base!$B$21+IF(parametros_manuales!$H$19="Todos",datos_base!$B$12+datos_base!$B$26,0))*parametros_manuales!$H$110)*parametros_manuales!$I$19*parametros_manuales!$J$19</f>
        <v>528.3361658234</v>
      </c>
      <c r="I2" s="9" t="n">
        <f aca="false">(parametros_manuales!$D$19*(datos_base!$B$2+datos_base!$B$18+IF(parametros_manuales!$H$19="Todos",datos_base!$B$9+datos_base!$B$23,0))*parametros_manuales!$I$95+parametros_manuales!$E$19*(datos_base!$B$3+datos_base!$B$19+IF(parametros_manuales!$H$19="Todos",datos_base!$B$10+datos_base!$B$24,0))*parametros_manuales!$I$100+parametros_manuales!$F$19*(datos_base!$B$4+datos_base!$B$20+IF(parametros_manuales!$H$19="Todos",datos_base!$B$11+datos_base!$B$25,0))*parametros_manuales!$I$105+parametros_manuales!$G$19*(datos_base!$B$5+datos_base!$B$21+IF(parametros_manuales!$H$19="Todos",datos_base!$B$12+datos_base!$B$26,0))*parametros_manuales!$I$110)*parametros_manuales!$I$19*parametros_manuales!$J$19</f>
        <v>591.0172139684</v>
      </c>
      <c r="J2" s="9" t="n">
        <f aca="false">(parametros_manuales!$D$19*(datos_base!$B$2+datos_base!$B$18+IF(parametros_manuales!$H$19="Todos",datos_base!$B$9+datos_base!$B$23,0))*parametros_manuales!$J$95+parametros_manuales!$E$19*(datos_base!$B$3+datos_base!$B$19+IF(parametros_manuales!$H$19="Todos",datos_base!$B$10+datos_base!$B$24,0))*parametros_manuales!$J$100+parametros_manuales!$F$19*(datos_base!$B$4+datos_base!$B$20+IF(parametros_manuales!$H$19="Todos",datos_base!$B$11+datos_base!$B$25,0))*parametros_manuales!$J$105+parametros_manuales!$G$19*(datos_base!$B$5+datos_base!$B$21+IF(parametros_manuales!$H$19="Todos",datos_base!$B$12+datos_base!$B$26,0))*parametros_manuales!$J$110)*parametros_manuales!$I$19*parametros_manuales!$J$19</f>
        <v>591.0172139684</v>
      </c>
      <c r="K2" s="9" t="n">
        <f aca="false">(parametros_manuales!$D$19*(datos_base!$B$2+datos_base!$B$18+IF(parametros_manuales!$H$19="Todos",datos_base!$B$9+datos_base!$B$23,0))*parametros_manuales!$K$95+parametros_manuales!$E$19*(datos_base!$B$3+datos_base!$B$19+IF(parametros_manuales!$H$19="Todos",datos_base!$B$10+datos_base!$B$24,0))*parametros_manuales!$K$100+parametros_manuales!$F$19*(datos_base!$B$4+datos_base!$B$20+IF(parametros_manuales!$H$19="Todos",datos_base!$B$11+datos_base!$B$25,0))*parametros_manuales!$K$105+parametros_manuales!$G$19*(datos_base!$B$5+datos_base!$B$21+IF(parametros_manuales!$H$19="Todos",datos_base!$B$12+datos_base!$B$26,0))*parametros_manuales!$K$110)*parametros_manuales!$I$19*parametros_manuales!$J$19</f>
        <v>604.45039678705</v>
      </c>
      <c r="L2" s="9" t="n">
        <f aca="false">(parametros_manuales!$D$19*(datos_base!$B$2+datos_base!$B$18+IF(parametros_manuales!$H$19="Todos",datos_base!$B$9+datos_base!$B$23,0))*parametros_manuales!$L$95+parametros_manuales!$E$19*(datos_base!$B$3+datos_base!$B$19+IF(parametros_manuales!$H$19="Todos",datos_base!$B$10+datos_base!$B$24,0))*parametros_manuales!$L$100+parametros_manuales!$F$19*(datos_base!$B$4+datos_base!$B$20+IF(parametros_manuales!$H$19="Todos",datos_base!$B$11+datos_base!$B$25,0))*parametros_manuales!$L$105+parametros_manuales!$G$19*(datos_base!$B$5+datos_base!$B$21+IF(parametros_manuales!$H$19="Todos",datos_base!$B$12+datos_base!$B$26,0))*parametros_manuales!$L$110)*parametros_manuales!$I$19*parametros_manuales!$J$19</f>
        <v>617.8835796057</v>
      </c>
      <c r="M2" s="9" t="n">
        <f aca="false">(parametros_manuales!$D$19*(datos_base!$B$2+datos_base!$B$18+IF(parametros_manuales!$H$19="Todos",datos_base!$B$9+datos_base!$B$23,0))*parametros_manuales!$M$95+parametros_manuales!$E$19*(datos_base!$B$3+datos_base!$B$19+IF(parametros_manuales!$H$19="Todos",datos_base!$B$10+datos_base!$B$24,0))*parametros_manuales!$M$100+parametros_manuales!$F$19*(datos_base!$B$4+datos_base!$B$20+IF(parametros_manuales!$H$19="Todos",datos_base!$B$11+datos_base!$B$25,0))*parametros_manuales!$M$105+parametros_manuales!$G$19*(datos_base!$B$5+datos_base!$B$21+IF(parametros_manuales!$H$19="Todos",datos_base!$B$12+datos_base!$B$26,0))*parametros_manuales!$M$110)*parametros_manuales!$I$19*parametros_manuales!$J$19</f>
        <v>617.8835796057</v>
      </c>
      <c r="N2" s="9" t="n">
        <f aca="false">SUM(B2:M2)</f>
        <v>6865.37310673</v>
      </c>
      <c r="O2" s="9" t="n">
        <f aca="false">MAX(B2:M2)</f>
        <v>617.8835796057</v>
      </c>
      <c r="P2" s="43" t="n">
        <f aca="false">O2/(parametros_manuales!$B$7)</f>
        <v>4.119223864038</v>
      </c>
      <c r="Q2" s="8" t="str">
        <f aca="false">IF(O2=0,"-",INDEX($B$1:$M$1,MATCH(O2,B2:M2,0)))</f>
        <v>Ene</v>
      </c>
    </row>
    <row r="3" customFormat="false" ht="14.25" hidden="false" customHeight="true" outlineLevel="0" collapsed="false">
      <c r="A3" s="8" t="str">
        <f aca="false">parametros_manuales!$B$20</f>
        <v>Corte de chapa (guillotina) — 2,5 a 10 kg</v>
      </c>
      <c r="B3" s="9" t="n">
        <f aca="false">(parametros_manuales!$D$20*(datos_base!$B$2+datos_base!$B$18+IF(parametros_manuales!$H$20="Todos",datos_base!$B$9+datos_base!$B$23,0))*parametros_manuales!$B$95+parametros_manuales!$E$20*(datos_base!$B$3+datos_base!$B$19+IF(parametros_manuales!$H$20="Todos",datos_base!$B$10+datos_base!$B$24,0))*parametros_manuales!$B$100+parametros_manuales!$F$20*(datos_base!$B$4+datos_base!$B$20+IF(parametros_manuales!$H$20="Todos",datos_base!$B$11+datos_base!$B$25,0))*parametros_manuales!$B$105+parametros_manuales!$G$20*(datos_base!$B$5+datos_base!$B$21+IF(parametros_manuales!$H$20="Todos",datos_base!$B$12+datos_base!$B$26,0))*parametros_manuales!$B$110)*parametros_manuales!$I$20*parametros_manuales!$J$20</f>
        <v>241.7972907357</v>
      </c>
      <c r="C3" s="9" t="n">
        <f aca="false">(parametros_manuales!$D$20*(datos_base!$B$2+datos_base!$B$18+IF(parametros_manuales!$H$20="Todos",datos_base!$B$9+datos_base!$B$23,0))*parametros_manuales!$C$95+parametros_manuales!$E$20*(datos_base!$B$3+datos_base!$B$19+IF(parametros_manuales!$H$20="Todos",datos_base!$B$10+datos_base!$B$24,0))*parametros_manuales!$C$100+parametros_manuales!$F$20*(datos_base!$B$4+datos_base!$B$20+IF(parametros_manuales!$H$20="Todos",datos_base!$B$11+datos_base!$B$25,0))*parametros_manuales!$C$105+parametros_manuales!$G$20*(datos_base!$B$5+datos_base!$B$21+IF(parametros_manuales!$H$20="Todos",datos_base!$B$12+datos_base!$B$26,0))*parametros_manuales!$C$110)*parametros_manuales!$I$20*parametros_manuales!$J$20</f>
        <v>214.9309250984</v>
      </c>
      <c r="D3" s="9" t="n">
        <f aca="false">(parametros_manuales!$D$20*(datos_base!$B$2+datos_base!$B$18+IF(parametros_manuales!$H$20="Todos",datos_base!$B$9+datos_base!$B$23,0))*parametros_manuales!$D$95+parametros_manuales!$E$20*(datos_base!$B$3+datos_base!$B$19+IF(parametros_manuales!$H$20="Todos",datos_base!$B$10+datos_base!$B$24,0))*parametros_manuales!$D$100+parametros_manuales!$F$20*(datos_base!$B$4+datos_base!$B$20+IF(parametros_manuales!$H$20="Todos",datos_base!$B$11+datos_base!$B$25,0))*parametros_manuales!$D$105+parametros_manuales!$G$20*(datos_base!$B$5+datos_base!$B$21+IF(parametros_manuales!$H$20="Todos",datos_base!$B$12+datos_base!$B$26,0))*parametros_manuales!$D$110)*parametros_manuales!$I$20*parametros_manuales!$J$20</f>
        <v>228.36410791705</v>
      </c>
      <c r="E3" s="9" t="n">
        <f aca="false">(parametros_manuales!$D$20*(datos_base!$B$2+datos_base!$B$18+IF(parametros_manuales!$H$20="Todos",datos_base!$B$9+datos_base!$B$23,0))*parametros_manuales!$E$95+parametros_manuales!$E$20*(datos_base!$B$3+datos_base!$B$19+IF(parametros_manuales!$H$20="Todos",datos_base!$B$10+datos_base!$B$24,0))*parametros_manuales!$E$100+parametros_manuales!$F$20*(datos_base!$B$4+datos_base!$B$20+IF(parametros_manuales!$H$20="Todos",datos_base!$B$11+datos_base!$B$25,0))*parametros_manuales!$E$105+parametros_manuales!$G$20*(datos_base!$B$5+datos_base!$B$21+IF(parametros_manuales!$H$20="Todos",datos_base!$B$12+datos_base!$B$26,0))*parametros_manuales!$E$110)*parametros_manuales!$I$20*parametros_manuales!$J$20</f>
        <v>228.36410791705</v>
      </c>
      <c r="F3" s="9" t="n">
        <f aca="false">(parametros_manuales!$D$20*(datos_base!$B$2+datos_base!$B$18+IF(parametros_manuales!$H$20="Todos",datos_base!$B$9+datos_base!$B$23,0))*parametros_manuales!$F$95+parametros_manuales!$E$20*(datos_base!$B$3+datos_base!$B$19+IF(parametros_manuales!$H$20="Todos",datos_base!$B$10+datos_base!$B$24,0))*parametros_manuales!$F$100+parametros_manuales!$F$20*(datos_base!$B$4+datos_base!$B$20+IF(parametros_manuales!$H$20="Todos",datos_base!$B$11+datos_base!$B$25,0))*parametros_manuales!$F$105+parametros_manuales!$G$20*(datos_base!$B$5+datos_base!$B$21+IF(parametros_manuales!$H$20="Todos",datos_base!$B$12+datos_base!$B$26,0))*parametros_manuales!$F$110)*parametros_manuales!$I$20*parametros_manuales!$J$20</f>
        <v>214.9309250984</v>
      </c>
      <c r="G3" s="9" t="n">
        <f aca="false">(parametros_manuales!$D$20*(datos_base!$B$2+datos_base!$B$18+IF(parametros_manuales!$H$20="Todos",datos_base!$B$9+datos_base!$B$23,0))*parametros_manuales!$G$95+parametros_manuales!$E$20*(datos_base!$B$3+datos_base!$B$19+IF(parametros_manuales!$H$20="Todos",datos_base!$B$10+datos_base!$B$24,0))*parametros_manuales!$G$100+parametros_manuales!$F$20*(datos_base!$B$4+datos_base!$B$20+IF(parametros_manuales!$H$20="Todos",datos_base!$B$11+datos_base!$B$25,0))*parametros_manuales!$G$105+parametros_manuales!$G$20*(datos_base!$B$5+datos_base!$B$21+IF(parametros_manuales!$H$20="Todos",datos_base!$B$12+datos_base!$B$26,0))*parametros_manuales!$G$110)*parametros_manuales!$I$20*parametros_manuales!$J$20</f>
        <v>201.49774227975</v>
      </c>
      <c r="H3" s="9" t="n">
        <f aca="false">(parametros_manuales!$D$20*(datos_base!$B$2+datos_base!$B$18+IF(parametros_manuales!$H$20="Todos",datos_base!$B$9+datos_base!$B$23,0))*parametros_manuales!$H$95+parametros_manuales!$E$20*(datos_base!$B$3+datos_base!$B$19+IF(parametros_manuales!$H$20="Todos",datos_base!$B$10+datos_base!$B$24,0))*parametros_manuales!$H$100+parametros_manuales!$F$20*(datos_base!$B$4+datos_base!$B$20+IF(parametros_manuales!$H$20="Todos",datos_base!$B$11+datos_base!$B$25,0))*parametros_manuales!$H$105+parametros_manuales!$G$20*(datos_base!$B$5+datos_base!$B$21+IF(parametros_manuales!$H$20="Todos",datos_base!$B$12+datos_base!$B$26,0))*parametros_manuales!$H$110)*parametros_manuales!$I$20*parametros_manuales!$J$20</f>
        <v>214.9309250984</v>
      </c>
      <c r="I3" s="9" t="n">
        <f aca="false">(parametros_manuales!$D$20*(datos_base!$B$2+datos_base!$B$18+IF(parametros_manuales!$H$20="Todos",datos_base!$B$9+datos_base!$B$23,0))*parametros_manuales!$I$95+parametros_manuales!$E$20*(datos_base!$B$3+datos_base!$B$19+IF(parametros_manuales!$H$20="Todos",datos_base!$B$10+datos_base!$B$24,0))*parametros_manuales!$I$100+parametros_manuales!$F$20*(datos_base!$B$4+datos_base!$B$20+IF(parametros_manuales!$H$20="Todos",datos_base!$B$11+datos_base!$B$25,0))*parametros_manuales!$I$105+parametros_manuales!$G$20*(datos_base!$B$5+datos_base!$B$21+IF(parametros_manuales!$H$20="Todos",datos_base!$B$12+datos_base!$B$26,0))*parametros_manuales!$I$110)*parametros_manuales!$I$20*parametros_manuales!$J$20</f>
        <v>214.9309250984</v>
      </c>
      <c r="J3" s="9" t="n">
        <f aca="false">(parametros_manuales!$D$20*(datos_base!$B$2+datos_base!$B$18+IF(parametros_manuales!$H$20="Todos",datos_base!$B$9+datos_base!$B$23,0))*parametros_manuales!$J$95+parametros_manuales!$E$20*(datos_base!$B$3+datos_base!$B$19+IF(parametros_manuales!$H$20="Todos",datos_base!$B$10+datos_base!$B$24,0))*parametros_manuales!$J$100+parametros_manuales!$F$20*(datos_base!$B$4+datos_base!$B$20+IF(parametros_manuales!$H$20="Todos",datos_base!$B$11+datos_base!$B$25,0))*parametros_manuales!$J$105+parametros_manuales!$G$20*(datos_base!$B$5+datos_base!$B$21+IF(parametros_manuales!$H$20="Todos",datos_base!$B$12+datos_base!$B$26,0))*parametros_manuales!$J$110)*parametros_manuales!$I$20*parametros_manuales!$J$20</f>
        <v>214.9309250984</v>
      </c>
      <c r="K3" s="9" t="n">
        <f aca="false">(parametros_manuales!$D$20*(datos_base!$B$2+datos_base!$B$18+IF(parametros_manuales!$H$20="Todos",datos_base!$B$9+datos_base!$B$23,0))*parametros_manuales!$K$95+parametros_manuales!$E$20*(datos_base!$B$3+datos_base!$B$19+IF(parametros_manuales!$H$20="Todos",datos_base!$B$10+datos_base!$B$24,0))*parametros_manuales!$K$100+parametros_manuales!$F$20*(datos_base!$B$4+datos_base!$B$20+IF(parametros_manuales!$H$20="Todos",datos_base!$B$11+datos_base!$B$25,0))*parametros_manuales!$K$105+parametros_manuales!$G$20*(datos_base!$B$5+datos_base!$B$21+IF(parametros_manuales!$H$20="Todos",datos_base!$B$12+datos_base!$B$26,0))*parametros_manuales!$K$110)*parametros_manuales!$I$20*parametros_manuales!$J$20</f>
        <v>228.36410791705</v>
      </c>
      <c r="L3" s="9" t="n">
        <f aca="false">(parametros_manuales!$D$20*(datos_base!$B$2+datos_base!$B$18+IF(parametros_manuales!$H$20="Todos",datos_base!$B$9+datos_base!$B$23,0))*parametros_manuales!$L$95+parametros_manuales!$E$20*(datos_base!$B$3+datos_base!$B$19+IF(parametros_manuales!$H$20="Todos",datos_base!$B$10+datos_base!$B$24,0))*parametros_manuales!$L$100+parametros_manuales!$F$20*(datos_base!$B$4+datos_base!$B$20+IF(parametros_manuales!$H$20="Todos",datos_base!$B$11+datos_base!$B$25,0))*parametros_manuales!$L$105+parametros_manuales!$G$20*(datos_base!$B$5+datos_base!$B$21+IF(parametros_manuales!$H$20="Todos",datos_base!$B$12+datos_base!$B$26,0))*parametros_manuales!$L$110)*parametros_manuales!$I$20*parametros_manuales!$J$20</f>
        <v>241.7972907357</v>
      </c>
      <c r="M3" s="9" t="n">
        <f aca="false">(parametros_manuales!$D$20*(datos_base!$B$2+datos_base!$B$18+IF(parametros_manuales!$H$20="Todos",datos_base!$B$9+datos_base!$B$23,0))*parametros_manuales!$M$95+parametros_manuales!$E$20*(datos_base!$B$3+datos_base!$B$19+IF(parametros_manuales!$H$20="Todos",datos_base!$B$10+datos_base!$B$24,0))*parametros_manuales!$M$100+parametros_manuales!$F$20*(datos_base!$B$4+datos_base!$B$20+IF(parametros_manuales!$H$20="Todos",datos_base!$B$11+datos_base!$B$25,0))*parametros_manuales!$M$105+parametros_manuales!$G$20*(datos_base!$B$5+datos_base!$B$21+IF(parametros_manuales!$H$20="Todos",datos_base!$B$12+datos_base!$B$26,0))*parametros_manuales!$M$110)*parametros_manuales!$I$20*parametros_manuales!$J$20</f>
        <v>241.7972907357</v>
      </c>
      <c r="N3" s="9" t="n">
        <f aca="false">SUM(B3:M3)</f>
        <v>2686.63656373</v>
      </c>
      <c r="O3" s="9" t="n">
        <f aca="false">MAX(B3:M3)</f>
        <v>241.7972907357</v>
      </c>
      <c r="P3" s="43" t="n">
        <f aca="false">O3/(parametros_manuales!$B$7)</f>
        <v>1.611981938238</v>
      </c>
      <c r="Q3" s="8" t="str">
        <f aca="false">IF(O3=0,"-",INDEX($B$1:$M$1,MATCH(O3,B3:M3,0)))</f>
        <v>Ene</v>
      </c>
    </row>
    <row r="4" customFormat="false" ht="14.25" hidden="false" customHeight="true" outlineLevel="0" collapsed="false">
      <c r="A4" s="8" t="str">
        <f aca="false">parametros_manuales!$B$21</f>
        <v>Corte de tubo — 1 kg</v>
      </c>
      <c r="B4" s="9" t="n">
        <f aca="false">(parametros_manuales!$D$21*(datos_base!$B$2+datos_base!$B$18+IF(parametros_manuales!$H$21="Todos",datos_base!$B$9+datos_base!$B$23,0))*parametros_manuales!$B$95+parametros_manuales!$E$21*(datos_base!$B$3+datos_base!$B$19+IF(parametros_manuales!$H$21="Todos",datos_base!$B$10+datos_base!$B$24,0))*parametros_manuales!$B$100+parametros_manuales!$F$21*(datos_base!$B$4+datos_base!$B$20+IF(parametros_manuales!$H$21="Todos",datos_base!$B$11+datos_base!$B$25,0))*parametros_manuales!$B$105+parametros_manuales!$G$21*(datos_base!$B$5+datos_base!$B$21+IF(parametros_manuales!$H$21="Todos",datos_base!$B$12+datos_base!$B$26,0))*parametros_manuales!$B$110)*parametros_manuales!$I$21*parametros_manuales!$J$21</f>
        <v>376.08628887</v>
      </c>
      <c r="C4" s="9" t="n">
        <f aca="false">(parametros_manuales!$D$21*(datos_base!$B$2+datos_base!$B$18+IF(parametros_manuales!$H$21="Todos",datos_base!$B$9+datos_base!$B$23,0))*parametros_manuales!$C$95+parametros_manuales!$E$21*(datos_base!$B$3+datos_base!$B$19+IF(parametros_manuales!$H$21="Todos",datos_base!$B$10+datos_base!$B$24,0))*parametros_manuales!$C$100+parametros_manuales!$F$21*(datos_base!$B$4+datos_base!$B$20+IF(parametros_manuales!$H$21="Todos",datos_base!$B$11+datos_base!$B$25,0))*parametros_manuales!$C$105+parametros_manuales!$G$21*(datos_base!$B$5+datos_base!$B$21+IF(parametros_manuales!$H$21="Todos",datos_base!$B$12+datos_base!$B$26,0))*parametros_manuales!$C$110)*parametros_manuales!$I$21*parametros_manuales!$J$21</f>
        <v>376.08628887</v>
      </c>
      <c r="D4" s="9" t="n">
        <f aca="false">(parametros_manuales!$D$21*(datos_base!$B$2+datos_base!$B$18+IF(parametros_manuales!$H$21="Todos",datos_base!$B$9+datos_base!$B$23,0))*parametros_manuales!$D$95+parametros_manuales!$E$21*(datos_base!$B$3+datos_base!$B$19+IF(parametros_manuales!$H$21="Todos",datos_base!$B$10+datos_base!$B$24,0))*parametros_manuales!$D$100+parametros_manuales!$F$21*(datos_base!$B$4+datos_base!$B$20+IF(parametros_manuales!$H$21="Todos",datos_base!$B$11+datos_base!$B$25,0))*parametros_manuales!$D$105+parametros_manuales!$G$21*(datos_base!$B$5+datos_base!$B$21+IF(parametros_manuales!$H$21="Todos",datos_base!$B$12+datos_base!$B$26,0))*parametros_manuales!$D$110)*parametros_manuales!$I$21*parametros_manuales!$J$21</f>
        <v>334.29892344</v>
      </c>
      <c r="E4" s="9" t="n">
        <f aca="false">(parametros_manuales!$D$21*(datos_base!$B$2+datos_base!$B$18+IF(parametros_manuales!$H$21="Todos",datos_base!$B$9+datos_base!$B$23,0))*parametros_manuales!$E$95+parametros_manuales!$E$21*(datos_base!$B$3+datos_base!$B$19+IF(parametros_manuales!$H$21="Todos",datos_base!$B$10+datos_base!$B$24,0))*parametros_manuales!$E$100+parametros_manuales!$F$21*(datos_base!$B$4+datos_base!$B$20+IF(parametros_manuales!$H$21="Todos",datos_base!$B$11+datos_base!$B$25,0))*parametros_manuales!$E$105+parametros_manuales!$G$21*(datos_base!$B$5+datos_base!$B$21+IF(parametros_manuales!$H$21="Todos",datos_base!$B$12+datos_base!$B$26,0))*parametros_manuales!$E$110)*parametros_manuales!$I$21*parametros_manuales!$J$21</f>
        <v>313.405240725</v>
      </c>
      <c r="F4" s="9" t="n">
        <f aca="false">(parametros_manuales!$D$21*(datos_base!$B$2+datos_base!$B$18+IF(parametros_manuales!$H$21="Todos",datos_base!$B$9+datos_base!$B$23,0))*parametros_manuales!$F$95+parametros_manuales!$E$21*(datos_base!$B$3+datos_base!$B$19+IF(parametros_manuales!$H$21="Todos",datos_base!$B$10+datos_base!$B$24,0))*parametros_manuales!$F$100+parametros_manuales!$F$21*(datos_base!$B$4+datos_base!$B$20+IF(parametros_manuales!$H$21="Todos",datos_base!$B$11+datos_base!$B$25,0))*parametros_manuales!$F$105+parametros_manuales!$G$21*(datos_base!$B$5+datos_base!$B$21+IF(parametros_manuales!$H$21="Todos",datos_base!$B$12+datos_base!$B$26,0))*parametros_manuales!$F$110)*parametros_manuales!$I$21*parametros_manuales!$J$21</f>
        <v>292.51155801</v>
      </c>
      <c r="G4" s="9" t="n">
        <f aca="false">(parametros_manuales!$D$21*(datos_base!$B$2+datos_base!$B$18+IF(parametros_manuales!$H$21="Todos",datos_base!$B$9+datos_base!$B$23,0))*parametros_manuales!$G$95+parametros_manuales!$E$21*(datos_base!$B$3+datos_base!$B$19+IF(parametros_manuales!$H$21="Todos",datos_base!$B$10+datos_base!$B$24,0))*parametros_manuales!$G$100+parametros_manuales!$F$21*(datos_base!$B$4+datos_base!$B$20+IF(parametros_manuales!$H$21="Todos",datos_base!$B$11+datos_base!$B$25,0))*parametros_manuales!$G$105+parametros_manuales!$G$21*(datos_base!$B$5+datos_base!$B$21+IF(parametros_manuales!$H$21="Todos",datos_base!$B$12+datos_base!$B$26,0))*parametros_manuales!$G$110)*parametros_manuales!$I$21*parametros_manuales!$J$21</f>
        <v>292.51155801</v>
      </c>
      <c r="H4" s="9" t="n">
        <f aca="false">(parametros_manuales!$D$21*(datos_base!$B$2+datos_base!$B$18+IF(parametros_manuales!$H$21="Todos",datos_base!$B$9+datos_base!$B$23,0))*parametros_manuales!$H$95+parametros_manuales!$E$21*(datos_base!$B$3+datos_base!$B$19+IF(parametros_manuales!$H$21="Todos",datos_base!$B$10+datos_base!$B$24,0))*parametros_manuales!$H$100+parametros_manuales!$F$21*(datos_base!$B$4+datos_base!$B$20+IF(parametros_manuales!$H$21="Todos",datos_base!$B$11+datos_base!$B$25,0))*parametros_manuales!$H$105+parametros_manuales!$G$21*(datos_base!$B$5+datos_base!$B$21+IF(parametros_manuales!$H$21="Todos",datos_base!$B$12+datos_base!$B$26,0))*parametros_manuales!$H$110)*parametros_manuales!$I$21*parametros_manuales!$J$21</f>
        <v>313.405240725</v>
      </c>
      <c r="I4" s="9" t="n">
        <f aca="false">(parametros_manuales!$D$21*(datos_base!$B$2+datos_base!$B$18+IF(parametros_manuales!$H$21="Todos",datos_base!$B$9+datos_base!$B$23,0))*parametros_manuales!$I$95+parametros_manuales!$E$21*(datos_base!$B$3+datos_base!$B$19+IF(parametros_manuales!$H$21="Todos",datos_base!$B$10+datos_base!$B$24,0))*parametros_manuales!$I$100+parametros_manuales!$F$21*(datos_base!$B$4+datos_base!$B$20+IF(parametros_manuales!$H$21="Todos",datos_base!$B$11+datos_base!$B$25,0))*parametros_manuales!$I$105+parametros_manuales!$G$21*(datos_base!$B$5+datos_base!$B$21+IF(parametros_manuales!$H$21="Todos",datos_base!$B$12+datos_base!$B$26,0))*parametros_manuales!$I$110)*parametros_manuales!$I$21*parametros_manuales!$J$21</f>
        <v>376.08628887</v>
      </c>
      <c r="J4" s="9" t="n">
        <f aca="false">(parametros_manuales!$D$21*(datos_base!$B$2+datos_base!$B$18+IF(parametros_manuales!$H$21="Todos",datos_base!$B$9+datos_base!$B$23,0))*parametros_manuales!$J$95+parametros_manuales!$E$21*(datos_base!$B$3+datos_base!$B$19+IF(parametros_manuales!$H$21="Todos",datos_base!$B$10+datos_base!$B$24,0))*parametros_manuales!$J$100+parametros_manuales!$F$21*(datos_base!$B$4+datos_base!$B$20+IF(parametros_manuales!$H$21="Todos",datos_base!$B$11+datos_base!$B$25,0))*parametros_manuales!$J$105+parametros_manuales!$G$21*(datos_base!$B$5+datos_base!$B$21+IF(parametros_manuales!$H$21="Todos",datos_base!$B$12+datos_base!$B$26,0))*parametros_manuales!$J$110)*parametros_manuales!$I$21*parametros_manuales!$J$21</f>
        <v>376.08628887</v>
      </c>
      <c r="K4" s="9" t="n">
        <f aca="false">(parametros_manuales!$D$21*(datos_base!$B$2+datos_base!$B$18+IF(parametros_manuales!$H$21="Todos",datos_base!$B$9+datos_base!$B$23,0))*parametros_manuales!$K$95+parametros_manuales!$E$21*(datos_base!$B$3+datos_base!$B$19+IF(parametros_manuales!$H$21="Todos",datos_base!$B$10+datos_base!$B$24,0))*parametros_manuales!$K$100+parametros_manuales!$F$21*(datos_base!$B$4+datos_base!$B$20+IF(parametros_manuales!$H$21="Todos",datos_base!$B$11+datos_base!$B$25,0))*parametros_manuales!$K$105+parametros_manuales!$G$21*(datos_base!$B$5+datos_base!$B$21+IF(parametros_manuales!$H$21="Todos",datos_base!$B$12+datos_base!$B$26,0))*parametros_manuales!$K$110)*parametros_manuales!$I$21*parametros_manuales!$J$21</f>
        <v>376.08628887</v>
      </c>
      <c r="L4" s="9" t="n">
        <f aca="false">(parametros_manuales!$D$21*(datos_base!$B$2+datos_base!$B$18+IF(parametros_manuales!$H$21="Todos",datos_base!$B$9+datos_base!$B$23,0))*parametros_manuales!$L$95+parametros_manuales!$E$21*(datos_base!$B$3+datos_base!$B$19+IF(parametros_manuales!$H$21="Todos",datos_base!$B$10+datos_base!$B$24,0))*parametros_manuales!$L$100+parametros_manuales!$F$21*(datos_base!$B$4+datos_base!$B$20+IF(parametros_manuales!$H$21="Todos",datos_base!$B$11+datos_base!$B$25,0))*parametros_manuales!$L$105+parametros_manuales!$G$21*(datos_base!$B$5+datos_base!$B$21+IF(parametros_manuales!$H$21="Todos",datos_base!$B$12+datos_base!$B$26,0))*parametros_manuales!$L$110)*parametros_manuales!$I$21*parametros_manuales!$J$21</f>
        <v>376.08628887</v>
      </c>
      <c r="M4" s="9" t="n">
        <f aca="false">(parametros_manuales!$D$21*(datos_base!$B$2+datos_base!$B$18+IF(parametros_manuales!$H$21="Todos",datos_base!$B$9+datos_base!$B$23,0))*parametros_manuales!$M$95+parametros_manuales!$E$21*(datos_base!$B$3+datos_base!$B$19+IF(parametros_manuales!$H$21="Todos",datos_base!$B$10+datos_base!$B$24,0))*parametros_manuales!$M$100+parametros_manuales!$F$21*(datos_base!$B$4+datos_base!$B$20+IF(parametros_manuales!$H$21="Todos",datos_base!$B$11+datos_base!$B$25,0))*parametros_manuales!$M$105+parametros_manuales!$G$21*(datos_base!$B$5+datos_base!$B$21+IF(parametros_manuales!$H$21="Todos",datos_base!$B$12+datos_base!$B$26,0))*parametros_manuales!$M$110)*parametros_manuales!$I$21*parametros_manuales!$J$21</f>
        <v>376.08628887</v>
      </c>
      <c r="N4" s="9" t="n">
        <f aca="false">SUM(B4:M4)</f>
        <v>4178.736543</v>
      </c>
      <c r="O4" s="9" t="n">
        <f aca="false">MAX(B4:M4)</f>
        <v>376.08628887</v>
      </c>
      <c r="P4" s="43" t="n">
        <f aca="false">O4/(parametros_manuales!$B$7)</f>
        <v>2.5072419258</v>
      </c>
      <c r="Q4" s="8" t="str">
        <f aca="false">IF(O4=0,"-",INDEX($B$1:$M$1,MATCH(O4,B4:M4,0)))</f>
        <v>Ene</v>
      </c>
    </row>
    <row r="5" customFormat="false" ht="14.25" hidden="false" customHeight="true" outlineLevel="0" collapsed="false">
      <c r="A5" s="8" t="str">
        <f aca="false">parametros_manuales!$B$22</f>
        <v>Corte de disco y embutido (cúpula y fondo)</v>
      </c>
      <c r="B5" s="9" t="n">
        <f aca="false">(parametros_manuales!$D$22*(datos_base!$B$2+datos_base!$B$18+IF(parametros_manuales!$H$22="Todos",datos_base!$B$9+datos_base!$B$23,0))*parametros_manuales!$B$95+parametros_manuales!$E$22*(datos_base!$B$3+datos_base!$B$19+IF(parametros_manuales!$H$22="Todos",datos_base!$B$10+datos_base!$B$24,0))*parametros_manuales!$B$100+parametros_manuales!$F$22*(datos_base!$B$4+datos_base!$B$20+IF(parametros_manuales!$H$22="Todos",datos_base!$B$11+datos_base!$B$25,0))*parametros_manuales!$B$105+parametros_manuales!$G$22*(datos_base!$B$5+datos_base!$B$21+IF(parametros_manuales!$H$22="Todos",datos_base!$B$12+datos_base!$B$26,0))*parametros_manuales!$B$110)*parametros_manuales!$I$22*parametros_manuales!$J$22</f>
        <v>1235.7671592114</v>
      </c>
      <c r="C5" s="9" t="n">
        <f aca="false">(parametros_manuales!$D$22*(datos_base!$B$2+datos_base!$B$18+IF(parametros_manuales!$H$22="Todos",datos_base!$B$9+datos_base!$B$23,0))*parametros_manuales!$C$95+parametros_manuales!$E$22*(datos_base!$B$3+datos_base!$B$19+IF(parametros_manuales!$H$22="Todos",datos_base!$B$10+datos_base!$B$24,0))*parametros_manuales!$C$100+parametros_manuales!$F$22*(datos_base!$B$4+datos_base!$B$20+IF(parametros_manuales!$H$22="Todos",datos_base!$B$11+datos_base!$B$25,0))*parametros_manuales!$C$105+parametros_manuales!$G$22*(datos_base!$B$5+datos_base!$B$21+IF(parametros_manuales!$H$22="Todos",datos_base!$B$12+datos_base!$B$26,0))*parametros_manuales!$C$110)*parametros_manuales!$I$22*parametros_manuales!$J$22</f>
        <v>1182.0344279368</v>
      </c>
      <c r="D5" s="9" t="n">
        <f aca="false">(parametros_manuales!$D$22*(datos_base!$B$2+datos_base!$B$18+IF(parametros_manuales!$H$22="Todos",datos_base!$B$9+datos_base!$B$23,0))*parametros_manuales!$D$95+parametros_manuales!$E$22*(datos_base!$B$3+datos_base!$B$19+IF(parametros_manuales!$H$22="Todos",datos_base!$B$10+datos_base!$B$24,0))*parametros_manuales!$D$100+parametros_manuales!$F$22*(datos_base!$B$4+datos_base!$B$20+IF(parametros_manuales!$H$22="Todos",datos_base!$B$11+datos_base!$B$25,0))*parametros_manuales!$D$105+parametros_manuales!$G$22*(datos_base!$B$5+datos_base!$B$21+IF(parametros_manuales!$H$22="Todos",datos_base!$B$12+datos_base!$B$26,0))*parametros_manuales!$D$110)*parametros_manuales!$I$22*parametros_manuales!$J$22</f>
        <v>1125.3260627141</v>
      </c>
      <c r="E5" s="9" t="n">
        <f aca="false">(parametros_manuales!$D$22*(datos_base!$B$2+datos_base!$B$18+IF(parametros_manuales!$H$22="Todos",datos_base!$B$9+datos_base!$B$23,0))*parametros_manuales!$E$95+parametros_manuales!$E$22*(datos_base!$B$3+datos_base!$B$19+IF(parametros_manuales!$H$22="Todos",datos_base!$B$10+datos_base!$B$24,0))*parametros_manuales!$E$100+parametros_manuales!$F$22*(datos_base!$B$4+datos_base!$B$20+IF(parametros_manuales!$H$22="Todos",datos_base!$B$11+datos_base!$B$25,0))*parametros_manuales!$E$105+parametros_manuales!$G$22*(datos_base!$B$5+datos_base!$B$21+IF(parametros_manuales!$H$22="Todos",datos_base!$B$12+datos_base!$B$26,0))*parametros_manuales!$E$110)*parametros_manuales!$I$22*parametros_manuales!$J$22</f>
        <v>1083.5386972841</v>
      </c>
      <c r="F5" s="9" t="n">
        <f aca="false">(parametros_manuales!$D$22*(datos_base!$B$2+datos_base!$B$18+IF(parametros_manuales!$H$22="Todos",datos_base!$B$9+datos_base!$B$23,0))*parametros_manuales!$F$95+parametros_manuales!$E$22*(datos_base!$B$3+datos_base!$B$19+IF(parametros_manuales!$H$22="Todos",datos_base!$B$10+datos_base!$B$24,0))*parametros_manuales!$F$100+parametros_manuales!$F$22*(datos_base!$B$4+datos_base!$B$20+IF(parametros_manuales!$H$22="Todos",datos_base!$B$11+datos_base!$B$25,0))*parametros_manuales!$F$105+parametros_manuales!$G$22*(datos_base!$B$5+datos_base!$B$21+IF(parametros_manuales!$H$22="Todos",datos_base!$B$12+datos_base!$B$26,0))*parametros_manuales!$F$110)*parametros_manuales!$I$22*parametros_manuales!$J$22</f>
        <v>1014.8849662168</v>
      </c>
      <c r="G5" s="9" t="n">
        <f aca="false">(parametros_manuales!$D$22*(datos_base!$B$2+datos_base!$B$18+IF(parametros_manuales!$H$22="Todos",datos_base!$B$9+datos_base!$B$23,0))*parametros_manuales!$G$95+parametros_manuales!$E$22*(datos_base!$B$3+datos_base!$B$19+IF(parametros_manuales!$H$22="Todos",datos_base!$B$10+datos_base!$B$24,0))*parametros_manuales!$G$100+parametros_manuales!$F$22*(datos_base!$B$4+datos_base!$B$20+IF(parametros_manuales!$H$22="Todos",datos_base!$B$11+datos_base!$B$25,0))*parametros_manuales!$G$105+parametros_manuales!$G$22*(datos_base!$B$5+datos_base!$B$21+IF(parametros_manuales!$H$22="Todos",datos_base!$B$12+datos_base!$B$26,0))*parametros_manuales!$G$110)*parametros_manuales!$I$22*parametros_manuales!$J$22</f>
        <v>988.0186005795</v>
      </c>
      <c r="H5" s="9" t="n">
        <f aca="false">(parametros_manuales!$D$22*(datos_base!$B$2+datos_base!$B$18+IF(parametros_manuales!$H$22="Todos",datos_base!$B$9+datos_base!$B$23,0))*parametros_manuales!$H$95+parametros_manuales!$E$22*(datos_base!$B$3+datos_base!$B$19+IF(parametros_manuales!$H$22="Todos",datos_base!$B$10+datos_base!$B$24,0))*parametros_manuales!$H$100+parametros_manuales!$F$22*(datos_base!$B$4+datos_base!$B$20+IF(parametros_manuales!$H$22="Todos",datos_base!$B$11+datos_base!$B$25,0))*parametros_manuales!$H$105+parametros_manuales!$G$22*(datos_base!$B$5+datos_base!$B$21+IF(parametros_manuales!$H$22="Todos",datos_base!$B$12+datos_base!$B$26,0))*parametros_manuales!$H$110)*parametros_manuales!$I$22*parametros_manuales!$J$22</f>
        <v>1056.6723316468</v>
      </c>
      <c r="I5" s="9" t="n">
        <f aca="false">(parametros_manuales!$D$22*(datos_base!$B$2+datos_base!$B$18+IF(parametros_manuales!$H$22="Todos",datos_base!$B$9+datos_base!$B$23,0))*parametros_manuales!$I$95+parametros_manuales!$E$22*(datos_base!$B$3+datos_base!$B$19+IF(parametros_manuales!$H$22="Todos",datos_base!$B$10+datos_base!$B$24,0))*parametros_manuales!$I$100+parametros_manuales!$F$22*(datos_base!$B$4+datos_base!$B$20+IF(parametros_manuales!$H$22="Todos",datos_base!$B$11+datos_base!$B$25,0))*parametros_manuales!$I$105+parametros_manuales!$G$22*(datos_base!$B$5+datos_base!$B$21+IF(parametros_manuales!$H$22="Todos",datos_base!$B$12+datos_base!$B$26,0))*parametros_manuales!$I$110)*parametros_manuales!$I$22*parametros_manuales!$J$22</f>
        <v>1182.0344279368</v>
      </c>
      <c r="J5" s="9" t="n">
        <f aca="false">(parametros_manuales!$D$22*(datos_base!$B$2+datos_base!$B$18+IF(parametros_manuales!$H$22="Todos",datos_base!$B$9+datos_base!$B$23,0))*parametros_manuales!$J$95+parametros_manuales!$E$22*(datos_base!$B$3+datos_base!$B$19+IF(parametros_manuales!$H$22="Todos",datos_base!$B$10+datos_base!$B$24,0))*parametros_manuales!$J$100+parametros_manuales!$F$22*(datos_base!$B$4+datos_base!$B$20+IF(parametros_manuales!$H$22="Todos",datos_base!$B$11+datos_base!$B$25,0))*parametros_manuales!$J$105+parametros_manuales!$G$22*(datos_base!$B$5+datos_base!$B$21+IF(parametros_manuales!$H$22="Todos",datos_base!$B$12+datos_base!$B$26,0))*parametros_manuales!$J$110)*parametros_manuales!$I$22*parametros_manuales!$J$22</f>
        <v>1182.0344279368</v>
      </c>
      <c r="K5" s="9" t="n">
        <f aca="false">(parametros_manuales!$D$22*(datos_base!$B$2+datos_base!$B$18+IF(parametros_manuales!$H$22="Todos",datos_base!$B$9+datos_base!$B$23,0))*parametros_manuales!$K$95+parametros_manuales!$E$22*(datos_base!$B$3+datos_base!$B$19+IF(parametros_manuales!$H$22="Todos",datos_base!$B$10+datos_base!$B$24,0))*parametros_manuales!$K$100+parametros_manuales!$F$22*(datos_base!$B$4+datos_base!$B$20+IF(parametros_manuales!$H$22="Todos",datos_base!$B$11+datos_base!$B$25,0))*parametros_manuales!$K$105+parametros_manuales!$G$22*(datos_base!$B$5+datos_base!$B$21+IF(parametros_manuales!$H$22="Todos",datos_base!$B$12+datos_base!$B$26,0))*parametros_manuales!$K$110)*parametros_manuales!$I$22*parametros_manuales!$J$22</f>
        <v>1208.9007935741</v>
      </c>
      <c r="L5" s="9" t="n">
        <f aca="false">(parametros_manuales!$D$22*(datos_base!$B$2+datos_base!$B$18+IF(parametros_manuales!$H$22="Todos",datos_base!$B$9+datos_base!$B$23,0))*parametros_manuales!$L$95+parametros_manuales!$E$22*(datos_base!$B$3+datos_base!$B$19+IF(parametros_manuales!$H$22="Todos",datos_base!$B$10+datos_base!$B$24,0))*parametros_manuales!$L$100+parametros_manuales!$F$22*(datos_base!$B$4+datos_base!$B$20+IF(parametros_manuales!$H$22="Todos",datos_base!$B$11+datos_base!$B$25,0))*parametros_manuales!$L$105+parametros_manuales!$G$22*(datos_base!$B$5+datos_base!$B$21+IF(parametros_manuales!$H$22="Todos",datos_base!$B$12+datos_base!$B$26,0))*parametros_manuales!$L$110)*parametros_manuales!$I$22*parametros_manuales!$J$22</f>
        <v>1235.7671592114</v>
      </c>
      <c r="M5" s="9" t="n">
        <f aca="false">(parametros_manuales!$D$22*(datos_base!$B$2+datos_base!$B$18+IF(parametros_manuales!$H$22="Todos",datos_base!$B$9+datos_base!$B$23,0))*parametros_manuales!$M$95+parametros_manuales!$E$22*(datos_base!$B$3+datos_base!$B$19+IF(parametros_manuales!$H$22="Todos",datos_base!$B$10+datos_base!$B$24,0))*parametros_manuales!$M$100+parametros_manuales!$F$22*(datos_base!$B$4+datos_base!$B$20+IF(parametros_manuales!$H$22="Todos",datos_base!$B$11+datos_base!$B$25,0))*parametros_manuales!$M$105+parametros_manuales!$G$22*(datos_base!$B$5+datos_base!$B$21+IF(parametros_manuales!$H$22="Todos",datos_base!$B$12+datos_base!$B$26,0))*parametros_manuales!$M$110)*parametros_manuales!$I$22*parametros_manuales!$J$22</f>
        <v>1235.7671592114</v>
      </c>
      <c r="N5" s="9" t="n">
        <f aca="false">SUM(B5:M5)</f>
        <v>13730.74621346</v>
      </c>
      <c r="O5" s="9" t="n">
        <f aca="false">MAX(B5:M5)</f>
        <v>1235.7671592114</v>
      </c>
      <c r="P5" s="43" t="n">
        <f aca="false">O5/(parametros_manuales!$B$7)</f>
        <v>8.238447728076</v>
      </c>
      <c r="Q5" s="8" t="str">
        <f aca="false">IF(O5=0,"-",INDEX($B$1:$M$1,MATCH(O5,B5:M5,0)))</f>
        <v>Ene</v>
      </c>
    </row>
    <row r="6" customFormat="false" ht="14.25" hidden="false" customHeight="true" outlineLevel="0" collapsed="false">
      <c r="A6" s="8" t="str">
        <f aca="false">parametros_manuales!$B$23</f>
        <v>Preparación de cuello</v>
      </c>
      <c r="B6" s="9" t="n">
        <f aca="false">(parametros_manuales!$D$23*(datos_base!$B$2+datos_base!$B$18+IF(parametros_manuales!$H$23="Todos",datos_base!$B$9+datos_base!$B$23,0))*parametros_manuales!$B$95+parametros_manuales!$E$23*(datos_base!$B$3+datos_base!$B$19+IF(parametros_manuales!$H$23="Todos",datos_base!$B$10+datos_base!$B$24,0))*parametros_manuales!$B$100+parametros_manuales!$F$23*(datos_base!$B$4+datos_base!$B$20+IF(parametros_manuales!$H$23="Todos",datos_base!$B$11+datos_base!$B$25,0))*parametros_manuales!$B$105+parametros_manuales!$G$23*(datos_base!$B$5+datos_base!$B$21+IF(parametros_manuales!$H$23="Todos",datos_base!$B$12+datos_base!$B$26,0))*parametros_manuales!$B$110)*parametros_manuales!$I$23*parametros_manuales!$J$23</f>
        <v>617.8835796057</v>
      </c>
      <c r="C6" s="9" t="n">
        <f aca="false">(parametros_manuales!$D$23*(datos_base!$B$2+datos_base!$B$18+IF(parametros_manuales!$H$23="Todos",datos_base!$B$9+datos_base!$B$23,0))*parametros_manuales!$C$95+parametros_manuales!$E$23*(datos_base!$B$3+datos_base!$B$19+IF(parametros_manuales!$H$23="Todos",datos_base!$B$10+datos_base!$B$24,0))*parametros_manuales!$C$100+parametros_manuales!$F$23*(datos_base!$B$4+datos_base!$B$20+IF(parametros_manuales!$H$23="Todos",datos_base!$B$11+datos_base!$B$25,0))*parametros_manuales!$C$105+parametros_manuales!$G$23*(datos_base!$B$5+datos_base!$B$21+IF(parametros_manuales!$H$23="Todos",datos_base!$B$12+datos_base!$B$26,0))*parametros_manuales!$C$110)*parametros_manuales!$I$23*parametros_manuales!$J$23</f>
        <v>591.0172139684</v>
      </c>
      <c r="D6" s="9" t="n">
        <f aca="false">(parametros_manuales!$D$23*(datos_base!$B$2+datos_base!$B$18+IF(parametros_manuales!$H$23="Todos",datos_base!$B$9+datos_base!$B$23,0))*parametros_manuales!$D$95+parametros_manuales!$E$23*(datos_base!$B$3+datos_base!$B$19+IF(parametros_manuales!$H$23="Todos",datos_base!$B$10+datos_base!$B$24,0))*parametros_manuales!$D$100+parametros_manuales!$F$23*(datos_base!$B$4+datos_base!$B$20+IF(parametros_manuales!$H$23="Todos",datos_base!$B$11+datos_base!$B$25,0))*parametros_manuales!$D$105+parametros_manuales!$G$23*(datos_base!$B$5+datos_base!$B$21+IF(parametros_manuales!$H$23="Todos",datos_base!$B$12+datos_base!$B$26,0))*parametros_manuales!$D$110)*parametros_manuales!$I$23*parametros_manuales!$J$23</f>
        <v>562.66303135705</v>
      </c>
      <c r="E6" s="9" t="n">
        <f aca="false">(parametros_manuales!$D$23*(datos_base!$B$2+datos_base!$B$18+IF(parametros_manuales!$H$23="Todos",datos_base!$B$9+datos_base!$B$23,0))*parametros_manuales!$E$95+parametros_manuales!$E$23*(datos_base!$B$3+datos_base!$B$19+IF(parametros_manuales!$H$23="Todos",datos_base!$B$10+datos_base!$B$24,0))*parametros_manuales!$E$100+parametros_manuales!$F$23*(datos_base!$B$4+datos_base!$B$20+IF(parametros_manuales!$H$23="Todos",datos_base!$B$11+datos_base!$B$25,0))*parametros_manuales!$E$105+parametros_manuales!$G$23*(datos_base!$B$5+datos_base!$B$21+IF(parametros_manuales!$H$23="Todos",datos_base!$B$12+datos_base!$B$26,0))*parametros_manuales!$E$110)*parametros_manuales!$I$23*parametros_manuales!$J$23</f>
        <v>541.76934864205</v>
      </c>
      <c r="F6" s="9" t="n">
        <f aca="false">(parametros_manuales!$D$23*(datos_base!$B$2+datos_base!$B$18+IF(parametros_manuales!$H$23="Todos",datos_base!$B$9+datos_base!$B$23,0))*parametros_manuales!$F$95+parametros_manuales!$E$23*(datos_base!$B$3+datos_base!$B$19+IF(parametros_manuales!$H$23="Todos",datos_base!$B$10+datos_base!$B$24,0))*parametros_manuales!$F$100+parametros_manuales!$F$23*(datos_base!$B$4+datos_base!$B$20+IF(parametros_manuales!$H$23="Todos",datos_base!$B$11+datos_base!$B$25,0))*parametros_manuales!$F$105+parametros_manuales!$G$23*(datos_base!$B$5+datos_base!$B$21+IF(parametros_manuales!$H$23="Todos",datos_base!$B$12+datos_base!$B$26,0))*parametros_manuales!$F$110)*parametros_manuales!$I$23*parametros_manuales!$J$23</f>
        <v>507.4424831084</v>
      </c>
      <c r="G6" s="9" t="n">
        <f aca="false">(parametros_manuales!$D$23*(datos_base!$B$2+datos_base!$B$18+IF(parametros_manuales!$H$23="Todos",datos_base!$B$9+datos_base!$B$23,0))*parametros_manuales!$G$95+parametros_manuales!$E$23*(datos_base!$B$3+datos_base!$B$19+IF(parametros_manuales!$H$23="Todos",datos_base!$B$10+datos_base!$B$24,0))*parametros_manuales!$G$100+parametros_manuales!$F$23*(datos_base!$B$4+datos_base!$B$20+IF(parametros_manuales!$H$23="Todos",datos_base!$B$11+datos_base!$B$25,0))*parametros_manuales!$G$105+parametros_manuales!$G$23*(datos_base!$B$5+datos_base!$B$21+IF(parametros_manuales!$H$23="Todos",datos_base!$B$12+datos_base!$B$26,0))*parametros_manuales!$G$110)*parametros_manuales!$I$23*parametros_manuales!$J$23</f>
        <v>494.00930028975</v>
      </c>
      <c r="H6" s="9" t="n">
        <f aca="false">(parametros_manuales!$D$23*(datos_base!$B$2+datos_base!$B$18+IF(parametros_manuales!$H$23="Todos",datos_base!$B$9+datos_base!$B$23,0))*parametros_manuales!$H$95+parametros_manuales!$E$23*(datos_base!$B$3+datos_base!$B$19+IF(parametros_manuales!$H$23="Todos",datos_base!$B$10+datos_base!$B$24,0))*parametros_manuales!$H$100+parametros_manuales!$F$23*(datos_base!$B$4+datos_base!$B$20+IF(parametros_manuales!$H$23="Todos",datos_base!$B$11+datos_base!$B$25,0))*parametros_manuales!$H$105+parametros_manuales!$G$23*(datos_base!$B$5+datos_base!$B$21+IF(parametros_manuales!$H$23="Todos",datos_base!$B$12+datos_base!$B$26,0))*parametros_manuales!$H$110)*parametros_manuales!$I$23*parametros_manuales!$J$23</f>
        <v>528.3361658234</v>
      </c>
      <c r="I6" s="9" t="n">
        <f aca="false">(parametros_manuales!$D$23*(datos_base!$B$2+datos_base!$B$18+IF(parametros_manuales!$H$23="Todos",datos_base!$B$9+datos_base!$B$23,0))*parametros_manuales!$I$95+parametros_manuales!$E$23*(datos_base!$B$3+datos_base!$B$19+IF(parametros_manuales!$H$23="Todos",datos_base!$B$10+datos_base!$B$24,0))*parametros_manuales!$I$100+parametros_manuales!$F$23*(datos_base!$B$4+datos_base!$B$20+IF(parametros_manuales!$H$23="Todos",datos_base!$B$11+datos_base!$B$25,0))*parametros_manuales!$I$105+parametros_manuales!$G$23*(datos_base!$B$5+datos_base!$B$21+IF(parametros_manuales!$H$23="Todos",datos_base!$B$12+datos_base!$B$26,0))*parametros_manuales!$I$110)*parametros_manuales!$I$23*parametros_manuales!$J$23</f>
        <v>591.0172139684</v>
      </c>
      <c r="J6" s="9" t="n">
        <f aca="false">(parametros_manuales!$D$23*(datos_base!$B$2+datos_base!$B$18+IF(parametros_manuales!$H$23="Todos",datos_base!$B$9+datos_base!$B$23,0))*parametros_manuales!$J$95+parametros_manuales!$E$23*(datos_base!$B$3+datos_base!$B$19+IF(parametros_manuales!$H$23="Todos",datos_base!$B$10+datos_base!$B$24,0))*parametros_manuales!$J$100+parametros_manuales!$F$23*(datos_base!$B$4+datos_base!$B$20+IF(parametros_manuales!$H$23="Todos",datos_base!$B$11+datos_base!$B$25,0))*parametros_manuales!$J$105+parametros_manuales!$G$23*(datos_base!$B$5+datos_base!$B$21+IF(parametros_manuales!$H$23="Todos",datos_base!$B$12+datos_base!$B$26,0))*parametros_manuales!$J$110)*parametros_manuales!$I$23*parametros_manuales!$J$23</f>
        <v>591.0172139684</v>
      </c>
      <c r="K6" s="9" t="n">
        <f aca="false">(parametros_manuales!$D$23*(datos_base!$B$2+datos_base!$B$18+IF(parametros_manuales!$H$23="Todos",datos_base!$B$9+datos_base!$B$23,0))*parametros_manuales!$K$95+parametros_manuales!$E$23*(datos_base!$B$3+datos_base!$B$19+IF(parametros_manuales!$H$23="Todos",datos_base!$B$10+datos_base!$B$24,0))*parametros_manuales!$K$100+parametros_manuales!$F$23*(datos_base!$B$4+datos_base!$B$20+IF(parametros_manuales!$H$23="Todos",datos_base!$B$11+datos_base!$B$25,0))*parametros_manuales!$K$105+parametros_manuales!$G$23*(datos_base!$B$5+datos_base!$B$21+IF(parametros_manuales!$H$23="Todos",datos_base!$B$12+datos_base!$B$26,0))*parametros_manuales!$K$110)*parametros_manuales!$I$23*parametros_manuales!$J$23</f>
        <v>604.45039678705</v>
      </c>
      <c r="L6" s="9" t="n">
        <f aca="false">(parametros_manuales!$D$23*(datos_base!$B$2+datos_base!$B$18+IF(parametros_manuales!$H$23="Todos",datos_base!$B$9+datos_base!$B$23,0))*parametros_manuales!$L$95+parametros_manuales!$E$23*(datos_base!$B$3+datos_base!$B$19+IF(parametros_manuales!$H$23="Todos",datos_base!$B$10+datos_base!$B$24,0))*parametros_manuales!$L$100+parametros_manuales!$F$23*(datos_base!$B$4+datos_base!$B$20+IF(parametros_manuales!$H$23="Todos",datos_base!$B$11+datos_base!$B$25,0))*parametros_manuales!$L$105+parametros_manuales!$G$23*(datos_base!$B$5+datos_base!$B$21+IF(parametros_manuales!$H$23="Todos",datos_base!$B$12+datos_base!$B$26,0))*parametros_manuales!$L$110)*parametros_manuales!$I$23*parametros_manuales!$J$23</f>
        <v>617.8835796057</v>
      </c>
      <c r="M6" s="9" t="n">
        <f aca="false">(parametros_manuales!$D$23*(datos_base!$B$2+datos_base!$B$18+IF(parametros_manuales!$H$23="Todos",datos_base!$B$9+datos_base!$B$23,0))*parametros_manuales!$M$95+parametros_manuales!$E$23*(datos_base!$B$3+datos_base!$B$19+IF(parametros_manuales!$H$23="Todos",datos_base!$B$10+datos_base!$B$24,0))*parametros_manuales!$M$100+parametros_manuales!$F$23*(datos_base!$B$4+datos_base!$B$20+IF(parametros_manuales!$H$23="Todos",datos_base!$B$11+datos_base!$B$25,0))*parametros_manuales!$M$105+parametros_manuales!$G$23*(datos_base!$B$5+datos_base!$B$21+IF(parametros_manuales!$H$23="Todos",datos_base!$B$12+datos_base!$B$26,0))*parametros_manuales!$M$110)*parametros_manuales!$I$23*parametros_manuales!$J$23</f>
        <v>617.8835796057</v>
      </c>
      <c r="N6" s="9" t="n">
        <f aca="false">SUM(B6:M6)</f>
        <v>6865.37310673</v>
      </c>
      <c r="O6" s="9" t="n">
        <f aca="false">MAX(B6:M6)</f>
        <v>617.8835796057</v>
      </c>
      <c r="P6" s="43" t="n">
        <f aca="false">O6/(parametros_manuales!$B$7)</f>
        <v>4.119223864038</v>
      </c>
      <c r="Q6" s="8" t="str">
        <f aca="false">IF(O6=0,"-",INDEX($B$1:$M$1,MATCH(O6,B6:M6,0)))</f>
        <v>Ene</v>
      </c>
    </row>
    <row r="7" customFormat="false" ht="14.25" hidden="false" customHeight="true" outlineLevel="0" collapsed="false">
      <c r="A7" s="8" t="str">
        <f aca="false">parametros_manuales!$B$24</f>
        <v>Numerado de cúpula</v>
      </c>
      <c r="B7" s="9" t="n">
        <f aca="false">(parametros_manuales!$D$24*(datos_base!$B$2+datos_base!$B$18+IF(parametros_manuales!$H$24="Todos",datos_base!$B$9+datos_base!$B$23,0))*parametros_manuales!$B$95+parametros_manuales!$E$24*(datos_base!$B$3+datos_base!$B$19+IF(parametros_manuales!$H$24="Todos",datos_base!$B$10+datos_base!$B$24,0))*parametros_manuales!$B$100+parametros_manuales!$F$24*(datos_base!$B$4+datos_base!$B$20+IF(parametros_manuales!$H$24="Todos",datos_base!$B$11+datos_base!$B$25,0))*parametros_manuales!$B$105+parametros_manuales!$G$24*(datos_base!$B$5+datos_base!$B$21+IF(parametros_manuales!$H$24="Todos",datos_base!$B$12+datos_base!$B$26,0))*parametros_manuales!$B$110)*parametros_manuales!$I$24*parametros_manuales!$J$24</f>
        <v>617.8835796057</v>
      </c>
      <c r="C7" s="9" t="n">
        <f aca="false">(parametros_manuales!$D$24*(datos_base!$B$2+datos_base!$B$18+IF(parametros_manuales!$H$24="Todos",datos_base!$B$9+datos_base!$B$23,0))*parametros_manuales!$C$95+parametros_manuales!$E$24*(datos_base!$B$3+datos_base!$B$19+IF(parametros_manuales!$H$24="Todos",datos_base!$B$10+datos_base!$B$24,0))*parametros_manuales!$C$100+parametros_manuales!$F$24*(datos_base!$B$4+datos_base!$B$20+IF(parametros_manuales!$H$24="Todos",datos_base!$B$11+datos_base!$B$25,0))*parametros_manuales!$C$105+parametros_manuales!$G$24*(datos_base!$B$5+datos_base!$B$21+IF(parametros_manuales!$H$24="Todos",datos_base!$B$12+datos_base!$B$26,0))*parametros_manuales!$C$110)*parametros_manuales!$I$24*parametros_manuales!$J$24</f>
        <v>591.0172139684</v>
      </c>
      <c r="D7" s="9" t="n">
        <f aca="false">(parametros_manuales!$D$24*(datos_base!$B$2+datos_base!$B$18+IF(parametros_manuales!$H$24="Todos",datos_base!$B$9+datos_base!$B$23,0))*parametros_manuales!$D$95+parametros_manuales!$E$24*(datos_base!$B$3+datos_base!$B$19+IF(parametros_manuales!$H$24="Todos",datos_base!$B$10+datos_base!$B$24,0))*parametros_manuales!$D$100+parametros_manuales!$F$24*(datos_base!$B$4+datos_base!$B$20+IF(parametros_manuales!$H$24="Todos",datos_base!$B$11+datos_base!$B$25,0))*parametros_manuales!$D$105+parametros_manuales!$G$24*(datos_base!$B$5+datos_base!$B$21+IF(parametros_manuales!$H$24="Todos",datos_base!$B$12+datos_base!$B$26,0))*parametros_manuales!$D$110)*parametros_manuales!$I$24*parametros_manuales!$J$24</f>
        <v>562.66303135705</v>
      </c>
      <c r="E7" s="9" t="n">
        <f aca="false">(parametros_manuales!$D$24*(datos_base!$B$2+datos_base!$B$18+IF(parametros_manuales!$H$24="Todos",datos_base!$B$9+datos_base!$B$23,0))*parametros_manuales!$E$95+parametros_manuales!$E$24*(datos_base!$B$3+datos_base!$B$19+IF(parametros_manuales!$H$24="Todos",datos_base!$B$10+datos_base!$B$24,0))*parametros_manuales!$E$100+parametros_manuales!$F$24*(datos_base!$B$4+datos_base!$B$20+IF(parametros_manuales!$H$24="Todos",datos_base!$B$11+datos_base!$B$25,0))*parametros_manuales!$E$105+parametros_manuales!$G$24*(datos_base!$B$5+datos_base!$B$21+IF(parametros_manuales!$H$24="Todos",datos_base!$B$12+datos_base!$B$26,0))*parametros_manuales!$E$110)*parametros_manuales!$I$24*parametros_manuales!$J$24</f>
        <v>541.76934864205</v>
      </c>
      <c r="F7" s="9" t="n">
        <f aca="false">(parametros_manuales!$D$24*(datos_base!$B$2+datos_base!$B$18+IF(parametros_manuales!$H$24="Todos",datos_base!$B$9+datos_base!$B$23,0))*parametros_manuales!$F$95+parametros_manuales!$E$24*(datos_base!$B$3+datos_base!$B$19+IF(parametros_manuales!$H$24="Todos",datos_base!$B$10+datos_base!$B$24,0))*parametros_manuales!$F$100+parametros_manuales!$F$24*(datos_base!$B$4+datos_base!$B$20+IF(parametros_manuales!$H$24="Todos",datos_base!$B$11+datos_base!$B$25,0))*parametros_manuales!$F$105+parametros_manuales!$G$24*(datos_base!$B$5+datos_base!$B$21+IF(parametros_manuales!$H$24="Todos",datos_base!$B$12+datos_base!$B$26,0))*parametros_manuales!$F$110)*parametros_manuales!$I$24*parametros_manuales!$J$24</f>
        <v>507.4424831084</v>
      </c>
      <c r="G7" s="9" t="n">
        <f aca="false">(parametros_manuales!$D$24*(datos_base!$B$2+datos_base!$B$18+IF(parametros_manuales!$H$24="Todos",datos_base!$B$9+datos_base!$B$23,0))*parametros_manuales!$G$95+parametros_manuales!$E$24*(datos_base!$B$3+datos_base!$B$19+IF(parametros_manuales!$H$24="Todos",datos_base!$B$10+datos_base!$B$24,0))*parametros_manuales!$G$100+parametros_manuales!$F$24*(datos_base!$B$4+datos_base!$B$20+IF(parametros_manuales!$H$24="Todos",datos_base!$B$11+datos_base!$B$25,0))*parametros_manuales!$G$105+parametros_manuales!$G$24*(datos_base!$B$5+datos_base!$B$21+IF(parametros_manuales!$H$24="Todos",datos_base!$B$12+datos_base!$B$26,0))*parametros_manuales!$G$110)*parametros_manuales!$I$24*parametros_manuales!$J$24</f>
        <v>494.00930028975</v>
      </c>
      <c r="H7" s="9" t="n">
        <f aca="false">(parametros_manuales!$D$24*(datos_base!$B$2+datos_base!$B$18+IF(parametros_manuales!$H$24="Todos",datos_base!$B$9+datos_base!$B$23,0))*parametros_manuales!$H$95+parametros_manuales!$E$24*(datos_base!$B$3+datos_base!$B$19+IF(parametros_manuales!$H$24="Todos",datos_base!$B$10+datos_base!$B$24,0))*parametros_manuales!$H$100+parametros_manuales!$F$24*(datos_base!$B$4+datos_base!$B$20+IF(parametros_manuales!$H$24="Todos",datos_base!$B$11+datos_base!$B$25,0))*parametros_manuales!$H$105+parametros_manuales!$G$24*(datos_base!$B$5+datos_base!$B$21+IF(parametros_manuales!$H$24="Todos",datos_base!$B$12+datos_base!$B$26,0))*parametros_manuales!$H$110)*parametros_manuales!$I$24*parametros_manuales!$J$24</f>
        <v>528.3361658234</v>
      </c>
      <c r="I7" s="9" t="n">
        <f aca="false">(parametros_manuales!$D$24*(datos_base!$B$2+datos_base!$B$18+IF(parametros_manuales!$H$24="Todos",datos_base!$B$9+datos_base!$B$23,0))*parametros_manuales!$I$95+parametros_manuales!$E$24*(datos_base!$B$3+datos_base!$B$19+IF(parametros_manuales!$H$24="Todos",datos_base!$B$10+datos_base!$B$24,0))*parametros_manuales!$I$100+parametros_manuales!$F$24*(datos_base!$B$4+datos_base!$B$20+IF(parametros_manuales!$H$24="Todos",datos_base!$B$11+datos_base!$B$25,0))*parametros_manuales!$I$105+parametros_manuales!$G$24*(datos_base!$B$5+datos_base!$B$21+IF(parametros_manuales!$H$24="Todos",datos_base!$B$12+datos_base!$B$26,0))*parametros_manuales!$I$110)*parametros_manuales!$I$24*parametros_manuales!$J$24</f>
        <v>591.0172139684</v>
      </c>
      <c r="J7" s="9" t="n">
        <f aca="false">(parametros_manuales!$D$24*(datos_base!$B$2+datos_base!$B$18+IF(parametros_manuales!$H$24="Todos",datos_base!$B$9+datos_base!$B$23,0))*parametros_manuales!$J$95+parametros_manuales!$E$24*(datos_base!$B$3+datos_base!$B$19+IF(parametros_manuales!$H$24="Todos",datos_base!$B$10+datos_base!$B$24,0))*parametros_manuales!$J$100+parametros_manuales!$F$24*(datos_base!$B$4+datos_base!$B$20+IF(parametros_manuales!$H$24="Todos",datos_base!$B$11+datos_base!$B$25,0))*parametros_manuales!$J$105+parametros_manuales!$G$24*(datos_base!$B$5+datos_base!$B$21+IF(parametros_manuales!$H$24="Todos",datos_base!$B$12+datos_base!$B$26,0))*parametros_manuales!$J$110)*parametros_manuales!$I$24*parametros_manuales!$J$24</f>
        <v>591.0172139684</v>
      </c>
      <c r="K7" s="9" t="n">
        <f aca="false">(parametros_manuales!$D$24*(datos_base!$B$2+datos_base!$B$18+IF(parametros_manuales!$H$24="Todos",datos_base!$B$9+datos_base!$B$23,0))*parametros_manuales!$K$95+parametros_manuales!$E$24*(datos_base!$B$3+datos_base!$B$19+IF(parametros_manuales!$H$24="Todos",datos_base!$B$10+datos_base!$B$24,0))*parametros_manuales!$K$100+parametros_manuales!$F$24*(datos_base!$B$4+datos_base!$B$20+IF(parametros_manuales!$H$24="Todos",datos_base!$B$11+datos_base!$B$25,0))*parametros_manuales!$K$105+parametros_manuales!$G$24*(datos_base!$B$5+datos_base!$B$21+IF(parametros_manuales!$H$24="Todos",datos_base!$B$12+datos_base!$B$26,0))*parametros_manuales!$K$110)*parametros_manuales!$I$24*parametros_manuales!$J$24</f>
        <v>604.45039678705</v>
      </c>
      <c r="L7" s="9" t="n">
        <f aca="false">(parametros_manuales!$D$24*(datos_base!$B$2+datos_base!$B$18+IF(parametros_manuales!$H$24="Todos",datos_base!$B$9+datos_base!$B$23,0))*parametros_manuales!$L$95+parametros_manuales!$E$24*(datos_base!$B$3+datos_base!$B$19+IF(parametros_manuales!$H$24="Todos",datos_base!$B$10+datos_base!$B$24,0))*parametros_manuales!$L$100+parametros_manuales!$F$24*(datos_base!$B$4+datos_base!$B$20+IF(parametros_manuales!$H$24="Todos",datos_base!$B$11+datos_base!$B$25,0))*parametros_manuales!$L$105+parametros_manuales!$G$24*(datos_base!$B$5+datos_base!$B$21+IF(parametros_manuales!$H$24="Todos",datos_base!$B$12+datos_base!$B$26,0))*parametros_manuales!$L$110)*parametros_manuales!$I$24*parametros_manuales!$J$24</f>
        <v>617.8835796057</v>
      </c>
      <c r="M7" s="9" t="n">
        <f aca="false">(parametros_manuales!$D$24*(datos_base!$B$2+datos_base!$B$18+IF(parametros_manuales!$H$24="Todos",datos_base!$B$9+datos_base!$B$23,0))*parametros_manuales!$M$95+parametros_manuales!$E$24*(datos_base!$B$3+datos_base!$B$19+IF(parametros_manuales!$H$24="Todos",datos_base!$B$10+datos_base!$B$24,0))*parametros_manuales!$M$100+parametros_manuales!$F$24*(datos_base!$B$4+datos_base!$B$20+IF(parametros_manuales!$H$24="Todos",datos_base!$B$11+datos_base!$B$25,0))*parametros_manuales!$M$105+parametros_manuales!$G$24*(datos_base!$B$5+datos_base!$B$21+IF(parametros_manuales!$H$24="Todos",datos_base!$B$12+datos_base!$B$26,0))*parametros_manuales!$M$110)*parametros_manuales!$I$24*parametros_manuales!$J$24</f>
        <v>617.8835796057</v>
      </c>
      <c r="N7" s="9" t="n">
        <f aca="false">SUM(B7:M7)</f>
        <v>6865.37310673</v>
      </c>
      <c r="O7" s="9" t="n">
        <f aca="false">MAX(B7:M7)</f>
        <v>617.8835796057</v>
      </c>
      <c r="P7" s="43" t="n">
        <f aca="false">O7/(parametros_manuales!$B$7)</f>
        <v>4.119223864038</v>
      </c>
      <c r="Q7" s="8" t="str">
        <f aca="false">IF(O7=0,"-",INDEX($B$1:$M$1,MATCH(O7,B7:M7,0)))</f>
        <v>Ene</v>
      </c>
    </row>
    <row r="8" customFormat="false" ht="14.25" hidden="false" customHeight="true" outlineLevel="0" collapsed="false">
      <c r="A8" s="8" t="str">
        <f aca="false">parametros_manuales!$B$25</f>
        <v>Soldadura del cuello a la cúpula</v>
      </c>
      <c r="B8" s="9" t="n">
        <f aca="false">(parametros_manuales!$D$25*(datos_base!$B$2+datos_base!$B$18+IF(parametros_manuales!$H$25="Todos",datos_base!$B$9+datos_base!$B$23,0))*parametros_manuales!$B$95+parametros_manuales!$E$25*(datos_base!$B$3+datos_base!$B$19+IF(parametros_manuales!$H$25="Todos",datos_base!$B$10+datos_base!$B$24,0))*parametros_manuales!$B$100+parametros_manuales!$F$25*(datos_base!$B$4+datos_base!$B$20+IF(parametros_manuales!$H$25="Todos",datos_base!$B$11+datos_base!$B$25,0))*parametros_manuales!$B$105+parametros_manuales!$G$25*(datos_base!$B$5+datos_base!$B$21+IF(parametros_manuales!$H$25="Todos",datos_base!$B$12+datos_base!$B$26,0))*parametros_manuales!$B$110)*parametros_manuales!$I$25*parametros_manuales!$J$25</f>
        <v>617.8835796057</v>
      </c>
      <c r="C8" s="9" t="n">
        <f aca="false">(parametros_manuales!$D$25*(datos_base!$B$2+datos_base!$B$18+IF(parametros_manuales!$H$25="Todos",datos_base!$B$9+datos_base!$B$23,0))*parametros_manuales!$C$95+parametros_manuales!$E$25*(datos_base!$B$3+datos_base!$B$19+IF(parametros_manuales!$H$25="Todos",datos_base!$B$10+datos_base!$B$24,0))*parametros_manuales!$C$100+parametros_manuales!$F$25*(datos_base!$B$4+datos_base!$B$20+IF(parametros_manuales!$H$25="Todos",datos_base!$B$11+datos_base!$B$25,0))*parametros_manuales!$C$105+parametros_manuales!$G$25*(datos_base!$B$5+datos_base!$B$21+IF(parametros_manuales!$H$25="Todos",datos_base!$B$12+datos_base!$B$26,0))*parametros_manuales!$C$110)*parametros_manuales!$I$25*parametros_manuales!$J$25</f>
        <v>591.0172139684</v>
      </c>
      <c r="D8" s="9" t="n">
        <f aca="false">(parametros_manuales!$D$25*(datos_base!$B$2+datos_base!$B$18+IF(parametros_manuales!$H$25="Todos",datos_base!$B$9+datos_base!$B$23,0))*parametros_manuales!$D$95+parametros_manuales!$E$25*(datos_base!$B$3+datos_base!$B$19+IF(parametros_manuales!$H$25="Todos",datos_base!$B$10+datos_base!$B$24,0))*parametros_manuales!$D$100+parametros_manuales!$F$25*(datos_base!$B$4+datos_base!$B$20+IF(parametros_manuales!$H$25="Todos",datos_base!$B$11+datos_base!$B$25,0))*parametros_manuales!$D$105+parametros_manuales!$G$25*(datos_base!$B$5+datos_base!$B$21+IF(parametros_manuales!$H$25="Todos",datos_base!$B$12+datos_base!$B$26,0))*parametros_manuales!$D$110)*parametros_manuales!$I$25*parametros_manuales!$J$25</f>
        <v>562.66303135705</v>
      </c>
      <c r="E8" s="9" t="n">
        <f aca="false">(parametros_manuales!$D$25*(datos_base!$B$2+datos_base!$B$18+IF(parametros_manuales!$H$25="Todos",datos_base!$B$9+datos_base!$B$23,0))*parametros_manuales!$E$95+parametros_manuales!$E$25*(datos_base!$B$3+datos_base!$B$19+IF(parametros_manuales!$H$25="Todos",datos_base!$B$10+datos_base!$B$24,0))*parametros_manuales!$E$100+parametros_manuales!$F$25*(datos_base!$B$4+datos_base!$B$20+IF(parametros_manuales!$H$25="Todos",datos_base!$B$11+datos_base!$B$25,0))*parametros_manuales!$E$105+parametros_manuales!$G$25*(datos_base!$B$5+datos_base!$B$21+IF(parametros_manuales!$H$25="Todos",datos_base!$B$12+datos_base!$B$26,0))*parametros_manuales!$E$110)*parametros_manuales!$I$25*parametros_manuales!$J$25</f>
        <v>541.76934864205</v>
      </c>
      <c r="F8" s="9" t="n">
        <f aca="false">(parametros_manuales!$D$25*(datos_base!$B$2+datos_base!$B$18+IF(parametros_manuales!$H$25="Todos",datos_base!$B$9+datos_base!$B$23,0))*parametros_manuales!$F$95+parametros_manuales!$E$25*(datos_base!$B$3+datos_base!$B$19+IF(parametros_manuales!$H$25="Todos",datos_base!$B$10+datos_base!$B$24,0))*parametros_manuales!$F$100+parametros_manuales!$F$25*(datos_base!$B$4+datos_base!$B$20+IF(parametros_manuales!$H$25="Todos",datos_base!$B$11+datos_base!$B$25,0))*parametros_manuales!$F$105+parametros_manuales!$G$25*(datos_base!$B$5+datos_base!$B$21+IF(parametros_manuales!$H$25="Todos",datos_base!$B$12+datos_base!$B$26,0))*parametros_manuales!$F$110)*parametros_manuales!$I$25*parametros_manuales!$J$25</f>
        <v>507.4424831084</v>
      </c>
      <c r="G8" s="9" t="n">
        <f aca="false">(parametros_manuales!$D$25*(datos_base!$B$2+datos_base!$B$18+IF(parametros_manuales!$H$25="Todos",datos_base!$B$9+datos_base!$B$23,0))*parametros_manuales!$G$95+parametros_manuales!$E$25*(datos_base!$B$3+datos_base!$B$19+IF(parametros_manuales!$H$25="Todos",datos_base!$B$10+datos_base!$B$24,0))*parametros_manuales!$G$100+parametros_manuales!$F$25*(datos_base!$B$4+datos_base!$B$20+IF(parametros_manuales!$H$25="Todos",datos_base!$B$11+datos_base!$B$25,0))*parametros_manuales!$G$105+parametros_manuales!$G$25*(datos_base!$B$5+datos_base!$B$21+IF(parametros_manuales!$H$25="Todos",datos_base!$B$12+datos_base!$B$26,0))*parametros_manuales!$G$110)*parametros_manuales!$I$25*parametros_manuales!$J$25</f>
        <v>494.00930028975</v>
      </c>
      <c r="H8" s="9" t="n">
        <f aca="false">(parametros_manuales!$D$25*(datos_base!$B$2+datos_base!$B$18+IF(parametros_manuales!$H$25="Todos",datos_base!$B$9+datos_base!$B$23,0))*parametros_manuales!$H$95+parametros_manuales!$E$25*(datos_base!$B$3+datos_base!$B$19+IF(parametros_manuales!$H$25="Todos",datos_base!$B$10+datos_base!$B$24,0))*parametros_manuales!$H$100+parametros_manuales!$F$25*(datos_base!$B$4+datos_base!$B$20+IF(parametros_manuales!$H$25="Todos",datos_base!$B$11+datos_base!$B$25,0))*parametros_manuales!$H$105+parametros_manuales!$G$25*(datos_base!$B$5+datos_base!$B$21+IF(parametros_manuales!$H$25="Todos",datos_base!$B$12+datos_base!$B$26,0))*parametros_manuales!$H$110)*parametros_manuales!$I$25*parametros_manuales!$J$25</f>
        <v>528.3361658234</v>
      </c>
      <c r="I8" s="9" t="n">
        <f aca="false">(parametros_manuales!$D$25*(datos_base!$B$2+datos_base!$B$18+IF(parametros_manuales!$H$25="Todos",datos_base!$B$9+datos_base!$B$23,0))*parametros_manuales!$I$95+parametros_manuales!$E$25*(datos_base!$B$3+datos_base!$B$19+IF(parametros_manuales!$H$25="Todos",datos_base!$B$10+datos_base!$B$24,0))*parametros_manuales!$I$100+parametros_manuales!$F$25*(datos_base!$B$4+datos_base!$B$20+IF(parametros_manuales!$H$25="Todos",datos_base!$B$11+datos_base!$B$25,0))*parametros_manuales!$I$105+parametros_manuales!$G$25*(datos_base!$B$5+datos_base!$B$21+IF(parametros_manuales!$H$25="Todos",datos_base!$B$12+datos_base!$B$26,0))*parametros_manuales!$I$110)*parametros_manuales!$I$25*parametros_manuales!$J$25</f>
        <v>591.0172139684</v>
      </c>
      <c r="J8" s="9" t="n">
        <f aca="false">(parametros_manuales!$D$25*(datos_base!$B$2+datos_base!$B$18+IF(parametros_manuales!$H$25="Todos",datos_base!$B$9+datos_base!$B$23,0))*parametros_manuales!$J$95+parametros_manuales!$E$25*(datos_base!$B$3+datos_base!$B$19+IF(parametros_manuales!$H$25="Todos",datos_base!$B$10+datos_base!$B$24,0))*parametros_manuales!$J$100+parametros_manuales!$F$25*(datos_base!$B$4+datos_base!$B$20+IF(parametros_manuales!$H$25="Todos",datos_base!$B$11+datos_base!$B$25,0))*parametros_manuales!$J$105+parametros_manuales!$G$25*(datos_base!$B$5+datos_base!$B$21+IF(parametros_manuales!$H$25="Todos",datos_base!$B$12+datos_base!$B$26,0))*parametros_manuales!$J$110)*parametros_manuales!$I$25*parametros_manuales!$J$25</f>
        <v>591.0172139684</v>
      </c>
      <c r="K8" s="9" t="n">
        <f aca="false">(parametros_manuales!$D$25*(datos_base!$B$2+datos_base!$B$18+IF(parametros_manuales!$H$25="Todos",datos_base!$B$9+datos_base!$B$23,0))*parametros_manuales!$K$95+parametros_manuales!$E$25*(datos_base!$B$3+datos_base!$B$19+IF(parametros_manuales!$H$25="Todos",datos_base!$B$10+datos_base!$B$24,0))*parametros_manuales!$K$100+parametros_manuales!$F$25*(datos_base!$B$4+datos_base!$B$20+IF(parametros_manuales!$H$25="Todos",datos_base!$B$11+datos_base!$B$25,0))*parametros_manuales!$K$105+parametros_manuales!$G$25*(datos_base!$B$5+datos_base!$B$21+IF(parametros_manuales!$H$25="Todos",datos_base!$B$12+datos_base!$B$26,0))*parametros_manuales!$K$110)*parametros_manuales!$I$25*parametros_manuales!$J$25</f>
        <v>604.45039678705</v>
      </c>
      <c r="L8" s="9" t="n">
        <f aca="false">(parametros_manuales!$D$25*(datos_base!$B$2+datos_base!$B$18+IF(parametros_manuales!$H$25="Todos",datos_base!$B$9+datos_base!$B$23,0))*parametros_manuales!$L$95+parametros_manuales!$E$25*(datos_base!$B$3+datos_base!$B$19+IF(parametros_manuales!$H$25="Todos",datos_base!$B$10+datos_base!$B$24,0))*parametros_manuales!$L$100+parametros_manuales!$F$25*(datos_base!$B$4+datos_base!$B$20+IF(parametros_manuales!$H$25="Todos",datos_base!$B$11+datos_base!$B$25,0))*parametros_manuales!$L$105+parametros_manuales!$G$25*(datos_base!$B$5+datos_base!$B$21+IF(parametros_manuales!$H$25="Todos",datos_base!$B$12+datos_base!$B$26,0))*parametros_manuales!$L$110)*parametros_manuales!$I$25*parametros_manuales!$J$25</f>
        <v>617.8835796057</v>
      </c>
      <c r="M8" s="9" t="n">
        <f aca="false">(parametros_manuales!$D$25*(datos_base!$B$2+datos_base!$B$18+IF(parametros_manuales!$H$25="Todos",datos_base!$B$9+datos_base!$B$23,0))*parametros_manuales!$M$95+parametros_manuales!$E$25*(datos_base!$B$3+datos_base!$B$19+IF(parametros_manuales!$H$25="Todos",datos_base!$B$10+datos_base!$B$24,0))*parametros_manuales!$M$100+parametros_manuales!$F$25*(datos_base!$B$4+datos_base!$B$20+IF(parametros_manuales!$H$25="Todos",datos_base!$B$11+datos_base!$B$25,0))*parametros_manuales!$M$105+parametros_manuales!$G$25*(datos_base!$B$5+datos_base!$B$21+IF(parametros_manuales!$H$25="Todos",datos_base!$B$12+datos_base!$B$26,0))*parametros_manuales!$M$110)*parametros_manuales!$I$25*parametros_manuales!$J$25</f>
        <v>617.8835796057</v>
      </c>
      <c r="N8" s="9" t="n">
        <f aca="false">SUM(B8:M8)</f>
        <v>6865.37310673</v>
      </c>
      <c r="O8" s="9" t="n">
        <f aca="false">MAX(B8:M8)</f>
        <v>617.8835796057</v>
      </c>
      <c r="P8" s="43" t="n">
        <f aca="false">O8/(parametros_manuales!$B$7)</f>
        <v>4.119223864038</v>
      </c>
      <c r="Q8" s="8" t="str">
        <f aca="false">IF(O8=0,"-",INDEX($B$1:$M$1,MATCH(O8,B8:M8,0)))</f>
        <v>Ene</v>
      </c>
    </row>
    <row r="9" customFormat="false" ht="14.25" hidden="false" customHeight="true" outlineLevel="0" collapsed="false">
      <c r="A9" s="8" t="str">
        <f aca="false">parametros_manuales!$B$26</f>
        <v>Cilindrado</v>
      </c>
      <c r="B9" s="9" t="n">
        <f aca="false">(parametros_manuales!$D$26*(datos_base!$B$2+datos_base!$B$18+IF(parametros_manuales!$H$26="Todos",datos_base!$B$9+datos_base!$B$23,0))*parametros_manuales!$B$95+parametros_manuales!$E$26*(datos_base!$B$3+datos_base!$B$19+IF(parametros_manuales!$H$26="Todos",datos_base!$B$10+datos_base!$B$24,0))*parametros_manuales!$B$100+parametros_manuales!$F$26*(datos_base!$B$4+datos_base!$B$20+IF(parametros_manuales!$H$26="Todos",datos_base!$B$11+datos_base!$B$25,0))*parametros_manuales!$B$105+parametros_manuales!$G$26*(datos_base!$B$5+datos_base!$B$21+IF(parametros_manuales!$H$26="Todos",datos_base!$B$12+datos_base!$B$26,0))*parametros_manuales!$B$110)*parametros_manuales!$I$26*parametros_manuales!$J$26</f>
        <v>241.7972907357</v>
      </c>
      <c r="C9" s="9" t="n">
        <f aca="false">(parametros_manuales!$D$26*(datos_base!$B$2+datos_base!$B$18+IF(parametros_manuales!$H$26="Todos",datos_base!$B$9+datos_base!$B$23,0))*parametros_manuales!$C$95+parametros_manuales!$E$26*(datos_base!$B$3+datos_base!$B$19+IF(parametros_manuales!$H$26="Todos",datos_base!$B$10+datos_base!$B$24,0))*parametros_manuales!$C$100+parametros_manuales!$F$26*(datos_base!$B$4+datos_base!$B$20+IF(parametros_manuales!$H$26="Todos",datos_base!$B$11+datos_base!$B$25,0))*parametros_manuales!$C$105+parametros_manuales!$G$26*(datos_base!$B$5+datos_base!$B$21+IF(parametros_manuales!$H$26="Todos",datos_base!$B$12+datos_base!$B$26,0))*parametros_manuales!$C$110)*parametros_manuales!$I$26*parametros_manuales!$J$26</f>
        <v>214.9309250984</v>
      </c>
      <c r="D9" s="9" t="n">
        <f aca="false">(parametros_manuales!$D$26*(datos_base!$B$2+datos_base!$B$18+IF(parametros_manuales!$H$26="Todos",datos_base!$B$9+datos_base!$B$23,0))*parametros_manuales!$D$95+parametros_manuales!$E$26*(datos_base!$B$3+datos_base!$B$19+IF(parametros_manuales!$H$26="Todos",datos_base!$B$10+datos_base!$B$24,0))*parametros_manuales!$D$100+parametros_manuales!$F$26*(datos_base!$B$4+datos_base!$B$20+IF(parametros_manuales!$H$26="Todos",datos_base!$B$11+datos_base!$B$25,0))*parametros_manuales!$D$105+parametros_manuales!$G$26*(datos_base!$B$5+datos_base!$B$21+IF(parametros_manuales!$H$26="Todos",datos_base!$B$12+datos_base!$B$26,0))*parametros_manuales!$D$110)*parametros_manuales!$I$26*parametros_manuales!$J$26</f>
        <v>228.36410791705</v>
      </c>
      <c r="E9" s="9" t="n">
        <f aca="false">(parametros_manuales!$D$26*(datos_base!$B$2+datos_base!$B$18+IF(parametros_manuales!$H$26="Todos",datos_base!$B$9+datos_base!$B$23,0))*parametros_manuales!$E$95+parametros_manuales!$E$26*(datos_base!$B$3+datos_base!$B$19+IF(parametros_manuales!$H$26="Todos",datos_base!$B$10+datos_base!$B$24,0))*parametros_manuales!$E$100+parametros_manuales!$F$26*(datos_base!$B$4+datos_base!$B$20+IF(parametros_manuales!$H$26="Todos",datos_base!$B$11+datos_base!$B$25,0))*parametros_manuales!$E$105+parametros_manuales!$G$26*(datos_base!$B$5+datos_base!$B$21+IF(parametros_manuales!$H$26="Todos",datos_base!$B$12+datos_base!$B$26,0))*parametros_manuales!$E$110)*parametros_manuales!$I$26*parametros_manuales!$J$26</f>
        <v>228.36410791705</v>
      </c>
      <c r="F9" s="9" t="n">
        <f aca="false">(parametros_manuales!$D$26*(datos_base!$B$2+datos_base!$B$18+IF(parametros_manuales!$H$26="Todos",datos_base!$B$9+datos_base!$B$23,0))*parametros_manuales!$F$95+parametros_manuales!$E$26*(datos_base!$B$3+datos_base!$B$19+IF(parametros_manuales!$H$26="Todos",datos_base!$B$10+datos_base!$B$24,0))*parametros_manuales!$F$100+parametros_manuales!$F$26*(datos_base!$B$4+datos_base!$B$20+IF(parametros_manuales!$H$26="Todos",datos_base!$B$11+datos_base!$B$25,0))*parametros_manuales!$F$105+parametros_manuales!$G$26*(datos_base!$B$5+datos_base!$B$21+IF(parametros_manuales!$H$26="Todos",datos_base!$B$12+datos_base!$B$26,0))*parametros_manuales!$F$110)*parametros_manuales!$I$26*parametros_manuales!$J$26</f>
        <v>214.9309250984</v>
      </c>
      <c r="G9" s="9" t="n">
        <f aca="false">(parametros_manuales!$D$26*(datos_base!$B$2+datos_base!$B$18+IF(parametros_manuales!$H$26="Todos",datos_base!$B$9+datos_base!$B$23,0))*parametros_manuales!$G$95+parametros_manuales!$E$26*(datos_base!$B$3+datos_base!$B$19+IF(parametros_manuales!$H$26="Todos",datos_base!$B$10+datos_base!$B$24,0))*parametros_manuales!$G$100+parametros_manuales!$F$26*(datos_base!$B$4+datos_base!$B$20+IF(parametros_manuales!$H$26="Todos",datos_base!$B$11+datos_base!$B$25,0))*parametros_manuales!$G$105+parametros_manuales!$G$26*(datos_base!$B$5+datos_base!$B$21+IF(parametros_manuales!$H$26="Todos",datos_base!$B$12+datos_base!$B$26,0))*parametros_manuales!$G$110)*parametros_manuales!$I$26*parametros_manuales!$J$26</f>
        <v>201.49774227975</v>
      </c>
      <c r="H9" s="9" t="n">
        <f aca="false">(parametros_manuales!$D$26*(datos_base!$B$2+datos_base!$B$18+IF(parametros_manuales!$H$26="Todos",datos_base!$B$9+datos_base!$B$23,0))*parametros_manuales!$H$95+parametros_manuales!$E$26*(datos_base!$B$3+datos_base!$B$19+IF(parametros_manuales!$H$26="Todos",datos_base!$B$10+datos_base!$B$24,0))*parametros_manuales!$H$100+parametros_manuales!$F$26*(datos_base!$B$4+datos_base!$B$20+IF(parametros_manuales!$H$26="Todos",datos_base!$B$11+datos_base!$B$25,0))*parametros_manuales!$H$105+parametros_manuales!$G$26*(datos_base!$B$5+datos_base!$B$21+IF(parametros_manuales!$H$26="Todos",datos_base!$B$12+datos_base!$B$26,0))*parametros_manuales!$H$110)*parametros_manuales!$I$26*parametros_manuales!$J$26</f>
        <v>214.9309250984</v>
      </c>
      <c r="I9" s="9" t="n">
        <f aca="false">(parametros_manuales!$D$26*(datos_base!$B$2+datos_base!$B$18+IF(parametros_manuales!$H$26="Todos",datos_base!$B$9+datos_base!$B$23,0))*parametros_manuales!$I$95+parametros_manuales!$E$26*(datos_base!$B$3+datos_base!$B$19+IF(parametros_manuales!$H$26="Todos",datos_base!$B$10+datos_base!$B$24,0))*parametros_manuales!$I$100+parametros_manuales!$F$26*(datos_base!$B$4+datos_base!$B$20+IF(parametros_manuales!$H$26="Todos",datos_base!$B$11+datos_base!$B$25,0))*parametros_manuales!$I$105+parametros_manuales!$G$26*(datos_base!$B$5+datos_base!$B$21+IF(parametros_manuales!$H$26="Todos",datos_base!$B$12+datos_base!$B$26,0))*parametros_manuales!$I$110)*parametros_manuales!$I$26*parametros_manuales!$J$26</f>
        <v>214.9309250984</v>
      </c>
      <c r="J9" s="9" t="n">
        <f aca="false">(parametros_manuales!$D$26*(datos_base!$B$2+datos_base!$B$18+IF(parametros_manuales!$H$26="Todos",datos_base!$B$9+datos_base!$B$23,0))*parametros_manuales!$J$95+parametros_manuales!$E$26*(datos_base!$B$3+datos_base!$B$19+IF(parametros_manuales!$H$26="Todos",datos_base!$B$10+datos_base!$B$24,0))*parametros_manuales!$J$100+parametros_manuales!$F$26*(datos_base!$B$4+datos_base!$B$20+IF(parametros_manuales!$H$26="Todos",datos_base!$B$11+datos_base!$B$25,0))*parametros_manuales!$J$105+parametros_manuales!$G$26*(datos_base!$B$5+datos_base!$B$21+IF(parametros_manuales!$H$26="Todos",datos_base!$B$12+datos_base!$B$26,0))*parametros_manuales!$J$110)*parametros_manuales!$I$26*parametros_manuales!$J$26</f>
        <v>214.9309250984</v>
      </c>
      <c r="K9" s="9" t="n">
        <f aca="false">(parametros_manuales!$D$26*(datos_base!$B$2+datos_base!$B$18+IF(parametros_manuales!$H$26="Todos",datos_base!$B$9+datos_base!$B$23,0))*parametros_manuales!$K$95+parametros_manuales!$E$26*(datos_base!$B$3+datos_base!$B$19+IF(parametros_manuales!$H$26="Todos",datos_base!$B$10+datos_base!$B$24,0))*parametros_manuales!$K$100+parametros_manuales!$F$26*(datos_base!$B$4+datos_base!$B$20+IF(parametros_manuales!$H$26="Todos",datos_base!$B$11+datos_base!$B$25,0))*parametros_manuales!$K$105+parametros_manuales!$G$26*(datos_base!$B$5+datos_base!$B$21+IF(parametros_manuales!$H$26="Todos",datos_base!$B$12+datos_base!$B$26,0))*parametros_manuales!$K$110)*parametros_manuales!$I$26*parametros_manuales!$J$26</f>
        <v>228.36410791705</v>
      </c>
      <c r="L9" s="9" t="n">
        <f aca="false">(parametros_manuales!$D$26*(datos_base!$B$2+datos_base!$B$18+IF(parametros_manuales!$H$26="Todos",datos_base!$B$9+datos_base!$B$23,0))*parametros_manuales!$L$95+parametros_manuales!$E$26*(datos_base!$B$3+datos_base!$B$19+IF(parametros_manuales!$H$26="Todos",datos_base!$B$10+datos_base!$B$24,0))*parametros_manuales!$L$100+parametros_manuales!$F$26*(datos_base!$B$4+datos_base!$B$20+IF(parametros_manuales!$H$26="Todos",datos_base!$B$11+datos_base!$B$25,0))*parametros_manuales!$L$105+parametros_manuales!$G$26*(datos_base!$B$5+datos_base!$B$21+IF(parametros_manuales!$H$26="Todos",datos_base!$B$12+datos_base!$B$26,0))*parametros_manuales!$L$110)*parametros_manuales!$I$26*parametros_manuales!$J$26</f>
        <v>241.7972907357</v>
      </c>
      <c r="M9" s="9" t="n">
        <f aca="false">(parametros_manuales!$D$26*(datos_base!$B$2+datos_base!$B$18+IF(parametros_manuales!$H$26="Todos",datos_base!$B$9+datos_base!$B$23,0))*parametros_manuales!$M$95+parametros_manuales!$E$26*(datos_base!$B$3+datos_base!$B$19+IF(parametros_manuales!$H$26="Todos",datos_base!$B$10+datos_base!$B$24,0))*parametros_manuales!$M$100+parametros_manuales!$F$26*(datos_base!$B$4+datos_base!$B$20+IF(parametros_manuales!$H$26="Todos",datos_base!$B$11+datos_base!$B$25,0))*parametros_manuales!$M$105+parametros_manuales!$G$26*(datos_base!$B$5+datos_base!$B$21+IF(parametros_manuales!$H$26="Todos",datos_base!$B$12+datos_base!$B$26,0))*parametros_manuales!$M$110)*parametros_manuales!$I$26*parametros_manuales!$J$26</f>
        <v>241.7972907357</v>
      </c>
      <c r="N9" s="9" t="n">
        <f aca="false">SUM(B9:M9)</f>
        <v>2686.63656373</v>
      </c>
      <c r="O9" s="9" t="n">
        <f aca="false">MAX(B9:M9)</f>
        <v>241.7972907357</v>
      </c>
      <c r="P9" s="43" t="n">
        <f aca="false">O9/(parametros_manuales!$B$7)</f>
        <v>1.611981938238</v>
      </c>
      <c r="Q9" s="8" t="str">
        <f aca="false">IF(O9=0,"-",INDEX($B$1:$M$1,MATCH(O9,B9:M9,0)))</f>
        <v>Ene</v>
      </c>
    </row>
    <row r="10" customFormat="false" ht="14.25" hidden="false" customHeight="true" outlineLevel="0" collapsed="false">
      <c r="A10" s="8" t="str">
        <f aca="false">parametros_manuales!$B$27</f>
        <v>Soldadura longitudinal</v>
      </c>
      <c r="B10" s="9" t="n">
        <f aca="false">(parametros_manuales!$D$27*(datos_base!$B$2+datos_base!$B$18+IF(parametros_manuales!$H$27="Todos",datos_base!$B$9+datos_base!$B$23,0))*parametros_manuales!$B$95+parametros_manuales!$E$27*(datos_base!$B$3+datos_base!$B$19+IF(parametros_manuales!$H$27="Todos",datos_base!$B$10+datos_base!$B$24,0))*parametros_manuales!$B$100+parametros_manuales!$F$27*(datos_base!$B$4+datos_base!$B$20+IF(parametros_manuales!$H$27="Todos",datos_base!$B$11+datos_base!$B$25,0))*parametros_manuales!$B$105+parametros_manuales!$G$27*(datos_base!$B$5+datos_base!$B$21+IF(parametros_manuales!$H$27="Todos",datos_base!$B$12+datos_base!$B$26,0))*parametros_manuales!$B$110)*parametros_manuales!$I$27*parametros_manuales!$J$27</f>
        <v>241.7972907357</v>
      </c>
      <c r="C10" s="9" t="n">
        <f aca="false">(parametros_manuales!$D$27*(datos_base!$B$2+datos_base!$B$18+IF(parametros_manuales!$H$27="Todos",datos_base!$B$9+datos_base!$B$23,0))*parametros_manuales!$C$95+parametros_manuales!$E$27*(datos_base!$B$3+datos_base!$B$19+IF(parametros_manuales!$H$27="Todos",datos_base!$B$10+datos_base!$B$24,0))*parametros_manuales!$C$100+parametros_manuales!$F$27*(datos_base!$B$4+datos_base!$B$20+IF(parametros_manuales!$H$27="Todos",datos_base!$B$11+datos_base!$B$25,0))*parametros_manuales!$C$105+parametros_manuales!$G$27*(datos_base!$B$5+datos_base!$B$21+IF(parametros_manuales!$H$27="Todos",datos_base!$B$12+datos_base!$B$26,0))*parametros_manuales!$C$110)*parametros_manuales!$I$27*parametros_manuales!$J$27</f>
        <v>214.9309250984</v>
      </c>
      <c r="D10" s="9" t="n">
        <f aca="false">(parametros_manuales!$D$27*(datos_base!$B$2+datos_base!$B$18+IF(parametros_manuales!$H$27="Todos",datos_base!$B$9+datos_base!$B$23,0))*parametros_manuales!$D$95+parametros_manuales!$E$27*(datos_base!$B$3+datos_base!$B$19+IF(parametros_manuales!$H$27="Todos",datos_base!$B$10+datos_base!$B$24,0))*parametros_manuales!$D$100+parametros_manuales!$F$27*(datos_base!$B$4+datos_base!$B$20+IF(parametros_manuales!$H$27="Todos",datos_base!$B$11+datos_base!$B$25,0))*parametros_manuales!$D$105+parametros_manuales!$G$27*(datos_base!$B$5+datos_base!$B$21+IF(parametros_manuales!$H$27="Todos",datos_base!$B$12+datos_base!$B$26,0))*parametros_manuales!$D$110)*parametros_manuales!$I$27*parametros_manuales!$J$27</f>
        <v>228.36410791705</v>
      </c>
      <c r="E10" s="9" t="n">
        <f aca="false">(parametros_manuales!$D$27*(datos_base!$B$2+datos_base!$B$18+IF(parametros_manuales!$H$27="Todos",datos_base!$B$9+datos_base!$B$23,0))*parametros_manuales!$E$95+parametros_manuales!$E$27*(datos_base!$B$3+datos_base!$B$19+IF(parametros_manuales!$H$27="Todos",datos_base!$B$10+datos_base!$B$24,0))*parametros_manuales!$E$100+parametros_manuales!$F$27*(datos_base!$B$4+datos_base!$B$20+IF(parametros_manuales!$H$27="Todos",datos_base!$B$11+datos_base!$B$25,0))*parametros_manuales!$E$105+parametros_manuales!$G$27*(datos_base!$B$5+datos_base!$B$21+IF(parametros_manuales!$H$27="Todos",datos_base!$B$12+datos_base!$B$26,0))*parametros_manuales!$E$110)*parametros_manuales!$I$27*parametros_manuales!$J$27</f>
        <v>228.36410791705</v>
      </c>
      <c r="F10" s="9" t="n">
        <f aca="false">(parametros_manuales!$D$27*(datos_base!$B$2+datos_base!$B$18+IF(parametros_manuales!$H$27="Todos",datos_base!$B$9+datos_base!$B$23,0))*parametros_manuales!$F$95+parametros_manuales!$E$27*(datos_base!$B$3+datos_base!$B$19+IF(parametros_manuales!$H$27="Todos",datos_base!$B$10+datos_base!$B$24,0))*parametros_manuales!$F$100+parametros_manuales!$F$27*(datos_base!$B$4+datos_base!$B$20+IF(parametros_manuales!$H$27="Todos",datos_base!$B$11+datos_base!$B$25,0))*parametros_manuales!$F$105+parametros_manuales!$G$27*(datos_base!$B$5+datos_base!$B$21+IF(parametros_manuales!$H$27="Todos",datos_base!$B$12+datos_base!$B$26,0))*parametros_manuales!$F$110)*parametros_manuales!$I$27*parametros_manuales!$J$27</f>
        <v>214.9309250984</v>
      </c>
      <c r="G10" s="9" t="n">
        <f aca="false">(parametros_manuales!$D$27*(datos_base!$B$2+datos_base!$B$18+IF(parametros_manuales!$H$27="Todos",datos_base!$B$9+datos_base!$B$23,0))*parametros_manuales!$G$95+parametros_manuales!$E$27*(datos_base!$B$3+datos_base!$B$19+IF(parametros_manuales!$H$27="Todos",datos_base!$B$10+datos_base!$B$24,0))*parametros_manuales!$G$100+parametros_manuales!$F$27*(datos_base!$B$4+datos_base!$B$20+IF(parametros_manuales!$H$27="Todos",datos_base!$B$11+datos_base!$B$25,0))*parametros_manuales!$G$105+parametros_manuales!$G$27*(datos_base!$B$5+datos_base!$B$21+IF(parametros_manuales!$H$27="Todos",datos_base!$B$12+datos_base!$B$26,0))*parametros_manuales!$G$110)*parametros_manuales!$I$27*parametros_manuales!$J$27</f>
        <v>201.49774227975</v>
      </c>
      <c r="H10" s="9" t="n">
        <f aca="false">(parametros_manuales!$D$27*(datos_base!$B$2+datos_base!$B$18+IF(parametros_manuales!$H$27="Todos",datos_base!$B$9+datos_base!$B$23,0))*parametros_manuales!$H$95+parametros_manuales!$E$27*(datos_base!$B$3+datos_base!$B$19+IF(parametros_manuales!$H$27="Todos",datos_base!$B$10+datos_base!$B$24,0))*parametros_manuales!$H$100+parametros_manuales!$F$27*(datos_base!$B$4+datos_base!$B$20+IF(parametros_manuales!$H$27="Todos",datos_base!$B$11+datos_base!$B$25,0))*parametros_manuales!$H$105+parametros_manuales!$G$27*(datos_base!$B$5+datos_base!$B$21+IF(parametros_manuales!$H$27="Todos",datos_base!$B$12+datos_base!$B$26,0))*parametros_manuales!$H$110)*parametros_manuales!$I$27*parametros_manuales!$J$27</f>
        <v>214.9309250984</v>
      </c>
      <c r="I10" s="9" t="n">
        <f aca="false">(parametros_manuales!$D$27*(datos_base!$B$2+datos_base!$B$18+IF(parametros_manuales!$H$27="Todos",datos_base!$B$9+datos_base!$B$23,0))*parametros_manuales!$I$95+parametros_manuales!$E$27*(datos_base!$B$3+datos_base!$B$19+IF(parametros_manuales!$H$27="Todos",datos_base!$B$10+datos_base!$B$24,0))*parametros_manuales!$I$100+parametros_manuales!$F$27*(datos_base!$B$4+datos_base!$B$20+IF(parametros_manuales!$H$27="Todos",datos_base!$B$11+datos_base!$B$25,0))*parametros_manuales!$I$105+parametros_manuales!$G$27*(datos_base!$B$5+datos_base!$B$21+IF(parametros_manuales!$H$27="Todos",datos_base!$B$12+datos_base!$B$26,0))*parametros_manuales!$I$110)*parametros_manuales!$I$27*parametros_manuales!$J$27</f>
        <v>214.9309250984</v>
      </c>
      <c r="J10" s="9" t="n">
        <f aca="false">(parametros_manuales!$D$27*(datos_base!$B$2+datos_base!$B$18+IF(parametros_manuales!$H$27="Todos",datos_base!$B$9+datos_base!$B$23,0))*parametros_manuales!$J$95+parametros_manuales!$E$27*(datos_base!$B$3+datos_base!$B$19+IF(parametros_manuales!$H$27="Todos",datos_base!$B$10+datos_base!$B$24,0))*parametros_manuales!$J$100+parametros_manuales!$F$27*(datos_base!$B$4+datos_base!$B$20+IF(parametros_manuales!$H$27="Todos",datos_base!$B$11+datos_base!$B$25,0))*parametros_manuales!$J$105+parametros_manuales!$G$27*(datos_base!$B$5+datos_base!$B$21+IF(parametros_manuales!$H$27="Todos",datos_base!$B$12+datos_base!$B$26,0))*parametros_manuales!$J$110)*parametros_manuales!$I$27*parametros_manuales!$J$27</f>
        <v>214.9309250984</v>
      </c>
      <c r="K10" s="9" t="n">
        <f aca="false">(parametros_manuales!$D$27*(datos_base!$B$2+datos_base!$B$18+IF(parametros_manuales!$H$27="Todos",datos_base!$B$9+datos_base!$B$23,0))*parametros_manuales!$K$95+parametros_manuales!$E$27*(datos_base!$B$3+datos_base!$B$19+IF(parametros_manuales!$H$27="Todos",datos_base!$B$10+datos_base!$B$24,0))*parametros_manuales!$K$100+parametros_manuales!$F$27*(datos_base!$B$4+datos_base!$B$20+IF(parametros_manuales!$H$27="Todos",datos_base!$B$11+datos_base!$B$25,0))*parametros_manuales!$K$105+parametros_manuales!$G$27*(datos_base!$B$5+datos_base!$B$21+IF(parametros_manuales!$H$27="Todos",datos_base!$B$12+datos_base!$B$26,0))*parametros_manuales!$K$110)*parametros_manuales!$I$27*parametros_manuales!$J$27</f>
        <v>228.36410791705</v>
      </c>
      <c r="L10" s="9" t="n">
        <f aca="false">(parametros_manuales!$D$27*(datos_base!$B$2+datos_base!$B$18+IF(parametros_manuales!$H$27="Todos",datos_base!$B$9+datos_base!$B$23,0))*parametros_manuales!$L$95+parametros_manuales!$E$27*(datos_base!$B$3+datos_base!$B$19+IF(parametros_manuales!$H$27="Todos",datos_base!$B$10+datos_base!$B$24,0))*parametros_manuales!$L$100+parametros_manuales!$F$27*(datos_base!$B$4+datos_base!$B$20+IF(parametros_manuales!$H$27="Todos",datos_base!$B$11+datos_base!$B$25,0))*parametros_manuales!$L$105+parametros_manuales!$G$27*(datos_base!$B$5+datos_base!$B$21+IF(parametros_manuales!$H$27="Todos",datos_base!$B$12+datos_base!$B$26,0))*parametros_manuales!$L$110)*parametros_manuales!$I$27*parametros_manuales!$J$27</f>
        <v>241.7972907357</v>
      </c>
      <c r="M10" s="9" t="n">
        <f aca="false">(parametros_manuales!$D$27*(datos_base!$B$2+datos_base!$B$18+IF(parametros_manuales!$H$27="Todos",datos_base!$B$9+datos_base!$B$23,0))*parametros_manuales!$M$95+parametros_manuales!$E$27*(datos_base!$B$3+datos_base!$B$19+IF(parametros_manuales!$H$27="Todos",datos_base!$B$10+datos_base!$B$24,0))*parametros_manuales!$M$100+parametros_manuales!$F$27*(datos_base!$B$4+datos_base!$B$20+IF(parametros_manuales!$H$27="Todos",datos_base!$B$11+datos_base!$B$25,0))*parametros_manuales!$M$105+parametros_manuales!$G$27*(datos_base!$B$5+datos_base!$B$21+IF(parametros_manuales!$H$27="Todos",datos_base!$B$12+datos_base!$B$26,0))*parametros_manuales!$M$110)*parametros_manuales!$I$27*parametros_manuales!$J$27</f>
        <v>241.7972907357</v>
      </c>
      <c r="N10" s="9" t="n">
        <f aca="false">SUM(B10:M10)</f>
        <v>2686.63656373</v>
      </c>
      <c r="O10" s="9" t="n">
        <f aca="false">MAX(B10:M10)</f>
        <v>241.7972907357</v>
      </c>
      <c r="P10" s="43" t="n">
        <f aca="false">O10/(parametros_manuales!$B$7)</f>
        <v>1.611981938238</v>
      </c>
      <c r="Q10" s="8" t="str">
        <f aca="false">IF(O10=0,"-",INDEX($B$1:$M$1,MATCH(O10,B10:M10,0)))</f>
        <v>Ene</v>
      </c>
    </row>
    <row r="11" customFormat="false" ht="14.25" hidden="false" customHeight="true" outlineLevel="0" collapsed="false">
      <c r="A11" s="8" t="str">
        <f aca="false">parametros_manuales!$B$28</f>
        <v>Encastre de fondo</v>
      </c>
      <c r="B11" s="9" t="n">
        <f aca="false">(parametros_manuales!$D$28*(datos_base!$B$2+datos_base!$B$18+IF(parametros_manuales!$H$28="Todos",datos_base!$B$9+datos_base!$B$23,0))*parametros_manuales!$B$95+parametros_manuales!$E$28*(datos_base!$B$3+datos_base!$B$19+IF(parametros_manuales!$H$28="Todos",datos_base!$B$10+datos_base!$B$24,0))*parametros_manuales!$B$100+parametros_manuales!$F$28*(datos_base!$B$4+datos_base!$B$20+IF(parametros_manuales!$H$28="Todos",datos_base!$B$11+datos_base!$B$25,0))*parametros_manuales!$B$105+parametros_manuales!$G$28*(datos_base!$B$5+datos_base!$B$21+IF(parametros_manuales!$H$28="Todos",datos_base!$B$12+datos_base!$B$26,0))*parametros_manuales!$B$110)*parametros_manuales!$I$28*parametros_manuales!$J$28</f>
        <v>617.8835796057</v>
      </c>
      <c r="C11" s="9" t="n">
        <f aca="false">(parametros_manuales!$D$28*(datos_base!$B$2+datos_base!$B$18+IF(parametros_manuales!$H$28="Todos",datos_base!$B$9+datos_base!$B$23,0))*parametros_manuales!$C$95+parametros_manuales!$E$28*(datos_base!$B$3+datos_base!$B$19+IF(parametros_manuales!$H$28="Todos",datos_base!$B$10+datos_base!$B$24,0))*parametros_manuales!$C$100+parametros_manuales!$F$28*(datos_base!$B$4+datos_base!$B$20+IF(parametros_manuales!$H$28="Todos",datos_base!$B$11+datos_base!$B$25,0))*parametros_manuales!$C$105+parametros_manuales!$G$28*(datos_base!$B$5+datos_base!$B$21+IF(parametros_manuales!$H$28="Todos",datos_base!$B$12+datos_base!$B$26,0))*parametros_manuales!$C$110)*parametros_manuales!$I$28*parametros_manuales!$J$28</f>
        <v>591.0172139684</v>
      </c>
      <c r="D11" s="9" t="n">
        <f aca="false">(parametros_manuales!$D$28*(datos_base!$B$2+datos_base!$B$18+IF(parametros_manuales!$H$28="Todos",datos_base!$B$9+datos_base!$B$23,0))*parametros_manuales!$D$95+parametros_manuales!$E$28*(datos_base!$B$3+datos_base!$B$19+IF(parametros_manuales!$H$28="Todos",datos_base!$B$10+datos_base!$B$24,0))*parametros_manuales!$D$100+parametros_manuales!$F$28*(datos_base!$B$4+datos_base!$B$20+IF(parametros_manuales!$H$28="Todos",datos_base!$B$11+datos_base!$B$25,0))*parametros_manuales!$D$105+parametros_manuales!$G$28*(datos_base!$B$5+datos_base!$B$21+IF(parametros_manuales!$H$28="Todos",datos_base!$B$12+datos_base!$B$26,0))*parametros_manuales!$D$110)*parametros_manuales!$I$28*parametros_manuales!$J$28</f>
        <v>562.66303135705</v>
      </c>
      <c r="E11" s="9" t="n">
        <f aca="false">(parametros_manuales!$D$28*(datos_base!$B$2+datos_base!$B$18+IF(parametros_manuales!$H$28="Todos",datos_base!$B$9+datos_base!$B$23,0))*parametros_manuales!$E$95+parametros_manuales!$E$28*(datos_base!$B$3+datos_base!$B$19+IF(parametros_manuales!$H$28="Todos",datos_base!$B$10+datos_base!$B$24,0))*parametros_manuales!$E$100+parametros_manuales!$F$28*(datos_base!$B$4+datos_base!$B$20+IF(parametros_manuales!$H$28="Todos",datos_base!$B$11+datos_base!$B$25,0))*parametros_manuales!$E$105+parametros_manuales!$G$28*(datos_base!$B$5+datos_base!$B$21+IF(parametros_manuales!$H$28="Todos",datos_base!$B$12+datos_base!$B$26,0))*parametros_manuales!$E$110)*parametros_manuales!$I$28*parametros_manuales!$J$28</f>
        <v>541.76934864205</v>
      </c>
      <c r="F11" s="9" t="n">
        <f aca="false">(parametros_manuales!$D$28*(datos_base!$B$2+datos_base!$B$18+IF(parametros_manuales!$H$28="Todos",datos_base!$B$9+datos_base!$B$23,0))*parametros_manuales!$F$95+parametros_manuales!$E$28*(datos_base!$B$3+datos_base!$B$19+IF(parametros_manuales!$H$28="Todos",datos_base!$B$10+datos_base!$B$24,0))*parametros_manuales!$F$100+parametros_manuales!$F$28*(datos_base!$B$4+datos_base!$B$20+IF(parametros_manuales!$H$28="Todos",datos_base!$B$11+datos_base!$B$25,0))*parametros_manuales!$F$105+parametros_manuales!$G$28*(datos_base!$B$5+datos_base!$B$21+IF(parametros_manuales!$H$28="Todos",datos_base!$B$12+datos_base!$B$26,0))*parametros_manuales!$F$110)*parametros_manuales!$I$28*parametros_manuales!$J$28</f>
        <v>507.4424831084</v>
      </c>
      <c r="G11" s="9" t="n">
        <f aca="false">(parametros_manuales!$D$28*(datos_base!$B$2+datos_base!$B$18+IF(parametros_manuales!$H$28="Todos",datos_base!$B$9+datos_base!$B$23,0))*parametros_manuales!$G$95+parametros_manuales!$E$28*(datos_base!$B$3+datos_base!$B$19+IF(parametros_manuales!$H$28="Todos",datos_base!$B$10+datos_base!$B$24,0))*parametros_manuales!$G$100+parametros_manuales!$F$28*(datos_base!$B$4+datos_base!$B$20+IF(parametros_manuales!$H$28="Todos",datos_base!$B$11+datos_base!$B$25,0))*parametros_manuales!$G$105+parametros_manuales!$G$28*(datos_base!$B$5+datos_base!$B$21+IF(parametros_manuales!$H$28="Todos",datos_base!$B$12+datos_base!$B$26,0))*parametros_manuales!$G$110)*parametros_manuales!$I$28*parametros_manuales!$J$28</f>
        <v>494.00930028975</v>
      </c>
      <c r="H11" s="9" t="n">
        <f aca="false">(parametros_manuales!$D$28*(datos_base!$B$2+datos_base!$B$18+IF(parametros_manuales!$H$28="Todos",datos_base!$B$9+datos_base!$B$23,0))*parametros_manuales!$H$95+parametros_manuales!$E$28*(datos_base!$B$3+datos_base!$B$19+IF(parametros_manuales!$H$28="Todos",datos_base!$B$10+datos_base!$B$24,0))*parametros_manuales!$H$100+parametros_manuales!$F$28*(datos_base!$B$4+datos_base!$B$20+IF(parametros_manuales!$H$28="Todos",datos_base!$B$11+datos_base!$B$25,0))*parametros_manuales!$H$105+parametros_manuales!$G$28*(datos_base!$B$5+datos_base!$B$21+IF(parametros_manuales!$H$28="Todos",datos_base!$B$12+datos_base!$B$26,0))*parametros_manuales!$H$110)*parametros_manuales!$I$28*parametros_manuales!$J$28</f>
        <v>528.3361658234</v>
      </c>
      <c r="I11" s="9" t="n">
        <f aca="false">(parametros_manuales!$D$28*(datos_base!$B$2+datos_base!$B$18+IF(parametros_manuales!$H$28="Todos",datos_base!$B$9+datos_base!$B$23,0))*parametros_manuales!$I$95+parametros_manuales!$E$28*(datos_base!$B$3+datos_base!$B$19+IF(parametros_manuales!$H$28="Todos",datos_base!$B$10+datos_base!$B$24,0))*parametros_manuales!$I$100+parametros_manuales!$F$28*(datos_base!$B$4+datos_base!$B$20+IF(parametros_manuales!$H$28="Todos",datos_base!$B$11+datos_base!$B$25,0))*parametros_manuales!$I$105+parametros_manuales!$G$28*(datos_base!$B$5+datos_base!$B$21+IF(parametros_manuales!$H$28="Todos",datos_base!$B$12+datos_base!$B$26,0))*parametros_manuales!$I$110)*parametros_manuales!$I$28*parametros_manuales!$J$28</f>
        <v>591.0172139684</v>
      </c>
      <c r="J11" s="9" t="n">
        <f aca="false">(parametros_manuales!$D$28*(datos_base!$B$2+datos_base!$B$18+IF(parametros_manuales!$H$28="Todos",datos_base!$B$9+datos_base!$B$23,0))*parametros_manuales!$J$95+parametros_manuales!$E$28*(datos_base!$B$3+datos_base!$B$19+IF(parametros_manuales!$H$28="Todos",datos_base!$B$10+datos_base!$B$24,0))*parametros_manuales!$J$100+parametros_manuales!$F$28*(datos_base!$B$4+datos_base!$B$20+IF(parametros_manuales!$H$28="Todos",datos_base!$B$11+datos_base!$B$25,0))*parametros_manuales!$J$105+parametros_manuales!$G$28*(datos_base!$B$5+datos_base!$B$21+IF(parametros_manuales!$H$28="Todos",datos_base!$B$12+datos_base!$B$26,0))*parametros_manuales!$J$110)*parametros_manuales!$I$28*parametros_manuales!$J$28</f>
        <v>591.0172139684</v>
      </c>
      <c r="K11" s="9" t="n">
        <f aca="false">(parametros_manuales!$D$28*(datos_base!$B$2+datos_base!$B$18+IF(parametros_manuales!$H$28="Todos",datos_base!$B$9+datos_base!$B$23,0))*parametros_manuales!$K$95+parametros_manuales!$E$28*(datos_base!$B$3+datos_base!$B$19+IF(parametros_manuales!$H$28="Todos",datos_base!$B$10+datos_base!$B$24,0))*parametros_manuales!$K$100+parametros_manuales!$F$28*(datos_base!$B$4+datos_base!$B$20+IF(parametros_manuales!$H$28="Todos",datos_base!$B$11+datos_base!$B$25,0))*parametros_manuales!$K$105+parametros_manuales!$G$28*(datos_base!$B$5+datos_base!$B$21+IF(parametros_manuales!$H$28="Todos",datos_base!$B$12+datos_base!$B$26,0))*parametros_manuales!$K$110)*parametros_manuales!$I$28*parametros_manuales!$J$28</f>
        <v>604.45039678705</v>
      </c>
      <c r="L11" s="9" t="n">
        <f aca="false">(parametros_manuales!$D$28*(datos_base!$B$2+datos_base!$B$18+IF(parametros_manuales!$H$28="Todos",datos_base!$B$9+datos_base!$B$23,0))*parametros_manuales!$L$95+parametros_manuales!$E$28*(datos_base!$B$3+datos_base!$B$19+IF(parametros_manuales!$H$28="Todos",datos_base!$B$10+datos_base!$B$24,0))*parametros_manuales!$L$100+parametros_manuales!$F$28*(datos_base!$B$4+datos_base!$B$20+IF(parametros_manuales!$H$28="Todos",datos_base!$B$11+datos_base!$B$25,0))*parametros_manuales!$L$105+parametros_manuales!$G$28*(datos_base!$B$5+datos_base!$B$21+IF(parametros_manuales!$H$28="Todos",datos_base!$B$12+datos_base!$B$26,0))*parametros_manuales!$L$110)*parametros_manuales!$I$28*parametros_manuales!$J$28</f>
        <v>617.8835796057</v>
      </c>
      <c r="M11" s="9" t="n">
        <f aca="false">(parametros_manuales!$D$28*(datos_base!$B$2+datos_base!$B$18+IF(parametros_manuales!$H$28="Todos",datos_base!$B$9+datos_base!$B$23,0))*parametros_manuales!$M$95+parametros_manuales!$E$28*(datos_base!$B$3+datos_base!$B$19+IF(parametros_manuales!$H$28="Todos",datos_base!$B$10+datos_base!$B$24,0))*parametros_manuales!$M$100+parametros_manuales!$F$28*(datos_base!$B$4+datos_base!$B$20+IF(parametros_manuales!$H$28="Todos",datos_base!$B$11+datos_base!$B$25,0))*parametros_manuales!$M$105+parametros_manuales!$G$28*(datos_base!$B$5+datos_base!$B$21+IF(parametros_manuales!$H$28="Todos",datos_base!$B$12+datos_base!$B$26,0))*parametros_manuales!$M$110)*parametros_manuales!$I$28*parametros_manuales!$J$28</f>
        <v>617.8835796057</v>
      </c>
      <c r="N11" s="9" t="n">
        <f aca="false">SUM(B11:M11)</f>
        <v>6865.37310673</v>
      </c>
      <c r="O11" s="9" t="n">
        <f aca="false">MAX(B11:M11)</f>
        <v>617.8835796057</v>
      </c>
      <c r="P11" s="43" t="n">
        <f aca="false">O11/(parametros_manuales!$B$7)</f>
        <v>4.119223864038</v>
      </c>
      <c r="Q11" s="8" t="str">
        <f aca="false">IF(O11=0,"-",INDEX($B$1:$M$1,MATCH(O11,B11:M11,0)))</f>
        <v>Ene</v>
      </c>
    </row>
    <row r="12" customFormat="false" ht="14.25" hidden="false" customHeight="true" outlineLevel="0" collapsed="false">
      <c r="A12" s="8" t="str">
        <f aca="false">parametros_manuales!$B$29</f>
        <v>Bordoneado</v>
      </c>
      <c r="B12" s="9" t="n">
        <f aca="false">(parametros_manuales!$D$29*(datos_base!$B$2+datos_base!$B$18+IF(parametros_manuales!$H$29="Todos",datos_base!$B$9+datos_base!$B$23,0))*parametros_manuales!$B$95+parametros_manuales!$E$29*(datos_base!$B$3+datos_base!$B$19+IF(parametros_manuales!$H$29="Todos",datos_base!$B$10+datos_base!$B$24,0))*parametros_manuales!$B$100+parametros_manuales!$F$29*(datos_base!$B$4+datos_base!$B$20+IF(parametros_manuales!$H$29="Todos",datos_base!$B$11+datos_base!$B$25,0))*parametros_manuales!$B$105+parametros_manuales!$G$29*(datos_base!$B$5+datos_base!$B$21+IF(parametros_manuales!$H$29="Todos",datos_base!$B$12+datos_base!$B$26,0))*parametros_manuales!$B$110)*parametros_manuales!$I$29*parametros_manuales!$J$29</f>
        <v>617.8835796057</v>
      </c>
      <c r="C12" s="9" t="n">
        <f aca="false">(parametros_manuales!$D$29*(datos_base!$B$2+datos_base!$B$18+IF(parametros_manuales!$H$29="Todos",datos_base!$B$9+datos_base!$B$23,0))*parametros_manuales!$C$95+parametros_manuales!$E$29*(datos_base!$B$3+datos_base!$B$19+IF(parametros_manuales!$H$29="Todos",datos_base!$B$10+datos_base!$B$24,0))*parametros_manuales!$C$100+parametros_manuales!$F$29*(datos_base!$B$4+datos_base!$B$20+IF(parametros_manuales!$H$29="Todos",datos_base!$B$11+datos_base!$B$25,0))*parametros_manuales!$C$105+parametros_manuales!$G$29*(datos_base!$B$5+datos_base!$B$21+IF(parametros_manuales!$H$29="Todos",datos_base!$B$12+datos_base!$B$26,0))*parametros_manuales!$C$110)*parametros_manuales!$I$29*parametros_manuales!$J$29</f>
        <v>591.0172139684</v>
      </c>
      <c r="D12" s="9" t="n">
        <f aca="false">(parametros_manuales!$D$29*(datos_base!$B$2+datos_base!$B$18+IF(parametros_manuales!$H$29="Todos",datos_base!$B$9+datos_base!$B$23,0))*parametros_manuales!$D$95+parametros_manuales!$E$29*(datos_base!$B$3+datos_base!$B$19+IF(parametros_manuales!$H$29="Todos",datos_base!$B$10+datos_base!$B$24,0))*parametros_manuales!$D$100+parametros_manuales!$F$29*(datos_base!$B$4+datos_base!$B$20+IF(parametros_manuales!$H$29="Todos",datos_base!$B$11+datos_base!$B$25,0))*parametros_manuales!$D$105+parametros_manuales!$G$29*(datos_base!$B$5+datos_base!$B$21+IF(parametros_manuales!$H$29="Todos",datos_base!$B$12+datos_base!$B$26,0))*parametros_manuales!$D$110)*parametros_manuales!$I$29*parametros_manuales!$J$29</f>
        <v>562.66303135705</v>
      </c>
      <c r="E12" s="9" t="n">
        <f aca="false">(parametros_manuales!$D$29*(datos_base!$B$2+datos_base!$B$18+IF(parametros_manuales!$H$29="Todos",datos_base!$B$9+datos_base!$B$23,0))*parametros_manuales!$E$95+parametros_manuales!$E$29*(datos_base!$B$3+datos_base!$B$19+IF(parametros_manuales!$H$29="Todos",datos_base!$B$10+datos_base!$B$24,0))*parametros_manuales!$E$100+parametros_manuales!$F$29*(datos_base!$B$4+datos_base!$B$20+IF(parametros_manuales!$H$29="Todos",datos_base!$B$11+datos_base!$B$25,0))*parametros_manuales!$E$105+parametros_manuales!$G$29*(datos_base!$B$5+datos_base!$B$21+IF(parametros_manuales!$H$29="Todos",datos_base!$B$12+datos_base!$B$26,0))*parametros_manuales!$E$110)*parametros_manuales!$I$29*parametros_manuales!$J$29</f>
        <v>541.76934864205</v>
      </c>
      <c r="F12" s="9" t="n">
        <f aca="false">(parametros_manuales!$D$29*(datos_base!$B$2+datos_base!$B$18+IF(parametros_manuales!$H$29="Todos",datos_base!$B$9+datos_base!$B$23,0))*parametros_manuales!$F$95+parametros_manuales!$E$29*(datos_base!$B$3+datos_base!$B$19+IF(parametros_manuales!$H$29="Todos",datos_base!$B$10+datos_base!$B$24,0))*parametros_manuales!$F$100+parametros_manuales!$F$29*(datos_base!$B$4+datos_base!$B$20+IF(parametros_manuales!$H$29="Todos",datos_base!$B$11+datos_base!$B$25,0))*parametros_manuales!$F$105+parametros_manuales!$G$29*(datos_base!$B$5+datos_base!$B$21+IF(parametros_manuales!$H$29="Todos",datos_base!$B$12+datos_base!$B$26,0))*parametros_manuales!$F$110)*parametros_manuales!$I$29*parametros_manuales!$J$29</f>
        <v>507.4424831084</v>
      </c>
      <c r="G12" s="9" t="n">
        <f aca="false">(parametros_manuales!$D$29*(datos_base!$B$2+datos_base!$B$18+IF(parametros_manuales!$H$29="Todos",datos_base!$B$9+datos_base!$B$23,0))*parametros_manuales!$G$95+parametros_manuales!$E$29*(datos_base!$B$3+datos_base!$B$19+IF(parametros_manuales!$H$29="Todos",datos_base!$B$10+datos_base!$B$24,0))*parametros_manuales!$G$100+parametros_manuales!$F$29*(datos_base!$B$4+datos_base!$B$20+IF(parametros_manuales!$H$29="Todos",datos_base!$B$11+datos_base!$B$25,0))*parametros_manuales!$G$105+parametros_manuales!$G$29*(datos_base!$B$5+datos_base!$B$21+IF(parametros_manuales!$H$29="Todos",datos_base!$B$12+datos_base!$B$26,0))*parametros_manuales!$G$110)*parametros_manuales!$I$29*parametros_manuales!$J$29</f>
        <v>494.00930028975</v>
      </c>
      <c r="H12" s="9" t="n">
        <f aca="false">(parametros_manuales!$D$29*(datos_base!$B$2+datos_base!$B$18+IF(parametros_manuales!$H$29="Todos",datos_base!$B$9+datos_base!$B$23,0))*parametros_manuales!$H$95+parametros_manuales!$E$29*(datos_base!$B$3+datos_base!$B$19+IF(parametros_manuales!$H$29="Todos",datos_base!$B$10+datos_base!$B$24,0))*parametros_manuales!$H$100+parametros_manuales!$F$29*(datos_base!$B$4+datos_base!$B$20+IF(parametros_manuales!$H$29="Todos",datos_base!$B$11+datos_base!$B$25,0))*parametros_manuales!$H$105+parametros_manuales!$G$29*(datos_base!$B$5+datos_base!$B$21+IF(parametros_manuales!$H$29="Todos",datos_base!$B$12+datos_base!$B$26,0))*parametros_manuales!$H$110)*parametros_manuales!$I$29*parametros_manuales!$J$29</f>
        <v>528.3361658234</v>
      </c>
      <c r="I12" s="9" t="n">
        <f aca="false">(parametros_manuales!$D$29*(datos_base!$B$2+datos_base!$B$18+IF(parametros_manuales!$H$29="Todos",datos_base!$B$9+datos_base!$B$23,0))*parametros_manuales!$I$95+parametros_manuales!$E$29*(datos_base!$B$3+datos_base!$B$19+IF(parametros_manuales!$H$29="Todos",datos_base!$B$10+datos_base!$B$24,0))*parametros_manuales!$I$100+parametros_manuales!$F$29*(datos_base!$B$4+datos_base!$B$20+IF(parametros_manuales!$H$29="Todos",datos_base!$B$11+datos_base!$B$25,0))*parametros_manuales!$I$105+parametros_manuales!$G$29*(datos_base!$B$5+datos_base!$B$21+IF(parametros_manuales!$H$29="Todos",datos_base!$B$12+datos_base!$B$26,0))*parametros_manuales!$I$110)*parametros_manuales!$I$29*parametros_manuales!$J$29</f>
        <v>591.0172139684</v>
      </c>
      <c r="J12" s="9" t="n">
        <f aca="false">(parametros_manuales!$D$29*(datos_base!$B$2+datos_base!$B$18+IF(parametros_manuales!$H$29="Todos",datos_base!$B$9+datos_base!$B$23,0))*parametros_manuales!$J$95+parametros_manuales!$E$29*(datos_base!$B$3+datos_base!$B$19+IF(parametros_manuales!$H$29="Todos",datos_base!$B$10+datos_base!$B$24,0))*parametros_manuales!$J$100+parametros_manuales!$F$29*(datos_base!$B$4+datos_base!$B$20+IF(parametros_manuales!$H$29="Todos",datos_base!$B$11+datos_base!$B$25,0))*parametros_manuales!$J$105+parametros_manuales!$G$29*(datos_base!$B$5+datos_base!$B$21+IF(parametros_manuales!$H$29="Todos",datos_base!$B$12+datos_base!$B$26,0))*parametros_manuales!$J$110)*parametros_manuales!$I$29*parametros_manuales!$J$29</f>
        <v>591.0172139684</v>
      </c>
      <c r="K12" s="9" t="n">
        <f aca="false">(parametros_manuales!$D$29*(datos_base!$B$2+datos_base!$B$18+IF(parametros_manuales!$H$29="Todos",datos_base!$B$9+datos_base!$B$23,0))*parametros_manuales!$K$95+parametros_manuales!$E$29*(datos_base!$B$3+datos_base!$B$19+IF(parametros_manuales!$H$29="Todos",datos_base!$B$10+datos_base!$B$24,0))*parametros_manuales!$K$100+parametros_manuales!$F$29*(datos_base!$B$4+datos_base!$B$20+IF(parametros_manuales!$H$29="Todos",datos_base!$B$11+datos_base!$B$25,0))*parametros_manuales!$K$105+parametros_manuales!$G$29*(datos_base!$B$5+datos_base!$B$21+IF(parametros_manuales!$H$29="Todos",datos_base!$B$12+datos_base!$B$26,0))*parametros_manuales!$K$110)*parametros_manuales!$I$29*parametros_manuales!$J$29</f>
        <v>604.45039678705</v>
      </c>
      <c r="L12" s="9" t="n">
        <f aca="false">(parametros_manuales!$D$29*(datos_base!$B$2+datos_base!$B$18+IF(parametros_manuales!$H$29="Todos",datos_base!$B$9+datos_base!$B$23,0))*parametros_manuales!$L$95+parametros_manuales!$E$29*(datos_base!$B$3+datos_base!$B$19+IF(parametros_manuales!$H$29="Todos",datos_base!$B$10+datos_base!$B$24,0))*parametros_manuales!$L$100+parametros_manuales!$F$29*(datos_base!$B$4+datos_base!$B$20+IF(parametros_manuales!$H$29="Todos",datos_base!$B$11+datos_base!$B$25,0))*parametros_manuales!$L$105+parametros_manuales!$G$29*(datos_base!$B$5+datos_base!$B$21+IF(parametros_manuales!$H$29="Todos",datos_base!$B$12+datos_base!$B$26,0))*parametros_manuales!$L$110)*parametros_manuales!$I$29*parametros_manuales!$J$29</f>
        <v>617.8835796057</v>
      </c>
      <c r="M12" s="9" t="n">
        <f aca="false">(parametros_manuales!$D$29*(datos_base!$B$2+datos_base!$B$18+IF(parametros_manuales!$H$29="Todos",datos_base!$B$9+datos_base!$B$23,0))*parametros_manuales!$M$95+parametros_manuales!$E$29*(datos_base!$B$3+datos_base!$B$19+IF(parametros_manuales!$H$29="Todos",datos_base!$B$10+datos_base!$B$24,0))*parametros_manuales!$M$100+parametros_manuales!$F$29*(datos_base!$B$4+datos_base!$B$20+IF(parametros_manuales!$H$29="Todos",datos_base!$B$11+datos_base!$B$25,0))*parametros_manuales!$M$105+parametros_manuales!$G$29*(datos_base!$B$5+datos_base!$B$21+IF(parametros_manuales!$H$29="Todos",datos_base!$B$12+datos_base!$B$26,0))*parametros_manuales!$M$110)*parametros_manuales!$I$29*parametros_manuales!$J$29</f>
        <v>617.8835796057</v>
      </c>
      <c r="N12" s="9" t="n">
        <f aca="false">SUM(B12:M12)</f>
        <v>6865.37310673</v>
      </c>
      <c r="O12" s="9" t="n">
        <f aca="false">MAX(B12:M12)</f>
        <v>617.8835796057</v>
      </c>
      <c r="P12" s="43" t="n">
        <f aca="false">O12/(parametros_manuales!$B$7)</f>
        <v>4.119223864038</v>
      </c>
      <c r="Q12" s="8" t="str">
        <f aca="false">IF(O12=0,"-",INDEX($B$1:$M$1,MATCH(O12,B12:M12,0)))</f>
        <v>Ene</v>
      </c>
    </row>
    <row r="13" customFormat="false" ht="14.25" hidden="false" customHeight="true" outlineLevel="0" collapsed="false">
      <c r="A13" s="8" t="str">
        <f aca="false">parametros_manuales!$B$30</f>
        <v>Soldadura circunferencial de cúpula y fondo</v>
      </c>
      <c r="B13" s="9" t="n">
        <f aca="false">(parametros_manuales!$D$30*(datos_base!$B$2+datos_base!$B$18+IF(parametros_manuales!$H$30="Todos",datos_base!$B$9+datos_base!$B$23,0))*parametros_manuales!$B$95+parametros_manuales!$E$30*(datos_base!$B$3+datos_base!$B$19+IF(parametros_manuales!$H$30="Todos",datos_base!$B$10+datos_base!$B$24,0))*parametros_manuales!$B$100+parametros_manuales!$F$30*(datos_base!$B$4+datos_base!$B$20+IF(parametros_manuales!$H$30="Todos",datos_base!$B$11+datos_base!$B$25,0))*parametros_manuales!$B$105+parametros_manuales!$G$30*(datos_base!$B$5+datos_base!$B$21+IF(parametros_manuales!$H$30="Todos",datos_base!$B$12+datos_base!$B$26,0))*parametros_manuales!$B$110)*parametros_manuales!$I$30*parametros_manuales!$J$30</f>
        <v>617.8835796057</v>
      </c>
      <c r="C13" s="9" t="n">
        <f aca="false">(parametros_manuales!$D$30*(datos_base!$B$2+datos_base!$B$18+IF(parametros_manuales!$H$30="Todos",datos_base!$B$9+datos_base!$B$23,0))*parametros_manuales!$C$95+parametros_manuales!$E$30*(datos_base!$B$3+datos_base!$B$19+IF(parametros_manuales!$H$30="Todos",datos_base!$B$10+datos_base!$B$24,0))*parametros_manuales!$C$100+parametros_manuales!$F$30*(datos_base!$B$4+datos_base!$B$20+IF(parametros_manuales!$H$30="Todos",datos_base!$B$11+datos_base!$B$25,0))*parametros_manuales!$C$105+parametros_manuales!$G$30*(datos_base!$B$5+datos_base!$B$21+IF(parametros_manuales!$H$30="Todos",datos_base!$B$12+datos_base!$B$26,0))*parametros_manuales!$C$110)*parametros_manuales!$I$30*parametros_manuales!$J$30</f>
        <v>591.0172139684</v>
      </c>
      <c r="D13" s="9" t="n">
        <f aca="false">(parametros_manuales!$D$30*(datos_base!$B$2+datos_base!$B$18+IF(parametros_manuales!$H$30="Todos",datos_base!$B$9+datos_base!$B$23,0))*parametros_manuales!$D$95+parametros_manuales!$E$30*(datos_base!$B$3+datos_base!$B$19+IF(parametros_manuales!$H$30="Todos",datos_base!$B$10+datos_base!$B$24,0))*parametros_manuales!$D$100+parametros_manuales!$F$30*(datos_base!$B$4+datos_base!$B$20+IF(parametros_manuales!$H$30="Todos",datos_base!$B$11+datos_base!$B$25,0))*parametros_manuales!$D$105+parametros_manuales!$G$30*(datos_base!$B$5+datos_base!$B$21+IF(parametros_manuales!$H$30="Todos",datos_base!$B$12+datos_base!$B$26,0))*parametros_manuales!$D$110)*parametros_manuales!$I$30*parametros_manuales!$J$30</f>
        <v>562.66303135705</v>
      </c>
      <c r="E13" s="9" t="n">
        <f aca="false">(parametros_manuales!$D$30*(datos_base!$B$2+datos_base!$B$18+IF(parametros_manuales!$H$30="Todos",datos_base!$B$9+datos_base!$B$23,0))*parametros_manuales!$E$95+parametros_manuales!$E$30*(datos_base!$B$3+datos_base!$B$19+IF(parametros_manuales!$H$30="Todos",datos_base!$B$10+datos_base!$B$24,0))*parametros_manuales!$E$100+parametros_manuales!$F$30*(datos_base!$B$4+datos_base!$B$20+IF(parametros_manuales!$H$30="Todos",datos_base!$B$11+datos_base!$B$25,0))*parametros_manuales!$E$105+parametros_manuales!$G$30*(datos_base!$B$5+datos_base!$B$21+IF(parametros_manuales!$H$30="Todos",datos_base!$B$12+datos_base!$B$26,0))*parametros_manuales!$E$110)*parametros_manuales!$I$30*parametros_manuales!$J$30</f>
        <v>541.76934864205</v>
      </c>
      <c r="F13" s="9" t="n">
        <f aca="false">(parametros_manuales!$D$30*(datos_base!$B$2+datos_base!$B$18+IF(parametros_manuales!$H$30="Todos",datos_base!$B$9+datos_base!$B$23,0))*parametros_manuales!$F$95+parametros_manuales!$E$30*(datos_base!$B$3+datos_base!$B$19+IF(parametros_manuales!$H$30="Todos",datos_base!$B$10+datos_base!$B$24,0))*parametros_manuales!$F$100+parametros_manuales!$F$30*(datos_base!$B$4+datos_base!$B$20+IF(parametros_manuales!$H$30="Todos",datos_base!$B$11+datos_base!$B$25,0))*parametros_manuales!$F$105+parametros_manuales!$G$30*(datos_base!$B$5+datos_base!$B$21+IF(parametros_manuales!$H$30="Todos",datos_base!$B$12+datos_base!$B$26,0))*parametros_manuales!$F$110)*parametros_manuales!$I$30*parametros_manuales!$J$30</f>
        <v>507.4424831084</v>
      </c>
      <c r="G13" s="9" t="n">
        <f aca="false">(parametros_manuales!$D$30*(datos_base!$B$2+datos_base!$B$18+IF(parametros_manuales!$H$30="Todos",datos_base!$B$9+datos_base!$B$23,0))*parametros_manuales!$G$95+parametros_manuales!$E$30*(datos_base!$B$3+datos_base!$B$19+IF(parametros_manuales!$H$30="Todos",datos_base!$B$10+datos_base!$B$24,0))*parametros_manuales!$G$100+parametros_manuales!$F$30*(datos_base!$B$4+datos_base!$B$20+IF(parametros_manuales!$H$30="Todos",datos_base!$B$11+datos_base!$B$25,0))*parametros_manuales!$G$105+parametros_manuales!$G$30*(datos_base!$B$5+datos_base!$B$21+IF(parametros_manuales!$H$30="Todos",datos_base!$B$12+datos_base!$B$26,0))*parametros_manuales!$G$110)*parametros_manuales!$I$30*parametros_manuales!$J$30</f>
        <v>494.00930028975</v>
      </c>
      <c r="H13" s="9" t="n">
        <f aca="false">(parametros_manuales!$D$30*(datos_base!$B$2+datos_base!$B$18+IF(parametros_manuales!$H$30="Todos",datos_base!$B$9+datos_base!$B$23,0))*parametros_manuales!$H$95+parametros_manuales!$E$30*(datos_base!$B$3+datos_base!$B$19+IF(parametros_manuales!$H$30="Todos",datos_base!$B$10+datos_base!$B$24,0))*parametros_manuales!$H$100+parametros_manuales!$F$30*(datos_base!$B$4+datos_base!$B$20+IF(parametros_manuales!$H$30="Todos",datos_base!$B$11+datos_base!$B$25,0))*parametros_manuales!$H$105+parametros_manuales!$G$30*(datos_base!$B$5+datos_base!$B$21+IF(parametros_manuales!$H$30="Todos",datos_base!$B$12+datos_base!$B$26,0))*parametros_manuales!$H$110)*parametros_manuales!$I$30*parametros_manuales!$J$30</f>
        <v>528.3361658234</v>
      </c>
      <c r="I13" s="9" t="n">
        <f aca="false">(parametros_manuales!$D$30*(datos_base!$B$2+datos_base!$B$18+IF(parametros_manuales!$H$30="Todos",datos_base!$B$9+datos_base!$B$23,0))*parametros_manuales!$I$95+parametros_manuales!$E$30*(datos_base!$B$3+datos_base!$B$19+IF(parametros_manuales!$H$30="Todos",datos_base!$B$10+datos_base!$B$24,0))*parametros_manuales!$I$100+parametros_manuales!$F$30*(datos_base!$B$4+datos_base!$B$20+IF(parametros_manuales!$H$30="Todos",datos_base!$B$11+datos_base!$B$25,0))*parametros_manuales!$I$105+parametros_manuales!$G$30*(datos_base!$B$5+datos_base!$B$21+IF(parametros_manuales!$H$30="Todos",datos_base!$B$12+datos_base!$B$26,0))*parametros_manuales!$I$110)*parametros_manuales!$I$30*parametros_manuales!$J$30</f>
        <v>591.0172139684</v>
      </c>
      <c r="J13" s="9" t="n">
        <f aca="false">(parametros_manuales!$D$30*(datos_base!$B$2+datos_base!$B$18+IF(parametros_manuales!$H$30="Todos",datos_base!$B$9+datos_base!$B$23,0))*parametros_manuales!$J$95+parametros_manuales!$E$30*(datos_base!$B$3+datos_base!$B$19+IF(parametros_manuales!$H$30="Todos",datos_base!$B$10+datos_base!$B$24,0))*parametros_manuales!$J$100+parametros_manuales!$F$30*(datos_base!$B$4+datos_base!$B$20+IF(parametros_manuales!$H$30="Todos",datos_base!$B$11+datos_base!$B$25,0))*parametros_manuales!$J$105+parametros_manuales!$G$30*(datos_base!$B$5+datos_base!$B$21+IF(parametros_manuales!$H$30="Todos",datos_base!$B$12+datos_base!$B$26,0))*parametros_manuales!$J$110)*parametros_manuales!$I$30*parametros_manuales!$J$30</f>
        <v>591.0172139684</v>
      </c>
      <c r="K13" s="9" t="n">
        <f aca="false">(parametros_manuales!$D$30*(datos_base!$B$2+datos_base!$B$18+IF(parametros_manuales!$H$30="Todos",datos_base!$B$9+datos_base!$B$23,0))*parametros_manuales!$K$95+parametros_manuales!$E$30*(datos_base!$B$3+datos_base!$B$19+IF(parametros_manuales!$H$30="Todos",datos_base!$B$10+datos_base!$B$24,0))*parametros_manuales!$K$100+parametros_manuales!$F$30*(datos_base!$B$4+datos_base!$B$20+IF(parametros_manuales!$H$30="Todos",datos_base!$B$11+datos_base!$B$25,0))*parametros_manuales!$K$105+parametros_manuales!$G$30*(datos_base!$B$5+datos_base!$B$21+IF(parametros_manuales!$H$30="Todos",datos_base!$B$12+datos_base!$B$26,0))*parametros_manuales!$K$110)*parametros_manuales!$I$30*parametros_manuales!$J$30</f>
        <v>604.45039678705</v>
      </c>
      <c r="L13" s="9" t="n">
        <f aca="false">(parametros_manuales!$D$30*(datos_base!$B$2+datos_base!$B$18+IF(parametros_manuales!$H$30="Todos",datos_base!$B$9+datos_base!$B$23,0))*parametros_manuales!$L$95+parametros_manuales!$E$30*(datos_base!$B$3+datos_base!$B$19+IF(parametros_manuales!$H$30="Todos",datos_base!$B$10+datos_base!$B$24,0))*parametros_manuales!$L$100+parametros_manuales!$F$30*(datos_base!$B$4+datos_base!$B$20+IF(parametros_manuales!$H$30="Todos",datos_base!$B$11+datos_base!$B$25,0))*parametros_manuales!$L$105+parametros_manuales!$G$30*(datos_base!$B$5+datos_base!$B$21+IF(parametros_manuales!$H$30="Todos",datos_base!$B$12+datos_base!$B$26,0))*parametros_manuales!$L$110)*parametros_manuales!$I$30*parametros_manuales!$J$30</f>
        <v>617.8835796057</v>
      </c>
      <c r="M13" s="9" t="n">
        <f aca="false">(parametros_manuales!$D$30*(datos_base!$B$2+datos_base!$B$18+IF(parametros_manuales!$H$30="Todos",datos_base!$B$9+datos_base!$B$23,0))*parametros_manuales!$M$95+parametros_manuales!$E$30*(datos_base!$B$3+datos_base!$B$19+IF(parametros_manuales!$H$30="Todos",datos_base!$B$10+datos_base!$B$24,0))*parametros_manuales!$M$100+parametros_manuales!$F$30*(datos_base!$B$4+datos_base!$B$20+IF(parametros_manuales!$H$30="Todos",datos_base!$B$11+datos_base!$B$25,0))*parametros_manuales!$M$105+parametros_manuales!$G$30*(datos_base!$B$5+datos_base!$B$21+IF(parametros_manuales!$H$30="Todos",datos_base!$B$12+datos_base!$B$26,0))*parametros_manuales!$M$110)*parametros_manuales!$I$30*parametros_manuales!$J$30</f>
        <v>617.8835796057</v>
      </c>
      <c r="N13" s="9" t="n">
        <f aca="false">SUM(B13:M13)</f>
        <v>6865.37310673</v>
      </c>
      <c r="O13" s="9" t="n">
        <f aca="false">MAX(B13:M13)</f>
        <v>617.8835796057</v>
      </c>
      <c r="P13" s="43" t="n">
        <f aca="false">O13/(parametros_manuales!$B$7)</f>
        <v>4.119223864038</v>
      </c>
      <c r="Q13" s="8" t="str">
        <f aca="false">IF(O13=0,"-",INDEX($B$1:$M$1,MATCH(O13,B13:M13,0)))</f>
        <v>Ene</v>
      </c>
    </row>
    <row r="14" customFormat="false" ht="14.25" hidden="false" customHeight="true" outlineLevel="0" collapsed="false">
      <c r="A14" s="8" t="str">
        <f aca="false">parametros_manuales!$B$31</f>
        <v>Control de calidad — Espesor</v>
      </c>
      <c r="B14" s="9" t="n">
        <f aca="false">(parametros_manuales!$D$31*(datos_base!$B$2+datos_base!$B$18+IF(parametros_manuales!$H$31="Todos",datos_base!$B$9+datos_base!$B$23,0))*parametros_manuales!$B$95+parametros_manuales!$E$31*(datos_base!$B$3+datos_base!$B$19+IF(parametros_manuales!$H$31="Todos",datos_base!$B$10+datos_base!$B$24,0))*parametros_manuales!$B$100+parametros_manuales!$F$31*(datos_base!$B$4+datos_base!$B$20+IF(parametros_manuales!$H$31="Todos",datos_base!$B$11+datos_base!$B$25,0))*parametros_manuales!$B$105+parametros_manuales!$G$31*(datos_base!$B$5+datos_base!$B$21+IF(parametros_manuales!$H$31="Todos",datos_base!$B$12+datos_base!$B$26,0))*parametros_manuales!$B$110)*parametros_manuales!$I$31*parametros_manuales!$J$31</f>
        <v>12.357671592114</v>
      </c>
      <c r="C14" s="9" t="n">
        <f aca="false">(parametros_manuales!$D$31*(datos_base!$B$2+datos_base!$B$18+IF(parametros_manuales!$H$31="Todos",datos_base!$B$9+datos_base!$B$23,0))*parametros_manuales!$C$95+parametros_manuales!$E$31*(datos_base!$B$3+datos_base!$B$19+IF(parametros_manuales!$H$31="Todos",datos_base!$B$10+datos_base!$B$24,0))*parametros_manuales!$C$100+parametros_manuales!$F$31*(datos_base!$B$4+datos_base!$B$20+IF(parametros_manuales!$H$31="Todos",datos_base!$B$11+datos_base!$B$25,0))*parametros_manuales!$C$105+parametros_manuales!$G$31*(datos_base!$B$5+datos_base!$B$21+IF(parametros_manuales!$H$31="Todos",datos_base!$B$12+datos_base!$B$26,0))*parametros_manuales!$C$110)*parametros_manuales!$I$31*parametros_manuales!$J$31</f>
        <v>11.820344279368</v>
      </c>
      <c r="D14" s="9" t="n">
        <f aca="false">(parametros_manuales!$D$31*(datos_base!$B$2+datos_base!$B$18+IF(parametros_manuales!$H$31="Todos",datos_base!$B$9+datos_base!$B$23,0))*parametros_manuales!$D$95+parametros_manuales!$E$31*(datos_base!$B$3+datos_base!$B$19+IF(parametros_manuales!$H$31="Todos",datos_base!$B$10+datos_base!$B$24,0))*parametros_manuales!$D$100+parametros_manuales!$F$31*(datos_base!$B$4+datos_base!$B$20+IF(parametros_manuales!$H$31="Todos",datos_base!$B$11+datos_base!$B$25,0))*parametros_manuales!$D$105+parametros_manuales!$G$31*(datos_base!$B$5+datos_base!$B$21+IF(parametros_manuales!$H$31="Todos",datos_base!$B$12+datos_base!$B$26,0))*parametros_manuales!$D$110)*parametros_manuales!$I$31*parametros_manuales!$J$31</f>
        <v>11.253260627141</v>
      </c>
      <c r="E14" s="9" t="n">
        <f aca="false">(parametros_manuales!$D$31*(datos_base!$B$2+datos_base!$B$18+IF(parametros_manuales!$H$31="Todos",datos_base!$B$9+datos_base!$B$23,0))*parametros_manuales!$E$95+parametros_manuales!$E$31*(datos_base!$B$3+datos_base!$B$19+IF(parametros_manuales!$H$31="Todos",datos_base!$B$10+datos_base!$B$24,0))*parametros_manuales!$E$100+parametros_manuales!$F$31*(datos_base!$B$4+datos_base!$B$20+IF(parametros_manuales!$H$31="Todos",datos_base!$B$11+datos_base!$B$25,0))*parametros_manuales!$E$105+parametros_manuales!$G$31*(datos_base!$B$5+datos_base!$B$21+IF(parametros_manuales!$H$31="Todos",datos_base!$B$12+datos_base!$B$26,0))*parametros_manuales!$E$110)*parametros_manuales!$I$31*parametros_manuales!$J$31</f>
        <v>10.835386972841</v>
      </c>
      <c r="F14" s="9" t="n">
        <f aca="false">(parametros_manuales!$D$31*(datos_base!$B$2+datos_base!$B$18+IF(parametros_manuales!$H$31="Todos",datos_base!$B$9+datos_base!$B$23,0))*parametros_manuales!$F$95+parametros_manuales!$E$31*(datos_base!$B$3+datos_base!$B$19+IF(parametros_manuales!$H$31="Todos",datos_base!$B$10+datos_base!$B$24,0))*parametros_manuales!$F$100+parametros_manuales!$F$31*(datos_base!$B$4+datos_base!$B$20+IF(parametros_manuales!$H$31="Todos",datos_base!$B$11+datos_base!$B$25,0))*parametros_manuales!$F$105+parametros_manuales!$G$31*(datos_base!$B$5+datos_base!$B$21+IF(parametros_manuales!$H$31="Todos",datos_base!$B$12+datos_base!$B$26,0))*parametros_manuales!$F$110)*parametros_manuales!$I$31*parametros_manuales!$J$31</f>
        <v>10.148849662168</v>
      </c>
      <c r="G14" s="9" t="n">
        <f aca="false">(parametros_manuales!$D$31*(datos_base!$B$2+datos_base!$B$18+IF(parametros_manuales!$H$31="Todos",datos_base!$B$9+datos_base!$B$23,0))*parametros_manuales!$G$95+parametros_manuales!$E$31*(datos_base!$B$3+datos_base!$B$19+IF(parametros_manuales!$H$31="Todos",datos_base!$B$10+datos_base!$B$24,0))*parametros_manuales!$G$100+parametros_manuales!$F$31*(datos_base!$B$4+datos_base!$B$20+IF(parametros_manuales!$H$31="Todos",datos_base!$B$11+datos_base!$B$25,0))*parametros_manuales!$G$105+parametros_manuales!$G$31*(datos_base!$B$5+datos_base!$B$21+IF(parametros_manuales!$H$31="Todos",datos_base!$B$12+datos_base!$B$26,0))*parametros_manuales!$G$110)*parametros_manuales!$I$31*parametros_manuales!$J$31</f>
        <v>9.880186005795</v>
      </c>
      <c r="H14" s="9" t="n">
        <f aca="false">(parametros_manuales!$D$31*(datos_base!$B$2+datos_base!$B$18+IF(parametros_manuales!$H$31="Todos",datos_base!$B$9+datos_base!$B$23,0))*parametros_manuales!$H$95+parametros_manuales!$E$31*(datos_base!$B$3+datos_base!$B$19+IF(parametros_manuales!$H$31="Todos",datos_base!$B$10+datos_base!$B$24,0))*parametros_manuales!$H$100+parametros_manuales!$F$31*(datos_base!$B$4+datos_base!$B$20+IF(parametros_manuales!$H$31="Todos",datos_base!$B$11+datos_base!$B$25,0))*parametros_manuales!$H$105+parametros_manuales!$G$31*(datos_base!$B$5+datos_base!$B$21+IF(parametros_manuales!$H$31="Todos",datos_base!$B$12+datos_base!$B$26,0))*parametros_manuales!$H$110)*parametros_manuales!$I$31*parametros_manuales!$J$31</f>
        <v>10.566723316468</v>
      </c>
      <c r="I14" s="9" t="n">
        <f aca="false">(parametros_manuales!$D$31*(datos_base!$B$2+datos_base!$B$18+IF(parametros_manuales!$H$31="Todos",datos_base!$B$9+datos_base!$B$23,0))*parametros_manuales!$I$95+parametros_manuales!$E$31*(datos_base!$B$3+datos_base!$B$19+IF(parametros_manuales!$H$31="Todos",datos_base!$B$10+datos_base!$B$24,0))*parametros_manuales!$I$100+parametros_manuales!$F$31*(datos_base!$B$4+datos_base!$B$20+IF(parametros_manuales!$H$31="Todos",datos_base!$B$11+datos_base!$B$25,0))*parametros_manuales!$I$105+parametros_manuales!$G$31*(datos_base!$B$5+datos_base!$B$21+IF(parametros_manuales!$H$31="Todos",datos_base!$B$12+datos_base!$B$26,0))*parametros_manuales!$I$110)*parametros_manuales!$I$31*parametros_manuales!$J$31</f>
        <v>11.820344279368</v>
      </c>
      <c r="J14" s="9" t="n">
        <f aca="false">(parametros_manuales!$D$31*(datos_base!$B$2+datos_base!$B$18+IF(parametros_manuales!$H$31="Todos",datos_base!$B$9+datos_base!$B$23,0))*parametros_manuales!$J$95+parametros_manuales!$E$31*(datos_base!$B$3+datos_base!$B$19+IF(parametros_manuales!$H$31="Todos",datos_base!$B$10+datos_base!$B$24,0))*parametros_manuales!$J$100+parametros_manuales!$F$31*(datos_base!$B$4+datos_base!$B$20+IF(parametros_manuales!$H$31="Todos",datos_base!$B$11+datos_base!$B$25,0))*parametros_manuales!$J$105+parametros_manuales!$G$31*(datos_base!$B$5+datos_base!$B$21+IF(parametros_manuales!$H$31="Todos",datos_base!$B$12+datos_base!$B$26,0))*parametros_manuales!$J$110)*parametros_manuales!$I$31*parametros_manuales!$J$31</f>
        <v>11.820344279368</v>
      </c>
      <c r="K14" s="9" t="n">
        <f aca="false">(parametros_manuales!$D$31*(datos_base!$B$2+datos_base!$B$18+IF(parametros_manuales!$H$31="Todos",datos_base!$B$9+datos_base!$B$23,0))*parametros_manuales!$K$95+parametros_manuales!$E$31*(datos_base!$B$3+datos_base!$B$19+IF(parametros_manuales!$H$31="Todos",datos_base!$B$10+datos_base!$B$24,0))*parametros_manuales!$K$100+parametros_manuales!$F$31*(datos_base!$B$4+datos_base!$B$20+IF(parametros_manuales!$H$31="Todos",datos_base!$B$11+datos_base!$B$25,0))*parametros_manuales!$K$105+parametros_manuales!$G$31*(datos_base!$B$5+datos_base!$B$21+IF(parametros_manuales!$H$31="Todos",datos_base!$B$12+datos_base!$B$26,0))*parametros_manuales!$K$110)*parametros_manuales!$I$31*parametros_manuales!$J$31</f>
        <v>12.089007935741</v>
      </c>
      <c r="L14" s="9" t="n">
        <f aca="false">(parametros_manuales!$D$31*(datos_base!$B$2+datos_base!$B$18+IF(parametros_manuales!$H$31="Todos",datos_base!$B$9+datos_base!$B$23,0))*parametros_manuales!$L$95+parametros_manuales!$E$31*(datos_base!$B$3+datos_base!$B$19+IF(parametros_manuales!$H$31="Todos",datos_base!$B$10+datos_base!$B$24,0))*parametros_manuales!$L$100+parametros_manuales!$F$31*(datos_base!$B$4+datos_base!$B$20+IF(parametros_manuales!$H$31="Todos",datos_base!$B$11+datos_base!$B$25,0))*parametros_manuales!$L$105+parametros_manuales!$G$31*(datos_base!$B$5+datos_base!$B$21+IF(parametros_manuales!$H$31="Todos",datos_base!$B$12+datos_base!$B$26,0))*parametros_manuales!$L$110)*parametros_manuales!$I$31*parametros_manuales!$J$31</f>
        <v>12.357671592114</v>
      </c>
      <c r="M14" s="9" t="n">
        <f aca="false">(parametros_manuales!$D$31*(datos_base!$B$2+datos_base!$B$18+IF(parametros_manuales!$H$31="Todos",datos_base!$B$9+datos_base!$B$23,0))*parametros_manuales!$M$95+parametros_manuales!$E$31*(datos_base!$B$3+datos_base!$B$19+IF(parametros_manuales!$H$31="Todos",datos_base!$B$10+datos_base!$B$24,0))*parametros_manuales!$M$100+parametros_manuales!$F$31*(datos_base!$B$4+datos_base!$B$20+IF(parametros_manuales!$H$31="Todos",datos_base!$B$11+datos_base!$B$25,0))*parametros_manuales!$M$105+parametros_manuales!$G$31*(datos_base!$B$5+datos_base!$B$21+IF(parametros_manuales!$H$31="Todos",datos_base!$B$12+datos_base!$B$26,0))*parametros_manuales!$M$110)*parametros_manuales!$I$31*parametros_manuales!$J$31</f>
        <v>12.357671592114</v>
      </c>
      <c r="N14" s="9" t="n">
        <f aca="false">SUM(B14:M14)</f>
        <v>137.3074621346</v>
      </c>
      <c r="O14" s="9" t="n">
        <f aca="false">MAX(B14:M14)</f>
        <v>12.357671592114</v>
      </c>
      <c r="P14" s="43" t="n">
        <f aca="false">O14/(parametros_manuales!$B$7)</f>
        <v>0.08238447728076</v>
      </c>
      <c r="Q14" s="8" t="str">
        <f aca="false">IF(O14=0,"-",INDEX($B$1:$M$1,MATCH(O14,B14:M14,0)))</f>
        <v>Ene</v>
      </c>
    </row>
    <row r="15" customFormat="false" ht="14.25" hidden="false" customHeight="true" outlineLevel="0" collapsed="false">
      <c r="A15" s="8" t="str">
        <f aca="false">parametros_manuales!$B$32</f>
        <v>Prueba hidráulica</v>
      </c>
      <c r="B15" s="9" t="n">
        <f aca="false">(parametros_manuales!$D$32*(datos_base!$B$2+datos_base!$B$18+IF(parametros_manuales!$H$32="Todos",datos_base!$B$9+datos_base!$B$23,0))*parametros_manuales!$B$95+parametros_manuales!$E$32*(datos_base!$B$3+datos_base!$B$19+IF(parametros_manuales!$H$32="Todos",datos_base!$B$10+datos_base!$B$24,0))*parametros_manuales!$B$100+parametros_manuales!$F$32*(datos_base!$B$4+datos_base!$B$20+IF(parametros_manuales!$H$32="Todos",datos_base!$B$11+datos_base!$B$25,0))*parametros_manuales!$B$105+parametros_manuales!$G$32*(datos_base!$B$5+datos_base!$B$21+IF(parametros_manuales!$H$32="Todos",datos_base!$B$12+datos_base!$B$26,0))*parametros_manuales!$B$110)*parametros_manuales!$I$32*parametros_manuales!$J$32</f>
        <v>617.8835796057</v>
      </c>
      <c r="C15" s="9" t="n">
        <f aca="false">(parametros_manuales!$D$32*(datos_base!$B$2+datos_base!$B$18+IF(parametros_manuales!$H$32="Todos",datos_base!$B$9+datos_base!$B$23,0))*parametros_manuales!$C$95+parametros_manuales!$E$32*(datos_base!$B$3+datos_base!$B$19+IF(parametros_manuales!$H$32="Todos",datos_base!$B$10+datos_base!$B$24,0))*parametros_manuales!$C$100+parametros_manuales!$F$32*(datos_base!$B$4+datos_base!$B$20+IF(parametros_manuales!$H$32="Todos",datos_base!$B$11+datos_base!$B$25,0))*parametros_manuales!$C$105+parametros_manuales!$G$32*(datos_base!$B$5+datos_base!$B$21+IF(parametros_manuales!$H$32="Todos",datos_base!$B$12+datos_base!$B$26,0))*parametros_manuales!$C$110)*parametros_manuales!$I$32*parametros_manuales!$J$32</f>
        <v>591.0172139684</v>
      </c>
      <c r="D15" s="9" t="n">
        <f aca="false">(parametros_manuales!$D$32*(datos_base!$B$2+datos_base!$B$18+IF(parametros_manuales!$H$32="Todos",datos_base!$B$9+datos_base!$B$23,0))*parametros_manuales!$D$95+parametros_manuales!$E$32*(datos_base!$B$3+datos_base!$B$19+IF(parametros_manuales!$H$32="Todos",datos_base!$B$10+datos_base!$B$24,0))*parametros_manuales!$D$100+parametros_manuales!$F$32*(datos_base!$B$4+datos_base!$B$20+IF(parametros_manuales!$H$32="Todos",datos_base!$B$11+datos_base!$B$25,0))*parametros_manuales!$D$105+parametros_manuales!$G$32*(datos_base!$B$5+datos_base!$B$21+IF(parametros_manuales!$H$32="Todos",datos_base!$B$12+datos_base!$B$26,0))*parametros_manuales!$D$110)*parametros_manuales!$I$32*parametros_manuales!$J$32</f>
        <v>562.66303135705</v>
      </c>
      <c r="E15" s="9" t="n">
        <f aca="false">(parametros_manuales!$D$32*(datos_base!$B$2+datos_base!$B$18+IF(parametros_manuales!$H$32="Todos",datos_base!$B$9+datos_base!$B$23,0))*parametros_manuales!$E$95+parametros_manuales!$E$32*(datos_base!$B$3+datos_base!$B$19+IF(parametros_manuales!$H$32="Todos",datos_base!$B$10+datos_base!$B$24,0))*parametros_manuales!$E$100+parametros_manuales!$F$32*(datos_base!$B$4+datos_base!$B$20+IF(parametros_manuales!$H$32="Todos",datos_base!$B$11+datos_base!$B$25,0))*parametros_manuales!$E$105+parametros_manuales!$G$32*(datos_base!$B$5+datos_base!$B$21+IF(parametros_manuales!$H$32="Todos",datos_base!$B$12+datos_base!$B$26,0))*parametros_manuales!$E$110)*parametros_manuales!$I$32*parametros_manuales!$J$32</f>
        <v>541.76934864205</v>
      </c>
      <c r="F15" s="9" t="n">
        <f aca="false">(parametros_manuales!$D$32*(datos_base!$B$2+datos_base!$B$18+IF(parametros_manuales!$H$32="Todos",datos_base!$B$9+datos_base!$B$23,0))*parametros_manuales!$F$95+parametros_manuales!$E$32*(datos_base!$B$3+datos_base!$B$19+IF(parametros_manuales!$H$32="Todos",datos_base!$B$10+datos_base!$B$24,0))*parametros_manuales!$F$100+parametros_manuales!$F$32*(datos_base!$B$4+datos_base!$B$20+IF(parametros_manuales!$H$32="Todos",datos_base!$B$11+datos_base!$B$25,0))*parametros_manuales!$F$105+parametros_manuales!$G$32*(datos_base!$B$5+datos_base!$B$21+IF(parametros_manuales!$H$32="Todos",datos_base!$B$12+datos_base!$B$26,0))*parametros_manuales!$F$110)*parametros_manuales!$I$32*parametros_manuales!$J$32</f>
        <v>507.4424831084</v>
      </c>
      <c r="G15" s="9" t="n">
        <f aca="false">(parametros_manuales!$D$32*(datos_base!$B$2+datos_base!$B$18+IF(parametros_manuales!$H$32="Todos",datos_base!$B$9+datos_base!$B$23,0))*parametros_manuales!$G$95+parametros_manuales!$E$32*(datos_base!$B$3+datos_base!$B$19+IF(parametros_manuales!$H$32="Todos",datos_base!$B$10+datos_base!$B$24,0))*parametros_manuales!$G$100+parametros_manuales!$F$32*(datos_base!$B$4+datos_base!$B$20+IF(parametros_manuales!$H$32="Todos",datos_base!$B$11+datos_base!$B$25,0))*parametros_manuales!$G$105+parametros_manuales!$G$32*(datos_base!$B$5+datos_base!$B$21+IF(parametros_manuales!$H$32="Todos",datos_base!$B$12+datos_base!$B$26,0))*parametros_manuales!$G$110)*parametros_manuales!$I$32*parametros_manuales!$J$32</f>
        <v>494.00930028975</v>
      </c>
      <c r="H15" s="9" t="n">
        <f aca="false">(parametros_manuales!$D$32*(datos_base!$B$2+datos_base!$B$18+IF(parametros_manuales!$H$32="Todos",datos_base!$B$9+datos_base!$B$23,0))*parametros_manuales!$H$95+parametros_manuales!$E$32*(datos_base!$B$3+datos_base!$B$19+IF(parametros_manuales!$H$32="Todos",datos_base!$B$10+datos_base!$B$24,0))*parametros_manuales!$H$100+parametros_manuales!$F$32*(datos_base!$B$4+datos_base!$B$20+IF(parametros_manuales!$H$32="Todos",datos_base!$B$11+datos_base!$B$25,0))*parametros_manuales!$H$105+parametros_manuales!$G$32*(datos_base!$B$5+datos_base!$B$21+IF(parametros_manuales!$H$32="Todos",datos_base!$B$12+datos_base!$B$26,0))*parametros_manuales!$H$110)*parametros_manuales!$I$32*parametros_manuales!$J$32</f>
        <v>528.3361658234</v>
      </c>
      <c r="I15" s="9" t="n">
        <f aca="false">(parametros_manuales!$D$32*(datos_base!$B$2+datos_base!$B$18+IF(parametros_manuales!$H$32="Todos",datos_base!$B$9+datos_base!$B$23,0))*parametros_manuales!$I$95+parametros_manuales!$E$32*(datos_base!$B$3+datos_base!$B$19+IF(parametros_manuales!$H$32="Todos",datos_base!$B$10+datos_base!$B$24,0))*parametros_manuales!$I$100+parametros_manuales!$F$32*(datos_base!$B$4+datos_base!$B$20+IF(parametros_manuales!$H$32="Todos",datos_base!$B$11+datos_base!$B$25,0))*parametros_manuales!$I$105+parametros_manuales!$G$32*(datos_base!$B$5+datos_base!$B$21+IF(parametros_manuales!$H$32="Todos",datos_base!$B$12+datos_base!$B$26,0))*parametros_manuales!$I$110)*parametros_manuales!$I$32*parametros_manuales!$J$32</f>
        <v>591.0172139684</v>
      </c>
      <c r="J15" s="9" t="n">
        <f aca="false">(parametros_manuales!$D$32*(datos_base!$B$2+datos_base!$B$18+IF(parametros_manuales!$H$32="Todos",datos_base!$B$9+datos_base!$B$23,0))*parametros_manuales!$J$95+parametros_manuales!$E$32*(datos_base!$B$3+datos_base!$B$19+IF(parametros_manuales!$H$32="Todos",datos_base!$B$10+datos_base!$B$24,0))*parametros_manuales!$J$100+parametros_manuales!$F$32*(datos_base!$B$4+datos_base!$B$20+IF(parametros_manuales!$H$32="Todos",datos_base!$B$11+datos_base!$B$25,0))*parametros_manuales!$J$105+parametros_manuales!$G$32*(datos_base!$B$5+datos_base!$B$21+IF(parametros_manuales!$H$32="Todos",datos_base!$B$12+datos_base!$B$26,0))*parametros_manuales!$J$110)*parametros_manuales!$I$32*parametros_manuales!$J$32</f>
        <v>591.0172139684</v>
      </c>
      <c r="K15" s="9" t="n">
        <f aca="false">(parametros_manuales!$D$32*(datos_base!$B$2+datos_base!$B$18+IF(parametros_manuales!$H$32="Todos",datos_base!$B$9+datos_base!$B$23,0))*parametros_manuales!$K$95+parametros_manuales!$E$32*(datos_base!$B$3+datos_base!$B$19+IF(parametros_manuales!$H$32="Todos",datos_base!$B$10+datos_base!$B$24,0))*parametros_manuales!$K$100+parametros_manuales!$F$32*(datos_base!$B$4+datos_base!$B$20+IF(parametros_manuales!$H$32="Todos",datos_base!$B$11+datos_base!$B$25,0))*parametros_manuales!$K$105+parametros_manuales!$G$32*(datos_base!$B$5+datos_base!$B$21+IF(parametros_manuales!$H$32="Todos",datos_base!$B$12+datos_base!$B$26,0))*parametros_manuales!$K$110)*parametros_manuales!$I$32*parametros_manuales!$J$32</f>
        <v>604.45039678705</v>
      </c>
      <c r="L15" s="9" t="n">
        <f aca="false">(parametros_manuales!$D$32*(datos_base!$B$2+datos_base!$B$18+IF(parametros_manuales!$H$32="Todos",datos_base!$B$9+datos_base!$B$23,0))*parametros_manuales!$L$95+parametros_manuales!$E$32*(datos_base!$B$3+datos_base!$B$19+IF(parametros_manuales!$H$32="Todos",datos_base!$B$10+datos_base!$B$24,0))*parametros_manuales!$L$100+parametros_manuales!$F$32*(datos_base!$B$4+datos_base!$B$20+IF(parametros_manuales!$H$32="Todos",datos_base!$B$11+datos_base!$B$25,0))*parametros_manuales!$L$105+parametros_manuales!$G$32*(datos_base!$B$5+datos_base!$B$21+IF(parametros_manuales!$H$32="Todos",datos_base!$B$12+datos_base!$B$26,0))*parametros_manuales!$L$110)*parametros_manuales!$I$32*parametros_manuales!$J$32</f>
        <v>617.8835796057</v>
      </c>
      <c r="M15" s="9" t="n">
        <f aca="false">(parametros_manuales!$D$32*(datos_base!$B$2+datos_base!$B$18+IF(parametros_manuales!$H$32="Todos",datos_base!$B$9+datos_base!$B$23,0))*parametros_manuales!$M$95+parametros_manuales!$E$32*(datos_base!$B$3+datos_base!$B$19+IF(parametros_manuales!$H$32="Todos",datos_base!$B$10+datos_base!$B$24,0))*parametros_manuales!$M$100+parametros_manuales!$F$32*(datos_base!$B$4+datos_base!$B$20+IF(parametros_manuales!$H$32="Todos",datos_base!$B$11+datos_base!$B$25,0))*parametros_manuales!$M$105+parametros_manuales!$G$32*(datos_base!$B$5+datos_base!$B$21+IF(parametros_manuales!$H$32="Todos",datos_base!$B$12+datos_base!$B$26,0))*parametros_manuales!$M$110)*parametros_manuales!$I$32*parametros_manuales!$J$32</f>
        <v>617.8835796057</v>
      </c>
      <c r="N15" s="9" t="n">
        <f aca="false">SUM(B15:M15)</f>
        <v>6865.37310673</v>
      </c>
      <c r="O15" s="9" t="n">
        <f aca="false">MAX(B15:M15)</f>
        <v>617.8835796057</v>
      </c>
      <c r="P15" s="43" t="n">
        <f aca="false">O15/(parametros_manuales!$B$7)</f>
        <v>4.119223864038</v>
      </c>
      <c r="Q15" s="8" t="str">
        <f aca="false">IF(O15=0,"-",INDEX($B$1:$M$1,MATCH(O15,B15:M15,0)))</f>
        <v>Ene</v>
      </c>
    </row>
    <row r="16" customFormat="false" ht="14.25" hidden="false" customHeight="true" outlineLevel="0" collapsed="false">
      <c r="A16" s="8" t="str">
        <f aca="false">parametros_manuales!$B$33</f>
        <v>Secado</v>
      </c>
      <c r="B16" s="9" t="n">
        <f aca="false">(parametros_manuales!$D$33*(datos_base!$B$2+datos_base!$B$18+IF(parametros_manuales!$H$33="Todos",datos_base!$B$9+datos_base!$B$23,0))*parametros_manuales!$B$95+parametros_manuales!$E$33*(datos_base!$B$3+datos_base!$B$19+IF(parametros_manuales!$H$33="Todos",datos_base!$B$10+datos_base!$B$24,0))*parametros_manuales!$B$100+parametros_manuales!$F$33*(datos_base!$B$4+datos_base!$B$20+IF(parametros_manuales!$H$33="Todos",datos_base!$B$11+datos_base!$B$25,0))*parametros_manuales!$B$105+parametros_manuales!$G$33*(datos_base!$B$5+datos_base!$B$21+IF(parametros_manuales!$H$33="Todos",datos_base!$B$12+datos_base!$B$26,0))*parametros_manuales!$B$110)*parametros_manuales!$I$33*parametros_manuales!$J$33</f>
        <v>617.8835796057</v>
      </c>
      <c r="C16" s="9" t="n">
        <f aca="false">(parametros_manuales!$D$33*(datos_base!$B$2+datos_base!$B$18+IF(parametros_manuales!$H$33="Todos",datos_base!$B$9+datos_base!$B$23,0))*parametros_manuales!$C$95+parametros_manuales!$E$33*(datos_base!$B$3+datos_base!$B$19+IF(parametros_manuales!$H$33="Todos",datos_base!$B$10+datos_base!$B$24,0))*parametros_manuales!$C$100+parametros_manuales!$F$33*(datos_base!$B$4+datos_base!$B$20+IF(parametros_manuales!$H$33="Todos",datos_base!$B$11+datos_base!$B$25,0))*parametros_manuales!$C$105+parametros_manuales!$G$33*(datos_base!$B$5+datos_base!$B$21+IF(parametros_manuales!$H$33="Todos",datos_base!$B$12+datos_base!$B$26,0))*parametros_manuales!$C$110)*parametros_manuales!$I$33*parametros_manuales!$J$33</f>
        <v>591.0172139684</v>
      </c>
      <c r="D16" s="9" t="n">
        <f aca="false">(parametros_manuales!$D$33*(datos_base!$B$2+datos_base!$B$18+IF(parametros_manuales!$H$33="Todos",datos_base!$B$9+datos_base!$B$23,0))*parametros_manuales!$D$95+parametros_manuales!$E$33*(datos_base!$B$3+datos_base!$B$19+IF(parametros_manuales!$H$33="Todos",datos_base!$B$10+datos_base!$B$24,0))*parametros_manuales!$D$100+parametros_manuales!$F$33*(datos_base!$B$4+datos_base!$B$20+IF(parametros_manuales!$H$33="Todos",datos_base!$B$11+datos_base!$B$25,0))*parametros_manuales!$D$105+parametros_manuales!$G$33*(datos_base!$B$5+datos_base!$B$21+IF(parametros_manuales!$H$33="Todos",datos_base!$B$12+datos_base!$B$26,0))*parametros_manuales!$D$110)*parametros_manuales!$I$33*parametros_manuales!$J$33</f>
        <v>562.66303135705</v>
      </c>
      <c r="E16" s="9" t="n">
        <f aca="false">(parametros_manuales!$D$33*(datos_base!$B$2+datos_base!$B$18+IF(parametros_manuales!$H$33="Todos",datos_base!$B$9+datos_base!$B$23,0))*parametros_manuales!$E$95+parametros_manuales!$E$33*(datos_base!$B$3+datos_base!$B$19+IF(parametros_manuales!$H$33="Todos",datos_base!$B$10+datos_base!$B$24,0))*parametros_manuales!$E$100+parametros_manuales!$F$33*(datos_base!$B$4+datos_base!$B$20+IF(parametros_manuales!$H$33="Todos",datos_base!$B$11+datos_base!$B$25,0))*parametros_manuales!$E$105+parametros_manuales!$G$33*(datos_base!$B$5+datos_base!$B$21+IF(parametros_manuales!$H$33="Todos",datos_base!$B$12+datos_base!$B$26,0))*parametros_manuales!$E$110)*parametros_manuales!$I$33*parametros_manuales!$J$33</f>
        <v>541.76934864205</v>
      </c>
      <c r="F16" s="9" t="n">
        <f aca="false">(parametros_manuales!$D$33*(datos_base!$B$2+datos_base!$B$18+IF(parametros_manuales!$H$33="Todos",datos_base!$B$9+datos_base!$B$23,0))*parametros_manuales!$F$95+parametros_manuales!$E$33*(datos_base!$B$3+datos_base!$B$19+IF(parametros_manuales!$H$33="Todos",datos_base!$B$10+datos_base!$B$24,0))*parametros_manuales!$F$100+parametros_manuales!$F$33*(datos_base!$B$4+datos_base!$B$20+IF(parametros_manuales!$H$33="Todos",datos_base!$B$11+datos_base!$B$25,0))*parametros_manuales!$F$105+parametros_manuales!$G$33*(datos_base!$B$5+datos_base!$B$21+IF(parametros_manuales!$H$33="Todos",datos_base!$B$12+datos_base!$B$26,0))*parametros_manuales!$F$110)*parametros_manuales!$I$33*parametros_manuales!$J$33</f>
        <v>507.4424831084</v>
      </c>
      <c r="G16" s="9" t="n">
        <f aca="false">(parametros_manuales!$D$33*(datos_base!$B$2+datos_base!$B$18+IF(parametros_manuales!$H$33="Todos",datos_base!$B$9+datos_base!$B$23,0))*parametros_manuales!$G$95+parametros_manuales!$E$33*(datos_base!$B$3+datos_base!$B$19+IF(parametros_manuales!$H$33="Todos",datos_base!$B$10+datos_base!$B$24,0))*parametros_manuales!$G$100+parametros_manuales!$F$33*(datos_base!$B$4+datos_base!$B$20+IF(parametros_manuales!$H$33="Todos",datos_base!$B$11+datos_base!$B$25,0))*parametros_manuales!$G$105+parametros_manuales!$G$33*(datos_base!$B$5+datos_base!$B$21+IF(parametros_manuales!$H$33="Todos",datos_base!$B$12+datos_base!$B$26,0))*parametros_manuales!$G$110)*parametros_manuales!$I$33*parametros_manuales!$J$33</f>
        <v>494.00930028975</v>
      </c>
      <c r="H16" s="9" t="n">
        <f aca="false">(parametros_manuales!$D$33*(datos_base!$B$2+datos_base!$B$18+IF(parametros_manuales!$H$33="Todos",datos_base!$B$9+datos_base!$B$23,0))*parametros_manuales!$H$95+parametros_manuales!$E$33*(datos_base!$B$3+datos_base!$B$19+IF(parametros_manuales!$H$33="Todos",datos_base!$B$10+datos_base!$B$24,0))*parametros_manuales!$H$100+parametros_manuales!$F$33*(datos_base!$B$4+datos_base!$B$20+IF(parametros_manuales!$H$33="Todos",datos_base!$B$11+datos_base!$B$25,0))*parametros_manuales!$H$105+parametros_manuales!$G$33*(datos_base!$B$5+datos_base!$B$21+IF(parametros_manuales!$H$33="Todos",datos_base!$B$12+datos_base!$B$26,0))*parametros_manuales!$H$110)*parametros_manuales!$I$33*parametros_manuales!$J$33</f>
        <v>528.3361658234</v>
      </c>
      <c r="I16" s="9" t="n">
        <f aca="false">(parametros_manuales!$D$33*(datos_base!$B$2+datos_base!$B$18+IF(parametros_manuales!$H$33="Todos",datos_base!$B$9+datos_base!$B$23,0))*parametros_manuales!$I$95+parametros_manuales!$E$33*(datos_base!$B$3+datos_base!$B$19+IF(parametros_manuales!$H$33="Todos",datos_base!$B$10+datos_base!$B$24,0))*parametros_manuales!$I$100+parametros_manuales!$F$33*(datos_base!$B$4+datos_base!$B$20+IF(parametros_manuales!$H$33="Todos",datos_base!$B$11+datos_base!$B$25,0))*parametros_manuales!$I$105+parametros_manuales!$G$33*(datos_base!$B$5+datos_base!$B$21+IF(parametros_manuales!$H$33="Todos",datos_base!$B$12+datos_base!$B$26,0))*parametros_manuales!$I$110)*parametros_manuales!$I$33*parametros_manuales!$J$33</f>
        <v>591.0172139684</v>
      </c>
      <c r="J16" s="9" t="n">
        <f aca="false">(parametros_manuales!$D$33*(datos_base!$B$2+datos_base!$B$18+IF(parametros_manuales!$H$33="Todos",datos_base!$B$9+datos_base!$B$23,0))*parametros_manuales!$J$95+parametros_manuales!$E$33*(datos_base!$B$3+datos_base!$B$19+IF(parametros_manuales!$H$33="Todos",datos_base!$B$10+datos_base!$B$24,0))*parametros_manuales!$J$100+parametros_manuales!$F$33*(datos_base!$B$4+datos_base!$B$20+IF(parametros_manuales!$H$33="Todos",datos_base!$B$11+datos_base!$B$25,0))*parametros_manuales!$J$105+parametros_manuales!$G$33*(datos_base!$B$5+datos_base!$B$21+IF(parametros_manuales!$H$33="Todos",datos_base!$B$12+datos_base!$B$26,0))*parametros_manuales!$J$110)*parametros_manuales!$I$33*parametros_manuales!$J$33</f>
        <v>591.0172139684</v>
      </c>
      <c r="K16" s="9" t="n">
        <f aca="false">(parametros_manuales!$D$33*(datos_base!$B$2+datos_base!$B$18+IF(parametros_manuales!$H$33="Todos",datos_base!$B$9+datos_base!$B$23,0))*parametros_manuales!$K$95+parametros_manuales!$E$33*(datos_base!$B$3+datos_base!$B$19+IF(parametros_manuales!$H$33="Todos",datos_base!$B$10+datos_base!$B$24,0))*parametros_manuales!$K$100+parametros_manuales!$F$33*(datos_base!$B$4+datos_base!$B$20+IF(parametros_manuales!$H$33="Todos",datos_base!$B$11+datos_base!$B$25,0))*parametros_manuales!$K$105+parametros_manuales!$G$33*(datos_base!$B$5+datos_base!$B$21+IF(parametros_manuales!$H$33="Todos",datos_base!$B$12+datos_base!$B$26,0))*parametros_manuales!$K$110)*parametros_manuales!$I$33*parametros_manuales!$J$33</f>
        <v>604.45039678705</v>
      </c>
      <c r="L16" s="9" t="n">
        <f aca="false">(parametros_manuales!$D$33*(datos_base!$B$2+datos_base!$B$18+IF(parametros_manuales!$H$33="Todos",datos_base!$B$9+datos_base!$B$23,0))*parametros_manuales!$L$95+parametros_manuales!$E$33*(datos_base!$B$3+datos_base!$B$19+IF(parametros_manuales!$H$33="Todos",datos_base!$B$10+datos_base!$B$24,0))*parametros_manuales!$L$100+parametros_manuales!$F$33*(datos_base!$B$4+datos_base!$B$20+IF(parametros_manuales!$H$33="Todos",datos_base!$B$11+datos_base!$B$25,0))*parametros_manuales!$L$105+parametros_manuales!$G$33*(datos_base!$B$5+datos_base!$B$21+IF(parametros_manuales!$H$33="Todos",datos_base!$B$12+datos_base!$B$26,0))*parametros_manuales!$L$110)*parametros_manuales!$I$33*parametros_manuales!$J$33</f>
        <v>617.8835796057</v>
      </c>
      <c r="M16" s="9" t="n">
        <f aca="false">(parametros_manuales!$D$33*(datos_base!$B$2+datos_base!$B$18+IF(parametros_manuales!$H$33="Todos",datos_base!$B$9+datos_base!$B$23,0))*parametros_manuales!$M$95+parametros_manuales!$E$33*(datos_base!$B$3+datos_base!$B$19+IF(parametros_manuales!$H$33="Todos",datos_base!$B$10+datos_base!$B$24,0))*parametros_manuales!$M$100+parametros_manuales!$F$33*(datos_base!$B$4+datos_base!$B$20+IF(parametros_manuales!$H$33="Todos",datos_base!$B$11+datos_base!$B$25,0))*parametros_manuales!$M$105+parametros_manuales!$G$33*(datos_base!$B$5+datos_base!$B$21+IF(parametros_manuales!$H$33="Todos",datos_base!$B$12+datos_base!$B$26,0))*parametros_manuales!$M$110)*parametros_manuales!$I$33*parametros_manuales!$J$33</f>
        <v>617.8835796057</v>
      </c>
      <c r="N16" s="9" t="n">
        <f aca="false">SUM(B16:M16)</f>
        <v>6865.37310673</v>
      </c>
      <c r="O16" s="9" t="n">
        <f aca="false">MAX(B16:M16)</f>
        <v>617.8835796057</v>
      </c>
      <c r="P16" s="43" t="n">
        <f aca="false">O16/(parametros_manuales!$B$7)</f>
        <v>4.119223864038</v>
      </c>
      <c r="Q16" s="8" t="str">
        <f aca="false">IF(O16=0,"-",INDEX($B$1:$M$1,MATCH(O16,B16:M16,0)))</f>
        <v>Ene</v>
      </c>
    </row>
    <row r="17" customFormat="false" ht="14.25" hidden="false" customHeight="true" outlineLevel="0" collapsed="false">
      <c r="A17" s="8" t="str">
        <f aca="false">parametros_manuales!$B$34</f>
        <v>Granallado</v>
      </c>
      <c r="B17" s="9" t="n">
        <f aca="false">(parametros_manuales!$D$34*(datos_base!$B$2+datos_base!$B$18+IF(parametros_manuales!$H$34="Todos",datos_base!$B$9+datos_base!$B$23,0))*parametros_manuales!$B$95+parametros_manuales!$E$34*(datos_base!$B$3+datos_base!$B$19+IF(parametros_manuales!$H$34="Todos",datos_base!$B$10+datos_base!$B$24,0))*parametros_manuales!$B$100+parametros_manuales!$F$34*(datos_base!$B$4+datos_base!$B$20+IF(parametros_manuales!$H$34="Todos",datos_base!$B$11+datos_base!$B$25,0))*parametros_manuales!$B$105+parametros_manuales!$G$34*(datos_base!$B$5+datos_base!$B$21+IF(parametros_manuales!$H$34="Todos",datos_base!$B$12+datos_base!$B$26,0))*parametros_manuales!$B$110)*parametros_manuales!$I$34*parametros_manuales!$J$34</f>
        <v>617.8835796057</v>
      </c>
      <c r="C17" s="9" t="n">
        <f aca="false">(parametros_manuales!$D$34*(datos_base!$B$2+datos_base!$B$18+IF(parametros_manuales!$H$34="Todos",datos_base!$B$9+datos_base!$B$23,0))*parametros_manuales!$C$95+parametros_manuales!$E$34*(datos_base!$B$3+datos_base!$B$19+IF(parametros_manuales!$H$34="Todos",datos_base!$B$10+datos_base!$B$24,0))*parametros_manuales!$C$100+parametros_manuales!$F$34*(datos_base!$B$4+datos_base!$B$20+IF(parametros_manuales!$H$34="Todos",datos_base!$B$11+datos_base!$B$25,0))*parametros_manuales!$C$105+parametros_manuales!$G$34*(datos_base!$B$5+datos_base!$B$21+IF(parametros_manuales!$H$34="Todos",datos_base!$B$12+datos_base!$B$26,0))*parametros_manuales!$C$110)*parametros_manuales!$I$34*parametros_manuales!$J$34</f>
        <v>591.0172139684</v>
      </c>
      <c r="D17" s="9" t="n">
        <f aca="false">(parametros_manuales!$D$34*(datos_base!$B$2+datos_base!$B$18+IF(parametros_manuales!$H$34="Todos",datos_base!$B$9+datos_base!$B$23,0))*parametros_manuales!$D$95+parametros_manuales!$E$34*(datos_base!$B$3+datos_base!$B$19+IF(parametros_manuales!$H$34="Todos",datos_base!$B$10+datos_base!$B$24,0))*parametros_manuales!$D$100+parametros_manuales!$F$34*(datos_base!$B$4+datos_base!$B$20+IF(parametros_manuales!$H$34="Todos",datos_base!$B$11+datos_base!$B$25,0))*parametros_manuales!$D$105+parametros_manuales!$G$34*(datos_base!$B$5+datos_base!$B$21+IF(parametros_manuales!$H$34="Todos",datos_base!$B$12+datos_base!$B$26,0))*parametros_manuales!$D$110)*parametros_manuales!$I$34*parametros_manuales!$J$34</f>
        <v>562.66303135705</v>
      </c>
      <c r="E17" s="9" t="n">
        <f aca="false">(parametros_manuales!$D$34*(datos_base!$B$2+datos_base!$B$18+IF(parametros_manuales!$H$34="Todos",datos_base!$B$9+datos_base!$B$23,0))*parametros_manuales!$E$95+parametros_manuales!$E$34*(datos_base!$B$3+datos_base!$B$19+IF(parametros_manuales!$H$34="Todos",datos_base!$B$10+datos_base!$B$24,0))*parametros_manuales!$E$100+parametros_manuales!$F$34*(datos_base!$B$4+datos_base!$B$20+IF(parametros_manuales!$H$34="Todos",datos_base!$B$11+datos_base!$B$25,0))*parametros_manuales!$E$105+parametros_manuales!$G$34*(datos_base!$B$5+datos_base!$B$21+IF(parametros_manuales!$H$34="Todos",datos_base!$B$12+datos_base!$B$26,0))*parametros_manuales!$E$110)*parametros_manuales!$I$34*parametros_manuales!$J$34</f>
        <v>541.76934864205</v>
      </c>
      <c r="F17" s="9" t="n">
        <f aca="false">(parametros_manuales!$D$34*(datos_base!$B$2+datos_base!$B$18+IF(parametros_manuales!$H$34="Todos",datos_base!$B$9+datos_base!$B$23,0))*parametros_manuales!$F$95+parametros_manuales!$E$34*(datos_base!$B$3+datos_base!$B$19+IF(parametros_manuales!$H$34="Todos",datos_base!$B$10+datos_base!$B$24,0))*parametros_manuales!$F$100+parametros_manuales!$F$34*(datos_base!$B$4+datos_base!$B$20+IF(parametros_manuales!$H$34="Todos",datos_base!$B$11+datos_base!$B$25,0))*parametros_manuales!$F$105+parametros_manuales!$G$34*(datos_base!$B$5+datos_base!$B$21+IF(parametros_manuales!$H$34="Todos",datos_base!$B$12+datos_base!$B$26,0))*parametros_manuales!$F$110)*parametros_manuales!$I$34*parametros_manuales!$J$34</f>
        <v>507.4424831084</v>
      </c>
      <c r="G17" s="9" t="n">
        <f aca="false">(parametros_manuales!$D$34*(datos_base!$B$2+datos_base!$B$18+IF(parametros_manuales!$H$34="Todos",datos_base!$B$9+datos_base!$B$23,0))*parametros_manuales!$G$95+parametros_manuales!$E$34*(datos_base!$B$3+datos_base!$B$19+IF(parametros_manuales!$H$34="Todos",datos_base!$B$10+datos_base!$B$24,0))*parametros_manuales!$G$100+parametros_manuales!$F$34*(datos_base!$B$4+datos_base!$B$20+IF(parametros_manuales!$H$34="Todos",datos_base!$B$11+datos_base!$B$25,0))*parametros_manuales!$G$105+parametros_manuales!$G$34*(datos_base!$B$5+datos_base!$B$21+IF(parametros_manuales!$H$34="Todos",datos_base!$B$12+datos_base!$B$26,0))*parametros_manuales!$G$110)*parametros_manuales!$I$34*parametros_manuales!$J$34</f>
        <v>494.00930028975</v>
      </c>
      <c r="H17" s="9" t="n">
        <f aca="false">(parametros_manuales!$D$34*(datos_base!$B$2+datos_base!$B$18+IF(parametros_manuales!$H$34="Todos",datos_base!$B$9+datos_base!$B$23,0))*parametros_manuales!$H$95+parametros_manuales!$E$34*(datos_base!$B$3+datos_base!$B$19+IF(parametros_manuales!$H$34="Todos",datos_base!$B$10+datos_base!$B$24,0))*parametros_manuales!$H$100+parametros_manuales!$F$34*(datos_base!$B$4+datos_base!$B$20+IF(parametros_manuales!$H$34="Todos",datos_base!$B$11+datos_base!$B$25,0))*parametros_manuales!$H$105+parametros_manuales!$G$34*(datos_base!$B$5+datos_base!$B$21+IF(parametros_manuales!$H$34="Todos",datos_base!$B$12+datos_base!$B$26,0))*parametros_manuales!$H$110)*parametros_manuales!$I$34*parametros_manuales!$J$34</f>
        <v>528.3361658234</v>
      </c>
      <c r="I17" s="9" t="n">
        <f aca="false">(parametros_manuales!$D$34*(datos_base!$B$2+datos_base!$B$18+IF(parametros_manuales!$H$34="Todos",datos_base!$B$9+datos_base!$B$23,0))*parametros_manuales!$I$95+parametros_manuales!$E$34*(datos_base!$B$3+datos_base!$B$19+IF(parametros_manuales!$H$34="Todos",datos_base!$B$10+datos_base!$B$24,0))*parametros_manuales!$I$100+parametros_manuales!$F$34*(datos_base!$B$4+datos_base!$B$20+IF(parametros_manuales!$H$34="Todos",datos_base!$B$11+datos_base!$B$25,0))*parametros_manuales!$I$105+parametros_manuales!$G$34*(datos_base!$B$5+datos_base!$B$21+IF(parametros_manuales!$H$34="Todos",datos_base!$B$12+datos_base!$B$26,0))*parametros_manuales!$I$110)*parametros_manuales!$I$34*parametros_manuales!$J$34</f>
        <v>591.0172139684</v>
      </c>
      <c r="J17" s="9" t="n">
        <f aca="false">(parametros_manuales!$D$34*(datos_base!$B$2+datos_base!$B$18+IF(parametros_manuales!$H$34="Todos",datos_base!$B$9+datos_base!$B$23,0))*parametros_manuales!$J$95+parametros_manuales!$E$34*(datos_base!$B$3+datos_base!$B$19+IF(parametros_manuales!$H$34="Todos",datos_base!$B$10+datos_base!$B$24,0))*parametros_manuales!$J$100+parametros_manuales!$F$34*(datos_base!$B$4+datos_base!$B$20+IF(parametros_manuales!$H$34="Todos",datos_base!$B$11+datos_base!$B$25,0))*parametros_manuales!$J$105+parametros_manuales!$G$34*(datos_base!$B$5+datos_base!$B$21+IF(parametros_manuales!$H$34="Todos",datos_base!$B$12+datos_base!$B$26,0))*parametros_manuales!$J$110)*parametros_manuales!$I$34*parametros_manuales!$J$34</f>
        <v>591.0172139684</v>
      </c>
      <c r="K17" s="9" t="n">
        <f aca="false">(parametros_manuales!$D$34*(datos_base!$B$2+datos_base!$B$18+IF(parametros_manuales!$H$34="Todos",datos_base!$B$9+datos_base!$B$23,0))*parametros_manuales!$K$95+parametros_manuales!$E$34*(datos_base!$B$3+datos_base!$B$19+IF(parametros_manuales!$H$34="Todos",datos_base!$B$10+datos_base!$B$24,0))*parametros_manuales!$K$100+parametros_manuales!$F$34*(datos_base!$B$4+datos_base!$B$20+IF(parametros_manuales!$H$34="Todos",datos_base!$B$11+datos_base!$B$25,0))*parametros_manuales!$K$105+parametros_manuales!$G$34*(datos_base!$B$5+datos_base!$B$21+IF(parametros_manuales!$H$34="Todos",datos_base!$B$12+datos_base!$B$26,0))*parametros_manuales!$K$110)*parametros_manuales!$I$34*parametros_manuales!$J$34</f>
        <v>604.45039678705</v>
      </c>
      <c r="L17" s="9" t="n">
        <f aca="false">(parametros_manuales!$D$34*(datos_base!$B$2+datos_base!$B$18+IF(parametros_manuales!$H$34="Todos",datos_base!$B$9+datos_base!$B$23,0))*parametros_manuales!$L$95+parametros_manuales!$E$34*(datos_base!$B$3+datos_base!$B$19+IF(parametros_manuales!$H$34="Todos",datos_base!$B$10+datos_base!$B$24,0))*parametros_manuales!$L$100+parametros_manuales!$F$34*(datos_base!$B$4+datos_base!$B$20+IF(parametros_manuales!$H$34="Todos",datos_base!$B$11+datos_base!$B$25,0))*parametros_manuales!$L$105+parametros_manuales!$G$34*(datos_base!$B$5+datos_base!$B$21+IF(parametros_manuales!$H$34="Todos",datos_base!$B$12+datos_base!$B$26,0))*parametros_manuales!$L$110)*parametros_manuales!$I$34*parametros_manuales!$J$34</f>
        <v>617.8835796057</v>
      </c>
      <c r="M17" s="9" t="n">
        <f aca="false">(parametros_manuales!$D$34*(datos_base!$B$2+datos_base!$B$18+IF(parametros_manuales!$H$34="Todos",datos_base!$B$9+datos_base!$B$23,0))*parametros_manuales!$M$95+parametros_manuales!$E$34*(datos_base!$B$3+datos_base!$B$19+IF(parametros_manuales!$H$34="Todos",datos_base!$B$10+datos_base!$B$24,0))*parametros_manuales!$M$100+parametros_manuales!$F$34*(datos_base!$B$4+datos_base!$B$20+IF(parametros_manuales!$H$34="Todos",datos_base!$B$11+datos_base!$B$25,0))*parametros_manuales!$M$105+parametros_manuales!$G$34*(datos_base!$B$5+datos_base!$B$21+IF(parametros_manuales!$H$34="Todos",datos_base!$B$12+datos_base!$B$26,0))*parametros_manuales!$M$110)*parametros_manuales!$I$34*parametros_manuales!$J$34</f>
        <v>617.8835796057</v>
      </c>
      <c r="N17" s="9" t="n">
        <f aca="false">SUM(B17:M17)</f>
        <v>6865.37310673</v>
      </c>
      <c r="O17" s="9" t="n">
        <f aca="false">MAX(B17:M17)</f>
        <v>617.8835796057</v>
      </c>
      <c r="P17" s="43" t="n">
        <f aca="false">O17/(parametros_manuales!$B$7)</f>
        <v>4.119223864038</v>
      </c>
      <c r="Q17" s="8" t="str">
        <f aca="false">IF(O17=0,"-",INDEX($B$1:$M$1,MATCH(O17,B17:M17,0)))</f>
        <v>Ene</v>
      </c>
    </row>
    <row r="18" customFormat="false" ht="14.25" hidden="false" customHeight="true" outlineLevel="0" collapsed="false">
      <c r="A18" s="8" t="str">
        <f aca="false">parametros_manuales!$B$35</f>
        <v>Detección de defectos</v>
      </c>
      <c r="B18" s="9" t="n">
        <f aca="false">(parametros_manuales!$D$35*(datos_base!$B$2+datos_base!$B$18+IF(parametros_manuales!$H$35="Todos",datos_base!$B$9+datos_base!$B$23,0))*parametros_manuales!$B$95+parametros_manuales!$E$35*(datos_base!$B$3+datos_base!$B$19+IF(parametros_manuales!$H$35="Todos",datos_base!$B$10+datos_base!$B$24,0))*parametros_manuales!$B$100+parametros_manuales!$F$35*(datos_base!$B$4+datos_base!$B$20+IF(parametros_manuales!$H$35="Todos",datos_base!$B$11+datos_base!$B$25,0))*parametros_manuales!$B$105+parametros_manuales!$G$35*(datos_base!$B$5+datos_base!$B$21+IF(parametros_manuales!$H$35="Todos",datos_base!$B$12+datos_base!$B$26,0))*parametros_manuales!$B$110)*parametros_manuales!$I$35*parametros_manuales!$J$35</f>
        <v>617.8835796057</v>
      </c>
      <c r="C18" s="9" t="n">
        <f aca="false">(parametros_manuales!$D$35*(datos_base!$B$2+datos_base!$B$18+IF(parametros_manuales!$H$35="Todos",datos_base!$B$9+datos_base!$B$23,0))*parametros_manuales!$C$95+parametros_manuales!$E$35*(datos_base!$B$3+datos_base!$B$19+IF(parametros_manuales!$H$35="Todos",datos_base!$B$10+datos_base!$B$24,0))*parametros_manuales!$C$100+parametros_manuales!$F$35*(datos_base!$B$4+datos_base!$B$20+IF(parametros_manuales!$H$35="Todos",datos_base!$B$11+datos_base!$B$25,0))*parametros_manuales!$C$105+parametros_manuales!$G$35*(datos_base!$B$5+datos_base!$B$21+IF(parametros_manuales!$H$35="Todos",datos_base!$B$12+datos_base!$B$26,0))*parametros_manuales!$C$110)*parametros_manuales!$I$35*parametros_manuales!$J$35</f>
        <v>591.0172139684</v>
      </c>
      <c r="D18" s="9" t="n">
        <f aca="false">(parametros_manuales!$D$35*(datos_base!$B$2+datos_base!$B$18+IF(parametros_manuales!$H$35="Todos",datos_base!$B$9+datos_base!$B$23,0))*parametros_manuales!$D$95+parametros_manuales!$E$35*(datos_base!$B$3+datos_base!$B$19+IF(parametros_manuales!$H$35="Todos",datos_base!$B$10+datos_base!$B$24,0))*parametros_manuales!$D$100+parametros_manuales!$F$35*(datos_base!$B$4+datos_base!$B$20+IF(parametros_manuales!$H$35="Todos",datos_base!$B$11+datos_base!$B$25,0))*parametros_manuales!$D$105+parametros_manuales!$G$35*(datos_base!$B$5+datos_base!$B$21+IF(parametros_manuales!$H$35="Todos",datos_base!$B$12+datos_base!$B$26,0))*parametros_manuales!$D$110)*parametros_manuales!$I$35*parametros_manuales!$J$35</f>
        <v>562.66303135705</v>
      </c>
      <c r="E18" s="9" t="n">
        <f aca="false">(parametros_manuales!$D$35*(datos_base!$B$2+datos_base!$B$18+IF(parametros_manuales!$H$35="Todos",datos_base!$B$9+datos_base!$B$23,0))*parametros_manuales!$E$95+parametros_manuales!$E$35*(datos_base!$B$3+datos_base!$B$19+IF(parametros_manuales!$H$35="Todos",datos_base!$B$10+datos_base!$B$24,0))*parametros_manuales!$E$100+parametros_manuales!$F$35*(datos_base!$B$4+datos_base!$B$20+IF(parametros_manuales!$H$35="Todos",datos_base!$B$11+datos_base!$B$25,0))*parametros_manuales!$E$105+parametros_manuales!$G$35*(datos_base!$B$5+datos_base!$B$21+IF(parametros_manuales!$H$35="Todos",datos_base!$B$12+datos_base!$B$26,0))*parametros_manuales!$E$110)*parametros_manuales!$I$35*parametros_manuales!$J$35</f>
        <v>541.76934864205</v>
      </c>
      <c r="F18" s="9" t="n">
        <f aca="false">(parametros_manuales!$D$35*(datos_base!$B$2+datos_base!$B$18+IF(parametros_manuales!$H$35="Todos",datos_base!$B$9+datos_base!$B$23,0))*parametros_manuales!$F$95+parametros_manuales!$E$35*(datos_base!$B$3+datos_base!$B$19+IF(parametros_manuales!$H$35="Todos",datos_base!$B$10+datos_base!$B$24,0))*parametros_manuales!$F$100+parametros_manuales!$F$35*(datos_base!$B$4+datos_base!$B$20+IF(parametros_manuales!$H$35="Todos",datos_base!$B$11+datos_base!$B$25,0))*parametros_manuales!$F$105+parametros_manuales!$G$35*(datos_base!$B$5+datos_base!$B$21+IF(parametros_manuales!$H$35="Todos",datos_base!$B$12+datos_base!$B$26,0))*parametros_manuales!$F$110)*parametros_manuales!$I$35*parametros_manuales!$J$35</f>
        <v>507.4424831084</v>
      </c>
      <c r="G18" s="9" t="n">
        <f aca="false">(parametros_manuales!$D$35*(datos_base!$B$2+datos_base!$B$18+IF(parametros_manuales!$H$35="Todos",datos_base!$B$9+datos_base!$B$23,0))*parametros_manuales!$G$95+parametros_manuales!$E$35*(datos_base!$B$3+datos_base!$B$19+IF(parametros_manuales!$H$35="Todos",datos_base!$B$10+datos_base!$B$24,0))*parametros_manuales!$G$100+parametros_manuales!$F$35*(datos_base!$B$4+datos_base!$B$20+IF(parametros_manuales!$H$35="Todos",datos_base!$B$11+datos_base!$B$25,0))*parametros_manuales!$G$105+parametros_manuales!$G$35*(datos_base!$B$5+datos_base!$B$21+IF(parametros_manuales!$H$35="Todos",datos_base!$B$12+datos_base!$B$26,0))*parametros_manuales!$G$110)*parametros_manuales!$I$35*parametros_manuales!$J$35</f>
        <v>494.00930028975</v>
      </c>
      <c r="H18" s="9" t="n">
        <f aca="false">(parametros_manuales!$D$35*(datos_base!$B$2+datos_base!$B$18+IF(parametros_manuales!$H$35="Todos",datos_base!$B$9+datos_base!$B$23,0))*parametros_manuales!$H$95+parametros_manuales!$E$35*(datos_base!$B$3+datos_base!$B$19+IF(parametros_manuales!$H$35="Todos",datos_base!$B$10+datos_base!$B$24,0))*parametros_manuales!$H$100+parametros_manuales!$F$35*(datos_base!$B$4+datos_base!$B$20+IF(parametros_manuales!$H$35="Todos",datos_base!$B$11+datos_base!$B$25,0))*parametros_manuales!$H$105+parametros_manuales!$G$35*(datos_base!$B$5+datos_base!$B$21+IF(parametros_manuales!$H$35="Todos",datos_base!$B$12+datos_base!$B$26,0))*parametros_manuales!$H$110)*parametros_manuales!$I$35*parametros_manuales!$J$35</f>
        <v>528.3361658234</v>
      </c>
      <c r="I18" s="9" t="n">
        <f aca="false">(parametros_manuales!$D$35*(datos_base!$B$2+datos_base!$B$18+IF(parametros_manuales!$H$35="Todos",datos_base!$B$9+datos_base!$B$23,0))*parametros_manuales!$I$95+parametros_manuales!$E$35*(datos_base!$B$3+datos_base!$B$19+IF(parametros_manuales!$H$35="Todos",datos_base!$B$10+datos_base!$B$24,0))*parametros_manuales!$I$100+parametros_manuales!$F$35*(datos_base!$B$4+datos_base!$B$20+IF(parametros_manuales!$H$35="Todos",datos_base!$B$11+datos_base!$B$25,0))*parametros_manuales!$I$105+parametros_manuales!$G$35*(datos_base!$B$5+datos_base!$B$21+IF(parametros_manuales!$H$35="Todos",datos_base!$B$12+datos_base!$B$26,0))*parametros_manuales!$I$110)*parametros_manuales!$I$35*parametros_manuales!$J$35</f>
        <v>591.0172139684</v>
      </c>
      <c r="J18" s="9" t="n">
        <f aca="false">(parametros_manuales!$D$35*(datos_base!$B$2+datos_base!$B$18+IF(parametros_manuales!$H$35="Todos",datos_base!$B$9+datos_base!$B$23,0))*parametros_manuales!$J$95+parametros_manuales!$E$35*(datos_base!$B$3+datos_base!$B$19+IF(parametros_manuales!$H$35="Todos",datos_base!$B$10+datos_base!$B$24,0))*parametros_manuales!$J$100+parametros_manuales!$F$35*(datos_base!$B$4+datos_base!$B$20+IF(parametros_manuales!$H$35="Todos",datos_base!$B$11+datos_base!$B$25,0))*parametros_manuales!$J$105+parametros_manuales!$G$35*(datos_base!$B$5+datos_base!$B$21+IF(parametros_manuales!$H$35="Todos",datos_base!$B$12+datos_base!$B$26,0))*parametros_manuales!$J$110)*parametros_manuales!$I$35*parametros_manuales!$J$35</f>
        <v>591.0172139684</v>
      </c>
      <c r="K18" s="9" t="n">
        <f aca="false">(parametros_manuales!$D$35*(datos_base!$B$2+datos_base!$B$18+IF(parametros_manuales!$H$35="Todos",datos_base!$B$9+datos_base!$B$23,0))*parametros_manuales!$K$95+parametros_manuales!$E$35*(datos_base!$B$3+datos_base!$B$19+IF(parametros_manuales!$H$35="Todos",datos_base!$B$10+datos_base!$B$24,0))*parametros_manuales!$K$100+parametros_manuales!$F$35*(datos_base!$B$4+datos_base!$B$20+IF(parametros_manuales!$H$35="Todos",datos_base!$B$11+datos_base!$B$25,0))*parametros_manuales!$K$105+parametros_manuales!$G$35*(datos_base!$B$5+datos_base!$B$21+IF(parametros_manuales!$H$35="Todos",datos_base!$B$12+datos_base!$B$26,0))*parametros_manuales!$K$110)*parametros_manuales!$I$35*parametros_manuales!$J$35</f>
        <v>604.45039678705</v>
      </c>
      <c r="L18" s="9" t="n">
        <f aca="false">(parametros_manuales!$D$35*(datos_base!$B$2+datos_base!$B$18+IF(parametros_manuales!$H$35="Todos",datos_base!$B$9+datos_base!$B$23,0))*parametros_manuales!$L$95+parametros_manuales!$E$35*(datos_base!$B$3+datos_base!$B$19+IF(parametros_manuales!$H$35="Todos",datos_base!$B$10+datos_base!$B$24,0))*parametros_manuales!$L$100+parametros_manuales!$F$35*(datos_base!$B$4+datos_base!$B$20+IF(parametros_manuales!$H$35="Todos",datos_base!$B$11+datos_base!$B$25,0))*parametros_manuales!$L$105+parametros_manuales!$G$35*(datos_base!$B$5+datos_base!$B$21+IF(parametros_manuales!$H$35="Todos",datos_base!$B$12+datos_base!$B$26,0))*parametros_manuales!$L$110)*parametros_manuales!$I$35*parametros_manuales!$J$35</f>
        <v>617.8835796057</v>
      </c>
      <c r="M18" s="9" t="n">
        <f aca="false">(parametros_manuales!$D$35*(datos_base!$B$2+datos_base!$B$18+IF(parametros_manuales!$H$35="Todos",datos_base!$B$9+datos_base!$B$23,0))*parametros_manuales!$M$95+parametros_manuales!$E$35*(datos_base!$B$3+datos_base!$B$19+IF(parametros_manuales!$H$35="Todos",datos_base!$B$10+datos_base!$B$24,0))*parametros_manuales!$M$100+parametros_manuales!$F$35*(datos_base!$B$4+datos_base!$B$20+IF(parametros_manuales!$H$35="Todos",datos_base!$B$11+datos_base!$B$25,0))*parametros_manuales!$M$105+parametros_manuales!$G$35*(datos_base!$B$5+datos_base!$B$21+IF(parametros_manuales!$H$35="Todos",datos_base!$B$12+datos_base!$B$26,0))*parametros_manuales!$M$110)*parametros_manuales!$I$35*parametros_manuales!$J$35</f>
        <v>617.8835796057</v>
      </c>
      <c r="N18" s="9" t="n">
        <f aca="false">SUM(B18:M18)</f>
        <v>6865.37310673</v>
      </c>
      <c r="O18" s="9" t="n">
        <f aca="false">MAX(B18:M18)</f>
        <v>617.8835796057</v>
      </c>
      <c r="P18" s="43" t="n">
        <f aca="false">O18/(parametros_manuales!$B$7)</f>
        <v>4.119223864038</v>
      </c>
      <c r="Q18" s="8" t="str">
        <f aca="false">IF(O18=0,"-",INDEX($B$1:$M$1,MATCH(O18,B18:M18,0)))</f>
        <v>Ene</v>
      </c>
    </row>
    <row r="19" customFormat="false" ht="14.25" hidden="false" customHeight="true" outlineLevel="0" collapsed="false">
      <c r="A19" s="8" t="str">
        <f aca="false">parametros_manuales!$B$36</f>
        <v>Corrección de defectos</v>
      </c>
      <c r="B19" s="9" t="n">
        <f aca="false">(parametros_manuales!$D$36*(datos_base!$B$2+datos_base!$B$18+IF(parametros_manuales!$H$36="Todos",datos_base!$B$9+datos_base!$B$23,0))*parametros_manuales!$B$95+parametros_manuales!$E$36*(datos_base!$B$3+datos_base!$B$19+IF(parametros_manuales!$H$36="Todos",datos_base!$B$10+datos_base!$B$24,0))*parametros_manuales!$B$100+parametros_manuales!$F$36*(datos_base!$B$4+datos_base!$B$20+IF(parametros_manuales!$H$36="Todos",datos_base!$B$11+datos_base!$B$25,0))*parametros_manuales!$B$105+parametros_manuales!$G$36*(datos_base!$B$5+datos_base!$B$21+IF(parametros_manuales!$H$36="Todos",datos_base!$B$12+datos_base!$B$26,0))*parametros_manuales!$B$110)*parametros_manuales!$I$36*parametros_manuales!$J$36</f>
        <v>30.894178980285</v>
      </c>
      <c r="C19" s="9" t="n">
        <f aca="false">(parametros_manuales!$D$36*(datos_base!$B$2+datos_base!$B$18+IF(parametros_manuales!$H$36="Todos",datos_base!$B$9+datos_base!$B$23,0))*parametros_manuales!$C$95+parametros_manuales!$E$36*(datos_base!$B$3+datos_base!$B$19+IF(parametros_manuales!$H$36="Todos",datos_base!$B$10+datos_base!$B$24,0))*parametros_manuales!$C$100+parametros_manuales!$F$36*(datos_base!$B$4+datos_base!$B$20+IF(parametros_manuales!$H$36="Todos",datos_base!$B$11+datos_base!$B$25,0))*parametros_manuales!$C$105+parametros_manuales!$G$36*(datos_base!$B$5+datos_base!$B$21+IF(parametros_manuales!$H$36="Todos",datos_base!$B$12+datos_base!$B$26,0))*parametros_manuales!$C$110)*parametros_manuales!$I$36*parametros_manuales!$J$36</f>
        <v>29.55086069842</v>
      </c>
      <c r="D19" s="9" t="n">
        <f aca="false">(parametros_manuales!$D$36*(datos_base!$B$2+datos_base!$B$18+IF(parametros_manuales!$H$36="Todos",datos_base!$B$9+datos_base!$B$23,0))*parametros_manuales!$D$95+parametros_manuales!$E$36*(datos_base!$B$3+datos_base!$B$19+IF(parametros_manuales!$H$36="Todos",datos_base!$B$10+datos_base!$B$24,0))*parametros_manuales!$D$100+parametros_manuales!$F$36*(datos_base!$B$4+datos_base!$B$20+IF(parametros_manuales!$H$36="Todos",datos_base!$B$11+datos_base!$B$25,0))*parametros_manuales!$D$105+parametros_manuales!$G$36*(datos_base!$B$5+datos_base!$B$21+IF(parametros_manuales!$H$36="Todos",datos_base!$B$12+datos_base!$B$26,0))*parametros_manuales!$D$110)*parametros_manuales!$I$36*parametros_manuales!$J$36</f>
        <v>28.1331515678525</v>
      </c>
      <c r="E19" s="9" t="n">
        <f aca="false">(parametros_manuales!$D$36*(datos_base!$B$2+datos_base!$B$18+IF(parametros_manuales!$H$36="Todos",datos_base!$B$9+datos_base!$B$23,0))*parametros_manuales!$E$95+parametros_manuales!$E$36*(datos_base!$B$3+datos_base!$B$19+IF(parametros_manuales!$H$36="Todos",datos_base!$B$10+datos_base!$B$24,0))*parametros_manuales!$E$100+parametros_manuales!$F$36*(datos_base!$B$4+datos_base!$B$20+IF(parametros_manuales!$H$36="Todos",datos_base!$B$11+datos_base!$B$25,0))*parametros_manuales!$E$105+parametros_manuales!$G$36*(datos_base!$B$5+datos_base!$B$21+IF(parametros_manuales!$H$36="Todos",datos_base!$B$12+datos_base!$B$26,0))*parametros_manuales!$E$110)*parametros_manuales!$I$36*parametros_manuales!$J$36</f>
        <v>27.0884674321025</v>
      </c>
      <c r="F19" s="9" t="n">
        <f aca="false">(parametros_manuales!$D$36*(datos_base!$B$2+datos_base!$B$18+IF(parametros_manuales!$H$36="Todos",datos_base!$B$9+datos_base!$B$23,0))*parametros_manuales!$F$95+parametros_manuales!$E$36*(datos_base!$B$3+datos_base!$B$19+IF(parametros_manuales!$H$36="Todos",datos_base!$B$10+datos_base!$B$24,0))*parametros_manuales!$F$100+parametros_manuales!$F$36*(datos_base!$B$4+datos_base!$B$20+IF(parametros_manuales!$H$36="Todos",datos_base!$B$11+datos_base!$B$25,0))*parametros_manuales!$F$105+parametros_manuales!$G$36*(datos_base!$B$5+datos_base!$B$21+IF(parametros_manuales!$H$36="Todos",datos_base!$B$12+datos_base!$B$26,0))*parametros_manuales!$F$110)*parametros_manuales!$I$36*parametros_manuales!$J$36</f>
        <v>25.37212415542</v>
      </c>
      <c r="G19" s="9" t="n">
        <f aca="false">(parametros_manuales!$D$36*(datos_base!$B$2+datos_base!$B$18+IF(parametros_manuales!$H$36="Todos",datos_base!$B$9+datos_base!$B$23,0))*parametros_manuales!$G$95+parametros_manuales!$E$36*(datos_base!$B$3+datos_base!$B$19+IF(parametros_manuales!$H$36="Todos",datos_base!$B$10+datos_base!$B$24,0))*parametros_manuales!$G$100+parametros_manuales!$F$36*(datos_base!$B$4+datos_base!$B$20+IF(parametros_manuales!$H$36="Todos",datos_base!$B$11+datos_base!$B$25,0))*parametros_manuales!$G$105+parametros_manuales!$G$36*(datos_base!$B$5+datos_base!$B$21+IF(parametros_manuales!$H$36="Todos",datos_base!$B$12+datos_base!$B$26,0))*parametros_manuales!$G$110)*parametros_manuales!$I$36*parametros_manuales!$J$36</f>
        <v>24.7004650144875</v>
      </c>
      <c r="H19" s="9" t="n">
        <f aca="false">(parametros_manuales!$D$36*(datos_base!$B$2+datos_base!$B$18+IF(parametros_manuales!$H$36="Todos",datos_base!$B$9+datos_base!$B$23,0))*parametros_manuales!$H$95+parametros_manuales!$E$36*(datos_base!$B$3+datos_base!$B$19+IF(parametros_manuales!$H$36="Todos",datos_base!$B$10+datos_base!$B$24,0))*parametros_manuales!$H$100+parametros_manuales!$F$36*(datos_base!$B$4+datos_base!$B$20+IF(parametros_manuales!$H$36="Todos",datos_base!$B$11+datos_base!$B$25,0))*parametros_manuales!$H$105+parametros_manuales!$G$36*(datos_base!$B$5+datos_base!$B$21+IF(parametros_manuales!$H$36="Todos",datos_base!$B$12+datos_base!$B$26,0))*parametros_manuales!$H$110)*parametros_manuales!$I$36*parametros_manuales!$J$36</f>
        <v>26.41680829117</v>
      </c>
      <c r="I19" s="9" t="n">
        <f aca="false">(parametros_manuales!$D$36*(datos_base!$B$2+datos_base!$B$18+IF(parametros_manuales!$H$36="Todos",datos_base!$B$9+datos_base!$B$23,0))*parametros_manuales!$I$95+parametros_manuales!$E$36*(datos_base!$B$3+datos_base!$B$19+IF(parametros_manuales!$H$36="Todos",datos_base!$B$10+datos_base!$B$24,0))*parametros_manuales!$I$100+parametros_manuales!$F$36*(datos_base!$B$4+datos_base!$B$20+IF(parametros_manuales!$H$36="Todos",datos_base!$B$11+datos_base!$B$25,0))*parametros_manuales!$I$105+parametros_manuales!$G$36*(datos_base!$B$5+datos_base!$B$21+IF(parametros_manuales!$H$36="Todos",datos_base!$B$12+datos_base!$B$26,0))*parametros_manuales!$I$110)*parametros_manuales!$I$36*parametros_manuales!$J$36</f>
        <v>29.55086069842</v>
      </c>
      <c r="J19" s="9" t="n">
        <f aca="false">(parametros_manuales!$D$36*(datos_base!$B$2+datos_base!$B$18+IF(parametros_manuales!$H$36="Todos",datos_base!$B$9+datos_base!$B$23,0))*parametros_manuales!$J$95+parametros_manuales!$E$36*(datos_base!$B$3+datos_base!$B$19+IF(parametros_manuales!$H$36="Todos",datos_base!$B$10+datos_base!$B$24,0))*parametros_manuales!$J$100+parametros_manuales!$F$36*(datos_base!$B$4+datos_base!$B$20+IF(parametros_manuales!$H$36="Todos",datos_base!$B$11+datos_base!$B$25,0))*parametros_manuales!$J$105+parametros_manuales!$G$36*(datos_base!$B$5+datos_base!$B$21+IF(parametros_manuales!$H$36="Todos",datos_base!$B$12+datos_base!$B$26,0))*parametros_manuales!$J$110)*parametros_manuales!$I$36*parametros_manuales!$J$36</f>
        <v>29.55086069842</v>
      </c>
      <c r="K19" s="9" t="n">
        <f aca="false">(parametros_manuales!$D$36*(datos_base!$B$2+datos_base!$B$18+IF(parametros_manuales!$H$36="Todos",datos_base!$B$9+datos_base!$B$23,0))*parametros_manuales!$K$95+parametros_manuales!$E$36*(datos_base!$B$3+datos_base!$B$19+IF(parametros_manuales!$H$36="Todos",datos_base!$B$10+datos_base!$B$24,0))*parametros_manuales!$K$100+parametros_manuales!$F$36*(datos_base!$B$4+datos_base!$B$20+IF(parametros_manuales!$H$36="Todos",datos_base!$B$11+datos_base!$B$25,0))*parametros_manuales!$K$105+parametros_manuales!$G$36*(datos_base!$B$5+datos_base!$B$21+IF(parametros_manuales!$H$36="Todos",datos_base!$B$12+datos_base!$B$26,0))*parametros_manuales!$K$110)*parametros_manuales!$I$36*parametros_manuales!$J$36</f>
        <v>30.2225198393525</v>
      </c>
      <c r="L19" s="9" t="n">
        <f aca="false">(parametros_manuales!$D$36*(datos_base!$B$2+datos_base!$B$18+IF(parametros_manuales!$H$36="Todos",datos_base!$B$9+datos_base!$B$23,0))*parametros_manuales!$L$95+parametros_manuales!$E$36*(datos_base!$B$3+datos_base!$B$19+IF(parametros_manuales!$H$36="Todos",datos_base!$B$10+datos_base!$B$24,0))*parametros_manuales!$L$100+parametros_manuales!$F$36*(datos_base!$B$4+datos_base!$B$20+IF(parametros_manuales!$H$36="Todos",datos_base!$B$11+datos_base!$B$25,0))*parametros_manuales!$L$105+parametros_manuales!$G$36*(datos_base!$B$5+datos_base!$B$21+IF(parametros_manuales!$H$36="Todos",datos_base!$B$12+datos_base!$B$26,0))*parametros_manuales!$L$110)*parametros_manuales!$I$36*parametros_manuales!$J$36</f>
        <v>30.894178980285</v>
      </c>
      <c r="M19" s="9" t="n">
        <f aca="false">(parametros_manuales!$D$36*(datos_base!$B$2+datos_base!$B$18+IF(parametros_manuales!$H$36="Todos",datos_base!$B$9+datos_base!$B$23,0))*parametros_manuales!$M$95+parametros_manuales!$E$36*(datos_base!$B$3+datos_base!$B$19+IF(parametros_manuales!$H$36="Todos",datos_base!$B$10+datos_base!$B$24,0))*parametros_manuales!$M$100+parametros_manuales!$F$36*(datos_base!$B$4+datos_base!$B$20+IF(parametros_manuales!$H$36="Todos",datos_base!$B$11+datos_base!$B$25,0))*parametros_manuales!$M$105+parametros_manuales!$G$36*(datos_base!$B$5+datos_base!$B$21+IF(parametros_manuales!$H$36="Todos",datos_base!$B$12+datos_base!$B$26,0))*parametros_manuales!$M$110)*parametros_manuales!$I$36*parametros_manuales!$J$36</f>
        <v>30.894178980285</v>
      </c>
      <c r="N19" s="9" t="n">
        <f aca="false">SUM(B19:M19)</f>
        <v>343.2686553365</v>
      </c>
      <c r="O19" s="9" t="n">
        <f aca="false">MAX(B19:M19)</f>
        <v>30.894178980285</v>
      </c>
      <c r="P19" s="43" t="n">
        <f aca="false">O19/(parametros_manuales!$B$7)</f>
        <v>0.2059611932019</v>
      </c>
      <c r="Q19" s="8" t="str">
        <f aca="false">IF(O19=0,"-",INDEX($B$1:$M$1,MATCH(O19,B19:M19,0)))</f>
        <v>Ene</v>
      </c>
    </row>
    <row r="20" customFormat="false" ht="14.25" hidden="false" customHeight="true" outlineLevel="0" collapsed="false">
      <c r="A20" s="8" t="str">
        <f aca="false">parametros_manuales!$B$37</f>
        <v>Pintura en polvo + horno</v>
      </c>
      <c r="B20" s="9" t="n">
        <f aca="false">(parametros_manuales!$D$37*(datos_base!$B$2+datos_base!$B$18+IF(parametros_manuales!$H$37="Todos",datos_base!$B$9+datos_base!$B$23,0))*parametros_manuales!$B$95+parametros_manuales!$E$37*(datos_base!$B$3+datos_base!$B$19+IF(parametros_manuales!$H$37="Todos",datos_base!$B$10+datos_base!$B$24,0))*parametros_manuales!$B$100+parametros_manuales!$F$37*(datos_base!$B$4+datos_base!$B$20+IF(parametros_manuales!$H$37="Todos",datos_base!$B$11+datos_base!$B$25,0))*parametros_manuales!$B$105+parametros_manuales!$G$37*(datos_base!$B$5+datos_base!$B$21+IF(parametros_manuales!$H$37="Todos",datos_base!$B$12+datos_base!$B$26,0))*parametros_manuales!$B$110)*parametros_manuales!$I$37*parametros_manuales!$J$37</f>
        <v>617.8835796057</v>
      </c>
      <c r="C20" s="9" t="n">
        <f aca="false">(parametros_manuales!$D$37*(datos_base!$B$2+datos_base!$B$18+IF(parametros_manuales!$H$37="Todos",datos_base!$B$9+datos_base!$B$23,0))*parametros_manuales!$C$95+parametros_manuales!$E$37*(datos_base!$B$3+datos_base!$B$19+IF(parametros_manuales!$H$37="Todos",datos_base!$B$10+datos_base!$B$24,0))*parametros_manuales!$C$100+parametros_manuales!$F$37*(datos_base!$B$4+datos_base!$B$20+IF(parametros_manuales!$H$37="Todos",datos_base!$B$11+datos_base!$B$25,0))*parametros_manuales!$C$105+parametros_manuales!$G$37*(datos_base!$B$5+datos_base!$B$21+IF(parametros_manuales!$H$37="Todos",datos_base!$B$12+datos_base!$B$26,0))*parametros_manuales!$C$110)*parametros_manuales!$I$37*parametros_manuales!$J$37</f>
        <v>591.0172139684</v>
      </c>
      <c r="D20" s="9" t="n">
        <f aca="false">(parametros_manuales!$D$37*(datos_base!$B$2+datos_base!$B$18+IF(parametros_manuales!$H$37="Todos",datos_base!$B$9+datos_base!$B$23,0))*parametros_manuales!$D$95+parametros_manuales!$E$37*(datos_base!$B$3+datos_base!$B$19+IF(parametros_manuales!$H$37="Todos",datos_base!$B$10+datos_base!$B$24,0))*parametros_manuales!$D$100+parametros_manuales!$F$37*(datos_base!$B$4+datos_base!$B$20+IF(parametros_manuales!$H$37="Todos",datos_base!$B$11+datos_base!$B$25,0))*parametros_manuales!$D$105+parametros_manuales!$G$37*(datos_base!$B$5+datos_base!$B$21+IF(parametros_manuales!$H$37="Todos",datos_base!$B$12+datos_base!$B$26,0))*parametros_manuales!$D$110)*parametros_manuales!$I$37*parametros_manuales!$J$37</f>
        <v>562.66303135705</v>
      </c>
      <c r="E20" s="9" t="n">
        <f aca="false">(parametros_manuales!$D$37*(datos_base!$B$2+datos_base!$B$18+IF(parametros_manuales!$H$37="Todos",datos_base!$B$9+datos_base!$B$23,0))*parametros_manuales!$E$95+parametros_manuales!$E$37*(datos_base!$B$3+datos_base!$B$19+IF(parametros_manuales!$H$37="Todos",datos_base!$B$10+datos_base!$B$24,0))*parametros_manuales!$E$100+parametros_manuales!$F$37*(datos_base!$B$4+datos_base!$B$20+IF(parametros_manuales!$H$37="Todos",datos_base!$B$11+datos_base!$B$25,0))*parametros_manuales!$E$105+parametros_manuales!$G$37*(datos_base!$B$5+datos_base!$B$21+IF(parametros_manuales!$H$37="Todos",datos_base!$B$12+datos_base!$B$26,0))*parametros_manuales!$E$110)*parametros_manuales!$I$37*parametros_manuales!$J$37</f>
        <v>541.76934864205</v>
      </c>
      <c r="F20" s="9" t="n">
        <f aca="false">(parametros_manuales!$D$37*(datos_base!$B$2+datos_base!$B$18+IF(parametros_manuales!$H$37="Todos",datos_base!$B$9+datos_base!$B$23,0))*parametros_manuales!$F$95+parametros_manuales!$E$37*(datos_base!$B$3+datos_base!$B$19+IF(parametros_manuales!$H$37="Todos",datos_base!$B$10+datos_base!$B$24,0))*parametros_manuales!$F$100+parametros_manuales!$F$37*(datos_base!$B$4+datos_base!$B$20+IF(parametros_manuales!$H$37="Todos",datos_base!$B$11+datos_base!$B$25,0))*parametros_manuales!$F$105+parametros_manuales!$G$37*(datos_base!$B$5+datos_base!$B$21+IF(parametros_manuales!$H$37="Todos",datos_base!$B$12+datos_base!$B$26,0))*parametros_manuales!$F$110)*parametros_manuales!$I$37*parametros_manuales!$J$37</f>
        <v>507.4424831084</v>
      </c>
      <c r="G20" s="9" t="n">
        <f aca="false">(parametros_manuales!$D$37*(datos_base!$B$2+datos_base!$B$18+IF(parametros_manuales!$H$37="Todos",datos_base!$B$9+datos_base!$B$23,0))*parametros_manuales!$G$95+parametros_manuales!$E$37*(datos_base!$B$3+datos_base!$B$19+IF(parametros_manuales!$H$37="Todos",datos_base!$B$10+datos_base!$B$24,0))*parametros_manuales!$G$100+parametros_manuales!$F$37*(datos_base!$B$4+datos_base!$B$20+IF(parametros_manuales!$H$37="Todos",datos_base!$B$11+datos_base!$B$25,0))*parametros_manuales!$G$105+parametros_manuales!$G$37*(datos_base!$B$5+datos_base!$B$21+IF(parametros_manuales!$H$37="Todos",datos_base!$B$12+datos_base!$B$26,0))*parametros_manuales!$G$110)*parametros_manuales!$I$37*parametros_manuales!$J$37</f>
        <v>494.00930028975</v>
      </c>
      <c r="H20" s="9" t="n">
        <f aca="false">(parametros_manuales!$D$37*(datos_base!$B$2+datos_base!$B$18+IF(parametros_manuales!$H$37="Todos",datos_base!$B$9+datos_base!$B$23,0))*parametros_manuales!$H$95+parametros_manuales!$E$37*(datos_base!$B$3+datos_base!$B$19+IF(parametros_manuales!$H$37="Todos",datos_base!$B$10+datos_base!$B$24,0))*parametros_manuales!$H$100+parametros_manuales!$F$37*(datos_base!$B$4+datos_base!$B$20+IF(parametros_manuales!$H$37="Todos",datos_base!$B$11+datos_base!$B$25,0))*parametros_manuales!$H$105+parametros_manuales!$G$37*(datos_base!$B$5+datos_base!$B$21+IF(parametros_manuales!$H$37="Todos",datos_base!$B$12+datos_base!$B$26,0))*parametros_manuales!$H$110)*parametros_manuales!$I$37*parametros_manuales!$J$37</f>
        <v>528.3361658234</v>
      </c>
      <c r="I20" s="9" t="n">
        <f aca="false">(parametros_manuales!$D$37*(datos_base!$B$2+datos_base!$B$18+IF(parametros_manuales!$H$37="Todos",datos_base!$B$9+datos_base!$B$23,0))*parametros_manuales!$I$95+parametros_manuales!$E$37*(datos_base!$B$3+datos_base!$B$19+IF(parametros_manuales!$H$37="Todos",datos_base!$B$10+datos_base!$B$24,0))*parametros_manuales!$I$100+parametros_manuales!$F$37*(datos_base!$B$4+datos_base!$B$20+IF(parametros_manuales!$H$37="Todos",datos_base!$B$11+datos_base!$B$25,0))*parametros_manuales!$I$105+parametros_manuales!$G$37*(datos_base!$B$5+datos_base!$B$21+IF(parametros_manuales!$H$37="Todos",datos_base!$B$12+datos_base!$B$26,0))*parametros_manuales!$I$110)*parametros_manuales!$I$37*parametros_manuales!$J$37</f>
        <v>591.0172139684</v>
      </c>
      <c r="J20" s="9" t="n">
        <f aca="false">(parametros_manuales!$D$37*(datos_base!$B$2+datos_base!$B$18+IF(parametros_manuales!$H$37="Todos",datos_base!$B$9+datos_base!$B$23,0))*parametros_manuales!$J$95+parametros_manuales!$E$37*(datos_base!$B$3+datos_base!$B$19+IF(parametros_manuales!$H$37="Todos",datos_base!$B$10+datos_base!$B$24,0))*parametros_manuales!$J$100+parametros_manuales!$F$37*(datos_base!$B$4+datos_base!$B$20+IF(parametros_manuales!$H$37="Todos",datos_base!$B$11+datos_base!$B$25,0))*parametros_manuales!$J$105+parametros_manuales!$G$37*(datos_base!$B$5+datos_base!$B$21+IF(parametros_manuales!$H$37="Todos",datos_base!$B$12+datos_base!$B$26,0))*parametros_manuales!$J$110)*parametros_manuales!$I$37*parametros_manuales!$J$37</f>
        <v>591.0172139684</v>
      </c>
      <c r="K20" s="9" t="n">
        <f aca="false">(parametros_manuales!$D$37*(datos_base!$B$2+datos_base!$B$18+IF(parametros_manuales!$H$37="Todos",datos_base!$B$9+datos_base!$B$23,0))*parametros_manuales!$K$95+parametros_manuales!$E$37*(datos_base!$B$3+datos_base!$B$19+IF(parametros_manuales!$H$37="Todos",datos_base!$B$10+datos_base!$B$24,0))*parametros_manuales!$K$100+parametros_manuales!$F$37*(datos_base!$B$4+datos_base!$B$20+IF(parametros_manuales!$H$37="Todos",datos_base!$B$11+datos_base!$B$25,0))*parametros_manuales!$K$105+parametros_manuales!$G$37*(datos_base!$B$5+datos_base!$B$21+IF(parametros_manuales!$H$37="Todos",datos_base!$B$12+datos_base!$B$26,0))*parametros_manuales!$K$110)*parametros_manuales!$I$37*parametros_manuales!$J$37</f>
        <v>604.45039678705</v>
      </c>
      <c r="L20" s="9" t="n">
        <f aca="false">(parametros_manuales!$D$37*(datos_base!$B$2+datos_base!$B$18+IF(parametros_manuales!$H$37="Todos",datos_base!$B$9+datos_base!$B$23,0))*parametros_manuales!$L$95+parametros_manuales!$E$37*(datos_base!$B$3+datos_base!$B$19+IF(parametros_manuales!$H$37="Todos",datos_base!$B$10+datos_base!$B$24,0))*parametros_manuales!$L$100+parametros_manuales!$F$37*(datos_base!$B$4+datos_base!$B$20+IF(parametros_manuales!$H$37="Todos",datos_base!$B$11+datos_base!$B$25,0))*parametros_manuales!$L$105+parametros_manuales!$G$37*(datos_base!$B$5+datos_base!$B$21+IF(parametros_manuales!$H$37="Todos",datos_base!$B$12+datos_base!$B$26,0))*parametros_manuales!$L$110)*parametros_manuales!$I$37*parametros_manuales!$J$37</f>
        <v>617.8835796057</v>
      </c>
      <c r="M20" s="9" t="n">
        <f aca="false">(parametros_manuales!$D$37*(datos_base!$B$2+datos_base!$B$18+IF(parametros_manuales!$H$37="Todos",datos_base!$B$9+datos_base!$B$23,0))*parametros_manuales!$M$95+parametros_manuales!$E$37*(datos_base!$B$3+datos_base!$B$19+IF(parametros_manuales!$H$37="Todos",datos_base!$B$10+datos_base!$B$24,0))*parametros_manuales!$M$100+parametros_manuales!$F$37*(datos_base!$B$4+datos_base!$B$20+IF(parametros_manuales!$H$37="Todos",datos_base!$B$11+datos_base!$B$25,0))*parametros_manuales!$M$105+parametros_manuales!$G$37*(datos_base!$B$5+datos_base!$B$21+IF(parametros_manuales!$H$37="Todos",datos_base!$B$12+datos_base!$B$26,0))*parametros_manuales!$M$110)*parametros_manuales!$I$37*parametros_manuales!$J$37</f>
        <v>617.8835796057</v>
      </c>
      <c r="N20" s="9" t="n">
        <f aca="false">SUM(B20:M20)</f>
        <v>6865.37310673</v>
      </c>
      <c r="O20" s="9" t="n">
        <f aca="false">MAX(B20:M20)</f>
        <v>617.8835796057</v>
      </c>
      <c r="P20" s="43" t="n">
        <f aca="false">O20/(parametros_manuales!$B$7)</f>
        <v>4.119223864038</v>
      </c>
      <c r="Q20" s="8" t="str">
        <f aca="false">IF(O20=0,"-",INDEX($B$1:$M$1,MATCH(O20,B20:M20,0)))</f>
        <v>Ene</v>
      </c>
    </row>
    <row r="21" customFormat="false" ht="14.25" hidden="false" customHeight="true" outlineLevel="0" collapsed="false">
      <c r="A21" s="8" t="str">
        <f aca="false">parametros_manuales!$B$38</f>
        <v>Carga de polvo</v>
      </c>
      <c r="B21" s="9" t="n">
        <f aca="false">(parametros_manuales!$D$38*(datos_base!$B$2+datos_base!$B$18+IF(parametros_manuales!$H$38="Todos",datos_base!$B$9+datos_base!$B$23,0))*parametros_manuales!$B$95+parametros_manuales!$E$38*(datos_base!$B$3+datos_base!$B$19+IF(parametros_manuales!$H$38="Todos",datos_base!$B$10+datos_base!$B$24,0))*parametros_manuales!$B$100+parametros_manuales!$F$38*(datos_base!$B$4+datos_base!$B$20+IF(parametros_manuales!$H$38="Todos",datos_base!$B$11+datos_base!$B$25,0))*parametros_manuales!$B$105+parametros_manuales!$G$38*(datos_base!$B$5+datos_base!$B$21+IF(parametros_manuales!$H$38="Todos",datos_base!$B$12+datos_base!$B$26,0))*parametros_manuales!$B$110)*parametros_manuales!$I$38*parametros_manuales!$J$38</f>
        <v>615.3635796057</v>
      </c>
      <c r="C21" s="9" t="n">
        <f aca="false">(parametros_manuales!$D$38*(datos_base!$B$2+datos_base!$B$18+IF(parametros_manuales!$H$38="Todos",datos_base!$B$9+datos_base!$B$23,0))*parametros_manuales!$C$95+parametros_manuales!$E$38*(datos_base!$B$3+datos_base!$B$19+IF(parametros_manuales!$H$38="Todos",datos_base!$B$10+datos_base!$B$24,0))*parametros_manuales!$C$100+parametros_manuales!$F$38*(datos_base!$B$4+datos_base!$B$20+IF(parametros_manuales!$H$38="Todos",datos_base!$B$11+datos_base!$B$25,0))*parametros_manuales!$C$105+parametros_manuales!$G$38*(datos_base!$B$5+datos_base!$B$21+IF(parametros_manuales!$H$38="Todos",datos_base!$B$12+datos_base!$B$26,0))*parametros_manuales!$C$110)*parametros_manuales!$I$38*parametros_manuales!$J$38</f>
        <v>588.7772139684</v>
      </c>
      <c r="D21" s="9" t="n">
        <f aca="false">(parametros_manuales!$D$38*(datos_base!$B$2+datos_base!$B$18+IF(parametros_manuales!$H$38="Todos",datos_base!$B$9+datos_base!$B$23,0))*parametros_manuales!$D$95+parametros_manuales!$E$38*(datos_base!$B$3+datos_base!$B$19+IF(parametros_manuales!$H$38="Todos",datos_base!$B$10+datos_base!$B$24,0))*parametros_manuales!$D$100+parametros_manuales!$F$38*(datos_base!$B$4+datos_base!$B$20+IF(parametros_manuales!$H$38="Todos",datos_base!$B$11+datos_base!$B$25,0))*parametros_manuales!$D$105+parametros_manuales!$G$38*(datos_base!$B$5+datos_base!$B$21+IF(parametros_manuales!$H$38="Todos",datos_base!$B$12+datos_base!$B$26,0))*parametros_manuales!$D$110)*parametros_manuales!$I$38*parametros_manuales!$J$38</f>
        <v>560.28303135705</v>
      </c>
      <c r="E21" s="9" t="n">
        <f aca="false">(parametros_manuales!$D$38*(datos_base!$B$2+datos_base!$B$18+IF(parametros_manuales!$H$38="Todos",datos_base!$B$9+datos_base!$B$23,0))*parametros_manuales!$E$95+parametros_manuales!$E$38*(datos_base!$B$3+datos_base!$B$19+IF(parametros_manuales!$H$38="Todos",datos_base!$B$10+datos_base!$B$24,0))*parametros_manuales!$E$100+parametros_manuales!$F$38*(datos_base!$B$4+datos_base!$B$20+IF(parametros_manuales!$H$38="Todos",datos_base!$B$11+datos_base!$B$25,0))*parametros_manuales!$E$105+parametros_manuales!$G$38*(datos_base!$B$5+datos_base!$B$21+IF(parametros_manuales!$H$38="Todos",datos_base!$B$12+datos_base!$B$26,0))*parametros_manuales!$E$110)*parametros_manuales!$I$38*parametros_manuales!$J$38</f>
        <v>539.38934864205</v>
      </c>
      <c r="F21" s="9" t="n">
        <f aca="false">(parametros_manuales!$D$38*(datos_base!$B$2+datos_base!$B$18+IF(parametros_manuales!$H$38="Todos",datos_base!$B$9+datos_base!$B$23,0))*parametros_manuales!$F$95+parametros_manuales!$E$38*(datos_base!$B$3+datos_base!$B$19+IF(parametros_manuales!$H$38="Todos",datos_base!$B$10+datos_base!$B$24,0))*parametros_manuales!$F$100+parametros_manuales!$F$38*(datos_base!$B$4+datos_base!$B$20+IF(parametros_manuales!$H$38="Todos",datos_base!$B$11+datos_base!$B$25,0))*parametros_manuales!$F$105+parametros_manuales!$G$38*(datos_base!$B$5+datos_base!$B$21+IF(parametros_manuales!$H$38="Todos",datos_base!$B$12+datos_base!$B$26,0))*parametros_manuales!$F$110)*parametros_manuales!$I$38*parametros_manuales!$J$38</f>
        <v>505.2024831084</v>
      </c>
      <c r="G21" s="9" t="n">
        <f aca="false">(parametros_manuales!$D$38*(datos_base!$B$2+datos_base!$B$18+IF(parametros_manuales!$H$38="Todos",datos_base!$B$9+datos_base!$B$23,0))*parametros_manuales!$G$95+parametros_manuales!$E$38*(datos_base!$B$3+datos_base!$B$19+IF(parametros_manuales!$H$38="Todos",datos_base!$B$10+datos_base!$B$24,0))*parametros_manuales!$G$100+parametros_manuales!$F$38*(datos_base!$B$4+datos_base!$B$20+IF(parametros_manuales!$H$38="Todos",datos_base!$B$11+datos_base!$B$25,0))*parametros_manuales!$G$105+parametros_manuales!$G$38*(datos_base!$B$5+datos_base!$B$21+IF(parametros_manuales!$H$38="Todos",datos_base!$B$12+datos_base!$B$26,0))*parametros_manuales!$G$110)*parametros_manuales!$I$38*parametros_manuales!$J$38</f>
        <v>491.90930028975</v>
      </c>
      <c r="H21" s="9" t="n">
        <f aca="false">(parametros_manuales!$D$38*(datos_base!$B$2+datos_base!$B$18+IF(parametros_manuales!$H$38="Todos",datos_base!$B$9+datos_base!$B$23,0))*parametros_manuales!$H$95+parametros_manuales!$E$38*(datos_base!$B$3+datos_base!$B$19+IF(parametros_manuales!$H$38="Todos",datos_base!$B$10+datos_base!$B$24,0))*parametros_manuales!$H$100+parametros_manuales!$F$38*(datos_base!$B$4+datos_base!$B$20+IF(parametros_manuales!$H$38="Todos",datos_base!$B$11+datos_base!$B$25,0))*parametros_manuales!$H$105+parametros_manuales!$G$38*(datos_base!$B$5+datos_base!$B$21+IF(parametros_manuales!$H$38="Todos",datos_base!$B$12+datos_base!$B$26,0))*parametros_manuales!$H$110)*parametros_manuales!$I$38*parametros_manuales!$J$38</f>
        <v>526.0961658234</v>
      </c>
      <c r="I21" s="9" t="n">
        <f aca="false">(parametros_manuales!$D$38*(datos_base!$B$2+datos_base!$B$18+IF(parametros_manuales!$H$38="Todos",datos_base!$B$9+datos_base!$B$23,0))*parametros_manuales!$I$95+parametros_manuales!$E$38*(datos_base!$B$3+datos_base!$B$19+IF(parametros_manuales!$H$38="Todos",datos_base!$B$10+datos_base!$B$24,0))*parametros_manuales!$I$100+parametros_manuales!$F$38*(datos_base!$B$4+datos_base!$B$20+IF(parametros_manuales!$H$38="Todos",datos_base!$B$11+datos_base!$B$25,0))*parametros_manuales!$I$105+parametros_manuales!$G$38*(datos_base!$B$5+datos_base!$B$21+IF(parametros_manuales!$H$38="Todos",datos_base!$B$12+datos_base!$B$26,0))*parametros_manuales!$I$110)*parametros_manuales!$I$38*parametros_manuales!$J$38</f>
        <v>588.7772139684</v>
      </c>
      <c r="J21" s="9" t="n">
        <f aca="false">(parametros_manuales!$D$38*(datos_base!$B$2+datos_base!$B$18+IF(parametros_manuales!$H$38="Todos",datos_base!$B$9+datos_base!$B$23,0))*parametros_manuales!$J$95+parametros_manuales!$E$38*(datos_base!$B$3+datos_base!$B$19+IF(parametros_manuales!$H$38="Todos",datos_base!$B$10+datos_base!$B$24,0))*parametros_manuales!$J$100+parametros_manuales!$F$38*(datos_base!$B$4+datos_base!$B$20+IF(parametros_manuales!$H$38="Todos",datos_base!$B$11+datos_base!$B$25,0))*parametros_manuales!$J$105+parametros_manuales!$G$38*(datos_base!$B$5+datos_base!$B$21+IF(parametros_manuales!$H$38="Todos",datos_base!$B$12+datos_base!$B$26,0))*parametros_manuales!$J$110)*parametros_manuales!$I$38*parametros_manuales!$J$38</f>
        <v>588.7772139684</v>
      </c>
      <c r="K21" s="9" t="n">
        <f aca="false">(parametros_manuales!$D$38*(datos_base!$B$2+datos_base!$B$18+IF(parametros_manuales!$H$38="Todos",datos_base!$B$9+datos_base!$B$23,0))*parametros_manuales!$K$95+parametros_manuales!$E$38*(datos_base!$B$3+datos_base!$B$19+IF(parametros_manuales!$H$38="Todos",datos_base!$B$10+datos_base!$B$24,0))*parametros_manuales!$K$100+parametros_manuales!$F$38*(datos_base!$B$4+datos_base!$B$20+IF(parametros_manuales!$H$38="Todos",datos_base!$B$11+datos_base!$B$25,0))*parametros_manuales!$K$105+parametros_manuales!$G$38*(datos_base!$B$5+datos_base!$B$21+IF(parametros_manuales!$H$38="Todos",datos_base!$B$12+datos_base!$B$26,0))*parametros_manuales!$K$110)*parametros_manuales!$I$38*parametros_manuales!$J$38</f>
        <v>602.07039678705</v>
      </c>
      <c r="L21" s="9" t="n">
        <f aca="false">(parametros_manuales!$D$38*(datos_base!$B$2+datos_base!$B$18+IF(parametros_manuales!$H$38="Todos",datos_base!$B$9+datos_base!$B$23,0))*parametros_manuales!$L$95+parametros_manuales!$E$38*(datos_base!$B$3+datos_base!$B$19+IF(parametros_manuales!$H$38="Todos",datos_base!$B$10+datos_base!$B$24,0))*parametros_manuales!$L$100+parametros_manuales!$F$38*(datos_base!$B$4+datos_base!$B$20+IF(parametros_manuales!$H$38="Todos",datos_base!$B$11+datos_base!$B$25,0))*parametros_manuales!$L$105+parametros_manuales!$G$38*(datos_base!$B$5+datos_base!$B$21+IF(parametros_manuales!$H$38="Todos",datos_base!$B$12+datos_base!$B$26,0))*parametros_manuales!$L$110)*parametros_manuales!$I$38*parametros_manuales!$J$38</f>
        <v>615.3635796057</v>
      </c>
      <c r="M21" s="9" t="n">
        <f aca="false">(parametros_manuales!$D$38*(datos_base!$B$2+datos_base!$B$18+IF(parametros_manuales!$H$38="Todos",datos_base!$B$9+datos_base!$B$23,0))*parametros_manuales!$M$95+parametros_manuales!$E$38*(datos_base!$B$3+datos_base!$B$19+IF(parametros_manuales!$H$38="Todos",datos_base!$B$10+datos_base!$B$24,0))*parametros_manuales!$M$100+parametros_manuales!$F$38*(datos_base!$B$4+datos_base!$B$20+IF(parametros_manuales!$H$38="Todos",datos_base!$B$11+datos_base!$B$25,0))*parametros_manuales!$M$105+parametros_manuales!$G$38*(datos_base!$B$5+datos_base!$B$21+IF(parametros_manuales!$H$38="Todos",datos_base!$B$12+datos_base!$B$26,0))*parametros_manuales!$M$110)*parametros_manuales!$I$38*parametros_manuales!$J$38</f>
        <v>615.3635796057</v>
      </c>
      <c r="N21" s="9" t="n">
        <f aca="false">SUM(B21:M21)</f>
        <v>6837.37310673</v>
      </c>
      <c r="O21" s="9" t="n">
        <f aca="false">MAX(B21:M21)</f>
        <v>615.3635796057</v>
      </c>
      <c r="P21" s="43" t="n">
        <f aca="false">O21/(parametros_manuales!$B$7)</f>
        <v>4.102423864038</v>
      </c>
      <c r="Q21" s="8" t="str">
        <f aca="false">IF(O21=0,"-",INDEX($B$1:$M$1,MATCH(O21,B21:M21,0)))</f>
        <v>Ene</v>
      </c>
    </row>
    <row r="22" customFormat="false" ht="14.25" hidden="false" customHeight="true" outlineLevel="0" collapsed="false">
      <c r="A22" s="8" t="str">
        <f aca="false">parametros_manuales!$B$39</f>
        <v>Ensamblaje</v>
      </c>
      <c r="B22" s="9" t="n">
        <f aca="false">(parametros_manuales!$D$39*(datos_base!$B$2+datos_base!$B$18+IF(parametros_manuales!$H$39="Todos",datos_base!$B$9+datos_base!$B$23,0))*parametros_manuales!$B$95+parametros_manuales!$E$39*(datos_base!$B$3+datos_base!$B$19+IF(parametros_manuales!$H$39="Todos",datos_base!$B$10+datos_base!$B$24,0))*parametros_manuales!$B$100+parametros_manuales!$F$39*(datos_base!$B$4+datos_base!$B$20+IF(parametros_manuales!$H$39="Todos",datos_base!$B$11+datos_base!$B$25,0))*parametros_manuales!$B$105+parametros_manuales!$G$39*(datos_base!$B$5+datos_base!$B$21+IF(parametros_manuales!$H$39="Todos",datos_base!$B$12+datos_base!$B$26,0))*parametros_manuales!$B$110)*parametros_manuales!$I$39*parametros_manuales!$J$39</f>
        <v>615.3635796057</v>
      </c>
      <c r="C22" s="9" t="n">
        <f aca="false">(parametros_manuales!$D$39*(datos_base!$B$2+datos_base!$B$18+IF(parametros_manuales!$H$39="Todos",datos_base!$B$9+datos_base!$B$23,0))*parametros_manuales!$C$95+parametros_manuales!$E$39*(datos_base!$B$3+datos_base!$B$19+IF(parametros_manuales!$H$39="Todos",datos_base!$B$10+datos_base!$B$24,0))*parametros_manuales!$C$100+parametros_manuales!$F$39*(datos_base!$B$4+datos_base!$B$20+IF(parametros_manuales!$H$39="Todos",datos_base!$B$11+datos_base!$B$25,0))*parametros_manuales!$C$105+parametros_manuales!$G$39*(datos_base!$B$5+datos_base!$B$21+IF(parametros_manuales!$H$39="Todos",datos_base!$B$12+datos_base!$B$26,0))*parametros_manuales!$C$110)*parametros_manuales!$I$39*parametros_manuales!$J$39</f>
        <v>588.7772139684</v>
      </c>
      <c r="D22" s="9" t="n">
        <f aca="false">(parametros_manuales!$D$39*(datos_base!$B$2+datos_base!$B$18+IF(parametros_manuales!$H$39="Todos",datos_base!$B$9+datos_base!$B$23,0))*parametros_manuales!$D$95+parametros_manuales!$E$39*(datos_base!$B$3+datos_base!$B$19+IF(parametros_manuales!$H$39="Todos",datos_base!$B$10+datos_base!$B$24,0))*parametros_manuales!$D$100+parametros_manuales!$F$39*(datos_base!$B$4+datos_base!$B$20+IF(parametros_manuales!$H$39="Todos",datos_base!$B$11+datos_base!$B$25,0))*parametros_manuales!$D$105+parametros_manuales!$G$39*(datos_base!$B$5+datos_base!$B$21+IF(parametros_manuales!$H$39="Todos",datos_base!$B$12+datos_base!$B$26,0))*parametros_manuales!$D$110)*parametros_manuales!$I$39*parametros_manuales!$J$39</f>
        <v>560.28303135705</v>
      </c>
      <c r="E22" s="9" t="n">
        <f aca="false">(parametros_manuales!$D$39*(datos_base!$B$2+datos_base!$B$18+IF(parametros_manuales!$H$39="Todos",datos_base!$B$9+datos_base!$B$23,0))*parametros_manuales!$E$95+parametros_manuales!$E$39*(datos_base!$B$3+datos_base!$B$19+IF(parametros_manuales!$H$39="Todos",datos_base!$B$10+datos_base!$B$24,0))*parametros_manuales!$E$100+parametros_manuales!$F$39*(datos_base!$B$4+datos_base!$B$20+IF(parametros_manuales!$H$39="Todos",datos_base!$B$11+datos_base!$B$25,0))*parametros_manuales!$E$105+parametros_manuales!$G$39*(datos_base!$B$5+datos_base!$B$21+IF(parametros_manuales!$H$39="Todos",datos_base!$B$12+datos_base!$B$26,0))*parametros_manuales!$E$110)*parametros_manuales!$I$39*parametros_manuales!$J$39</f>
        <v>539.38934864205</v>
      </c>
      <c r="F22" s="9" t="n">
        <f aca="false">(parametros_manuales!$D$39*(datos_base!$B$2+datos_base!$B$18+IF(parametros_manuales!$H$39="Todos",datos_base!$B$9+datos_base!$B$23,0))*parametros_manuales!$F$95+parametros_manuales!$E$39*(datos_base!$B$3+datos_base!$B$19+IF(parametros_manuales!$H$39="Todos",datos_base!$B$10+datos_base!$B$24,0))*parametros_manuales!$F$100+parametros_manuales!$F$39*(datos_base!$B$4+datos_base!$B$20+IF(parametros_manuales!$H$39="Todos",datos_base!$B$11+datos_base!$B$25,0))*parametros_manuales!$F$105+parametros_manuales!$G$39*(datos_base!$B$5+datos_base!$B$21+IF(parametros_manuales!$H$39="Todos",datos_base!$B$12+datos_base!$B$26,0))*parametros_manuales!$F$110)*parametros_manuales!$I$39*parametros_manuales!$J$39</f>
        <v>505.2024831084</v>
      </c>
      <c r="G22" s="9" t="n">
        <f aca="false">(parametros_manuales!$D$39*(datos_base!$B$2+datos_base!$B$18+IF(parametros_manuales!$H$39="Todos",datos_base!$B$9+datos_base!$B$23,0))*parametros_manuales!$G$95+parametros_manuales!$E$39*(datos_base!$B$3+datos_base!$B$19+IF(parametros_manuales!$H$39="Todos",datos_base!$B$10+datos_base!$B$24,0))*parametros_manuales!$G$100+parametros_manuales!$F$39*(datos_base!$B$4+datos_base!$B$20+IF(parametros_manuales!$H$39="Todos",datos_base!$B$11+datos_base!$B$25,0))*parametros_manuales!$G$105+parametros_manuales!$G$39*(datos_base!$B$5+datos_base!$B$21+IF(parametros_manuales!$H$39="Todos",datos_base!$B$12+datos_base!$B$26,0))*parametros_manuales!$G$110)*parametros_manuales!$I$39*parametros_manuales!$J$39</f>
        <v>491.90930028975</v>
      </c>
      <c r="H22" s="9" t="n">
        <f aca="false">(parametros_manuales!$D$39*(datos_base!$B$2+datos_base!$B$18+IF(parametros_manuales!$H$39="Todos",datos_base!$B$9+datos_base!$B$23,0))*parametros_manuales!$H$95+parametros_manuales!$E$39*(datos_base!$B$3+datos_base!$B$19+IF(parametros_manuales!$H$39="Todos",datos_base!$B$10+datos_base!$B$24,0))*parametros_manuales!$H$100+parametros_manuales!$F$39*(datos_base!$B$4+datos_base!$B$20+IF(parametros_manuales!$H$39="Todos",datos_base!$B$11+datos_base!$B$25,0))*parametros_manuales!$H$105+parametros_manuales!$G$39*(datos_base!$B$5+datos_base!$B$21+IF(parametros_manuales!$H$39="Todos",datos_base!$B$12+datos_base!$B$26,0))*parametros_manuales!$H$110)*parametros_manuales!$I$39*parametros_manuales!$J$39</f>
        <v>526.0961658234</v>
      </c>
      <c r="I22" s="9" t="n">
        <f aca="false">(parametros_manuales!$D$39*(datos_base!$B$2+datos_base!$B$18+IF(parametros_manuales!$H$39="Todos",datos_base!$B$9+datos_base!$B$23,0))*parametros_manuales!$I$95+parametros_manuales!$E$39*(datos_base!$B$3+datos_base!$B$19+IF(parametros_manuales!$H$39="Todos",datos_base!$B$10+datos_base!$B$24,0))*parametros_manuales!$I$100+parametros_manuales!$F$39*(datos_base!$B$4+datos_base!$B$20+IF(parametros_manuales!$H$39="Todos",datos_base!$B$11+datos_base!$B$25,0))*parametros_manuales!$I$105+parametros_manuales!$G$39*(datos_base!$B$5+datos_base!$B$21+IF(parametros_manuales!$H$39="Todos",datos_base!$B$12+datos_base!$B$26,0))*parametros_manuales!$I$110)*parametros_manuales!$I$39*parametros_manuales!$J$39</f>
        <v>588.7772139684</v>
      </c>
      <c r="J22" s="9" t="n">
        <f aca="false">(parametros_manuales!$D$39*(datos_base!$B$2+datos_base!$B$18+IF(parametros_manuales!$H$39="Todos",datos_base!$B$9+datos_base!$B$23,0))*parametros_manuales!$J$95+parametros_manuales!$E$39*(datos_base!$B$3+datos_base!$B$19+IF(parametros_manuales!$H$39="Todos",datos_base!$B$10+datos_base!$B$24,0))*parametros_manuales!$J$100+parametros_manuales!$F$39*(datos_base!$B$4+datos_base!$B$20+IF(parametros_manuales!$H$39="Todos",datos_base!$B$11+datos_base!$B$25,0))*parametros_manuales!$J$105+parametros_manuales!$G$39*(datos_base!$B$5+datos_base!$B$21+IF(parametros_manuales!$H$39="Todos",datos_base!$B$12+datos_base!$B$26,0))*parametros_manuales!$J$110)*parametros_manuales!$I$39*parametros_manuales!$J$39</f>
        <v>588.7772139684</v>
      </c>
      <c r="K22" s="9" t="n">
        <f aca="false">(parametros_manuales!$D$39*(datos_base!$B$2+datos_base!$B$18+IF(parametros_manuales!$H$39="Todos",datos_base!$B$9+datos_base!$B$23,0))*parametros_manuales!$K$95+parametros_manuales!$E$39*(datos_base!$B$3+datos_base!$B$19+IF(parametros_manuales!$H$39="Todos",datos_base!$B$10+datos_base!$B$24,0))*parametros_manuales!$K$100+parametros_manuales!$F$39*(datos_base!$B$4+datos_base!$B$20+IF(parametros_manuales!$H$39="Todos",datos_base!$B$11+datos_base!$B$25,0))*parametros_manuales!$K$105+parametros_manuales!$G$39*(datos_base!$B$5+datos_base!$B$21+IF(parametros_manuales!$H$39="Todos",datos_base!$B$12+datos_base!$B$26,0))*parametros_manuales!$K$110)*parametros_manuales!$I$39*parametros_manuales!$J$39</f>
        <v>602.07039678705</v>
      </c>
      <c r="L22" s="9" t="n">
        <f aca="false">(parametros_manuales!$D$39*(datos_base!$B$2+datos_base!$B$18+IF(parametros_manuales!$H$39="Todos",datos_base!$B$9+datos_base!$B$23,0))*parametros_manuales!$L$95+parametros_manuales!$E$39*(datos_base!$B$3+datos_base!$B$19+IF(parametros_manuales!$H$39="Todos",datos_base!$B$10+datos_base!$B$24,0))*parametros_manuales!$L$100+parametros_manuales!$F$39*(datos_base!$B$4+datos_base!$B$20+IF(parametros_manuales!$H$39="Todos",datos_base!$B$11+datos_base!$B$25,0))*parametros_manuales!$L$105+parametros_manuales!$G$39*(datos_base!$B$5+datos_base!$B$21+IF(parametros_manuales!$H$39="Todos",datos_base!$B$12+datos_base!$B$26,0))*parametros_manuales!$L$110)*parametros_manuales!$I$39*parametros_manuales!$J$39</f>
        <v>615.3635796057</v>
      </c>
      <c r="M22" s="9" t="n">
        <f aca="false">(parametros_manuales!$D$39*(datos_base!$B$2+datos_base!$B$18+IF(parametros_manuales!$H$39="Todos",datos_base!$B$9+datos_base!$B$23,0))*parametros_manuales!$M$95+parametros_manuales!$E$39*(datos_base!$B$3+datos_base!$B$19+IF(parametros_manuales!$H$39="Todos",datos_base!$B$10+datos_base!$B$24,0))*parametros_manuales!$M$100+parametros_manuales!$F$39*(datos_base!$B$4+datos_base!$B$20+IF(parametros_manuales!$H$39="Todos",datos_base!$B$11+datos_base!$B$25,0))*parametros_manuales!$M$105+parametros_manuales!$G$39*(datos_base!$B$5+datos_base!$B$21+IF(parametros_manuales!$H$39="Todos",datos_base!$B$12+datos_base!$B$26,0))*parametros_manuales!$M$110)*parametros_manuales!$I$39*parametros_manuales!$J$39</f>
        <v>615.3635796057</v>
      </c>
      <c r="N22" s="9" t="n">
        <f aca="false">SUM(B22:M22)</f>
        <v>6837.37310673</v>
      </c>
      <c r="O22" s="9" t="n">
        <f aca="false">MAX(B22:M22)</f>
        <v>615.3635796057</v>
      </c>
      <c r="P22" s="43" t="n">
        <f aca="false">O22/(parametros_manuales!$B$7)</f>
        <v>4.102423864038</v>
      </c>
      <c r="Q22" s="8" t="str">
        <f aca="false">IF(O22=0,"-",INDEX($B$1:$M$1,MATCH(O22,B22:M22,0)))</f>
        <v>Ene</v>
      </c>
    </row>
    <row r="23" customFormat="false" ht="14.25" hidden="false" customHeight="true" outlineLevel="0" collapsed="false">
      <c r="A23" s="8" t="str">
        <f aca="false">parametros_manuales!$B$40</f>
        <v>Presurización</v>
      </c>
      <c r="B23" s="9" t="n">
        <f aca="false">(parametros_manuales!$D$40*(datos_base!$B$2+datos_base!$B$18+IF(parametros_manuales!$H$40="Todos",datos_base!$B$9+datos_base!$B$23,0))*parametros_manuales!$B$95+parametros_manuales!$E$40*(datos_base!$B$3+datos_base!$B$19+IF(parametros_manuales!$H$40="Todos",datos_base!$B$10+datos_base!$B$24,0))*parametros_manuales!$B$100+parametros_manuales!$F$40*(datos_base!$B$4+datos_base!$B$20+IF(parametros_manuales!$H$40="Todos",datos_base!$B$11+datos_base!$B$25,0))*parametros_manuales!$B$105+parametros_manuales!$G$40*(datos_base!$B$5+datos_base!$B$21+IF(parametros_manuales!$H$40="Todos",datos_base!$B$12+datos_base!$B$26,0))*parametros_manuales!$B$110)*parametros_manuales!$I$40*parametros_manuales!$J$40</f>
        <v>615.3635796057</v>
      </c>
      <c r="C23" s="9" t="n">
        <f aca="false">(parametros_manuales!$D$40*(datos_base!$B$2+datos_base!$B$18+IF(parametros_manuales!$H$40="Todos",datos_base!$B$9+datos_base!$B$23,0))*parametros_manuales!$C$95+parametros_manuales!$E$40*(datos_base!$B$3+datos_base!$B$19+IF(parametros_manuales!$H$40="Todos",datos_base!$B$10+datos_base!$B$24,0))*parametros_manuales!$C$100+parametros_manuales!$F$40*(datos_base!$B$4+datos_base!$B$20+IF(parametros_manuales!$H$40="Todos",datos_base!$B$11+datos_base!$B$25,0))*parametros_manuales!$C$105+parametros_manuales!$G$40*(datos_base!$B$5+datos_base!$B$21+IF(parametros_manuales!$H$40="Todos",datos_base!$B$12+datos_base!$B$26,0))*parametros_manuales!$C$110)*parametros_manuales!$I$40*parametros_manuales!$J$40</f>
        <v>588.7772139684</v>
      </c>
      <c r="D23" s="9" t="n">
        <f aca="false">(parametros_manuales!$D$40*(datos_base!$B$2+datos_base!$B$18+IF(parametros_manuales!$H$40="Todos",datos_base!$B$9+datos_base!$B$23,0))*parametros_manuales!$D$95+parametros_manuales!$E$40*(datos_base!$B$3+datos_base!$B$19+IF(parametros_manuales!$H$40="Todos",datos_base!$B$10+datos_base!$B$24,0))*parametros_manuales!$D$100+parametros_manuales!$F$40*(datos_base!$B$4+datos_base!$B$20+IF(parametros_manuales!$H$40="Todos",datos_base!$B$11+datos_base!$B$25,0))*parametros_manuales!$D$105+parametros_manuales!$G$40*(datos_base!$B$5+datos_base!$B$21+IF(parametros_manuales!$H$40="Todos",datos_base!$B$12+datos_base!$B$26,0))*parametros_manuales!$D$110)*parametros_manuales!$I$40*parametros_manuales!$J$40</f>
        <v>560.28303135705</v>
      </c>
      <c r="E23" s="9" t="n">
        <f aca="false">(parametros_manuales!$D$40*(datos_base!$B$2+datos_base!$B$18+IF(parametros_manuales!$H$40="Todos",datos_base!$B$9+datos_base!$B$23,0))*parametros_manuales!$E$95+parametros_manuales!$E$40*(datos_base!$B$3+datos_base!$B$19+IF(parametros_manuales!$H$40="Todos",datos_base!$B$10+datos_base!$B$24,0))*parametros_manuales!$E$100+parametros_manuales!$F$40*(datos_base!$B$4+datos_base!$B$20+IF(parametros_manuales!$H$40="Todos",datos_base!$B$11+datos_base!$B$25,0))*parametros_manuales!$E$105+parametros_manuales!$G$40*(datos_base!$B$5+datos_base!$B$21+IF(parametros_manuales!$H$40="Todos",datos_base!$B$12+datos_base!$B$26,0))*parametros_manuales!$E$110)*parametros_manuales!$I$40*parametros_manuales!$J$40</f>
        <v>539.38934864205</v>
      </c>
      <c r="F23" s="9" t="n">
        <f aca="false">(parametros_manuales!$D$40*(datos_base!$B$2+datos_base!$B$18+IF(parametros_manuales!$H$40="Todos",datos_base!$B$9+datos_base!$B$23,0))*parametros_manuales!$F$95+parametros_manuales!$E$40*(datos_base!$B$3+datos_base!$B$19+IF(parametros_manuales!$H$40="Todos",datos_base!$B$10+datos_base!$B$24,0))*parametros_manuales!$F$100+parametros_manuales!$F$40*(datos_base!$B$4+datos_base!$B$20+IF(parametros_manuales!$H$40="Todos",datos_base!$B$11+datos_base!$B$25,0))*parametros_manuales!$F$105+parametros_manuales!$G$40*(datos_base!$B$5+datos_base!$B$21+IF(parametros_manuales!$H$40="Todos",datos_base!$B$12+datos_base!$B$26,0))*parametros_manuales!$F$110)*parametros_manuales!$I$40*parametros_manuales!$J$40</f>
        <v>505.2024831084</v>
      </c>
      <c r="G23" s="9" t="n">
        <f aca="false">(parametros_manuales!$D$40*(datos_base!$B$2+datos_base!$B$18+IF(parametros_manuales!$H$40="Todos",datos_base!$B$9+datos_base!$B$23,0))*parametros_manuales!$G$95+parametros_manuales!$E$40*(datos_base!$B$3+datos_base!$B$19+IF(parametros_manuales!$H$40="Todos",datos_base!$B$10+datos_base!$B$24,0))*parametros_manuales!$G$100+parametros_manuales!$F$40*(datos_base!$B$4+datos_base!$B$20+IF(parametros_manuales!$H$40="Todos",datos_base!$B$11+datos_base!$B$25,0))*parametros_manuales!$G$105+parametros_manuales!$G$40*(datos_base!$B$5+datos_base!$B$21+IF(parametros_manuales!$H$40="Todos",datos_base!$B$12+datos_base!$B$26,0))*parametros_manuales!$G$110)*parametros_manuales!$I$40*parametros_manuales!$J$40</f>
        <v>491.90930028975</v>
      </c>
      <c r="H23" s="9" t="n">
        <f aca="false">(parametros_manuales!$D$40*(datos_base!$B$2+datos_base!$B$18+IF(parametros_manuales!$H$40="Todos",datos_base!$B$9+datos_base!$B$23,0))*parametros_manuales!$H$95+parametros_manuales!$E$40*(datos_base!$B$3+datos_base!$B$19+IF(parametros_manuales!$H$40="Todos",datos_base!$B$10+datos_base!$B$24,0))*parametros_manuales!$H$100+parametros_manuales!$F$40*(datos_base!$B$4+datos_base!$B$20+IF(parametros_manuales!$H$40="Todos",datos_base!$B$11+datos_base!$B$25,0))*parametros_manuales!$H$105+parametros_manuales!$G$40*(datos_base!$B$5+datos_base!$B$21+IF(parametros_manuales!$H$40="Todos",datos_base!$B$12+datos_base!$B$26,0))*parametros_manuales!$H$110)*parametros_manuales!$I$40*parametros_manuales!$J$40</f>
        <v>526.0961658234</v>
      </c>
      <c r="I23" s="9" t="n">
        <f aca="false">(parametros_manuales!$D$40*(datos_base!$B$2+datos_base!$B$18+IF(parametros_manuales!$H$40="Todos",datos_base!$B$9+datos_base!$B$23,0))*parametros_manuales!$I$95+parametros_manuales!$E$40*(datos_base!$B$3+datos_base!$B$19+IF(parametros_manuales!$H$40="Todos",datos_base!$B$10+datos_base!$B$24,0))*parametros_manuales!$I$100+parametros_manuales!$F$40*(datos_base!$B$4+datos_base!$B$20+IF(parametros_manuales!$H$40="Todos",datos_base!$B$11+datos_base!$B$25,0))*parametros_manuales!$I$105+parametros_manuales!$G$40*(datos_base!$B$5+datos_base!$B$21+IF(parametros_manuales!$H$40="Todos",datos_base!$B$12+datos_base!$B$26,0))*parametros_manuales!$I$110)*parametros_manuales!$I$40*parametros_manuales!$J$40</f>
        <v>588.7772139684</v>
      </c>
      <c r="J23" s="9" t="n">
        <f aca="false">(parametros_manuales!$D$40*(datos_base!$B$2+datos_base!$B$18+IF(parametros_manuales!$H$40="Todos",datos_base!$B$9+datos_base!$B$23,0))*parametros_manuales!$J$95+parametros_manuales!$E$40*(datos_base!$B$3+datos_base!$B$19+IF(parametros_manuales!$H$40="Todos",datos_base!$B$10+datos_base!$B$24,0))*parametros_manuales!$J$100+parametros_manuales!$F$40*(datos_base!$B$4+datos_base!$B$20+IF(parametros_manuales!$H$40="Todos",datos_base!$B$11+datos_base!$B$25,0))*parametros_manuales!$J$105+parametros_manuales!$G$40*(datos_base!$B$5+datos_base!$B$21+IF(parametros_manuales!$H$40="Todos",datos_base!$B$12+datos_base!$B$26,0))*parametros_manuales!$J$110)*parametros_manuales!$I$40*parametros_manuales!$J$40</f>
        <v>588.7772139684</v>
      </c>
      <c r="K23" s="9" t="n">
        <f aca="false">(parametros_manuales!$D$40*(datos_base!$B$2+datos_base!$B$18+IF(parametros_manuales!$H$40="Todos",datos_base!$B$9+datos_base!$B$23,0))*parametros_manuales!$K$95+parametros_manuales!$E$40*(datos_base!$B$3+datos_base!$B$19+IF(parametros_manuales!$H$40="Todos",datos_base!$B$10+datos_base!$B$24,0))*parametros_manuales!$K$100+parametros_manuales!$F$40*(datos_base!$B$4+datos_base!$B$20+IF(parametros_manuales!$H$40="Todos",datos_base!$B$11+datos_base!$B$25,0))*parametros_manuales!$K$105+parametros_manuales!$G$40*(datos_base!$B$5+datos_base!$B$21+IF(parametros_manuales!$H$40="Todos",datos_base!$B$12+datos_base!$B$26,0))*parametros_manuales!$K$110)*parametros_manuales!$I$40*parametros_manuales!$J$40</f>
        <v>602.07039678705</v>
      </c>
      <c r="L23" s="9" t="n">
        <f aca="false">(parametros_manuales!$D$40*(datos_base!$B$2+datos_base!$B$18+IF(parametros_manuales!$H$40="Todos",datos_base!$B$9+datos_base!$B$23,0))*parametros_manuales!$L$95+parametros_manuales!$E$40*(datos_base!$B$3+datos_base!$B$19+IF(parametros_manuales!$H$40="Todos",datos_base!$B$10+datos_base!$B$24,0))*parametros_manuales!$L$100+parametros_manuales!$F$40*(datos_base!$B$4+datos_base!$B$20+IF(parametros_manuales!$H$40="Todos",datos_base!$B$11+datos_base!$B$25,0))*parametros_manuales!$L$105+parametros_manuales!$G$40*(datos_base!$B$5+datos_base!$B$21+IF(parametros_manuales!$H$40="Todos",datos_base!$B$12+datos_base!$B$26,0))*parametros_manuales!$L$110)*parametros_manuales!$I$40*parametros_manuales!$J$40</f>
        <v>615.3635796057</v>
      </c>
      <c r="M23" s="9" t="n">
        <f aca="false">(parametros_manuales!$D$40*(datos_base!$B$2+datos_base!$B$18+IF(parametros_manuales!$H$40="Todos",datos_base!$B$9+datos_base!$B$23,0))*parametros_manuales!$M$95+parametros_manuales!$E$40*(datos_base!$B$3+datos_base!$B$19+IF(parametros_manuales!$H$40="Todos",datos_base!$B$10+datos_base!$B$24,0))*parametros_manuales!$M$100+parametros_manuales!$F$40*(datos_base!$B$4+datos_base!$B$20+IF(parametros_manuales!$H$40="Todos",datos_base!$B$11+datos_base!$B$25,0))*parametros_manuales!$M$105+parametros_manuales!$G$40*(datos_base!$B$5+datos_base!$B$21+IF(parametros_manuales!$H$40="Todos",datos_base!$B$12+datos_base!$B$26,0))*parametros_manuales!$M$110)*parametros_manuales!$I$40*parametros_manuales!$J$40</f>
        <v>615.3635796057</v>
      </c>
      <c r="N23" s="9" t="n">
        <f aca="false">SUM(B23:M23)</f>
        <v>6837.37310673</v>
      </c>
      <c r="O23" s="9" t="n">
        <f aca="false">MAX(B23:M23)</f>
        <v>615.3635796057</v>
      </c>
      <c r="P23" s="43" t="n">
        <f aca="false">O23/(parametros_manuales!$B$7)</f>
        <v>4.102423864038</v>
      </c>
      <c r="Q23" s="8" t="str">
        <f aca="false">IF(O23=0,"-",INDEX($B$1:$M$1,MATCH(O23,B23:M23,0)))</f>
        <v>Ene</v>
      </c>
    </row>
    <row r="24" customFormat="false" ht="14.25" hidden="false" customHeight="true" outlineLevel="0" collapsed="false">
      <c r="A24" s="8" t="str">
        <f aca="false">parametros_manuales!$B$41</f>
        <v>Control de calidad — Ensayo de pérdidas</v>
      </c>
      <c r="B24" s="9" t="n">
        <f aca="false">(parametros_manuales!$D$41*(datos_base!$B$2+datos_base!$B$18+IF(parametros_manuales!$H$41="Todos",datos_base!$B$9+datos_base!$B$23,0))*parametros_manuales!$B$95+parametros_manuales!$E$41*(datos_base!$B$3+datos_base!$B$19+IF(parametros_manuales!$H$41="Todos",datos_base!$B$10+datos_base!$B$24,0))*parametros_manuales!$B$100+parametros_manuales!$F$41*(datos_base!$B$4+datos_base!$B$20+IF(parametros_manuales!$H$41="Todos",datos_base!$B$11+datos_base!$B$25,0))*parametros_manuales!$B$105+parametros_manuales!$G$41*(datos_base!$B$5+datos_base!$B$21+IF(parametros_manuales!$H$41="Todos",datos_base!$B$12+datos_base!$B$26,0))*parametros_manuales!$B$110)*parametros_manuales!$I$41*parametros_manuales!$J$41</f>
        <v>615.3635796057</v>
      </c>
      <c r="C24" s="9" t="n">
        <f aca="false">(parametros_manuales!$D$41*(datos_base!$B$2+datos_base!$B$18+IF(parametros_manuales!$H$41="Todos",datos_base!$B$9+datos_base!$B$23,0))*parametros_manuales!$C$95+parametros_manuales!$E$41*(datos_base!$B$3+datos_base!$B$19+IF(parametros_manuales!$H$41="Todos",datos_base!$B$10+datos_base!$B$24,0))*parametros_manuales!$C$100+parametros_manuales!$F$41*(datos_base!$B$4+datos_base!$B$20+IF(parametros_manuales!$H$41="Todos",datos_base!$B$11+datos_base!$B$25,0))*parametros_manuales!$C$105+parametros_manuales!$G$41*(datos_base!$B$5+datos_base!$B$21+IF(parametros_manuales!$H$41="Todos",datos_base!$B$12+datos_base!$B$26,0))*parametros_manuales!$C$110)*parametros_manuales!$I$41*parametros_manuales!$J$41</f>
        <v>588.7772139684</v>
      </c>
      <c r="D24" s="9" t="n">
        <f aca="false">(parametros_manuales!$D$41*(datos_base!$B$2+datos_base!$B$18+IF(parametros_manuales!$H$41="Todos",datos_base!$B$9+datos_base!$B$23,0))*parametros_manuales!$D$95+parametros_manuales!$E$41*(datos_base!$B$3+datos_base!$B$19+IF(parametros_manuales!$H$41="Todos",datos_base!$B$10+datos_base!$B$24,0))*parametros_manuales!$D$100+parametros_manuales!$F$41*(datos_base!$B$4+datos_base!$B$20+IF(parametros_manuales!$H$41="Todos",datos_base!$B$11+datos_base!$B$25,0))*parametros_manuales!$D$105+parametros_manuales!$G$41*(datos_base!$B$5+datos_base!$B$21+IF(parametros_manuales!$H$41="Todos",datos_base!$B$12+datos_base!$B$26,0))*parametros_manuales!$D$110)*parametros_manuales!$I$41*parametros_manuales!$J$41</f>
        <v>560.28303135705</v>
      </c>
      <c r="E24" s="9" t="n">
        <f aca="false">(parametros_manuales!$D$41*(datos_base!$B$2+datos_base!$B$18+IF(parametros_manuales!$H$41="Todos",datos_base!$B$9+datos_base!$B$23,0))*parametros_manuales!$E$95+parametros_manuales!$E$41*(datos_base!$B$3+datos_base!$B$19+IF(parametros_manuales!$H$41="Todos",datos_base!$B$10+datos_base!$B$24,0))*parametros_manuales!$E$100+parametros_manuales!$F$41*(datos_base!$B$4+datos_base!$B$20+IF(parametros_manuales!$H$41="Todos",datos_base!$B$11+datos_base!$B$25,0))*parametros_manuales!$E$105+parametros_manuales!$G$41*(datos_base!$B$5+datos_base!$B$21+IF(parametros_manuales!$H$41="Todos",datos_base!$B$12+datos_base!$B$26,0))*parametros_manuales!$E$110)*parametros_manuales!$I$41*parametros_manuales!$J$41</f>
        <v>539.38934864205</v>
      </c>
      <c r="F24" s="9" t="n">
        <f aca="false">(parametros_manuales!$D$41*(datos_base!$B$2+datos_base!$B$18+IF(parametros_manuales!$H$41="Todos",datos_base!$B$9+datos_base!$B$23,0))*parametros_manuales!$F$95+parametros_manuales!$E$41*(datos_base!$B$3+datos_base!$B$19+IF(parametros_manuales!$H$41="Todos",datos_base!$B$10+datos_base!$B$24,0))*parametros_manuales!$F$100+parametros_manuales!$F$41*(datos_base!$B$4+datos_base!$B$20+IF(parametros_manuales!$H$41="Todos",datos_base!$B$11+datos_base!$B$25,0))*parametros_manuales!$F$105+parametros_manuales!$G$41*(datos_base!$B$5+datos_base!$B$21+IF(parametros_manuales!$H$41="Todos",datos_base!$B$12+datos_base!$B$26,0))*parametros_manuales!$F$110)*parametros_manuales!$I$41*parametros_manuales!$J$41</f>
        <v>505.2024831084</v>
      </c>
      <c r="G24" s="9" t="n">
        <f aca="false">(parametros_manuales!$D$41*(datos_base!$B$2+datos_base!$B$18+IF(parametros_manuales!$H$41="Todos",datos_base!$B$9+datos_base!$B$23,0))*parametros_manuales!$G$95+parametros_manuales!$E$41*(datos_base!$B$3+datos_base!$B$19+IF(parametros_manuales!$H$41="Todos",datos_base!$B$10+datos_base!$B$24,0))*parametros_manuales!$G$100+parametros_manuales!$F$41*(datos_base!$B$4+datos_base!$B$20+IF(parametros_manuales!$H$41="Todos",datos_base!$B$11+datos_base!$B$25,0))*parametros_manuales!$G$105+parametros_manuales!$G$41*(datos_base!$B$5+datos_base!$B$21+IF(parametros_manuales!$H$41="Todos",datos_base!$B$12+datos_base!$B$26,0))*parametros_manuales!$G$110)*parametros_manuales!$I$41*parametros_manuales!$J$41</f>
        <v>491.90930028975</v>
      </c>
      <c r="H24" s="9" t="n">
        <f aca="false">(parametros_manuales!$D$41*(datos_base!$B$2+datos_base!$B$18+IF(parametros_manuales!$H$41="Todos",datos_base!$B$9+datos_base!$B$23,0))*parametros_manuales!$H$95+parametros_manuales!$E$41*(datos_base!$B$3+datos_base!$B$19+IF(parametros_manuales!$H$41="Todos",datos_base!$B$10+datos_base!$B$24,0))*parametros_manuales!$H$100+parametros_manuales!$F$41*(datos_base!$B$4+datos_base!$B$20+IF(parametros_manuales!$H$41="Todos",datos_base!$B$11+datos_base!$B$25,0))*parametros_manuales!$H$105+parametros_manuales!$G$41*(datos_base!$B$5+datos_base!$B$21+IF(parametros_manuales!$H$41="Todos",datos_base!$B$12+datos_base!$B$26,0))*parametros_manuales!$H$110)*parametros_manuales!$I$41*parametros_manuales!$J$41</f>
        <v>526.0961658234</v>
      </c>
      <c r="I24" s="9" t="n">
        <f aca="false">(parametros_manuales!$D$41*(datos_base!$B$2+datos_base!$B$18+IF(parametros_manuales!$H$41="Todos",datos_base!$B$9+datos_base!$B$23,0))*parametros_manuales!$I$95+parametros_manuales!$E$41*(datos_base!$B$3+datos_base!$B$19+IF(parametros_manuales!$H$41="Todos",datos_base!$B$10+datos_base!$B$24,0))*parametros_manuales!$I$100+parametros_manuales!$F$41*(datos_base!$B$4+datos_base!$B$20+IF(parametros_manuales!$H$41="Todos",datos_base!$B$11+datos_base!$B$25,0))*parametros_manuales!$I$105+parametros_manuales!$G$41*(datos_base!$B$5+datos_base!$B$21+IF(parametros_manuales!$H$41="Todos",datos_base!$B$12+datos_base!$B$26,0))*parametros_manuales!$I$110)*parametros_manuales!$I$41*parametros_manuales!$J$41</f>
        <v>588.7772139684</v>
      </c>
      <c r="J24" s="9" t="n">
        <f aca="false">(parametros_manuales!$D$41*(datos_base!$B$2+datos_base!$B$18+IF(parametros_manuales!$H$41="Todos",datos_base!$B$9+datos_base!$B$23,0))*parametros_manuales!$J$95+parametros_manuales!$E$41*(datos_base!$B$3+datos_base!$B$19+IF(parametros_manuales!$H$41="Todos",datos_base!$B$10+datos_base!$B$24,0))*parametros_manuales!$J$100+parametros_manuales!$F$41*(datos_base!$B$4+datos_base!$B$20+IF(parametros_manuales!$H$41="Todos",datos_base!$B$11+datos_base!$B$25,0))*parametros_manuales!$J$105+parametros_manuales!$G$41*(datos_base!$B$5+datos_base!$B$21+IF(parametros_manuales!$H$41="Todos",datos_base!$B$12+datos_base!$B$26,0))*parametros_manuales!$J$110)*parametros_manuales!$I$41*parametros_manuales!$J$41</f>
        <v>588.7772139684</v>
      </c>
      <c r="K24" s="9" t="n">
        <f aca="false">(parametros_manuales!$D$41*(datos_base!$B$2+datos_base!$B$18+IF(parametros_manuales!$H$41="Todos",datos_base!$B$9+datos_base!$B$23,0))*parametros_manuales!$K$95+parametros_manuales!$E$41*(datos_base!$B$3+datos_base!$B$19+IF(parametros_manuales!$H$41="Todos",datos_base!$B$10+datos_base!$B$24,0))*parametros_manuales!$K$100+parametros_manuales!$F$41*(datos_base!$B$4+datos_base!$B$20+IF(parametros_manuales!$H$41="Todos",datos_base!$B$11+datos_base!$B$25,0))*parametros_manuales!$K$105+parametros_manuales!$G$41*(datos_base!$B$5+datos_base!$B$21+IF(parametros_manuales!$H$41="Todos",datos_base!$B$12+datos_base!$B$26,0))*parametros_manuales!$K$110)*parametros_manuales!$I$41*parametros_manuales!$J$41</f>
        <v>602.07039678705</v>
      </c>
      <c r="L24" s="9" t="n">
        <f aca="false">(parametros_manuales!$D$41*(datos_base!$B$2+datos_base!$B$18+IF(parametros_manuales!$H$41="Todos",datos_base!$B$9+datos_base!$B$23,0))*parametros_manuales!$L$95+parametros_manuales!$E$41*(datos_base!$B$3+datos_base!$B$19+IF(parametros_manuales!$H$41="Todos",datos_base!$B$10+datos_base!$B$24,0))*parametros_manuales!$L$100+parametros_manuales!$F$41*(datos_base!$B$4+datos_base!$B$20+IF(parametros_manuales!$H$41="Todos",datos_base!$B$11+datos_base!$B$25,0))*parametros_manuales!$L$105+parametros_manuales!$G$41*(datos_base!$B$5+datos_base!$B$21+IF(parametros_manuales!$H$41="Todos",datos_base!$B$12+datos_base!$B$26,0))*parametros_manuales!$L$110)*parametros_manuales!$I$41*parametros_manuales!$J$41</f>
        <v>615.3635796057</v>
      </c>
      <c r="M24" s="9" t="n">
        <f aca="false">(parametros_manuales!$D$41*(datos_base!$B$2+datos_base!$B$18+IF(parametros_manuales!$H$41="Todos",datos_base!$B$9+datos_base!$B$23,0))*parametros_manuales!$M$95+parametros_manuales!$E$41*(datos_base!$B$3+datos_base!$B$19+IF(parametros_manuales!$H$41="Todos",datos_base!$B$10+datos_base!$B$24,0))*parametros_manuales!$M$100+parametros_manuales!$F$41*(datos_base!$B$4+datos_base!$B$20+IF(parametros_manuales!$H$41="Todos",datos_base!$B$11+datos_base!$B$25,0))*parametros_manuales!$M$105+parametros_manuales!$G$41*(datos_base!$B$5+datos_base!$B$21+IF(parametros_manuales!$H$41="Todos",datos_base!$B$12+datos_base!$B$26,0))*parametros_manuales!$M$110)*parametros_manuales!$I$41*parametros_manuales!$J$41</f>
        <v>615.3635796057</v>
      </c>
      <c r="N24" s="9" t="n">
        <f aca="false">SUM(B24:M24)</f>
        <v>6837.37310673</v>
      </c>
      <c r="O24" s="9" t="n">
        <f aca="false">MAX(B24:M24)</f>
        <v>615.3635796057</v>
      </c>
      <c r="P24" s="43" t="n">
        <f aca="false">O24/(parametros_manuales!$B$7)</f>
        <v>4.102423864038</v>
      </c>
      <c r="Q24" s="8" t="str">
        <f aca="false">IF(O24=0,"-",INDEX($B$1:$M$1,MATCH(O24,B24:M24,0)))</f>
        <v>Ene</v>
      </c>
    </row>
    <row r="25" customFormat="false" ht="14.25" hidden="false" customHeight="true" outlineLevel="0" collapsed="false">
      <c r="A25" s="8" t="str">
        <f aca="false">parametros_manuales!$B$42</f>
        <v>Etiquetado</v>
      </c>
      <c r="B25" s="9" t="n">
        <f aca="false">(parametros_manuales!$D$42*(datos_base!$B$2+datos_base!$B$18+IF(parametros_manuales!$H$42="Todos",datos_base!$B$9+datos_base!$B$23,0))*parametros_manuales!$B$95+parametros_manuales!$E$42*(datos_base!$B$3+datos_base!$B$19+IF(parametros_manuales!$H$42="Todos",datos_base!$B$10+datos_base!$B$24,0))*parametros_manuales!$B$100+parametros_manuales!$F$42*(datos_base!$B$4+datos_base!$B$20+IF(parametros_manuales!$H$42="Todos",datos_base!$B$11+datos_base!$B$25,0))*parametros_manuales!$B$105+parametros_manuales!$G$42*(datos_base!$B$5+datos_base!$B$21+IF(parametros_manuales!$H$42="Todos",datos_base!$B$12+datos_base!$B$26,0))*parametros_manuales!$B$110)*parametros_manuales!$I$42*parametros_manuales!$J$42</f>
        <v>615.3635796057</v>
      </c>
      <c r="C25" s="9" t="n">
        <f aca="false">(parametros_manuales!$D$42*(datos_base!$B$2+datos_base!$B$18+IF(parametros_manuales!$H$42="Todos",datos_base!$B$9+datos_base!$B$23,0))*parametros_manuales!$C$95+parametros_manuales!$E$42*(datos_base!$B$3+datos_base!$B$19+IF(parametros_manuales!$H$42="Todos",datos_base!$B$10+datos_base!$B$24,0))*parametros_manuales!$C$100+parametros_manuales!$F$42*(datos_base!$B$4+datos_base!$B$20+IF(parametros_manuales!$H$42="Todos",datos_base!$B$11+datos_base!$B$25,0))*parametros_manuales!$C$105+parametros_manuales!$G$42*(datos_base!$B$5+datos_base!$B$21+IF(parametros_manuales!$H$42="Todos",datos_base!$B$12+datos_base!$B$26,0))*parametros_manuales!$C$110)*parametros_manuales!$I$42*parametros_manuales!$J$42</f>
        <v>588.7772139684</v>
      </c>
      <c r="D25" s="9" t="n">
        <f aca="false">(parametros_manuales!$D$42*(datos_base!$B$2+datos_base!$B$18+IF(parametros_manuales!$H$42="Todos",datos_base!$B$9+datos_base!$B$23,0))*parametros_manuales!$D$95+parametros_manuales!$E$42*(datos_base!$B$3+datos_base!$B$19+IF(parametros_manuales!$H$42="Todos",datos_base!$B$10+datos_base!$B$24,0))*parametros_manuales!$D$100+parametros_manuales!$F$42*(datos_base!$B$4+datos_base!$B$20+IF(parametros_manuales!$H$42="Todos",datos_base!$B$11+datos_base!$B$25,0))*parametros_manuales!$D$105+parametros_manuales!$G$42*(datos_base!$B$5+datos_base!$B$21+IF(parametros_manuales!$H$42="Todos",datos_base!$B$12+datos_base!$B$26,0))*parametros_manuales!$D$110)*parametros_manuales!$I$42*parametros_manuales!$J$42</f>
        <v>560.28303135705</v>
      </c>
      <c r="E25" s="9" t="n">
        <f aca="false">(parametros_manuales!$D$42*(datos_base!$B$2+datos_base!$B$18+IF(parametros_manuales!$H$42="Todos",datos_base!$B$9+datos_base!$B$23,0))*parametros_manuales!$E$95+parametros_manuales!$E$42*(datos_base!$B$3+datos_base!$B$19+IF(parametros_manuales!$H$42="Todos",datos_base!$B$10+datos_base!$B$24,0))*parametros_manuales!$E$100+parametros_manuales!$F$42*(datos_base!$B$4+datos_base!$B$20+IF(parametros_manuales!$H$42="Todos",datos_base!$B$11+datos_base!$B$25,0))*parametros_manuales!$E$105+parametros_manuales!$G$42*(datos_base!$B$5+datos_base!$B$21+IF(parametros_manuales!$H$42="Todos",datos_base!$B$12+datos_base!$B$26,0))*parametros_manuales!$E$110)*parametros_manuales!$I$42*parametros_manuales!$J$42</f>
        <v>539.38934864205</v>
      </c>
      <c r="F25" s="9" t="n">
        <f aca="false">(parametros_manuales!$D$42*(datos_base!$B$2+datos_base!$B$18+IF(parametros_manuales!$H$42="Todos",datos_base!$B$9+datos_base!$B$23,0))*parametros_manuales!$F$95+parametros_manuales!$E$42*(datos_base!$B$3+datos_base!$B$19+IF(parametros_manuales!$H$42="Todos",datos_base!$B$10+datos_base!$B$24,0))*parametros_manuales!$F$100+parametros_manuales!$F$42*(datos_base!$B$4+datos_base!$B$20+IF(parametros_manuales!$H$42="Todos",datos_base!$B$11+datos_base!$B$25,0))*parametros_manuales!$F$105+parametros_manuales!$G$42*(datos_base!$B$5+datos_base!$B$21+IF(parametros_manuales!$H$42="Todos",datos_base!$B$12+datos_base!$B$26,0))*parametros_manuales!$F$110)*parametros_manuales!$I$42*parametros_manuales!$J$42</f>
        <v>505.2024831084</v>
      </c>
      <c r="G25" s="9" t="n">
        <f aca="false">(parametros_manuales!$D$42*(datos_base!$B$2+datos_base!$B$18+IF(parametros_manuales!$H$42="Todos",datos_base!$B$9+datos_base!$B$23,0))*parametros_manuales!$G$95+parametros_manuales!$E$42*(datos_base!$B$3+datos_base!$B$19+IF(parametros_manuales!$H$42="Todos",datos_base!$B$10+datos_base!$B$24,0))*parametros_manuales!$G$100+parametros_manuales!$F$42*(datos_base!$B$4+datos_base!$B$20+IF(parametros_manuales!$H$42="Todos",datos_base!$B$11+datos_base!$B$25,0))*parametros_manuales!$G$105+parametros_manuales!$G$42*(datos_base!$B$5+datos_base!$B$21+IF(parametros_manuales!$H$42="Todos",datos_base!$B$12+datos_base!$B$26,0))*parametros_manuales!$G$110)*parametros_manuales!$I$42*parametros_manuales!$J$42</f>
        <v>491.90930028975</v>
      </c>
      <c r="H25" s="9" t="n">
        <f aca="false">(parametros_manuales!$D$42*(datos_base!$B$2+datos_base!$B$18+IF(parametros_manuales!$H$42="Todos",datos_base!$B$9+datos_base!$B$23,0))*parametros_manuales!$H$95+parametros_manuales!$E$42*(datos_base!$B$3+datos_base!$B$19+IF(parametros_manuales!$H$42="Todos",datos_base!$B$10+datos_base!$B$24,0))*parametros_manuales!$H$100+parametros_manuales!$F$42*(datos_base!$B$4+datos_base!$B$20+IF(parametros_manuales!$H$42="Todos",datos_base!$B$11+datos_base!$B$25,0))*parametros_manuales!$H$105+parametros_manuales!$G$42*(datos_base!$B$5+datos_base!$B$21+IF(parametros_manuales!$H$42="Todos",datos_base!$B$12+datos_base!$B$26,0))*parametros_manuales!$H$110)*parametros_manuales!$I$42*parametros_manuales!$J$42</f>
        <v>526.0961658234</v>
      </c>
      <c r="I25" s="9" t="n">
        <f aca="false">(parametros_manuales!$D$42*(datos_base!$B$2+datos_base!$B$18+IF(parametros_manuales!$H$42="Todos",datos_base!$B$9+datos_base!$B$23,0))*parametros_manuales!$I$95+parametros_manuales!$E$42*(datos_base!$B$3+datos_base!$B$19+IF(parametros_manuales!$H$42="Todos",datos_base!$B$10+datos_base!$B$24,0))*parametros_manuales!$I$100+parametros_manuales!$F$42*(datos_base!$B$4+datos_base!$B$20+IF(parametros_manuales!$H$42="Todos",datos_base!$B$11+datos_base!$B$25,0))*parametros_manuales!$I$105+parametros_manuales!$G$42*(datos_base!$B$5+datos_base!$B$21+IF(parametros_manuales!$H$42="Todos",datos_base!$B$12+datos_base!$B$26,0))*parametros_manuales!$I$110)*parametros_manuales!$I$42*parametros_manuales!$J$42</f>
        <v>588.7772139684</v>
      </c>
      <c r="J25" s="9" t="n">
        <f aca="false">(parametros_manuales!$D$42*(datos_base!$B$2+datos_base!$B$18+IF(parametros_manuales!$H$42="Todos",datos_base!$B$9+datos_base!$B$23,0))*parametros_manuales!$J$95+parametros_manuales!$E$42*(datos_base!$B$3+datos_base!$B$19+IF(parametros_manuales!$H$42="Todos",datos_base!$B$10+datos_base!$B$24,0))*parametros_manuales!$J$100+parametros_manuales!$F$42*(datos_base!$B$4+datos_base!$B$20+IF(parametros_manuales!$H$42="Todos",datos_base!$B$11+datos_base!$B$25,0))*parametros_manuales!$J$105+parametros_manuales!$G$42*(datos_base!$B$5+datos_base!$B$21+IF(parametros_manuales!$H$42="Todos",datos_base!$B$12+datos_base!$B$26,0))*parametros_manuales!$J$110)*parametros_manuales!$I$42*parametros_manuales!$J$42</f>
        <v>588.7772139684</v>
      </c>
      <c r="K25" s="9" t="n">
        <f aca="false">(parametros_manuales!$D$42*(datos_base!$B$2+datos_base!$B$18+IF(parametros_manuales!$H$42="Todos",datos_base!$B$9+datos_base!$B$23,0))*parametros_manuales!$K$95+parametros_manuales!$E$42*(datos_base!$B$3+datos_base!$B$19+IF(parametros_manuales!$H$42="Todos",datos_base!$B$10+datos_base!$B$24,0))*parametros_manuales!$K$100+parametros_manuales!$F$42*(datos_base!$B$4+datos_base!$B$20+IF(parametros_manuales!$H$42="Todos",datos_base!$B$11+datos_base!$B$25,0))*parametros_manuales!$K$105+parametros_manuales!$G$42*(datos_base!$B$5+datos_base!$B$21+IF(parametros_manuales!$H$42="Todos",datos_base!$B$12+datos_base!$B$26,0))*parametros_manuales!$K$110)*parametros_manuales!$I$42*parametros_manuales!$J$42</f>
        <v>602.07039678705</v>
      </c>
      <c r="L25" s="9" t="n">
        <f aca="false">(parametros_manuales!$D$42*(datos_base!$B$2+datos_base!$B$18+IF(parametros_manuales!$H$42="Todos",datos_base!$B$9+datos_base!$B$23,0))*parametros_manuales!$L$95+parametros_manuales!$E$42*(datos_base!$B$3+datos_base!$B$19+IF(parametros_manuales!$H$42="Todos",datos_base!$B$10+datos_base!$B$24,0))*parametros_manuales!$L$100+parametros_manuales!$F$42*(datos_base!$B$4+datos_base!$B$20+IF(parametros_manuales!$H$42="Todos",datos_base!$B$11+datos_base!$B$25,0))*parametros_manuales!$L$105+parametros_manuales!$G$42*(datos_base!$B$5+datos_base!$B$21+IF(parametros_manuales!$H$42="Todos",datos_base!$B$12+datos_base!$B$26,0))*parametros_manuales!$L$110)*parametros_manuales!$I$42*parametros_manuales!$J$42</f>
        <v>615.3635796057</v>
      </c>
      <c r="M25" s="9" t="n">
        <f aca="false">(parametros_manuales!$D$42*(datos_base!$B$2+datos_base!$B$18+IF(parametros_manuales!$H$42="Todos",datos_base!$B$9+datos_base!$B$23,0))*parametros_manuales!$M$95+parametros_manuales!$E$42*(datos_base!$B$3+datos_base!$B$19+IF(parametros_manuales!$H$42="Todos",datos_base!$B$10+datos_base!$B$24,0))*parametros_manuales!$M$100+parametros_manuales!$F$42*(datos_base!$B$4+datos_base!$B$20+IF(parametros_manuales!$H$42="Todos",datos_base!$B$11+datos_base!$B$25,0))*parametros_manuales!$M$105+parametros_manuales!$G$42*(datos_base!$B$5+datos_base!$B$21+IF(parametros_manuales!$H$42="Todos",datos_base!$B$12+datos_base!$B$26,0))*parametros_manuales!$M$110)*parametros_manuales!$I$42*parametros_manuales!$J$42</f>
        <v>615.3635796057</v>
      </c>
      <c r="N25" s="9" t="n">
        <f aca="false">SUM(B25:M25)</f>
        <v>6837.37310673</v>
      </c>
      <c r="O25" s="9" t="n">
        <f aca="false">MAX(B25:M25)</f>
        <v>615.3635796057</v>
      </c>
      <c r="P25" s="43" t="n">
        <f aca="false">O25/(parametros_manuales!$B$7)</f>
        <v>4.102423864038</v>
      </c>
      <c r="Q25" s="8" t="str">
        <f aca="false">IF(O25=0,"-",INDEX($B$1:$M$1,MATCH(O25,B25:M25,0)))</f>
        <v>Ene</v>
      </c>
    </row>
    <row r="26" customFormat="false" ht="14.25" hidden="false" customHeight="true" outlineLevel="0" collapsed="false">
      <c r="A26" s="8" t="str">
        <f aca="false">parametros_manuales!$B$43</f>
        <v>Embalaje y paletizado</v>
      </c>
      <c r="B26" s="9" t="n">
        <f aca="false">(parametros_manuales!$D$43*(datos_base!$B$2+datos_base!$B$18+IF(parametros_manuales!$H$43="Todos",datos_base!$B$9+datos_base!$B$23,0))*parametros_manuales!$B$95+parametros_manuales!$E$43*(datos_base!$B$3+datos_base!$B$19+IF(parametros_manuales!$H$43="Todos",datos_base!$B$10+datos_base!$B$24,0))*parametros_manuales!$B$100+parametros_manuales!$F$43*(datos_base!$B$4+datos_base!$B$20+IF(parametros_manuales!$H$43="Todos",datos_base!$B$11+datos_base!$B$25,0))*parametros_manuales!$B$105+parametros_manuales!$G$43*(datos_base!$B$5+datos_base!$B$21+IF(parametros_manuales!$H$43="Todos",datos_base!$B$12+datos_base!$B$26,0))*parametros_manuales!$B$110)*parametros_manuales!$I$43*parametros_manuales!$J$43</f>
        <v>617.8835796057</v>
      </c>
      <c r="C26" s="9" t="n">
        <f aca="false">(parametros_manuales!$D$43*(datos_base!$B$2+datos_base!$B$18+IF(parametros_manuales!$H$43="Todos",datos_base!$B$9+datos_base!$B$23,0))*parametros_manuales!$C$95+parametros_manuales!$E$43*(datos_base!$B$3+datos_base!$B$19+IF(parametros_manuales!$H$43="Todos",datos_base!$B$10+datos_base!$B$24,0))*parametros_manuales!$C$100+parametros_manuales!$F$43*(datos_base!$B$4+datos_base!$B$20+IF(parametros_manuales!$H$43="Todos",datos_base!$B$11+datos_base!$B$25,0))*parametros_manuales!$C$105+parametros_manuales!$G$43*(datos_base!$B$5+datos_base!$B$21+IF(parametros_manuales!$H$43="Todos",datos_base!$B$12+datos_base!$B$26,0))*parametros_manuales!$C$110)*parametros_manuales!$I$43*parametros_manuales!$J$43</f>
        <v>591.0172139684</v>
      </c>
      <c r="D26" s="9" t="n">
        <f aca="false">(parametros_manuales!$D$43*(datos_base!$B$2+datos_base!$B$18+IF(parametros_manuales!$H$43="Todos",datos_base!$B$9+datos_base!$B$23,0))*parametros_manuales!$D$95+parametros_manuales!$E$43*(datos_base!$B$3+datos_base!$B$19+IF(parametros_manuales!$H$43="Todos",datos_base!$B$10+datos_base!$B$24,0))*parametros_manuales!$D$100+parametros_manuales!$F$43*(datos_base!$B$4+datos_base!$B$20+IF(parametros_manuales!$H$43="Todos",datos_base!$B$11+datos_base!$B$25,0))*parametros_manuales!$D$105+parametros_manuales!$G$43*(datos_base!$B$5+datos_base!$B$21+IF(parametros_manuales!$H$43="Todos",datos_base!$B$12+datos_base!$B$26,0))*parametros_manuales!$D$110)*parametros_manuales!$I$43*parametros_manuales!$J$43</f>
        <v>562.66303135705</v>
      </c>
      <c r="E26" s="9" t="n">
        <f aca="false">(parametros_manuales!$D$43*(datos_base!$B$2+datos_base!$B$18+IF(parametros_manuales!$H$43="Todos",datos_base!$B$9+datos_base!$B$23,0))*parametros_manuales!$E$95+parametros_manuales!$E$43*(datos_base!$B$3+datos_base!$B$19+IF(parametros_manuales!$H$43="Todos",datos_base!$B$10+datos_base!$B$24,0))*parametros_manuales!$E$100+parametros_manuales!$F$43*(datos_base!$B$4+datos_base!$B$20+IF(parametros_manuales!$H$43="Todos",datos_base!$B$11+datos_base!$B$25,0))*parametros_manuales!$E$105+parametros_manuales!$G$43*(datos_base!$B$5+datos_base!$B$21+IF(parametros_manuales!$H$43="Todos",datos_base!$B$12+datos_base!$B$26,0))*parametros_manuales!$E$110)*parametros_manuales!$I$43*parametros_manuales!$J$43</f>
        <v>541.76934864205</v>
      </c>
      <c r="F26" s="9" t="n">
        <f aca="false">(parametros_manuales!$D$43*(datos_base!$B$2+datos_base!$B$18+IF(parametros_manuales!$H$43="Todos",datos_base!$B$9+datos_base!$B$23,0))*parametros_manuales!$F$95+parametros_manuales!$E$43*(datos_base!$B$3+datos_base!$B$19+IF(parametros_manuales!$H$43="Todos",datos_base!$B$10+datos_base!$B$24,0))*parametros_manuales!$F$100+parametros_manuales!$F$43*(datos_base!$B$4+datos_base!$B$20+IF(parametros_manuales!$H$43="Todos",datos_base!$B$11+datos_base!$B$25,0))*parametros_manuales!$F$105+parametros_manuales!$G$43*(datos_base!$B$5+datos_base!$B$21+IF(parametros_manuales!$H$43="Todos",datos_base!$B$12+datos_base!$B$26,0))*parametros_manuales!$F$110)*parametros_manuales!$I$43*parametros_manuales!$J$43</f>
        <v>507.4424831084</v>
      </c>
      <c r="G26" s="9" t="n">
        <f aca="false">(parametros_manuales!$D$43*(datos_base!$B$2+datos_base!$B$18+IF(parametros_manuales!$H$43="Todos",datos_base!$B$9+datos_base!$B$23,0))*parametros_manuales!$G$95+parametros_manuales!$E$43*(datos_base!$B$3+datos_base!$B$19+IF(parametros_manuales!$H$43="Todos",datos_base!$B$10+datos_base!$B$24,0))*parametros_manuales!$G$100+parametros_manuales!$F$43*(datos_base!$B$4+datos_base!$B$20+IF(parametros_manuales!$H$43="Todos",datos_base!$B$11+datos_base!$B$25,0))*parametros_manuales!$G$105+parametros_manuales!$G$43*(datos_base!$B$5+datos_base!$B$21+IF(parametros_manuales!$H$43="Todos",datos_base!$B$12+datos_base!$B$26,0))*parametros_manuales!$G$110)*parametros_manuales!$I$43*parametros_manuales!$J$43</f>
        <v>494.00930028975</v>
      </c>
      <c r="H26" s="9" t="n">
        <f aca="false">(parametros_manuales!$D$43*(datos_base!$B$2+datos_base!$B$18+IF(parametros_manuales!$H$43="Todos",datos_base!$B$9+datos_base!$B$23,0))*parametros_manuales!$H$95+parametros_manuales!$E$43*(datos_base!$B$3+datos_base!$B$19+IF(parametros_manuales!$H$43="Todos",datos_base!$B$10+datos_base!$B$24,0))*parametros_manuales!$H$100+parametros_manuales!$F$43*(datos_base!$B$4+datos_base!$B$20+IF(parametros_manuales!$H$43="Todos",datos_base!$B$11+datos_base!$B$25,0))*parametros_manuales!$H$105+parametros_manuales!$G$43*(datos_base!$B$5+datos_base!$B$21+IF(parametros_manuales!$H$43="Todos",datos_base!$B$12+datos_base!$B$26,0))*parametros_manuales!$H$110)*parametros_manuales!$I$43*parametros_manuales!$J$43</f>
        <v>528.3361658234</v>
      </c>
      <c r="I26" s="9" t="n">
        <f aca="false">(parametros_manuales!$D$43*(datos_base!$B$2+datos_base!$B$18+IF(parametros_manuales!$H$43="Todos",datos_base!$B$9+datos_base!$B$23,0))*parametros_manuales!$I$95+parametros_manuales!$E$43*(datos_base!$B$3+datos_base!$B$19+IF(parametros_manuales!$H$43="Todos",datos_base!$B$10+datos_base!$B$24,0))*parametros_manuales!$I$100+parametros_manuales!$F$43*(datos_base!$B$4+datos_base!$B$20+IF(parametros_manuales!$H$43="Todos",datos_base!$B$11+datos_base!$B$25,0))*parametros_manuales!$I$105+parametros_manuales!$G$43*(datos_base!$B$5+datos_base!$B$21+IF(parametros_manuales!$H$43="Todos",datos_base!$B$12+datos_base!$B$26,0))*parametros_manuales!$I$110)*parametros_manuales!$I$43*parametros_manuales!$J$43</f>
        <v>591.0172139684</v>
      </c>
      <c r="J26" s="9" t="n">
        <f aca="false">(parametros_manuales!$D$43*(datos_base!$B$2+datos_base!$B$18+IF(parametros_manuales!$H$43="Todos",datos_base!$B$9+datos_base!$B$23,0))*parametros_manuales!$J$95+parametros_manuales!$E$43*(datos_base!$B$3+datos_base!$B$19+IF(parametros_manuales!$H$43="Todos",datos_base!$B$10+datos_base!$B$24,0))*parametros_manuales!$J$100+parametros_manuales!$F$43*(datos_base!$B$4+datos_base!$B$20+IF(parametros_manuales!$H$43="Todos",datos_base!$B$11+datos_base!$B$25,0))*parametros_manuales!$J$105+parametros_manuales!$G$43*(datos_base!$B$5+datos_base!$B$21+IF(parametros_manuales!$H$43="Todos",datos_base!$B$12+datos_base!$B$26,0))*parametros_manuales!$J$110)*parametros_manuales!$I$43*parametros_manuales!$J$43</f>
        <v>591.0172139684</v>
      </c>
      <c r="K26" s="9" t="n">
        <f aca="false">(parametros_manuales!$D$43*(datos_base!$B$2+datos_base!$B$18+IF(parametros_manuales!$H$43="Todos",datos_base!$B$9+datos_base!$B$23,0))*parametros_manuales!$K$95+parametros_manuales!$E$43*(datos_base!$B$3+datos_base!$B$19+IF(parametros_manuales!$H$43="Todos",datos_base!$B$10+datos_base!$B$24,0))*parametros_manuales!$K$100+parametros_manuales!$F$43*(datos_base!$B$4+datos_base!$B$20+IF(parametros_manuales!$H$43="Todos",datos_base!$B$11+datos_base!$B$25,0))*parametros_manuales!$K$105+parametros_manuales!$G$43*(datos_base!$B$5+datos_base!$B$21+IF(parametros_manuales!$H$43="Todos",datos_base!$B$12+datos_base!$B$26,0))*parametros_manuales!$K$110)*parametros_manuales!$I$43*parametros_manuales!$J$43</f>
        <v>604.45039678705</v>
      </c>
      <c r="L26" s="9" t="n">
        <f aca="false">(parametros_manuales!$D$43*(datos_base!$B$2+datos_base!$B$18+IF(parametros_manuales!$H$43="Todos",datos_base!$B$9+datos_base!$B$23,0))*parametros_manuales!$L$95+parametros_manuales!$E$43*(datos_base!$B$3+datos_base!$B$19+IF(parametros_manuales!$H$43="Todos",datos_base!$B$10+datos_base!$B$24,0))*parametros_manuales!$L$100+parametros_manuales!$F$43*(datos_base!$B$4+datos_base!$B$20+IF(parametros_manuales!$H$43="Todos",datos_base!$B$11+datos_base!$B$25,0))*parametros_manuales!$L$105+parametros_manuales!$G$43*(datos_base!$B$5+datos_base!$B$21+IF(parametros_manuales!$H$43="Todos",datos_base!$B$12+datos_base!$B$26,0))*parametros_manuales!$L$110)*parametros_manuales!$I$43*parametros_manuales!$J$43</f>
        <v>617.8835796057</v>
      </c>
      <c r="M26" s="9" t="n">
        <f aca="false">(parametros_manuales!$D$43*(datos_base!$B$2+datos_base!$B$18+IF(parametros_manuales!$H$43="Todos",datos_base!$B$9+datos_base!$B$23,0))*parametros_manuales!$M$95+parametros_manuales!$E$43*(datos_base!$B$3+datos_base!$B$19+IF(parametros_manuales!$H$43="Todos",datos_base!$B$10+datos_base!$B$24,0))*parametros_manuales!$M$100+parametros_manuales!$F$43*(datos_base!$B$4+datos_base!$B$20+IF(parametros_manuales!$H$43="Todos",datos_base!$B$11+datos_base!$B$25,0))*parametros_manuales!$M$105+parametros_manuales!$G$43*(datos_base!$B$5+datos_base!$B$21+IF(parametros_manuales!$H$43="Todos",datos_base!$B$12+datos_base!$B$26,0))*parametros_manuales!$M$110)*parametros_manuales!$I$43*parametros_manuales!$J$43</f>
        <v>617.8835796057</v>
      </c>
      <c r="N26" s="9" t="n">
        <f aca="false">SUM(B26:M26)</f>
        <v>6865.37310673</v>
      </c>
      <c r="O26" s="9" t="n">
        <f aca="false">MAX(B26:M26)</f>
        <v>617.8835796057</v>
      </c>
      <c r="P26" s="43" t="n">
        <f aca="false">O26/(parametros_manuales!$B$7)</f>
        <v>4.119223864038</v>
      </c>
      <c r="Q26" s="8" t="str">
        <f aca="false">IF(O26=0,"-",INDEX($B$1:$M$1,MATCH(O26,B26:M26,0)))</f>
        <v>Ene</v>
      </c>
    </row>
    <row r="27" customFormat="false" ht="14.25" hidden="false" customHeight="true" outlineLevel="0" collapsed="false"/>
    <row r="28" customFormat="false" ht="14.25" hidden="false" customHeight="true" outlineLevel="0" collapsed="false">
      <c r="A28" s="7" t="s">
        <v>191</v>
      </c>
      <c r="B28" s="7" t="s">
        <v>61</v>
      </c>
      <c r="C28" s="7" t="s">
        <v>62</v>
      </c>
      <c r="D28" s="7" t="s">
        <v>63</v>
      </c>
      <c r="E28" s="7" t="s">
        <v>64</v>
      </c>
      <c r="F28" s="7" t="s">
        <v>65</v>
      </c>
      <c r="G28" s="7" t="s">
        <v>66</v>
      </c>
      <c r="H28" s="7" t="s">
        <v>67</v>
      </c>
      <c r="I28" s="7" t="s">
        <v>68</v>
      </c>
      <c r="J28" s="7" t="s">
        <v>69</v>
      </c>
      <c r="K28" s="7" t="s">
        <v>70</v>
      </c>
      <c r="L28" s="7" t="s">
        <v>71</v>
      </c>
      <c r="M28" s="7" t="s">
        <v>72</v>
      </c>
      <c r="N28" s="7" t="s">
        <v>183</v>
      </c>
      <c r="O28" s="7" t="s">
        <v>188</v>
      </c>
      <c r="P28" s="7" t="s">
        <v>189</v>
      </c>
      <c r="Q28" s="7" t="s">
        <v>190</v>
      </c>
    </row>
    <row r="29" customFormat="false" ht="14.25" hidden="false" customHeight="true" outlineLevel="0" collapsed="false">
      <c r="A29" s="8" t="str">
        <f aca="false">parametros_manuales!$B$19</f>
        <v>Recepción de materia prima</v>
      </c>
      <c r="B29" s="9" t="n">
        <f aca="false">(parametros_manuales!$D$19*(datos_base!$C$2+datos_base!$C$18+IF(parametros_manuales!$H$19="Todos",datos_base!$C$9+datos_base!$C$23,0))*parametros_manuales!$B$95+parametros_manuales!$E$19*(datos_base!$C$3+datos_base!$C$19+IF(parametros_manuales!$H$19="Todos",datos_base!$C$10+datos_base!$C$24,0))*parametros_manuales!$B$100+parametros_manuales!$F$19*(datos_base!$C$4+datos_base!$C$20+IF(parametros_manuales!$H$19="Todos",datos_base!$C$11+datos_base!$C$25,0))*parametros_manuales!$B$105+parametros_manuales!$G$19*(datos_base!$C$5+datos_base!$C$21+IF(parametros_manuales!$H$19="Todos",datos_base!$C$12+datos_base!$C$26,0))*parametros_manuales!$B$110)*parametros_manuales!$I$19*parametros_manuales!$J$19</f>
        <v>977.37998445</v>
      </c>
      <c r="C29" s="9" t="n">
        <f aca="false">(parametros_manuales!$D$19*(datos_base!$C$2+datos_base!$C$18+IF(parametros_manuales!$H$19="Todos",datos_base!$C$9+datos_base!$C$23,0))*parametros_manuales!$C$95+parametros_manuales!$E$19*(datos_base!$C$3+datos_base!$C$19+IF(parametros_manuales!$H$19="Todos",datos_base!$C$10+datos_base!$C$24,0))*parametros_manuales!$C$100+parametros_manuales!$F$19*(datos_base!$C$4+datos_base!$C$20+IF(parametros_manuales!$H$19="Todos",datos_base!$C$11+datos_base!$C$25,0))*parametros_manuales!$C$105+parametros_manuales!$G$19*(datos_base!$C$5+datos_base!$C$21+IF(parametros_manuales!$H$19="Todos",datos_base!$C$12+datos_base!$C$26,0))*parametros_manuales!$C$110)*parametros_manuales!$I$19*parametros_manuales!$J$19</f>
        <v>928.75524817</v>
      </c>
      <c r="D29" s="9" t="n">
        <f aca="false">(parametros_manuales!$D$19*(datos_base!$C$2+datos_base!$C$18+IF(parametros_manuales!$H$19="Todos",datos_base!$C$9+datos_base!$C$23,0))*parametros_manuales!$D$95+parametros_manuales!$E$19*(datos_base!$C$3+datos_base!$C$19+IF(parametros_manuales!$H$19="Todos",datos_base!$C$10+datos_base!$C$24,0))*parametros_manuales!$D$100+parametros_manuales!$F$19*(datos_base!$C$4+datos_base!$C$20+IF(parametros_manuales!$H$19="Todos",datos_base!$C$11+datos_base!$C$25,0))*parametros_manuales!$D$105+parametros_manuales!$G$19*(datos_base!$C$5+datos_base!$C$21+IF(parametros_manuales!$H$19="Todos",datos_base!$C$12+datos_base!$C$26,0))*parametros_manuales!$D$110)*parametros_manuales!$I$19*parametros_manuales!$J$19</f>
        <v>893.09457654</v>
      </c>
      <c r="E29" s="9" t="n">
        <f aca="false">(parametros_manuales!$D$19*(datos_base!$C$2+datos_base!$C$18+IF(parametros_manuales!$H$19="Todos",datos_base!$C$9+datos_base!$C$23,0))*parametros_manuales!$E$95+parametros_manuales!$E$19*(datos_base!$C$3+datos_base!$C$19+IF(parametros_manuales!$H$19="Todos",datos_base!$C$10+datos_base!$C$24,0))*parametros_manuales!$E$100+parametros_manuales!$F$19*(datos_base!$C$4+datos_base!$C$20+IF(parametros_manuales!$H$19="Todos",datos_base!$C$11+datos_base!$C$25,0))*parametros_manuales!$E$105+parametros_manuales!$G$19*(datos_base!$C$5+datos_base!$C$21+IF(parametros_manuales!$H$19="Todos",datos_base!$C$12+datos_base!$C$26,0))*parametros_manuales!$E$110)*parametros_manuales!$I$19*parametros_manuales!$J$19</f>
        <v>863.108056655</v>
      </c>
      <c r="F29" s="9" t="n">
        <f aca="false">(parametros_manuales!$D$19*(datos_base!$C$2+datos_base!$C$18+IF(parametros_manuales!$H$19="Todos",datos_base!$C$9+datos_base!$C$23,0))*parametros_manuales!$F$95+parametros_manuales!$E$19*(datos_base!$C$3+datos_base!$C$19+IF(parametros_manuales!$H$19="Todos",datos_base!$C$10+datos_base!$C$24,0))*parametros_manuales!$F$100+parametros_manuales!$F$19*(datos_base!$C$4+datos_base!$C$20+IF(parametros_manuales!$H$19="Todos",datos_base!$C$11+datos_base!$C$25,0))*parametros_manuales!$F$105+parametros_manuales!$G$19*(datos_base!$C$5+datos_base!$C$21+IF(parametros_manuales!$H$19="Todos",datos_base!$C$12+datos_base!$C$26,0))*parametros_manuales!$F$110)*parametros_manuales!$I$19*parametros_manuales!$J$19</f>
        <v>808.80916863</v>
      </c>
      <c r="G29" s="9" t="n">
        <f aca="false">(parametros_manuales!$D$19*(datos_base!$C$2+datos_base!$C$18+IF(parametros_manuales!$H$19="Todos",datos_base!$C$9+datos_base!$C$23,0))*parametros_manuales!$G$95+parametros_manuales!$E$19*(datos_base!$C$3+datos_base!$C$19+IF(parametros_manuales!$H$19="Todos",datos_base!$C$10+datos_base!$C$24,0))*parametros_manuales!$G$100+parametros_manuales!$F$19*(datos_base!$C$4+datos_base!$C$20+IF(parametros_manuales!$H$19="Todos",datos_base!$C$11+datos_base!$C$25,0))*parametros_manuales!$G$105+parametros_manuales!$G$19*(datos_base!$C$5+datos_base!$C$21+IF(parametros_manuales!$H$19="Todos",datos_base!$C$12+datos_base!$C$26,0))*parametros_manuales!$G$110)*parametros_manuales!$I$19*parametros_manuales!$J$19</f>
        <v>784.49680049</v>
      </c>
      <c r="H29" s="9" t="n">
        <f aca="false">(parametros_manuales!$D$19*(datos_base!$C$2+datos_base!$C$18+IF(parametros_manuales!$H$19="Todos",datos_base!$C$9+datos_base!$C$23,0))*parametros_manuales!$H$95+parametros_manuales!$E$19*(datos_base!$C$3+datos_base!$C$19+IF(parametros_manuales!$H$19="Todos",datos_base!$C$10+datos_base!$C$24,0))*parametros_manuales!$H$100+parametros_manuales!$F$19*(datos_base!$C$4+datos_base!$C$20+IF(parametros_manuales!$H$19="Todos",datos_base!$C$11+datos_base!$C$25,0))*parametros_manuales!$H$105+parametros_manuales!$G$19*(datos_base!$C$5+datos_base!$C$21+IF(parametros_manuales!$H$19="Todos",datos_base!$C$12+datos_base!$C$26,0))*parametros_manuales!$H$110)*parametros_manuales!$I$19*parametros_manuales!$J$19</f>
        <v>838.795688515</v>
      </c>
      <c r="I29" s="9" t="n">
        <f aca="false">(parametros_manuales!$D$19*(datos_base!$C$2+datos_base!$C$18+IF(parametros_manuales!$H$19="Todos",datos_base!$C$9+datos_base!$C$23,0))*parametros_manuales!$I$95+parametros_manuales!$E$19*(datos_base!$C$3+datos_base!$C$19+IF(parametros_manuales!$H$19="Todos",datos_base!$C$10+datos_base!$C$24,0))*parametros_manuales!$I$100+parametros_manuales!$F$19*(datos_base!$C$4+datos_base!$C$20+IF(parametros_manuales!$H$19="Todos",datos_base!$C$11+datos_base!$C$25,0))*parametros_manuales!$I$105+parametros_manuales!$G$19*(datos_base!$C$5+datos_base!$C$21+IF(parametros_manuales!$H$19="Todos",datos_base!$C$12+datos_base!$C$26,0))*parametros_manuales!$I$110)*parametros_manuales!$I$19*parametros_manuales!$J$19</f>
        <v>928.75524817</v>
      </c>
      <c r="J29" s="9" t="n">
        <f aca="false">(parametros_manuales!$D$19*(datos_base!$C$2+datos_base!$C$18+IF(parametros_manuales!$H$19="Todos",datos_base!$C$9+datos_base!$C$23,0))*parametros_manuales!$J$95+parametros_manuales!$E$19*(datos_base!$C$3+datos_base!$C$19+IF(parametros_manuales!$H$19="Todos",datos_base!$C$10+datos_base!$C$24,0))*parametros_manuales!$J$100+parametros_manuales!$F$19*(datos_base!$C$4+datos_base!$C$20+IF(parametros_manuales!$H$19="Todos",datos_base!$C$11+datos_base!$C$25,0))*parametros_manuales!$J$105+parametros_manuales!$G$19*(datos_base!$C$5+datos_base!$C$21+IF(parametros_manuales!$H$19="Todos",datos_base!$C$12+datos_base!$C$26,0))*parametros_manuales!$J$110)*parametros_manuales!$I$19*parametros_manuales!$J$19</f>
        <v>928.75524817</v>
      </c>
      <c r="K29" s="9" t="n">
        <f aca="false">(parametros_manuales!$D$19*(datos_base!$C$2+datos_base!$C$18+IF(parametros_manuales!$H$19="Todos",datos_base!$C$9+datos_base!$C$23,0))*parametros_manuales!$K$95+parametros_manuales!$E$19*(datos_base!$C$3+datos_base!$C$19+IF(parametros_manuales!$H$19="Todos",datos_base!$C$10+datos_base!$C$24,0))*parametros_manuales!$K$100+parametros_manuales!$F$19*(datos_base!$C$4+datos_base!$C$20+IF(parametros_manuales!$H$19="Todos",datos_base!$C$11+datos_base!$C$25,0))*parametros_manuales!$K$105+parametros_manuales!$G$19*(datos_base!$C$5+datos_base!$C$21+IF(parametros_manuales!$H$19="Todos",datos_base!$C$12+datos_base!$C$26,0))*parametros_manuales!$K$110)*parametros_manuales!$I$19*parametros_manuales!$J$19</f>
        <v>953.06761631</v>
      </c>
      <c r="L29" s="9" t="n">
        <f aca="false">(parametros_manuales!$D$19*(datos_base!$C$2+datos_base!$C$18+IF(parametros_manuales!$H$19="Todos",datos_base!$C$9+datos_base!$C$23,0))*parametros_manuales!$L$95+parametros_manuales!$E$19*(datos_base!$C$3+datos_base!$C$19+IF(parametros_manuales!$H$19="Todos",datos_base!$C$10+datos_base!$C$24,0))*parametros_manuales!$L$100+parametros_manuales!$F$19*(datos_base!$C$4+datos_base!$C$20+IF(parametros_manuales!$H$19="Todos",datos_base!$C$11+datos_base!$C$25,0))*parametros_manuales!$L$105+parametros_manuales!$G$19*(datos_base!$C$5+datos_base!$C$21+IF(parametros_manuales!$H$19="Todos",datos_base!$C$12+datos_base!$C$26,0))*parametros_manuales!$L$110)*parametros_manuales!$I$19*parametros_manuales!$J$19</f>
        <v>977.37998445</v>
      </c>
      <c r="M29" s="9" t="n">
        <f aca="false">(parametros_manuales!$D$19*(datos_base!$C$2+datos_base!$C$18+IF(parametros_manuales!$H$19="Todos",datos_base!$C$9+datos_base!$C$23,0))*parametros_manuales!$M$95+parametros_manuales!$E$19*(datos_base!$C$3+datos_base!$C$19+IF(parametros_manuales!$H$19="Todos",datos_base!$C$10+datos_base!$C$24,0))*parametros_manuales!$M$100+parametros_manuales!$F$19*(datos_base!$C$4+datos_base!$C$20+IF(parametros_manuales!$H$19="Todos",datos_base!$C$11+datos_base!$C$25,0))*parametros_manuales!$M$105+parametros_manuales!$G$19*(datos_base!$C$5+datos_base!$C$21+IF(parametros_manuales!$H$19="Todos",datos_base!$C$12+datos_base!$C$26,0))*parametros_manuales!$M$110)*parametros_manuales!$I$19*parametros_manuales!$J$19</f>
        <v>977.37998445</v>
      </c>
      <c r="N29" s="9" t="n">
        <f aca="false">SUM(B29:M29)</f>
        <v>10859.777605</v>
      </c>
      <c r="O29" s="9" t="n">
        <f aca="false">MAX(B29:M29)</f>
        <v>977.37998445</v>
      </c>
      <c r="P29" s="43" t="n">
        <f aca="false">O29/(parametros_manuales!$B$7)</f>
        <v>6.515866563</v>
      </c>
      <c r="Q29" s="8" t="str">
        <f aca="false">IF(O29=0,"-",INDEX($B$28:$M$28,MATCH(O29,B29:M29,0)))</f>
        <v>Ene</v>
      </c>
    </row>
    <row r="30" customFormat="false" ht="14.25" hidden="false" customHeight="true" outlineLevel="0" collapsed="false">
      <c r="A30" s="8" t="str">
        <f aca="false">parametros_manuales!$B$20</f>
        <v>Corte de chapa (guillotina) — 2,5 a 10 kg</v>
      </c>
      <c r="B30" s="9" t="n">
        <f aca="false">(parametros_manuales!$D$20*(datos_base!$C$2+datos_base!$C$18+IF(parametros_manuales!$H$20="Todos",datos_base!$C$9+datos_base!$C$23,0))*parametros_manuales!$B$95+parametros_manuales!$E$20*(datos_base!$C$3+datos_base!$C$19+IF(parametros_manuales!$H$20="Todos",datos_base!$C$10+datos_base!$C$24,0))*parametros_manuales!$B$100+parametros_manuales!$F$20*(datos_base!$C$4+datos_base!$C$20+IF(parametros_manuales!$H$20="Todos",datos_base!$C$11+datos_base!$C$25,0))*parametros_manuales!$B$105+parametros_manuales!$G$20*(datos_base!$C$5+datos_base!$C$21+IF(parametros_manuales!$H$20="Todos",datos_base!$C$12+datos_base!$C$26,0))*parametros_manuales!$B$110)*parametros_manuales!$I$20*parametros_manuales!$J$20</f>
        <v>437.62262652</v>
      </c>
      <c r="C30" s="9" t="n">
        <f aca="false">(parametros_manuales!$D$20*(datos_base!$C$2+datos_base!$C$18+IF(parametros_manuales!$H$20="Todos",datos_base!$C$9+datos_base!$C$23,0))*parametros_manuales!$C$95+parametros_manuales!$E$20*(datos_base!$C$3+datos_base!$C$19+IF(parametros_manuales!$H$20="Todos",datos_base!$C$10+datos_base!$C$24,0))*parametros_manuales!$C$100+parametros_manuales!$F$20*(datos_base!$C$4+datos_base!$C$20+IF(parametros_manuales!$H$20="Todos",datos_base!$C$11+datos_base!$C$25,0))*parametros_manuales!$C$105+parametros_manuales!$G$20*(datos_base!$C$5+datos_base!$C$21+IF(parametros_manuales!$H$20="Todos",datos_base!$C$12+datos_base!$C$26,0))*parametros_manuales!$C$110)*parametros_manuales!$I$20*parametros_manuales!$J$20</f>
        <v>388.99789024</v>
      </c>
      <c r="D30" s="9" t="n">
        <f aca="false">(parametros_manuales!$D$20*(datos_base!$C$2+datos_base!$C$18+IF(parametros_manuales!$H$20="Todos",datos_base!$C$9+datos_base!$C$23,0))*parametros_manuales!$D$95+parametros_manuales!$E$20*(datos_base!$C$3+datos_base!$C$19+IF(parametros_manuales!$H$20="Todos",datos_base!$C$10+datos_base!$C$24,0))*parametros_manuales!$D$100+parametros_manuales!$F$20*(datos_base!$C$4+datos_base!$C$20+IF(parametros_manuales!$H$20="Todos",datos_base!$C$11+datos_base!$C$25,0))*parametros_manuales!$D$105+parametros_manuales!$G$20*(datos_base!$C$5+datos_base!$C$21+IF(parametros_manuales!$H$20="Todos",datos_base!$C$12+datos_base!$C$26,0))*parametros_manuales!$D$110)*parametros_manuales!$I$20*parametros_manuales!$J$20</f>
        <v>413.31025838</v>
      </c>
      <c r="E30" s="9" t="n">
        <f aca="false">(parametros_manuales!$D$20*(datos_base!$C$2+datos_base!$C$18+IF(parametros_manuales!$H$20="Todos",datos_base!$C$9+datos_base!$C$23,0))*parametros_manuales!$E$95+parametros_manuales!$E$20*(datos_base!$C$3+datos_base!$C$19+IF(parametros_manuales!$H$20="Todos",datos_base!$C$10+datos_base!$C$24,0))*parametros_manuales!$E$100+parametros_manuales!$F$20*(datos_base!$C$4+datos_base!$C$20+IF(parametros_manuales!$H$20="Todos",datos_base!$C$11+datos_base!$C$25,0))*parametros_manuales!$E$105+parametros_manuales!$G$20*(datos_base!$C$5+datos_base!$C$21+IF(parametros_manuales!$H$20="Todos",datos_base!$C$12+datos_base!$C$26,0))*parametros_manuales!$E$110)*parametros_manuales!$I$20*parametros_manuales!$J$20</f>
        <v>413.31025838</v>
      </c>
      <c r="F30" s="9" t="n">
        <f aca="false">(parametros_manuales!$D$20*(datos_base!$C$2+datos_base!$C$18+IF(parametros_manuales!$H$20="Todos",datos_base!$C$9+datos_base!$C$23,0))*parametros_manuales!$F$95+parametros_manuales!$E$20*(datos_base!$C$3+datos_base!$C$19+IF(parametros_manuales!$H$20="Todos",datos_base!$C$10+datos_base!$C$24,0))*parametros_manuales!$F$100+parametros_manuales!$F$20*(datos_base!$C$4+datos_base!$C$20+IF(parametros_manuales!$H$20="Todos",datos_base!$C$11+datos_base!$C$25,0))*parametros_manuales!$F$105+parametros_manuales!$G$20*(datos_base!$C$5+datos_base!$C$21+IF(parametros_manuales!$H$20="Todos",datos_base!$C$12+datos_base!$C$26,0))*parametros_manuales!$F$110)*parametros_manuales!$I$20*parametros_manuales!$J$20</f>
        <v>388.99789024</v>
      </c>
      <c r="G30" s="9" t="n">
        <f aca="false">(parametros_manuales!$D$20*(datos_base!$C$2+datos_base!$C$18+IF(parametros_manuales!$H$20="Todos",datos_base!$C$9+datos_base!$C$23,0))*parametros_manuales!$G$95+parametros_manuales!$E$20*(datos_base!$C$3+datos_base!$C$19+IF(parametros_manuales!$H$20="Todos",datos_base!$C$10+datos_base!$C$24,0))*parametros_manuales!$G$100+parametros_manuales!$F$20*(datos_base!$C$4+datos_base!$C$20+IF(parametros_manuales!$H$20="Todos",datos_base!$C$11+datos_base!$C$25,0))*parametros_manuales!$G$105+parametros_manuales!$G$20*(datos_base!$C$5+datos_base!$C$21+IF(parametros_manuales!$H$20="Todos",datos_base!$C$12+datos_base!$C$26,0))*parametros_manuales!$G$110)*parametros_manuales!$I$20*parametros_manuales!$J$20</f>
        <v>364.6855221</v>
      </c>
      <c r="H30" s="9" t="n">
        <f aca="false">(parametros_manuales!$D$20*(datos_base!$C$2+datos_base!$C$18+IF(parametros_manuales!$H$20="Todos",datos_base!$C$9+datos_base!$C$23,0))*parametros_manuales!$H$95+parametros_manuales!$E$20*(datos_base!$C$3+datos_base!$C$19+IF(parametros_manuales!$H$20="Todos",datos_base!$C$10+datos_base!$C$24,0))*parametros_manuales!$H$100+parametros_manuales!$F$20*(datos_base!$C$4+datos_base!$C$20+IF(parametros_manuales!$H$20="Todos",datos_base!$C$11+datos_base!$C$25,0))*parametros_manuales!$H$105+parametros_manuales!$G$20*(datos_base!$C$5+datos_base!$C$21+IF(parametros_manuales!$H$20="Todos",datos_base!$C$12+datos_base!$C$26,0))*parametros_manuales!$H$110)*parametros_manuales!$I$20*parametros_manuales!$J$20</f>
        <v>388.99789024</v>
      </c>
      <c r="I30" s="9" t="n">
        <f aca="false">(parametros_manuales!$D$20*(datos_base!$C$2+datos_base!$C$18+IF(parametros_manuales!$H$20="Todos",datos_base!$C$9+datos_base!$C$23,0))*parametros_manuales!$I$95+parametros_manuales!$E$20*(datos_base!$C$3+datos_base!$C$19+IF(parametros_manuales!$H$20="Todos",datos_base!$C$10+datos_base!$C$24,0))*parametros_manuales!$I$100+parametros_manuales!$F$20*(datos_base!$C$4+datos_base!$C$20+IF(parametros_manuales!$H$20="Todos",datos_base!$C$11+datos_base!$C$25,0))*parametros_manuales!$I$105+parametros_manuales!$G$20*(datos_base!$C$5+datos_base!$C$21+IF(parametros_manuales!$H$20="Todos",datos_base!$C$12+datos_base!$C$26,0))*parametros_manuales!$I$110)*parametros_manuales!$I$20*parametros_manuales!$J$20</f>
        <v>388.99789024</v>
      </c>
      <c r="J30" s="9" t="n">
        <f aca="false">(parametros_manuales!$D$20*(datos_base!$C$2+datos_base!$C$18+IF(parametros_manuales!$H$20="Todos",datos_base!$C$9+datos_base!$C$23,0))*parametros_manuales!$J$95+parametros_manuales!$E$20*(datos_base!$C$3+datos_base!$C$19+IF(parametros_manuales!$H$20="Todos",datos_base!$C$10+datos_base!$C$24,0))*parametros_manuales!$J$100+parametros_manuales!$F$20*(datos_base!$C$4+datos_base!$C$20+IF(parametros_manuales!$H$20="Todos",datos_base!$C$11+datos_base!$C$25,0))*parametros_manuales!$J$105+parametros_manuales!$G$20*(datos_base!$C$5+datos_base!$C$21+IF(parametros_manuales!$H$20="Todos",datos_base!$C$12+datos_base!$C$26,0))*parametros_manuales!$J$110)*parametros_manuales!$I$20*parametros_manuales!$J$20</f>
        <v>388.99789024</v>
      </c>
      <c r="K30" s="9" t="n">
        <f aca="false">(parametros_manuales!$D$20*(datos_base!$C$2+datos_base!$C$18+IF(parametros_manuales!$H$20="Todos",datos_base!$C$9+datos_base!$C$23,0))*parametros_manuales!$K$95+parametros_manuales!$E$20*(datos_base!$C$3+datos_base!$C$19+IF(parametros_manuales!$H$20="Todos",datos_base!$C$10+datos_base!$C$24,0))*parametros_manuales!$K$100+parametros_manuales!$F$20*(datos_base!$C$4+datos_base!$C$20+IF(parametros_manuales!$H$20="Todos",datos_base!$C$11+datos_base!$C$25,0))*parametros_manuales!$K$105+parametros_manuales!$G$20*(datos_base!$C$5+datos_base!$C$21+IF(parametros_manuales!$H$20="Todos",datos_base!$C$12+datos_base!$C$26,0))*parametros_manuales!$K$110)*parametros_manuales!$I$20*parametros_manuales!$J$20</f>
        <v>413.31025838</v>
      </c>
      <c r="L30" s="9" t="n">
        <f aca="false">(parametros_manuales!$D$20*(datos_base!$C$2+datos_base!$C$18+IF(parametros_manuales!$H$20="Todos",datos_base!$C$9+datos_base!$C$23,0))*parametros_manuales!$L$95+parametros_manuales!$E$20*(datos_base!$C$3+datos_base!$C$19+IF(parametros_manuales!$H$20="Todos",datos_base!$C$10+datos_base!$C$24,0))*parametros_manuales!$L$100+parametros_manuales!$F$20*(datos_base!$C$4+datos_base!$C$20+IF(parametros_manuales!$H$20="Todos",datos_base!$C$11+datos_base!$C$25,0))*parametros_manuales!$L$105+parametros_manuales!$G$20*(datos_base!$C$5+datos_base!$C$21+IF(parametros_manuales!$H$20="Todos",datos_base!$C$12+datos_base!$C$26,0))*parametros_manuales!$L$110)*parametros_manuales!$I$20*parametros_manuales!$J$20</f>
        <v>437.62262652</v>
      </c>
      <c r="M30" s="9" t="n">
        <f aca="false">(parametros_manuales!$D$20*(datos_base!$C$2+datos_base!$C$18+IF(parametros_manuales!$H$20="Todos",datos_base!$C$9+datos_base!$C$23,0))*parametros_manuales!$M$95+parametros_manuales!$E$20*(datos_base!$C$3+datos_base!$C$19+IF(parametros_manuales!$H$20="Todos",datos_base!$C$10+datos_base!$C$24,0))*parametros_manuales!$M$100+parametros_manuales!$F$20*(datos_base!$C$4+datos_base!$C$20+IF(parametros_manuales!$H$20="Todos",datos_base!$C$11+datos_base!$C$25,0))*parametros_manuales!$M$105+parametros_manuales!$G$20*(datos_base!$C$5+datos_base!$C$21+IF(parametros_manuales!$H$20="Todos",datos_base!$C$12+datos_base!$C$26,0))*parametros_manuales!$M$110)*parametros_manuales!$I$20*parametros_manuales!$J$20</f>
        <v>437.62262652</v>
      </c>
      <c r="N30" s="9" t="n">
        <f aca="false">SUM(B30:M30)</f>
        <v>4862.473628</v>
      </c>
      <c r="O30" s="9" t="n">
        <f aca="false">MAX(B30:M30)</f>
        <v>437.62262652</v>
      </c>
      <c r="P30" s="43" t="n">
        <f aca="false">O30/(parametros_manuales!$B$7)</f>
        <v>2.9174841768</v>
      </c>
      <c r="Q30" s="8" t="str">
        <f aca="false">IF(O30=0,"-",INDEX($B$28:$M$28,MATCH(O30,B30:M30,0)))</f>
        <v>Ene</v>
      </c>
    </row>
    <row r="31" customFormat="false" ht="14.25" hidden="false" customHeight="true" outlineLevel="0" collapsed="false">
      <c r="A31" s="8" t="str">
        <f aca="false">parametros_manuales!$B$21</f>
        <v>Corte de tubo — 1 kg</v>
      </c>
      <c r="B31" s="9" t="n">
        <f aca="false">(parametros_manuales!$D$21*(datos_base!$C$2+datos_base!$C$18+IF(parametros_manuales!$H$21="Todos",datos_base!$C$9+datos_base!$C$23,0))*parametros_manuales!$B$95+parametros_manuales!$E$21*(datos_base!$C$3+datos_base!$C$19+IF(parametros_manuales!$H$21="Todos",datos_base!$C$10+datos_base!$C$24,0))*parametros_manuales!$B$100+parametros_manuales!$F$21*(datos_base!$C$4+datos_base!$C$20+IF(parametros_manuales!$H$21="Todos",datos_base!$C$11+datos_base!$C$25,0))*parametros_manuales!$B$105+parametros_manuales!$G$21*(datos_base!$C$5+datos_base!$C$21+IF(parametros_manuales!$H$21="Todos",datos_base!$C$12+datos_base!$C$26,0))*parametros_manuales!$B$110)*parametros_manuales!$I$21*parametros_manuales!$J$21</f>
        <v>539.75735793</v>
      </c>
      <c r="C31" s="9" t="n">
        <f aca="false">(parametros_manuales!$D$21*(datos_base!$C$2+datos_base!$C$18+IF(parametros_manuales!$H$21="Todos",datos_base!$C$9+datos_base!$C$23,0))*parametros_manuales!$C$95+parametros_manuales!$E$21*(datos_base!$C$3+datos_base!$C$19+IF(parametros_manuales!$H$21="Todos",datos_base!$C$10+datos_base!$C$24,0))*parametros_manuales!$C$100+parametros_manuales!$F$21*(datos_base!$C$4+datos_base!$C$20+IF(parametros_manuales!$H$21="Todos",datos_base!$C$11+datos_base!$C$25,0))*parametros_manuales!$C$105+parametros_manuales!$G$21*(datos_base!$C$5+datos_base!$C$21+IF(parametros_manuales!$H$21="Todos",datos_base!$C$12+datos_base!$C$26,0))*parametros_manuales!$C$110)*parametros_manuales!$I$21*parametros_manuales!$J$21</f>
        <v>539.75735793</v>
      </c>
      <c r="D31" s="9" t="n">
        <f aca="false">(parametros_manuales!$D$21*(datos_base!$C$2+datos_base!$C$18+IF(parametros_manuales!$H$21="Todos",datos_base!$C$9+datos_base!$C$23,0))*parametros_manuales!$D$95+parametros_manuales!$E$21*(datos_base!$C$3+datos_base!$C$19+IF(parametros_manuales!$H$21="Todos",datos_base!$C$10+datos_base!$C$24,0))*parametros_manuales!$D$100+parametros_manuales!$F$21*(datos_base!$C$4+datos_base!$C$20+IF(parametros_manuales!$H$21="Todos",datos_base!$C$11+datos_base!$C$25,0))*parametros_manuales!$D$105+parametros_manuales!$G$21*(datos_base!$C$5+datos_base!$C$21+IF(parametros_manuales!$H$21="Todos",datos_base!$C$12+datos_base!$C$26,0))*parametros_manuales!$D$110)*parametros_manuales!$I$21*parametros_manuales!$J$21</f>
        <v>479.78431816</v>
      </c>
      <c r="E31" s="9" t="n">
        <f aca="false">(parametros_manuales!$D$21*(datos_base!$C$2+datos_base!$C$18+IF(parametros_manuales!$H$21="Todos",datos_base!$C$9+datos_base!$C$23,0))*parametros_manuales!$E$95+parametros_manuales!$E$21*(datos_base!$C$3+datos_base!$C$19+IF(parametros_manuales!$H$21="Todos",datos_base!$C$10+datos_base!$C$24,0))*parametros_manuales!$E$100+parametros_manuales!$F$21*(datos_base!$C$4+datos_base!$C$20+IF(parametros_manuales!$H$21="Todos",datos_base!$C$11+datos_base!$C$25,0))*parametros_manuales!$E$105+parametros_manuales!$G$21*(datos_base!$C$5+datos_base!$C$21+IF(parametros_manuales!$H$21="Todos",datos_base!$C$12+datos_base!$C$26,0))*parametros_manuales!$E$110)*parametros_manuales!$I$21*parametros_manuales!$J$21</f>
        <v>449.797798275</v>
      </c>
      <c r="F31" s="9" t="n">
        <f aca="false">(parametros_manuales!$D$21*(datos_base!$C$2+datos_base!$C$18+IF(parametros_manuales!$H$21="Todos",datos_base!$C$9+datos_base!$C$23,0))*parametros_manuales!$F$95+parametros_manuales!$E$21*(datos_base!$C$3+datos_base!$C$19+IF(parametros_manuales!$H$21="Todos",datos_base!$C$10+datos_base!$C$24,0))*parametros_manuales!$F$100+parametros_manuales!$F$21*(datos_base!$C$4+datos_base!$C$20+IF(parametros_manuales!$H$21="Todos",datos_base!$C$11+datos_base!$C$25,0))*parametros_manuales!$F$105+parametros_manuales!$G$21*(datos_base!$C$5+datos_base!$C$21+IF(parametros_manuales!$H$21="Todos",datos_base!$C$12+datos_base!$C$26,0))*parametros_manuales!$F$110)*parametros_manuales!$I$21*parametros_manuales!$J$21</f>
        <v>419.81127839</v>
      </c>
      <c r="G31" s="9" t="n">
        <f aca="false">(parametros_manuales!$D$21*(datos_base!$C$2+datos_base!$C$18+IF(parametros_manuales!$H$21="Todos",datos_base!$C$9+datos_base!$C$23,0))*parametros_manuales!$G$95+parametros_manuales!$E$21*(datos_base!$C$3+datos_base!$C$19+IF(parametros_manuales!$H$21="Todos",datos_base!$C$10+datos_base!$C$24,0))*parametros_manuales!$G$100+parametros_manuales!$F$21*(datos_base!$C$4+datos_base!$C$20+IF(parametros_manuales!$H$21="Todos",datos_base!$C$11+datos_base!$C$25,0))*parametros_manuales!$G$105+parametros_manuales!$G$21*(datos_base!$C$5+datos_base!$C$21+IF(parametros_manuales!$H$21="Todos",datos_base!$C$12+datos_base!$C$26,0))*parametros_manuales!$G$110)*parametros_manuales!$I$21*parametros_manuales!$J$21</f>
        <v>419.81127839</v>
      </c>
      <c r="H31" s="9" t="n">
        <f aca="false">(parametros_manuales!$D$21*(datos_base!$C$2+datos_base!$C$18+IF(parametros_manuales!$H$21="Todos",datos_base!$C$9+datos_base!$C$23,0))*parametros_manuales!$H$95+parametros_manuales!$E$21*(datos_base!$C$3+datos_base!$C$19+IF(parametros_manuales!$H$21="Todos",datos_base!$C$10+datos_base!$C$24,0))*parametros_manuales!$H$100+parametros_manuales!$F$21*(datos_base!$C$4+datos_base!$C$20+IF(parametros_manuales!$H$21="Todos",datos_base!$C$11+datos_base!$C$25,0))*parametros_manuales!$H$105+parametros_manuales!$G$21*(datos_base!$C$5+datos_base!$C$21+IF(parametros_manuales!$H$21="Todos",datos_base!$C$12+datos_base!$C$26,0))*parametros_manuales!$H$110)*parametros_manuales!$I$21*parametros_manuales!$J$21</f>
        <v>449.797798275</v>
      </c>
      <c r="I31" s="9" t="n">
        <f aca="false">(parametros_manuales!$D$21*(datos_base!$C$2+datos_base!$C$18+IF(parametros_manuales!$H$21="Todos",datos_base!$C$9+datos_base!$C$23,0))*parametros_manuales!$I$95+parametros_manuales!$E$21*(datos_base!$C$3+datos_base!$C$19+IF(parametros_manuales!$H$21="Todos",datos_base!$C$10+datos_base!$C$24,0))*parametros_manuales!$I$100+parametros_manuales!$F$21*(datos_base!$C$4+datos_base!$C$20+IF(parametros_manuales!$H$21="Todos",datos_base!$C$11+datos_base!$C$25,0))*parametros_manuales!$I$105+parametros_manuales!$G$21*(datos_base!$C$5+datos_base!$C$21+IF(parametros_manuales!$H$21="Todos",datos_base!$C$12+datos_base!$C$26,0))*parametros_manuales!$I$110)*parametros_manuales!$I$21*parametros_manuales!$J$21</f>
        <v>539.75735793</v>
      </c>
      <c r="J31" s="9" t="n">
        <f aca="false">(parametros_manuales!$D$21*(datos_base!$C$2+datos_base!$C$18+IF(parametros_manuales!$H$21="Todos",datos_base!$C$9+datos_base!$C$23,0))*parametros_manuales!$J$95+parametros_manuales!$E$21*(datos_base!$C$3+datos_base!$C$19+IF(parametros_manuales!$H$21="Todos",datos_base!$C$10+datos_base!$C$24,0))*parametros_manuales!$J$100+parametros_manuales!$F$21*(datos_base!$C$4+datos_base!$C$20+IF(parametros_manuales!$H$21="Todos",datos_base!$C$11+datos_base!$C$25,0))*parametros_manuales!$J$105+parametros_manuales!$G$21*(datos_base!$C$5+datos_base!$C$21+IF(parametros_manuales!$H$21="Todos",datos_base!$C$12+datos_base!$C$26,0))*parametros_manuales!$J$110)*parametros_manuales!$I$21*parametros_manuales!$J$21</f>
        <v>539.75735793</v>
      </c>
      <c r="K31" s="9" t="n">
        <f aca="false">(parametros_manuales!$D$21*(datos_base!$C$2+datos_base!$C$18+IF(parametros_manuales!$H$21="Todos",datos_base!$C$9+datos_base!$C$23,0))*parametros_manuales!$K$95+parametros_manuales!$E$21*(datos_base!$C$3+datos_base!$C$19+IF(parametros_manuales!$H$21="Todos",datos_base!$C$10+datos_base!$C$24,0))*parametros_manuales!$K$100+parametros_manuales!$F$21*(datos_base!$C$4+datos_base!$C$20+IF(parametros_manuales!$H$21="Todos",datos_base!$C$11+datos_base!$C$25,0))*parametros_manuales!$K$105+parametros_manuales!$G$21*(datos_base!$C$5+datos_base!$C$21+IF(parametros_manuales!$H$21="Todos",datos_base!$C$12+datos_base!$C$26,0))*parametros_manuales!$K$110)*parametros_manuales!$I$21*parametros_manuales!$J$21</f>
        <v>539.75735793</v>
      </c>
      <c r="L31" s="9" t="n">
        <f aca="false">(parametros_manuales!$D$21*(datos_base!$C$2+datos_base!$C$18+IF(parametros_manuales!$H$21="Todos",datos_base!$C$9+datos_base!$C$23,0))*parametros_manuales!$L$95+parametros_manuales!$E$21*(datos_base!$C$3+datos_base!$C$19+IF(parametros_manuales!$H$21="Todos",datos_base!$C$10+datos_base!$C$24,0))*parametros_manuales!$L$100+parametros_manuales!$F$21*(datos_base!$C$4+datos_base!$C$20+IF(parametros_manuales!$H$21="Todos",datos_base!$C$11+datos_base!$C$25,0))*parametros_manuales!$L$105+parametros_manuales!$G$21*(datos_base!$C$5+datos_base!$C$21+IF(parametros_manuales!$H$21="Todos",datos_base!$C$12+datos_base!$C$26,0))*parametros_manuales!$L$110)*parametros_manuales!$I$21*parametros_manuales!$J$21</f>
        <v>539.75735793</v>
      </c>
      <c r="M31" s="9" t="n">
        <f aca="false">(parametros_manuales!$D$21*(datos_base!$C$2+datos_base!$C$18+IF(parametros_manuales!$H$21="Todos",datos_base!$C$9+datos_base!$C$23,0))*parametros_manuales!$M$95+parametros_manuales!$E$21*(datos_base!$C$3+datos_base!$C$19+IF(parametros_manuales!$H$21="Todos",datos_base!$C$10+datos_base!$C$24,0))*parametros_manuales!$M$100+parametros_manuales!$F$21*(datos_base!$C$4+datos_base!$C$20+IF(parametros_manuales!$H$21="Todos",datos_base!$C$11+datos_base!$C$25,0))*parametros_manuales!$M$105+parametros_manuales!$G$21*(datos_base!$C$5+datos_base!$C$21+IF(parametros_manuales!$H$21="Todos",datos_base!$C$12+datos_base!$C$26,0))*parametros_manuales!$M$110)*parametros_manuales!$I$21*parametros_manuales!$J$21</f>
        <v>539.75735793</v>
      </c>
      <c r="N31" s="9" t="n">
        <f aca="false">SUM(B31:M31)</f>
        <v>5997.303977</v>
      </c>
      <c r="O31" s="9" t="n">
        <f aca="false">MAX(B31:M31)</f>
        <v>539.75735793</v>
      </c>
      <c r="P31" s="43" t="n">
        <f aca="false">O31/(parametros_manuales!$B$7)</f>
        <v>3.5983823862</v>
      </c>
      <c r="Q31" s="8" t="str">
        <f aca="false">IF(O31=0,"-",INDEX($B$28:$M$28,MATCH(O31,B31:M31,0)))</f>
        <v>Ene</v>
      </c>
    </row>
    <row r="32" customFormat="false" ht="14.25" hidden="false" customHeight="true" outlineLevel="0" collapsed="false">
      <c r="A32" s="8" t="str">
        <f aca="false">parametros_manuales!$B$22</f>
        <v>Corte de disco y embutido (cúpula y fondo)</v>
      </c>
      <c r="B32" s="9" t="n">
        <f aca="false">(parametros_manuales!$D$22*(datos_base!$C$2+datos_base!$C$18+IF(parametros_manuales!$H$22="Todos",datos_base!$C$9+datos_base!$C$23,0))*parametros_manuales!$B$95+parametros_manuales!$E$22*(datos_base!$C$3+datos_base!$C$19+IF(parametros_manuales!$H$22="Todos",datos_base!$C$10+datos_base!$C$24,0))*parametros_manuales!$B$100+parametros_manuales!$F$22*(datos_base!$C$4+datos_base!$C$20+IF(parametros_manuales!$H$22="Todos",datos_base!$C$11+datos_base!$C$25,0))*parametros_manuales!$B$105+parametros_manuales!$G$22*(datos_base!$C$5+datos_base!$C$21+IF(parametros_manuales!$H$22="Todos",datos_base!$C$12+datos_base!$C$26,0))*parametros_manuales!$B$110)*parametros_manuales!$I$22*parametros_manuales!$J$22</f>
        <v>1954.7599689</v>
      </c>
      <c r="C32" s="9" t="n">
        <f aca="false">(parametros_manuales!$D$22*(datos_base!$C$2+datos_base!$C$18+IF(parametros_manuales!$H$22="Todos",datos_base!$C$9+datos_base!$C$23,0))*parametros_manuales!$C$95+parametros_manuales!$E$22*(datos_base!$C$3+datos_base!$C$19+IF(parametros_manuales!$H$22="Todos",datos_base!$C$10+datos_base!$C$24,0))*parametros_manuales!$C$100+parametros_manuales!$F$22*(datos_base!$C$4+datos_base!$C$20+IF(parametros_manuales!$H$22="Todos",datos_base!$C$11+datos_base!$C$25,0))*parametros_manuales!$C$105+parametros_manuales!$G$22*(datos_base!$C$5+datos_base!$C$21+IF(parametros_manuales!$H$22="Todos",datos_base!$C$12+datos_base!$C$26,0))*parametros_manuales!$C$110)*parametros_manuales!$I$22*parametros_manuales!$J$22</f>
        <v>1857.51049634</v>
      </c>
      <c r="D32" s="9" t="n">
        <f aca="false">(parametros_manuales!$D$22*(datos_base!$C$2+datos_base!$C$18+IF(parametros_manuales!$H$22="Todos",datos_base!$C$9+datos_base!$C$23,0))*parametros_manuales!$D$95+parametros_manuales!$E$22*(datos_base!$C$3+datos_base!$C$19+IF(parametros_manuales!$H$22="Todos",datos_base!$C$10+datos_base!$C$24,0))*parametros_manuales!$D$100+parametros_manuales!$F$22*(datos_base!$C$4+datos_base!$C$20+IF(parametros_manuales!$H$22="Todos",datos_base!$C$11+datos_base!$C$25,0))*parametros_manuales!$D$105+parametros_manuales!$G$22*(datos_base!$C$5+datos_base!$C$21+IF(parametros_manuales!$H$22="Todos",datos_base!$C$12+datos_base!$C$26,0))*parametros_manuales!$D$110)*parametros_manuales!$I$22*parametros_manuales!$J$22</f>
        <v>1786.18915308</v>
      </c>
      <c r="E32" s="9" t="n">
        <f aca="false">(parametros_manuales!$D$22*(datos_base!$C$2+datos_base!$C$18+IF(parametros_manuales!$H$22="Todos",datos_base!$C$9+datos_base!$C$23,0))*parametros_manuales!$E$95+parametros_manuales!$E$22*(datos_base!$C$3+datos_base!$C$19+IF(parametros_manuales!$H$22="Todos",datos_base!$C$10+datos_base!$C$24,0))*parametros_manuales!$E$100+parametros_manuales!$F$22*(datos_base!$C$4+datos_base!$C$20+IF(parametros_manuales!$H$22="Todos",datos_base!$C$11+datos_base!$C$25,0))*parametros_manuales!$E$105+parametros_manuales!$G$22*(datos_base!$C$5+datos_base!$C$21+IF(parametros_manuales!$H$22="Todos",datos_base!$C$12+datos_base!$C$26,0))*parametros_manuales!$E$110)*parametros_manuales!$I$22*parametros_manuales!$J$22</f>
        <v>1726.21611331</v>
      </c>
      <c r="F32" s="9" t="n">
        <f aca="false">(parametros_manuales!$D$22*(datos_base!$C$2+datos_base!$C$18+IF(parametros_manuales!$H$22="Todos",datos_base!$C$9+datos_base!$C$23,0))*parametros_manuales!$F$95+parametros_manuales!$E$22*(datos_base!$C$3+datos_base!$C$19+IF(parametros_manuales!$H$22="Todos",datos_base!$C$10+datos_base!$C$24,0))*parametros_manuales!$F$100+parametros_manuales!$F$22*(datos_base!$C$4+datos_base!$C$20+IF(parametros_manuales!$H$22="Todos",datos_base!$C$11+datos_base!$C$25,0))*parametros_manuales!$F$105+parametros_manuales!$G$22*(datos_base!$C$5+datos_base!$C$21+IF(parametros_manuales!$H$22="Todos",datos_base!$C$12+datos_base!$C$26,0))*parametros_manuales!$F$110)*parametros_manuales!$I$22*parametros_manuales!$J$22</f>
        <v>1617.61833726</v>
      </c>
      <c r="G32" s="9" t="n">
        <f aca="false">(parametros_manuales!$D$22*(datos_base!$C$2+datos_base!$C$18+IF(parametros_manuales!$H$22="Todos",datos_base!$C$9+datos_base!$C$23,0))*parametros_manuales!$G$95+parametros_manuales!$E$22*(datos_base!$C$3+datos_base!$C$19+IF(parametros_manuales!$H$22="Todos",datos_base!$C$10+datos_base!$C$24,0))*parametros_manuales!$G$100+parametros_manuales!$F$22*(datos_base!$C$4+datos_base!$C$20+IF(parametros_manuales!$H$22="Todos",datos_base!$C$11+datos_base!$C$25,0))*parametros_manuales!$G$105+parametros_manuales!$G$22*(datos_base!$C$5+datos_base!$C$21+IF(parametros_manuales!$H$22="Todos",datos_base!$C$12+datos_base!$C$26,0))*parametros_manuales!$G$110)*parametros_manuales!$I$22*parametros_manuales!$J$22</f>
        <v>1568.99360098</v>
      </c>
      <c r="H32" s="9" t="n">
        <f aca="false">(parametros_manuales!$D$22*(datos_base!$C$2+datos_base!$C$18+IF(parametros_manuales!$H$22="Todos",datos_base!$C$9+datos_base!$C$23,0))*parametros_manuales!$H$95+parametros_manuales!$E$22*(datos_base!$C$3+datos_base!$C$19+IF(parametros_manuales!$H$22="Todos",datos_base!$C$10+datos_base!$C$24,0))*parametros_manuales!$H$100+parametros_manuales!$F$22*(datos_base!$C$4+datos_base!$C$20+IF(parametros_manuales!$H$22="Todos",datos_base!$C$11+datos_base!$C$25,0))*parametros_manuales!$H$105+parametros_manuales!$G$22*(datos_base!$C$5+datos_base!$C$21+IF(parametros_manuales!$H$22="Todos",datos_base!$C$12+datos_base!$C$26,0))*parametros_manuales!$H$110)*parametros_manuales!$I$22*parametros_manuales!$J$22</f>
        <v>1677.59137703</v>
      </c>
      <c r="I32" s="9" t="n">
        <f aca="false">(parametros_manuales!$D$22*(datos_base!$C$2+datos_base!$C$18+IF(parametros_manuales!$H$22="Todos",datos_base!$C$9+datos_base!$C$23,0))*parametros_manuales!$I$95+parametros_manuales!$E$22*(datos_base!$C$3+datos_base!$C$19+IF(parametros_manuales!$H$22="Todos",datos_base!$C$10+datos_base!$C$24,0))*parametros_manuales!$I$100+parametros_manuales!$F$22*(datos_base!$C$4+datos_base!$C$20+IF(parametros_manuales!$H$22="Todos",datos_base!$C$11+datos_base!$C$25,0))*parametros_manuales!$I$105+parametros_manuales!$G$22*(datos_base!$C$5+datos_base!$C$21+IF(parametros_manuales!$H$22="Todos",datos_base!$C$12+datos_base!$C$26,0))*parametros_manuales!$I$110)*parametros_manuales!$I$22*parametros_manuales!$J$22</f>
        <v>1857.51049634</v>
      </c>
      <c r="J32" s="9" t="n">
        <f aca="false">(parametros_manuales!$D$22*(datos_base!$C$2+datos_base!$C$18+IF(parametros_manuales!$H$22="Todos",datos_base!$C$9+datos_base!$C$23,0))*parametros_manuales!$J$95+parametros_manuales!$E$22*(datos_base!$C$3+datos_base!$C$19+IF(parametros_manuales!$H$22="Todos",datos_base!$C$10+datos_base!$C$24,0))*parametros_manuales!$J$100+parametros_manuales!$F$22*(datos_base!$C$4+datos_base!$C$20+IF(parametros_manuales!$H$22="Todos",datos_base!$C$11+datos_base!$C$25,0))*parametros_manuales!$J$105+parametros_manuales!$G$22*(datos_base!$C$5+datos_base!$C$21+IF(parametros_manuales!$H$22="Todos",datos_base!$C$12+datos_base!$C$26,0))*parametros_manuales!$J$110)*parametros_manuales!$I$22*parametros_manuales!$J$22</f>
        <v>1857.51049634</v>
      </c>
      <c r="K32" s="9" t="n">
        <f aca="false">(parametros_manuales!$D$22*(datos_base!$C$2+datos_base!$C$18+IF(parametros_manuales!$H$22="Todos",datos_base!$C$9+datos_base!$C$23,0))*parametros_manuales!$K$95+parametros_manuales!$E$22*(datos_base!$C$3+datos_base!$C$19+IF(parametros_manuales!$H$22="Todos",datos_base!$C$10+datos_base!$C$24,0))*parametros_manuales!$K$100+parametros_manuales!$F$22*(datos_base!$C$4+datos_base!$C$20+IF(parametros_manuales!$H$22="Todos",datos_base!$C$11+datos_base!$C$25,0))*parametros_manuales!$K$105+parametros_manuales!$G$22*(datos_base!$C$5+datos_base!$C$21+IF(parametros_manuales!$H$22="Todos",datos_base!$C$12+datos_base!$C$26,0))*parametros_manuales!$K$110)*parametros_manuales!$I$22*parametros_manuales!$J$22</f>
        <v>1906.13523262</v>
      </c>
      <c r="L32" s="9" t="n">
        <f aca="false">(parametros_manuales!$D$22*(datos_base!$C$2+datos_base!$C$18+IF(parametros_manuales!$H$22="Todos",datos_base!$C$9+datos_base!$C$23,0))*parametros_manuales!$L$95+parametros_manuales!$E$22*(datos_base!$C$3+datos_base!$C$19+IF(parametros_manuales!$H$22="Todos",datos_base!$C$10+datos_base!$C$24,0))*parametros_manuales!$L$100+parametros_manuales!$F$22*(datos_base!$C$4+datos_base!$C$20+IF(parametros_manuales!$H$22="Todos",datos_base!$C$11+datos_base!$C$25,0))*parametros_manuales!$L$105+parametros_manuales!$G$22*(datos_base!$C$5+datos_base!$C$21+IF(parametros_manuales!$H$22="Todos",datos_base!$C$12+datos_base!$C$26,0))*parametros_manuales!$L$110)*parametros_manuales!$I$22*parametros_manuales!$J$22</f>
        <v>1954.7599689</v>
      </c>
      <c r="M32" s="9" t="n">
        <f aca="false">(parametros_manuales!$D$22*(datos_base!$C$2+datos_base!$C$18+IF(parametros_manuales!$H$22="Todos",datos_base!$C$9+datos_base!$C$23,0))*parametros_manuales!$M$95+parametros_manuales!$E$22*(datos_base!$C$3+datos_base!$C$19+IF(parametros_manuales!$H$22="Todos",datos_base!$C$10+datos_base!$C$24,0))*parametros_manuales!$M$100+parametros_manuales!$F$22*(datos_base!$C$4+datos_base!$C$20+IF(parametros_manuales!$H$22="Todos",datos_base!$C$11+datos_base!$C$25,0))*parametros_manuales!$M$105+parametros_manuales!$G$22*(datos_base!$C$5+datos_base!$C$21+IF(parametros_manuales!$H$22="Todos",datos_base!$C$12+datos_base!$C$26,0))*parametros_manuales!$M$110)*parametros_manuales!$I$22*parametros_manuales!$J$22</f>
        <v>1954.7599689</v>
      </c>
      <c r="N32" s="9" t="n">
        <f aca="false">SUM(B32:M32)</f>
        <v>21719.55521</v>
      </c>
      <c r="O32" s="9" t="n">
        <f aca="false">MAX(B32:M32)</f>
        <v>1954.7599689</v>
      </c>
      <c r="P32" s="43" t="n">
        <f aca="false">O32/(parametros_manuales!$B$7)</f>
        <v>13.031733126</v>
      </c>
      <c r="Q32" s="8" t="str">
        <f aca="false">IF(O32=0,"-",INDEX($B$28:$M$28,MATCH(O32,B32:M32,0)))</f>
        <v>Ene</v>
      </c>
    </row>
    <row r="33" customFormat="false" ht="14.25" hidden="false" customHeight="true" outlineLevel="0" collapsed="false">
      <c r="A33" s="8" t="str">
        <f aca="false">parametros_manuales!$B$23</f>
        <v>Preparación de cuello</v>
      </c>
      <c r="B33" s="9" t="n">
        <f aca="false">(parametros_manuales!$D$23*(datos_base!$C$2+datos_base!$C$18+IF(parametros_manuales!$H$23="Todos",datos_base!$C$9+datos_base!$C$23,0))*parametros_manuales!$B$95+parametros_manuales!$E$23*(datos_base!$C$3+datos_base!$C$19+IF(parametros_manuales!$H$23="Todos",datos_base!$C$10+datos_base!$C$24,0))*parametros_manuales!$B$100+parametros_manuales!$F$23*(datos_base!$C$4+datos_base!$C$20+IF(parametros_manuales!$H$23="Todos",datos_base!$C$11+datos_base!$C$25,0))*parametros_manuales!$B$105+parametros_manuales!$G$23*(datos_base!$C$5+datos_base!$C$21+IF(parametros_manuales!$H$23="Todos",datos_base!$C$12+datos_base!$C$26,0))*parametros_manuales!$B$110)*parametros_manuales!$I$23*parametros_manuales!$J$23</f>
        <v>977.37998445</v>
      </c>
      <c r="C33" s="9" t="n">
        <f aca="false">(parametros_manuales!$D$23*(datos_base!$C$2+datos_base!$C$18+IF(parametros_manuales!$H$23="Todos",datos_base!$C$9+datos_base!$C$23,0))*parametros_manuales!$C$95+parametros_manuales!$E$23*(datos_base!$C$3+datos_base!$C$19+IF(parametros_manuales!$H$23="Todos",datos_base!$C$10+datos_base!$C$24,0))*parametros_manuales!$C$100+parametros_manuales!$F$23*(datos_base!$C$4+datos_base!$C$20+IF(parametros_manuales!$H$23="Todos",datos_base!$C$11+datos_base!$C$25,0))*parametros_manuales!$C$105+parametros_manuales!$G$23*(datos_base!$C$5+datos_base!$C$21+IF(parametros_manuales!$H$23="Todos",datos_base!$C$12+datos_base!$C$26,0))*parametros_manuales!$C$110)*parametros_manuales!$I$23*parametros_manuales!$J$23</f>
        <v>928.75524817</v>
      </c>
      <c r="D33" s="9" t="n">
        <f aca="false">(parametros_manuales!$D$23*(datos_base!$C$2+datos_base!$C$18+IF(parametros_manuales!$H$23="Todos",datos_base!$C$9+datos_base!$C$23,0))*parametros_manuales!$D$95+parametros_manuales!$E$23*(datos_base!$C$3+datos_base!$C$19+IF(parametros_manuales!$H$23="Todos",datos_base!$C$10+datos_base!$C$24,0))*parametros_manuales!$D$100+parametros_manuales!$F$23*(datos_base!$C$4+datos_base!$C$20+IF(parametros_manuales!$H$23="Todos",datos_base!$C$11+datos_base!$C$25,0))*parametros_manuales!$D$105+parametros_manuales!$G$23*(datos_base!$C$5+datos_base!$C$21+IF(parametros_manuales!$H$23="Todos",datos_base!$C$12+datos_base!$C$26,0))*parametros_manuales!$D$110)*parametros_manuales!$I$23*parametros_manuales!$J$23</f>
        <v>893.09457654</v>
      </c>
      <c r="E33" s="9" t="n">
        <f aca="false">(parametros_manuales!$D$23*(datos_base!$C$2+datos_base!$C$18+IF(parametros_manuales!$H$23="Todos",datos_base!$C$9+datos_base!$C$23,0))*parametros_manuales!$E$95+parametros_manuales!$E$23*(datos_base!$C$3+datos_base!$C$19+IF(parametros_manuales!$H$23="Todos",datos_base!$C$10+datos_base!$C$24,0))*parametros_manuales!$E$100+parametros_manuales!$F$23*(datos_base!$C$4+datos_base!$C$20+IF(parametros_manuales!$H$23="Todos",datos_base!$C$11+datos_base!$C$25,0))*parametros_manuales!$E$105+parametros_manuales!$G$23*(datos_base!$C$5+datos_base!$C$21+IF(parametros_manuales!$H$23="Todos",datos_base!$C$12+datos_base!$C$26,0))*parametros_manuales!$E$110)*parametros_manuales!$I$23*parametros_manuales!$J$23</f>
        <v>863.108056655</v>
      </c>
      <c r="F33" s="9" t="n">
        <f aca="false">(parametros_manuales!$D$23*(datos_base!$C$2+datos_base!$C$18+IF(parametros_manuales!$H$23="Todos",datos_base!$C$9+datos_base!$C$23,0))*parametros_manuales!$F$95+parametros_manuales!$E$23*(datos_base!$C$3+datos_base!$C$19+IF(parametros_manuales!$H$23="Todos",datos_base!$C$10+datos_base!$C$24,0))*parametros_manuales!$F$100+parametros_manuales!$F$23*(datos_base!$C$4+datos_base!$C$20+IF(parametros_manuales!$H$23="Todos",datos_base!$C$11+datos_base!$C$25,0))*parametros_manuales!$F$105+parametros_manuales!$G$23*(datos_base!$C$5+datos_base!$C$21+IF(parametros_manuales!$H$23="Todos",datos_base!$C$12+datos_base!$C$26,0))*parametros_manuales!$F$110)*parametros_manuales!$I$23*parametros_manuales!$J$23</f>
        <v>808.80916863</v>
      </c>
      <c r="G33" s="9" t="n">
        <f aca="false">(parametros_manuales!$D$23*(datos_base!$C$2+datos_base!$C$18+IF(parametros_manuales!$H$23="Todos",datos_base!$C$9+datos_base!$C$23,0))*parametros_manuales!$G$95+parametros_manuales!$E$23*(datos_base!$C$3+datos_base!$C$19+IF(parametros_manuales!$H$23="Todos",datos_base!$C$10+datos_base!$C$24,0))*parametros_manuales!$G$100+parametros_manuales!$F$23*(datos_base!$C$4+datos_base!$C$20+IF(parametros_manuales!$H$23="Todos",datos_base!$C$11+datos_base!$C$25,0))*parametros_manuales!$G$105+parametros_manuales!$G$23*(datos_base!$C$5+datos_base!$C$21+IF(parametros_manuales!$H$23="Todos",datos_base!$C$12+datos_base!$C$26,0))*parametros_manuales!$G$110)*parametros_manuales!$I$23*parametros_manuales!$J$23</f>
        <v>784.49680049</v>
      </c>
      <c r="H33" s="9" t="n">
        <f aca="false">(parametros_manuales!$D$23*(datos_base!$C$2+datos_base!$C$18+IF(parametros_manuales!$H$23="Todos",datos_base!$C$9+datos_base!$C$23,0))*parametros_manuales!$H$95+parametros_manuales!$E$23*(datos_base!$C$3+datos_base!$C$19+IF(parametros_manuales!$H$23="Todos",datos_base!$C$10+datos_base!$C$24,0))*parametros_manuales!$H$100+parametros_manuales!$F$23*(datos_base!$C$4+datos_base!$C$20+IF(parametros_manuales!$H$23="Todos",datos_base!$C$11+datos_base!$C$25,0))*parametros_manuales!$H$105+parametros_manuales!$G$23*(datos_base!$C$5+datos_base!$C$21+IF(parametros_manuales!$H$23="Todos",datos_base!$C$12+datos_base!$C$26,0))*parametros_manuales!$H$110)*parametros_manuales!$I$23*parametros_manuales!$J$23</f>
        <v>838.795688515</v>
      </c>
      <c r="I33" s="9" t="n">
        <f aca="false">(parametros_manuales!$D$23*(datos_base!$C$2+datos_base!$C$18+IF(parametros_manuales!$H$23="Todos",datos_base!$C$9+datos_base!$C$23,0))*parametros_manuales!$I$95+parametros_manuales!$E$23*(datos_base!$C$3+datos_base!$C$19+IF(parametros_manuales!$H$23="Todos",datos_base!$C$10+datos_base!$C$24,0))*parametros_manuales!$I$100+parametros_manuales!$F$23*(datos_base!$C$4+datos_base!$C$20+IF(parametros_manuales!$H$23="Todos",datos_base!$C$11+datos_base!$C$25,0))*parametros_manuales!$I$105+parametros_manuales!$G$23*(datos_base!$C$5+datos_base!$C$21+IF(parametros_manuales!$H$23="Todos",datos_base!$C$12+datos_base!$C$26,0))*parametros_manuales!$I$110)*parametros_manuales!$I$23*parametros_manuales!$J$23</f>
        <v>928.75524817</v>
      </c>
      <c r="J33" s="9" t="n">
        <f aca="false">(parametros_manuales!$D$23*(datos_base!$C$2+datos_base!$C$18+IF(parametros_manuales!$H$23="Todos",datos_base!$C$9+datos_base!$C$23,0))*parametros_manuales!$J$95+parametros_manuales!$E$23*(datos_base!$C$3+datos_base!$C$19+IF(parametros_manuales!$H$23="Todos",datos_base!$C$10+datos_base!$C$24,0))*parametros_manuales!$J$100+parametros_manuales!$F$23*(datos_base!$C$4+datos_base!$C$20+IF(parametros_manuales!$H$23="Todos",datos_base!$C$11+datos_base!$C$25,0))*parametros_manuales!$J$105+parametros_manuales!$G$23*(datos_base!$C$5+datos_base!$C$21+IF(parametros_manuales!$H$23="Todos",datos_base!$C$12+datos_base!$C$26,0))*parametros_manuales!$J$110)*parametros_manuales!$I$23*parametros_manuales!$J$23</f>
        <v>928.75524817</v>
      </c>
      <c r="K33" s="9" t="n">
        <f aca="false">(parametros_manuales!$D$23*(datos_base!$C$2+datos_base!$C$18+IF(parametros_manuales!$H$23="Todos",datos_base!$C$9+datos_base!$C$23,0))*parametros_manuales!$K$95+parametros_manuales!$E$23*(datos_base!$C$3+datos_base!$C$19+IF(parametros_manuales!$H$23="Todos",datos_base!$C$10+datos_base!$C$24,0))*parametros_manuales!$K$100+parametros_manuales!$F$23*(datos_base!$C$4+datos_base!$C$20+IF(parametros_manuales!$H$23="Todos",datos_base!$C$11+datos_base!$C$25,0))*parametros_manuales!$K$105+parametros_manuales!$G$23*(datos_base!$C$5+datos_base!$C$21+IF(parametros_manuales!$H$23="Todos",datos_base!$C$12+datos_base!$C$26,0))*parametros_manuales!$K$110)*parametros_manuales!$I$23*parametros_manuales!$J$23</f>
        <v>953.06761631</v>
      </c>
      <c r="L33" s="9" t="n">
        <f aca="false">(parametros_manuales!$D$23*(datos_base!$C$2+datos_base!$C$18+IF(parametros_manuales!$H$23="Todos",datos_base!$C$9+datos_base!$C$23,0))*parametros_manuales!$L$95+parametros_manuales!$E$23*(datos_base!$C$3+datos_base!$C$19+IF(parametros_manuales!$H$23="Todos",datos_base!$C$10+datos_base!$C$24,0))*parametros_manuales!$L$100+parametros_manuales!$F$23*(datos_base!$C$4+datos_base!$C$20+IF(parametros_manuales!$H$23="Todos",datos_base!$C$11+datos_base!$C$25,0))*parametros_manuales!$L$105+parametros_manuales!$G$23*(datos_base!$C$5+datos_base!$C$21+IF(parametros_manuales!$H$23="Todos",datos_base!$C$12+datos_base!$C$26,0))*parametros_manuales!$L$110)*parametros_manuales!$I$23*parametros_manuales!$J$23</f>
        <v>977.37998445</v>
      </c>
      <c r="M33" s="9" t="n">
        <f aca="false">(parametros_manuales!$D$23*(datos_base!$C$2+datos_base!$C$18+IF(parametros_manuales!$H$23="Todos",datos_base!$C$9+datos_base!$C$23,0))*parametros_manuales!$M$95+parametros_manuales!$E$23*(datos_base!$C$3+datos_base!$C$19+IF(parametros_manuales!$H$23="Todos",datos_base!$C$10+datos_base!$C$24,0))*parametros_manuales!$M$100+parametros_manuales!$F$23*(datos_base!$C$4+datos_base!$C$20+IF(parametros_manuales!$H$23="Todos",datos_base!$C$11+datos_base!$C$25,0))*parametros_manuales!$M$105+parametros_manuales!$G$23*(datos_base!$C$5+datos_base!$C$21+IF(parametros_manuales!$H$23="Todos",datos_base!$C$12+datos_base!$C$26,0))*parametros_manuales!$M$110)*parametros_manuales!$I$23*parametros_manuales!$J$23</f>
        <v>977.37998445</v>
      </c>
      <c r="N33" s="9" t="n">
        <f aca="false">SUM(B33:M33)</f>
        <v>10859.777605</v>
      </c>
      <c r="O33" s="9" t="n">
        <f aca="false">MAX(B33:M33)</f>
        <v>977.37998445</v>
      </c>
      <c r="P33" s="43" t="n">
        <f aca="false">O33/(parametros_manuales!$B$7)</f>
        <v>6.515866563</v>
      </c>
      <c r="Q33" s="8" t="str">
        <f aca="false">IF(O33=0,"-",INDEX($B$28:$M$28,MATCH(O33,B33:M33,0)))</f>
        <v>Ene</v>
      </c>
    </row>
    <row r="34" customFormat="false" ht="14.25" hidden="false" customHeight="true" outlineLevel="0" collapsed="false">
      <c r="A34" s="8" t="str">
        <f aca="false">parametros_manuales!$B$24</f>
        <v>Numerado de cúpula</v>
      </c>
      <c r="B34" s="9" t="n">
        <f aca="false">(parametros_manuales!$D$24*(datos_base!$C$2+datos_base!$C$18+IF(parametros_manuales!$H$24="Todos",datos_base!$C$9+datos_base!$C$23,0))*parametros_manuales!$B$95+parametros_manuales!$E$24*(datos_base!$C$3+datos_base!$C$19+IF(parametros_manuales!$H$24="Todos",datos_base!$C$10+datos_base!$C$24,0))*parametros_manuales!$B$100+parametros_manuales!$F$24*(datos_base!$C$4+datos_base!$C$20+IF(parametros_manuales!$H$24="Todos",datos_base!$C$11+datos_base!$C$25,0))*parametros_manuales!$B$105+parametros_manuales!$G$24*(datos_base!$C$5+datos_base!$C$21+IF(parametros_manuales!$H$24="Todos",datos_base!$C$12+datos_base!$C$26,0))*parametros_manuales!$B$110)*parametros_manuales!$I$24*parametros_manuales!$J$24</f>
        <v>977.37998445</v>
      </c>
      <c r="C34" s="9" t="n">
        <f aca="false">(parametros_manuales!$D$24*(datos_base!$C$2+datos_base!$C$18+IF(parametros_manuales!$H$24="Todos",datos_base!$C$9+datos_base!$C$23,0))*parametros_manuales!$C$95+parametros_manuales!$E$24*(datos_base!$C$3+datos_base!$C$19+IF(parametros_manuales!$H$24="Todos",datos_base!$C$10+datos_base!$C$24,0))*parametros_manuales!$C$100+parametros_manuales!$F$24*(datos_base!$C$4+datos_base!$C$20+IF(parametros_manuales!$H$24="Todos",datos_base!$C$11+datos_base!$C$25,0))*parametros_manuales!$C$105+parametros_manuales!$G$24*(datos_base!$C$5+datos_base!$C$21+IF(parametros_manuales!$H$24="Todos",datos_base!$C$12+datos_base!$C$26,0))*parametros_manuales!$C$110)*parametros_manuales!$I$24*parametros_manuales!$J$24</f>
        <v>928.75524817</v>
      </c>
      <c r="D34" s="9" t="n">
        <f aca="false">(parametros_manuales!$D$24*(datos_base!$C$2+datos_base!$C$18+IF(parametros_manuales!$H$24="Todos",datos_base!$C$9+datos_base!$C$23,0))*parametros_manuales!$D$95+parametros_manuales!$E$24*(datos_base!$C$3+datos_base!$C$19+IF(parametros_manuales!$H$24="Todos",datos_base!$C$10+datos_base!$C$24,0))*parametros_manuales!$D$100+parametros_manuales!$F$24*(datos_base!$C$4+datos_base!$C$20+IF(parametros_manuales!$H$24="Todos",datos_base!$C$11+datos_base!$C$25,0))*parametros_manuales!$D$105+parametros_manuales!$G$24*(datos_base!$C$5+datos_base!$C$21+IF(parametros_manuales!$H$24="Todos",datos_base!$C$12+datos_base!$C$26,0))*parametros_manuales!$D$110)*parametros_manuales!$I$24*parametros_manuales!$J$24</f>
        <v>893.09457654</v>
      </c>
      <c r="E34" s="9" t="n">
        <f aca="false">(parametros_manuales!$D$24*(datos_base!$C$2+datos_base!$C$18+IF(parametros_manuales!$H$24="Todos",datos_base!$C$9+datos_base!$C$23,0))*parametros_manuales!$E$95+parametros_manuales!$E$24*(datos_base!$C$3+datos_base!$C$19+IF(parametros_manuales!$H$24="Todos",datos_base!$C$10+datos_base!$C$24,0))*parametros_manuales!$E$100+parametros_manuales!$F$24*(datos_base!$C$4+datos_base!$C$20+IF(parametros_manuales!$H$24="Todos",datos_base!$C$11+datos_base!$C$25,0))*parametros_manuales!$E$105+parametros_manuales!$G$24*(datos_base!$C$5+datos_base!$C$21+IF(parametros_manuales!$H$24="Todos",datos_base!$C$12+datos_base!$C$26,0))*parametros_manuales!$E$110)*parametros_manuales!$I$24*parametros_manuales!$J$24</f>
        <v>863.108056655</v>
      </c>
      <c r="F34" s="9" t="n">
        <f aca="false">(parametros_manuales!$D$24*(datos_base!$C$2+datos_base!$C$18+IF(parametros_manuales!$H$24="Todos",datos_base!$C$9+datos_base!$C$23,0))*parametros_manuales!$F$95+parametros_manuales!$E$24*(datos_base!$C$3+datos_base!$C$19+IF(parametros_manuales!$H$24="Todos",datos_base!$C$10+datos_base!$C$24,0))*parametros_manuales!$F$100+parametros_manuales!$F$24*(datos_base!$C$4+datos_base!$C$20+IF(parametros_manuales!$H$24="Todos",datos_base!$C$11+datos_base!$C$25,0))*parametros_manuales!$F$105+parametros_manuales!$G$24*(datos_base!$C$5+datos_base!$C$21+IF(parametros_manuales!$H$24="Todos",datos_base!$C$12+datos_base!$C$26,0))*parametros_manuales!$F$110)*parametros_manuales!$I$24*parametros_manuales!$J$24</f>
        <v>808.80916863</v>
      </c>
      <c r="G34" s="9" t="n">
        <f aca="false">(parametros_manuales!$D$24*(datos_base!$C$2+datos_base!$C$18+IF(parametros_manuales!$H$24="Todos",datos_base!$C$9+datos_base!$C$23,0))*parametros_manuales!$G$95+parametros_manuales!$E$24*(datos_base!$C$3+datos_base!$C$19+IF(parametros_manuales!$H$24="Todos",datos_base!$C$10+datos_base!$C$24,0))*parametros_manuales!$G$100+parametros_manuales!$F$24*(datos_base!$C$4+datos_base!$C$20+IF(parametros_manuales!$H$24="Todos",datos_base!$C$11+datos_base!$C$25,0))*parametros_manuales!$G$105+parametros_manuales!$G$24*(datos_base!$C$5+datos_base!$C$21+IF(parametros_manuales!$H$24="Todos",datos_base!$C$12+datos_base!$C$26,0))*parametros_manuales!$G$110)*parametros_manuales!$I$24*parametros_manuales!$J$24</f>
        <v>784.49680049</v>
      </c>
      <c r="H34" s="9" t="n">
        <f aca="false">(parametros_manuales!$D$24*(datos_base!$C$2+datos_base!$C$18+IF(parametros_manuales!$H$24="Todos",datos_base!$C$9+datos_base!$C$23,0))*parametros_manuales!$H$95+parametros_manuales!$E$24*(datos_base!$C$3+datos_base!$C$19+IF(parametros_manuales!$H$24="Todos",datos_base!$C$10+datos_base!$C$24,0))*parametros_manuales!$H$100+parametros_manuales!$F$24*(datos_base!$C$4+datos_base!$C$20+IF(parametros_manuales!$H$24="Todos",datos_base!$C$11+datos_base!$C$25,0))*parametros_manuales!$H$105+parametros_manuales!$G$24*(datos_base!$C$5+datos_base!$C$21+IF(parametros_manuales!$H$24="Todos",datos_base!$C$12+datos_base!$C$26,0))*parametros_manuales!$H$110)*parametros_manuales!$I$24*parametros_manuales!$J$24</f>
        <v>838.795688515</v>
      </c>
      <c r="I34" s="9" t="n">
        <f aca="false">(parametros_manuales!$D$24*(datos_base!$C$2+datos_base!$C$18+IF(parametros_manuales!$H$24="Todos",datos_base!$C$9+datos_base!$C$23,0))*parametros_manuales!$I$95+parametros_manuales!$E$24*(datos_base!$C$3+datos_base!$C$19+IF(parametros_manuales!$H$24="Todos",datos_base!$C$10+datos_base!$C$24,0))*parametros_manuales!$I$100+parametros_manuales!$F$24*(datos_base!$C$4+datos_base!$C$20+IF(parametros_manuales!$H$24="Todos",datos_base!$C$11+datos_base!$C$25,0))*parametros_manuales!$I$105+parametros_manuales!$G$24*(datos_base!$C$5+datos_base!$C$21+IF(parametros_manuales!$H$24="Todos",datos_base!$C$12+datos_base!$C$26,0))*parametros_manuales!$I$110)*parametros_manuales!$I$24*parametros_manuales!$J$24</f>
        <v>928.75524817</v>
      </c>
      <c r="J34" s="9" t="n">
        <f aca="false">(parametros_manuales!$D$24*(datos_base!$C$2+datos_base!$C$18+IF(parametros_manuales!$H$24="Todos",datos_base!$C$9+datos_base!$C$23,0))*parametros_manuales!$J$95+parametros_manuales!$E$24*(datos_base!$C$3+datos_base!$C$19+IF(parametros_manuales!$H$24="Todos",datos_base!$C$10+datos_base!$C$24,0))*parametros_manuales!$J$100+parametros_manuales!$F$24*(datos_base!$C$4+datos_base!$C$20+IF(parametros_manuales!$H$24="Todos",datos_base!$C$11+datos_base!$C$25,0))*parametros_manuales!$J$105+parametros_manuales!$G$24*(datos_base!$C$5+datos_base!$C$21+IF(parametros_manuales!$H$24="Todos",datos_base!$C$12+datos_base!$C$26,0))*parametros_manuales!$J$110)*parametros_manuales!$I$24*parametros_manuales!$J$24</f>
        <v>928.75524817</v>
      </c>
      <c r="K34" s="9" t="n">
        <f aca="false">(parametros_manuales!$D$24*(datos_base!$C$2+datos_base!$C$18+IF(parametros_manuales!$H$24="Todos",datos_base!$C$9+datos_base!$C$23,0))*parametros_manuales!$K$95+parametros_manuales!$E$24*(datos_base!$C$3+datos_base!$C$19+IF(parametros_manuales!$H$24="Todos",datos_base!$C$10+datos_base!$C$24,0))*parametros_manuales!$K$100+parametros_manuales!$F$24*(datos_base!$C$4+datos_base!$C$20+IF(parametros_manuales!$H$24="Todos",datos_base!$C$11+datos_base!$C$25,0))*parametros_manuales!$K$105+parametros_manuales!$G$24*(datos_base!$C$5+datos_base!$C$21+IF(parametros_manuales!$H$24="Todos",datos_base!$C$12+datos_base!$C$26,0))*parametros_manuales!$K$110)*parametros_manuales!$I$24*parametros_manuales!$J$24</f>
        <v>953.06761631</v>
      </c>
      <c r="L34" s="9" t="n">
        <f aca="false">(parametros_manuales!$D$24*(datos_base!$C$2+datos_base!$C$18+IF(parametros_manuales!$H$24="Todos",datos_base!$C$9+datos_base!$C$23,0))*parametros_manuales!$L$95+parametros_manuales!$E$24*(datos_base!$C$3+datos_base!$C$19+IF(parametros_manuales!$H$24="Todos",datos_base!$C$10+datos_base!$C$24,0))*parametros_manuales!$L$100+parametros_manuales!$F$24*(datos_base!$C$4+datos_base!$C$20+IF(parametros_manuales!$H$24="Todos",datos_base!$C$11+datos_base!$C$25,0))*parametros_manuales!$L$105+parametros_manuales!$G$24*(datos_base!$C$5+datos_base!$C$21+IF(parametros_manuales!$H$24="Todos",datos_base!$C$12+datos_base!$C$26,0))*parametros_manuales!$L$110)*parametros_manuales!$I$24*parametros_manuales!$J$24</f>
        <v>977.37998445</v>
      </c>
      <c r="M34" s="9" t="n">
        <f aca="false">(parametros_manuales!$D$24*(datos_base!$C$2+datos_base!$C$18+IF(parametros_manuales!$H$24="Todos",datos_base!$C$9+datos_base!$C$23,0))*parametros_manuales!$M$95+parametros_manuales!$E$24*(datos_base!$C$3+datos_base!$C$19+IF(parametros_manuales!$H$24="Todos",datos_base!$C$10+datos_base!$C$24,0))*parametros_manuales!$M$100+parametros_manuales!$F$24*(datos_base!$C$4+datos_base!$C$20+IF(parametros_manuales!$H$24="Todos",datos_base!$C$11+datos_base!$C$25,0))*parametros_manuales!$M$105+parametros_manuales!$G$24*(datos_base!$C$5+datos_base!$C$21+IF(parametros_manuales!$H$24="Todos",datos_base!$C$12+datos_base!$C$26,0))*parametros_manuales!$M$110)*parametros_manuales!$I$24*parametros_manuales!$J$24</f>
        <v>977.37998445</v>
      </c>
      <c r="N34" s="9" t="n">
        <f aca="false">SUM(B34:M34)</f>
        <v>10859.777605</v>
      </c>
      <c r="O34" s="9" t="n">
        <f aca="false">MAX(B34:M34)</f>
        <v>977.37998445</v>
      </c>
      <c r="P34" s="43" t="n">
        <f aca="false">O34/(parametros_manuales!$B$7)</f>
        <v>6.515866563</v>
      </c>
      <c r="Q34" s="8" t="str">
        <f aca="false">IF(O34=0,"-",INDEX($B$28:$M$28,MATCH(O34,B34:M34,0)))</f>
        <v>Ene</v>
      </c>
    </row>
    <row r="35" customFormat="false" ht="14.25" hidden="false" customHeight="true" outlineLevel="0" collapsed="false">
      <c r="A35" s="8" t="str">
        <f aca="false">parametros_manuales!$B$25</f>
        <v>Soldadura del cuello a la cúpula</v>
      </c>
      <c r="B35" s="9" t="n">
        <f aca="false">(parametros_manuales!$D$25*(datos_base!$C$2+datos_base!$C$18+IF(parametros_manuales!$H$25="Todos",datos_base!$C$9+datos_base!$C$23,0))*parametros_manuales!$B$95+parametros_manuales!$E$25*(datos_base!$C$3+datos_base!$C$19+IF(parametros_manuales!$H$25="Todos",datos_base!$C$10+datos_base!$C$24,0))*parametros_manuales!$B$100+parametros_manuales!$F$25*(datos_base!$C$4+datos_base!$C$20+IF(parametros_manuales!$H$25="Todos",datos_base!$C$11+datos_base!$C$25,0))*parametros_manuales!$B$105+parametros_manuales!$G$25*(datos_base!$C$5+datos_base!$C$21+IF(parametros_manuales!$H$25="Todos",datos_base!$C$12+datos_base!$C$26,0))*parametros_manuales!$B$110)*parametros_manuales!$I$25*parametros_manuales!$J$25</f>
        <v>977.37998445</v>
      </c>
      <c r="C35" s="9" t="n">
        <f aca="false">(parametros_manuales!$D$25*(datos_base!$C$2+datos_base!$C$18+IF(parametros_manuales!$H$25="Todos",datos_base!$C$9+datos_base!$C$23,0))*parametros_manuales!$C$95+parametros_manuales!$E$25*(datos_base!$C$3+datos_base!$C$19+IF(parametros_manuales!$H$25="Todos",datos_base!$C$10+datos_base!$C$24,0))*parametros_manuales!$C$100+parametros_manuales!$F$25*(datos_base!$C$4+datos_base!$C$20+IF(parametros_manuales!$H$25="Todos",datos_base!$C$11+datos_base!$C$25,0))*parametros_manuales!$C$105+parametros_manuales!$G$25*(datos_base!$C$5+datos_base!$C$21+IF(parametros_manuales!$H$25="Todos",datos_base!$C$12+datos_base!$C$26,0))*parametros_manuales!$C$110)*parametros_manuales!$I$25*parametros_manuales!$J$25</f>
        <v>928.75524817</v>
      </c>
      <c r="D35" s="9" t="n">
        <f aca="false">(parametros_manuales!$D$25*(datos_base!$C$2+datos_base!$C$18+IF(parametros_manuales!$H$25="Todos",datos_base!$C$9+datos_base!$C$23,0))*parametros_manuales!$D$95+parametros_manuales!$E$25*(datos_base!$C$3+datos_base!$C$19+IF(parametros_manuales!$H$25="Todos",datos_base!$C$10+datos_base!$C$24,0))*parametros_manuales!$D$100+parametros_manuales!$F$25*(datos_base!$C$4+datos_base!$C$20+IF(parametros_manuales!$H$25="Todos",datos_base!$C$11+datos_base!$C$25,0))*parametros_manuales!$D$105+parametros_manuales!$G$25*(datos_base!$C$5+datos_base!$C$21+IF(parametros_manuales!$H$25="Todos",datos_base!$C$12+datos_base!$C$26,0))*parametros_manuales!$D$110)*parametros_manuales!$I$25*parametros_manuales!$J$25</f>
        <v>893.09457654</v>
      </c>
      <c r="E35" s="9" t="n">
        <f aca="false">(parametros_manuales!$D$25*(datos_base!$C$2+datos_base!$C$18+IF(parametros_manuales!$H$25="Todos",datos_base!$C$9+datos_base!$C$23,0))*parametros_manuales!$E$95+parametros_manuales!$E$25*(datos_base!$C$3+datos_base!$C$19+IF(parametros_manuales!$H$25="Todos",datos_base!$C$10+datos_base!$C$24,0))*parametros_manuales!$E$100+parametros_manuales!$F$25*(datos_base!$C$4+datos_base!$C$20+IF(parametros_manuales!$H$25="Todos",datos_base!$C$11+datos_base!$C$25,0))*parametros_manuales!$E$105+parametros_manuales!$G$25*(datos_base!$C$5+datos_base!$C$21+IF(parametros_manuales!$H$25="Todos",datos_base!$C$12+datos_base!$C$26,0))*parametros_manuales!$E$110)*parametros_manuales!$I$25*parametros_manuales!$J$25</f>
        <v>863.108056655</v>
      </c>
      <c r="F35" s="9" t="n">
        <f aca="false">(parametros_manuales!$D$25*(datos_base!$C$2+datos_base!$C$18+IF(parametros_manuales!$H$25="Todos",datos_base!$C$9+datos_base!$C$23,0))*parametros_manuales!$F$95+parametros_manuales!$E$25*(datos_base!$C$3+datos_base!$C$19+IF(parametros_manuales!$H$25="Todos",datos_base!$C$10+datos_base!$C$24,0))*parametros_manuales!$F$100+parametros_manuales!$F$25*(datos_base!$C$4+datos_base!$C$20+IF(parametros_manuales!$H$25="Todos",datos_base!$C$11+datos_base!$C$25,0))*parametros_manuales!$F$105+parametros_manuales!$G$25*(datos_base!$C$5+datos_base!$C$21+IF(parametros_manuales!$H$25="Todos",datos_base!$C$12+datos_base!$C$26,0))*parametros_manuales!$F$110)*parametros_manuales!$I$25*parametros_manuales!$J$25</f>
        <v>808.80916863</v>
      </c>
      <c r="G35" s="9" t="n">
        <f aca="false">(parametros_manuales!$D$25*(datos_base!$C$2+datos_base!$C$18+IF(parametros_manuales!$H$25="Todos",datos_base!$C$9+datos_base!$C$23,0))*parametros_manuales!$G$95+parametros_manuales!$E$25*(datos_base!$C$3+datos_base!$C$19+IF(parametros_manuales!$H$25="Todos",datos_base!$C$10+datos_base!$C$24,0))*parametros_manuales!$G$100+parametros_manuales!$F$25*(datos_base!$C$4+datos_base!$C$20+IF(parametros_manuales!$H$25="Todos",datos_base!$C$11+datos_base!$C$25,0))*parametros_manuales!$G$105+parametros_manuales!$G$25*(datos_base!$C$5+datos_base!$C$21+IF(parametros_manuales!$H$25="Todos",datos_base!$C$12+datos_base!$C$26,0))*parametros_manuales!$G$110)*parametros_manuales!$I$25*parametros_manuales!$J$25</f>
        <v>784.49680049</v>
      </c>
      <c r="H35" s="9" t="n">
        <f aca="false">(parametros_manuales!$D$25*(datos_base!$C$2+datos_base!$C$18+IF(parametros_manuales!$H$25="Todos",datos_base!$C$9+datos_base!$C$23,0))*parametros_manuales!$H$95+parametros_manuales!$E$25*(datos_base!$C$3+datos_base!$C$19+IF(parametros_manuales!$H$25="Todos",datos_base!$C$10+datos_base!$C$24,0))*parametros_manuales!$H$100+parametros_manuales!$F$25*(datos_base!$C$4+datos_base!$C$20+IF(parametros_manuales!$H$25="Todos",datos_base!$C$11+datos_base!$C$25,0))*parametros_manuales!$H$105+parametros_manuales!$G$25*(datos_base!$C$5+datos_base!$C$21+IF(parametros_manuales!$H$25="Todos",datos_base!$C$12+datos_base!$C$26,0))*parametros_manuales!$H$110)*parametros_manuales!$I$25*parametros_manuales!$J$25</f>
        <v>838.795688515</v>
      </c>
      <c r="I35" s="9" t="n">
        <f aca="false">(parametros_manuales!$D$25*(datos_base!$C$2+datos_base!$C$18+IF(parametros_manuales!$H$25="Todos",datos_base!$C$9+datos_base!$C$23,0))*parametros_manuales!$I$95+parametros_manuales!$E$25*(datos_base!$C$3+datos_base!$C$19+IF(parametros_manuales!$H$25="Todos",datos_base!$C$10+datos_base!$C$24,0))*parametros_manuales!$I$100+parametros_manuales!$F$25*(datos_base!$C$4+datos_base!$C$20+IF(parametros_manuales!$H$25="Todos",datos_base!$C$11+datos_base!$C$25,0))*parametros_manuales!$I$105+parametros_manuales!$G$25*(datos_base!$C$5+datos_base!$C$21+IF(parametros_manuales!$H$25="Todos",datos_base!$C$12+datos_base!$C$26,0))*parametros_manuales!$I$110)*parametros_manuales!$I$25*parametros_manuales!$J$25</f>
        <v>928.75524817</v>
      </c>
      <c r="J35" s="9" t="n">
        <f aca="false">(parametros_manuales!$D$25*(datos_base!$C$2+datos_base!$C$18+IF(parametros_manuales!$H$25="Todos",datos_base!$C$9+datos_base!$C$23,0))*parametros_manuales!$J$95+parametros_manuales!$E$25*(datos_base!$C$3+datos_base!$C$19+IF(parametros_manuales!$H$25="Todos",datos_base!$C$10+datos_base!$C$24,0))*parametros_manuales!$J$100+parametros_manuales!$F$25*(datos_base!$C$4+datos_base!$C$20+IF(parametros_manuales!$H$25="Todos",datos_base!$C$11+datos_base!$C$25,0))*parametros_manuales!$J$105+parametros_manuales!$G$25*(datos_base!$C$5+datos_base!$C$21+IF(parametros_manuales!$H$25="Todos",datos_base!$C$12+datos_base!$C$26,0))*parametros_manuales!$J$110)*parametros_manuales!$I$25*parametros_manuales!$J$25</f>
        <v>928.75524817</v>
      </c>
      <c r="K35" s="9" t="n">
        <f aca="false">(parametros_manuales!$D$25*(datos_base!$C$2+datos_base!$C$18+IF(parametros_manuales!$H$25="Todos",datos_base!$C$9+datos_base!$C$23,0))*parametros_manuales!$K$95+parametros_manuales!$E$25*(datos_base!$C$3+datos_base!$C$19+IF(parametros_manuales!$H$25="Todos",datos_base!$C$10+datos_base!$C$24,0))*parametros_manuales!$K$100+parametros_manuales!$F$25*(datos_base!$C$4+datos_base!$C$20+IF(parametros_manuales!$H$25="Todos",datos_base!$C$11+datos_base!$C$25,0))*parametros_manuales!$K$105+parametros_manuales!$G$25*(datos_base!$C$5+datos_base!$C$21+IF(parametros_manuales!$H$25="Todos",datos_base!$C$12+datos_base!$C$26,0))*parametros_manuales!$K$110)*parametros_manuales!$I$25*parametros_manuales!$J$25</f>
        <v>953.06761631</v>
      </c>
      <c r="L35" s="9" t="n">
        <f aca="false">(parametros_manuales!$D$25*(datos_base!$C$2+datos_base!$C$18+IF(parametros_manuales!$H$25="Todos",datos_base!$C$9+datos_base!$C$23,0))*parametros_manuales!$L$95+parametros_manuales!$E$25*(datos_base!$C$3+datos_base!$C$19+IF(parametros_manuales!$H$25="Todos",datos_base!$C$10+datos_base!$C$24,0))*parametros_manuales!$L$100+parametros_manuales!$F$25*(datos_base!$C$4+datos_base!$C$20+IF(parametros_manuales!$H$25="Todos",datos_base!$C$11+datos_base!$C$25,0))*parametros_manuales!$L$105+parametros_manuales!$G$25*(datos_base!$C$5+datos_base!$C$21+IF(parametros_manuales!$H$25="Todos",datos_base!$C$12+datos_base!$C$26,0))*parametros_manuales!$L$110)*parametros_manuales!$I$25*parametros_manuales!$J$25</f>
        <v>977.37998445</v>
      </c>
      <c r="M35" s="9" t="n">
        <f aca="false">(parametros_manuales!$D$25*(datos_base!$C$2+datos_base!$C$18+IF(parametros_manuales!$H$25="Todos",datos_base!$C$9+datos_base!$C$23,0))*parametros_manuales!$M$95+parametros_manuales!$E$25*(datos_base!$C$3+datos_base!$C$19+IF(parametros_manuales!$H$25="Todos",datos_base!$C$10+datos_base!$C$24,0))*parametros_manuales!$M$100+parametros_manuales!$F$25*(datos_base!$C$4+datos_base!$C$20+IF(parametros_manuales!$H$25="Todos",datos_base!$C$11+datos_base!$C$25,0))*parametros_manuales!$M$105+parametros_manuales!$G$25*(datos_base!$C$5+datos_base!$C$21+IF(parametros_manuales!$H$25="Todos",datos_base!$C$12+datos_base!$C$26,0))*parametros_manuales!$M$110)*parametros_manuales!$I$25*parametros_manuales!$J$25</f>
        <v>977.37998445</v>
      </c>
      <c r="N35" s="9" t="n">
        <f aca="false">SUM(B35:M35)</f>
        <v>10859.777605</v>
      </c>
      <c r="O35" s="9" t="n">
        <f aca="false">MAX(B35:M35)</f>
        <v>977.37998445</v>
      </c>
      <c r="P35" s="43" t="n">
        <f aca="false">O35/(parametros_manuales!$B$7)</f>
        <v>6.515866563</v>
      </c>
      <c r="Q35" s="8" t="str">
        <f aca="false">IF(O35=0,"-",INDEX($B$28:$M$28,MATCH(O35,B35:M35,0)))</f>
        <v>Ene</v>
      </c>
    </row>
    <row r="36" customFormat="false" ht="14.25" hidden="false" customHeight="true" outlineLevel="0" collapsed="false">
      <c r="A36" s="8" t="str">
        <f aca="false">parametros_manuales!$B$26</f>
        <v>Cilindrado</v>
      </c>
      <c r="B36" s="9" t="n">
        <f aca="false">(parametros_manuales!$D$26*(datos_base!$C$2+datos_base!$C$18+IF(parametros_manuales!$H$26="Todos",datos_base!$C$9+datos_base!$C$23,0))*parametros_manuales!$B$95+parametros_manuales!$E$26*(datos_base!$C$3+datos_base!$C$19+IF(parametros_manuales!$H$26="Todos",datos_base!$C$10+datos_base!$C$24,0))*parametros_manuales!$B$100+parametros_manuales!$F$26*(datos_base!$C$4+datos_base!$C$20+IF(parametros_manuales!$H$26="Todos",datos_base!$C$11+datos_base!$C$25,0))*parametros_manuales!$B$105+parametros_manuales!$G$26*(datos_base!$C$5+datos_base!$C$21+IF(parametros_manuales!$H$26="Todos",datos_base!$C$12+datos_base!$C$26,0))*parametros_manuales!$B$110)*parametros_manuales!$I$26*parametros_manuales!$J$26</f>
        <v>437.62262652</v>
      </c>
      <c r="C36" s="9" t="n">
        <f aca="false">(parametros_manuales!$D$26*(datos_base!$C$2+datos_base!$C$18+IF(parametros_manuales!$H$26="Todos",datos_base!$C$9+datos_base!$C$23,0))*parametros_manuales!$C$95+parametros_manuales!$E$26*(datos_base!$C$3+datos_base!$C$19+IF(parametros_manuales!$H$26="Todos",datos_base!$C$10+datos_base!$C$24,0))*parametros_manuales!$C$100+parametros_manuales!$F$26*(datos_base!$C$4+datos_base!$C$20+IF(parametros_manuales!$H$26="Todos",datos_base!$C$11+datos_base!$C$25,0))*parametros_manuales!$C$105+parametros_manuales!$G$26*(datos_base!$C$5+datos_base!$C$21+IF(parametros_manuales!$H$26="Todos",datos_base!$C$12+datos_base!$C$26,0))*parametros_manuales!$C$110)*parametros_manuales!$I$26*parametros_manuales!$J$26</f>
        <v>388.99789024</v>
      </c>
      <c r="D36" s="9" t="n">
        <f aca="false">(parametros_manuales!$D$26*(datos_base!$C$2+datos_base!$C$18+IF(parametros_manuales!$H$26="Todos",datos_base!$C$9+datos_base!$C$23,0))*parametros_manuales!$D$95+parametros_manuales!$E$26*(datos_base!$C$3+datos_base!$C$19+IF(parametros_manuales!$H$26="Todos",datos_base!$C$10+datos_base!$C$24,0))*parametros_manuales!$D$100+parametros_manuales!$F$26*(datos_base!$C$4+datos_base!$C$20+IF(parametros_manuales!$H$26="Todos",datos_base!$C$11+datos_base!$C$25,0))*parametros_manuales!$D$105+parametros_manuales!$G$26*(datos_base!$C$5+datos_base!$C$21+IF(parametros_manuales!$H$26="Todos",datos_base!$C$12+datos_base!$C$26,0))*parametros_manuales!$D$110)*parametros_manuales!$I$26*parametros_manuales!$J$26</f>
        <v>413.31025838</v>
      </c>
      <c r="E36" s="9" t="n">
        <f aca="false">(parametros_manuales!$D$26*(datos_base!$C$2+datos_base!$C$18+IF(parametros_manuales!$H$26="Todos",datos_base!$C$9+datos_base!$C$23,0))*parametros_manuales!$E$95+parametros_manuales!$E$26*(datos_base!$C$3+datos_base!$C$19+IF(parametros_manuales!$H$26="Todos",datos_base!$C$10+datos_base!$C$24,0))*parametros_manuales!$E$100+parametros_manuales!$F$26*(datos_base!$C$4+datos_base!$C$20+IF(parametros_manuales!$H$26="Todos",datos_base!$C$11+datos_base!$C$25,0))*parametros_manuales!$E$105+parametros_manuales!$G$26*(datos_base!$C$5+datos_base!$C$21+IF(parametros_manuales!$H$26="Todos",datos_base!$C$12+datos_base!$C$26,0))*parametros_manuales!$E$110)*parametros_manuales!$I$26*parametros_manuales!$J$26</f>
        <v>413.31025838</v>
      </c>
      <c r="F36" s="9" t="n">
        <f aca="false">(parametros_manuales!$D$26*(datos_base!$C$2+datos_base!$C$18+IF(parametros_manuales!$H$26="Todos",datos_base!$C$9+datos_base!$C$23,0))*parametros_manuales!$F$95+parametros_manuales!$E$26*(datos_base!$C$3+datos_base!$C$19+IF(parametros_manuales!$H$26="Todos",datos_base!$C$10+datos_base!$C$24,0))*parametros_manuales!$F$100+parametros_manuales!$F$26*(datos_base!$C$4+datos_base!$C$20+IF(parametros_manuales!$H$26="Todos",datos_base!$C$11+datos_base!$C$25,0))*parametros_manuales!$F$105+parametros_manuales!$G$26*(datos_base!$C$5+datos_base!$C$21+IF(parametros_manuales!$H$26="Todos",datos_base!$C$12+datos_base!$C$26,0))*parametros_manuales!$F$110)*parametros_manuales!$I$26*parametros_manuales!$J$26</f>
        <v>388.99789024</v>
      </c>
      <c r="G36" s="9" t="n">
        <f aca="false">(parametros_manuales!$D$26*(datos_base!$C$2+datos_base!$C$18+IF(parametros_manuales!$H$26="Todos",datos_base!$C$9+datos_base!$C$23,0))*parametros_manuales!$G$95+parametros_manuales!$E$26*(datos_base!$C$3+datos_base!$C$19+IF(parametros_manuales!$H$26="Todos",datos_base!$C$10+datos_base!$C$24,0))*parametros_manuales!$G$100+parametros_manuales!$F$26*(datos_base!$C$4+datos_base!$C$20+IF(parametros_manuales!$H$26="Todos",datos_base!$C$11+datos_base!$C$25,0))*parametros_manuales!$G$105+parametros_manuales!$G$26*(datos_base!$C$5+datos_base!$C$21+IF(parametros_manuales!$H$26="Todos",datos_base!$C$12+datos_base!$C$26,0))*parametros_manuales!$G$110)*parametros_manuales!$I$26*parametros_manuales!$J$26</f>
        <v>364.6855221</v>
      </c>
      <c r="H36" s="9" t="n">
        <f aca="false">(parametros_manuales!$D$26*(datos_base!$C$2+datos_base!$C$18+IF(parametros_manuales!$H$26="Todos",datos_base!$C$9+datos_base!$C$23,0))*parametros_manuales!$H$95+parametros_manuales!$E$26*(datos_base!$C$3+datos_base!$C$19+IF(parametros_manuales!$H$26="Todos",datos_base!$C$10+datos_base!$C$24,0))*parametros_manuales!$H$100+parametros_manuales!$F$26*(datos_base!$C$4+datos_base!$C$20+IF(parametros_manuales!$H$26="Todos",datos_base!$C$11+datos_base!$C$25,0))*parametros_manuales!$H$105+parametros_manuales!$G$26*(datos_base!$C$5+datos_base!$C$21+IF(parametros_manuales!$H$26="Todos",datos_base!$C$12+datos_base!$C$26,0))*parametros_manuales!$H$110)*parametros_manuales!$I$26*parametros_manuales!$J$26</f>
        <v>388.99789024</v>
      </c>
      <c r="I36" s="9" t="n">
        <f aca="false">(parametros_manuales!$D$26*(datos_base!$C$2+datos_base!$C$18+IF(parametros_manuales!$H$26="Todos",datos_base!$C$9+datos_base!$C$23,0))*parametros_manuales!$I$95+parametros_manuales!$E$26*(datos_base!$C$3+datos_base!$C$19+IF(parametros_manuales!$H$26="Todos",datos_base!$C$10+datos_base!$C$24,0))*parametros_manuales!$I$100+parametros_manuales!$F$26*(datos_base!$C$4+datos_base!$C$20+IF(parametros_manuales!$H$26="Todos",datos_base!$C$11+datos_base!$C$25,0))*parametros_manuales!$I$105+parametros_manuales!$G$26*(datos_base!$C$5+datos_base!$C$21+IF(parametros_manuales!$H$26="Todos",datos_base!$C$12+datos_base!$C$26,0))*parametros_manuales!$I$110)*parametros_manuales!$I$26*parametros_manuales!$J$26</f>
        <v>388.99789024</v>
      </c>
      <c r="J36" s="9" t="n">
        <f aca="false">(parametros_manuales!$D$26*(datos_base!$C$2+datos_base!$C$18+IF(parametros_manuales!$H$26="Todos",datos_base!$C$9+datos_base!$C$23,0))*parametros_manuales!$J$95+parametros_manuales!$E$26*(datos_base!$C$3+datos_base!$C$19+IF(parametros_manuales!$H$26="Todos",datos_base!$C$10+datos_base!$C$24,0))*parametros_manuales!$J$100+parametros_manuales!$F$26*(datos_base!$C$4+datos_base!$C$20+IF(parametros_manuales!$H$26="Todos",datos_base!$C$11+datos_base!$C$25,0))*parametros_manuales!$J$105+parametros_manuales!$G$26*(datos_base!$C$5+datos_base!$C$21+IF(parametros_manuales!$H$26="Todos",datos_base!$C$12+datos_base!$C$26,0))*parametros_manuales!$J$110)*parametros_manuales!$I$26*parametros_manuales!$J$26</f>
        <v>388.99789024</v>
      </c>
      <c r="K36" s="9" t="n">
        <f aca="false">(parametros_manuales!$D$26*(datos_base!$C$2+datos_base!$C$18+IF(parametros_manuales!$H$26="Todos",datos_base!$C$9+datos_base!$C$23,0))*parametros_manuales!$K$95+parametros_manuales!$E$26*(datos_base!$C$3+datos_base!$C$19+IF(parametros_manuales!$H$26="Todos",datos_base!$C$10+datos_base!$C$24,0))*parametros_manuales!$K$100+parametros_manuales!$F$26*(datos_base!$C$4+datos_base!$C$20+IF(parametros_manuales!$H$26="Todos",datos_base!$C$11+datos_base!$C$25,0))*parametros_manuales!$K$105+parametros_manuales!$G$26*(datos_base!$C$5+datos_base!$C$21+IF(parametros_manuales!$H$26="Todos",datos_base!$C$12+datos_base!$C$26,0))*parametros_manuales!$K$110)*parametros_manuales!$I$26*parametros_manuales!$J$26</f>
        <v>413.31025838</v>
      </c>
      <c r="L36" s="9" t="n">
        <f aca="false">(parametros_manuales!$D$26*(datos_base!$C$2+datos_base!$C$18+IF(parametros_manuales!$H$26="Todos",datos_base!$C$9+datos_base!$C$23,0))*parametros_manuales!$L$95+parametros_manuales!$E$26*(datos_base!$C$3+datos_base!$C$19+IF(parametros_manuales!$H$26="Todos",datos_base!$C$10+datos_base!$C$24,0))*parametros_manuales!$L$100+parametros_manuales!$F$26*(datos_base!$C$4+datos_base!$C$20+IF(parametros_manuales!$H$26="Todos",datos_base!$C$11+datos_base!$C$25,0))*parametros_manuales!$L$105+parametros_manuales!$G$26*(datos_base!$C$5+datos_base!$C$21+IF(parametros_manuales!$H$26="Todos",datos_base!$C$12+datos_base!$C$26,0))*parametros_manuales!$L$110)*parametros_manuales!$I$26*parametros_manuales!$J$26</f>
        <v>437.62262652</v>
      </c>
      <c r="M36" s="9" t="n">
        <f aca="false">(parametros_manuales!$D$26*(datos_base!$C$2+datos_base!$C$18+IF(parametros_manuales!$H$26="Todos",datos_base!$C$9+datos_base!$C$23,0))*parametros_manuales!$M$95+parametros_manuales!$E$26*(datos_base!$C$3+datos_base!$C$19+IF(parametros_manuales!$H$26="Todos",datos_base!$C$10+datos_base!$C$24,0))*parametros_manuales!$M$100+parametros_manuales!$F$26*(datos_base!$C$4+datos_base!$C$20+IF(parametros_manuales!$H$26="Todos",datos_base!$C$11+datos_base!$C$25,0))*parametros_manuales!$M$105+parametros_manuales!$G$26*(datos_base!$C$5+datos_base!$C$21+IF(parametros_manuales!$H$26="Todos",datos_base!$C$12+datos_base!$C$26,0))*parametros_manuales!$M$110)*parametros_manuales!$I$26*parametros_manuales!$J$26</f>
        <v>437.62262652</v>
      </c>
      <c r="N36" s="9" t="n">
        <f aca="false">SUM(B36:M36)</f>
        <v>4862.473628</v>
      </c>
      <c r="O36" s="9" t="n">
        <f aca="false">MAX(B36:M36)</f>
        <v>437.62262652</v>
      </c>
      <c r="P36" s="43" t="n">
        <f aca="false">O36/(parametros_manuales!$B$7)</f>
        <v>2.9174841768</v>
      </c>
      <c r="Q36" s="8" t="str">
        <f aca="false">IF(O36=0,"-",INDEX($B$28:$M$28,MATCH(O36,B36:M36,0)))</f>
        <v>Ene</v>
      </c>
    </row>
    <row r="37" customFormat="false" ht="14.25" hidden="false" customHeight="true" outlineLevel="0" collapsed="false">
      <c r="A37" s="8" t="str">
        <f aca="false">parametros_manuales!$B$27</f>
        <v>Soldadura longitudinal</v>
      </c>
      <c r="B37" s="9" t="n">
        <f aca="false">(parametros_manuales!$D$27*(datos_base!$C$2+datos_base!$C$18+IF(parametros_manuales!$H$27="Todos",datos_base!$C$9+datos_base!$C$23,0))*parametros_manuales!$B$95+parametros_manuales!$E$27*(datos_base!$C$3+datos_base!$C$19+IF(parametros_manuales!$H$27="Todos",datos_base!$C$10+datos_base!$C$24,0))*parametros_manuales!$B$100+parametros_manuales!$F$27*(datos_base!$C$4+datos_base!$C$20+IF(parametros_manuales!$H$27="Todos",datos_base!$C$11+datos_base!$C$25,0))*parametros_manuales!$B$105+parametros_manuales!$G$27*(datos_base!$C$5+datos_base!$C$21+IF(parametros_manuales!$H$27="Todos",datos_base!$C$12+datos_base!$C$26,0))*parametros_manuales!$B$110)*parametros_manuales!$I$27*parametros_manuales!$J$27</f>
        <v>437.62262652</v>
      </c>
      <c r="C37" s="9" t="n">
        <f aca="false">(parametros_manuales!$D$27*(datos_base!$C$2+datos_base!$C$18+IF(parametros_manuales!$H$27="Todos",datos_base!$C$9+datos_base!$C$23,0))*parametros_manuales!$C$95+parametros_manuales!$E$27*(datos_base!$C$3+datos_base!$C$19+IF(parametros_manuales!$H$27="Todos",datos_base!$C$10+datos_base!$C$24,0))*parametros_manuales!$C$100+parametros_manuales!$F$27*(datos_base!$C$4+datos_base!$C$20+IF(parametros_manuales!$H$27="Todos",datos_base!$C$11+datos_base!$C$25,0))*parametros_manuales!$C$105+parametros_manuales!$G$27*(datos_base!$C$5+datos_base!$C$21+IF(parametros_manuales!$H$27="Todos",datos_base!$C$12+datos_base!$C$26,0))*parametros_manuales!$C$110)*parametros_manuales!$I$27*parametros_manuales!$J$27</f>
        <v>388.99789024</v>
      </c>
      <c r="D37" s="9" t="n">
        <f aca="false">(parametros_manuales!$D$27*(datos_base!$C$2+datos_base!$C$18+IF(parametros_manuales!$H$27="Todos",datos_base!$C$9+datos_base!$C$23,0))*parametros_manuales!$D$95+parametros_manuales!$E$27*(datos_base!$C$3+datos_base!$C$19+IF(parametros_manuales!$H$27="Todos",datos_base!$C$10+datos_base!$C$24,0))*parametros_manuales!$D$100+parametros_manuales!$F$27*(datos_base!$C$4+datos_base!$C$20+IF(parametros_manuales!$H$27="Todos",datos_base!$C$11+datos_base!$C$25,0))*parametros_manuales!$D$105+parametros_manuales!$G$27*(datos_base!$C$5+datos_base!$C$21+IF(parametros_manuales!$H$27="Todos",datos_base!$C$12+datos_base!$C$26,0))*parametros_manuales!$D$110)*parametros_manuales!$I$27*parametros_manuales!$J$27</f>
        <v>413.31025838</v>
      </c>
      <c r="E37" s="9" t="n">
        <f aca="false">(parametros_manuales!$D$27*(datos_base!$C$2+datos_base!$C$18+IF(parametros_manuales!$H$27="Todos",datos_base!$C$9+datos_base!$C$23,0))*parametros_manuales!$E$95+parametros_manuales!$E$27*(datos_base!$C$3+datos_base!$C$19+IF(parametros_manuales!$H$27="Todos",datos_base!$C$10+datos_base!$C$24,0))*parametros_manuales!$E$100+parametros_manuales!$F$27*(datos_base!$C$4+datos_base!$C$20+IF(parametros_manuales!$H$27="Todos",datos_base!$C$11+datos_base!$C$25,0))*parametros_manuales!$E$105+parametros_manuales!$G$27*(datos_base!$C$5+datos_base!$C$21+IF(parametros_manuales!$H$27="Todos",datos_base!$C$12+datos_base!$C$26,0))*parametros_manuales!$E$110)*parametros_manuales!$I$27*parametros_manuales!$J$27</f>
        <v>413.31025838</v>
      </c>
      <c r="F37" s="9" t="n">
        <f aca="false">(parametros_manuales!$D$27*(datos_base!$C$2+datos_base!$C$18+IF(parametros_manuales!$H$27="Todos",datos_base!$C$9+datos_base!$C$23,0))*parametros_manuales!$F$95+parametros_manuales!$E$27*(datos_base!$C$3+datos_base!$C$19+IF(parametros_manuales!$H$27="Todos",datos_base!$C$10+datos_base!$C$24,0))*parametros_manuales!$F$100+parametros_manuales!$F$27*(datos_base!$C$4+datos_base!$C$20+IF(parametros_manuales!$H$27="Todos",datos_base!$C$11+datos_base!$C$25,0))*parametros_manuales!$F$105+parametros_manuales!$G$27*(datos_base!$C$5+datos_base!$C$21+IF(parametros_manuales!$H$27="Todos",datos_base!$C$12+datos_base!$C$26,0))*parametros_manuales!$F$110)*parametros_manuales!$I$27*parametros_manuales!$J$27</f>
        <v>388.99789024</v>
      </c>
      <c r="G37" s="9" t="n">
        <f aca="false">(parametros_manuales!$D$27*(datos_base!$C$2+datos_base!$C$18+IF(parametros_manuales!$H$27="Todos",datos_base!$C$9+datos_base!$C$23,0))*parametros_manuales!$G$95+parametros_manuales!$E$27*(datos_base!$C$3+datos_base!$C$19+IF(parametros_manuales!$H$27="Todos",datos_base!$C$10+datos_base!$C$24,0))*parametros_manuales!$G$100+parametros_manuales!$F$27*(datos_base!$C$4+datos_base!$C$20+IF(parametros_manuales!$H$27="Todos",datos_base!$C$11+datos_base!$C$25,0))*parametros_manuales!$G$105+parametros_manuales!$G$27*(datos_base!$C$5+datos_base!$C$21+IF(parametros_manuales!$H$27="Todos",datos_base!$C$12+datos_base!$C$26,0))*parametros_manuales!$G$110)*parametros_manuales!$I$27*parametros_manuales!$J$27</f>
        <v>364.6855221</v>
      </c>
      <c r="H37" s="9" t="n">
        <f aca="false">(parametros_manuales!$D$27*(datos_base!$C$2+datos_base!$C$18+IF(parametros_manuales!$H$27="Todos",datos_base!$C$9+datos_base!$C$23,0))*parametros_manuales!$H$95+parametros_manuales!$E$27*(datos_base!$C$3+datos_base!$C$19+IF(parametros_manuales!$H$27="Todos",datos_base!$C$10+datos_base!$C$24,0))*parametros_manuales!$H$100+parametros_manuales!$F$27*(datos_base!$C$4+datos_base!$C$20+IF(parametros_manuales!$H$27="Todos",datos_base!$C$11+datos_base!$C$25,0))*parametros_manuales!$H$105+parametros_manuales!$G$27*(datos_base!$C$5+datos_base!$C$21+IF(parametros_manuales!$H$27="Todos",datos_base!$C$12+datos_base!$C$26,0))*parametros_manuales!$H$110)*parametros_manuales!$I$27*parametros_manuales!$J$27</f>
        <v>388.99789024</v>
      </c>
      <c r="I37" s="9" t="n">
        <f aca="false">(parametros_manuales!$D$27*(datos_base!$C$2+datos_base!$C$18+IF(parametros_manuales!$H$27="Todos",datos_base!$C$9+datos_base!$C$23,0))*parametros_manuales!$I$95+parametros_manuales!$E$27*(datos_base!$C$3+datos_base!$C$19+IF(parametros_manuales!$H$27="Todos",datos_base!$C$10+datos_base!$C$24,0))*parametros_manuales!$I$100+parametros_manuales!$F$27*(datos_base!$C$4+datos_base!$C$20+IF(parametros_manuales!$H$27="Todos",datos_base!$C$11+datos_base!$C$25,0))*parametros_manuales!$I$105+parametros_manuales!$G$27*(datos_base!$C$5+datos_base!$C$21+IF(parametros_manuales!$H$27="Todos",datos_base!$C$12+datos_base!$C$26,0))*parametros_manuales!$I$110)*parametros_manuales!$I$27*parametros_manuales!$J$27</f>
        <v>388.99789024</v>
      </c>
      <c r="J37" s="9" t="n">
        <f aca="false">(parametros_manuales!$D$27*(datos_base!$C$2+datos_base!$C$18+IF(parametros_manuales!$H$27="Todos",datos_base!$C$9+datos_base!$C$23,0))*parametros_manuales!$J$95+parametros_manuales!$E$27*(datos_base!$C$3+datos_base!$C$19+IF(parametros_manuales!$H$27="Todos",datos_base!$C$10+datos_base!$C$24,0))*parametros_manuales!$J$100+parametros_manuales!$F$27*(datos_base!$C$4+datos_base!$C$20+IF(parametros_manuales!$H$27="Todos",datos_base!$C$11+datos_base!$C$25,0))*parametros_manuales!$J$105+parametros_manuales!$G$27*(datos_base!$C$5+datos_base!$C$21+IF(parametros_manuales!$H$27="Todos",datos_base!$C$12+datos_base!$C$26,0))*parametros_manuales!$J$110)*parametros_manuales!$I$27*parametros_manuales!$J$27</f>
        <v>388.99789024</v>
      </c>
      <c r="K37" s="9" t="n">
        <f aca="false">(parametros_manuales!$D$27*(datos_base!$C$2+datos_base!$C$18+IF(parametros_manuales!$H$27="Todos",datos_base!$C$9+datos_base!$C$23,0))*parametros_manuales!$K$95+parametros_manuales!$E$27*(datos_base!$C$3+datos_base!$C$19+IF(parametros_manuales!$H$27="Todos",datos_base!$C$10+datos_base!$C$24,0))*parametros_manuales!$K$100+parametros_manuales!$F$27*(datos_base!$C$4+datos_base!$C$20+IF(parametros_manuales!$H$27="Todos",datos_base!$C$11+datos_base!$C$25,0))*parametros_manuales!$K$105+parametros_manuales!$G$27*(datos_base!$C$5+datos_base!$C$21+IF(parametros_manuales!$H$27="Todos",datos_base!$C$12+datos_base!$C$26,0))*parametros_manuales!$K$110)*parametros_manuales!$I$27*parametros_manuales!$J$27</f>
        <v>413.31025838</v>
      </c>
      <c r="L37" s="9" t="n">
        <f aca="false">(parametros_manuales!$D$27*(datos_base!$C$2+datos_base!$C$18+IF(parametros_manuales!$H$27="Todos",datos_base!$C$9+datos_base!$C$23,0))*parametros_manuales!$L$95+parametros_manuales!$E$27*(datos_base!$C$3+datos_base!$C$19+IF(parametros_manuales!$H$27="Todos",datos_base!$C$10+datos_base!$C$24,0))*parametros_manuales!$L$100+parametros_manuales!$F$27*(datos_base!$C$4+datos_base!$C$20+IF(parametros_manuales!$H$27="Todos",datos_base!$C$11+datos_base!$C$25,0))*parametros_manuales!$L$105+parametros_manuales!$G$27*(datos_base!$C$5+datos_base!$C$21+IF(parametros_manuales!$H$27="Todos",datos_base!$C$12+datos_base!$C$26,0))*parametros_manuales!$L$110)*parametros_manuales!$I$27*parametros_manuales!$J$27</f>
        <v>437.62262652</v>
      </c>
      <c r="M37" s="9" t="n">
        <f aca="false">(parametros_manuales!$D$27*(datos_base!$C$2+datos_base!$C$18+IF(parametros_manuales!$H$27="Todos",datos_base!$C$9+datos_base!$C$23,0))*parametros_manuales!$M$95+parametros_manuales!$E$27*(datos_base!$C$3+datos_base!$C$19+IF(parametros_manuales!$H$27="Todos",datos_base!$C$10+datos_base!$C$24,0))*parametros_manuales!$M$100+parametros_manuales!$F$27*(datos_base!$C$4+datos_base!$C$20+IF(parametros_manuales!$H$27="Todos",datos_base!$C$11+datos_base!$C$25,0))*parametros_manuales!$M$105+parametros_manuales!$G$27*(datos_base!$C$5+datos_base!$C$21+IF(parametros_manuales!$H$27="Todos",datos_base!$C$12+datos_base!$C$26,0))*parametros_manuales!$M$110)*parametros_manuales!$I$27*parametros_manuales!$J$27</f>
        <v>437.62262652</v>
      </c>
      <c r="N37" s="9" t="n">
        <f aca="false">SUM(B37:M37)</f>
        <v>4862.473628</v>
      </c>
      <c r="O37" s="9" t="n">
        <f aca="false">MAX(B37:M37)</f>
        <v>437.62262652</v>
      </c>
      <c r="P37" s="43" t="n">
        <f aca="false">O37/(parametros_manuales!$B$7)</f>
        <v>2.9174841768</v>
      </c>
      <c r="Q37" s="8" t="str">
        <f aca="false">IF(O37=0,"-",INDEX($B$28:$M$28,MATCH(O37,B37:M37,0)))</f>
        <v>Ene</v>
      </c>
    </row>
    <row r="38" customFormat="false" ht="14.25" hidden="false" customHeight="true" outlineLevel="0" collapsed="false">
      <c r="A38" s="8" t="str">
        <f aca="false">parametros_manuales!$B$28</f>
        <v>Encastre de fondo</v>
      </c>
      <c r="B38" s="9" t="n">
        <f aca="false">(parametros_manuales!$D$28*(datos_base!$C$2+datos_base!$C$18+IF(parametros_manuales!$H$28="Todos",datos_base!$C$9+datos_base!$C$23,0))*parametros_manuales!$B$95+parametros_manuales!$E$28*(datos_base!$C$3+datos_base!$C$19+IF(parametros_manuales!$H$28="Todos",datos_base!$C$10+datos_base!$C$24,0))*parametros_manuales!$B$100+parametros_manuales!$F$28*(datos_base!$C$4+datos_base!$C$20+IF(parametros_manuales!$H$28="Todos",datos_base!$C$11+datos_base!$C$25,0))*parametros_manuales!$B$105+parametros_manuales!$G$28*(datos_base!$C$5+datos_base!$C$21+IF(parametros_manuales!$H$28="Todos",datos_base!$C$12+datos_base!$C$26,0))*parametros_manuales!$B$110)*parametros_manuales!$I$28*parametros_manuales!$J$28</f>
        <v>977.37998445</v>
      </c>
      <c r="C38" s="9" t="n">
        <f aca="false">(parametros_manuales!$D$28*(datos_base!$C$2+datos_base!$C$18+IF(parametros_manuales!$H$28="Todos",datos_base!$C$9+datos_base!$C$23,0))*parametros_manuales!$C$95+parametros_manuales!$E$28*(datos_base!$C$3+datos_base!$C$19+IF(parametros_manuales!$H$28="Todos",datos_base!$C$10+datos_base!$C$24,0))*parametros_manuales!$C$100+parametros_manuales!$F$28*(datos_base!$C$4+datos_base!$C$20+IF(parametros_manuales!$H$28="Todos",datos_base!$C$11+datos_base!$C$25,0))*parametros_manuales!$C$105+parametros_manuales!$G$28*(datos_base!$C$5+datos_base!$C$21+IF(parametros_manuales!$H$28="Todos",datos_base!$C$12+datos_base!$C$26,0))*parametros_manuales!$C$110)*parametros_manuales!$I$28*parametros_manuales!$J$28</f>
        <v>928.75524817</v>
      </c>
      <c r="D38" s="9" t="n">
        <f aca="false">(parametros_manuales!$D$28*(datos_base!$C$2+datos_base!$C$18+IF(parametros_manuales!$H$28="Todos",datos_base!$C$9+datos_base!$C$23,0))*parametros_manuales!$D$95+parametros_manuales!$E$28*(datos_base!$C$3+datos_base!$C$19+IF(parametros_manuales!$H$28="Todos",datos_base!$C$10+datos_base!$C$24,0))*parametros_manuales!$D$100+parametros_manuales!$F$28*(datos_base!$C$4+datos_base!$C$20+IF(parametros_manuales!$H$28="Todos",datos_base!$C$11+datos_base!$C$25,0))*parametros_manuales!$D$105+parametros_manuales!$G$28*(datos_base!$C$5+datos_base!$C$21+IF(parametros_manuales!$H$28="Todos",datos_base!$C$12+datos_base!$C$26,0))*parametros_manuales!$D$110)*parametros_manuales!$I$28*parametros_manuales!$J$28</f>
        <v>893.09457654</v>
      </c>
      <c r="E38" s="9" t="n">
        <f aca="false">(parametros_manuales!$D$28*(datos_base!$C$2+datos_base!$C$18+IF(parametros_manuales!$H$28="Todos",datos_base!$C$9+datos_base!$C$23,0))*parametros_manuales!$E$95+parametros_manuales!$E$28*(datos_base!$C$3+datos_base!$C$19+IF(parametros_manuales!$H$28="Todos",datos_base!$C$10+datos_base!$C$24,0))*parametros_manuales!$E$100+parametros_manuales!$F$28*(datos_base!$C$4+datos_base!$C$20+IF(parametros_manuales!$H$28="Todos",datos_base!$C$11+datos_base!$C$25,0))*parametros_manuales!$E$105+parametros_manuales!$G$28*(datos_base!$C$5+datos_base!$C$21+IF(parametros_manuales!$H$28="Todos",datos_base!$C$12+datos_base!$C$26,0))*parametros_manuales!$E$110)*parametros_manuales!$I$28*parametros_manuales!$J$28</f>
        <v>863.108056655</v>
      </c>
      <c r="F38" s="9" t="n">
        <f aca="false">(parametros_manuales!$D$28*(datos_base!$C$2+datos_base!$C$18+IF(parametros_manuales!$H$28="Todos",datos_base!$C$9+datos_base!$C$23,0))*parametros_manuales!$F$95+parametros_manuales!$E$28*(datos_base!$C$3+datos_base!$C$19+IF(parametros_manuales!$H$28="Todos",datos_base!$C$10+datos_base!$C$24,0))*parametros_manuales!$F$100+parametros_manuales!$F$28*(datos_base!$C$4+datos_base!$C$20+IF(parametros_manuales!$H$28="Todos",datos_base!$C$11+datos_base!$C$25,0))*parametros_manuales!$F$105+parametros_manuales!$G$28*(datos_base!$C$5+datos_base!$C$21+IF(parametros_manuales!$H$28="Todos",datos_base!$C$12+datos_base!$C$26,0))*parametros_manuales!$F$110)*parametros_manuales!$I$28*parametros_manuales!$J$28</f>
        <v>808.80916863</v>
      </c>
      <c r="G38" s="9" t="n">
        <f aca="false">(parametros_manuales!$D$28*(datos_base!$C$2+datos_base!$C$18+IF(parametros_manuales!$H$28="Todos",datos_base!$C$9+datos_base!$C$23,0))*parametros_manuales!$G$95+parametros_manuales!$E$28*(datos_base!$C$3+datos_base!$C$19+IF(parametros_manuales!$H$28="Todos",datos_base!$C$10+datos_base!$C$24,0))*parametros_manuales!$G$100+parametros_manuales!$F$28*(datos_base!$C$4+datos_base!$C$20+IF(parametros_manuales!$H$28="Todos",datos_base!$C$11+datos_base!$C$25,0))*parametros_manuales!$G$105+parametros_manuales!$G$28*(datos_base!$C$5+datos_base!$C$21+IF(parametros_manuales!$H$28="Todos",datos_base!$C$12+datos_base!$C$26,0))*parametros_manuales!$G$110)*parametros_manuales!$I$28*parametros_manuales!$J$28</f>
        <v>784.49680049</v>
      </c>
      <c r="H38" s="9" t="n">
        <f aca="false">(parametros_manuales!$D$28*(datos_base!$C$2+datos_base!$C$18+IF(parametros_manuales!$H$28="Todos",datos_base!$C$9+datos_base!$C$23,0))*parametros_manuales!$H$95+parametros_manuales!$E$28*(datos_base!$C$3+datos_base!$C$19+IF(parametros_manuales!$H$28="Todos",datos_base!$C$10+datos_base!$C$24,0))*parametros_manuales!$H$100+parametros_manuales!$F$28*(datos_base!$C$4+datos_base!$C$20+IF(parametros_manuales!$H$28="Todos",datos_base!$C$11+datos_base!$C$25,0))*parametros_manuales!$H$105+parametros_manuales!$G$28*(datos_base!$C$5+datos_base!$C$21+IF(parametros_manuales!$H$28="Todos",datos_base!$C$12+datos_base!$C$26,0))*parametros_manuales!$H$110)*parametros_manuales!$I$28*parametros_manuales!$J$28</f>
        <v>838.795688515</v>
      </c>
      <c r="I38" s="9" t="n">
        <f aca="false">(parametros_manuales!$D$28*(datos_base!$C$2+datos_base!$C$18+IF(parametros_manuales!$H$28="Todos",datos_base!$C$9+datos_base!$C$23,0))*parametros_manuales!$I$95+parametros_manuales!$E$28*(datos_base!$C$3+datos_base!$C$19+IF(parametros_manuales!$H$28="Todos",datos_base!$C$10+datos_base!$C$24,0))*parametros_manuales!$I$100+parametros_manuales!$F$28*(datos_base!$C$4+datos_base!$C$20+IF(parametros_manuales!$H$28="Todos",datos_base!$C$11+datos_base!$C$25,0))*parametros_manuales!$I$105+parametros_manuales!$G$28*(datos_base!$C$5+datos_base!$C$21+IF(parametros_manuales!$H$28="Todos",datos_base!$C$12+datos_base!$C$26,0))*parametros_manuales!$I$110)*parametros_manuales!$I$28*parametros_manuales!$J$28</f>
        <v>928.75524817</v>
      </c>
      <c r="J38" s="9" t="n">
        <f aca="false">(parametros_manuales!$D$28*(datos_base!$C$2+datos_base!$C$18+IF(parametros_manuales!$H$28="Todos",datos_base!$C$9+datos_base!$C$23,0))*parametros_manuales!$J$95+parametros_manuales!$E$28*(datos_base!$C$3+datos_base!$C$19+IF(parametros_manuales!$H$28="Todos",datos_base!$C$10+datos_base!$C$24,0))*parametros_manuales!$J$100+parametros_manuales!$F$28*(datos_base!$C$4+datos_base!$C$20+IF(parametros_manuales!$H$28="Todos",datos_base!$C$11+datos_base!$C$25,0))*parametros_manuales!$J$105+parametros_manuales!$G$28*(datos_base!$C$5+datos_base!$C$21+IF(parametros_manuales!$H$28="Todos",datos_base!$C$12+datos_base!$C$26,0))*parametros_manuales!$J$110)*parametros_manuales!$I$28*parametros_manuales!$J$28</f>
        <v>928.75524817</v>
      </c>
      <c r="K38" s="9" t="n">
        <f aca="false">(parametros_manuales!$D$28*(datos_base!$C$2+datos_base!$C$18+IF(parametros_manuales!$H$28="Todos",datos_base!$C$9+datos_base!$C$23,0))*parametros_manuales!$K$95+parametros_manuales!$E$28*(datos_base!$C$3+datos_base!$C$19+IF(parametros_manuales!$H$28="Todos",datos_base!$C$10+datos_base!$C$24,0))*parametros_manuales!$K$100+parametros_manuales!$F$28*(datos_base!$C$4+datos_base!$C$20+IF(parametros_manuales!$H$28="Todos",datos_base!$C$11+datos_base!$C$25,0))*parametros_manuales!$K$105+parametros_manuales!$G$28*(datos_base!$C$5+datos_base!$C$21+IF(parametros_manuales!$H$28="Todos",datos_base!$C$12+datos_base!$C$26,0))*parametros_manuales!$K$110)*parametros_manuales!$I$28*parametros_manuales!$J$28</f>
        <v>953.06761631</v>
      </c>
      <c r="L38" s="9" t="n">
        <f aca="false">(parametros_manuales!$D$28*(datos_base!$C$2+datos_base!$C$18+IF(parametros_manuales!$H$28="Todos",datos_base!$C$9+datos_base!$C$23,0))*parametros_manuales!$L$95+parametros_manuales!$E$28*(datos_base!$C$3+datos_base!$C$19+IF(parametros_manuales!$H$28="Todos",datos_base!$C$10+datos_base!$C$24,0))*parametros_manuales!$L$100+parametros_manuales!$F$28*(datos_base!$C$4+datos_base!$C$20+IF(parametros_manuales!$H$28="Todos",datos_base!$C$11+datos_base!$C$25,0))*parametros_manuales!$L$105+parametros_manuales!$G$28*(datos_base!$C$5+datos_base!$C$21+IF(parametros_manuales!$H$28="Todos",datos_base!$C$12+datos_base!$C$26,0))*parametros_manuales!$L$110)*parametros_manuales!$I$28*parametros_manuales!$J$28</f>
        <v>977.37998445</v>
      </c>
      <c r="M38" s="9" t="n">
        <f aca="false">(parametros_manuales!$D$28*(datos_base!$C$2+datos_base!$C$18+IF(parametros_manuales!$H$28="Todos",datos_base!$C$9+datos_base!$C$23,0))*parametros_manuales!$M$95+parametros_manuales!$E$28*(datos_base!$C$3+datos_base!$C$19+IF(parametros_manuales!$H$28="Todos",datos_base!$C$10+datos_base!$C$24,0))*parametros_manuales!$M$100+parametros_manuales!$F$28*(datos_base!$C$4+datos_base!$C$20+IF(parametros_manuales!$H$28="Todos",datos_base!$C$11+datos_base!$C$25,0))*parametros_manuales!$M$105+parametros_manuales!$G$28*(datos_base!$C$5+datos_base!$C$21+IF(parametros_manuales!$H$28="Todos",datos_base!$C$12+datos_base!$C$26,0))*parametros_manuales!$M$110)*parametros_manuales!$I$28*parametros_manuales!$J$28</f>
        <v>977.37998445</v>
      </c>
      <c r="N38" s="9" t="n">
        <f aca="false">SUM(B38:M38)</f>
        <v>10859.777605</v>
      </c>
      <c r="O38" s="9" t="n">
        <f aca="false">MAX(B38:M38)</f>
        <v>977.37998445</v>
      </c>
      <c r="P38" s="43" t="n">
        <f aca="false">O38/(parametros_manuales!$B$7)</f>
        <v>6.515866563</v>
      </c>
      <c r="Q38" s="8" t="str">
        <f aca="false">IF(O38=0,"-",INDEX($B$28:$M$28,MATCH(O38,B38:M38,0)))</f>
        <v>Ene</v>
      </c>
    </row>
    <row r="39" customFormat="false" ht="14.25" hidden="false" customHeight="true" outlineLevel="0" collapsed="false">
      <c r="A39" s="8" t="str">
        <f aca="false">parametros_manuales!$B$29</f>
        <v>Bordoneado</v>
      </c>
      <c r="B39" s="9" t="n">
        <f aca="false">(parametros_manuales!$D$29*(datos_base!$C$2+datos_base!$C$18+IF(parametros_manuales!$H$29="Todos",datos_base!$C$9+datos_base!$C$23,0))*parametros_manuales!$B$95+parametros_manuales!$E$29*(datos_base!$C$3+datos_base!$C$19+IF(parametros_manuales!$H$29="Todos",datos_base!$C$10+datos_base!$C$24,0))*parametros_manuales!$B$100+parametros_manuales!$F$29*(datos_base!$C$4+datos_base!$C$20+IF(parametros_manuales!$H$29="Todos",datos_base!$C$11+datos_base!$C$25,0))*parametros_manuales!$B$105+parametros_manuales!$G$29*(datos_base!$C$5+datos_base!$C$21+IF(parametros_manuales!$H$29="Todos",datos_base!$C$12+datos_base!$C$26,0))*parametros_manuales!$B$110)*parametros_manuales!$I$29*parametros_manuales!$J$29</f>
        <v>977.37998445</v>
      </c>
      <c r="C39" s="9" t="n">
        <f aca="false">(parametros_manuales!$D$29*(datos_base!$C$2+datos_base!$C$18+IF(parametros_manuales!$H$29="Todos",datos_base!$C$9+datos_base!$C$23,0))*parametros_manuales!$C$95+parametros_manuales!$E$29*(datos_base!$C$3+datos_base!$C$19+IF(parametros_manuales!$H$29="Todos",datos_base!$C$10+datos_base!$C$24,0))*parametros_manuales!$C$100+parametros_manuales!$F$29*(datos_base!$C$4+datos_base!$C$20+IF(parametros_manuales!$H$29="Todos",datos_base!$C$11+datos_base!$C$25,0))*parametros_manuales!$C$105+parametros_manuales!$G$29*(datos_base!$C$5+datos_base!$C$21+IF(parametros_manuales!$H$29="Todos",datos_base!$C$12+datos_base!$C$26,0))*parametros_manuales!$C$110)*parametros_manuales!$I$29*parametros_manuales!$J$29</f>
        <v>928.75524817</v>
      </c>
      <c r="D39" s="9" t="n">
        <f aca="false">(parametros_manuales!$D$29*(datos_base!$C$2+datos_base!$C$18+IF(parametros_manuales!$H$29="Todos",datos_base!$C$9+datos_base!$C$23,0))*parametros_manuales!$D$95+parametros_manuales!$E$29*(datos_base!$C$3+datos_base!$C$19+IF(parametros_manuales!$H$29="Todos",datos_base!$C$10+datos_base!$C$24,0))*parametros_manuales!$D$100+parametros_manuales!$F$29*(datos_base!$C$4+datos_base!$C$20+IF(parametros_manuales!$H$29="Todos",datos_base!$C$11+datos_base!$C$25,0))*parametros_manuales!$D$105+parametros_manuales!$G$29*(datos_base!$C$5+datos_base!$C$21+IF(parametros_manuales!$H$29="Todos",datos_base!$C$12+datos_base!$C$26,0))*parametros_manuales!$D$110)*parametros_manuales!$I$29*parametros_manuales!$J$29</f>
        <v>893.09457654</v>
      </c>
      <c r="E39" s="9" t="n">
        <f aca="false">(parametros_manuales!$D$29*(datos_base!$C$2+datos_base!$C$18+IF(parametros_manuales!$H$29="Todos",datos_base!$C$9+datos_base!$C$23,0))*parametros_manuales!$E$95+parametros_manuales!$E$29*(datos_base!$C$3+datos_base!$C$19+IF(parametros_manuales!$H$29="Todos",datos_base!$C$10+datos_base!$C$24,0))*parametros_manuales!$E$100+parametros_manuales!$F$29*(datos_base!$C$4+datos_base!$C$20+IF(parametros_manuales!$H$29="Todos",datos_base!$C$11+datos_base!$C$25,0))*parametros_manuales!$E$105+parametros_manuales!$G$29*(datos_base!$C$5+datos_base!$C$21+IF(parametros_manuales!$H$29="Todos",datos_base!$C$12+datos_base!$C$26,0))*parametros_manuales!$E$110)*parametros_manuales!$I$29*parametros_manuales!$J$29</f>
        <v>863.108056655</v>
      </c>
      <c r="F39" s="9" t="n">
        <f aca="false">(parametros_manuales!$D$29*(datos_base!$C$2+datos_base!$C$18+IF(parametros_manuales!$H$29="Todos",datos_base!$C$9+datos_base!$C$23,0))*parametros_manuales!$F$95+parametros_manuales!$E$29*(datos_base!$C$3+datos_base!$C$19+IF(parametros_manuales!$H$29="Todos",datos_base!$C$10+datos_base!$C$24,0))*parametros_manuales!$F$100+parametros_manuales!$F$29*(datos_base!$C$4+datos_base!$C$20+IF(parametros_manuales!$H$29="Todos",datos_base!$C$11+datos_base!$C$25,0))*parametros_manuales!$F$105+parametros_manuales!$G$29*(datos_base!$C$5+datos_base!$C$21+IF(parametros_manuales!$H$29="Todos",datos_base!$C$12+datos_base!$C$26,0))*parametros_manuales!$F$110)*parametros_manuales!$I$29*parametros_manuales!$J$29</f>
        <v>808.80916863</v>
      </c>
      <c r="G39" s="9" t="n">
        <f aca="false">(parametros_manuales!$D$29*(datos_base!$C$2+datos_base!$C$18+IF(parametros_manuales!$H$29="Todos",datos_base!$C$9+datos_base!$C$23,0))*parametros_manuales!$G$95+parametros_manuales!$E$29*(datos_base!$C$3+datos_base!$C$19+IF(parametros_manuales!$H$29="Todos",datos_base!$C$10+datos_base!$C$24,0))*parametros_manuales!$G$100+parametros_manuales!$F$29*(datos_base!$C$4+datos_base!$C$20+IF(parametros_manuales!$H$29="Todos",datos_base!$C$11+datos_base!$C$25,0))*parametros_manuales!$G$105+parametros_manuales!$G$29*(datos_base!$C$5+datos_base!$C$21+IF(parametros_manuales!$H$29="Todos",datos_base!$C$12+datos_base!$C$26,0))*parametros_manuales!$G$110)*parametros_manuales!$I$29*parametros_manuales!$J$29</f>
        <v>784.49680049</v>
      </c>
      <c r="H39" s="9" t="n">
        <f aca="false">(parametros_manuales!$D$29*(datos_base!$C$2+datos_base!$C$18+IF(parametros_manuales!$H$29="Todos",datos_base!$C$9+datos_base!$C$23,0))*parametros_manuales!$H$95+parametros_manuales!$E$29*(datos_base!$C$3+datos_base!$C$19+IF(parametros_manuales!$H$29="Todos",datos_base!$C$10+datos_base!$C$24,0))*parametros_manuales!$H$100+parametros_manuales!$F$29*(datos_base!$C$4+datos_base!$C$20+IF(parametros_manuales!$H$29="Todos",datos_base!$C$11+datos_base!$C$25,0))*parametros_manuales!$H$105+parametros_manuales!$G$29*(datos_base!$C$5+datos_base!$C$21+IF(parametros_manuales!$H$29="Todos",datos_base!$C$12+datos_base!$C$26,0))*parametros_manuales!$H$110)*parametros_manuales!$I$29*parametros_manuales!$J$29</f>
        <v>838.795688515</v>
      </c>
      <c r="I39" s="9" t="n">
        <f aca="false">(parametros_manuales!$D$29*(datos_base!$C$2+datos_base!$C$18+IF(parametros_manuales!$H$29="Todos",datos_base!$C$9+datos_base!$C$23,0))*parametros_manuales!$I$95+parametros_manuales!$E$29*(datos_base!$C$3+datos_base!$C$19+IF(parametros_manuales!$H$29="Todos",datos_base!$C$10+datos_base!$C$24,0))*parametros_manuales!$I$100+parametros_manuales!$F$29*(datos_base!$C$4+datos_base!$C$20+IF(parametros_manuales!$H$29="Todos",datos_base!$C$11+datos_base!$C$25,0))*parametros_manuales!$I$105+parametros_manuales!$G$29*(datos_base!$C$5+datos_base!$C$21+IF(parametros_manuales!$H$29="Todos",datos_base!$C$12+datos_base!$C$26,0))*parametros_manuales!$I$110)*parametros_manuales!$I$29*parametros_manuales!$J$29</f>
        <v>928.75524817</v>
      </c>
      <c r="J39" s="9" t="n">
        <f aca="false">(parametros_manuales!$D$29*(datos_base!$C$2+datos_base!$C$18+IF(parametros_manuales!$H$29="Todos",datos_base!$C$9+datos_base!$C$23,0))*parametros_manuales!$J$95+parametros_manuales!$E$29*(datos_base!$C$3+datos_base!$C$19+IF(parametros_manuales!$H$29="Todos",datos_base!$C$10+datos_base!$C$24,0))*parametros_manuales!$J$100+parametros_manuales!$F$29*(datos_base!$C$4+datos_base!$C$20+IF(parametros_manuales!$H$29="Todos",datos_base!$C$11+datos_base!$C$25,0))*parametros_manuales!$J$105+parametros_manuales!$G$29*(datos_base!$C$5+datos_base!$C$21+IF(parametros_manuales!$H$29="Todos",datos_base!$C$12+datos_base!$C$26,0))*parametros_manuales!$J$110)*parametros_manuales!$I$29*parametros_manuales!$J$29</f>
        <v>928.75524817</v>
      </c>
      <c r="K39" s="9" t="n">
        <f aca="false">(parametros_manuales!$D$29*(datos_base!$C$2+datos_base!$C$18+IF(parametros_manuales!$H$29="Todos",datos_base!$C$9+datos_base!$C$23,0))*parametros_manuales!$K$95+parametros_manuales!$E$29*(datos_base!$C$3+datos_base!$C$19+IF(parametros_manuales!$H$29="Todos",datos_base!$C$10+datos_base!$C$24,0))*parametros_manuales!$K$100+parametros_manuales!$F$29*(datos_base!$C$4+datos_base!$C$20+IF(parametros_manuales!$H$29="Todos",datos_base!$C$11+datos_base!$C$25,0))*parametros_manuales!$K$105+parametros_manuales!$G$29*(datos_base!$C$5+datos_base!$C$21+IF(parametros_manuales!$H$29="Todos",datos_base!$C$12+datos_base!$C$26,0))*parametros_manuales!$K$110)*parametros_manuales!$I$29*parametros_manuales!$J$29</f>
        <v>953.06761631</v>
      </c>
      <c r="L39" s="9" t="n">
        <f aca="false">(parametros_manuales!$D$29*(datos_base!$C$2+datos_base!$C$18+IF(parametros_manuales!$H$29="Todos",datos_base!$C$9+datos_base!$C$23,0))*parametros_manuales!$L$95+parametros_manuales!$E$29*(datos_base!$C$3+datos_base!$C$19+IF(parametros_manuales!$H$29="Todos",datos_base!$C$10+datos_base!$C$24,0))*parametros_manuales!$L$100+parametros_manuales!$F$29*(datos_base!$C$4+datos_base!$C$20+IF(parametros_manuales!$H$29="Todos",datos_base!$C$11+datos_base!$C$25,0))*parametros_manuales!$L$105+parametros_manuales!$G$29*(datos_base!$C$5+datos_base!$C$21+IF(parametros_manuales!$H$29="Todos",datos_base!$C$12+datos_base!$C$26,0))*parametros_manuales!$L$110)*parametros_manuales!$I$29*parametros_manuales!$J$29</f>
        <v>977.37998445</v>
      </c>
      <c r="M39" s="9" t="n">
        <f aca="false">(parametros_manuales!$D$29*(datos_base!$C$2+datos_base!$C$18+IF(parametros_manuales!$H$29="Todos",datos_base!$C$9+datos_base!$C$23,0))*parametros_manuales!$M$95+parametros_manuales!$E$29*(datos_base!$C$3+datos_base!$C$19+IF(parametros_manuales!$H$29="Todos",datos_base!$C$10+datos_base!$C$24,0))*parametros_manuales!$M$100+parametros_manuales!$F$29*(datos_base!$C$4+datos_base!$C$20+IF(parametros_manuales!$H$29="Todos",datos_base!$C$11+datos_base!$C$25,0))*parametros_manuales!$M$105+parametros_manuales!$G$29*(datos_base!$C$5+datos_base!$C$21+IF(parametros_manuales!$H$29="Todos",datos_base!$C$12+datos_base!$C$26,0))*parametros_manuales!$M$110)*parametros_manuales!$I$29*parametros_manuales!$J$29</f>
        <v>977.37998445</v>
      </c>
      <c r="N39" s="9" t="n">
        <f aca="false">SUM(B39:M39)</f>
        <v>10859.777605</v>
      </c>
      <c r="O39" s="9" t="n">
        <f aca="false">MAX(B39:M39)</f>
        <v>977.37998445</v>
      </c>
      <c r="P39" s="43" t="n">
        <f aca="false">O39/(parametros_manuales!$B$7)</f>
        <v>6.515866563</v>
      </c>
      <c r="Q39" s="8" t="str">
        <f aca="false">IF(O39=0,"-",INDEX($B$28:$M$28,MATCH(O39,B39:M39,0)))</f>
        <v>Ene</v>
      </c>
    </row>
    <row r="40" customFormat="false" ht="14.25" hidden="false" customHeight="true" outlineLevel="0" collapsed="false">
      <c r="A40" s="8" t="str">
        <f aca="false">parametros_manuales!$B$30</f>
        <v>Soldadura circunferencial de cúpula y fondo</v>
      </c>
      <c r="B40" s="9" t="n">
        <f aca="false">(parametros_manuales!$D$30*(datos_base!$C$2+datos_base!$C$18+IF(parametros_manuales!$H$30="Todos",datos_base!$C$9+datos_base!$C$23,0))*parametros_manuales!$B$95+parametros_manuales!$E$30*(datos_base!$C$3+datos_base!$C$19+IF(parametros_manuales!$H$30="Todos",datos_base!$C$10+datos_base!$C$24,0))*parametros_manuales!$B$100+parametros_manuales!$F$30*(datos_base!$C$4+datos_base!$C$20+IF(parametros_manuales!$H$30="Todos",datos_base!$C$11+datos_base!$C$25,0))*parametros_manuales!$B$105+parametros_manuales!$G$30*(datos_base!$C$5+datos_base!$C$21+IF(parametros_manuales!$H$30="Todos",datos_base!$C$12+datos_base!$C$26,0))*parametros_manuales!$B$110)*parametros_manuales!$I$30*parametros_manuales!$J$30</f>
        <v>977.37998445</v>
      </c>
      <c r="C40" s="9" t="n">
        <f aca="false">(parametros_manuales!$D$30*(datos_base!$C$2+datos_base!$C$18+IF(parametros_manuales!$H$30="Todos",datos_base!$C$9+datos_base!$C$23,0))*parametros_manuales!$C$95+parametros_manuales!$E$30*(datos_base!$C$3+datos_base!$C$19+IF(parametros_manuales!$H$30="Todos",datos_base!$C$10+datos_base!$C$24,0))*parametros_manuales!$C$100+parametros_manuales!$F$30*(datos_base!$C$4+datos_base!$C$20+IF(parametros_manuales!$H$30="Todos",datos_base!$C$11+datos_base!$C$25,0))*parametros_manuales!$C$105+parametros_manuales!$G$30*(datos_base!$C$5+datos_base!$C$21+IF(parametros_manuales!$H$30="Todos",datos_base!$C$12+datos_base!$C$26,0))*parametros_manuales!$C$110)*parametros_manuales!$I$30*parametros_manuales!$J$30</f>
        <v>928.75524817</v>
      </c>
      <c r="D40" s="9" t="n">
        <f aca="false">(parametros_manuales!$D$30*(datos_base!$C$2+datos_base!$C$18+IF(parametros_manuales!$H$30="Todos",datos_base!$C$9+datos_base!$C$23,0))*parametros_manuales!$D$95+parametros_manuales!$E$30*(datos_base!$C$3+datos_base!$C$19+IF(parametros_manuales!$H$30="Todos",datos_base!$C$10+datos_base!$C$24,0))*parametros_manuales!$D$100+parametros_manuales!$F$30*(datos_base!$C$4+datos_base!$C$20+IF(parametros_manuales!$H$30="Todos",datos_base!$C$11+datos_base!$C$25,0))*parametros_manuales!$D$105+parametros_manuales!$G$30*(datos_base!$C$5+datos_base!$C$21+IF(parametros_manuales!$H$30="Todos",datos_base!$C$12+datos_base!$C$26,0))*parametros_manuales!$D$110)*parametros_manuales!$I$30*parametros_manuales!$J$30</f>
        <v>893.09457654</v>
      </c>
      <c r="E40" s="9" t="n">
        <f aca="false">(parametros_manuales!$D$30*(datos_base!$C$2+datos_base!$C$18+IF(parametros_manuales!$H$30="Todos",datos_base!$C$9+datos_base!$C$23,0))*parametros_manuales!$E$95+parametros_manuales!$E$30*(datos_base!$C$3+datos_base!$C$19+IF(parametros_manuales!$H$30="Todos",datos_base!$C$10+datos_base!$C$24,0))*parametros_manuales!$E$100+parametros_manuales!$F$30*(datos_base!$C$4+datos_base!$C$20+IF(parametros_manuales!$H$30="Todos",datos_base!$C$11+datos_base!$C$25,0))*parametros_manuales!$E$105+parametros_manuales!$G$30*(datos_base!$C$5+datos_base!$C$21+IF(parametros_manuales!$H$30="Todos",datos_base!$C$12+datos_base!$C$26,0))*parametros_manuales!$E$110)*parametros_manuales!$I$30*parametros_manuales!$J$30</f>
        <v>863.108056655</v>
      </c>
      <c r="F40" s="9" t="n">
        <f aca="false">(parametros_manuales!$D$30*(datos_base!$C$2+datos_base!$C$18+IF(parametros_manuales!$H$30="Todos",datos_base!$C$9+datos_base!$C$23,0))*parametros_manuales!$F$95+parametros_manuales!$E$30*(datos_base!$C$3+datos_base!$C$19+IF(parametros_manuales!$H$30="Todos",datos_base!$C$10+datos_base!$C$24,0))*parametros_manuales!$F$100+parametros_manuales!$F$30*(datos_base!$C$4+datos_base!$C$20+IF(parametros_manuales!$H$30="Todos",datos_base!$C$11+datos_base!$C$25,0))*parametros_manuales!$F$105+parametros_manuales!$G$30*(datos_base!$C$5+datos_base!$C$21+IF(parametros_manuales!$H$30="Todos",datos_base!$C$12+datos_base!$C$26,0))*parametros_manuales!$F$110)*parametros_manuales!$I$30*parametros_manuales!$J$30</f>
        <v>808.80916863</v>
      </c>
      <c r="G40" s="9" t="n">
        <f aca="false">(parametros_manuales!$D$30*(datos_base!$C$2+datos_base!$C$18+IF(parametros_manuales!$H$30="Todos",datos_base!$C$9+datos_base!$C$23,0))*parametros_manuales!$G$95+parametros_manuales!$E$30*(datos_base!$C$3+datos_base!$C$19+IF(parametros_manuales!$H$30="Todos",datos_base!$C$10+datos_base!$C$24,0))*parametros_manuales!$G$100+parametros_manuales!$F$30*(datos_base!$C$4+datos_base!$C$20+IF(parametros_manuales!$H$30="Todos",datos_base!$C$11+datos_base!$C$25,0))*parametros_manuales!$G$105+parametros_manuales!$G$30*(datos_base!$C$5+datos_base!$C$21+IF(parametros_manuales!$H$30="Todos",datos_base!$C$12+datos_base!$C$26,0))*parametros_manuales!$G$110)*parametros_manuales!$I$30*parametros_manuales!$J$30</f>
        <v>784.49680049</v>
      </c>
      <c r="H40" s="9" t="n">
        <f aca="false">(parametros_manuales!$D$30*(datos_base!$C$2+datos_base!$C$18+IF(parametros_manuales!$H$30="Todos",datos_base!$C$9+datos_base!$C$23,0))*parametros_manuales!$H$95+parametros_manuales!$E$30*(datos_base!$C$3+datos_base!$C$19+IF(parametros_manuales!$H$30="Todos",datos_base!$C$10+datos_base!$C$24,0))*parametros_manuales!$H$100+parametros_manuales!$F$30*(datos_base!$C$4+datos_base!$C$20+IF(parametros_manuales!$H$30="Todos",datos_base!$C$11+datos_base!$C$25,0))*parametros_manuales!$H$105+parametros_manuales!$G$30*(datos_base!$C$5+datos_base!$C$21+IF(parametros_manuales!$H$30="Todos",datos_base!$C$12+datos_base!$C$26,0))*parametros_manuales!$H$110)*parametros_manuales!$I$30*parametros_manuales!$J$30</f>
        <v>838.795688515</v>
      </c>
      <c r="I40" s="9" t="n">
        <f aca="false">(parametros_manuales!$D$30*(datos_base!$C$2+datos_base!$C$18+IF(parametros_manuales!$H$30="Todos",datos_base!$C$9+datos_base!$C$23,0))*parametros_manuales!$I$95+parametros_manuales!$E$30*(datos_base!$C$3+datos_base!$C$19+IF(parametros_manuales!$H$30="Todos",datos_base!$C$10+datos_base!$C$24,0))*parametros_manuales!$I$100+parametros_manuales!$F$30*(datos_base!$C$4+datos_base!$C$20+IF(parametros_manuales!$H$30="Todos",datos_base!$C$11+datos_base!$C$25,0))*parametros_manuales!$I$105+parametros_manuales!$G$30*(datos_base!$C$5+datos_base!$C$21+IF(parametros_manuales!$H$30="Todos",datos_base!$C$12+datos_base!$C$26,0))*parametros_manuales!$I$110)*parametros_manuales!$I$30*parametros_manuales!$J$30</f>
        <v>928.75524817</v>
      </c>
      <c r="J40" s="9" t="n">
        <f aca="false">(parametros_manuales!$D$30*(datos_base!$C$2+datos_base!$C$18+IF(parametros_manuales!$H$30="Todos",datos_base!$C$9+datos_base!$C$23,0))*parametros_manuales!$J$95+parametros_manuales!$E$30*(datos_base!$C$3+datos_base!$C$19+IF(parametros_manuales!$H$30="Todos",datos_base!$C$10+datos_base!$C$24,0))*parametros_manuales!$J$100+parametros_manuales!$F$30*(datos_base!$C$4+datos_base!$C$20+IF(parametros_manuales!$H$30="Todos",datos_base!$C$11+datos_base!$C$25,0))*parametros_manuales!$J$105+parametros_manuales!$G$30*(datos_base!$C$5+datos_base!$C$21+IF(parametros_manuales!$H$30="Todos",datos_base!$C$12+datos_base!$C$26,0))*parametros_manuales!$J$110)*parametros_manuales!$I$30*parametros_manuales!$J$30</f>
        <v>928.75524817</v>
      </c>
      <c r="K40" s="9" t="n">
        <f aca="false">(parametros_manuales!$D$30*(datos_base!$C$2+datos_base!$C$18+IF(parametros_manuales!$H$30="Todos",datos_base!$C$9+datos_base!$C$23,0))*parametros_manuales!$K$95+parametros_manuales!$E$30*(datos_base!$C$3+datos_base!$C$19+IF(parametros_manuales!$H$30="Todos",datos_base!$C$10+datos_base!$C$24,0))*parametros_manuales!$K$100+parametros_manuales!$F$30*(datos_base!$C$4+datos_base!$C$20+IF(parametros_manuales!$H$30="Todos",datos_base!$C$11+datos_base!$C$25,0))*parametros_manuales!$K$105+parametros_manuales!$G$30*(datos_base!$C$5+datos_base!$C$21+IF(parametros_manuales!$H$30="Todos",datos_base!$C$12+datos_base!$C$26,0))*parametros_manuales!$K$110)*parametros_manuales!$I$30*parametros_manuales!$J$30</f>
        <v>953.06761631</v>
      </c>
      <c r="L40" s="9" t="n">
        <f aca="false">(parametros_manuales!$D$30*(datos_base!$C$2+datos_base!$C$18+IF(parametros_manuales!$H$30="Todos",datos_base!$C$9+datos_base!$C$23,0))*parametros_manuales!$L$95+parametros_manuales!$E$30*(datos_base!$C$3+datos_base!$C$19+IF(parametros_manuales!$H$30="Todos",datos_base!$C$10+datos_base!$C$24,0))*parametros_manuales!$L$100+parametros_manuales!$F$30*(datos_base!$C$4+datos_base!$C$20+IF(parametros_manuales!$H$30="Todos",datos_base!$C$11+datos_base!$C$25,0))*parametros_manuales!$L$105+parametros_manuales!$G$30*(datos_base!$C$5+datos_base!$C$21+IF(parametros_manuales!$H$30="Todos",datos_base!$C$12+datos_base!$C$26,0))*parametros_manuales!$L$110)*parametros_manuales!$I$30*parametros_manuales!$J$30</f>
        <v>977.37998445</v>
      </c>
      <c r="M40" s="9" t="n">
        <f aca="false">(parametros_manuales!$D$30*(datos_base!$C$2+datos_base!$C$18+IF(parametros_manuales!$H$30="Todos",datos_base!$C$9+datos_base!$C$23,0))*parametros_manuales!$M$95+parametros_manuales!$E$30*(datos_base!$C$3+datos_base!$C$19+IF(parametros_manuales!$H$30="Todos",datos_base!$C$10+datos_base!$C$24,0))*parametros_manuales!$M$100+parametros_manuales!$F$30*(datos_base!$C$4+datos_base!$C$20+IF(parametros_manuales!$H$30="Todos",datos_base!$C$11+datos_base!$C$25,0))*parametros_manuales!$M$105+parametros_manuales!$G$30*(datos_base!$C$5+datos_base!$C$21+IF(parametros_manuales!$H$30="Todos",datos_base!$C$12+datos_base!$C$26,0))*parametros_manuales!$M$110)*parametros_manuales!$I$30*parametros_manuales!$J$30</f>
        <v>977.37998445</v>
      </c>
      <c r="N40" s="9" t="n">
        <f aca="false">SUM(B40:M40)</f>
        <v>10859.777605</v>
      </c>
      <c r="O40" s="9" t="n">
        <f aca="false">MAX(B40:M40)</f>
        <v>977.37998445</v>
      </c>
      <c r="P40" s="43" t="n">
        <f aca="false">O40/(parametros_manuales!$B$7)</f>
        <v>6.515866563</v>
      </c>
      <c r="Q40" s="8" t="str">
        <f aca="false">IF(O40=0,"-",INDEX($B$28:$M$28,MATCH(O40,B40:M40,0)))</f>
        <v>Ene</v>
      </c>
    </row>
    <row r="41" customFormat="false" ht="14.25" hidden="false" customHeight="true" outlineLevel="0" collapsed="false">
      <c r="A41" s="8" t="str">
        <f aca="false">parametros_manuales!$B$31</f>
        <v>Control de calidad — Espesor</v>
      </c>
      <c r="B41" s="9" t="n">
        <f aca="false">(parametros_manuales!$D$31*(datos_base!$C$2+datos_base!$C$18+IF(parametros_manuales!$H$31="Todos",datos_base!$C$9+datos_base!$C$23,0))*parametros_manuales!$B$95+parametros_manuales!$E$31*(datos_base!$C$3+datos_base!$C$19+IF(parametros_manuales!$H$31="Todos",datos_base!$C$10+datos_base!$C$24,0))*parametros_manuales!$B$100+parametros_manuales!$F$31*(datos_base!$C$4+datos_base!$C$20+IF(parametros_manuales!$H$31="Todos",datos_base!$C$11+datos_base!$C$25,0))*parametros_manuales!$B$105+parametros_manuales!$G$31*(datos_base!$C$5+datos_base!$C$21+IF(parametros_manuales!$H$31="Todos",datos_base!$C$12+datos_base!$C$26,0))*parametros_manuales!$B$110)*parametros_manuales!$I$31*parametros_manuales!$J$31</f>
        <v>19.547599689</v>
      </c>
      <c r="C41" s="9" t="n">
        <f aca="false">(parametros_manuales!$D$31*(datos_base!$C$2+datos_base!$C$18+IF(parametros_manuales!$H$31="Todos",datos_base!$C$9+datos_base!$C$23,0))*parametros_manuales!$C$95+parametros_manuales!$E$31*(datos_base!$C$3+datos_base!$C$19+IF(parametros_manuales!$H$31="Todos",datos_base!$C$10+datos_base!$C$24,0))*parametros_manuales!$C$100+parametros_manuales!$F$31*(datos_base!$C$4+datos_base!$C$20+IF(parametros_manuales!$H$31="Todos",datos_base!$C$11+datos_base!$C$25,0))*parametros_manuales!$C$105+parametros_manuales!$G$31*(datos_base!$C$5+datos_base!$C$21+IF(parametros_manuales!$H$31="Todos",datos_base!$C$12+datos_base!$C$26,0))*parametros_manuales!$C$110)*parametros_manuales!$I$31*parametros_manuales!$J$31</f>
        <v>18.5751049634</v>
      </c>
      <c r="D41" s="9" t="n">
        <f aca="false">(parametros_manuales!$D$31*(datos_base!$C$2+datos_base!$C$18+IF(parametros_manuales!$H$31="Todos",datos_base!$C$9+datos_base!$C$23,0))*parametros_manuales!$D$95+parametros_manuales!$E$31*(datos_base!$C$3+datos_base!$C$19+IF(parametros_manuales!$H$31="Todos",datos_base!$C$10+datos_base!$C$24,0))*parametros_manuales!$D$100+parametros_manuales!$F$31*(datos_base!$C$4+datos_base!$C$20+IF(parametros_manuales!$H$31="Todos",datos_base!$C$11+datos_base!$C$25,0))*parametros_manuales!$D$105+parametros_manuales!$G$31*(datos_base!$C$5+datos_base!$C$21+IF(parametros_manuales!$H$31="Todos",datos_base!$C$12+datos_base!$C$26,0))*parametros_manuales!$D$110)*parametros_manuales!$I$31*parametros_manuales!$J$31</f>
        <v>17.8618915308</v>
      </c>
      <c r="E41" s="9" t="n">
        <f aca="false">(parametros_manuales!$D$31*(datos_base!$C$2+datos_base!$C$18+IF(parametros_manuales!$H$31="Todos",datos_base!$C$9+datos_base!$C$23,0))*parametros_manuales!$E$95+parametros_manuales!$E$31*(datos_base!$C$3+datos_base!$C$19+IF(parametros_manuales!$H$31="Todos",datos_base!$C$10+datos_base!$C$24,0))*parametros_manuales!$E$100+parametros_manuales!$F$31*(datos_base!$C$4+datos_base!$C$20+IF(parametros_manuales!$H$31="Todos",datos_base!$C$11+datos_base!$C$25,0))*parametros_manuales!$E$105+parametros_manuales!$G$31*(datos_base!$C$5+datos_base!$C$21+IF(parametros_manuales!$H$31="Todos",datos_base!$C$12+datos_base!$C$26,0))*parametros_manuales!$E$110)*parametros_manuales!$I$31*parametros_manuales!$J$31</f>
        <v>17.2621611331</v>
      </c>
      <c r="F41" s="9" t="n">
        <f aca="false">(parametros_manuales!$D$31*(datos_base!$C$2+datos_base!$C$18+IF(parametros_manuales!$H$31="Todos",datos_base!$C$9+datos_base!$C$23,0))*parametros_manuales!$F$95+parametros_manuales!$E$31*(datos_base!$C$3+datos_base!$C$19+IF(parametros_manuales!$H$31="Todos",datos_base!$C$10+datos_base!$C$24,0))*parametros_manuales!$F$100+parametros_manuales!$F$31*(datos_base!$C$4+datos_base!$C$20+IF(parametros_manuales!$H$31="Todos",datos_base!$C$11+datos_base!$C$25,0))*parametros_manuales!$F$105+parametros_manuales!$G$31*(datos_base!$C$5+datos_base!$C$21+IF(parametros_manuales!$H$31="Todos",datos_base!$C$12+datos_base!$C$26,0))*parametros_manuales!$F$110)*parametros_manuales!$I$31*parametros_manuales!$J$31</f>
        <v>16.1761833726</v>
      </c>
      <c r="G41" s="9" t="n">
        <f aca="false">(parametros_manuales!$D$31*(datos_base!$C$2+datos_base!$C$18+IF(parametros_manuales!$H$31="Todos",datos_base!$C$9+datos_base!$C$23,0))*parametros_manuales!$G$95+parametros_manuales!$E$31*(datos_base!$C$3+datos_base!$C$19+IF(parametros_manuales!$H$31="Todos",datos_base!$C$10+datos_base!$C$24,0))*parametros_manuales!$G$100+parametros_manuales!$F$31*(datos_base!$C$4+datos_base!$C$20+IF(parametros_manuales!$H$31="Todos",datos_base!$C$11+datos_base!$C$25,0))*parametros_manuales!$G$105+parametros_manuales!$G$31*(datos_base!$C$5+datos_base!$C$21+IF(parametros_manuales!$H$31="Todos",datos_base!$C$12+datos_base!$C$26,0))*parametros_manuales!$G$110)*parametros_manuales!$I$31*parametros_manuales!$J$31</f>
        <v>15.6899360098</v>
      </c>
      <c r="H41" s="9" t="n">
        <f aca="false">(parametros_manuales!$D$31*(datos_base!$C$2+datos_base!$C$18+IF(parametros_manuales!$H$31="Todos",datos_base!$C$9+datos_base!$C$23,0))*parametros_manuales!$H$95+parametros_manuales!$E$31*(datos_base!$C$3+datos_base!$C$19+IF(parametros_manuales!$H$31="Todos",datos_base!$C$10+datos_base!$C$24,0))*parametros_manuales!$H$100+parametros_manuales!$F$31*(datos_base!$C$4+datos_base!$C$20+IF(parametros_manuales!$H$31="Todos",datos_base!$C$11+datos_base!$C$25,0))*parametros_manuales!$H$105+parametros_manuales!$G$31*(datos_base!$C$5+datos_base!$C$21+IF(parametros_manuales!$H$31="Todos",datos_base!$C$12+datos_base!$C$26,0))*parametros_manuales!$H$110)*parametros_manuales!$I$31*parametros_manuales!$J$31</f>
        <v>16.7759137703</v>
      </c>
      <c r="I41" s="9" t="n">
        <f aca="false">(parametros_manuales!$D$31*(datos_base!$C$2+datos_base!$C$18+IF(parametros_manuales!$H$31="Todos",datos_base!$C$9+datos_base!$C$23,0))*parametros_manuales!$I$95+parametros_manuales!$E$31*(datos_base!$C$3+datos_base!$C$19+IF(parametros_manuales!$H$31="Todos",datos_base!$C$10+datos_base!$C$24,0))*parametros_manuales!$I$100+parametros_manuales!$F$31*(datos_base!$C$4+datos_base!$C$20+IF(parametros_manuales!$H$31="Todos",datos_base!$C$11+datos_base!$C$25,0))*parametros_manuales!$I$105+parametros_manuales!$G$31*(datos_base!$C$5+datos_base!$C$21+IF(parametros_manuales!$H$31="Todos",datos_base!$C$12+datos_base!$C$26,0))*parametros_manuales!$I$110)*parametros_manuales!$I$31*parametros_manuales!$J$31</f>
        <v>18.5751049634</v>
      </c>
      <c r="J41" s="9" t="n">
        <f aca="false">(parametros_manuales!$D$31*(datos_base!$C$2+datos_base!$C$18+IF(parametros_manuales!$H$31="Todos",datos_base!$C$9+datos_base!$C$23,0))*parametros_manuales!$J$95+parametros_manuales!$E$31*(datos_base!$C$3+datos_base!$C$19+IF(parametros_manuales!$H$31="Todos",datos_base!$C$10+datos_base!$C$24,0))*parametros_manuales!$J$100+parametros_manuales!$F$31*(datos_base!$C$4+datos_base!$C$20+IF(parametros_manuales!$H$31="Todos",datos_base!$C$11+datos_base!$C$25,0))*parametros_manuales!$J$105+parametros_manuales!$G$31*(datos_base!$C$5+datos_base!$C$21+IF(parametros_manuales!$H$31="Todos",datos_base!$C$12+datos_base!$C$26,0))*parametros_manuales!$J$110)*parametros_manuales!$I$31*parametros_manuales!$J$31</f>
        <v>18.5751049634</v>
      </c>
      <c r="K41" s="9" t="n">
        <f aca="false">(parametros_manuales!$D$31*(datos_base!$C$2+datos_base!$C$18+IF(parametros_manuales!$H$31="Todos",datos_base!$C$9+datos_base!$C$23,0))*parametros_manuales!$K$95+parametros_manuales!$E$31*(datos_base!$C$3+datos_base!$C$19+IF(parametros_manuales!$H$31="Todos",datos_base!$C$10+datos_base!$C$24,0))*parametros_manuales!$K$100+parametros_manuales!$F$31*(datos_base!$C$4+datos_base!$C$20+IF(parametros_manuales!$H$31="Todos",datos_base!$C$11+datos_base!$C$25,0))*parametros_manuales!$K$105+parametros_manuales!$G$31*(datos_base!$C$5+datos_base!$C$21+IF(parametros_manuales!$H$31="Todos",datos_base!$C$12+datos_base!$C$26,0))*parametros_manuales!$K$110)*parametros_manuales!$I$31*parametros_manuales!$J$31</f>
        <v>19.0613523262</v>
      </c>
      <c r="L41" s="9" t="n">
        <f aca="false">(parametros_manuales!$D$31*(datos_base!$C$2+datos_base!$C$18+IF(parametros_manuales!$H$31="Todos",datos_base!$C$9+datos_base!$C$23,0))*parametros_manuales!$L$95+parametros_manuales!$E$31*(datos_base!$C$3+datos_base!$C$19+IF(parametros_manuales!$H$31="Todos",datos_base!$C$10+datos_base!$C$24,0))*parametros_manuales!$L$100+parametros_manuales!$F$31*(datos_base!$C$4+datos_base!$C$20+IF(parametros_manuales!$H$31="Todos",datos_base!$C$11+datos_base!$C$25,0))*parametros_manuales!$L$105+parametros_manuales!$G$31*(datos_base!$C$5+datos_base!$C$21+IF(parametros_manuales!$H$31="Todos",datos_base!$C$12+datos_base!$C$26,0))*parametros_manuales!$L$110)*parametros_manuales!$I$31*parametros_manuales!$J$31</f>
        <v>19.547599689</v>
      </c>
      <c r="M41" s="9" t="n">
        <f aca="false">(parametros_manuales!$D$31*(datos_base!$C$2+datos_base!$C$18+IF(parametros_manuales!$H$31="Todos",datos_base!$C$9+datos_base!$C$23,0))*parametros_manuales!$M$95+parametros_manuales!$E$31*(datos_base!$C$3+datos_base!$C$19+IF(parametros_manuales!$H$31="Todos",datos_base!$C$10+datos_base!$C$24,0))*parametros_manuales!$M$100+parametros_manuales!$F$31*(datos_base!$C$4+datos_base!$C$20+IF(parametros_manuales!$H$31="Todos",datos_base!$C$11+datos_base!$C$25,0))*parametros_manuales!$M$105+parametros_manuales!$G$31*(datos_base!$C$5+datos_base!$C$21+IF(parametros_manuales!$H$31="Todos",datos_base!$C$12+datos_base!$C$26,0))*parametros_manuales!$M$110)*parametros_manuales!$I$31*parametros_manuales!$J$31</f>
        <v>19.547599689</v>
      </c>
      <c r="N41" s="9" t="n">
        <f aca="false">SUM(B41:M41)</f>
        <v>217.1955521</v>
      </c>
      <c r="O41" s="9" t="n">
        <f aca="false">MAX(B41:M41)</f>
        <v>19.547599689</v>
      </c>
      <c r="P41" s="43" t="n">
        <f aca="false">O41/(parametros_manuales!$B$7)</f>
        <v>0.13031733126</v>
      </c>
      <c r="Q41" s="8" t="str">
        <f aca="false">IF(O41=0,"-",INDEX($B$28:$M$28,MATCH(O41,B41:M41,0)))</f>
        <v>Ene</v>
      </c>
    </row>
    <row r="42" customFormat="false" ht="14.25" hidden="false" customHeight="true" outlineLevel="0" collapsed="false">
      <c r="A42" s="8" t="str">
        <f aca="false">parametros_manuales!$B$32</f>
        <v>Prueba hidráulica</v>
      </c>
      <c r="B42" s="9" t="n">
        <f aca="false">(parametros_manuales!$D$32*(datos_base!$C$2+datos_base!$C$18+IF(parametros_manuales!$H$32="Todos",datos_base!$C$9+datos_base!$C$23,0))*parametros_manuales!$B$95+parametros_manuales!$E$32*(datos_base!$C$3+datos_base!$C$19+IF(parametros_manuales!$H$32="Todos",datos_base!$C$10+datos_base!$C$24,0))*parametros_manuales!$B$100+parametros_manuales!$F$32*(datos_base!$C$4+datos_base!$C$20+IF(parametros_manuales!$H$32="Todos",datos_base!$C$11+datos_base!$C$25,0))*parametros_manuales!$B$105+parametros_manuales!$G$32*(datos_base!$C$5+datos_base!$C$21+IF(parametros_manuales!$H$32="Todos",datos_base!$C$12+datos_base!$C$26,0))*parametros_manuales!$B$110)*parametros_manuales!$I$32*parametros_manuales!$J$32</f>
        <v>977.37998445</v>
      </c>
      <c r="C42" s="9" t="n">
        <f aca="false">(parametros_manuales!$D$32*(datos_base!$C$2+datos_base!$C$18+IF(parametros_manuales!$H$32="Todos",datos_base!$C$9+datos_base!$C$23,0))*parametros_manuales!$C$95+parametros_manuales!$E$32*(datos_base!$C$3+datos_base!$C$19+IF(parametros_manuales!$H$32="Todos",datos_base!$C$10+datos_base!$C$24,0))*parametros_manuales!$C$100+parametros_manuales!$F$32*(datos_base!$C$4+datos_base!$C$20+IF(parametros_manuales!$H$32="Todos",datos_base!$C$11+datos_base!$C$25,0))*parametros_manuales!$C$105+parametros_manuales!$G$32*(datos_base!$C$5+datos_base!$C$21+IF(parametros_manuales!$H$32="Todos",datos_base!$C$12+datos_base!$C$26,0))*parametros_manuales!$C$110)*parametros_manuales!$I$32*parametros_manuales!$J$32</f>
        <v>928.75524817</v>
      </c>
      <c r="D42" s="9" t="n">
        <f aca="false">(parametros_manuales!$D$32*(datos_base!$C$2+datos_base!$C$18+IF(parametros_manuales!$H$32="Todos",datos_base!$C$9+datos_base!$C$23,0))*parametros_manuales!$D$95+parametros_manuales!$E$32*(datos_base!$C$3+datos_base!$C$19+IF(parametros_manuales!$H$32="Todos",datos_base!$C$10+datos_base!$C$24,0))*parametros_manuales!$D$100+parametros_manuales!$F$32*(datos_base!$C$4+datos_base!$C$20+IF(parametros_manuales!$H$32="Todos",datos_base!$C$11+datos_base!$C$25,0))*parametros_manuales!$D$105+parametros_manuales!$G$32*(datos_base!$C$5+datos_base!$C$21+IF(parametros_manuales!$H$32="Todos",datos_base!$C$12+datos_base!$C$26,0))*parametros_manuales!$D$110)*parametros_manuales!$I$32*parametros_manuales!$J$32</f>
        <v>893.09457654</v>
      </c>
      <c r="E42" s="9" t="n">
        <f aca="false">(parametros_manuales!$D$32*(datos_base!$C$2+datos_base!$C$18+IF(parametros_manuales!$H$32="Todos",datos_base!$C$9+datos_base!$C$23,0))*parametros_manuales!$E$95+parametros_manuales!$E$32*(datos_base!$C$3+datos_base!$C$19+IF(parametros_manuales!$H$32="Todos",datos_base!$C$10+datos_base!$C$24,0))*parametros_manuales!$E$100+parametros_manuales!$F$32*(datos_base!$C$4+datos_base!$C$20+IF(parametros_manuales!$H$32="Todos",datos_base!$C$11+datos_base!$C$25,0))*parametros_manuales!$E$105+parametros_manuales!$G$32*(datos_base!$C$5+datos_base!$C$21+IF(parametros_manuales!$H$32="Todos",datos_base!$C$12+datos_base!$C$26,0))*parametros_manuales!$E$110)*parametros_manuales!$I$32*parametros_manuales!$J$32</f>
        <v>863.108056655</v>
      </c>
      <c r="F42" s="9" t="n">
        <f aca="false">(parametros_manuales!$D$32*(datos_base!$C$2+datos_base!$C$18+IF(parametros_manuales!$H$32="Todos",datos_base!$C$9+datos_base!$C$23,0))*parametros_manuales!$F$95+parametros_manuales!$E$32*(datos_base!$C$3+datos_base!$C$19+IF(parametros_manuales!$H$32="Todos",datos_base!$C$10+datos_base!$C$24,0))*parametros_manuales!$F$100+parametros_manuales!$F$32*(datos_base!$C$4+datos_base!$C$20+IF(parametros_manuales!$H$32="Todos",datos_base!$C$11+datos_base!$C$25,0))*parametros_manuales!$F$105+parametros_manuales!$G$32*(datos_base!$C$5+datos_base!$C$21+IF(parametros_manuales!$H$32="Todos",datos_base!$C$12+datos_base!$C$26,0))*parametros_manuales!$F$110)*parametros_manuales!$I$32*parametros_manuales!$J$32</f>
        <v>808.80916863</v>
      </c>
      <c r="G42" s="9" t="n">
        <f aca="false">(parametros_manuales!$D$32*(datos_base!$C$2+datos_base!$C$18+IF(parametros_manuales!$H$32="Todos",datos_base!$C$9+datos_base!$C$23,0))*parametros_manuales!$G$95+parametros_manuales!$E$32*(datos_base!$C$3+datos_base!$C$19+IF(parametros_manuales!$H$32="Todos",datos_base!$C$10+datos_base!$C$24,0))*parametros_manuales!$G$100+parametros_manuales!$F$32*(datos_base!$C$4+datos_base!$C$20+IF(parametros_manuales!$H$32="Todos",datos_base!$C$11+datos_base!$C$25,0))*parametros_manuales!$G$105+parametros_manuales!$G$32*(datos_base!$C$5+datos_base!$C$21+IF(parametros_manuales!$H$32="Todos",datos_base!$C$12+datos_base!$C$26,0))*parametros_manuales!$G$110)*parametros_manuales!$I$32*parametros_manuales!$J$32</f>
        <v>784.49680049</v>
      </c>
      <c r="H42" s="9" t="n">
        <f aca="false">(parametros_manuales!$D$32*(datos_base!$C$2+datos_base!$C$18+IF(parametros_manuales!$H$32="Todos",datos_base!$C$9+datos_base!$C$23,0))*parametros_manuales!$H$95+parametros_manuales!$E$32*(datos_base!$C$3+datos_base!$C$19+IF(parametros_manuales!$H$32="Todos",datos_base!$C$10+datos_base!$C$24,0))*parametros_manuales!$H$100+parametros_manuales!$F$32*(datos_base!$C$4+datos_base!$C$20+IF(parametros_manuales!$H$32="Todos",datos_base!$C$11+datos_base!$C$25,0))*parametros_manuales!$H$105+parametros_manuales!$G$32*(datos_base!$C$5+datos_base!$C$21+IF(parametros_manuales!$H$32="Todos",datos_base!$C$12+datos_base!$C$26,0))*parametros_manuales!$H$110)*parametros_manuales!$I$32*parametros_manuales!$J$32</f>
        <v>838.795688515</v>
      </c>
      <c r="I42" s="9" t="n">
        <f aca="false">(parametros_manuales!$D$32*(datos_base!$C$2+datos_base!$C$18+IF(parametros_manuales!$H$32="Todos",datos_base!$C$9+datos_base!$C$23,0))*parametros_manuales!$I$95+parametros_manuales!$E$32*(datos_base!$C$3+datos_base!$C$19+IF(parametros_manuales!$H$32="Todos",datos_base!$C$10+datos_base!$C$24,0))*parametros_manuales!$I$100+parametros_manuales!$F$32*(datos_base!$C$4+datos_base!$C$20+IF(parametros_manuales!$H$32="Todos",datos_base!$C$11+datos_base!$C$25,0))*parametros_manuales!$I$105+parametros_manuales!$G$32*(datos_base!$C$5+datos_base!$C$21+IF(parametros_manuales!$H$32="Todos",datos_base!$C$12+datos_base!$C$26,0))*parametros_manuales!$I$110)*parametros_manuales!$I$32*parametros_manuales!$J$32</f>
        <v>928.75524817</v>
      </c>
      <c r="J42" s="9" t="n">
        <f aca="false">(parametros_manuales!$D$32*(datos_base!$C$2+datos_base!$C$18+IF(parametros_manuales!$H$32="Todos",datos_base!$C$9+datos_base!$C$23,0))*parametros_manuales!$J$95+parametros_manuales!$E$32*(datos_base!$C$3+datos_base!$C$19+IF(parametros_manuales!$H$32="Todos",datos_base!$C$10+datos_base!$C$24,0))*parametros_manuales!$J$100+parametros_manuales!$F$32*(datos_base!$C$4+datos_base!$C$20+IF(parametros_manuales!$H$32="Todos",datos_base!$C$11+datos_base!$C$25,0))*parametros_manuales!$J$105+parametros_manuales!$G$32*(datos_base!$C$5+datos_base!$C$21+IF(parametros_manuales!$H$32="Todos",datos_base!$C$12+datos_base!$C$26,0))*parametros_manuales!$J$110)*parametros_manuales!$I$32*parametros_manuales!$J$32</f>
        <v>928.75524817</v>
      </c>
      <c r="K42" s="9" t="n">
        <f aca="false">(parametros_manuales!$D$32*(datos_base!$C$2+datos_base!$C$18+IF(parametros_manuales!$H$32="Todos",datos_base!$C$9+datos_base!$C$23,0))*parametros_manuales!$K$95+parametros_manuales!$E$32*(datos_base!$C$3+datos_base!$C$19+IF(parametros_manuales!$H$32="Todos",datos_base!$C$10+datos_base!$C$24,0))*parametros_manuales!$K$100+parametros_manuales!$F$32*(datos_base!$C$4+datos_base!$C$20+IF(parametros_manuales!$H$32="Todos",datos_base!$C$11+datos_base!$C$25,0))*parametros_manuales!$K$105+parametros_manuales!$G$32*(datos_base!$C$5+datos_base!$C$21+IF(parametros_manuales!$H$32="Todos",datos_base!$C$12+datos_base!$C$26,0))*parametros_manuales!$K$110)*parametros_manuales!$I$32*parametros_manuales!$J$32</f>
        <v>953.06761631</v>
      </c>
      <c r="L42" s="9" t="n">
        <f aca="false">(parametros_manuales!$D$32*(datos_base!$C$2+datos_base!$C$18+IF(parametros_manuales!$H$32="Todos",datos_base!$C$9+datos_base!$C$23,0))*parametros_manuales!$L$95+parametros_manuales!$E$32*(datos_base!$C$3+datos_base!$C$19+IF(parametros_manuales!$H$32="Todos",datos_base!$C$10+datos_base!$C$24,0))*parametros_manuales!$L$100+parametros_manuales!$F$32*(datos_base!$C$4+datos_base!$C$20+IF(parametros_manuales!$H$32="Todos",datos_base!$C$11+datos_base!$C$25,0))*parametros_manuales!$L$105+parametros_manuales!$G$32*(datos_base!$C$5+datos_base!$C$21+IF(parametros_manuales!$H$32="Todos",datos_base!$C$12+datos_base!$C$26,0))*parametros_manuales!$L$110)*parametros_manuales!$I$32*parametros_manuales!$J$32</f>
        <v>977.37998445</v>
      </c>
      <c r="M42" s="9" t="n">
        <f aca="false">(parametros_manuales!$D$32*(datos_base!$C$2+datos_base!$C$18+IF(parametros_manuales!$H$32="Todos",datos_base!$C$9+datos_base!$C$23,0))*parametros_manuales!$M$95+parametros_manuales!$E$32*(datos_base!$C$3+datos_base!$C$19+IF(parametros_manuales!$H$32="Todos",datos_base!$C$10+datos_base!$C$24,0))*parametros_manuales!$M$100+parametros_manuales!$F$32*(datos_base!$C$4+datos_base!$C$20+IF(parametros_manuales!$H$32="Todos",datos_base!$C$11+datos_base!$C$25,0))*parametros_manuales!$M$105+parametros_manuales!$G$32*(datos_base!$C$5+datos_base!$C$21+IF(parametros_manuales!$H$32="Todos",datos_base!$C$12+datos_base!$C$26,0))*parametros_manuales!$M$110)*parametros_manuales!$I$32*parametros_manuales!$J$32</f>
        <v>977.37998445</v>
      </c>
      <c r="N42" s="9" t="n">
        <f aca="false">SUM(B42:M42)</f>
        <v>10859.777605</v>
      </c>
      <c r="O42" s="9" t="n">
        <f aca="false">MAX(B42:M42)</f>
        <v>977.37998445</v>
      </c>
      <c r="P42" s="43" t="n">
        <f aca="false">O42/(parametros_manuales!$B$7)</f>
        <v>6.515866563</v>
      </c>
      <c r="Q42" s="8" t="str">
        <f aca="false">IF(O42=0,"-",INDEX($B$28:$M$28,MATCH(O42,B42:M42,0)))</f>
        <v>Ene</v>
      </c>
    </row>
    <row r="43" customFormat="false" ht="14.25" hidden="false" customHeight="true" outlineLevel="0" collapsed="false">
      <c r="A43" s="8" t="str">
        <f aca="false">parametros_manuales!$B$33</f>
        <v>Secado</v>
      </c>
      <c r="B43" s="9" t="n">
        <f aca="false">(parametros_manuales!$D$33*(datos_base!$C$2+datos_base!$C$18+IF(parametros_manuales!$H$33="Todos",datos_base!$C$9+datos_base!$C$23,0))*parametros_manuales!$B$95+parametros_manuales!$E$33*(datos_base!$C$3+datos_base!$C$19+IF(parametros_manuales!$H$33="Todos",datos_base!$C$10+datos_base!$C$24,0))*parametros_manuales!$B$100+parametros_manuales!$F$33*(datos_base!$C$4+datos_base!$C$20+IF(parametros_manuales!$H$33="Todos",datos_base!$C$11+datos_base!$C$25,0))*parametros_manuales!$B$105+parametros_manuales!$G$33*(datos_base!$C$5+datos_base!$C$21+IF(parametros_manuales!$H$33="Todos",datos_base!$C$12+datos_base!$C$26,0))*parametros_manuales!$B$110)*parametros_manuales!$I$33*parametros_manuales!$J$33</f>
        <v>977.37998445</v>
      </c>
      <c r="C43" s="9" t="n">
        <f aca="false">(parametros_manuales!$D$33*(datos_base!$C$2+datos_base!$C$18+IF(parametros_manuales!$H$33="Todos",datos_base!$C$9+datos_base!$C$23,0))*parametros_manuales!$C$95+parametros_manuales!$E$33*(datos_base!$C$3+datos_base!$C$19+IF(parametros_manuales!$H$33="Todos",datos_base!$C$10+datos_base!$C$24,0))*parametros_manuales!$C$100+parametros_manuales!$F$33*(datos_base!$C$4+datos_base!$C$20+IF(parametros_manuales!$H$33="Todos",datos_base!$C$11+datos_base!$C$25,0))*parametros_manuales!$C$105+parametros_manuales!$G$33*(datos_base!$C$5+datos_base!$C$21+IF(parametros_manuales!$H$33="Todos",datos_base!$C$12+datos_base!$C$26,0))*parametros_manuales!$C$110)*parametros_manuales!$I$33*parametros_manuales!$J$33</f>
        <v>928.75524817</v>
      </c>
      <c r="D43" s="9" t="n">
        <f aca="false">(parametros_manuales!$D$33*(datos_base!$C$2+datos_base!$C$18+IF(parametros_manuales!$H$33="Todos",datos_base!$C$9+datos_base!$C$23,0))*parametros_manuales!$D$95+parametros_manuales!$E$33*(datos_base!$C$3+datos_base!$C$19+IF(parametros_manuales!$H$33="Todos",datos_base!$C$10+datos_base!$C$24,0))*parametros_manuales!$D$100+parametros_manuales!$F$33*(datos_base!$C$4+datos_base!$C$20+IF(parametros_manuales!$H$33="Todos",datos_base!$C$11+datos_base!$C$25,0))*parametros_manuales!$D$105+parametros_manuales!$G$33*(datos_base!$C$5+datos_base!$C$21+IF(parametros_manuales!$H$33="Todos",datos_base!$C$12+datos_base!$C$26,0))*parametros_manuales!$D$110)*parametros_manuales!$I$33*parametros_manuales!$J$33</f>
        <v>893.09457654</v>
      </c>
      <c r="E43" s="9" t="n">
        <f aca="false">(parametros_manuales!$D$33*(datos_base!$C$2+datos_base!$C$18+IF(parametros_manuales!$H$33="Todos",datos_base!$C$9+datos_base!$C$23,0))*parametros_manuales!$E$95+parametros_manuales!$E$33*(datos_base!$C$3+datos_base!$C$19+IF(parametros_manuales!$H$33="Todos",datos_base!$C$10+datos_base!$C$24,0))*parametros_manuales!$E$100+parametros_manuales!$F$33*(datos_base!$C$4+datos_base!$C$20+IF(parametros_manuales!$H$33="Todos",datos_base!$C$11+datos_base!$C$25,0))*parametros_manuales!$E$105+parametros_manuales!$G$33*(datos_base!$C$5+datos_base!$C$21+IF(parametros_manuales!$H$33="Todos",datos_base!$C$12+datos_base!$C$26,0))*parametros_manuales!$E$110)*parametros_manuales!$I$33*parametros_manuales!$J$33</f>
        <v>863.108056655</v>
      </c>
      <c r="F43" s="9" t="n">
        <f aca="false">(parametros_manuales!$D$33*(datos_base!$C$2+datos_base!$C$18+IF(parametros_manuales!$H$33="Todos",datos_base!$C$9+datos_base!$C$23,0))*parametros_manuales!$F$95+parametros_manuales!$E$33*(datos_base!$C$3+datos_base!$C$19+IF(parametros_manuales!$H$33="Todos",datos_base!$C$10+datos_base!$C$24,0))*parametros_manuales!$F$100+parametros_manuales!$F$33*(datos_base!$C$4+datos_base!$C$20+IF(parametros_manuales!$H$33="Todos",datos_base!$C$11+datos_base!$C$25,0))*parametros_manuales!$F$105+parametros_manuales!$G$33*(datos_base!$C$5+datos_base!$C$21+IF(parametros_manuales!$H$33="Todos",datos_base!$C$12+datos_base!$C$26,0))*parametros_manuales!$F$110)*parametros_manuales!$I$33*parametros_manuales!$J$33</f>
        <v>808.80916863</v>
      </c>
      <c r="G43" s="9" t="n">
        <f aca="false">(parametros_manuales!$D$33*(datos_base!$C$2+datos_base!$C$18+IF(parametros_manuales!$H$33="Todos",datos_base!$C$9+datos_base!$C$23,0))*parametros_manuales!$G$95+parametros_manuales!$E$33*(datos_base!$C$3+datos_base!$C$19+IF(parametros_manuales!$H$33="Todos",datos_base!$C$10+datos_base!$C$24,0))*parametros_manuales!$G$100+parametros_manuales!$F$33*(datos_base!$C$4+datos_base!$C$20+IF(parametros_manuales!$H$33="Todos",datos_base!$C$11+datos_base!$C$25,0))*parametros_manuales!$G$105+parametros_manuales!$G$33*(datos_base!$C$5+datos_base!$C$21+IF(parametros_manuales!$H$33="Todos",datos_base!$C$12+datos_base!$C$26,0))*parametros_manuales!$G$110)*parametros_manuales!$I$33*parametros_manuales!$J$33</f>
        <v>784.49680049</v>
      </c>
      <c r="H43" s="9" t="n">
        <f aca="false">(parametros_manuales!$D$33*(datos_base!$C$2+datos_base!$C$18+IF(parametros_manuales!$H$33="Todos",datos_base!$C$9+datos_base!$C$23,0))*parametros_manuales!$H$95+parametros_manuales!$E$33*(datos_base!$C$3+datos_base!$C$19+IF(parametros_manuales!$H$33="Todos",datos_base!$C$10+datos_base!$C$24,0))*parametros_manuales!$H$100+parametros_manuales!$F$33*(datos_base!$C$4+datos_base!$C$20+IF(parametros_manuales!$H$33="Todos",datos_base!$C$11+datos_base!$C$25,0))*parametros_manuales!$H$105+parametros_manuales!$G$33*(datos_base!$C$5+datos_base!$C$21+IF(parametros_manuales!$H$33="Todos",datos_base!$C$12+datos_base!$C$26,0))*parametros_manuales!$H$110)*parametros_manuales!$I$33*parametros_manuales!$J$33</f>
        <v>838.795688515</v>
      </c>
      <c r="I43" s="9" t="n">
        <f aca="false">(parametros_manuales!$D$33*(datos_base!$C$2+datos_base!$C$18+IF(parametros_manuales!$H$33="Todos",datos_base!$C$9+datos_base!$C$23,0))*parametros_manuales!$I$95+parametros_manuales!$E$33*(datos_base!$C$3+datos_base!$C$19+IF(parametros_manuales!$H$33="Todos",datos_base!$C$10+datos_base!$C$24,0))*parametros_manuales!$I$100+parametros_manuales!$F$33*(datos_base!$C$4+datos_base!$C$20+IF(parametros_manuales!$H$33="Todos",datos_base!$C$11+datos_base!$C$25,0))*parametros_manuales!$I$105+parametros_manuales!$G$33*(datos_base!$C$5+datos_base!$C$21+IF(parametros_manuales!$H$33="Todos",datos_base!$C$12+datos_base!$C$26,0))*parametros_manuales!$I$110)*parametros_manuales!$I$33*parametros_manuales!$J$33</f>
        <v>928.75524817</v>
      </c>
      <c r="J43" s="9" t="n">
        <f aca="false">(parametros_manuales!$D$33*(datos_base!$C$2+datos_base!$C$18+IF(parametros_manuales!$H$33="Todos",datos_base!$C$9+datos_base!$C$23,0))*parametros_manuales!$J$95+parametros_manuales!$E$33*(datos_base!$C$3+datos_base!$C$19+IF(parametros_manuales!$H$33="Todos",datos_base!$C$10+datos_base!$C$24,0))*parametros_manuales!$J$100+parametros_manuales!$F$33*(datos_base!$C$4+datos_base!$C$20+IF(parametros_manuales!$H$33="Todos",datos_base!$C$11+datos_base!$C$25,0))*parametros_manuales!$J$105+parametros_manuales!$G$33*(datos_base!$C$5+datos_base!$C$21+IF(parametros_manuales!$H$33="Todos",datos_base!$C$12+datos_base!$C$26,0))*parametros_manuales!$J$110)*parametros_manuales!$I$33*parametros_manuales!$J$33</f>
        <v>928.75524817</v>
      </c>
      <c r="K43" s="9" t="n">
        <f aca="false">(parametros_manuales!$D$33*(datos_base!$C$2+datos_base!$C$18+IF(parametros_manuales!$H$33="Todos",datos_base!$C$9+datos_base!$C$23,0))*parametros_manuales!$K$95+parametros_manuales!$E$33*(datos_base!$C$3+datos_base!$C$19+IF(parametros_manuales!$H$33="Todos",datos_base!$C$10+datos_base!$C$24,0))*parametros_manuales!$K$100+parametros_manuales!$F$33*(datos_base!$C$4+datos_base!$C$20+IF(parametros_manuales!$H$33="Todos",datos_base!$C$11+datos_base!$C$25,0))*parametros_manuales!$K$105+parametros_manuales!$G$33*(datos_base!$C$5+datos_base!$C$21+IF(parametros_manuales!$H$33="Todos",datos_base!$C$12+datos_base!$C$26,0))*parametros_manuales!$K$110)*parametros_manuales!$I$33*parametros_manuales!$J$33</f>
        <v>953.06761631</v>
      </c>
      <c r="L43" s="9" t="n">
        <f aca="false">(parametros_manuales!$D$33*(datos_base!$C$2+datos_base!$C$18+IF(parametros_manuales!$H$33="Todos",datos_base!$C$9+datos_base!$C$23,0))*parametros_manuales!$L$95+parametros_manuales!$E$33*(datos_base!$C$3+datos_base!$C$19+IF(parametros_manuales!$H$33="Todos",datos_base!$C$10+datos_base!$C$24,0))*parametros_manuales!$L$100+parametros_manuales!$F$33*(datos_base!$C$4+datos_base!$C$20+IF(parametros_manuales!$H$33="Todos",datos_base!$C$11+datos_base!$C$25,0))*parametros_manuales!$L$105+parametros_manuales!$G$33*(datos_base!$C$5+datos_base!$C$21+IF(parametros_manuales!$H$33="Todos",datos_base!$C$12+datos_base!$C$26,0))*parametros_manuales!$L$110)*parametros_manuales!$I$33*parametros_manuales!$J$33</f>
        <v>977.37998445</v>
      </c>
      <c r="M43" s="9" t="n">
        <f aca="false">(parametros_manuales!$D$33*(datos_base!$C$2+datos_base!$C$18+IF(parametros_manuales!$H$33="Todos",datos_base!$C$9+datos_base!$C$23,0))*parametros_manuales!$M$95+parametros_manuales!$E$33*(datos_base!$C$3+datos_base!$C$19+IF(parametros_manuales!$H$33="Todos",datos_base!$C$10+datos_base!$C$24,0))*parametros_manuales!$M$100+parametros_manuales!$F$33*(datos_base!$C$4+datos_base!$C$20+IF(parametros_manuales!$H$33="Todos",datos_base!$C$11+datos_base!$C$25,0))*parametros_manuales!$M$105+parametros_manuales!$G$33*(datos_base!$C$5+datos_base!$C$21+IF(parametros_manuales!$H$33="Todos",datos_base!$C$12+datos_base!$C$26,0))*parametros_manuales!$M$110)*parametros_manuales!$I$33*parametros_manuales!$J$33</f>
        <v>977.37998445</v>
      </c>
      <c r="N43" s="9" t="n">
        <f aca="false">SUM(B43:M43)</f>
        <v>10859.777605</v>
      </c>
      <c r="O43" s="9" t="n">
        <f aca="false">MAX(B43:M43)</f>
        <v>977.37998445</v>
      </c>
      <c r="P43" s="43" t="n">
        <f aca="false">O43/(parametros_manuales!$B$7)</f>
        <v>6.515866563</v>
      </c>
      <c r="Q43" s="8" t="str">
        <f aca="false">IF(O43=0,"-",INDEX($B$28:$M$28,MATCH(O43,B43:M43,0)))</f>
        <v>Ene</v>
      </c>
    </row>
    <row r="44" customFormat="false" ht="14.25" hidden="false" customHeight="true" outlineLevel="0" collapsed="false">
      <c r="A44" s="8" t="str">
        <f aca="false">parametros_manuales!$B$34</f>
        <v>Granallado</v>
      </c>
      <c r="B44" s="9" t="n">
        <f aca="false">(parametros_manuales!$D$34*(datos_base!$C$2+datos_base!$C$18+IF(parametros_manuales!$H$34="Todos",datos_base!$C$9+datos_base!$C$23,0))*parametros_manuales!$B$95+parametros_manuales!$E$34*(datos_base!$C$3+datos_base!$C$19+IF(parametros_manuales!$H$34="Todos",datos_base!$C$10+datos_base!$C$24,0))*parametros_manuales!$B$100+parametros_manuales!$F$34*(datos_base!$C$4+datos_base!$C$20+IF(parametros_manuales!$H$34="Todos",datos_base!$C$11+datos_base!$C$25,0))*parametros_manuales!$B$105+parametros_manuales!$G$34*(datos_base!$C$5+datos_base!$C$21+IF(parametros_manuales!$H$34="Todos",datos_base!$C$12+datos_base!$C$26,0))*parametros_manuales!$B$110)*parametros_manuales!$I$34*parametros_manuales!$J$34</f>
        <v>977.37998445</v>
      </c>
      <c r="C44" s="9" t="n">
        <f aca="false">(parametros_manuales!$D$34*(datos_base!$C$2+datos_base!$C$18+IF(parametros_manuales!$H$34="Todos",datos_base!$C$9+datos_base!$C$23,0))*parametros_manuales!$C$95+parametros_manuales!$E$34*(datos_base!$C$3+datos_base!$C$19+IF(parametros_manuales!$H$34="Todos",datos_base!$C$10+datos_base!$C$24,0))*parametros_manuales!$C$100+parametros_manuales!$F$34*(datos_base!$C$4+datos_base!$C$20+IF(parametros_manuales!$H$34="Todos",datos_base!$C$11+datos_base!$C$25,0))*parametros_manuales!$C$105+parametros_manuales!$G$34*(datos_base!$C$5+datos_base!$C$21+IF(parametros_manuales!$H$34="Todos",datos_base!$C$12+datos_base!$C$26,0))*parametros_manuales!$C$110)*parametros_manuales!$I$34*parametros_manuales!$J$34</f>
        <v>928.75524817</v>
      </c>
      <c r="D44" s="9" t="n">
        <f aca="false">(parametros_manuales!$D$34*(datos_base!$C$2+datos_base!$C$18+IF(parametros_manuales!$H$34="Todos",datos_base!$C$9+datos_base!$C$23,0))*parametros_manuales!$D$95+parametros_manuales!$E$34*(datos_base!$C$3+datos_base!$C$19+IF(parametros_manuales!$H$34="Todos",datos_base!$C$10+datos_base!$C$24,0))*parametros_manuales!$D$100+parametros_manuales!$F$34*(datos_base!$C$4+datos_base!$C$20+IF(parametros_manuales!$H$34="Todos",datos_base!$C$11+datos_base!$C$25,0))*parametros_manuales!$D$105+parametros_manuales!$G$34*(datos_base!$C$5+datos_base!$C$21+IF(parametros_manuales!$H$34="Todos",datos_base!$C$12+datos_base!$C$26,0))*parametros_manuales!$D$110)*parametros_manuales!$I$34*parametros_manuales!$J$34</f>
        <v>893.09457654</v>
      </c>
      <c r="E44" s="9" t="n">
        <f aca="false">(parametros_manuales!$D$34*(datos_base!$C$2+datos_base!$C$18+IF(parametros_manuales!$H$34="Todos",datos_base!$C$9+datos_base!$C$23,0))*parametros_manuales!$E$95+parametros_manuales!$E$34*(datos_base!$C$3+datos_base!$C$19+IF(parametros_manuales!$H$34="Todos",datos_base!$C$10+datos_base!$C$24,0))*parametros_manuales!$E$100+parametros_manuales!$F$34*(datos_base!$C$4+datos_base!$C$20+IF(parametros_manuales!$H$34="Todos",datos_base!$C$11+datos_base!$C$25,0))*parametros_manuales!$E$105+parametros_manuales!$G$34*(datos_base!$C$5+datos_base!$C$21+IF(parametros_manuales!$H$34="Todos",datos_base!$C$12+datos_base!$C$26,0))*parametros_manuales!$E$110)*parametros_manuales!$I$34*parametros_manuales!$J$34</f>
        <v>863.108056655</v>
      </c>
      <c r="F44" s="9" t="n">
        <f aca="false">(parametros_manuales!$D$34*(datos_base!$C$2+datos_base!$C$18+IF(parametros_manuales!$H$34="Todos",datos_base!$C$9+datos_base!$C$23,0))*parametros_manuales!$F$95+parametros_manuales!$E$34*(datos_base!$C$3+datos_base!$C$19+IF(parametros_manuales!$H$34="Todos",datos_base!$C$10+datos_base!$C$24,0))*parametros_manuales!$F$100+parametros_manuales!$F$34*(datos_base!$C$4+datos_base!$C$20+IF(parametros_manuales!$H$34="Todos",datos_base!$C$11+datos_base!$C$25,0))*parametros_manuales!$F$105+parametros_manuales!$G$34*(datos_base!$C$5+datos_base!$C$21+IF(parametros_manuales!$H$34="Todos",datos_base!$C$12+datos_base!$C$26,0))*parametros_manuales!$F$110)*parametros_manuales!$I$34*parametros_manuales!$J$34</f>
        <v>808.80916863</v>
      </c>
      <c r="G44" s="9" t="n">
        <f aca="false">(parametros_manuales!$D$34*(datos_base!$C$2+datos_base!$C$18+IF(parametros_manuales!$H$34="Todos",datos_base!$C$9+datos_base!$C$23,0))*parametros_manuales!$G$95+parametros_manuales!$E$34*(datos_base!$C$3+datos_base!$C$19+IF(parametros_manuales!$H$34="Todos",datos_base!$C$10+datos_base!$C$24,0))*parametros_manuales!$G$100+parametros_manuales!$F$34*(datos_base!$C$4+datos_base!$C$20+IF(parametros_manuales!$H$34="Todos",datos_base!$C$11+datos_base!$C$25,0))*parametros_manuales!$G$105+parametros_manuales!$G$34*(datos_base!$C$5+datos_base!$C$21+IF(parametros_manuales!$H$34="Todos",datos_base!$C$12+datos_base!$C$26,0))*parametros_manuales!$G$110)*parametros_manuales!$I$34*parametros_manuales!$J$34</f>
        <v>784.49680049</v>
      </c>
      <c r="H44" s="9" t="n">
        <f aca="false">(parametros_manuales!$D$34*(datos_base!$C$2+datos_base!$C$18+IF(parametros_manuales!$H$34="Todos",datos_base!$C$9+datos_base!$C$23,0))*parametros_manuales!$H$95+parametros_manuales!$E$34*(datos_base!$C$3+datos_base!$C$19+IF(parametros_manuales!$H$34="Todos",datos_base!$C$10+datos_base!$C$24,0))*parametros_manuales!$H$100+parametros_manuales!$F$34*(datos_base!$C$4+datos_base!$C$20+IF(parametros_manuales!$H$34="Todos",datos_base!$C$11+datos_base!$C$25,0))*parametros_manuales!$H$105+parametros_manuales!$G$34*(datos_base!$C$5+datos_base!$C$21+IF(parametros_manuales!$H$34="Todos",datos_base!$C$12+datos_base!$C$26,0))*parametros_manuales!$H$110)*parametros_manuales!$I$34*parametros_manuales!$J$34</f>
        <v>838.795688515</v>
      </c>
      <c r="I44" s="9" t="n">
        <f aca="false">(parametros_manuales!$D$34*(datos_base!$C$2+datos_base!$C$18+IF(parametros_manuales!$H$34="Todos",datos_base!$C$9+datos_base!$C$23,0))*parametros_manuales!$I$95+parametros_manuales!$E$34*(datos_base!$C$3+datos_base!$C$19+IF(parametros_manuales!$H$34="Todos",datos_base!$C$10+datos_base!$C$24,0))*parametros_manuales!$I$100+parametros_manuales!$F$34*(datos_base!$C$4+datos_base!$C$20+IF(parametros_manuales!$H$34="Todos",datos_base!$C$11+datos_base!$C$25,0))*parametros_manuales!$I$105+parametros_manuales!$G$34*(datos_base!$C$5+datos_base!$C$21+IF(parametros_manuales!$H$34="Todos",datos_base!$C$12+datos_base!$C$26,0))*parametros_manuales!$I$110)*parametros_manuales!$I$34*parametros_manuales!$J$34</f>
        <v>928.75524817</v>
      </c>
      <c r="J44" s="9" t="n">
        <f aca="false">(parametros_manuales!$D$34*(datos_base!$C$2+datos_base!$C$18+IF(parametros_manuales!$H$34="Todos",datos_base!$C$9+datos_base!$C$23,0))*parametros_manuales!$J$95+parametros_manuales!$E$34*(datos_base!$C$3+datos_base!$C$19+IF(parametros_manuales!$H$34="Todos",datos_base!$C$10+datos_base!$C$24,0))*parametros_manuales!$J$100+parametros_manuales!$F$34*(datos_base!$C$4+datos_base!$C$20+IF(parametros_manuales!$H$34="Todos",datos_base!$C$11+datos_base!$C$25,0))*parametros_manuales!$J$105+parametros_manuales!$G$34*(datos_base!$C$5+datos_base!$C$21+IF(parametros_manuales!$H$34="Todos",datos_base!$C$12+datos_base!$C$26,0))*parametros_manuales!$J$110)*parametros_manuales!$I$34*parametros_manuales!$J$34</f>
        <v>928.75524817</v>
      </c>
      <c r="K44" s="9" t="n">
        <f aca="false">(parametros_manuales!$D$34*(datos_base!$C$2+datos_base!$C$18+IF(parametros_manuales!$H$34="Todos",datos_base!$C$9+datos_base!$C$23,0))*parametros_manuales!$K$95+parametros_manuales!$E$34*(datos_base!$C$3+datos_base!$C$19+IF(parametros_manuales!$H$34="Todos",datos_base!$C$10+datos_base!$C$24,0))*parametros_manuales!$K$100+parametros_manuales!$F$34*(datos_base!$C$4+datos_base!$C$20+IF(parametros_manuales!$H$34="Todos",datos_base!$C$11+datos_base!$C$25,0))*parametros_manuales!$K$105+parametros_manuales!$G$34*(datos_base!$C$5+datos_base!$C$21+IF(parametros_manuales!$H$34="Todos",datos_base!$C$12+datos_base!$C$26,0))*parametros_manuales!$K$110)*parametros_manuales!$I$34*parametros_manuales!$J$34</f>
        <v>953.06761631</v>
      </c>
      <c r="L44" s="9" t="n">
        <f aca="false">(parametros_manuales!$D$34*(datos_base!$C$2+datos_base!$C$18+IF(parametros_manuales!$H$34="Todos",datos_base!$C$9+datos_base!$C$23,0))*parametros_manuales!$L$95+parametros_manuales!$E$34*(datos_base!$C$3+datos_base!$C$19+IF(parametros_manuales!$H$34="Todos",datos_base!$C$10+datos_base!$C$24,0))*parametros_manuales!$L$100+parametros_manuales!$F$34*(datos_base!$C$4+datos_base!$C$20+IF(parametros_manuales!$H$34="Todos",datos_base!$C$11+datos_base!$C$25,0))*parametros_manuales!$L$105+parametros_manuales!$G$34*(datos_base!$C$5+datos_base!$C$21+IF(parametros_manuales!$H$34="Todos",datos_base!$C$12+datos_base!$C$26,0))*parametros_manuales!$L$110)*parametros_manuales!$I$34*parametros_manuales!$J$34</f>
        <v>977.37998445</v>
      </c>
      <c r="M44" s="9" t="n">
        <f aca="false">(parametros_manuales!$D$34*(datos_base!$C$2+datos_base!$C$18+IF(parametros_manuales!$H$34="Todos",datos_base!$C$9+datos_base!$C$23,0))*parametros_manuales!$M$95+parametros_manuales!$E$34*(datos_base!$C$3+datos_base!$C$19+IF(parametros_manuales!$H$34="Todos",datos_base!$C$10+datos_base!$C$24,0))*parametros_manuales!$M$100+parametros_manuales!$F$34*(datos_base!$C$4+datos_base!$C$20+IF(parametros_manuales!$H$34="Todos",datos_base!$C$11+datos_base!$C$25,0))*parametros_manuales!$M$105+parametros_manuales!$G$34*(datos_base!$C$5+datos_base!$C$21+IF(parametros_manuales!$H$34="Todos",datos_base!$C$12+datos_base!$C$26,0))*parametros_manuales!$M$110)*parametros_manuales!$I$34*parametros_manuales!$J$34</f>
        <v>977.37998445</v>
      </c>
      <c r="N44" s="9" t="n">
        <f aca="false">SUM(B44:M44)</f>
        <v>10859.777605</v>
      </c>
      <c r="O44" s="9" t="n">
        <f aca="false">MAX(B44:M44)</f>
        <v>977.37998445</v>
      </c>
      <c r="P44" s="43" t="n">
        <f aca="false">O44/(parametros_manuales!$B$7)</f>
        <v>6.515866563</v>
      </c>
      <c r="Q44" s="8" t="str">
        <f aca="false">IF(O44=0,"-",INDEX($B$28:$M$28,MATCH(O44,B44:M44,0)))</f>
        <v>Ene</v>
      </c>
    </row>
    <row r="45" customFormat="false" ht="14.25" hidden="false" customHeight="true" outlineLevel="0" collapsed="false">
      <c r="A45" s="8" t="str">
        <f aca="false">parametros_manuales!$B$35</f>
        <v>Detección de defectos</v>
      </c>
      <c r="B45" s="9" t="n">
        <f aca="false">(parametros_manuales!$D$35*(datos_base!$C$2+datos_base!$C$18+IF(parametros_manuales!$H$35="Todos",datos_base!$C$9+datos_base!$C$23,0))*parametros_manuales!$B$95+parametros_manuales!$E$35*(datos_base!$C$3+datos_base!$C$19+IF(parametros_manuales!$H$35="Todos",datos_base!$C$10+datos_base!$C$24,0))*parametros_manuales!$B$100+parametros_manuales!$F$35*(datos_base!$C$4+datos_base!$C$20+IF(parametros_manuales!$H$35="Todos",datos_base!$C$11+datos_base!$C$25,0))*parametros_manuales!$B$105+parametros_manuales!$G$35*(datos_base!$C$5+datos_base!$C$21+IF(parametros_manuales!$H$35="Todos",datos_base!$C$12+datos_base!$C$26,0))*parametros_manuales!$B$110)*parametros_manuales!$I$35*parametros_manuales!$J$35</f>
        <v>977.37998445</v>
      </c>
      <c r="C45" s="9" t="n">
        <f aca="false">(parametros_manuales!$D$35*(datos_base!$C$2+datos_base!$C$18+IF(parametros_manuales!$H$35="Todos",datos_base!$C$9+datos_base!$C$23,0))*parametros_manuales!$C$95+parametros_manuales!$E$35*(datos_base!$C$3+datos_base!$C$19+IF(parametros_manuales!$H$35="Todos",datos_base!$C$10+datos_base!$C$24,0))*parametros_manuales!$C$100+parametros_manuales!$F$35*(datos_base!$C$4+datos_base!$C$20+IF(parametros_manuales!$H$35="Todos",datos_base!$C$11+datos_base!$C$25,0))*parametros_manuales!$C$105+parametros_manuales!$G$35*(datos_base!$C$5+datos_base!$C$21+IF(parametros_manuales!$H$35="Todos",datos_base!$C$12+datos_base!$C$26,0))*parametros_manuales!$C$110)*parametros_manuales!$I$35*parametros_manuales!$J$35</f>
        <v>928.75524817</v>
      </c>
      <c r="D45" s="9" t="n">
        <f aca="false">(parametros_manuales!$D$35*(datos_base!$C$2+datos_base!$C$18+IF(parametros_manuales!$H$35="Todos",datos_base!$C$9+datos_base!$C$23,0))*parametros_manuales!$D$95+parametros_manuales!$E$35*(datos_base!$C$3+datos_base!$C$19+IF(parametros_manuales!$H$35="Todos",datos_base!$C$10+datos_base!$C$24,0))*parametros_manuales!$D$100+parametros_manuales!$F$35*(datos_base!$C$4+datos_base!$C$20+IF(parametros_manuales!$H$35="Todos",datos_base!$C$11+datos_base!$C$25,0))*parametros_manuales!$D$105+parametros_manuales!$G$35*(datos_base!$C$5+datos_base!$C$21+IF(parametros_manuales!$H$35="Todos",datos_base!$C$12+datos_base!$C$26,0))*parametros_manuales!$D$110)*parametros_manuales!$I$35*parametros_manuales!$J$35</f>
        <v>893.09457654</v>
      </c>
      <c r="E45" s="9" t="n">
        <f aca="false">(parametros_manuales!$D$35*(datos_base!$C$2+datos_base!$C$18+IF(parametros_manuales!$H$35="Todos",datos_base!$C$9+datos_base!$C$23,0))*parametros_manuales!$E$95+parametros_manuales!$E$35*(datos_base!$C$3+datos_base!$C$19+IF(parametros_manuales!$H$35="Todos",datos_base!$C$10+datos_base!$C$24,0))*parametros_manuales!$E$100+parametros_manuales!$F$35*(datos_base!$C$4+datos_base!$C$20+IF(parametros_manuales!$H$35="Todos",datos_base!$C$11+datos_base!$C$25,0))*parametros_manuales!$E$105+parametros_manuales!$G$35*(datos_base!$C$5+datos_base!$C$21+IF(parametros_manuales!$H$35="Todos",datos_base!$C$12+datos_base!$C$26,0))*parametros_manuales!$E$110)*parametros_manuales!$I$35*parametros_manuales!$J$35</f>
        <v>863.108056655</v>
      </c>
      <c r="F45" s="9" t="n">
        <f aca="false">(parametros_manuales!$D$35*(datos_base!$C$2+datos_base!$C$18+IF(parametros_manuales!$H$35="Todos",datos_base!$C$9+datos_base!$C$23,0))*parametros_manuales!$F$95+parametros_manuales!$E$35*(datos_base!$C$3+datos_base!$C$19+IF(parametros_manuales!$H$35="Todos",datos_base!$C$10+datos_base!$C$24,0))*parametros_manuales!$F$100+parametros_manuales!$F$35*(datos_base!$C$4+datos_base!$C$20+IF(parametros_manuales!$H$35="Todos",datos_base!$C$11+datos_base!$C$25,0))*parametros_manuales!$F$105+parametros_manuales!$G$35*(datos_base!$C$5+datos_base!$C$21+IF(parametros_manuales!$H$35="Todos",datos_base!$C$12+datos_base!$C$26,0))*parametros_manuales!$F$110)*parametros_manuales!$I$35*parametros_manuales!$J$35</f>
        <v>808.80916863</v>
      </c>
      <c r="G45" s="9" t="n">
        <f aca="false">(parametros_manuales!$D$35*(datos_base!$C$2+datos_base!$C$18+IF(parametros_manuales!$H$35="Todos",datos_base!$C$9+datos_base!$C$23,0))*parametros_manuales!$G$95+parametros_manuales!$E$35*(datos_base!$C$3+datos_base!$C$19+IF(parametros_manuales!$H$35="Todos",datos_base!$C$10+datos_base!$C$24,0))*parametros_manuales!$G$100+parametros_manuales!$F$35*(datos_base!$C$4+datos_base!$C$20+IF(parametros_manuales!$H$35="Todos",datos_base!$C$11+datos_base!$C$25,0))*parametros_manuales!$G$105+parametros_manuales!$G$35*(datos_base!$C$5+datos_base!$C$21+IF(parametros_manuales!$H$35="Todos",datos_base!$C$12+datos_base!$C$26,0))*parametros_manuales!$G$110)*parametros_manuales!$I$35*parametros_manuales!$J$35</f>
        <v>784.49680049</v>
      </c>
      <c r="H45" s="9" t="n">
        <f aca="false">(parametros_manuales!$D$35*(datos_base!$C$2+datos_base!$C$18+IF(parametros_manuales!$H$35="Todos",datos_base!$C$9+datos_base!$C$23,0))*parametros_manuales!$H$95+parametros_manuales!$E$35*(datos_base!$C$3+datos_base!$C$19+IF(parametros_manuales!$H$35="Todos",datos_base!$C$10+datos_base!$C$24,0))*parametros_manuales!$H$100+parametros_manuales!$F$35*(datos_base!$C$4+datos_base!$C$20+IF(parametros_manuales!$H$35="Todos",datos_base!$C$11+datos_base!$C$25,0))*parametros_manuales!$H$105+parametros_manuales!$G$35*(datos_base!$C$5+datos_base!$C$21+IF(parametros_manuales!$H$35="Todos",datos_base!$C$12+datos_base!$C$26,0))*parametros_manuales!$H$110)*parametros_manuales!$I$35*parametros_manuales!$J$35</f>
        <v>838.795688515</v>
      </c>
      <c r="I45" s="9" t="n">
        <f aca="false">(parametros_manuales!$D$35*(datos_base!$C$2+datos_base!$C$18+IF(parametros_manuales!$H$35="Todos",datos_base!$C$9+datos_base!$C$23,0))*parametros_manuales!$I$95+parametros_manuales!$E$35*(datos_base!$C$3+datos_base!$C$19+IF(parametros_manuales!$H$35="Todos",datos_base!$C$10+datos_base!$C$24,0))*parametros_manuales!$I$100+parametros_manuales!$F$35*(datos_base!$C$4+datos_base!$C$20+IF(parametros_manuales!$H$35="Todos",datos_base!$C$11+datos_base!$C$25,0))*parametros_manuales!$I$105+parametros_manuales!$G$35*(datos_base!$C$5+datos_base!$C$21+IF(parametros_manuales!$H$35="Todos",datos_base!$C$12+datos_base!$C$26,0))*parametros_manuales!$I$110)*parametros_manuales!$I$35*parametros_manuales!$J$35</f>
        <v>928.75524817</v>
      </c>
      <c r="J45" s="9" t="n">
        <f aca="false">(parametros_manuales!$D$35*(datos_base!$C$2+datos_base!$C$18+IF(parametros_manuales!$H$35="Todos",datos_base!$C$9+datos_base!$C$23,0))*parametros_manuales!$J$95+parametros_manuales!$E$35*(datos_base!$C$3+datos_base!$C$19+IF(parametros_manuales!$H$35="Todos",datos_base!$C$10+datos_base!$C$24,0))*parametros_manuales!$J$100+parametros_manuales!$F$35*(datos_base!$C$4+datos_base!$C$20+IF(parametros_manuales!$H$35="Todos",datos_base!$C$11+datos_base!$C$25,0))*parametros_manuales!$J$105+parametros_manuales!$G$35*(datos_base!$C$5+datos_base!$C$21+IF(parametros_manuales!$H$35="Todos",datos_base!$C$12+datos_base!$C$26,0))*parametros_manuales!$J$110)*parametros_manuales!$I$35*parametros_manuales!$J$35</f>
        <v>928.75524817</v>
      </c>
      <c r="K45" s="9" t="n">
        <f aca="false">(parametros_manuales!$D$35*(datos_base!$C$2+datos_base!$C$18+IF(parametros_manuales!$H$35="Todos",datos_base!$C$9+datos_base!$C$23,0))*parametros_manuales!$K$95+parametros_manuales!$E$35*(datos_base!$C$3+datos_base!$C$19+IF(parametros_manuales!$H$35="Todos",datos_base!$C$10+datos_base!$C$24,0))*parametros_manuales!$K$100+parametros_manuales!$F$35*(datos_base!$C$4+datos_base!$C$20+IF(parametros_manuales!$H$35="Todos",datos_base!$C$11+datos_base!$C$25,0))*parametros_manuales!$K$105+parametros_manuales!$G$35*(datos_base!$C$5+datos_base!$C$21+IF(parametros_manuales!$H$35="Todos",datos_base!$C$12+datos_base!$C$26,0))*parametros_manuales!$K$110)*parametros_manuales!$I$35*parametros_manuales!$J$35</f>
        <v>953.06761631</v>
      </c>
      <c r="L45" s="9" t="n">
        <f aca="false">(parametros_manuales!$D$35*(datos_base!$C$2+datos_base!$C$18+IF(parametros_manuales!$H$35="Todos",datos_base!$C$9+datos_base!$C$23,0))*parametros_manuales!$L$95+parametros_manuales!$E$35*(datos_base!$C$3+datos_base!$C$19+IF(parametros_manuales!$H$35="Todos",datos_base!$C$10+datos_base!$C$24,0))*parametros_manuales!$L$100+parametros_manuales!$F$35*(datos_base!$C$4+datos_base!$C$20+IF(parametros_manuales!$H$35="Todos",datos_base!$C$11+datos_base!$C$25,0))*parametros_manuales!$L$105+parametros_manuales!$G$35*(datos_base!$C$5+datos_base!$C$21+IF(parametros_manuales!$H$35="Todos",datos_base!$C$12+datos_base!$C$26,0))*parametros_manuales!$L$110)*parametros_manuales!$I$35*parametros_manuales!$J$35</f>
        <v>977.37998445</v>
      </c>
      <c r="M45" s="9" t="n">
        <f aca="false">(parametros_manuales!$D$35*(datos_base!$C$2+datos_base!$C$18+IF(parametros_manuales!$H$35="Todos",datos_base!$C$9+datos_base!$C$23,0))*parametros_manuales!$M$95+parametros_manuales!$E$35*(datos_base!$C$3+datos_base!$C$19+IF(parametros_manuales!$H$35="Todos",datos_base!$C$10+datos_base!$C$24,0))*parametros_manuales!$M$100+parametros_manuales!$F$35*(datos_base!$C$4+datos_base!$C$20+IF(parametros_manuales!$H$35="Todos",datos_base!$C$11+datos_base!$C$25,0))*parametros_manuales!$M$105+parametros_manuales!$G$35*(datos_base!$C$5+datos_base!$C$21+IF(parametros_manuales!$H$35="Todos",datos_base!$C$12+datos_base!$C$26,0))*parametros_manuales!$M$110)*parametros_manuales!$I$35*parametros_manuales!$J$35</f>
        <v>977.37998445</v>
      </c>
      <c r="N45" s="9" t="n">
        <f aca="false">SUM(B45:M45)</f>
        <v>10859.777605</v>
      </c>
      <c r="O45" s="9" t="n">
        <f aca="false">MAX(B45:M45)</f>
        <v>977.37998445</v>
      </c>
      <c r="P45" s="43" t="n">
        <f aca="false">O45/(parametros_manuales!$B$7)</f>
        <v>6.515866563</v>
      </c>
      <c r="Q45" s="8" t="str">
        <f aca="false">IF(O45=0,"-",INDEX($B$28:$M$28,MATCH(O45,B45:M45,0)))</f>
        <v>Ene</v>
      </c>
    </row>
    <row r="46" customFormat="false" ht="14.25" hidden="false" customHeight="true" outlineLevel="0" collapsed="false">
      <c r="A46" s="8" t="str">
        <f aca="false">parametros_manuales!$B$36</f>
        <v>Corrección de defectos</v>
      </c>
      <c r="B46" s="9" t="n">
        <f aca="false">(parametros_manuales!$D$36*(datos_base!$C$2+datos_base!$C$18+IF(parametros_manuales!$H$36="Todos",datos_base!$C$9+datos_base!$C$23,0))*parametros_manuales!$B$95+parametros_manuales!$E$36*(datos_base!$C$3+datos_base!$C$19+IF(parametros_manuales!$H$36="Todos",datos_base!$C$10+datos_base!$C$24,0))*parametros_manuales!$B$100+parametros_manuales!$F$36*(datos_base!$C$4+datos_base!$C$20+IF(parametros_manuales!$H$36="Todos",datos_base!$C$11+datos_base!$C$25,0))*parametros_manuales!$B$105+parametros_manuales!$G$36*(datos_base!$C$5+datos_base!$C$21+IF(parametros_manuales!$H$36="Todos",datos_base!$C$12+datos_base!$C$26,0))*parametros_manuales!$B$110)*parametros_manuales!$I$36*parametros_manuales!$J$36</f>
        <v>48.8689992225</v>
      </c>
      <c r="C46" s="9" t="n">
        <f aca="false">(parametros_manuales!$D$36*(datos_base!$C$2+datos_base!$C$18+IF(parametros_manuales!$H$36="Todos",datos_base!$C$9+datos_base!$C$23,0))*parametros_manuales!$C$95+parametros_manuales!$E$36*(datos_base!$C$3+datos_base!$C$19+IF(parametros_manuales!$H$36="Todos",datos_base!$C$10+datos_base!$C$24,0))*parametros_manuales!$C$100+parametros_manuales!$F$36*(datos_base!$C$4+datos_base!$C$20+IF(parametros_manuales!$H$36="Todos",datos_base!$C$11+datos_base!$C$25,0))*parametros_manuales!$C$105+parametros_manuales!$G$36*(datos_base!$C$5+datos_base!$C$21+IF(parametros_manuales!$H$36="Todos",datos_base!$C$12+datos_base!$C$26,0))*parametros_manuales!$C$110)*parametros_manuales!$I$36*parametros_manuales!$J$36</f>
        <v>46.4377624085</v>
      </c>
      <c r="D46" s="9" t="n">
        <f aca="false">(parametros_manuales!$D$36*(datos_base!$C$2+datos_base!$C$18+IF(parametros_manuales!$H$36="Todos",datos_base!$C$9+datos_base!$C$23,0))*parametros_manuales!$D$95+parametros_manuales!$E$36*(datos_base!$C$3+datos_base!$C$19+IF(parametros_manuales!$H$36="Todos",datos_base!$C$10+datos_base!$C$24,0))*parametros_manuales!$D$100+parametros_manuales!$F$36*(datos_base!$C$4+datos_base!$C$20+IF(parametros_manuales!$H$36="Todos",datos_base!$C$11+datos_base!$C$25,0))*parametros_manuales!$D$105+parametros_manuales!$G$36*(datos_base!$C$5+datos_base!$C$21+IF(parametros_manuales!$H$36="Todos",datos_base!$C$12+datos_base!$C$26,0))*parametros_manuales!$D$110)*parametros_manuales!$I$36*parametros_manuales!$J$36</f>
        <v>44.654728827</v>
      </c>
      <c r="E46" s="9" t="n">
        <f aca="false">(parametros_manuales!$D$36*(datos_base!$C$2+datos_base!$C$18+IF(parametros_manuales!$H$36="Todos",datos_base!$C$9+datos_base!$C$23,0))*parametros_manuales!$E$95+parametros_manuales!$E$36*(datos_base!$C$3+datos_base!$C$19+IF(parametros_manuales!$H$36="Todos",datos_base!$C$10+datos_base!$C$24,0))*parametros_manuales!$E$100+parametros_manuales!$F$36*(datos_base!$C$4+datos_base!$C$20+IF(parametros_manuales!$H$36="Todos",datos_base!$C$11+datos_base!$C$25,0))*parametros_manuales!$E$105+parametros_manuales!$G$36*(datos_base!$C$5+datos_base!$C$21+IF(parametros_manuales!$H$36="Todos",datos_base!$C$12+datos_base!$C$26,0))*parametros_manuales!$E$110)*parametros_manuales!$I$36*parametros_manuales!$J$36</f>
        <v>43.15540283275</v>
      </c>
      <c r="F46" s="9" t="n">
        <f aca="false">(parametros_manuales!$D$36*(datos_base!$C$2+datos_base!$C$18+IF(parametros_manuales!$H$36="Todos",datos_base!$C$9+datos_base!$C$23,0))*parametros_manuales!$F$95+parametros_manuales!$E$36*(datos_base!$C$3+datos_base!$C$19+IF(parametros_manuales!$H$36="Todos",datos_base!$C$10+datos_base!$C$24,0))*parametros_manuales!$F$100+parametros_manuales!$F$36*(datos_base!$C$4+datos_base!$C$20+IF(parametros_manuales!$H$36="Todos",datos_base!$C$11+datos_base!$C$25,0))*parametros_manuales!$F$105+parametros_manuales!$G$36*(datos_base!$C$5+datos_base!$C$21+IF(parametros_manuales!$H$36="Todos",datos_base!$C$12+datos_base!$C$26,0))*parametros_manuales!$F$110)*parametros_manuales!$I$36*parametros_manuales!$J$36</f>
        <v>40.4404584315</v>
      </c>
      <c r="G46" s="9" t="n">
        <f aca="false">(parametros_manuales!$D$36*(datos_base!$C$2+datos_base!$C$18+IF(parametros_manuales!$H$36="Todos",datos_base!$C$9+datos_base!$C$23,0))*parametros_manuales!$G$95+parametros_manuales!$E$36*(datos_base!$C$3+datos_base!$C$19+IF(parametros_manuales!$H$36="Todos",datos_base!$C$10+datos_base!$C$24,0))*parametros_manuales!$G$100+parametros_manuales!$F$36*(datos_base!$C$4+datos_base!$C$20+IF(parametros_manuales!$H$36="Todos",datos_base!$C$11+datos_base!$C$25,0))*parametros_manuales!$G$105+parametros_manuales!$G$36*(datos_base!$C$5+datos_base!$C$21+IF(parametros_manuales!$H$36="Todos",datos_base!$C$12+datos_base!$C$26,0))*parametros_manuales!$G$110)*parametros_manuales!$I$36*parametros_manuales!$J$36</f>
        <v>39.2248400245</v>
      </c>
      <c r="H46" s="9" t="n">
        <f aca="false">(parametros_manuales!$D$36*(datos_base!$C$2+datos_base!$C$18+IF(parametros_manuales!$H$36="Todos",datos_base!$C$9+datos_base!$C$23,0))*parametros_manuales!$H$95+parametros_manuales!$E$36*(datos_base!$C$3+datos_base!$C$19+IF(parametros_manuales!$H$36="Todos",datos_base!$C$10+datos_base!$C$24,0))*parametros_manuales!$H$100+parametros_manuales!$F$36*(datos_base!$C$4+datos_base!$C$20+IF(parametros_manuales!$H$36="Todos",datos_base!$C$11+datos_base!$C$25,0))*parametros_manuales!$H$105+parametros_manuales!$G$36*(datos_base!$C$5+datos_base!$C$21+IF(parametros_manuales!$H$36="Todos",datos_base!$C$12+datos_base!$C$26,0))*parametros_manuales!$H$110)*parametros_manuales!$I$36*parametros_manuales!$J$36</f>
        <v>41.93978442575</v>
      </c>
      <c r="I46" s="9" t="n">
        <f aca="false">(parametros_manuales!$D$36*(datos_base!$C$2+datos_base!$C$18+IF(parametros_manuales!$H$36="Todos",datos_base!$C$9+datos_base!$C$23,0))*parametros_manuales!$I$95+parametros_manuales!$E$36*(datos_base!$C$3+datos_base!$C$19+IF(parametros_manuales!$H$36="Todos",datos_base!$C$10+datos_base!$C$24,0))*parametros_manuales!$I$100+parametros_manuales!$F$36*(datos_base!$C$4+datos_base!$C$20+IF(parametros_manuales!$H$36="Todos",datos_base!$C$11+datos_base!$C$25,0))*parametros_manuales!$I$105+parametros_manuales!$G$36*(datos_base!$C$5+datos_base!$C$21+IF(parametros_manuales!$H$36="Todos",datos_base!$C$12+datos_base!$C$26,0))*parametros_manuales!$I$110)*parametros_manuales!$I$36*parametros_manuales!$J$36</f>
        <v>46.4377624085</v>
      </c>
      <c r="J46" s="9" t="n">
        <f aca="false">(parametros_manuales!$D$36*(datos_base!$C$2+datos_base!$C$18+IF(parametros_manuales!$H$36="Todos",datos_base!$C$9+datos_base!$C$23,0))*parametros_manuales!$J$95+parametros_manuales!$E$36*(datos_base!$C$3+datos_base!$C$19+IF(parametros_manuales!$H$36="Todos",datos_base!$C$10+datos_base!$C$24,0))*parametros_manuales!$J$100+parametros_manuales!$F$36*(datos_base!$C$4+datos_base!$C$20+IF(parametros_manuales!$H$36="Todos",datos_base!$C$11+datos_base!$C$25,0))*parametros_manuales!$J$105+parametros_manuales!$G$36*(datos_base!$C$5+datos_base!$C$21+IF(parametros_manuales!$H$36="Todos",datos_base!$C$12+datos_base!$C$26,0))*parametros_manuales!$J$110)*parametros_manuales!$I$36*parametros_manuales!$J$36</f>
        <v>46.4377624085</v>
      </c>
      <c r="K46" s="9" t="n">
        <f aca="false">(parametros_manuales!$D$36*(datos_base!$C$2+datos_base!$C$18+IF(parametros_manuales!$H$36="Todos",datos_base!$C$9+datos_base!$C$23,0))*parametros_manuales!$K$95+parametros_manuales!$E$36*(datos_base!$C$3+datos_base!$C$19+IF(parametros_manuales!$H$36="Todos",datos_base!$C$10+datos_base!$C$24,0))*parametros_manuales!$K$100+parametros_manuales!$F$36*(datos_base!$C$4+datos_base!$C$20+IF(parametros_manuales!$H$36="Todos",datos_base!$C$11+datos_base!$C$25,0))*parametros_manuales!$K$105+parametros_manuales!$G$36*(datos_base!$C$5+datos_base!$C$21+IF(parametros_manuales!$H$36="Todos",datos_base!$C$12+datos_base!$C$26,0))*parametros_manuales!$K$110)*parametros_manuales!$I$36*parametros_manuales!$J$36</f>
        <v>47.6533808155</v>
      </c>
      <c r="L46" s="9" t="n">
        <f aca="false">(parametros_manuales!$D$36*(datos_base!$C$2+datos_base!$C$18+IF(parametros_manuales!$H$36="Todos",datos_base!$C$9+datos_base!$C$23,0))*parametros_manuales!$L$95+parametros_manuales!$E$36*(datos_base!$C$3+datos_base!$C$19+IF(parametros_manuales!$H$36="Todos",datos_base!$C$10+datos_base!$C$24,0))*parametros_manuales!$L$100+parametros_manuales!$F$36*(datos_base!$C$4+datos_base!$C$20+IF(parametros_manuales!$H$36="Todos",datos_base!$C$11+datos_base!$C$25,0))*parametros_manuales!$L$105+parametros_manuales!$G$36*(datos_base!$C$5+datos_base!$C$21+IF(parametros_manuales!$H$36="Todos",datos_base!$C$12+datos_base!$C$26,0))*parametros_manuales!$L$110)*parametros_manuales!$I$36*parametros_manuales!$J$36</f>
        <v>48.8689992225</v>
      </c>
      <c r="M46" s="9" t="n">
        <f aca="false">(parametros_manuales!$D$36*(datos_base!$C$2+datos_base!$C$18+IF(parametros_manuales!$H$36="Todos",datos_base!$C$9+datos_base!$C$23,0))*parametros_manuales!$M$95+parametros_manuales!$E$36*(datos_base!$C$3+datos_base!$C$19+IF(parametros_manuales!$H$36="Todos",datos_base!$C$10+datos_base!$C$24,0))*parametros_manuales!$M$100+parametros_manuales!$F$36*(datos_base!$C$4+datos_base!$C$20+IF(parametros_manuales!$H$36="Todos",datos_base!$C$11+datos_base!$C$25,0))*parametros_manuales!$M$105+parametros_manuales!$G$36*(datos_base!$C$5+datos_base!$C$21+IF(parametros_manuales!$H$36="Todos",datos_base!$C$12+datos_base!$C$26,0))*parametros_manuales!$M$110)*parametros_manuales!$I$36*parametros_manuales!$J$36</f>
        <v>48.8689992225</v>
      </c>
      <c r="N46" s="9" t="n">
        <f aca="false">SUM(B46:M46)</f>
        <v>542.98888025</v>
      </c>
      <c r="O46" s="9" t="n">
        <f aca="false">MAX(B46:M46)</f>
        <v>48.8689992225</v>
      </c>
      <c r="P46" s="43" t="n">
        <f aca="false">O46/(parametros_manuales!$B$7)</f>
        <v>0.32579332815</v>
      </c>
      <c r="Q46" s="8" t="str">
        <f aca="false">IF(O46=0,"-",INDEX($B$28:$M$28,MATCH(O46,B46:M46,0)))</f>
        <v>Ene</v>
      </c>
    </row>
    <row r="47" customFormat="false" ht="14.25" hidden="false" customHeight="true" outlineLevel="0" collapsed="false">
      <c r="A47" s="8" t="str">
        <f aca="false">parametros_manuales!$B$37</f>
        <v>Pintura en polvo + horno</v>
      </c>
      <c r="B47" s="9" t="n">
        <f aca="false">(parametros_manuales!$D$37*(datos_base!$C$2+datos_base!$C$18+IF(parametros_manuales!$H$37="Todos",datos_base!$C$9+datos_base!$C$23,0))*parametros_manuales!$B$95+parametros_manuales!$E$37*(datos_base!$C$3+datos_base!$C$19+IF(parametros_manuales!$H$37="Todos",datos_base!$C$10+datos_base!$C$24,0))*parametros_manuales!$B$100+parametros_manuales!$F$37*(datos_base!$C$4+datos_base!$C$20+IF(parametros_manuales!$H$37="Todos",datos_base!$C$11+datos_base!$C$25,0))*parametros_manuales!$B$105+parametros_manuales!$G$37*(datos_base!$C$5+datos_base!$C$21+IF(parametros_manuales!$H$37="Todos",datos_base!$C$12+datos_base!$C$26,0))*parametros_manuales!$B$110)*parametros_manuales!$I$37*parametros_manuales!$J$37</f>
        <v>977.37998445</v>
      </c>
      <c r="C47" s="9" t="n">
        <f aca="false">(parametros_manuales!$D$37*(datos_base!$C$2+datos_base!$C$18+IF(parametros_manuales!$H$37="Todos",datos_base!$C$9+datos_base!$C$23,0))*parametros_manuales!$C$95+parametros_manuales!$E$37*(datos_base!$C$3+datos_base!$C$19+IF(parametros_manuales!$H$37="Todos",datos_base!$C$10+datos_base!$C$24,0))*parametros_manuales!$C$100+parametros_manuales!$F$37*(datos_base!$C$4+datos_base!$C$20+IF(parametros_manuales!$H$37="Todos",datos_base!$C$11+datos_base!$C$25,0))*parametros_manuales!$C$105+parametros_manuales!$G$37*(datos_base!$C$5+datos_base!$C$21+IF(parametros_manuales!$H$37="Todos",datos_base!$C$12+datos_base!$C$26,0))*parametros_manuales!$C$110)*parametros_manuales!$I$37*parametros_manuales!$J$37</f>
        <v>928.75524817</v>
      </c>
      <c r="D47" s="9" t="n">
        <f aca="false">(parametros_manuales!$D$37*(datos_base!$C$2+datos_base!$C$18+IF(parametros_manuales!$H$37="Todos",datos_base!$C$9+datos_base!$C$23,0))*parametros_manuales!$D$95+parametros_manuales!$E$37*(datos_base!$C$3+datos_base!$C$19+IF(parametros_manuales!$H$37="Todos",datos_base!$C$10+datos_base!$C$24,0))*parametros_manuales!$D$100+parametros_manuales!$F$37*(datos_base!$C$4+datos_base!$C$20+IF(parametros_manuales!$H$37="Todos",datos_base!$C$11+datos_base!$C$25,0))*parametros_manuales!$D$105+parametros_manuales!$G$37*(datos_base!$C$5+datos_base!$C$21+IF(parametros_manuales!$H$37="Todos",datos_base!$C$12+datos_base!$C$26,0))*parametros_manuales!$D$110)*parametros_manuales!$I$37*parametros_manuales!$J$37</f>
        <v>893.09457654</v>
      </c>
      <c r="E47" s="9" t="n">
        <f aca="false">(parametros_manuales!$D$37*(datos_base!$C$2+datos_base!$C$18+IF(parametros_manuales!$H$37="Todos",datos_base!$C$9+datos_base!$C$23,0))*parametros_manuales!$E$95+parametros_manuales!$E$37*(datos_base!$C$3+datos_base!$C$19+IF(parametros_manuales!$H$37="Todos",datos_base!$C$10+datos_base!$C$24,0))*parametros_manuales!$E$100+parametros_manuales!$F$37*(datos_base!$C$4+datos_base!$C$20+IF(parametros_manuales!$H$37="Todos",datos_base!$C$11+datos_base!$C$25,0))*parametros_manuales!$E$105+parametros_manuales!$G$37*(datos_base!$C$5+datos_base!$C$21+IF(parametros_manuales!$H$37="Todos",datos_base!$C$12+datos_base!$C$26,0))*parametros_manuales!$E$110)*parametros_manuales!$I$37*parametros_manuales!$J$37</f>
        <v>863.108056655</v>
      </c>
      <c r="F47" s="9" t="n">
        <f aca="false">(parametros_manuales!$D$37*(datos_base!$C$2+datos_base!$C$18+IF(parametros_manuales!$H$37="Todos",datos_base!$C$9+datos_base!$C$23,0))*parametros_manuales!$F$95+parametros_manuales!$E$37*(datos_base!$C$3+datos_base!$C$19+IF(parametros_manuales!$H$37="Todos",datos_base!$C$10+datos_base!$C$24,0))*parametros_manuales!$F$100+parametros_manuales!$F$37*(datos_base!$C$4+datos_base!$C$20+IF(parametros_manuales!$H$37="Todos",datos_base!$C$11+datos_base!$C$25,0))*parametros_manuales!$F$105+parametros_manuales!$G$37*(datos_base!$C$5+datos_base!$C$21+IF(parametros_manuales!$H$37="Todos",datos_base!$C$12+datos_base!$C$26,0))*parametros_manuales!$F$110)*parametros_manuales!$I$37*parametros_manuales!$J$37</f>
        <v>808.80916863</v>
      </c>
      <c r="G47" s="9" t="n">
        <f aca="false">(parametros_manuales!$D$37*(datos_base!$C$2+datos_base!$C$18+IF(parametros_manuales!$H$37="Todos",datos_base!$C$9+datos_base!$C$23,0))*parametros_manuales!$G$95+parametros_manuales!$E$37*(datos_base!$C$3+datos_base!$C$19+IF(parametros_manuales!$H$37="Todos",datos_base!$C$10+datos_base!$C$24,0))*parametros_manuales!$G$100+parametros_manuales!$F$37*(datos_base!$C$4+datos_base!$C$20+IF(parametros_manuales!$H$37="Todos",datos_base!$C$11+datos_base!$C$25,0))*parametros_manuales!$G$105+parametros_manuales!$G$37*(datos_base!$C$5+datos_base!$C$21+IF(parametros_manuales!$H$37="Todos",datos_base!$C$12+datos_base!$C$26,0))*parametros_manuales!$G$110)*parametros_manuales!$I$37*parametros_manuales!$J$37</f>
        <v>784.49680049</v>
      </c>
      <c r="H47" s="9" t="n">
        <f aca="false">(parametros_manuales!$D$37*(datos_base!$C$2+datos_base!$C$18+IF(parametros_manuales!$H$37="Todos",datos_base!$C$9+datos_base!$C$23,0))*parametros_manuales!$H$95+parametros_manuales!$E$37*(datos_base!$C$3+datos_base!$C$19+IF(parametros_manuales!$H$37="Todos",datos_base!$C$10+datos_base!$C$24,0))*parametros_manuales!$H$100+parametros_manuales!$F$37*(datos_base!$C$4+datos_base!$C$20+IF(parametros_manuales!$H$37="Todos",datos_base!$C$11+datos_base!$C$25,0))*parametros_manuales!$H$105+parametros_manuales!$G$37*(datos_base!$C$5+datos_base!$C$21+IF(parametros_manuales!$H$37="Todos",datos_base!$C$12+datos_base!$C$26,0))*parametros_manuales!$H$110)*parametros_manuales!$I$37*parametros_manuales!$J$37</f>
        <v>838.795688515</v>
      </c>
      <c r="I47" s="9" t="n">
        <f aca="false">(parametros_manuales!$D$37*(datos_base!$C$2+datos_base!$C$18+IF(parametros_manuales!$H$37="Todos",datos_base!$C$9+datos_base!$C$23,0))*parametros_manuales!$I$95+parametros_manuales!$E$37*(datos_base!$C$3+datos_base!$C$19+IF(parametros_manuales!$H$37="Todos",datos_base!$C$10+datos_base!$C$24,0))*parametros_manuales!$I$100+parametros_manuales!$F$37*(datos_base!$C$4+datos_base!$C$20+IF(parametros_manuales!$H$37="Todos",datos_base!$C$11+datos_base!$C$25,0))*parametros_manuales!$I$105+parametros_manuales!$G$37*(datos_base!$C$5+datos_base!$C$21+IF(parametros_manuales!$H$37="Todos",datos_base!$C$12+datos_base!$C$26,0))*parametros_manuales!$I$110)*parametros_manuales!$I$37*parametros_manuales!$J$37</f>
        <v>928.75524817</v>
      </c>
      <c r="J47" s="9" t="n">
        <f aca="false">(parametros_manuales!$D$37*(datos_base!$C$2+datos_base!$C$18+IF(parametros_manuales!$H$37="Todos",datos_base!$C$9+datos_base!$C$23,0))*parametros_manuales!$J$95+parametros_manuales!$E$37*(datos_base!$C$3+datos_base!$C$19+IF(parametros_manuales!$H$37="Todos",datos_base!$C$10+datos_base!$C$24,0))*parametros_manuales!$J$100+parametros_manuales!$F$37*(datos_base!$C$4+datos_base!$C$20+IF(parametros_manuales!$H$37="Todos",datos_base!$C$11+datos_base!$C$25,0))*parametros_manuales!$J$105+parametros_manuales!$G$37*(datos_base!$C$5+datos_base!$C$21+IF(parametros_manuales!$H$37="Todos",datos_base!$C$12+datos_base!$C$26,0))*parametros_manuales!$J$110)*parametros_manuales!$I$37*parametros_manuales!$J$37</f>
        <v>928.75524817</v>
      </c>
      <c r="K47" s="9" t="n">
        <f aca="false">(parametros_manuales!$D$37*(datos_base!$C$2+datos_base!$C$18+IF(parametros_manuales!$H$37="Todos",datos_base!$C$9+datos_base!$C$23,0))*parametros_manuales!$K$95+parametros_manuales!$E$37*(datos_base!$C$3+datos_base!$C$19+IF(parametros_manuales!$H$37="Todos",datos_base!$C$10+datos_base!$C$24,0))*parametros_manuales!$K$100+parametros_manuales!$F$37*(datos_base!$C$4+datos_base!$C$20+IF(parametros_manuales!$H$37="Todos",datos_base!$C$11+datos_base!$C$25,0))*parametros_manuales!$K$105+parametros_manuales!$G$37*(datos_base!$C$5+datos_base!$C$21+IF(parametros_manuales!$H$37="Todos",datos_base!$C$12+datos_base!$C$26,0))*parametros_manuales!$K$110)*parametros_manuales!$I$37*parametros_manuales!$J$37</f>
        <v>953.06761631</v>
      </c>
      <c r="L47" s="9" t="n">
        <f aca="false">(parametros_manuales!$D$37*(datos_base!$C$2+datos_base!$C$18+IF(parametros_manuales!$H$37="Todos",datos_base!$C$9+datos_base!$C$23,0))*parametros_manuales!$L$95+parametros_manuales!$E$37*(datos_base!$C$3+datos_base!$C$19+IF(parametros_manuales!$H$37="Todos",datos_base!$C$10+datos_base!$C$24,0))*parametros_manuales!$L$100+parametros_manuales!$F$37*(datos_base!$C$4+datos_base!$C$20+IF(parametros_manuales!$H$37="Todos",datos_base!$C$11+datos_base!$C$25,0))*parametros_manuales!$L$105+parametros_manuales!$G$37*(datos_base!$C$5+datos_base!$C$21+IF(parametros_manuales!$H$37="Todos",datos_base!$C$12+datos_base!$C$26,0))*parametros_manuales!$L$110)*parametros_manuales!$I$37*parametros_manuales!$J$37</f>
        <v>977.37998445</v>
      </c>
      <c r="M47" s="9" t="n">
        <f aca="false">(parametros_manuales!$D$37*(datos_base!$C$2+datos_base!$C$18+IF(parametros_manuales!$H$37="Todos",datos_base!$C$9+datos_base!$C$23,0))*parametros_manuales!$M$95+parametros_manuales!$E$37*(datos_base!$C$3+datos_base!$C$19+IF(parametros_manuales!$H$37="Todos",datos_base!$C$10+datos_base!$C$24,0))*parametros_manuales!$M$100+parametros_manuales!$F$37*(datos_base!$C$4+datos_base!$C$20+IF(parametros_manuales!$H$37="Todos",datos_base!$C$11+datos_base!$C$25,0))*parametros_manuales!$M$105+parametros_manuales!$G$37*(datos_base!$C$5+datos_base!$C$21+IF(parametros_manuales!$H$37="Todos",datos_base!$C$12+datos_base!$C$26,0))*parametros_manuales!$M$110)*parametros_manuales!$I$37*parametros_manuales!$J$37</f>
        <v>977.37998445</v>
      </c>
      <c r="N47" s="9" t="n">
        <f aca="false">SUM(B47:M47)</f>
        <v>10859.777605</v>
      </c>
      <c r="O47" s="9" t="n">
        <f aca="false">MAX(B47:M47)</f>
        <v>977.37998445</v>
      </c>
      <c r="P47" s="43" t="n">
        <f aca="false">O47/(parametros_manuales!$B$7)</f>
        <v>6.515866563</v>
      </c>
      <c r="Q47" s="8" t="str">
        <f aca="false">IF(O47=0,"-",INDEX($B$28:$M$28,MATCH(O47,B47:M47,0)))</f>
        <v>Ene</v>
      </c>
    </row>
    <row r="48" customFormat="false" ht="14.25" hidden="false" customHeight="true" outlineLevel="0" collapsed="false">
      <c r="A48" s="8" t="str">
        <f aca="false">parametros_manuales!$B$38</f>
        <v>Carga de polvo</v>
      </c>
      <c r="B48" s="9" t="n">
        <f aca="false">(parametros_manuales!$D$38*(datos_base!$C$2+datos_base!$C$18+IF(parametros_manuales!$H$38="Todos",datos_base!$C$9+datos_base!$C$23,0))*parametros_manuales!$B$95+parametros_manuales!$E$38*(datos_base!$C$3+datos_base!$C$19+IF(parametros_manuales!$H$38="Todos",datos_base!$C$10+datos_base!$C$24,0))*parametros_manuales!$B$100+parametros_manuales!$F$38*(datos_base!$C$4+datos_base!$C$20+IF(parametros_manuales!$H$38="Todos",datos_base!$C$11+datos_base!$C$25,0))*parametros_manuales!$B$105+parametros_manuales!$G$38*(datos_base!$C$5+datos_base!$C$21+IF(parametros_manuales!$H$38="Todos",datos_base!$C$12+datos_base!$C$26,0))*parametros_manuales!$B$110)*parametros_manuales!$I$38*parametros_manuales!$J$38</f>
        <v>969.88838445</v>
      </c>
      <c r="C48" s="9" t="n">
        <f aca="false">(parametros_manuales!$D$38*(datos_base!$C$2+datos_base!$C$18+IF(parametros_manuales!$H$38="Todos",datos_base!$C$9+datos_base!$C$23,0))*parametros_manuales!$C$95+parametros_manuales!$E$38*(datos_base!$C$3+datos_base!$C$19+IF(parametros_manuales!$H$38="Todos",datos_base!$C$10+datos_base!$C$24,0))*parametros_manuales!$C$100+parametros_manuales!$F$38*(datos_base!$C$4+datos_base!$C$20+IF(parametros_manuales!$H$38="Todos",datos_base!$C$11+datos_base!$C$25,0))*parametros_manuales!$C$105+parametros_manuales!$G$38*(datos_base!$C$5+datos_base!$C$21+IF(parametros_manuales!$H$38="Todos",datos_base!$C$12+datos_base!$C$26,0))*parametros_manuales!$C$110)*parametros_manuales!$I$38*parametros_manuales!$J$38</f>
        <v>922.09604817</v>
      </c>
      <c r="D48" s="9" t="n">
        <f aca="false">(parametros_manuales!$D$38*(datos_base!$C$2+datos_base!$C$18+IF(parametros_manuales!$H$38="Todos",datos_base!$C$9+datos_base!$C$23,0))*parametros_manuales!$D$95+parametros_manuales!$E$38*(datos_base!$C$3+datos_base!$C$19+IF(parametros_manuales!$H$38="Todos",datos_base!$C$10+datos_base!$C$24,0))*parametros_manuales!$D$100+parametros_manuales!$F$38*(datos_base!$C$4+datos_base!$C$20+IF(parametros_manuales!$H$38="Todos",datos_base!$C$11+datos_base!$C$25,0))*parametros_manuales!$D$105+parametros_manuales!$G$38*(datos_base!$C$5+datos_base!$C$21+IF(parametros_manuales!$H$38="Todos",datos_base!$C$12+datos_base!$C$26,0))*parametros_manuales!$D$110)*parametros_manuales!$I$38*parametros_manuales!$J$38</f>
        <v>886.01917654</v>
      </c>
      <c r="E48" s="9" t="n">
        <f aca="false">(parametros_manuales!$D$38*(datos_base!$C$2+datos_base!$C$18+IF(parametros_manuales!$H$38="Todos",datos_base!$C$9+datos_base!$C$23,0))*parametros_manuales!$E$95+parametros_manuales!$E$38*(datos_base!$C$3+datos_base!$C$19+IF(parametros_manuales!$H$38="Todos",datos_base!$C$10+datos_base!$C$24,0))*parametros_manuales!$E$100+parametros_manuales!$F$38*(datos_base!$C$4+datos_base!$C$20+IF(parametros_manuales!$H$38="Todos",datos_base!$C$11+datos_base!$C$25,0))*parametros_manuales!$E$105+parametros_manuales!$G$38*(datos_base!$C$5+datos_base!$C$21+IF(parametros_manuales!$H$38="Todos",datos_base!$C$12+datos_base!$C$26,0))*parametros_manuales!$E$110)*parametros_manuales!$I$38*parametros_manuales!$J$38</f>
        <v>856.032656655</v>
      </c>
      <c r="F48" s="9" t="n">
        <f aca="false">(parametros_manuales!$D$38*(datos_base!$C$2+datos_base!$C$18+IF(parametros_manuales!$H$38="Todos",datos_base!$C$9+datos_base!$C$23,0))*parametros_manuales!$F$95+parametros_manuales!$E$38*(datos_base!$C$3+datos_base!$C$19+IF(parametros_manuales!$H$38="Todos",datos_base!$C$10+datos_base!$C$24,0))*parametros_manuales!$F$100+parametros_manuales!$F$38*(datos_base!$C$4+datos_base!$C$20+IF(parametros_manuales!$H$38="Todos",datos_base!$C$11+datos_base!$C$25,0))*parametros_manuales!$F$105+parametros_manuales!$G$38*(datos_base!$C$5+datos_base!$C$21+IF(parametros_manuales!$H$38="Todos",datos_base!$C$12+datos_base!$C$26,0))*parametros_manuales!$F$110)*parametros_manuales!$I$38*parametros_manuales!$J$38</f>
        <v>802.14996863</v>
      </c>
      <c r="G48" s="9" t="n">
        <f aca="false">(parametros_manuales!$D$38*(datos_base!$C$2+datos_base!$C$18+IF(parametros_manuales!$H$38="Todos",datos_base!$C$9+datos_base!$C$23,0))*parametros_manuales!$G$95+parametros_manuales!$E$38*(datos_base!$C$3+datos_base!$C$19+IF(parametros_manuales!$H$38="Todos",datos_base!$C$10+datos_base!$C$24,0))*parametros_manuales!$G$100+parametros_manuales!$F$38*(datos_base!$C$4+datos_base!$C$20+IF(parametros_manuales!$H$38="Todos",datos_base!$C$11+datos_base!$C$25,0))*parametros_manuales!$G$105+parametros_manuales!$G$38*(datos_base!$C$5+datos_base!$C$21+IF(parametros_manuales!$H$38="Todos",datos_base!$C$12+datos_base!$C$26,0))*parametros_manuales!$G$110)*parametros_manuales!$I$38*parametros_manuales!$J$38</f>
        <v>778.25380049</v>
      </c>
      <c r="H48" s="9" t="n">
        <f aca="false">(parametros_manuales!$D$38*(datos_base!$C$2+datos_base!$C$18+IF(parametros_manuales!$H$38="Todos",datos_base!$C$9+datos_base!$C$23,0))*parametros_manuales!$H$95+parametros_manuales!$E$38*(datos_base!$C$3+datos_base!$C$19+IF(parametros_manuales!$H$38="Todos",datos_base!$C$10+datos_base!$C$24,0))*parametros_manuales!$H$100+parametros_manuales!$F$38*(datos_base!$C$4+datos_base!$C$20+IF(parametros_manuales!$H$38="Todos",datos_base!$C$11+datos_base!$C$25,0))*parametros_manuales!$H$105+parametros_manuales!$G$38*(datos_base!$C$5+datos_base!$C$21+IF(parametros_manuales!$H$38="Todos",datos_base!$C$12+datos_base!$C$26,0))*parametros_manuales!$H$110)*parametros_manuales!$I$38*parametros_manuales!$J$38</f>
        <v>832.136488515</v>
      </c>
      <c r="I48" s="9" t="n">
        <f aca="false">(parametros_manuales!$D$38*(datos_base!$C$2+datos_base!$C$18+IF(parametros_manuales!$H$38="Todos",datos_base!$C$9+datos_base!$C$23,0))*parametros_manuales!$I$95+parametros_manuales!$E$38*(datos_base!$C$3+datos_base!$C$19+IF(parametros_manuales!$H$38="Todos",datos_base!$C$10+datos_base!$C$24,0))*parametros_manuales!$I$100+parametros_manuales!$F$38*(datos_base!$C$4+datos_base!$C$20+IF(parametros_manuales!$H$38="Todos",datos_base!$C$11+datos_base!$C$25,0))*parametros_manuales!$I$105+parametros_manuales!$G$38*(datos_base!$C$5+datos_base!$C$21+IF(parametros_manuales!$H$38="Todos",datos_base!$C$12+datos_base!$C$26,0))*parametros_manuales!$I$110)*parametros_manuales!$I$38*parametros_manuales!$J$38</f>
        <v>922.09604817</v>
      </c>
      <c r="J48" s="9" t="n">
        <f aca="false">(parametros_manuales!$D$38*(datos_base!$C$2+datos_base!$C$18+IF(parametros_manuales!$H$38="Todos",datos_base!$C$9+datos_base!$C$23,0))*parametros_manuales!$J$95+parametros_manuales!$E$38*(datos_base!$C$3+datos_base!$C$19+IF(parametros_manuales!$H$38="Todos",datos_base!$C$10+datos_base!$C$24,0))*parametros_manuales!$J$100+parametros_manuales!$F$38*(datos_base!$C$4+datos_base!$C$20+IF(parametros_manuales!$H$38="Todos",datos_base!$C$11+datos_base!$C$25,0))*parametros_manuales!$J$105+parametros_manuales!$G$38*(datos_base!$C$5+datos_base!$C$21+IF(parametros_manuales!$H$38="Todos",datos_base!$C$12+datos_base!$C$26,0))*parametros_manuales!$J$110)*parametros_manuales!$I$38*parametros_manuales!$J$38</f>
        <v>922.09604817</v>
      </c>
      <c r="K48" s="9" t="n">
        <f aca="false">(parametros_manuales!$D$38*(datos_base!$C$2+datos_base!$C$18+IF(parametros_manuales!$H$38="Todos",datos_base!$C$9+datos_base!$C$23,0))*parametros_manuales!$K$95+parametros_manuales!$E$38*(datos_base!$C$3+datos_base!$C$19+IF(parametros_manuales!$H$38="Todos",datos_base!$C$10+datos_base!$C$24,0))*parametros_manuales!$K$100+parametros_manuales!$F$38*(datos_base!$C$4+datos_base!$C$20+IF(parametros_manuales!$H$38="Todos",datos_base!$C$11+datos_base!$C$25,0))*parametros_manuales!$K$105+parametros_manuales!$G$38*(datos_base!$C$5+datos_base!$C$21+IF(parametros_manuales!$H$38="Todos",datos_base!$C$12+datos_base!$C$26,0))*parametros_manuales!$K$110)*parametros_manuales!$I$38*parametros_manuales!$J$38</f>
        <v>945.99221631</v>
      </c>
      <c r="L48" s="9" t="n">
        <f aca="false">(parametros_manuales!$D$38*(datos_base!$C$2+datos_base!$C$18+IF(parametros_manuales!$H$38="Todos",datos_base!$C$9+datos_base!$C$23,0))*parametros_manuales!$L$95+parametros_manuales!$E$38*(datos_base!$C$3+datos_base!$C$19+IF(parametros_manuales!$H$38="Todos",datos_base!$C$10+datos_base!$C$24,0))*parametros_manuales!$L$100+parametros_manuales!$F$38*(datos_base!$C$4+datos_base!$C$20+IF(parametros_manuales!$H$38="Todos",datos_base!$C$11+datos_base!$C$25,0))*parametros_manuales!$L$105+parametros_manuales!$G$38*(datos_base!$C$5+datos_base!$C$21+IF(parametros_manuales!$H$38="Todos",datos_base!$C$12+datos_base!$C$26,0))*parametros_manuales!$L$110)*parametros_manuales!$I$38*parametros_manuales!$J$38</f>
        <v>969.88838445</v>
      </c>
      <c r="M48" s="9" t="n">
        <f aca="false">(parametros_manuales!$D$38*(datos_base!$C$2+datos_base!$C$18+IF(parametros_manuales!$H$38="Todos",datos_base!$C$9+datos_base!$C$23,0))*parametros_manuales!$M$95+parametros_manuales!$E$38*(datos_base!$C$3+datos_base!$C$19+IF(parametros_manuales!$H$38="Todos",datos_base!$C$10+datos_base!$C$24,0))*parametros_manuales!$M$100+parametros_manuales!$F$38*(datos_base!$C$4+datos_base!$C$20+IF(parametros_manuales!$H$38="Todos",datos_base!$C$11+datos_base!$C$25,0))*parametros_manuales!$M$105+parametros_manuales!$G$38*(datos_base!$C$5+datos_base!$C$21+IF(parametros_manuales!$H$38="Todos",datos_base!$C$12+datos_base!$C$26,0))*parametros_manuales!$M$110)*parametros_manuales!$I$38*parametros_manuales!$J$38</f>
        <v>969.88838445</v>
      </c>
      <c r="N48" s="9" t="n">
        <f aca="false">SUM(B48:M48)</f>
        <v>10776.537605</v>
      </c>
      <c r="O48" s="9" t="n">
        <f aca="false">MAX(B48:M48)</f>
        <v>969.88838445</v>
      </c>
      <c r="P48" s="43" t="n">
        <f aca="false">O48/(parametros_manuales!$B$7)</f>
        <v>6.465922563</v>
      </c>
      <c r="Q48" s="8" t="str">
        <f aca="false">IF(O48=0,"-",INDEX($B$28:$M$28,MATCH(O48,B48:M48,0)))</f>
        <v>Ene</v>
      </c>
    </row>
    <row r="49" customFormat="false" ht="14.25" hidden="false" customHeight="true" outlineLevel="0" collapsed="false">
      <c r="A49" s="8" t="str">
        <f aca="false">parametros_manuales!$B$39</f>
        <v>Ensamblaje</v>
      </c>
      <c r="B49" s="9" t="n">
        <f aca="false">(parametros_manuales!$D$39*(datos_base!$C$2+datos_base!$C$18+IF(parametros_manuales!$H$39="Todos",datos_base!$C$9+datos_base!$C$23,0))*parametros_manuales!$B$95+parametros_manuales!$E$39*(datos_base!$C$3+datos_base!$C$19+IF(parametros_manuales!$H$39="Todos",datos_base!$C$10+datos_base!$C$24,0))*parametros_manuales!$B$100+parametros_manuales!$F$39*(datos_base!$C$4+datos_base!$C$20+IF(parametros_manuales!$H$39="Todos",datos_base!$C$11+datos_base!$C$25,0))*parametros_manuales!$B$105+parametros_manuales!$G$39*(datos_base!$C$5+datos_base!$C$21+IF(parametros_manuales!$H$39="Todos",datos_base!$C$12+datos_base!$C$26,0))*parametros_manuales!$B$110)*parametros_manuales!$I$39*parametros_manuales!$J$39</f>
        <v>969.88838445</v>
      </c>
      <c r="C49" s="9" t="n">
        <f aca="false">(parametros_manuales!$D$39*(datos_base!$C$2+datos_base!$C$18+IF(parametros_manuales!$H$39="Todos",datos_base!$C$9+datos_base!$C$23,0))*parametros_manuales!$C$95+parametros_manuales!$E$39*(datos_base!$C$3+datos_base!$C$19+IF(parametros_manuales!$H$39="Todos",datos_base!$C$10+datos_base!$C$24,0))*parametros_manuales!$C$100+parametros_manuales!$F$39*(datos_base!$C$4+datos_base!$C$20+IF(parametros_manuales!$H$39="Todos",datos_base!$C$11+datos_base!$C$25,0))*parametros_manuales!$C$105+parametros_manuales!$G$39*(datos_base!$C$5+datos_base!$C$21+IF(parametros_manuales!$H$39="Todos",datos_base!$C$12+datos_base!$C$26,0))*parametros_manuales!$C$110)*parametros_manuales!$I$39*parametros_manuales!$J$39</f>
        <v>922.09604817</v>
      </c>
      <c r="D49" s="9" t="n">
        <f aca="false">(parametros_manuales!$D$39*(datos_base!$C$2+datos_base!$C$18+IF(parametros_manuales!$H$39="Todos",datos_base!$C$9+datos_base!$C$23,0))*parametros_manuales!$D$95+parametros_manuales!$E$39*(datos_base!$C$3+datos_base!$C$19+IF(parametros_manuales!$H$39="Todos",datos_base!$C$10+datos_base!$C$24,0))*parametros_manuales!$D$100+parametros_manuales!$F$39*(datos_base!$C$4+datos_base!$C$20+IF(parametros_manuales!$H$39="Todos",datos_base!$C$11+datos_base!$C$25,0))*parametros_manuales!$D$105+parametros_manuales!$G$39*(datos_base!$C$5+datos_base!$C$21+IF(parametros_manuales!$H$39="Todos",datos_base!$C$12+datos_base!$C$26,0))*parametros_manuales!$D$110)*parametros_manuales!$I$39*parametros_manuales!$J$39</f>
        <v>886.01917654</v>
      </c>
      <c r="E49" s="9" t="n">
        <f aca="false">(parametros_manuales!$D$39*(datos_base!$C$2+datos_base!$C$18+IF(parametros_manuales!$H$39="Todos",datos_base!$C$9+datos_base!$C$23,0))*parametros_manuales!$E$95+parametros_manuales!$E$39*(datos_base!$C$3+datos_base!$C$19+IF(parametros_manuales!$H$39="Todos",datos_base!$C$10+datos_base!$C$24,0))*parametros_manuales!$E$100+parametros_manuales!$F$39*(datos_base!$C$4+datos_base!$C$20+IF(parametros_manuales!$H$39="Todos",datos_base!$C$11+datos_base!$C$25,0))*parametros_manuales!$E$105+parametros_manuales!$G$39*(datos_base!$C$5+datos_base!$C$21+IF(parametros_manuales!$H$39="Todos",datos_base!$C$12+datos_base!$C$26,0))*parametros_manuales!$E$110)*parametros_manuales!$I$39*parametros_manuales!$J$39</f>
        <v>856.032656655</v>
      </c>
      <c r="F49" s="9" t="n">
        <f aca="false">(parametros_manuales!$D$39*(datos_base!$C$2+datos_base!$C$18+IF(parametros_manuales!$H$39="Todos",datos_base!$C$9+datos_base!$C$23,0))*parametros_manuales!$F$95+parametros_manuales!$E$39*(datos_base!$C$3+datos_base!$C$19+IF(parametros_manuales!$H$39="Todos",datos_base!$C$10+datos_base!$C$24,0))*parametros_manuales!$F$100+parametros_manuales!$F$39*(datos_base!$C$4+datos_base!$C$20+IF(parametros_manuales!$H$39="Todos",datos_base!$C$11+datos_base!$C$25,0))*parametros_manuales!$F$105+parametros_manuales!$G$39*(datos_base!$C$5+datos_base!$C$21+IF(parametros_manuales!$H$39="Todos",datos_base!$C$12+datos_base!$C$26,0))*parametros_manuales!$F$110)*parametros_manuales!$I$39*parametros_manuales!$J$39</f>
        <v>802.14996863</v>
      </c>
      <c r="G49" s="9" t="n">
        <f aca="false">(parametros_manuales!$D$39*(datos_base!$C$2+datos_base!$C$18+IF(parametros_manuales!$H$39="Todos",datos_base!$C$9+datos_base!$C$23,0))*parametros_manuales!$G$95+parametros_manuales!$E$39*(datos_base!$C$3+datos_base!$C$19+IF(parametros_manuales!$H$39="Todos",datos_base!$C$10+datos_base!$C$24,0))*parametros_manuales!$G$100+parametros_manuales!$F$39*(datos_base!$C$4+datos_base!$C$20+IF(parametros_manuales!$H$39="Todos",datos_base!$C$11+datos_base!$C$25,0))*parametros_manuales!$G$105+parametros_manuales!$G$39*(datos_base!$C$5+datos_base!$C$21+IF(parametros_manuales!$H$39="Todos",datos_base!$C$12+datos_base!$C$26,0))*parametros_manuales!$G$110)*parametros_manuales!$I$39*parametros_manuales!$J$39</f>
        <v>778.25380049</v>
      </c>
      <c r="H49" s="9" t="n">
        <f aca="false">(parametros_manuales!$D$39*(datos_base!$C$2+datos_base!$C$18+IF(parametros_manuales!$H$39="Todos",datos_base!$C$9+datos_base!$C$23,0))*parametros_manuales!$H$95+parametros_manuales!$E$39*(datos_base!$C$3+datos_base!$C$19+IF(parametros_manuales!$H$39="Todos",datos_base!$C$10+datos_base!$C$24,0))*parametros_manuales!$H$100+parametros_manuales!$F$39*(datos_base!$C$4+datos_base!$C$20+IF(parametros_manuales!$H$39="Todos",datos_base!$C$11+datos_base!$C$25,0))*parametros_manuales!$H$105+parametros_manuales!$G$39*(datos_base!$C$5+datos_base!$C$21+IF(parametros_manuales!$H$39="Todos",datos_base!$C$12+datos_base!$C$26,0))*parametros_manuales!$H$110)*parametros_manuales!$I$39*parametros_manuales!$J$39</f>
        <v>832.136488515</v>
      </c>
      <c r="I49" s="9" t="n">
        <f aca="false">(parametros_manuales!$D$39*(datos_base!$C$2+datos_base!$C$18+IF(parametros_manuales!$H$39="Todos",datos_base!$C$9+datos_base!$C$23,0))*parametros_manuales!$I$95+parametros_manuales!$E$39*(datos_base!$C$3+datos_base!$C$19+IF(parametros_manuales!$H$39="Todos",datos_base!$C$10+datos_base!$C$24,0))*parametros_manuales!$I$100+parametros_manuales!$F$39*(datos_base!$C$4+datos_base!$C$20+IF(parametros_manuales!$H$39="Todos",datos_base!$C$11+datos_base!$C$25,0))*parametros_manuales!$I$105+parametros_manuales!$G$39*(datos_base!$C$5+datos_base!$C$21+IF(parametros_manuales!$H$39="Todos",datos_base!$C$12+datos_base!$C$26,0))*parametros_manuales!$I$110)*parametros_manuales!$I$39*parametros_manuales!$J$39</f>
        <v>922.09604817</v>
      </c>
      <c r="J49" s="9" t="n">
        <f aca="false">(parametros_manuales!$D$39*(datos_base!$C$2+datos_base!$C$18+IF(parametros_manuales!$H$39="Todos",datos_base!$C$9+datos_base!$C$23,0))*parametros_manuales!$J$95+parametros_manuales!$E$39*(datos_base!$C$3+datos_base!$C$19+IF(parametros_manuales!$H$39="Todos",datos_base!$C$10+datos_base!$C$24,0))*parametros_manuales!$J$100+parametros_manuales!$F$39*(datos_base!$C$4+datos_base!$C$20+IF(parametros_manuales!$H$39="Todos",datos_base!$C$11+datos_base!$C$25,0))*parametros_manuales!$J$105+parametros_manuales!$G$39*(datos_base!$C$5+datos_base!$C$21+IF(parametros_manuales!$H$39="Todos",datos_base!$C$12+datos_base!$C$26,0))*parametros_manuales!$J$110)*parametros_manuales!$I$39*parametros_manuales!$J$39</f>
        <v>922.09604817</v>
      </c>
      <c r="K49" s="9" t="n">
        <f aca="false">(parametros_manuales!$D$39*(datos_base!$C$2+datos_base!$C$18+IF(parametros_manuales!$H$39="Todos",datos_base!$C$9+datos_base!$C$23,0))*parametros_manuales!$K$95+parametros_manuales!$E$39*(datos_base!$C$3+datos_base!$C$19+IF(parametros_manuales!$H$39="Todos",datos_base!$C$10+datos_base!$C$24,0))*parametros_manuales!$K$100+parametros_manuales!$F$39*(datos_base!$C$4+datos_base!$C$20+IF(parametros_manuales!$H$39="Todos",datos_base!$C$11+datos_base!$C$25,0))*parametros_manuales!$K$105+parametros_manuales!$G$39*(datos_base!$C$5+datos_base!$C$21+IF(parametros_manuales!$H$39="Todos",datos_base!$C$12+datos_base!$C$26,0))*parametros_manuales!$K$110)*parametros_manuales!$I$39*parametros_manuales!$J$39</f>
        <v>945.99221631</v>
      </c>
      <c r="L49" s="9" t="n">
        <f aca="false">(parametros_manuales!$D$39*(datos_base!$C$2+datos_base!$C$18+IF(parametros_manuales!$H$39="Todos",datos_base!$C$9+datos_base!$C$23,0))*parametros_manuales!$L$95+parametros_manuales!$E$39*(datos_base!$C$3+datos_base!$C$19+IF(parametros_manuales!$H$39="Todos",datos_base!$C$10+datos_base!$C$24,0))*parametros_manuales!$L$100+parametros_manuales!$F$39*(datos_base!$C$4+datos_base!$C$20+IF(parametros_manuales!$H$39="Todos",datos_base!$C$11+datos_base!$C$25,0))*parametros_manuales!$L$105+parametros_manuales!$G$39*(datos_base!$C$5+datos_base!$C$21+IF(parametros_manuales!$H$39="Todos",datos_base!$C$12+datos_base!$C$26,0))*parametros_manuales!$L$110)*parametros_manuales!$I$39*parametros_manuales!$J$39</f>
        <v>969.88838445</v>
      </c>
      <c r="M49" s="9" t="n">
        <f aca="false">(parametros_manuales!$D$39*(datos_base!$C$2+datos_base!$C$18+IF(parametros_manuales!$H$39="Todos",datos_base!$C$9+datos_base!$C$23,0))*parametros_manuales!$M$95+parametros_manuales!$E$39*(datos_base!$C$3+datos_base!$C$19+IF(parametros_manuales!$H$39="Todos",datos_base!$C$10+datos_base!$C$24,0))*parametros_manuales!$M$100+parametros_manuales!$F$39*(datos_base!$C$4+datos_base!$C$20+IF(parametros_manuales!$H$39="Todos",datos_base!$C$11+datos_base!$C$25,0))*parametros_manuales!$M$105+parametros_manuales!$G$39*(datos_base!$C$5+datos_base!$C$21+IF(parametros_manuales!$H$39="Todos",datos_base!$C$12+datos_base!$C$26,0))*parametros_manuales!$M$110)*parametros_manuales!$I$39*parametros_manuales!$J$39</f>
        <v>969.88838445</v>
      </c>
      <c r="N49" s="9" t="n">
        <f aca="false">SUM(B49:M49)</f>
        <v>10776.537605</v>
      </c>
      <c r="O49" s="9" t="n">
        <f aca="false">MAX(B49:M49)</f>
        <v>969.88838445</v>
      </c>
      <c r="P49" s="43" t="n">
        <f aca="false">O49/(parametros_manuales!$B$7)</f>
        <v>6.465922563</v>
      </c>
      <c r="Q49" s="8" t="str">
        <f aca="false">IF(O49=0,"-",INDEX($B$28:$M$28,MATCH(O49,B49:M49,0)))</f>
        <v>Ene</v>
      </c>
    </row>
    <row r="50" customFormat="false" ht="14.25" hidden="false" customHeight="true" outlineLevel="0" collapsed="false">
      <c r="A50" s="8" t="str">
        <f aca="false">parametros_manuales!$B$40</f>
        <v>Presurización</v>
      </c>
      <c r="B50" s="9" t="n">
        <f aca="false">(parametros_manuales!$D$40*(datos_base!$C$2+datos_base!$C$18+IF(parametros_manuales!$H$40="Todos",datos_base!$C$9+datos_base!$C$23,0))*parametros_manuales!$B$95+parametros_manuales!$E$40*(datos_base!$C$3+datos_base!$C$19+IF(parametros_manuales!$H$40="Todos",datos_base!$C$10+datos_base!$C$24,0))*parametros_manuales!$B$100+parametros_manuales!$F$40*(datos_base!$C$4+datos_base!$C$20+IF(parametros_manuales!$H$40="Todos",datos_base!$C$11+datos_base!$C$25,0))*parametros_manuales!$B$105+parametros_manuales!$G$40*(datos_base!$C$5+datos_base!$C$21+IF(parametros_manuales!$H$40="Todos",datos_base!$C$12+datos_base!$C$26,0))*parametros_manuales!$B$110)*parametros_manuales!$I$40*parametros_manuales!$J$40</f>
        <v>969.88838445</v>
      </c>
      <c r="C50" s="9" t="n">
        <f aca="false">(parametros_manuales!$D$40*(datos_base!$C$2+datos_base!$C$18+IF(parametros_manuales!$H$40="Todos",datos_base!$C$9+datos_base!$C$23,0))*parametros_manuales!$C$95+parametros_manuales!$E$40*(datos_base!$C$3+datos_base!$C$19+IF(parametros_manuales!$H$40="Todos",datos_base!$C$10+datos_base!$C$24,0))*parametros_manuales!$C$100+parametros_manuales!$F$40*(datos_base!$C$4+datos_base!$C$20+IF(parametros_manuales!$H$40="Todos",datos_base!$C$11+datos_base!$C$25,0))*parametros_manuales!$C$105+parametros_manuales!$G$40*(datos_base!$C$5+datos_base!$C$21+IF(parametros_manuales!$H$40="Todos",datos_base!$C$12+datos_base!$C$26,0))*parametros_manuales!$C$110)*parametros_manuales!$I$40*parametros_manuales!$J$40</f>
        <v>922.09604817</v>
      </c>
      <c r="D50" s="9" t="n">
        <f aca="false">(parametros_manuales!$D$40*(datos_base!$C$2+datos_base!$C$18+IF(parametros_manuales!$H$40="Todos",datos_base!$C$9+datos_base!$C$23,0))*parametros_manuales!$D$95+parametros_manuales!$E$40*(datos_base!$C$3+datos_base!$C$19+IF(parametros_manuales!$H$40="Todos",datos_base!$C$10+datos_base!$C$24,0))*parametros_manuales!$D$100+parametros_manuales!$F$40*(datos_base!$C$4+datos_base!$C$20+IF(parametros_manuales!$H$40="Todos",datos_base!$C$11+datos_base!$C$25,0))*parametros_manuales!$D$105+parametros_manuales!$G$40*(datos_base!$C$5+datos_base!$C$21+IF(parametros_manuales!$H$40="Todos",datos_base!$C$12+datos_base!$C$26,0))*parametros_manuales!$D$110)*parametros_manuales!$I$40*parametros_manuales!$J$40</f>
        <v>886.01917654</v>
      </c>
      <c r="E50" s="9" t="n">
        <f aca="false">(parametros_manuales!$D$40*(datos_base!$C$2+datos_base!$C$18+IF(parametros_manuales!$H$40="Todos",datos_base!$C$9+datos_base!$C$23,0))*parametros_manuales!$E$95+parametros_manuales!$E$40*(datos_base!$C$3+datos_base!$C$19+IF(parametros_manuales!$H$40="Todos",datos_base!$C$10+datos_base!$C$24,0))*parametros_manuales!$E$100+parametros_manuales!$F$40*(datos_base!$C$4+datos_base!$C$20+IF(parametros_manuales!$H$40="Todos",datos_base!$C$11+datos_base!$C$25,0))*parametros_manuales!$E$105+parametros_manuales!$G$40*(datos_base!$C$5+datos_base!$C$21+IF(parametros_manuales!$H$40="Todos",datos_base!$C$12+datos_base!$C$26,0))*parametros_manuales!$E$110)*parametros_manuales!$I$40*parametros_manuales!$J$40</f>
        <v>856.032656655</v>
      </c>
      <c r="F50" s="9" t="n">
        <f aca="false">(parametros_manuales!$D$40*(datos_base!$C$2+datos_base!$C$18+IF(parametros_manuales!$H$40="Todos",datos_base!$C$9+datos_base!$C$23,0))*parametros_manuales!$F$95+parametros_manuales!$E$40*(datos_base!$C$3+datos_base!$C$19+IF(parametros_manuales!$H$40="Todos",datos_base!$C$10+datos_base!$C$24,0))*parametros_manuales!$F$100+parametros_manuales!$F$40*(datos_base!$C$4+datos_base!$C$20+IF(parametros_manuales!$H$40="Todos",datos_base!$C$11+datos_base!$C$25,0))*parametros_manuales!$F$105+parametros_manuales!$G$40*(datos_base!$C$5+datos_base!$C$21+IF(parametros_manuales!$H$40="Todos",datos_base!$C$12+datos_base!$C$26,0))*parametros_manuales!$F$110)*parametros_manuales!$I$40*parametros_manuales!$J$40</f>
        <v>802.14996863</v>
      </c>
      <c r="G50" s="9" t="n">
        <f aca="false">(parametros_manuales!$D$40*(datos_base!$C$2+datos_base!$C$18+IF(parametros_manuales!$H$40="Todos",datos_base!$C$9+datos_base!$C$23,0))*parametros_manuales!$G$95+parametros_manuales!$E$40*(datos_base!$C$3+datos_base!$C$19+IF(parametros_manuales!$H$40="Todos",datos_base!$C$10+datos_base!$C$24,0))*parametros_manuales!$G$100+parametros_manuales!$F$40*(datos_base!$C$4+datos_base!$C$20+IF(parametros_manuales!$H$40="Todos",datos_base!$C$11+datos_base!$C$25,0))*parametros_manuales!$G$105+parametros_manuales!$G$40*(datos_base!$C$5+datos_base!$C$21+IF(parametros_manuales!$H$40="Todos",datos_base!$C$12+datos_base!$C$26,0))*parametros_manuales!$G$110)*parametros_manuales!$I$40*parametros_manuales!$J$40</f>
        <v>778.25380049</v>
      </c>
      <c r="H50" s="9" t="n">
        <f aca="false">(parametros_manuales!$D$40*(datos_base!$C$2+datos_base!$C$18+IF(parametros_manuales!$H$40="Todos",datos_base!$C$9+datos_base!$C$23,0))*parametros_manuales!$H$95+parametros_manuales!$E$40*(datos_base!$C$3+datos_base!$C$19+IF(parametros_manuales!$H$40="Todos",datos_base!$C$10+datos_base!$C$24,0))*parametros_manuales!$H$100+parametros_manuales!$F$40*(datos_base!$C$4+datos_base!$C$20+IF(parametros_manuales!$H$40="Todos",datos_base!$C$11+datos_base!$C$25,0))*parametros_manuales!$H$105+parametros_manuales!$G$40*(datos_base!$C$5+datos_base!$C$21+IF(parametros_manuales!$H$40="Todos",datos_base!$C$12+datos_base!$C$26,0))*parametros_manuales!$H$110)*parametros_manuales!$I$40*parametros_manuales!$J$40</f>
        <v>832.136488515</v>
      </c>
      <c r="I50" s="9" t="n">
        <f aca="false">(parametros_manuales!$D$40*(datos_base!$C$2+datos_base!$C$18+IF(parametros_manuales!$H$40="Todos",datos_base!$C$9+datos_base!$C$23,0))*parametros_manuales!$I$95+parametros_manuales!$E$40*(datos_base!$C$3+datos_base!$C$19+IF(parametros_manuales!$H$40="Todos",datos_base!$C$10+datos_base!$C$24,0))*parametros_manuales!$I$100+parametros_manuales!$F$40*(datos_base!$C$4+datos_base!$C$20+IF(parametros_manuales!$H$40="Todos",datos_base!$C$11+datos_base!$C$25,0))*parametros_manuales!$I$105+parametros_manuales!$G$40*(datos_base!$C$5+datos_base!$C$21+IF(parametros_manuales!$H$40="Todos",datos_base!$C$12+datos_base!$C$26,0))*parametros_manuales!$I$110)*parametros_manuales!$I$40*parametros_manuales!$J$40</f>
        <v>922.09604817</v>
      </c>
      <c r="J50" s="9" t="n">
        <f aca="false">(parametros_manuales!$D$40*(datos_base!$C$2+datos_base!$C$18+IF(parametros_manuales!$H$40="Todos",datos_base!$C$9+datos_base!$C$23,0))*parametros_manuales!$J$95+parametros_manuales!$E$40*(datos_base!$C$3+datos_base!$C$19+IF(parametros_manuales!$H$40="Todos",datos_base!$C$10+datos_base!$C$24,0))*parametros_manuales!$J$100+parametros_manuales!$F$40*(datos_base!$C$4+datos_base!$C$20+IF(parametros_manuales!$H$40="Todos",datos_base!$C$11+datos_base!$C$25,0))*parametros_manuales!$J$105+parametros_manuales!$G$40*(datos_base!$C$5+datos_base!$C$21+IF(parametros_manuales!$H$40="Todos",datos_base!$C$12+datos_base!$C$26,0))*parametros_manuales!$J$110)*parametros_manuales!$I$40*parametros_manuales!$J$40</f>
        <v>922.09604817</v>
      </c>
      <c r="K50" s="9" t="n">
        <f aca="false">(parametros_manuales!$D$40*(datos_base!$C$2+datos_base!$C$18+IF(parametros_manuales!$H$40="Todos",datos_base!$C$9+datos_base!$C$23,0))*parametros_manuales!$K$95+parametros_manuales!$E$40*(datos_base!$C$3+datos_base!$C$19+IF(parametros_manuales!$H$40="Todos",datos_base!$C$10+datos_base!$C$24,0))*parametros_manuales!$K$100+parametros_manuales!$F$40*(datos_base!$C$4+datos_base!$C$20+IF(parametros_manuales!$H$40="Todos",datos_base!$C$11+datos_base!$C$25,0))*parametros_manuales!$K$105+parametros_manuales!$G$40*(datos_base!$C$5+datos_base!$C$21+IF(parametros_manuales!$H$40="Todos",datos_base!$C$12+datos_base!$C$26,0))*parametros_manuales!$K$110)*parametros_manuales!$I$40*parametros_manuales!$J$40</f>
        <v>945.99221631</v>
      </c>
      <c r="L50" s="9" t="n">
        <f aca="false">(parametros_manuales!$D$40*(datos_base!$C$2+datos_base!$C$18+IF(parametros_manuales!$H$40="Todos",datos_base!$C$9+datos_base!$C$23,0))*parametros_manuales!$L$95+parametros_manuales!$E$40*(datos_base!$C$3+datos_base!$C$19+IF(parametros_manuales!$H$40="Todos",datos_base!$C$10+datos_base!$C$24,0))*parametros_manuales!$L$100+parametros_manuales!$F$40*(datos_base!$C$4+datos_base!$C$20+IF(parametros_manuales!$H$40="Todos",datos_base!$C$11+datos_base!$C$25,0))*parametros_manuales!$L$105+parametros_manuales!$G$40*(datos_base!$C$5+datos_base!$C$21+IF(parametros_manuales!$H$40="Todos",datos_base!$C$12+datos_base!$C$26,0))*parametros_manuales!$L$110)*parametros_manuales!$I$40*parametros_manuales!$J$40</f>
        <v>969.88838445</v>
      </c>
      <c r="M50" s="9" t="n">
        <f aca="false">(parametros_manuales!$D$40*(datos_base!$C$2+datos_base!$C$18+IF(parametros_manuales!$H$40="Todos",datos_base!$C$9+datos_base!$C$23,0))*parametros_manuales!$M$95+parametros_manuales!$E$40*(datos_base!$C$3+datos_base!$C$19+IF(parametros_manuales!$H$40="Todos",datos_base!$C$10+datos_base!$C$24,0))*parametros_manuales!$M$100+parametros_manuales!$F$40*(datos_base!$C$4+datos_base!$C$20+IF(parametros_manuales!$H$40="Todos",datos_base!$C$11+datos_base!$C$25,0))*parametros_manuales!$M$105+parametros_manuales!$G$40*(datos_base!$C$5+datos_base!$C$21+IF(parametros_manuales!$H$40="Todos",datos_base!$C$12+datos_base!$C$26,0))*parametros_manuales!$M$110)*parametros_manuales!$I$40*parametros_manuales!$J$40</f>
        <v>969.88838445</v>
      </c>
      <c r="N50" s="9" t="n">
        <f aca="false">SUM(B50:M50)</f>
        <v>10776.537605</v>
      </c>
      <c r="O50" s="9" t="n">
        <f aca="false">MAX(B50:M50)</f>
        <v>969.88838445</v>
      </c>
      <c r="P50" s="43" t="n">
        <f aca="false">O50/(parametros_manuales!$B$7)</f>
        <v>6.465922563</v>
      </c>
      <c r="Q50" s="8" t="str">
        <f aca="false">IF(O50=0,"-",INDEX($B$28:$M$28,MATCH(O50,B50:M50,0)))</f>
        <v>Ene</v>
      </c>
    </row>
    <row r="51" customFormat="false" ht="14.25" hidden="false" customHeight="true" outlineLevel="0" collapsed="false">
      <c r="A51" s="8" t="str">
        <f aca="false">parametros_manuales!$B$41</f>
        <v>Control de calidad — Ensayo de pérdidas</v>
      </c>
      <c r="B51" s="9" t="n">
        <f aca="false">(parametros_manuales!$D$41*(datos_base!$C$2+datos_base!$C$18+IF(parametros_manuales!$H$41="Todos",datos_base!$C$9+datos_base!$C$23,0))*parametros_manuales!$B$95+parametros_manuales!$E$41*(datos_base!$C$3+datos_base!$C$19+IF(parametros_manuales!$H$41="Todos",datos_base!$C$10+datos_base!$C$24,0))*parametros_manuales!$B$100+parametros_manuales!$F$41*(datos_base!$C$4+datos_base!$C$20+IF(parametros_manuales!$H$41="Todos",datos_base!$C$11+datos_base!$C$25,0))*parametros_manuales!$B$105+parametros_manuales!$G$41*(datos_base!$C$5+datos_base!$C$21+IF(parametros_manuales!$H$41="Todos",datos_base!$C$12+datos_base!$C$26,0))*parametros_manuales!$B$110)*parametros_manuales!$I$41*parametros_manuales!$J$41</f>
        <v>969.88838445</v>
      </c>
      <c r="C51" s="9" t="n">
        <f aca="false">(parametros_manuales!$D$41*(datos_base!$C$2+datos_base!$C$18+IF(parametros_manuales!$H$41="Todos",datos_base!$C$9+datos_base!$C$23,0))*parametros_manuales!$C$95+parametros_manuales!$E$41*(datos_base!$C$3+datos_base!$C$19+IF(parametros_manuales!$H$41="Todos",datos_base!$C$10+datos_base!$C$24,0))*parametros_manuales!$C$100+parametros_manuales!$F$41*(datos_base!$C$4+datos_base!$C$20+IF(parametros_manuales!$H$41="Todos",datos_base!$C$11+datos_base!$C$25,0))*parametros_manuales!$C$105+parametros_manuales!$G$41*(datos_base!$C$5+datos_base!$C$21+IF(parametros_manuales!$H$41="Todos",datos_base!$C$12+datos_base!$C$26,0))*parametros_manuales!$C$110)*parametros_manuales!$I$41*parametros_manuales!$J$41</f>
        <v>922.09604817</v>
      </c>
      <c r="D51" s="9" t="n">
        <f aca="false">(parametros_manuales!$D$41*(datos_base!$C$2+datos_base!$C$18+IF(parametros_manuales!$H$41="Todos",datos_base!$C$9+datos_base!$C$23,0))*parametros_manuales!$D$95+parametros_manuales!$E$41*(datos_base!$C$3+datos_base!$C$19+IF(parametros_manuales!$H$41="Todos",datos_base!$C$10+datos_base!$C$24,0))*parametros_manuales!$D$100+parametros_manuales!$F$41*(datos_base!$C$4+datos_base!$C$20+IF(parametros_manuales!$H$41="Todos",datos_base!$C$11+datos_base!$C$25,0))*parametros_manuales!$D$105+parametros_manuales!$G$41*(datos_base!$C$5+datos_base!$C$21+IF(parametros_manuales!$H$41="Todos",datos_base!$C$12+datos_base!$C$26,0))*parametros_manuales!$D$110)*parametros_manuales!$I$41*parametros_manuales!$J$41</f>
        <v>886.01917654</v>
      </c>
      <c r="E51" s="9" t="n">
        <f aca="false">(parametros_manuales!$D$41*(datos_base!$C$2+datos_base!$C$18+IF(parametros_manuales!$H$41="Todos",datos_base!$C$9+datos_base!$C$23,0))*parametros_manuales!$E$95+parametros_manuales!$E$41*(datos_base!$C$3+datos_base!$C$19+IF(parametros_manuales!$H$41="Todos",datos_base!$C$10+datos_base!$C$24,0))*parametros_manuales!$E$100+parametros_manuales!$F$41*(datos_base!$C$4+datos_base!$C$20+IF(parametros_manuales!$H$41="Todos",datos_base!$C$11+datos_base!$C$25,0))*parametros_manuales!$E$105+parametros_manuales!$G$41*(datos_base!$C$5+datos_base!$C$21+IF(parametros_manuales!$H$41="Todos",datos_base!$C$12+datos_base!$C$26,0))*parametros_manuales!$E$110)*parametros_manuales!$I$41*parametros_manuales!$J$41</f>
        <v>856.032656655</v>
      </c>
      <c r="F51" s="9" t="n">
        <f aca="false">(parametros_manuales!$D$41*(datos_base!$C$2+datos_base!$C$18+IF(parametros_manuales!$H$41="Todos",datos_base!$C$9+datos_base!$C$23,0))*parametros_manuales!$F$95+parametros_manuales!$E$41*(datos_base!$C$3+datos_base!$C$19+IF(parametros_manuales!$H$41="Todos",datos_base!$C$10+datos_base!$C$24,0))*parametros_manuales!$F$100+parametros_manuales!$F$41*(datos_base!$C$4+datos_base!$C$20+IF(parametros_manuales!$H$41="Todos",datos_base!$C$11+datos_base!$C$25,0))*parametros_manuales!$F$105+parametros_manuales!$G$41*(datos_base!$C$5+datos_base!$C$21+IF(parametros_manuales!$H$41="Todos",datos_base!$C$12+datos_base!$C$26,0))*parametros_manuales!$F$110)*parametros_manuales!$I$41*parametros_manuales!$J$41</f>
        <v>802.14996863</v>
      </c>
      <c r="G51" s="9" t="n">
        <f aca="false">(parametros_manuales!$D$41*(datos_base!$C$2+datos_base!$C$18+IF(parametros_manuales!$H$41="Todos",datos_base!$C$9+datos_base!$C$23,0))*parametros_manuales!$G$95+parametros_manuales!$E$41*(datos_base!$C$3+datos_base!$C$19+IF(parametros_manuales!$H$41="Todos",datos_base!$C$10+datos_base!$C$24,0))*parametros_manuales!$G$100+parametros_manuales!$F$41*(datos_base!$C$4+datos_base!$C$20+IF(parametros_manuales!$H$41="Todos",datos_base!$C$11+datos_base!$C$25,0))*parametros_manuales!$G$105+parametros_manuales!$G$41*(datos_base!$C$5+datos_base!$C$21+IF(parametros_manuales!$H$41="Todos",datos_base!$C$12+datos_base!$C$26,0))*parametros_manuales!$G$110)*parametros_manuales!$I$41*parametros_manuales!$J$41</f>
        <v>778.25380049</v>
      </c>
      <c r="H51" s="9" t="n">
        <f aca="false">(parametros_manuales!$D$41*(datos_base!$C$2+datos_base!$C$18+IF(parametros_manuales!$H$41="Todos",datos_base!$C$9+datos_base!$C$23,0))*parametros_manuales!$H$95+parametros_manuales!$E$41*(datos_base!$C$3+datos_base!$C$19+IF(parametros_manuales!$H$41="Todos",datos_base!$C$10+datos_base!$C$24,0))*parametros_manuales!$H$100+parametros_manuales!$F$41*(datos_base!$C$4+datos_base!$C$20+IF(parametros_manuales!$H$41="Todos",datos_base!$C$11+datos_base!$C$25,0))*parametros_manuales!$H$105+parametros_manuales!$G$41*(datos_base!$C$5+datos_base!$C$21+IF(parametros_manuales!$H$41="Todos",datos_base!$C$12+datos_base!$C$26,0))*parametros_manuales!$H$110)*parametros_manuales!$I$41*parametros_manuales!$J$41</f>
        <v>832.136488515</v>
      </c>
      <c r="I51" s="9" t="n">
        <f aca="false">(parametros_manuales!$D$41*(datos_base!$C$2+datos_base!$C$18+IF(parametros_manuales!$H$41="Todos",datos_base!$C$9+datos_base!$C$23,0))*parametros_manuales!$I$95+parametros_manuales!$E$41*(datos_base!$C$3+datos_base!$C$19+IF(parametros_manuales!$H$41="Todos",datos_base!$C$10+datos_base!$C$24,0))*parametros_manuales!$I$100+parametros_manuales!$F$41*(datos_base!$C$4+datos_base!$C$20+IF(parametros_manuales!$H$41="Todos",datos_base!$C$11+datos_base!$C$25,0))*parametros_manuales!$I$105+parametros_manuales!$G$41*(datos_base!$C$5+datos_base!$C$21+IF(parametros_manuales!$H$41="Todos",datos_base!$C$12+datos_base!$C$26,0))*parametros_manuales!$I$110)*parametros_manuales!$I$41*parametros_manuales!$J$41</f>
        <v>922.09604817</v>
      </c>
      <c r="J51" s="9" t="n">
        <f aca="false">(parametros_manuales!$D$41*(datos_base!$C$2+datos_base!$C$18+IF(parametros_manuales!$H$41="Todos",datos_base!$C$9+datos_base!$C$23,0))*parametros_manuales!$J$95+parametros_manuales!$E$41*(datos_base!$C$3+datos_base!$C$19+IF(parametros_manuales!$H$41="Todos",datos_base!$C$10+datos_base!$C$24,0))*parametros_manuales!$J$100+parametros_manuales!$F$41*(datos_base!$C$4+datos_base!$C$20+IF(parametros_manuales!$H$41="Todos",datos_base!$C$11+datos_base!$C$25,0))*parametros_manuales!$J$105+parametros_manuales!$G$41*(datos_base!$C$5+datos_base!$C$21+IF(parametros_manuales!$H$41="Todos",datos_base!$C$12+datos_base!$C$26,0))*parametros_manuales!$J$110)*parametros_manuales!$I$41*parametros_manuales!$J$41</f>
        <v>922.09604817</v>
      </c>
      <c r="K51" s="9" t="n">
        <f aca="false">(parametros_manuales!$D$41*(datos_base!$C$2+datos_base!$C$18+IF(parametros_manuales!$H$41="Todos",datos_base!$C$9+datos_base!$C$23,0))*parametros_manuales!$K$95+parametros_manuales!$E$41*(datos_base!$C$3+datos_base!$C$19+IF(parametros_manuales!$H$41="Todos",datos_base!$C$10+datos_base!$C$24,0))*parametros_manuales!$K$100+parametros_manuales!$F$41*(datos_base!$C$4+datos_base!$C$20+IF(parametros_manuales!$H$41="Todos",datos_base!$C$11+datos_base!$C$25,0))*parametros_manuales!$K$105+parametros_manuales!$G$41*(datos_base!$C$5+datos_base!$C$21+IF(parametros_manuales!$H$41="Todos",datos_base!$C$12+datos_base!$C$26,0))*parametros_manuales!$K$110)*parametros_manuales!$I$41*parametros_manuales!$J$41</f>
        <v>945.99221631</v>
      </c>
      <c r="L51" s="9" t="n">
        <f aca="false">(parametros_manuales!$D$41*(datos_base!$C$2+datos_base!$C$18+IF(parametros_manuales!$H$41="Todos",datos_base!$C$9+datos_base!$C$23,0))*parametros_manuales!$L$95+parametros_manuales!$E$41*(datos_base!$C$3+datos_base!$C$19+IF(parametros_manuales!$H$41="Todos",datos_base!$C$10+datos_base!$C$24,0))*parametros_manuales!$L$100+parametros_manuales!$F$41*(datos_base!$C$4+datos_base!$C$20+IF(parametros_manuales!$H$41="Todos",datos_base!$C$11+datos_base!$C$25,0))*parametros_manuales!$L$105+parametros_manuales!$G$41*(datos_base!$C$5+datos_base!$C$21+IF(parametros_manuales!$H$41="Todos",datos_base!$C$12+datos_base!$C$26,0))*parametros_manuales!$L$110)*parametros_manuales!$I$41*parametros_manuales!$J$41</f>
        <v>969.88838445</v>
      </c>
      <c r="M51" s="9" t="n">
        <f aca="false">(parametros_manuales!$D$41*(datos_base!$C$2+datos_base!$C$18+IF(parametros_manuales!$H$41="Todos",datos_base!$C$9+datos_base!$C$23,0))*parametros_manuales!$M$95+parametros_manuales!$E$41*(datos_base!$C$3+datos_base!$C$19+IF(parametros_manuales!$H$41="Todos",datos_base!$C$10+datos_base!$C$24,0))*parametros_manuales!$M$100+parametros_manuales!$F$41*(datos_base!$C$4+datos_base!$C$20+IF(parametros_manuales!$H$41="Todos",datos_base!$C$11+datos_base!$C$25,0))*parametros_manuales!$M$105+parametros_manuales!$G$41*(datos_base!$C$5+datos_base!$C$21+IF(parametros_manuales!$H$41="Todos",datos_base!$C$12+datos_base!$C$26,0))*parametros_manuales!$M$110)*parametros_manuales!$I$41*parametros_manuales!$J$41</f>
        <v>969.88838445</v>
      </c>
      <c r="N51" s="9" t="n">
        <f aca="false">SUM(B51:M51)</f>
        <v>10776.537605</v>
      </c>
      <c r="O51" s="9" t="n">
        <f aca="false">MAX(B51:M51)</f>
        <v>969.88838445</v>
      </c>
      <c r="P51" s="43" t="n">
        <f aca="false">O51/(parametros_manuales!$B$7)</f>
        <v>6.465922563</v>
      </c>
      <c r="Q51" s="8" t="str">
        <f aca="false">IF(O51=0,"-",INDEX($B$28:$M$28,MATCH(O51,B51:M51,0)))</f>
        <v>Ene</v>
      </c>
    </row>
    <row r="52" customFormat="false" ht="14.25" hidden="false" customHeight="true" outlineLevel="0" collapsed="false">
      <c r="A52" s="8" t="str">
        <f aca="false">parametros_manuales!$B$42</f>
        <v>Etiquetado</v>
      </c>
      <c r="B52" s="9" t="n">
        <f aca="false">(parametros_manuales!$D$42*(datos_base!$C$2+datos_base!$C$18+IF(parametros_manuales!$H$42="Todos",datos_base!$C$9+datos_base!$C$23,0))*parametros_manuales!$B$95+parametros_manuales!$E$42*(datos_base!$C$3+datos_base!$C$19+IF(parametros_manuales!$H$42="Todos",datos_base!$C$10+datos_base!$C$24,0))*parametros_manuales!$B$100+parametros_manuales!$F$42*(datos_base!$C$4+datos_base!$C$20+IF(parametros_manuales!$H$42="Todos",datos_base!$C$11+datos_base!$C$25,0))*parametros_manuales!$B$105+parametros_manuales!$G$42*(datos_base!$C$5+datos_base!$C$21+IF(parametros_manuales!$H$42="Todos",datos_base!$C$12+datos_base!$C$26,0))*parametros_manuales!$B$110)*parametros_manuales!$I$42*parametros_manuales!$J$42</f>
        <v>969.88838445</v>
      </c>
      <c r="C52" s="9" t="n">
        <f aca="false">(parametros_manuales!$D$42*(datos_base!$C$2+datos_base!$C$18+IF(parametros_manuales!$H$42="Todos",datos_base!$C$9+datos_base!$C$23,0))*parametros_manuales!$C$95+parametros_manuales!$E$42*(datos_base!$C$3+datos_base!$C$19+IF(parametros_manuales!$H$42="Todos",datos_base!$C$10+datos_base!$C$24,0))*parametros_manuales!$C$100+parametros_manuales!$F$42*(datos_base!$C$4+datos_base!$C$20+IF(parametros_manuales!$H$42="Todos",datos_base!$C$11+datos_base!$C$25,0))*parametros_manuales!$C$105+parametros_manuales!$G$42*(datos_base!$C$5+datos_base!$C$21+IF(parametros_manuales!$H$42="Todos",datos_base!$C$12+datos_base!$C$26,0))*parametros_manuales!$C$110)*parametros_manuales!$I$42*parametros_manuales!$J$42</f>
        <v>922.09604817</v>
      </c>
      <c r="D52" s="9" t="n">
        <f aca="false">(parametros_manuales!$D$42*(datos_base!$C$2+datos_base!$C$18+IF(parametros_manuales!$H$42="Todos",datos_base!$C$9+datos_base!$C$23,0))*parametros_manuales!$D$95+parametros_manuales!$E$42*(datos_base!$C$3+datos_base!$C$19+IF(parametros_manuales!$H$42="Todos",datos_base!$C$10+datos_base!$C$24,0))*parametros_manuales!$D$100+parametros_manuales!$F$42*(datos_base!$C$4+datos_base!$C$20+IF(parametros_manuales!$H$42="Todos",datos_base!$C$11+datos_base!$C$25,0))*parametros_manuales!$D$105+parametros_manuales!$G$42*(datos_base!$C$5+datos_base!$C$21+IF(parametros_manuales!$H$42="Todos",datos_base!$C$12+datos_base!$C$26,0))*parametros_manuales!$D$110)*parametros_manuales!$I$42*parametros_manuales!$J$42</f>
        <v>886.01917654</v>
      </c>
      <c r="E52" s="9" t="n">
        <f aca="false">(parametros_manuales!$D$42*(datos_base!$C$2+datos_base!$C$18+IF(parametros_manuales!$H$42="Todos",datos_base!$C$9+datos_base!$C$23,0))*parametros_manuales!$E$95+parametros_manuales!$E$42*(datos_base!$C$3+datos_base!$C$19+IF(parametros_manuales!$H$42="Todos",datos_base!$C$10+datos_base!$C$24,0))*parametros_manuales!$E$100+parametros_manuales!$F$42*(datos_base!$C$4+datos_base!$C$20+IF(parametros_manuales!$H$42="Todos",datos_base!$C$11+datos_base!$C$25,0))*parametros_manuales!$E$105+parametros_manuales!$G$42*(datos_base!$C$5+datos_base!$C$21+IF(parametros_manuales!$H$42="Todos",datos_base!$C$12+datos_base!$C$26,0))*parametros_manuales!$E$110)*parametros_manuales!$I$42*parametros_manuales!$J$42</f>
        <v>856.032656655</v>
      </c>
      <c r="F52" s="9" t="n">
        <f aca="false">(parametros_manuales!$D$42*(datos_base!$C$2+datos_base!$C$18+IF(parametros_manuales!$H$42="Todos",datos_base!$C$9+datos_base!$C$23,0))*parametros_manuales!$F$95+parametros_manuales!$E$42*(datos_base!$C$3+datos_base!$C$19+IF(parametros_manuales!$H$42="Todos",datos_base!$C$10+datos_base!$C$24,0))*parametros_manuales!$F$100+parametros_manuales!$F$42*(datos_base!$C$4+datos_base!$C$20+IF(parametros_manuales!$H$42="Todos",datos_base!$C$11+datos_base!$C$25,0))*parametros_manuales!$F$105+parametros_manuales!$G$42*(datos_base!$C$5+datos_base!$C$21+IF(parametros_manuales!$H$42="Todos",datos_base!$C$12+datos_base!$C$26,0))*parametros_manuales!$F$110)*parametros_manuales!$I$42*parametros_manuales!$J$42</f>
        <v>802.14996863</v>
      </c>
      <c r="G52" s="9" t="n">
        <f aca="false">(parametros_manuales!$D$42*(datos_base!$C$2+datos_base!$C$18+IF(parametros_manuales!$H$42="Todos",datos_base!$C$9+datos_base!$C$23,0))*parametros_manuales!$G$95+parametros_manuales!$E$42*(datos_base!$C$3+datos_base!$C$19+IF(parametros_manuales!$H$42="Todos",datos_base!$C$10+datos_base!$C$24,0))*parametros_manuales!$G$100+parametros_manuales!$F$42*(datos_base!$C$4+datos_base!$C$20+IF(parametros_manuales!$H$42="Todos",datos_base!$C$11+datos_base!$C$25,0))*parametros_manuales!$G$105+parametros_manuales!$G$42*(datos_base!$C$5+datos_base!$C$21+IF(parametros_manuales!$H$42="Todos",datos_base!$C$12+datos_base!$C$26,0))*parametros_manuales!$G$110)*parametros_manuales!$I$42*parametros_manuales!$J$42</f>
        <v>778.25380049</v>
      </c>
      <c r="H52" s="9" t="n">
        <f aca="false">(parametros_manuales!$D$42*(datos_base!$C$2+datos_base!$C$18+IF(parametros_manuales!$H$42="Todos",datos_base!$C$9+datos_base!$C$23,0))*parametros_manuales!$H$95+parametros_manuales!$E$42*(datos_base!$C$3+datos_base!$C$19+IF(parametros_manuales!$H$42="Todos",datos_base!$C$10+datos_base!$C$24,0))*parametros_manuales!$H$100+parametros_manuales!$F$42*(datos_base!$C$4+datos_base!$C$20+IF(parametros_manuales!$H$42="Todos",datos_base!$C$11+datos_base!$C$25,0))*parametros_manuales!$H$105+parametros_manuales!$G$42*(datos_base!$C$5+datos_base!$C$21+IF(parametros_manuales!$H$42="Todos",datos_base!$C$12+datos_base!$C$26,0))*parametros_manuales!$H$110)*parametros_manuales!$I$42*parametros_manuales!$J$42</f>
        <v>832.136488515</v>
      </c>
      <c r="I52" s="9" t="n">
        <f aca="false">(parametros_manuales!$D$42*(datos_base!$C$2+datos_base!$C$18+IF(parametros_manuales!$H$42="Todos",datos_base!$C$9+datos_base!$C$23,0))*parametros_manuales!$I$95+parametros_manuales!$E$42*(datos_base!$C$3+datos_base!$C$19+IF(parametros_manuales!$H$42="Todos",datos_base!$C$10+datos_base!$C$24,0))*parametros_manuales!$I$100+parametros_manuales!$F$42*(datos_base!$C$4+datos_base!$C$20+IF(parametros_manuales!$H$42="Todos",datos_base!$C$11+datos_base!$C$25,0))*parametros_manuales!$I$105+parametros_manuales!$G$42*(datos_base!$C$5+datos_base!$C$21+IF(parametros_manuales!$H$42="Todos",datos_base!$C$12+datos_base!$C$26,0))*parametros_manuales!$I$110)*parametros_manuales!$I$42*parametros_manuales!$J$42</f>
        <v>922.09604817</v>
      </c>
      <c r="J52" s="9" t="n">
        <f aca="false">(parametros_manuales!$D$42*(datos_base!$C$2+datos_base!$C$18+IF(parametros_manuales!$H$42="Todos",datos_base!$C$9+datos_base!$C$23,0))*parametros_manuales!$J$95+parametros_manuales!$E$42*(datos_base!$C$3+datos_base!$C$19+IF(parametros_manuales!$H$42="Todos",datos_base!$C$10+datos_base!$C$24,0))*parametros_manuales!$J$100+parametros_manuales!$F$42*(datos_base!$C$4+datos_base!$C$20+IF(parametros_manuales!$H$42="Todos",datos_base!$C$11+datos_base!$C$25,0))*parametros_manuales!$J$105+parametros_manuales!$G$42*(datos_base!$C$5+datos_base!$C$21+IF(parametros_manuales!$H$42="Todos",datos_base!$C$12+datos_base!$C$26,0))*parametros_manuales!$J$110)*parametros_manuales!$I$42*parametros_manuales!$J$42</f>
        <v>922.09604817</v>
      </c>
      <c r="K52" s="9" t="n">
        <f aca="false">(parametros_manuales!$D$42*(datos_base!$C$2+datos_base!$C$18+IF(parametros_manuales!$H$42="Todos",datos_base!$C$9+datos_base!$C$23,0))*parametros_manuales!$K$95+parametros_manuales!$E$42*(datos_base!$C$3+datos_base!$C$19+IF(parametros_manuales!$H$42="Todos",datos_base!$C$10+datos_base!$C$24,0))*parametros_manuales!$K$100+parametros_manuales!$F$42*(datos_base!$C$4+datos_base!$C$20+IF(parametros_manuales!$H$42="Todos",datos_base!$C$11+datos_base!$C$25,0))*parametros_manuales!$K$105+parametros_manuales!$G$42*(datos_base!$C$5+datos_base!$C$21+IF(parametros_manuales!$H$42="Todos",datos_base!$C$12+datos_base!$C$26,0))*parametros_manuales!$K$110)*parametros_manuales!$I$42*parametros_manuales!$J$42</f>
        <v>945.99221631</v>
      </c>
      <c r="L52" s="9" t="n">
        <f aca="false">(parametros_manuales!$D$42*(datos_base!$C$2+datos_base!$C$18+IF(parametros_manuales!$H$42="Todos",datos_base!$C$9+datos_base!$C$23,0))*parametros_manuales!$L$95+parametros_manuales!$E$42*(datos_base!$C$3+datos_base!$C$19+IF(parametros_manuales!$H$42="Todos",datos_base!$C$10+datos_base!$C$24,0))*parametros_manuales!$L$100+parametros_manuales!$F$42*(datos_base!$C$4+datos_base!$C$20+IF(parametros_manuales!$H$42="Todos",datos_base!$C$11+datos_base!$C$25,0))*parametros_manuales!$L$105+parametros_manuales!$G$42*(datos_base!$C$5+datos_base!$C$21+IF(parametros_manuales!$H$42="Todos",datos_base!$C$12+datos_base!$C$26,0))*parametros_manuales!$L$110)*parametros_manuales!$I$42*parametros_manuales!$J$42</f>
        <v>969.88838445</v>
      </c>
      <c r="M52" s="9" t="n">
        <f aca="false">(parametros_manuales!$D$42*(datos_base!$C$2+datos_base!$C$18+IF(parametros_manuales!$H$42="Todos",datos_base!$C$9+datos_base!$C$23,0))*parametros_manuales!$M$95+parametros_manuales!$E$42*(datos_base!$C$3+datos_base!$C$19+IF(parametros_manuales!$H$42="Todos",datos_base!$C$10+datos_base!$C$24,0))*parametros_manuales!$M$100+parametros_manuales!$F$42*(datos_base!$C$4+datos_base!$C$20+IF(parametros_manuales!$H$42="Todos",datos_base!$C$11+datos_base!$C$25,0))*parametros_manuales!$M$105+parametros_manuales!$G$42*(datos_base!$C$5+datos_base!$C$21+IF(parametros_manuales!$H$42="Todos",datos_base!$C$12+datos_base!$C$26,0))*parametros_manuales!$M$110)*parametros_manuales!$I$42*parametros_manuales!$J$42</f>
        <v>969.88838445</v>
      </c>
      <c r="N52" s="9" t="n">
        <f aca="false">SUM(B52:M52)</f>
        <v>10776.537605</v>
      </c>
      <c r="O52" s="9" t="n">
        <f aca="false">MAX(B52:M52)</f>
        <v>969.88838445</v>
      </c>
      <c r="P52" s="43" t="n">
        <f aca="false">O52/(parametros_manuales!$B$7)</f>
        <v>6.465922563</v>
      </c>
      <c r="Q52" s="8" t="str">
        <f aca="false">IF(O52=0,"-",INDEX($B$28:$M$28,MATCH(O52,B52:M52,0)))</f>
        <v>Ene</v>
      </c>
    </row>
    <row r="53" customFormat="false" ht="14.25" hidden="false" customHeight="true" outlineLevel="0" collapsed="false">
      <c r="A53" s="8" t="str">
        <f aca="false">parametros_manuales!$B$43</f>
        <v>Embalaje y paletizado</v>
      </c>
      <c r="B53" s="9" t="n">
        <f aca="false">(parametros_manuales!$D$43*(datos_base!$C$2+datos_base!$C$18+IF(parametros_manuales!$H$43="Todos",datos_base!$C$9+datos_base!$C$23,0))*parametros_manuales!$B$95+parametros_manuales!$E$43*(datos_base!$C$3+datos_base!$C$19+IF(parametros_manuales!$H$43="Todos",datos_base!$C$10+datos_base!$C$24,0))*parametros_manuales!$B$100+parametros_manuales!$F$43*(datos_base!$C$4+datos_base!$C$20+IF(parametros_manuales!$H$43="Todos",datos_base!$C$11+datos_base!$C$25,0))*parametros_manuales!$B$105+parametros_manuales!$G$43*(datos_base!$C$5+datos_base!$C$21+IF(parametros_manuales!$H$43="Todos",datos_base!$C$12+datos_base!$C$26,0))*parametros_manuales!$B$110)*parametros_manuales!$I$43*parametros_manuales!$J$43</f>
        <v>977.37998445</v>
      </c>
      <c r="C53" s="9" t="n">
        <f aca="false">(parametros_manuales!$D$43*(datos_base!$C$2+datos_base!$C$18+IF(parametros_manuales!$H$43="Todos",datos_base!$C$9+datos_base!$C$23,0))*parametros_manuales!$C$95+parametros_manuales!$E$43*(datos_base!$C$3+datos_base!$C$19+IF(parametros_manuales!$H$43="Todos",datos_base!$C$10+datos_base!$C$24,0))*parametros_manuales!$C$100+parametros_manuales!$F$43*(datos_base!$C$4+datos_base!$C$20+IF(parametros_manuales!$H$43="Todos",datos_base!$C$11+datos_base!$C$25,0))*parametros_manuales!$C$105+parametros_manuales!$G$43*(datos_base!$C$5+datos_base!$C$21+IF(parametros_manuales!$H$43="Todos",datos_base!$C$12+datos_base!$C$26,0))*parametros_manuales!$C$110)*parametros_manuales!$I$43*parametros_manuales!$J$43</f>
        <v>928.75524817</v>
      </c>
      <c r="D53" s="9" t="n">
        <f aca="false">(parametros_manuales!$D$43*(datos_base!$C$2+datos_base!$C$18+IF(parametros_manuales!$H$43="Todos",datos_base!$C$9+datos_base!$C$23,0))*parametros_manuales!$D$95+parametros_manuales!$E$43*(datos_base!$C$3+datos_base!$C$19+IF(parametros_manuales!$H$43="Todos",datos_base!$C$10+datos_base!$C$24,0))*parametros_manuales!$D$100+parametros_manuales!$F$43*(datos_base!$C$4+datos_base!$C$20+IF(parametros_manuales!$H$43="Todos",datos_base!$C$11+datos_base!$C$25,0))*parametros_manuales!$D$105+parametros_manuales!$G$43*(datos_base!$C$5+datos_base!$C$21+IF(parametros_manuales!$H$43="Todos",datos_base!$C$12+datos_base!$C$26,0))*parametros_manuales!$D$110)*parametros_manuales!$I$43*parametros_manuales!$J$43</f>
        <v>893.09457654</v>
      </c>
      <c r="E53" s="9" t="n">
        <f aca="false">(parametros_manuales!$D$43*(datos_base!$C$2+datos_base!$C$18+IF(parametros_manuales!$H$43="Todos",datos_base!$C$9+datos_base!$C$23,0))*parametros_manuales!$E$95+parametros_manuales!$E$43*(datos_base!$C$3+datos_base!$C$19+IF(parametros_manuales!$H$43="Todos",datos_base!$C$10+datos_base!$C$24,0))*parametros_manuales!$E$100+parametros_manuales!$F$43*(datos_base!$C$4+datos_base!$C$20+IF(parametros_manuales!$H$43="Todos",datos_base!$C$11+datos_base!$C$25,0))*parametros_manuales!$E$105+parametros_manuales!$G$43*(datos_base!$C$5+datos_base!$C$21+IF(parametros_manuales!$H$43="Todos",datos_base!$C$12+datos_base!$C$26,0))*parametros_manuales!$E$110)*parametros_manuales!$I$43*parametros_manuales!$J$43</f>
        <v>863.108056655</v>
      </c>
      <c r="F53" s="9" t="n">
        <f aca="false">(parametros_manuales!$D$43*(datos_base!$C$2+datos_base!$C$18+IF(parametros_manuales!$H$43="Todos",datos_base!$C$9+datos_base!$C$23,0))*parametros_manuales!$F$95+parametros_manuales!$E$43*(datos_base!$C$3+datos_base!$C$19+IF(parametros_manuales!$H$43="Todos",datos_base!$C$10+datos_base!$C$24,0))*parametros_manuales!$F$100+parametros_manuales!$F$43*(datos_base!$C$4+datos_base!$C$20+IF(parametros_manuales!$H$43="Todos",datos_base!$C$11+datos_base!$C$25,0))*parametros_manuales!$F$105+parametros_manuales!$G$43*(datos_base!$C$5+datos_base!$C$21+IF(parametros_manuales!$H$43="Todos",datos_base!$C$12+datos_base!$C$26,0))*parametros_manuales!$F$110)*parametros_manuales!$I$43*parametros_manuales!$J$43</f>
        <v>808.80916863</v>
      </c>
      <c r="G53" s="9" t="n">
        <f aca="false">(parametros_manuales!$D$43*(datos_base!$C$2+datos_base!$C$18+IF(parametros_manuales!$H$43="Todos",datos_base!$C$9+datos_base!$C$23,0))*parametros_manuales!$G$95+parametros_manuales!$E$43*(datos_base!$C$3+datos_base!$C$19+IF(parametros_manuales!$H$43="Todos",datos_base!$C$10+datos_base!$C$24,0))*parametros_manuales!$G$100+parametros_manuales!$F$43*(datos_base!$C$4+datos_base!$C$20+IF(parametros_manuales!$H$43="Todos",datos_base!$C$11+datos_base!$C$25,0))*parametros_manuales!$G$105+parametros_manuales!$G$43*(datos_base!$C$5+datos_base!$C$21+IF(parametros_manuales!$H$43="Todos",datos_base!$C$12+datos_base!$C$26,0))*parametros_manuales!$G$110)*parametros_manuales!$I$43*parametros_manuales!$J$43</f>
        <v>784.49680049</v>
      </c>
      <c r="H53" s="9" t="n">
        <f aca="false">(parametros_manuales!$D$43*(datos_base!$C$2+datos_base!$C$18+IF(parametros_manuales!$H$43="Todos",datos_base!$C$9+datos_base!$C$23,0))*parametros_manuales!$H$95+parametros_manuales!$E$43*(datos_base!$C$3+datos_base!$C$19+IF(parametros_manuales!$H$43="Todos",datos_base!$C$10+datos_base!$C$24,0))*parametros_manuales!$H$100+parametros_manuales!$F$43*(datos_base!$C$4+datos_base!$C$20+IF(parametros_manuales!$H$43="Todos",datos_base!$C$11+datos_base!$C$25,0))*parametros_manuales!$H$105+parametros_manuales!$G$43*(datos_base!$C$5+datos_base!$C$21+IF(parametros_manuales!$H$43="Todos",datos_base!$C$12+datos_base!$C$26,0))*parametros_manuales!$H$110)*parametros_manuales!$I$43*parametros_manuales!$J$43</f>
        <v>838.795688515</v>
      </c>
      <c r="I53" s="9" t="n">
        <f aca="false">(parametros_manuales!$D$43*(datos_base!$C$2+datos_base!$C$18+IF(parametros_manuales!$H$43="Todos",datos_base!$C$9+datos_base!$C$23,0))*parametros_manuales!$I$95+parametros_manuales!$E$43*(datos_base!$C$3+datos_base!$C$19+IF(parametros_manuales!$H$43="Todos",datos_base!$C$10+datos_base!$C$24,0))*parametros_manuales!$I$100+parametros_manuales!$F$43*(datos_base!$C$4+datos_base!$C$20+IF(parametros_manuales!$H$43="Todos",datos_base!$C$11+datos_base!$C$25,0))*parametros_manuales!$I$105+parametros_manuales!$G$43*(datos_base!$C$5+datos_base!$C$21+IF(parametros_manuales!$H$43="Todos",datos_base!$C$12+datos_base!$C$26,0))*parametros_manuales!$I$110)*parametros_manuales!$I$43*parametros_manuales!$J$43</f>
        <v>928.75524817</v>
      </c>
      <c r="J53" s="9" t="n">
        <f aca="false">(parametros_manuales!$D$43*(datos_base!$C$2+datos_base!$C$18+IF(parametros_manuales!$H$43="Todos",datos_base!$C$9+datos_base!$C$23,0))*parametros_manuales!$J$95+parametros_manuales!$E$43*(datos_base!$C$3+datos_base!$C$19+IF(parametros_manuales!$H$43="Todos",datos_base!$C$10+datos_base!$C$24,0))*parametros_manuales!$J$100+parametros_manuales!$F$43*(datos_base!$C$4+datos_base!$C$20+IF(parametros_manuales!$H$43="Todos",datos_base!$C$11+datos_base!$C$25,0))*parametros_manuales!$J$105+parametros_manuales!$G$43*(datos_base!$C$5+datos_base!$C$21+IF(parametros_manuales!$H$43="Todos",datos_base!$C$12+datos_base!$C$26,0))*parametros_manuales!$J$110)*parametros_manuales!$I$43*parametros_manuales!$J$43</f>
        <v>928.75524817</v>
      </c>
      <c r="K53" s="9" t="n">
        <f aca="false">(parametros_manuales!$D$43*(datos_base!$C$2+datos_base!$C$18+IF(parametros_manuales!$H$43="Todos",datos_base!$C$9+datos_base!$C$23,0))*parametros_manuales!$K$95+parametros_manuales!$E$43*(datos_base!$C$3+datos_base!$C$19+IF(parametros_manuales!$H$43="Todos",datos_base!$C$10+datos_base!$C$24,0))*parametros_manuales!$K$100+parametros_manuales!$F$43*(datos_base!$C$4+datos_base!$C$20+IF(parametros_manuales!$H$43="Todos",datos_base!$C$11+datos_base!$C$25,0))*parametros_manuales!$K$105+parametros_manuales!$G$43*(datos_base!$C$5+datos_base!$C$21+IF(parametros_manuales!$H$43="Todos",datos_base!$C$12+datos_base!$C$26,0))*parametros_manuales!$K$110)*parametros_manuales!$I$43*parametros_manuales!$J$43</f>
        <v>953.06761631</v>
      </c>
      <c r="L53" s="9" t="n">
        <f aca="false">(parametros_manuales!$D$43*(datos_base!$C$2+datos_base!$C$18+IF(parametros_manuales!$H$43="Todos",datos_base!$C$9+datos_base!$C$23,0))*parametros_manuales!$L$95+parametros_manuales!$E$43*(datos_base!$C$3+datos_base!$C$19+IF(parametros_manuales!$H$43="Todos",datos_base!$C$10+datos_base!$C$24,0))*parametros_manuales!$L$100+parametros_manuales!$F$43*(datos_base!$C$4+datos_base!$C$20+IF(parametros_manuales!$H$43="Todos",datos_base!$C$11+datos_base!$C$25,0))*parametros_manuales!$L$105+parametros_manuales!$G$43*(datos_base!$C$5+datos_base!$C$21+IF(parametros_manuales!$H$43="Todos",datos_base!$C$12+datos_base!$C$26,0))*parametros_manuales!$L$110)*parametros_manuales!$I$43*parametros_manuales!$J$43</f>
        <v>977.37998445</v>
      </c>
      <c r="M53" s="9" t="n">
        <f aca="false">(parametros_manuales!$D$43*(datos_base!$C$2+datos_base!$C$18+IF(parametros_manuales!$H$43="Todos",datos_base!$C$9+datos_base!$C$23,0))*parametros_manuales!$M$95+parametros_manuales!$E$43*(datos_base!$C$3+datos_base!$C$19+IF(parametros_manuales!$H$43="Todos",datos_base!$C$10+datos_base!$C$24,0))*parametros_manuales!$M$100+parametros_manuales!$F$43*(datos_base!$C$4+datos_base!$C$20+IF(parametros_manuales!$H$43="Todos",datos_base!$C$11+datos_base!$C$25,0))*parametros_manuales!$M$105+parametros_manuales!$G$43*(datos_base!$C$5+datos_base!$C$21+IF(parametros_manuales!$H$43="Todos",datos_base!$C$12+datos_base!$C$26,0))*parametros_manuales!$M$110)*parametros_manuales!$I$43*parametros_manuales!$J$43</f>
        <v>977.37998445</v>
      </c>
      <c r="N53" s="9" t="n">
        <f aca="false">SUM(B53:M53)</f>
        <v>10859.777605</v>
      </c>
      <c r="O53" s="9" t="n">
        <f aca="false">MAX(B53:M53)</f>
        <v>977.37998445</v>
      </c>
      <c r="P53" s="43" t="n">
        <f aca="false">O53/(parametros_manuales!$B$7)</f>
        <v>6.515866563</v>
      </c>
      <c r="Q53" s="8" t="str">
        <f aca="false">IF(O53=0,"-",INDEX($B$28:$M$28,MATCH(O53,B53:M53,0)))</f>
        <v>Ene</v>
      </c>
    </row>
    <row r="54" customFormat="false" ht="14.25" hidden="false" customHeight="true" outlineLevel="0" collapsed="false"/>
    <row r="55" customFormat="false" ht="14.25" hidden="false" customHeight="true" outlineLevel="0" collapsed="false">
      <c r="A55" s="7" t="s">
        <v>192</v>
      </c>
      <c r="B55" s="7" t="s">
        <v>61</v>
      </c>
      <c r="C55" s="7" t="s">
        <v>62</v>
      </c>
      <c r="D55" s="7" t="s">
        <v>63</v>
      </c>
      <c r="E55" s="7" t="s">
        <v>64</v>
      </c>
      <c r="F55" s="7" t="s">
        <v>65</v>
      </c>
      <c r="G55" s="7" t="s">
        <v>66</v>
      </c>
      <c r="H55" s="7" t="s">
        <v>67</v>
      </c>
      <c r="I55" s="7" t="s">
        <v>68</v>
      </c>
      <c r="J55" s="7" t="s">
        <v>69</v>
      </c>
      <c r="K55" s="7" t="s">
        <v>70</v>
      </c>
      <c r="L55" s="7" t="s">
        <v>71</v>
      </c>
      <c r="M55" s="7" t="s">
        <v>72</v>
      </c>
      <c r="N55" s="7" t="s">
        <v>183</v>
      </c>
      <c r="O55" s="7" t="s">
        <v>188</v>
      </c>
      <c r="P55" s="7" t="s">
        <v>189</v>
      </c>
      <c r="Q55" s="7" t="s">
        <v>190</v>
      </c>
    </row>
    <row r="56" customFormat="false" ht="14.25" hidden="false" customHeight="true" outlineLevel="0" collapsed="false">
      <c r="A56" s="8" t="str">
        <f aca="false">parametros_manuales!$B$19</f>
        <v>Recepción de materia prima</v>
      </c>
      <c r="B56" s="9" t="n">
        <f aca="false">(parametros_manuales!$D$19*(datos_base!$D$2+datos_base!$D$18+IF(parametros_manuales!$H$19="Todos",datos_base!$D$9+datos_base!$D$23,0))*parametros_manuales!$B$95+parametros_manuales!$E$19*(datos_base!$D$3+datos_base!$D$19+IF(parametros_manuales!$H$19="Todos",datos_base!$D$10+datos_base!$D$24,0))*parametros_manuales!$B$100+parametros_manuales!$F$19*(datos_base!$D$4+datos_base!$D$20+IF(parametros_manuales!$H$19="Todos",datos_base!$D$11+datos_base!$D$25,0))*parametros_manuales!$B$105+parametros_manuales!$G$19*(datos_base!$D$5+datos_base!$D$21+IF(parametros_manuales!$H$19="Todos",datos_base!$D$12+datos_base!$D$26,0))*parametros_manuales!$B$110)*parametros_manuales!$I$19*parametros_manuales!$J$19</f>
        <v>2064.586696776</v>
      </c>
      <c r="C56" s="9" t="n">
        <f aca="false">(parametros_manuales!$D$19*(datos_base!$D$2+datos_base!$D$18+IF(parametros_manuales!$H$19="Todos",datos_base!$D$9+datos_base!$D$23,0))*parametros_manuales!$C$95+parametros_manuales!$E$19*(datos_base!$D$3+datos_base!$D$19+IF(parametros_manuales!$H$19="Todos",datos_base!$D$10+datos_base!$D$24,0))*parametros_manuales!$C$100+parametros_manuales!$F$19*(datos_base!$D$4+datos_base!$D$20+IF(parametros_manuales!$H$19="Todos",datos_base!$D$11+datos_base!$D$25,0))*parametros_manuales!$C$105+parametros_manuales!$G$19*(datos_base!$D$5+datos_base!$D$21+IF(parametros_manuales!$H$19="Todos",datos_base!$D$12+datos_base!$D$26,0))*parametros_manuales!$C$110)*parametros_manuales!$I$19*parametros_manuales!$J$19</f>
        <v>1980.329652492</v>
      </c>
      <c r="D56" s="9" t="n">
        <f aca="false">(parametros_manuales!$D$19*(datos_base!$D$2+datos_base!$D$18+IF(parametros_manuales!$H$19="Todos",datos_base!$D$9+datos_base!$D$23,0))*parametros_manuales!$D$95+parametros_manuales!$E$19*(datos_base!$D$3+datos_base!$D$19+IF(parametros_manuales!$H$19="Todos",datos_base!$D$10+datos_base!$D$24,0))*parametros_manuales!$D$100+parametros_manuales!$F$19*(datos_base!$D$4+datos_base!$D$20+IF(parametros_manuales!$H$19="Todos",datos_base!$D$11+datos_base!$D$25,0))*parametros_manuales!$D$105+parametros_manuales!$G$19*(datos_base!$D$5+datos_base!$D$21+IF(parametros_manuales!$H$19="Todos",datos_base!$D$12+datos_base!$D$26,0))*parametros_manuales!$D$110)*parametros_manuales!$I$19*parametros_manuales!$J$19</f>
        <v>1877.316697054</v>
      </c>
      <c r="E56" s="9" t="n">
        <f aca="false">(parametros_manuales!$D$19*(datos_base!$D$2+datos_base!$D$18+IF(parametros_manuales!$H$19="Todos",datos_base!$D$9+datos_base!$D$23,0))*parametros_manuales!$E$95+parametros_manuales!$E$19*(datos_base!$D$3+datos_base!$D$19+IF(parametros_manuales!$H$19="Todos",datos_base!$D$10+datos_base!$D$24,0))*parametros_manuales!$E$100+parametros_manuales!$F$19*(datos_base!$D$4+datos_base!$D$20+IF(parametros_manuales!$H$19="Todos",datos_base!$D$11+datos_base!$D$25,0))*parametros_manuales!$E$105+parametros_manuales!$G$19*(datos_base!$D$5+datos_base!$D$21+IF(parametros_manuales!$H$19="Todos",datos_base!$D$12+datos_base!$D$26,0))*parametros_manuales!$E$110)*parametros_manuales!$I$19*parametros_manuales!$J$19</f>
        <v>1804.745958264</v>
      </c>
      <c r="F56" s="9" t="n">
        <f aca="false">(parametros_manuales!$D$19*(datos_base!$D$2+datos_base!$D$18+IF(parametros_manuales!$H$19="Todos",datos_base!$D$9+datos_base!$D$23,0))*parametros_manuales!$F$95+parametros_manuales!$E$19*(datos_base!$D$3+datos_base!$D$19+IF(parametros_manuales!$H$19="Todos",datos_base!$D$10+datos_base!$D$24,0))*parametros_manuales!$F$100+parametros_manuales!$F$19*(datos_base!$D$4+datos_base!$D$20+IF(parametros_manuales!$H$19="Todos",datos_base!$D$11+datos_base!$D$25,0))*parametros_manuales!$F$105+parametros_manuales!$G$19*(datos_base!$D$5+datos_base!$D$21+IF(parametros_manuales!$H$19="Todos",datos_base!$D$12+datos_base!$D$26,0))*parametros_manuales!$F$110)*parametros_manuales!$I$19*parametros_manuales!$J$19</f>
        <v>1690.046697332</v>
      </c>
      <c r="G56" s="9" t="n">
        <f aca="false">(parametros_manuales!$D$19*(datos_base!$D$2+datos_base!$D$18+IF(parametros_manuales!$H$19="Todos",datos_base!$D$9+datos_base!$D$23,0))*parametros_manuales!$G$95+parametros_manuales!$E$19*(datos_base!$D$3+datos_base!$D$19+IF(parametros_manuales!$H$19="Todos",datos_base!$D$10+datos_base!$D$24,0))*parametros_manuales!$G$100+parametros_manuales!$F$19*(datos_base!$D$4+datos_base!$D$20+IF(parametros_manuales!$H$19="Todos",datos_base!$D$11+datos_base!$D$25,0))*parametros_manuales!$G$105+parametros_manuales!$G$19*(datos_base!$D$5+datos_base!$D$21+IF(parametros_manuales!$H$19="Todos",datos_base!$D$12+datos_base!$D$26,0))*parametros_manuales!$G$110)*parametros_manuales!$I$19*parametros_manuales!$J$19</f>
        <v>1647.91817519</v>
      </c>
      <c r="H56" s="9" t="n">
        <f aca="false">(parametros_manuales!$D$19*(datos_base!$D$2+datos_base!$D$18+IF(parametros_manuales!$H$19="Todos",datos_base!$D$9+datos_base!$D$23,0))*parametros_manuales!$H$95+parametros_manuales!$E$19*(datos_base!$D$3+datos_base!$D$19+IF(parametros_manuales!$H$19="Todos",datos_base!$D$10+datos_base!$D$24,0))*parametros_manuales!$H$100+parametros_manuales!$F$19*(datos_base!$D$4+datos_base!$D$20+IF(parametros_manuales!$H$19="Todos",datos_base!$D$11+datos_base!$D$25,0))*parametros_manuales!$H$105+parametros_manuales!$G$19*(datos_base!$D$5+datos_base!$D$21+IF(parametros_manuales!$H$19="Todos",datos_base!$D$12+datos_base!$D$26,0))*parametros_manuales!$H$110)*parametros_manuales!$I$19*parametros_manuales!$J$19</f>
        <v>1762.617436122</v>
      </c>
      <c r="I56" s="9" t="n">
        <f aca="false">(parametros_manuales!$D$19*(datos_base!$D$2+datos_base!$D$18+IF(parametros_manuales!$H$19="Todos",datos_base!$D$9+datos_base!$D$23,0))*parametros_manuales!$I$95+parametros_manuales!$E$19*(datos_base!$D$3+datos_base!$D$19+IF(parametros_manuales!$H$19="Todos",datos_base!$D$10+datos_base!$D$24,0))*parametros_manuales!$I$100+parametros_manuales!$F$19*(datos_base!$D$4+datos_base!$D$20+IF(parametros_manuales!$H$19="Todos",datos_base!$D$11+datos_base!$D$25,0))*parametros_manuales!$I$105+parametros_manuales!$G$19*(datos_base!$D$5+datos_base!$D$21+IF(parametros_manuales!$H$19="Todos",datos_base!$D$12+datos_base!$D$26,0))*parametros_manuales!$I$110)*parametros_manuales!$I$19*parametros_manuales!$J$19</f>
        <v>1980.329652492</v>
      </c>
      <c r="J56" s="9" t="n">
        <f aca="false">(parametros_manuales!$D$19*(datos_base!$D$2+datos_base!$D$18+IF(parametros_manuales!$H$19="Todos",datos_base!$D$9+datos_base!$D$23,0))*parametros_manuales!$J$95+parametros_manuales!$E$19*(datos_base!$D$3+datos_base!$D$19+IF(parametros_manuales!$H$19="Todos",datos_base!$D$10+datos_base!$D$24,0))*parametros_manuales!$J$100+parametros_manuales!$F$19*(datos_base!$D$4+datos_base!$D$20+IF(parametros_manuales!$H$19="Todos",datos_base!$D$11+datos_base!$D$25,0))*parametros_manuales!$J$105+parametros_manuales!$G$19*(datos_base!$D$5+datos_base!$D$21+IF(parametros_manuales!$H$19="Todos",datos_base!$D$12+datos_base!$D$26,0))*parametros_manuales!$J$110)*parametros_manuales!$I$19*parametros_manuales!$J$19</f>
        <v>1980.329652492</v>
      </c>
      <c r="K56" s="9" t="n">
        <f aca="false">(parametros_manuales!$D$19*(datos_base!$D$2+datos_base!$D$18+IF(parametros_manuales!$H$19="Todos",datos_base!$D$9+datos_base!$D$23,0))*parametros_manuales!$K$95+parametros_manuales!$E$19*(datos_base!$D$3+datos_base!$D$19+IF(parametros_manuales!$H$19="Todos",datos_base!$D$10+datos_base!$D$24,0))*parametros_manuales!$K$100+parametros_manuales!$F$19*(datos_base!$D$4+datos_base!$D$20+IF(parametros_manuales!$H$19="Todos",datos_base!$D$11+datos_base!$D$25,0))*parametros_manuales!$K$105+parametros_manuales!$G$19*(datos_base!$D$5+datos_base!$D$21+IF(parametros_manuales!$H$19="Todos",datos_base!$D$12+datos_base!$D$26,0))*parametros_manuales!$K$110)*parametros_manuales!$I$19*parametros_manuales!$J$19</f>
        <v>2022.458174634</v>
      </c>
      <c r="L56" s="9" t="n">
        <f aca="false">(parametros_manuales!$D$19*(datos_base!$D$2+datos_base!$D$18+IF(parametros_manuales!$H$19="Todos",datos_base!$D$9+datos_base!$D$23,0))*parametros_manuales!$L$95+parametros_manuales!$E$19*(datos_base!$D$3+datos_base!$D$19+IF(parametros_manuales!$H$19="Todos",datos_base!$D$10+datos_base!$D$24,0))*parametros_manuales!$L$100+parametros_manuales!$F$19*(datos_base!$D$4+datos_base!$D$20+IF(parametros_manuales!$H$19="Todos",datos_base!$D$11+datos_base!$D$25,0))*parametros_manuales!$L$105+parametros_manuales!$G$19*(datos_base!$D$5+datos_base!$D$21+IF(parametros_manuales!$H$19="Todos",datos_base!$D$12+datos_base!$D$26,0))*parametros_manuales!$L$110)*parametros_manuales!$I$19*parametros_manuales!$J$19</f>
        <v>2064.586696776</v>
      </c>
      <c r="M56" s="9" t="n">
        <f aca="false">(parametros_manuales!$D$19*(datos_base!$D$2+datos_base!$D$18+IF(parametros_manuales!$H$19="Todos",datos_base!$D$9+datos_base!$D$23,0))*parametros_manuales!$M$95+parametros_manuales!$E$19*(datos_base!$D$3+datos_base!$D$19+IF(parametros_manuales!$H$19="Todos",datos_base!$D$10+datos_base!$D$24,0))*parametros_manuales!$M$100+parametros_manuales!$F$19*(datos_base!$D$4+datos_base!$D$20+IF(parametros_manuales!$H$19="Todos",datos_base!$D$11+datos_base!$D$25,0))*parametros_manuales!$M$105+parametros_manuales!$G$19*(datos_base!$D$5+datos_base!$D$21+IF(parametros_manuales!$H$19="Todos",datos_base!$D$12+datos_base!$D$26,0))*parametros_manuales!$M$110)*parametros_manuales!$I$19*parametros_manuales!$J$19</f>
        <v>2064.586696776</v>
      </c>
      <c r="N56" s="9" t="n">
        <f aca="false">SUM(B56:M56)</f>
        <v>22939.8521864</v>
      </c>
      <c r="O56" s="9" t="n">
        <f aca="false">MAX(B56:M56)</f>
        <v>2064.586696776</v>
      </c>
      <c r="P56" s="43" t="n">
        <f aca="false">O56/(parametros_manuales!$B$7)</f>
        <v>13.76391131184</v>
      </c>
      <c r="Q56" s="8" t="str">
        <f aca="false">IF(O56=0,"-",INDEX($B$55:$M$55,MATCH(O56,B56:M56,0)))</f>
        <v>Ene</v>
      </c>
    </row>
    <row r="57" customFormat="false" ht="14.25" hidden="false" customHeight="true" outlineLevel="0" collapsed="false">
      <c r="A57" s="8" t="str">
        <f aca="false">parametros_manuales!$B$20</f>
        <v>Corte de chapa (guillotina) — 2,5 a 10 kg</v>
      </c>
      <c r="B57" s="9" t="n">
        <f aca="false">(parametros_manuales!$D$20*(datos_base!$D$2+datos_base!$D$18+IF(parametros_manuales!$H$20="Todos",datos_base!$D$9+datos_base!$D$23,0))*parametros_manuales!$B$95+parametros_manuales!$E$20*(datos_base!$D$3+datos_base!$D$19+IF(parametros_manuales!$H$20="Todos",datos_base!$D$10+datos_base!$D$24,0))*parametros_manuales!$B$100+parametros_manuales!$F$20*(datos_base!$D$4+datos_base!$D$20+IF(parametros_manuales!$H$20="Todos",datos_base!$D$11+datos_base!$D$25,0))*parametros_manuales!$B$105+parametros_manuales!$G$20*(datos_base!$D$5+datos_base!$D$21+IF(parametros_manuales!$H$20="Todos",datos_base!$D$12+datos_base!$D$26,0))*parametros_manuales!$B$110)*parametros_manuales!$I$20*parametros_manuales!$J$20</f>
        <v>758.313398556</v>
      </c>
      <c r="C57" s="9" t="n">
        <f aca="false">(parametros_manuales!$D$20*(datos_base!$D$2+datos_base!$D$18+IF(parametros_manuales!$H$20="Todos",datos_base!$D$9+datos_base!$D$23,0))*parametros_manuales!$C$95+parametros_manuales!$E$20*(datos_base!$D$3+datos_base!$D$19+IF(parametros_manuales!$H$20="Todos",datos_base!$D$10+datos_base!$D$24,0))*parametros_manuales!$C$100+parametros_manuales!$F$20*(datos_base!$D$4+datos_base!$D$20+IF(parametros_manuales!$H$20="Todos",datos_base!$D$11+datos_base!$D$25,0))*parametros_manuales!$C$105+parametros_manuales!$G$20*(datos_base!$D$5+datos_base!$D$21+IF(parametros_manuales!$H$20="Todos",datos_base!$D$12+datos_base!$D$26,0))*parametros_manuales!$C$110)*parametros_manuales!$I$20*parametros_manuales!$J$20</f>
        <v>674.056354272</v>
      </c>
      <c r="D57" s="9" t="n">
        <f aca="false">(parametros_manuales!$D$20*(datos_base!$D$2+datos_base!$D$18+IF(parametros_manuales!$H$20="Todos",datos_base!$D$9+datos_base!$D$23,0))*parametros_manuales!$D$95+parametros_manuales!$E$20*(datos_base!$D$3+datos_base!$D$19+IF(parametros_manuales!$H$20="Todos",datos_base!$D$10+datos_base!$D$24,0))*parametros_manuales!$D$100+parametros_manuales!$F$20*(datos_base!$D$4+datos_base!$D$20+IF(parametros_manuales!$H$20="Todos",datos_base!$D$11+datos_base!$D$25,0))*parametros_manuales!$D$105+parametros_manuales!$G$20*(datos_base!$D$5+datos_base!$D$21+IF(parametros_manuales!$H$20="Todos",datos_base!$D$12+datos_base!$D$26,0))*parametros_manuales!$D$110)*parametros_manuales!$I$20*parametros_manuales!$J$20</f>
        <v>716.184876414</v>
      </c>
      <c r="E57" s="9" t="n">
        <f aca="false">(parametros_manuales!$D$20*(datos_base!$D$2+datos_base!$D$18+IF(parametros_manuales!$H$20="Todos",datos_base!$D$9+datos_base!$D$23,0))*parametros_manuales!$E$95+parametros_manuales!$E$20*(datos_base!$D$3+datos_base!$D$19+IF(parametros_manuales!$H$20="Todos",datos_base!$D$10+datos_base!$D$24,0))*parametros_manuales!$E$100+parametros_manuales!$F$20*(datos_base!$D$4+datos_base!$D$20+IF(parametros_manuales!$H$20="Todos",datos_base!$D$11+datos_base!$D$25,0))*parametros_manuales!$E$105+parametros_manuales!$G$20*(datos_base!$D$5+datos_base!$D$21+IF(parametros_manuales!$H$20="Todos",datos_base!$D$12+datos_base!$D$26,0))*parametros_manuales!$E$110)*parametros_manuales!$I$20*parametros_manuales!$J$20</f>
        <v>716.184876414</v>
      </c>
      <c r="F57" s="9" t="n">
        <f aca="false">(parametros_manuales!$D$20*(datos_base!$D$2+datos_base!$D$18+IF(parametros_manuales!$H$20="Todos",datos_base!$D$9+datos_base!$D$23,0))*parametros_manuales!$F$95+parametros_manuales!$E$20*(datos_base!$D$3+datos_base!$D$19+IF(parametros_manuales!$H$20="Todos",datos_base!$D$10+datos_base!$D$24,0))*parametros_manuales!$F$100+parametros_manuales!$F$20*(datos_base!$D$4+datos_base!$D$20+IF(parametros_manuales!$H$20="Todos",datos_base!$D$11+datos_base!$D$25,0))*parametros_manuales!$F$105+parametros_manuales!$G$20*(datos_base!$D$5+datos_base!$D$21+IF(parametros_manuales!$H$20="Todos",datos_base!$D$12+datos_base!$D$26,0))*parametros_manuales!$F$110)*parametros_manuales!$I$20*parametros_manuales!$J$20</f>
        <v>674.056354272</v>
      </c>
      <c r="G57" s="9" t="n">
        <f aca="false">(parametros_manuales!$D$20*(datos_base!$D$2+datos_base!$D$18+IF(parametros_manuales!$H$20="Todos",datos_base!$D$9+datos_base!$D$23,0))*parametros_manuales!$G$95+parametros_manuales!$E$20*(datos_base!$D$3+datos_base!$D$19+IF(parametros_manuales!$H$20="Todos",datos_base!$D$10+datos_base!$D$24,0))*parametros_manuales!$G$100+parametros_manuales!$F$20*(datos_base!$D$4+datos_base!$D$20+IF(parametros_manuales!$H$20="Todos",datos_base!$D$11+datos_base!$D$25,0))*parametros_manuales!$G$105+parametros_manuales!$G$20*(datos_base!$D$5+datos_base!$D$21+IF(parametros_manuales!$H$20="Todos",datos_base!$D$12+datos_base!$D$26,0))*parametros_manuales!$G$110)*parametros_manuales!$I$20*parametros_manuales!$J$20</f>
        <v>631.92783213</v>
      </c>
      <c r="H57" s="9" t="n">
        <f aca="false">(parametros_manuales!$D$20*(datos_base!$D$2+datos_base!$D$18+IF(parametros_manuales!$H$20="Todos",datos_base!$D$9+datos_base!$D$23,0))*parametros_manuales!$H$95+parametros_manuales!$E$20*(datos_base!$D$3+datos_base!$D$19+IF(parametros_manuales!$H$20="Todos",datos_base!$D$10+datos_base!$D$24,0))*parametros_manuales!$H$100+parametros_manuales!$F$20*(datos_base!$D$4+datos_base!$D$20+IF(parametros_manuales!$H$20="Todos",datos_base!$D$11+datos_base!$D$25,0))*parametros_manuales!$H$105+parametros_manuales!$G$20*(datos_base!$D$5+datos_base!$D$21+IF(parametros_manuales!$H$20="Todos",datos_base!$D$12+datos_base!$D$26,0))*parametros_manuales!$H$110)*parametros_manuales!$I$20*parametros_manuales!$J$20</f>
        <v>674.056354272</v>
      </c>
      <c r="I57" s="9" t="n">
        <f aca="false">(parametros_manuales!$D$20*(datos_base!$D$2+datos_base!$D$18+IF(parametros_manuales!$H$20="Todos",datos_base!$D$9+datos_base!$D$23,0))*parametros_manuales!$I$95+parametros_manuales!$E$20*(datos_base!$D$3+datos_base!$D$19+IF(parametros_manuales!$H$20="Todos",datos_base!$D$10+datos_base!$D$24,0))*parametros_manuales!$I$100+parametros_manuales!$F$20*(datos_base!$D$4+datos_base!$D$20+IF(parametros_manuales!$H$20="Todos",datos_base!$D$11+datos_base!$D$25,0))*parametros_manuales!$I$105+parametros_manuales!$G$20*(datos_base!$D$5+datos_base!$D$21+IF(parametros_manuales!$H$20="Todos",datos_base!$D$12+datos_base!$D$26,0))*parametros_manuales!$I$110)*parametros_manuales!$I$20*parametros_manuales!$J$20</f>
        <v>674.056354272</v>
      </c>
      <c r="J57" s="9" t="n">
        <f aca="false">(parametros_manuales!$D$20*(datos_base!$D$2+datos_base!$D$18+IF(parametros_manuales!$H$20="Todos",datos_base!$D$9+datos_base!$D$23,0))*parametros_manuales!$J$95+parametros_manuales!$E$20*(datos_base!$D$3+datos_base!$D$19+IF(parametros_manuales!$H$20="Todos",datos_base!$D$10+datos_base!$D$24,0))*parametros_manuales!$J$100+parametros_manuales!$F$20*(datos_base!$D$4+datos_base!$D$20+IF(parametros_manuales!$H$20="Todos",datos_base!$D$11+datos_base!$D$25,0))*parametros_manuales!$J$105+parametros_manuales!$G$20*(datos_base!$D$5+datos_base!$D$21+IF(parametros_manuales!$H$20="Todos",datos_base!$D$12+datos_base!$D$26,0))*parametros_manuales!$J$110)*parametros_manuales!$I$20*parametros_manuales!$J$20</f>
        <v>674.056354272</v>
      </c>
      <c r="K57" s="9" t="n">
        <f aca="false">(parametros_manuales!$D$20*(datos_base!$D$2+datos_base!$D$18+IF(parametros_manuales!$H$20="Todos",datos_base!$D$9+datos_base!$D$23,0))*parametros_manuales!$K$95+parametros_manuales!$E$20*(datos_base!$D$3+datos_base!$D$19+IF(parametros_manuales!$H$20="Todos",datos_base!$D$10+datos_base!$D$24,0))*parametros_manuales!$K$100+parametros_manuales!$F$20*(datos_base!$D$4+datos_base!$D$20+IF(parametros_manuales!$H$20="Todos",datos_base!$D$11+datos_base!$D$25,0))*parametros_manuales!$K$105+parametros_manuales!$G$20*(datos_base!$D$5+datos_base!$D$21+IF(parametros_manuales!$H$20="Todos",datos_base!$D$12+datos_base!$D$26,0))*parametros_manuales!$K$110)*parametros_manuales!$I$20*parametros_manuales!$J$20</f>
        <v>716.184876414</v>
      </c>
      <c r="L57" s="9" t="n">
        <f aca="false">(parametros_manuales!$D$20*(datos_base!$D$2+datos_base!$D$18+IF(parametros_manuales!$H$20="Todos",datos_base!$D$9+datos_base!$D$23,0))*parametros_manuales!$L$95+parametros_manuales!$E$20*(datos_base!$D$3+datos_base!$D$19+IF(parametros_manuales!$H$20="Todos",datos_base!$D$10+datos_base!$D$24,0))*parametros_manuales!$L$100+parametros_manuales!$F$20*(datos_base!$D$4+datos_base!$D$20+IF(parametros_manuales!$H$20="Todos",datos_base!$D$11+datos_base!$D$25,0))*parametros_manuales!$L$105+parametros_manuales!$G$20*(datos_base!$D$5+datos_base!$D$21+IF(parametros_manuales!$H$20="Todos",datos_base!$D$12+datos_base!$D$26,0))*parametros_manuales!$L$110)*parametros_manuales!$I$20*parametros_manuales!$J$20</f>
        <v>758.313398556</v>
      </c>
      <c r="M57" s="9" t="n">
        <f aca="false">(parametros_manuales!$D$20*(datos_base!$D$2+datos_base!$D$18+IF(parametros_manuales!$H$20="Todos",datos_base!$D$9+datos_base!$D$23,0))*parametros_manuales!$M$95+parametros_manuales!$E$20*(datos_base!$D$3+datos_base!$D$19+IF(parametros_manuales!$H$20="Todos",datos_base!$D$10+datos_base!$D$24,0))*parametros_manuales!$M$100+parametros_manuales!$F$20*(datos_base!$D$4+datos_base!$D$20+IF(parametros_manuales!$H$20="Todos",datos_base!$D$11+datos_base!$D$25,0))*parametros_manuales!$M$105+parametros_manuales!$G$20*(datos_base!$D$5+datos_base!$D$21+IF(parametros_manuales!$H$20="Todos",datos_base!$D$12+datos_base!$D$26,0))*parametros_manuales!$M$110)*parametros_manuales!$I$20*parametros_manuales!$J$20</f>
        <v>758.313398556</v>
      </c>
      <c r="N57" s="9" t="n">
        <f aca="false">SUM(B57:M57)</f>
        <v>8425.7044284</v>
      </c>
      <c r="O57" s="9" t="n">
        <f aca="false">MAX(B57:M57)</f>
        <v>758.313398556</v>
      </c>
      <c r="P57" s="43" t="n">
        <f aca="false">O57/(parametros_manuales!$B$7)</f>
        <v>5.05542265704</v>
      </c>
      <c r="Q57" s="8" t="str">
        <f aca="false">IF(O57=0,"-",INDEX($B$55:$M$55,MATCH(O57,B57:M57,0)))</f>
        <v>Ene</v>
      </c>
    </row>
    <row r="58" customFormat="false" ht="14.25" hidden="false" customHeight="true" outlineLevel="0" collapsed="false">
      <c r="A58" s="8" t="str">
        <f aca="false">parametros_manuales!$B$21</f>
        <v>Corte de tubo — 1 kg</v>
      </c>
      <c r="B58" s="9" t="n">
        <f aca="false">(parametros_manuales!$D$21*(datos_base!$D$2+datos_base!$D$18+IF(parametros_manuales!$H$21="Todos",datos_base!$D$9+datos_base!$D$23,0))*parametros_manuales!$B$95+parametros_manuales!$E$21*(datos_base!$D$3+datos_base!$D$19+IF(parametros_manuales!$H$21="Todos",datos_base!$D$10+datos_base!$D$24,0))*parametros_manuales!$B$100+parametros_manuales!$F$21*(datos_base!$D$4+datos_base!$D$20+IF(parametros_manuales!$H$21="Todos",datos_base!$D$11+datos_base!$D$25,0))*parametros_manuales!$B$105+parametros_manuales!$G$21*(datos_base!$D$5+datos_base!$D$21+IF(parametros_manuales!$H$21="Todos",datos_base!$D$12+datos_base!$D$26,0))*parametros_manuales!$B$110)*parametros_manuales!$I$21*parametros_manuales!$J$21</f>
        <v>1306.27329822</v>
      </c>
      <c r="C58" s="9" t="n">
        <f aca="false">(parametros_manuales!$D$21*(datos_base!$D$2+datos_base!$D$18+IF(parametros_manuales!$H$21="Todos",datos_base!$D$9+datos_base!$D$23,0))*parametros_manuales!$C$95+parametros_manuales!$E$21*(datos_base!$D$3+datos_base!$D$19+IF(parametros_manuales!$H$21="Todos",datos_base!$D$10+datos_base!$D$24,0))*parametros_manuales!$C$100+parametros_manuales!$F$21*(datos_base!$D$4+datos_base!$D$20+IF(parametros_manuales!$H$21="Todos",datos_base!$D$11+datos_base!$D$25,0))*parametros_manuales!$C$105+parametros_manuales!$G$21*(datos_base!$D$5+datos_base!$D$21+IF(parametros_manuales!$H$21="Todos",datos_base!$D$12+datos_base!$D$26,0))*parametros_manuales!$C$110)*parametros_manuales!$I$21*parametros_manuales!$J$21</f>
        <v>1306.27329822</v>
      </c>
      <c r="D58" s="9" t="n">
        <f aca="false">(parametros_manuales!$D$21*(datos_base!$D$2+datos_base!$D$18+IF(parametros_manuales!$H$21="Todos",datos_base!$D$9+datos_base!$D$23,0))*parametros_manuales!$D$95+parametros_manuales!$E$21*(datos_base!$D$3+datos_base!$D$19+IF(parametros_manuales!$H$21="Todos",datos_base!$D$10+datos_base!$D$24,0))*parametros_manuales!$D$100+parametros_manuales!$F$21*(datos_base!$D$4+datos_base!$D$20+IF(parametros_manuales!$H$21="Todos",datos_base!$D$11+datos_base!$D$25,0))*parametros_manuales!$D$105+parametros_manuales!$G$21*(datos_base!$D$5+datos_base!$D$21+IF(parametros_manuales!$H$21="Todos",datos_base!$D$12+datos_base!$D$26,0))*parametros_manuales!$D$110)*parametros_manuales!$I$21*parametros_manuales!$J$21</f>
        <v>1161.13182064</v>
      </c>
      <c r="E58" s="9" t="n">
        <f aca="false">(parametros_manuales!$D$21*(datos_base!$D$2+datos_base!$D$18+IF(parametros_manuales!$H$21="Todos",datos_base!$D$9+datos_base!$D$23,0))*parametros_manuales!$E$95+parametros_manuales!$E$21*(datos_base!$D$3+datos_base!$D$19+IF(parametros_manuales!$H$21="Todos",datos_base!$D$10+datos_base!$D$24,0))*parametros_manuales!$E$100+parametros_manuales!$F$21*(datos_base!$D$4+datos_base!$D$20+IF(parametros_manuales!$H$21="Todos",datos_base!$D$11+datos_base!$D$25,0))*parametros_manuales!$E$105+parametros_manuales!$G$21*(datos_base!$D$5+datos_base!$D$21+IF(parametros_manuales!$H$21="Todos",datos_base!$D$12+datos_base!$D$26,0))*parametros_manuales!$E$110)*parametros_manuales!$I$21*parametros_manuales!$J$21</f>
        <v>1088.56108185</v>
      </c>
      <c r="F58" s="9" t="n">
        <f aca="false">(parametros_manuales!$D$21*(datos_base!$D$2+datos_base!$D$18+IF(parametros_manuales!$H$21="Todos",datos_base!$D$9+datos_base!$D$23,0))*parametros_manuales!$F$95+parametros_manuales!$E$21*(datos_base!$D$3+datos_base!$D$19+IF(parametros_manuales!$H$21="Todos",datos_base!$D$10+datos_base!$D$24,0))*parametros_manuales!$F$100+parametros_manuales!$F$21*(datos_base!$D$4+datos_base!$D$20+IF(parametros_manuales!$H$21="Todos",datos_base!$D$11+datos_base!$D$25,0))*parametros_manuales!$F$105+parametros_manuales!$G$21*(datos_base!$D$5+datos_base!$D$21+IF(parametros_manuales!$H$21="Todos",datos_base!$D$12+datos_base!$D$26,0))*parametros_manuales!$F$110)*parametros_manuales!$I$21*parametros_manuales!$J$21</f>
        <v>1015.99034306</v>
      </c>
      <c r="G58" s="9" t="n">
        <f aca="false">(parametros_manuales!$D$21*(datos_base!$D$2+datos_base!$D$18+IF(parametros_manuales!$H$21="Todos",datos_base!$D$9+datos_base!$D$23,0))*parametros_manuales!$G$95+parametros_manuales!$E$21*(datos_base!$D$3+datos_base!$D$19+IF(parametros_manuales!$H$21="Todos",datos_base!$D$10+datos_base!$D$24,0))*parametros_manuales!$G$100+parametros_manuales!$F$21*(datos_base!$D$4+datos_base!$D$20+IF(parametros_manuales!$H$21="Todos",datos_base!$D$11+datos_base!$D$25,0))*parametros_manuales!$G$105+parametros_manuales!$G$21*(datos_base!$D$5+datos_base!$D$21+IF(parametros_manuales!$H$21="Todos",datos_base!$D$12+datos_base!$D$26,0))*parametros_manuales!$G$110)*parametros_manuales!$I$21*parametros_manuales!$J$21</f>
        <v>1015.99034306</v>
      </c>
      <c r="H58" s="9" t="n">
        <f aca="false">(parametros_manuales!$D$21*(datos_base!$D$2+datos_base!$D$18+IF(parametros_manuales!$H$21="Todos",datos_base!$D$9+datos_base!$D$23,0))*parametros_manuales!$H$95+parametros_manuales!$E$21*(datos_base!$D$3+datos_base!$D$19+IF(parametros_manuales!$H$21="Todos",datos_base!$D$10+datos_base!$D$24,0))*parametros_manuales!$H$100+parametros_manuales!$F$21*(datos_base!$D$4+datos_base!$D$20+IF(parametros_manuales!$H$21="Todos",datos_base!$D$11+datos_base!$D$25,0))*parametros_manuales!$H$105+parametros_manuales!$G$21*(datos_base!$D$5+datos_base!$D$21+IF(parametros_manuales!$H$21="Todos",datos_base!$D$12+datos_base!$D$26,0))*parametros_manuales!$H$110)*parametros_manuales!$I$21*parametros_manuales!$J$21</f>
        <v>1088.56108185</v>
      </c>
      <c r="I58" s="9" t="n">
        <f aca="false">(parametros_manuales!$D$21*(datos_base!$D$2+datos_base!$D$18+IF(parametros_manuales!$H$21="Todos",datos_base!$D$9+datos_base!$D$23,0))*parametros_manuales!$I$95+parametros_manuales!$E$21*(datos_base!$D$3+datos_base!$D$19+IF(parametros_manuales!$H$21="Todos",datos_base!$D$10+datos_base!$D$24,0))*parametros_manuales!$I$100+parametros_manuales!$F$21*(datos_base!$D$4+datos_base!$D$20+IF(parametros_manuales!$H$21="Todos",datos_base!$D$11+datos_base!$D$25,0))*parametros_manuales!$I$105+parametros_manuales!$G$21*(datos_base!$D$5+datos_base!$D$21+IF(parametros_manuales!$H$21="Todos",datos_base!$D$12+datos_base!$D$26,0))*parametros_manuales!$I$110)*parametros_manuales!$I$21*parametros_manuales!$J$21</f>
        <v>1306.27329822</v>
      </c>
      <c r="J58" s="9" t="n">
        <f aca="false">(parametros_manuales!$D$21*(datos_base!$D$2+datos_base!$D$18+IF(parametros_manuales!$H$21="Todos",datos_base!$D$9+datos_base!$D$23,0))*parametros_manuales!$J$95+parametros_manuales!$E$21*(datos_base!$D$3+datos_base!$D$19+IF(parametros_manuales!$H$21="Todos",datos_base!$D$10+datos_base!$D$24,0))*parametros_manuales!$J$100+parametros_manuales!$F$21*(datos_base!$D$4+datos_base!$D$20+IF(parametros_manuales!$H$21="Todos",datos_base!$D$11+datos_base!$D$25,0))*parametros_manuales!$J$105+parametros_manuales!$G$21*(datos_base!$D$5+datos_base!$D$21+IF(parametros_manuales!$H$21="Todos",datos_base!$D$12+datos_base!$D$26,0))*parametros_manuales!$J$110)*parametros_manuales!$I$21*parametros_manuales!$J$21</f>
        <v>1306.27329822</v>
      </c>
      <c r="K58" s="9" t="n">
        <f aca="false">(parametros_manuales!$D$21*(datos_base!$D$2+datos_base!$D$18+IF(parametros_manuales!$H$21="Todos",datos_base!$D$9+datos_base!$D$23,0))*parametros_manuales!$K$95+parametros_manuales!$E$21*(datos_base!$D$3+datos_base!$D$19+IF(parametros_manuales!$H$21="Todos",datos_base!$D$10+datos_base!$D$24,0))*parametros_manuales!$K$100+parametros_manuales!$F$21*(datos_base!$D$4+datos_base!$D$20+IF(parametros_manuales!$H$21="Todos",datos_base!$D$11+datos_base!$D$25,0))*parametros_manuales!$K$105+parametros_manuales!$G$21*(datos_base!$D$5+datos_base!$D$21+IF(parametros_manuales!$H$21="Todos",datos_base!$D$12+datos_base!$D$26,0))*parametros_manuales!$K$110)*parametros_manuales!$I$21*parametros_manuales!$J$21</f>
        <v>1306.27329822</v>
      </c>
      <c r="L58" s="9" t="n">
        <f aca="false">(parametros_manuales!$D$21*(datos_base!$D$2+datos_base!$D$18+IF(parametros_manuales!$H$21="Todos",datos_base!$D$9+datos_base!$D$23,0))*parametros_manuales!$L$95+parametros_manuales!$E$21*(datos_base!$D$3+datos_base!$D$19+IF(parametros_manuales!$H$21="Todos",datos_base!$D$10+datos_base!$D$24,0))*parametros_manuales!$L$100+parametros_manuales!$F$21*(datos_base!$D$4+datos_base!$D$20+IF(parametros_manuales!$H$21="Todos",datos_base!$D$11+datos_base!$D$25,0))*parametros_manuales!$L$105+parametros_manuales!$G$21*(datos_base!$D$5+datos_base!$D$21+IF(parametros_manuales!$H$21="Todos",datos_base!$D$12+datos_base!$D$26,0))*parametros_manuales!$L$110)*parametros_manuales!$I$21*parametros_manuales!$J$21</f>
        <v>1306.27329822</v>
      </c>
      <c r="M58" s="9" t="n">
        <f aca="false">(parametros_manuales!$D$21*(datos_base!$D$2+datos_base!$D$18+IF(parametros_manuales!$H$21="Todos",datos_base!$D$9+datos_base!$D$23,0))*parametros_manuales!$M$95+parametros_manuales!$E$21*(datos_base!$D$3+datos_base!$D$19+IF(parametros_manuales!$H$21="Todos",datos_base!$D$10+datos_base!$D$24,0))*parametros_manuales!$M$100+parametros_manuales!$F$21*(datos_base!$D$4+datos_base!$D$20+IF(parametros_manuales!$H$21="Todos",datos_base!$D$11+datos_base!$D$25,0))*parametros_manuales!$M$105+parametros_manuales!$G$21*(datos_base!$D$5+datos_base!$D$21+IF(parametros_manuales!$H$21="Todos",datos_base!$D$12+datos_base!$D$26,0))*parametros_manuales!$M$110)*parametros_manuales!$I$21*parametros_manuales!$J$21</f>
        <v>1306.27329822</v>
      </c>
      <c r="N58" s="9" t="n">
        <f aca="false">SUM(B58:M58)</f>
        <v>14514.147758</v>
      </c>
      <c r="O58" s="9" t="n">
        <f aca="false">MAX(B58:M58)</f>
        <v>1306.27329822</v>
      </c>
      <c r="P58" s="43" t="n">
        <f aca="false">O58/(parametros_manuales!$B$7)</f>
        <v>8.7084886548</v>
      </c>
      <c r="Q58" s="8" t="str">
        <f aca="false">IF(O58=0,"-",INDEX($B$55:$M$55,MATCH(O58,B58:M58,0)))</f>
        <v>Ene</v>
      </c>
    </row>
    <row r="59" customFormat="false" ht="14.25" hidden="false" customHeight="true" outlineLevel="0" collapsed="false">
      <c r="A59" s="8" t="str">
        <f aca="false">parametros_manuales!$B$22</f>
        <v>Corte de disco y embutido (cúpula y fondo)</v>
      </c>
      <c r="B59" s="9" t="n">
        <f aca="false">(parametros_manuales!$D$22*(datos_base!$D$2+datos_base!$D$18+IF(parametros_manuales!$H$22="Todos",datos_base!$D$9+datos_base!$D$23,0))*parametros_manuales!$B$95+parametros_manuales!$E$22*(datos_base!$D$3+datos_base!$D$19+IF(parametros_manuales!$H$22="Todos",datos_base!$D$10+datos_base!$D$24,0))*parametros_manuales!$B$100+parametros_manuales!$F$22*(datos_base!$D$4+datos_base!$D$20+IF(parametros_manuales!$H$22="Todos",datos_base!$D$11+datos_base!$D$25,0))*parametros_manuales!$B$105+parametros_manuales!$G$22*(datos_base!$D$5+datos_base!$D$21+IF(parametros_manuales!$H$22="Todos",datos_base!$D$12+datos_base!$D$26,0))*parametros_manuales!$B$110)*parametros_manuales!$I$22*parametros_manuales!$J$22</f>
        <v>4129.173393552</v>
      </c>
      <c r="C59" s="9" t="n">
        <f aca="false">(parametros_manuales!$D$22*(datos_base!$D$2+datos_base!$D$18+IF(parametros_manuales!$H$22="Todos",datos_base!$D$9+datos_base!$D$23,0))*parametros_manuales!$C$95+parametros_manuales!$E$22*(datos_base!$D$3+datos_base!$D$19+IF(parametros_manuales!$H$22="Todos",datos_base!$D$10+datos_base!$D$24,0))*parametros_manuales!$C$100+parametros_manuales!$F$22*(datos_base!$D$4+datos_base!$D$20+IF(parametros_manuales!$H$22="Todos",datos_base!$D$11+datos_base!$D$25,0))*parametros_manuales!$C$105+parametros_manuales!$G$22*(datos_base!$D$5+datos_base!$D$21+IF(parametros_manuales!$H$22="Todos",datos_base!$D$12+datos_base!$D$26,0))*parametros_manuales!$C$110)*parametros_manuales!$I$22*parametros_manuales!$J$22</f>
        <v>3960.659304984</v>
      </c>
      <c r="D59" s="9" t="n">
        <f aca="false">(parametros_manuales!$D$22*(datos_base!$D$2+datos_base!$D$18+IF(parametros_manuales!$H$22="Todos",datos_base!$D$9+datos_base!$D$23,0))*parametros_manuales!$D$95+parametros_manuales!$E$22*(datos_base!$D$3+datos_base!$D$19+IF(parametros_manuales!$H$22="Todos",datos_base!$D$10+datos_base!$D$24,0))*parametros_manuales!$D$100+parametros_manuales!$F$22*(datos_base!$D$4+datos_base!$D$20+IF(parametros_manuales!$H$22="Todos",datos_base!$D$11+datos_base!$D$25,0))*parametros_manuales!$D$105+parametros_manuales!$G$22*(datos_base!$D$5+datos_base!$D$21+IF(parametros_manuales!$H$22="Todos",datos_base!$D$12+datos_base!$D$26,0))*parametros_manuales!$D$110)*parametros_manuales!$I$22*parametros_manuales!$J$22</f>
        <v>3754.633394108</v>
      </c>
      <c r="E59" s="9" t="n">
        <f aca="false">(parametros_manuales!$D$22*(datos_base!$D$2+datos_base!$D$18+IF(parametros_manuales!$H$22="Todos",datos_base!$D$9+datos_base!$D$23,0))*parametros_manuales!$E$95+parametros_manuales!$E$22*(datos_base!$D$3+datos_base!$D$19+IF(parametros_manuales!$H$22="Todos",datos_base!$D$10+datos_base!$D$24,0))*parametros_manuales!$E$100+parametros_manuales!$F$22*(datos_base!$D$4+datos_base!$D$20+IF(parametros_manuales!$H$22="Todos",datos_base!$D$11+datos_base!$D$25,0))*parametros_manuales!$E$105+parametros_manuales!$G$22*(datos_base!$D$5+datos_base!$D$21+IF(parametros_manuales!$H$22="Todos",datos_base!$D$12+datos_base!$D$26,0))*parametros_manuales!$E$110)*parametros_manuales!$I$22*parametros_manuales!$J$22</f>
        <v>3609.491916528</v>
      </c>
      <c r="F59" s="9" t="n">
        <f aca="false">(parametros_manuales!$D$22*(datos_base!$D$2+datos_base!$D$18+IF(parametros_manuales!$H$22="Todos",datos_base!$D$9+datos_base!$D$23,0))*parametros_manuales!$F$95+parametros_manuales!$E$22*(datos_base!$D$3+datos_base!$D$19+IF(parametros_manuales!$H$22="Todos",datos_base!$D$10+datos_base!$D$24,0))*parametros_manuales!$F$100+parametros_manuales!$F$22*(datos_base!$D$4+datos_base!$D$20+IF(parametros_manuales!$H$22="Todos",datos_base!$D$11+datos_base!$D$25,0))*parametros_manuales!$F$105+parametros_manuales!$G$22*(datos_base!$D$5+datos_base!$D$21+IF(parametros_manuales!$H$22="Todos",datos_base!$D$12+datos_base!$D$26,0))*parametros_manuales!$F$110)*parametros_manuales!$I$22*parametros_manuales!$J$22</f>
        <v>3380.093394664</v>
      </c>
      <c r="G59" s="9" t="n">
        <f aca="false">(parametros_manuales!$D$22*(datos_base!$D$2+datos_base!$D$18+IF(parametros_manuales!$H$22="Todos",datos_base!$D$9+datos_base!$D$23,0))*parametros_manuales!$G$95+parametros_manuales!$E$22*(datos_base!$D$3+datos_base!$D$19+IF(parametros_manuales!$H$22="Todos",datos_base!$D$10+datos_base!$D$24,0))*parametros_manuales!$G$100+parametros_manuales!$F$22*(datos_base!$D$4+datos_base!$D$20+IF(parametros_manuales!$H$22="Todos",datos_base!$D$11+datos_base!$D$25,0))*parametros_manuales!$G$105+parametros_manuales!$G$22*(datos_base!$D$5+datos_base!$D$21+IF(parametros_manuales!$H$22="Todos",datos_base!$D$12+datos_base!$D$26,0))*parametros_manuales!$G$110)*parametros_manuales!$I$22*parametros_manuales!$J$22</f>
        <v>3295.83635038</v>
      </c>
      <c r="H59" s="9" t="n">
        <f aca="false">(parametros_manuales!$D$22*(datos_base!$D$2+datos_base!$D$18+IF(parametros_manuales!$H$22="Todos",datos_base!$D$9+datos_base!$D$23,0))*parametros_manuales!$H$95+parametros_manuales!$E$22*(datos_base!$D$3+datos_base!$D$19+IF(parametros_manuales!$H$22="Todos",datos_base!$D$10+datos_base!$D$24,0))*parametros_manuales!$H$100+parametros_manuales!$F$22*(datos_base!$D$4+datos_base!$D$20+IF(parametros_manuales!$H$22="Todos",datos_base!$D$11+datos_base!$D$25,0))*parametros_manuales!$H$105+parametros_manuales!$G$22*(datos_base!$D$5+datos_base!$D$21+IF(parametros_manuales!$H$22="Todos",datos_base!$D$12+datos_base!$D$26,0))*parametros_manuales!$H$110)*parametros_manuales!$I$22*parametros_manuales!$J$22</f>
        <v>3525.234872244</v>
      </c>
      <c r="I59" s="9" t="n">
        <f aca="false">(parametros_manuales!$D$22*(datos_base!$D$2+datos_base!$D$18+IF(parametros_manuales!$H$22="Todos",datos_base!$D$9+datos_base!$D$23,0))*parametros_manuales!$I$95+parametros_manuales!$E$22*(datos_base!$D$3+datos_base!$D$19+IF(parametros_manuales!$H$22="Todos",datos_base!$D$10+datos_base!$D$24,0))*parametros_manuales!$I$100+parametros_manuales!$F$22*(datos_base!$D$4+datos_base!$D$20+IF(parametros_manuales!$H$22="Todos",datos_base!$D$11+datos_base!$D$25,0))*parametros_manuales!$I$105+parametros_manuales!$G$22*(datos_base!$D$5+datos_base!$D$21+IF(parametros_manuales!$H$22="Todos",datos_base!$D$12+datos_base!$D$26,0))*parametros_manuales!$I$110)*parametros_manuales!$I$22*parametros_manuales!$J$22</f>
        <v>3960.659304984</v>
      </c>
      <c r="J59" s="9" t="n">
        <f aca="false">(parametros_manuales!$D$22*(datos_base!$D$2+datos_base!$D$18+IF(parametros_manuales!$H$22="Todos",datos_base!$D$9+datos_base!$D$23,0))*parametros_manuales!$J$95+parametros_manuales!$E$22*(datos_base!$D$3+datos_base!$D$19+IF(parametros_manuales!$H$22="Todos",datos_base!$D$10+datos_base!$D$24,0))*parametros_manuales!$J$100+parametros_manuales!$F$22*(datos_base!$D$4+datos_base!$D$20+IF(parametros_manuales!$H$22="Todos",datos_base!$D$11+datos_base!$D$25,0))*parametros_manuales!$J$105+parametros_manuales!$G$22*(datos_base!$D$5+datos_base!$D$21+IF(parametros_manuales!$H$22="Todos",datos_base!$D$12+datos_base!$D$26,0))*parametros_manuales!$J$110)*parametros_manuales!$I$22*parametros_manuales!$J$22</f>
        <v>3960.659304984</v>
      </c>
      <c r="K59" s="9" t="n">
        <f aca="false">(parametros_manuales!$D$22*(datos_base!$D$2+datos_base!$D$18+IF(parametros_manuales!$H$22="Todos",datos_base!$D$9+datos_base!$D$23,0))*parametros_manuales!$K$95+parametros_manuales!$E$22*(datos_base!$D$3+datos_base!$D$19+IF(parametros_manuales!$H$22="Todos",datos_base!$D$10+datos_base!$D$24,0))*parametros_manuales!$K$100+parametros_manuales!$F$22*(datos_base!$D$4+datos_base!$D$20+IF(parametros_manuales!$H$22="Todos",datos_base!$D$11+datos_base!$D$25,0))*parametros_manuales!$K$105+parametros_manuales!$G$22*(datos_base!$D$5+datos_base!$D$21+IF(parametros_manuales!$H$22="Todos",datos_base!$D$12+datos_base!$D$26,0))*parametros_manuales!$K$110)*parametros_manuales!$I$22*parametros_manuales!$J$22</f>
        <v>4044.916349268</v>
      </c>
      <c r="L59" s="9" t="n">
        <f aca="false">(parametros_manuales!$D$22*(datos_base!$D$2+datos_base!$D$18+IF(parametros_manuales!$H$22="Todos",datos_base!$D$9+datos_base!$D$23,0))*parametros_manuales!$L$95+parametros_manuales!$E$22*(datos_base!$D$3+datos_base!$D$19+IF(parametros_manuales!$H$22="Todos",datos_base!$D$10+datos_base!$D$24,0))*parametros_manuales!$L$100+parametros_manuales!$F$22*(datos_base!$D$4+datos_base!$D$20+IF(parametros_manuales!$H$22="Todos",datos_base!$D$11+datos_base!$D$25,0))*parametros_manuales!$L$105+parametros_manuales!$G$22*(datos_base!$D$5+datos_base!$D$21+IF(parametros_manuales!$H$22="Todos",datos_base!$D$12+datos_base!$D$26,0))*parametros_manuales!$L$110)*parametros_manuales!$I$22*parametros_manuales!$J$22</f>
        <v>4129.173393552</v>
      </c>
      <c r="M59" s="9" t="n">
        <f aca="false">(parametros_manuales!$D$22*(datos_base!$D$2+datos_base!$D$18+IF(parametros_manuales!$H$22="Todos",datos_base!$D$9+datos_base!$D$23,0))*parametros_manuales!$M$95+parametros_manuales!$E$22*(datos_base!$D$3+datos_base!$D$19+IF(parametros_manuales!$H$22="Todos",datos_base!$D$10+datos_base!$D$24,0))*parametros_manuales!$M$100+parametros_manuales!$F$22*(datos_base!$D$4+datos_base!$D$20+IF(parametros_manuales!$H$22="Todos",datos_base!$D$11+datos_base!$D$25,0))*parametros_manuales!$M$105+parametros_manuales!$G$22*(datos_base!$D$5+datos_base!$D$21+IF(parametros_manuales!$H$22="Todos",datos_base!$D$12+datos_base!$D$26,0))*parametros_manuales!$M$110)*parametros_manuales!$I$22*parametros_manuales!$J$22</f>
        <v>4129.173393552</v>
      </c>
      <c r="N59" s="9" t="n">
        <f aca="false">SUM(B59:M59)</f>
        <v>45879.7043728</v>
      </c>
      <c r="O59" s="9" t="n">
        <f aca="false">MAX(B59:M59)</f>
        <v>4129.173393552</v>
      </c>
      <c r="P59" s="43" t="n">
        <f aca="false">O59/(parametros_manuales!$B$7)</f>
        <v>27.52782262368</v>
      </c>
      <c r="Q59" s="8" t="str">
        <f aca="false">IF(O59=0,"-",INDEX($B$55:$M$55,MATCH(O59,B59:M59,0)))</f>
        <v>Ene</v>
      </c>
    </row>
    <row r="60" customFormat="false" ht="14.25" hidden="false" customHeight="true" outlineLevel="0" collapsed="false">
      <c r="A60" s="8" t="str">
        <f aca="false">parametros_manuales!$B$23</f>
        <v>Preparación de cuello</v>
      </c>
      <c r="B60" s="9" t="n">
        <f aca="false">(parametros_manuales!$D$23*(datos_base!$D$2+datos_base!$D$18+IF(parametros_manuales!$H$23="Todos",datos_base!$D$9+datos_base!$D$23,0))*parametros_manuales!$B$95+parametros_manuales!$E$23*(datos_base!$D$3+datos_base!$D$19+IF(parametros_manuales!$H$23="Todos",datos_base!$D$10+datos_base!$D$24,0))*parametros_manuales!$B$100+parametros_manuales!$F$23*(datos_base!$D$4+datos_base!$D$20+IF(parametros_manuales!$H$23="Todos",datos_base!$D$11+datos_base!$D$25,0))*parametros_manuales!$B$105+parametros_manuales!$G$23*(datos_base!$D$5+datos_base!$D$21+IF(parametros_manuales!$H$23="Todos",datos_base!$D$12+datos_base!$D$26,0))*parametros_manuales!$B$110)*parametros_manuales!$I$23*parametros_manuales!$J$23</f>
        <v>2064.586696776</v>
      </c>
      <c r="C60" s="9" t="n">
        <f aca="false">(parametros_manuales!$D$23*(datos_base!$D$2+datos_base!$D$18+IF(parametros_manuales!$H$23="Todos",datos_base!$D$9+datos_base!$D$23,0))*parametros_manuales!$C$95+parametros_manuales!$E$23*(datos_base!$D$3+datos_base!$D$19+IF(parametros_manuales!$H$23="Todos",datos_base!$D$10+datos_base!$D$24,0))*parametros_manuales!$C$100+parametros_manuales!$F$23*(datos_base!$D$4+datos_base!$D$20+IF(parametros_manuales!$H$23="Todos",datos_base!$D$11+datos_base!$D$25,0))*parametros_manuales!$C$105+parametros_manuales!$G$23*(datos_base!$D$5+datos_base!$D$21+IF(parametros_manuales!$H$23="Todos",datos_base!$D$12+datos_base!$D$26,0))*parametros_manuales!$C$110)*parametros_manuales!$I$23*parametros_manuales!$J$23</f>
        <v>1980.329652492</v>
      </c>
      <c r="D60" s="9" t="n">
        <f aca="false">(parametros_manuales!$D$23*(datos_base!$D$2+datos_base!$D$18+IF(parametros_manuales!$H$23="Todos",datos_base!$D$9+datos_base!$D$23,0))*parametros_manuales!$D$95+parametros_manuales!$E$23*(datos_base!$D$3+datos_base!$D$19+IF(parametros_manuales!$H$23="Todos",datos_base!$D$10+datos_base!$D$24,0))*parametros_manuales!$D$100+parametros_manuales!$F$23*(datos_base!$D$4+datos_base!$D$20+IF(parametros_manuales!$H$23="Todos",datos_base!$D$11+datos_base!$D$25,0))*parametros_manuales!$D$105+parametros_manuales!$G$23*(datos_base!$D$5+datos_base!$D$21+IF(parametros_manuales!$H$23="Todos",datos_base!$D$12+datos_base!$D$26,0))*parametros_manuales!$D$110)*parametros_manuales!$I$23*parametros_manuales!$J$23</f>
        <v>1877.316697054</v>
      </c>
      <c r="E60" s="9" t="n">
        <f aca="false">(parametros_manuales!$D$23*(datos_base!$D$2+datos_base!$D$18+IF(parametros_manuales!$H$23="Todos",datos_base!$D$9+datos_base!$D$23,0))*parametros_manuales!$E$95+parametros_manuales!$E$23*(datos_base!$D$3+datos_base!$D$19+IF(parametros_manuales!$H$23="Todos",datos_base!$D$10+datos_base!$D$24,0))*parametros_manuales!$E$100+parametros_manuales!$F$23*(datos_base!$D$4+datos_base!$D$20+IF(parametros_manuales!$H$23="Todos",datos_base!$D$11+datos_base!$D$25,0))*parametros_manuales!$E$105+parametros_manuales!$G$23*(datos_base!$D$5+datos_base!$D$21+IF(parametros_manuales!$H$23="Todos",datos_base!$D$12+datos_base!$D$26,0))*parametros_manuales!$E$110)*parametros_manuales!$I$23*parametros_manuales!$J$23</f>
        <v>1804.745958264</v>
      </c>
      <c r="F60" s="9" t="n">
        <f aca="false">(parametros_manuales!$D$23*(datos_base!$D$2+datos_base!$D$18+IF(parametros_manuales!$H$23="Todos",datos_base!$D$9+datos_base!$D$23,0))*parametros_manuales!$F$95+parametros_manuales!$E$23*(datos_base!$D$3+datos_base!$D$19+IF(parametros_manuales!$H$23="Todos",datos_base!$D$10+datos_base!$D$24,0))*parametros_manuales!$F$100+parametros_manuales!$F$23*(datos_base!$D$4+datos_base!$D$20+IF(parametros_manuales!$H$23="Todos",datos_base!$D$11+datos_base!$D$25,0))*parametros_manuales!$F$105+parametros_manuales!$G$23*(datos_base!$D$5+datos_base!$D$21+IF(parametros_manuales!$H$23="Todos",datos_base!$D$12+datos_base!$D$26,0))*parametros_manuales!$F$110)*parametros_manuales!$I$23*parametros_manuales!$J$23</f>
        <v>1690.046697332</v>
      </c>
      <c r="G60" s="9" t="n">
        <f aca="false">(parametros_manuales!$D$23*(datos_base!$D$2+datos_base!$D$18+IF(parametros_manuales!$H$23="Todos",datos_base!$D$9+datos_base!$D$23,0))*parametros_manuales!$G$95+parametros_manuales!$E$23*(datos_base!$D$3+datos_base!$D$19+IF(parametros_manuales!$H$23="Todos",datos_base!$D$10+datos_base!$D$24,0))*parametros_manuales!$G$100+parametros_manuales!$F$23*(datos_base!$D$4+datos_base!$D$20+IF(parametros_manuales!$H$23="Todos",datos_base!$D$11+datos_base!$D$25,0))*parametros_manuales!$G$105+parametros_manuales!$G$23*(datos_base!$D$5+datos_base!$D$21+IF(parametros_manuales!$H$23="Todos",datos_base!$D$12+datos_base!$D$26,0))*parametros_manuales!$G$110)*parametros_manuales!$I$23*parametros_manuales!$J$23</f>
        <v>1647.91817519</v>
      </c>
      <c r="H60" s="9" t="n">
        <f aca="false">(parametros_manuales!$D$23*(datos_base!$D$2+datos_base!$D$18+IF(parametros_manuales!$H$23="Todos",datos_base!$D$9+datos_base!$D$23,0))*parametros_manuales!$H$95+parametros_manuales!$E$23*(datos_base!$D$3+datos_base!$D$19+IF(parametros_manuales!$H$23="Todos",datos_base!$D$10+datos_base!$D$24,0))*parametros_manuales!$H$100+parametros_manuales!$F$23*(datos_base!$D$4+datos_base!$D$20+IF(parametros_manuales!$H$23="Todos",datos_base!$D$11+datos_base!$D$25,0))*parametros_manuales!$H$105+parametros_manuales!$G$23*(datos_base!$D$5+datos_base!$D$21+IF(parametros_manuales!$H$23="Todos",datos_base!$D$12+datos_base!$D$26,0))*parametros_manuales!$H$110)*parametros_manuales!$I$23*parametros_manuales!$J$23</f>
        <v>1762.617436122</v>
      </c>
      <c r="I60" s="9" t="n">
        <f aca="false">(parametros_manuales!$D$23*(datos_base!$D$2+datos_base!$D$18+IF(parametros_manuales!$H$23="Todos",datos_base!$D$9+datos_base!$D$23,0))*parametros_manuales!$I$95+parametros_manuales!$E$23*(datos_base!$D$3+datos_base!$D$19+IF(parametros_manuales!$H$23="Todos",datos_base!$D$10+datos_base!$D$24,0))*parametros_manuales!$I$100+parametros_manuales!$F$23*(datos_base!$D$4+datos_base!$D$20+IF(parametros_manuales!$H$23="Todos",datos_base!$D$11+datos_base!$D$25,0))*parametros_manuales!$I$105+parametros_manuales!$G$23*(datos_base!$D$5+datos_base!$D$21+IF(parametros_manuales!$H$23="Todos",datos_base!$D$12+datos_base!$D$26,0))*parametros_manuales!$I$110)*parametros_manuales!$I$23*parametros_manuales!$J$23</f>
        <v>1980.329652492</v>
      </c>
      <c r="J60" s="9" t="n">
        <f aca="false">(parametros_manuales!$D$23*(datos_base!$D$2+datos_base!$D$18+IF(parametros_manuales!$H$23="Todos",datos_base!$D$9+datos_base!$D$23,0))*parametros_manuales!$J$95+parametros_manuales!$E$23*(datos_base!$D$3+datos_base!$D$19+IF(parametros_manuales!$H$23="Todos",datos_base!$D$10+datos_base!$D$24,0))*parametros_manuales!$J$100+parametros_manuales!$F$23*(datos_base!$D$4+datos_base!$D$20+IF(parametros_manuales!$H$23="Todos",datos_base!$D$11+datos_base!$D$25,0))*parametros_manuales!$J$105+parametros_manuales!$G$23*(datos_base!$D$5+datos_base!$D$21+IF(parametros_manuales!$H$23="Todos",datos_base!$D$12+datos_base!$D$26,0))*parametros_manuales!$J$110)*parametros_manuales!$I$23*parametros_manuales!$J$23</f>
        <v>1980.329652492</v>
      </c>
      <c r="K60" s="9" t="n">
        <f aca="false">(parametros_manuales!$D$23*(datos_base!$D$2+datos_base!$D$18+IF(parametros_manuales!$H$23="Todos",datos_base!$D$9+datos_base!$D$23,0))*parametros_manuales!$K$95+parametros_manuales!$E$23*(datos_base!$D$3+datos_base!$D$19+IF(parametros_manuales!$H$23="Todos",datos_base!$D$10+datos_base!$D$24,0))*parametros_manuales!$K$100+parametros_manuales!$F$23*(datos_base!$D$4+datos_base!$D$20+IF(parametros_manuales!$H$23="Todos",datos_base!$D$11+datos_base!$D$25,0))*parametros_manuales!$K$105+parametros_manuales!$G$23*(datos_base!$D$5+datos_base!$D$21+IF(parametros_manuales!$H$23="Todos",datos_base!$D$12+datos_base!$D$26,0))*parametros_manuales!$K$110)*parametros_manuales!$I$23*parametros_manuales!$J$23</f>
        <v>2022.458174634</v>
      </c>
      <c r="L60" s="9" t="n">
        <f aca="false">(parametros_manuales!$D$23*(datos_base!$D$2+datos_base!$D$18+IF(parametros_manuales!$H$23="Todos",datos_base!$D$9+datos_base!$D$23,0))*parametros_manuales!$L$95+parametros_manuales!$E$23*(datos_base!$D$3+datos_base!$D$19+IF(parametros_manuales!$H$23="Todos",datos_base!$D$10+datos_base!$D$24,0))*parametros_manuales!$L$100+parametros_manuales!$F$23*(datos_base!$D$4+datos_base!$D$20+IF(parametros_manuales!$H$23="Todos",datos_base!$D$11+datos_base!$D$25,0))*parametros_manuales!$L$105+parametros_manuales!$G$23*(datos_base!$D$5+datos_base!$D$21+IF(parametros_manuales!$H$23="Todos",datos_base!$D$12+datos_base!$D$26,0))*parametros_manuales!$L$110)*parametros_manuales!$I$23*parametros_manuales!$J$23</f>
        <v>2064.586696776</v>
      </c>
      <c r="M60" s="9" t="n">
        <f aca="false">(parametros_manuales!$D$23*(datos_base!$D$2+datos_base!$D$18+IF(parametros_manuales!$H$23="Todos",datos_base!$D$9+datos_base!$D$23,0))*parametros_manuales!$M$95+parametros_manuales!$E$23*(datos_base!$D$3+datos_base!$D$19+IF(parametros_manuales!$H$23="Todos",datos_base!$D$10+datos_base!$D$24,0))*parametros_manuales!$M$100+parametros_manuales!$F$23*(datos_base!$D$4+datos_base!$D$20+IF(parametros_manuales!$H$23="Todos",datos_base!$D$11+datos_base!$D$25,0))*parametros_manuales!$M$105+parametros_manuales!$G$23*(datos_base!$D$5+datos_base!$D$21+IF(parametros_manuales!$H$23="Todos",datos_base!$D$12+datos_base!$D$26,0))*parametros_manuales!$M$110)*parametros_manuales!$I$23*parametros_manuales!$J$23</f>
        <v>2064.586696776</v>
      </c>
      <c r="N60" s="9" t="n">
        <f aca="false">SUM(B60:M60)</f>
        <v>22939.8521864</v>
      </c>
      <c r="O60" s="9" t="n">
        <f aca="false">MAX(B60:M60)</f>
        <v>2064.586696776</v>
      </c>
      <c r="P60" s="43" t="n">
        <f aca="false">O60/(parametros_manuales!$B$7)</f>
        <v>13.76391131184</v>
      </c>
      <c r="Q60" s="8" t="str">
        <f aca="false">IF(O60=0,"-",INDEX($B$55:$M$55,MATCH(O60,B60:M60,0)))</f>
        <v>Ene</v>
      </c>
    </row>
    <row r="61" customFormat="false" ht="14.25" hidden="false" customHeight="true" outlineLevel="0" collapsed="false">
      <c r="A61" s="8" t="str">
        <f aca="false">parametros_manuales!$B$24</f>
        <v>Numerado de cúpula</v>
      </c>
      <c r="B61" s="9" t="n">
        <f aca="false">(parametros_manuales!$D$24*(datos_base!$D$2+datos_base!$D$18+IF(parametros_manuales!$H$24="Todos",datos_base!$D$9+datos_base!$D$23,0))*parametros_manuales!$B$95+parametros_manuales!$E$24*(datos_base!$D$3+datos_base!$D$19+IF(parametros_manuales!$H$24="Todos",datos_base!$D$10+datos_base!$D$24,0))*parametros_manuales!$B$100+parametros_manuales!$F$24*(datos_base!$D$4+datos_base!$D$20+IF(parametros_manuales!$H$24="Todos",datos_base!$D$11+datos_base!$D$25,0))*parametros_manuales!$B$105+parametros_manuales!$G$24*(datos_base!$D$5+datos_base!$D$21+IF(parametros_manuales!$H$24="Todos",datos_base!$D$12+datos_base!$D$26,0))*parametros_manuales!$B$110)*parametros_manuales!$I$24*parametros_manuales!$J$24</f>
        <v>2064.586696776</v>
      </c>
      <c r="C61" s="9" t="n">
        <f aca="false">(parametros_manuales!$D$24*(datos_base!$D$2+datos_base!$D$18+IF(parametros_manuales!$H$24="Todos",datos_base!$D$9+datos_base!$D$23,0))*parametros_manuales!$C$95+parametros_manuales!$E$24*(datos_base!$D$3+datos_base!$D$19+IF(parametros_manuales!$H$24="Todos",datos_base!$D$10+datos_base!$D$24,0))*parametros_manuales!$C$100+parametros_manuales!$F$24*(datos_base!$D$4+datos_base!$D$20+IF(parametros_manuales!$H$24="Todos",datos_base!$D$11+datos_base!$D$25,0))*parametros_manuales!$C$105+parametros_manuales!$G$24*(datos_base!$D$5+datos_base!$D$21+IF(parametros_manuales!$H$24="Todos",datos_base!$D$12+datos_base!$D$26,0))*parametros_manuales!$C$110)*parametros_manuales!$I$24*parametros_manuales!$J$24</f>
        <v>1980.329652492</v>
      </c>
      <c r="D61" s="9" t="n">
        <f aca="false">(parametros_manuales!$D$24*(datos_base!$D$2+datos_base!$D$18+IF(parametros_manuales!$H$24="Todos",datos_base!$D$9+datos_base!$D$23,0))*parametros_manuales!$D$95+parametros_manuales!$E$24*(datos_base!$D$3+datos_base!$D$19+IF(parametros_manuales!$H$24="Todos",datos_base!$D$10+datos_base!$D$24,0))*parametros_manuales!$D$100+parametros_manuales!$F$24*(datos_base!$D$4+datos_base!$D$20+IF(parametros_manuales!$H$24="Todos",datos_base!$D$11+datos_base!$D$25,0))*parametros_manuales!$D$105+parametros_manuales!$G$24*(datos_base!$D$5+datos_base!$D$21+IF(parametros_manuales!$H$24="Todos",datos_base!$D$12+datos_base!$D$26,0))*parametros_manuales!$D$110)*parametros_manuales!$I$24*parametros_manuales!$J$24</f>
        <v>1877.316697054</v>
      </c>
      <c r="E61" s="9" t="n">
        <f aca="false">(parametros_manuales!$D$24*(datos_base!$D$2+datos_base!$D$18+IF(parametros_manuales!$H$24="Todos",datos_base!$D$9+datos_base!$D$23,0))*parametros_manuales!$E$95+parametros_manuales!$E$24*(datos_base!$D$3+datos_base!$D$19+IF(parametros_manuales!$H$24="Todos",datos_base!$D$10+datos_base!$D$24,0))*parametros_manuales!$E$100+parametros_manuales!$F$24*(datos_base!$D$4+datos_base!$D$20+IF(parametros_manuales!$H$24="Todos",datos_base!$D$11+datos_base!$D$25,0))*parametros_manuales!$E$105+parametros_manuales!$G$24*(datos_base!$D$5+datos_base!$D$21+IF(parametros_manuales!$H$24="Todos",datos_base!$D$12+datos_base!$D$26,0))*parametros_manuales!$E$110)*parametros_manuales!$I$24*parametros_manuales!$J$24</f>
        <v>1804.745958264</v>
      </c>
      <c r="F61" s="9" t="n">
        <f aca="false">(parametros_manuales!$D$24*(datos_base!$D$2+datos_base!$D$18+IF(parametros_manuales!$H$24="Todos",datos_base!$D$9+datos_base!$D$23,0))*parametros_manuales!$F$95+parametros_manuales!$E$24*(datos_base!$D$3+datos_base!$D$19+IF(parametros_manuales!$H$24="Todos",datos_base!$D$10+datos_base!$D$24,0))*parametros_manuales!$F$100+parametros_manuales!$F$24*(datos_base!$D$4+datos_base!$D$20+IF(parametros_manuales!$H$24="Todos",datos_base!$D$11+datos_base!$D$25,0))*parametros_manuales!$F$105+parametros_manuales!$G$24*(datos_base!$D$5+datos_base!$D$21+IF(parametros_manuales!$H$24="Todos",datos_base!$D$12+datos_base!$D$26,0))*parametros_manuales!$F$110)*parametros_manuales!$I$24*parametros_manuales!$J$24</f>
        <v>1690.046697332</v>
      </c>
      <c r="G61" s="9" t="n">
        <f aca="false">(parametros_manuales!$D$24*(datos_base!$D$2+datos_base!$D$18+IF(parametros_manuales!$H$24="Todos",datos_base!$D$9+datos_base!$D$23,0))*parametros_manuales!$G$95+parametros_manuales!$E$24*(datos_base!$D$3+datos_base!$D$19+IF(parametros_manuales!$H$24="Todos",datos_base!$D$10+datos_base!$D$24,0))*parametros_manuales!$G$100+parametros_manuales!$F$24*(datos_base!$D$4+datos_base!$D$20+IF(parametros_manuales!$H$24="Todos",datos_base!$D$11+datos_base!$D$25,0))*parametros_manuales!$G$105+parametros_manuales!$G$24*(datos_base!$D$5+datos_base!$D$21+IF(parametros_manuales!$H$24="Todos",datos_base!$D$12+datos_base!$D$26,0))*parametros_manuales!$G$110)*parametros_manuales!$I$24*parametros_manuales!$J$24</f>
        <v>1647.91817519</v>
      </c>
      <c r="H61" s="9" t="n">
        <f aca="false">(parametros_manuales!$D$24*(datos_base!$D$2+datos_base!$D$18+IF(parametros_manuales!$H$24="Todos",datos_base!$D$9+datos_base!$D$23,0))*parametros_manuales!$H$95+parametros_manuales!$E$24*(datos_base!$D$3+datos_base!$D$19+IF(parametros_manuales!$H$24="Todos",datos_base!$D$10+datos_base!$D$24,0))*parametros_manuales!$H$100+parametros_manuales!$F$24*(datos_base!$D$4+datos_base!$D$20+IF(parametros_manuales!$H$24="Todos",datos_base!$D$11+datos_base!$D$25,0))*parametros_manuales!$H$105+parametros_manuales!$G$24*(datos_base!$D$5+datos_base!$D$21+IF(parametros_manuales!$H$24="Todos",datos_base!$D$12+datos_base!$D$26,0))*parametros_manuales!$H$110)*parametros_manuales!$I$24*parametros_manuales!$J$24</f>
        <v>1762.617436122</v>
      </c>
      <c r="I61" s="9" t="n">
        <f aca="false">(parametros_manuales!$D$24*(datos_base!$D$2+datos_base!$D$18+IF(parametros_manuales!$H$24="Todos",datos_base!$D$9+datos_base!$D$23,0))*parametros_manuales!$I$95+parametros_manuales!$E$24*(datos_base!$D$3+datos_base!$D$19+IF(parametros_manuales!$H$24="Todos",datos_base!$D$10+datos_base!$D$24,0))*parametros_manuales!$I$100+parametros_manuales!$F$24*(datos_base!$D$4+datos_base!$D$20+IF(parametros_manuales!$H$24="Todos",datos_base!$D$11+datos_base!$D$25,0))*parametros_manuales!$I$105+parametros_manuales!$G$24*(datos_base!$D$5+datos_base!$D$21+IF(parametros_manuales!$H$24="Todos",datos_base!$D$12+datos_base!$D$26,0))*parametros_manuales!$I$110)*parametros_manuales!$I$24*parametros_manuales!$J$24</f>
        <v>1980.329652492</v>
      </c>
      <c r="J61" s="9" t="n">
        <f aca="false">(parametros_manuales!$D$24*(datos_base!$D$2+datos_base!$D$18+IF(parametros_manuales!$H$24="Todos",datos_base!$D$9+datos_base!$D$23,0))*parametros_manuales!$J$95+parametros_manuales!$E$24*(datos_base!$D$3+datos_base!$D$19+IF(parametros_manuales!$H$24="Todos",datos_base!$D$10+datos_base!$D$24,0))*parametros_manuales!$J$100+parametros_manuales!$F$24*(datos_base!$D$4+datos_base!$D$20+IF(parametros_manuales!$H$24="Todos",datos_base!$D$11+datos_base!$D$25,0))*parametros_manuales!$J$105+parametros_manuales!$G$24*(datos_base!$D$5+datos_base!$D$21+IF(parametros_manuales!$H$24="Todos",datos_base!$D$12+datos_base!$D$26,0))*parametros_manuales!$J$110)*parametros_manuales!$I$24*parametros_manuales!$J$24</f>
        <v>1980.329652492</v>
      </c>
      <c r="K61" s="9" t="n">
        <f aca="false">(parametros_manuales!$D$24*(datos_base!$D$2+datos_base!$D$18+IF(parametros_manuales!$H$24="Todos",datos_base!$D$9+datos_base!$D$23,0))*parametros_manuales!$K$95+parametros_manuales!$E$24*(datos_base!$D$3+datos_base!$D$19+IF(parametros_manuales!$H$24="Todos",datos_base!$D$10+datos_base!$D$24,0))*parametros_manuales!$K$100+parametros_manuales!$F$24*(datos_base!$D$4+datos_base!$D$20+IF(parametros_manuales!$H$24="Todos",datos_base!$D$11+datos_base!$D$25,0))*parametros_manuales!$K$105+parametros_manuales!$G$24*(datos_base!$D$5+datos_base!$D$21+IF(parametros_manuales!$H$24="Todos",datos_base!$D$12+datos_base!$D$26,0))*parametros_manuales!$K$110)*parametros_manuales!$I$24*parametros_manuales!$J$24</f>
        <v>2022.458174634</v>
      </c>
      <c r="L61" s="9" t="n">
        <f aca="false">(parametros_manuales!$D$24*(datos_base!$D$2+datos_base!$D$18+IF(parametros_manuales!$H$24="Todos",datos_base!$D$9+datos_base!$D$23,0))*parametros_manuales!$L$95+parametros_manuales!$E$24*(datos_base!$D$3+datos_base!$D$19+IF(parametros_manuales!$H$24="Todos",datos_base!$D$10+datos_base!$D$24,0))*parametros_manuales!$L$100+parametros_manuales!$F$24*(datos_base!$D$4+datos_base!$D$20+IF(parametros_manuales!$H$24="Todos",datos_base!$D$11+datos_base!$D$25,0))*parametros_manuales!$L$105+parametros_manuales!$G$24*(datos_base!$D$5+datos_base!$D$21+IF(parametros_manuales!$H$24="Todos",datos_base!$D$12+datos_base!$D$26,0))*parametros_manuales!$L$110)*parametros_manuales!$I$24*parametros_manuales!$J$24</f>
        <v>2064.586696776</v>
      </c>
      <c r="M61" s="9" t="n">
        <f aca="false">(parametros_manuales!$D$24*(datos_base!$D$2+datos_base!$D$18+IF(parametros_manuales!$H$24="Todos",datos_base!$D$9+datos_base!$D$23,0))*parametros_manuales!$M$95+parametros_manuales!$E$24*(datos_base!$D$3+datos_base!$D$19+IF(parametros_manuales!$H$24="Todos",datos_base!$D$10+datos_base!$D$24,0))*parametros_manuales!$M$100+parametros_manuales!$F$24*(datos_base!$D$4+datos_base!$D$20+IF(parametros_manuales!$H$24="Todos",datos_base!$D$11+datos_base!$D$25,0))*parametros_manuales!$M$105+parametros_manuales!$G$24*(datos_base!$D$5+datos_base!$D$21+IF(parametros_manuales!$H$24="Todos",datos_base!$D$12+datos_base!$D$26,0))*parametros_manuales!$M$110)*parametros_manuales!$I$24*parametros_manuales!$J$24</f>
        <v>2064.586696776</v>
      </c>
      <c r="N61" s="9" t="n">
        <f aca="false">SUM(B61:M61)</f>
        <v>22939.8521864</v>
      </c>
      <c r="O61" s="9" t="n">
        <f aca="false">MAX(B61:M61)</f>
        <v>2064.586696776</v>
      </c>
      <c r="P61" s="43" t="n">
        <f aca="false">O61/(parametros_manuales!$B$7)</f>
        <v>13.76391131184</v>
      </c>
      <c r="Q61" s="8" t="str">
        <f aca="false">IF(O61=0,"-",INDEX($B$55:$M$55,MATCH(O61,B61:M61,0)))</f>
        <v>Ene</v>
      </c>
    </row>
    <row r="62" customFormat="false" ht="14.25" hidden="false" customHeight="true" outlineLevel="0" collapsed="false">
      <c r="A62" s="8" t="str">
        <f aca="false">parametros_manuales!$B$25</f>
        <v>Soldadura del cuello a la cúpula</v>
      </c>
      <c r="B62" s="9" t="n">
        <f aca="false">(parametros_manuales!$D$25*(datos_base!$D$2+datos_base!$D$18+IF(parametros_manuales!$H$25="Todos",datos_base!$D$9+datos_base!$D$23,0))*parametros_manuales!$B$95+parametros_manuales!$E$25*(datos_base!$D$3+datos_base!$D$19+IF(parametros_manuales!$H$25="Todos",datos_base!$D$10+datos_base!$D$24,0))*parametros_manuales!$B$100+parametros_manuales!$F$25*(datos_base!$D$4+datos_base!$D$20+IF(parametros_manuales!$H$25="Todos",datos_base!$D$11+datos_base!$D$25,0))*parametros_manuales!$B$105+parametros_manuales!$G$25*(datos_base!$D$5+datos_base!$D$21+IF(parametros_manuales!$H$25="Todos",datos_base!$D$12+datos_base!$D$26,0))*parametros_manuales!$B$110)*parametros_manuales!$I$25*parametros_manuales!$J$25</f>
        <v>2064.586696776</v>
      </c>
      <c r="C62" s="9" t="n">
        <f aca="false">(parametros_manuales!$D$25*(datos_base!$D$2+datos_base!$D$18+IF(parametros_manuales!$H$25="Todos",datos_base!$D$9+datos_base!$D$23,0))*parametros_manuales!$C$95+parametros_manuales!$E$25*(datos_base!$D$3+datos_base!$D$19+IF(parametros_manuales!$H$25="Todos",datos_base!$D$10+datos_base!$D$24,0))*parametros_manuales!$C$100+parametros_manuales!$F$25*(datos_base!$D$4+datos_base!$D$20+IF(parametros_manuales!$H$25="Todos",datos_base!$D$11+datos_base!$D$25,0))*parametros_manuales!$C$105+parametros_manuales!$G$25*(datos_base!$D$5+datos_base!$D$21+IF(parametros_manuales!$H$25="Todos",datos_base!$D$12+datos_base!$D$26,0))*parametros_manuales!$C$110)*parametros_manuales!$I$25*parametros_manuales!$J$25</f>
        <v>1980.329652492</v>
      </c>
      <c r="D62" s="9" t="n">
        <f aca="false">(parametros_manuales!$D$25*(datos_base!$D$2+datos_base!$D$18+IF(parametros_manuales!$H$25="Todos",datos_base!$D$9+datos_base!$D$23,0))*parametros_manuales!$D$95+parametros_manuales!$E$25*(datos_base!$D$3+datos_base!$D$19+IF(parametros_manuales!$H$25="Todos",datos_base!$D$10+datos_base!$D$24,0))*parametros_manuales!$D$100+parametros_manuales!$F$25*(datos_base!$D$4+datos_base!$D$20+IF(parametros_manuales!$H$25="Todos",datos_base!$D$11+datos_base!$D$25,0))*parametros_manuales!$D$105+parametros_manuales!$G$25*(datos_base!$D$5+datos_base!$D$21+IF(parametros_manuales!$H$25="Todos",datos_base!$D$12+datos_base!$D$26,0))*parametros_manuales!$D$110)*parametros_manuales!$I$25*parametros_manuales!$J$25</f>
        <v>1877.316697054</v>
      </c>
      <c r="E62" s="9" t="n">
        <f aca="false">(parametros_manuales!$D$25*(datos_base!$D$2+datos_base!$D$18+IF(parametros_manuales!$H$25="Todos",datos_base!$D$9+datos_base!$D$23,0))*parametros_manuales!$E$95+parametros_manuales!$E$25*(datos_base!$D$3+datos_base!$D$19+IF(parametros_manuales!$H$25="Todos",datos_base!$D$10+datos_base!$D$24,0))*parametros_manuales!$E$100+parametros_manuales!$F$25*(datos_base!$D$4+datos_base!$D$20+IF(parametros_manuales!$H$25="Todos",datos_base!$D$11+datos_base!$D$25,0))*parametros_manuales!$E$105+parametros_manuales!$G$25*(datos_base!$D$5+datos_base!$D$21+IF(parametros_manuales!$H$25="Todos",datos_base!$D$12+datos_base!$D$26,0))*parametros_manuales!$E$110)*parametros_manuales!$I$25*parametros_manuales!$J$25</f>
        <v>1804.745958264</v>
      </c>
      <c r="F62" s="9" t="n">
        <f aca="false">(parametros_manuales!$D$25*(datos_base!$D$2+datos_base!$D$18+IF(parametros_manuales!$H$25="Todos",datos_base!$D$9+datos_base!$D$23,0))*parametros_manuales!$F$95+parametros_manuales!$E$25*(datos_base!$D$3+datos_base!$D$19+IF(parametros_manuales!$H$25="Todos",datos_base!$D$10+datos_base!$D$24,0))*parametros_manuales!$F$100+parametros_manuales!$F$25*(datos_base!$D$4+datos_base!$D$20+IF(parametros_manuales!$H$25="Todos",datos_base!$D$11+datos_base!$D$25,0))*parametros_manuales!$F$105+parametros_manuales!$G$25*(datos_base!$D$5+datos_base!$D$21+IF(parametros_manuales!$H$25="Todos",datos_base!$D$12+datos_base!$D$26,0))*parametros_manuales!$F$110)*parametros_manuales!$I$25*parametros_manuales!$J$25</f>
        <v>1690.046697332</v>
      </c>
      <c r="G62" s="9" t="n">
        <f aca="false">(parametros_manuales!$D$25*(datos_base!$D$2+datos_base!$D$18+IF(parametros_manuales!$H$25="Todos",datos_base!$D$9+datos_base!$D$23,0))*parametros_manuales!$G$95+parametros_manuales!$E$25*(datos_base!$D$3+datos_base!$D$19+IF(parametros_manuales!$H$25="Todos",datos_base!$D$10+datos_base!$D$24,0))*parametros_manuales!$G$100+parametros_manuales!$F$25*(datos_base!$D$4+datos_base!$D$20+IF(parametros_manuales!$H$25="Todos",datos_base!$D$11+datos_base!$D$25,0))*parametros_manuales!$G$105+parametros_manuales!$G$25*(datos_base!$D$5+datos_base!$D$21+IF(parametros_manuales!$H$25="Todos",datos_base!$D$12+datos_base!$D$26,0))*parametros_manuales!$G$110)*parametros_manuales!$I$25*parametros_manuales!$J$25</f>
        <v>1647.91817519</v>
      </c>
      <c r="H62" s="9" t="n">
        <f aca="false">(parametros_manuales!$D$25*(datos_base!$D$2+datos_base!$D$18+IF(parametros_manuales!$H$25="Todos",datos_base!$D$9+datos_base!$D$23,0))*parametros_manuales!$H$95+parametros_manuales!$E$25*(datos_base!$D$3+datos_base!$D$19+IF(parametros_manuales!$H$25="Todos",datos_base!$D$10+datos_base!$D$24,0))*parametros_manuales!$H$100+parametros_manuales!$F$25*(datos_base!$D$4+datos_base!$D$20+IF(parametros_manuales!$H$25="Todos",datos_base!$D$11+datos_base!$D$25,0))*parametros_manuales!$H$105+parametros_manuales!$G$25*(datos_base!$D$5+datos_base!$D$21+IF(parametros_manuales!$H$25="Todos",datos_base!$D$12+datos_base!$D$26,0))*parametros_manuales!$H$110)*parametros_manuales!$I$25*parametros_manuales!$J$25</f>
        <v>1762.617436122</v>
      </c>
      <c r="I62" s="9" t="n">
        <f aca="false">(parametros_manuales!$D$25*(datos_base!$D$2+datos_base!$D$18+IF(parametros_manuales!$H$25="Todos",datos_base!$D$9+datos_base!$D$23,0))*parametros_manuales!$I$95+parametros_manuales!$E$25*(datos_base!$D$3+datos_base!$D$19+IF(parametros_manuales!$H$25="Todos",datos_base!$D$10+datos_base!$D$24,0))*parametros_manuales!$I$100+parametros_manuales!$F$25*(datos_base!$D$4+datos_base!$D$20+IF(parametros_manuales!$H$25="Todos",datos_base!$D$11+datos_base!$D$25,0))*parametros_manuales!$I$105+parametros_manuales!$G$25*(datos_base!$D$5+datos_base!$D$21+IF(parametros_manuales!$H$25="Todos",datos_base!$D$12+datos_base!$D$26,0))*parametros_manuales!$I$110)*parametros_manuales!$I$25*parametros_manuales!$J$25</f>
        <v>1980.329652492</v>
      </c>
      <c r="J62" s="9" t="n">
        <f aca="false">(parametros_manuales!$D$25*(datos_base!$D$2+datos_base!$D$18+IF(parametros_manuales!$H$25="Todos",datos_base!$D$9+datos_base!$D$23,0))*parametros_manuales!$J$95+parametros_manuales!$E$25*(datos_base!$D$3+datos_base!$D$19+IF(parametros_manuales!$H$25="Todos",datos_base!$D$10+datos_base!$D$24,0))*parametros_manuales!$J$100+parametros_manuales!$F$25*(datos_base!$D$4+datos_base!$D$20+IF(parametros_manuales!$H$25="Todos",datos_base!$D$11+datos_base!$D$25,0))*parametros_manuales!$J$105+parametros_manuales!$G$25*(datos_base!$D$5+datos_base!$D$21+IF(parametros_manuales!$H$25="Todos",datos_base!$D$12+datos_base!$D$26,0))*parametros_manuales!$J$110)*parametros_manuales!$I$25*parametros_manuales!$J$25</f>
        <v>1980.329652492</v>
      </c>
      <c r="K62" s="9" t="n">
        <f aca="false">(parametros_manuales!$D$25*(datos_base!$D$2+datos_base!$D$18+IF(parametros_manuales!$H$25="Todos",datos_base!$D$9+datos_base!$D$23,0))*parametros_manuales!$K$95+parametros_manuales!$E$25*(datos_base!$D$3+datos_base!$D$19+IF(parametros_manuales!$H$25="Todos",datos_base!$D$10+datos_base!$D$24,0))*parametros_manuales!$K$100+parametros_manuales!$F$25*(datos_base!$D$4+datos_base!$D$20+IF(parametros_manuales!$H$25="Todos",datos_base!$D$11+datos_base!$D$25,0))*parametros_manuales!$K$105+parametros_manuales!$G$25*(datos_base!$D$5+datos_base!$D$21+IF(parametros_manuales!$H$25="Todos",datos_base!$D$12+datos_base!$D$26,0))*parametros_manuales!$K$110)*parametros_manuales!$I$25*parametros_manuales!$J$25</f>
        <v>2022.458174634</v>
      </c>
      <c r="L62" s="9" t="n">
        <f aca="false">(parametros_manuales!$D$25*(datos_base!$D$2+datos_base!$D$18+IF(parametros_manuales!$H$25="Todos",datos_base!$D$9+datos_base!$D$23,0))*parametros_manuales!$L$95+parametros_manuales!$E$25*(datos_base!$D$3+datos_base!$D$19+IF(parametros_manuales!$H$25="Todos",datos_base!$D$10+datos_base!$D$24,0))*parametros_manuales!$L$100+parametros_manuales!$F$25*(datos_base!$D$4+datos_base!$D$20+IF(parametros_manuales!$H$25="Todos",datos_base!$D$11+datos_base!$D$25,0))*parametros_manuales!$L$105+parametros_manuales!$G$25*(datos_base!$D$5+datos_base!$D$21+IF(parametros_manuales!$H$25="Todos",datos_base!$D$12+datos_base!$D$26,0))*parametros_manuales!$L$110)*parametros_manuales!$I$25*parametros_manuales!$J$25</f>
        <v>2064.586696776</v>
      </c>
      <c r="M62" s="9" t="n">
        <f aca="false">(parametros_manuales!$D$25*(datos_base!$D$2+datos_base!$D$18+IF(parametros_manuales!$H$25="Todos",datos_base!$D$9+datos_base!$D$23,0))*parametros_manuales!$M$95+parametros_manuales!$E$25*(datos_base!$D$3+datos_base!$D$19+IF(parametros_manuales!$H$25="Todos",datos_base!$D$10+datos_base!$D$24,0))*parametros_manuales!$M$100+parametros_manuales!$F$25*(datos_base!$D$4+datos_base!$D$20+IF(parametros_manuales!$H$25="Todos",datos_base!$D$11+datos_base!$D$25,0))*parametros_manuales!$M$105+parametros_manuales!$G$25*(datos_base!$D$5+datos_base!$D$21+IF(parametros_manuales!$H$25="Todos",datos_base!$D$12+datos_base!$D$26,0))*parametros_manuales!$M$110)*parametros_manuales!$I$25*parametros_manuales!$J$25</f>
        <v>2064.586696776</v>
      </c>
      <c r="N62" s="9" t="n">
        <f aca="false">SUM(B62:M62)</f>
        <v>22939.8521864</v>
      </c>
      <c r="O62" s="9" t="n">
        <f aca="false">MAX(B62:M62)</f>
        <v>2064.586696776</v>
      </c>
      <c r="P62" s="43" t="n">
        <f aca="false">O62/(parametros_manuales!$B$7)</f>
        <v>13.76391131184</v>
      </c>
      <c r="Q62" s="8" t="str">
        <f aca="false">IF(O62=0,"-",INDEX($B$55:$M$55,MATCH(O62,B62:M62,0)))</f>
        <v>Ene</v>
      </c>
    </row>
    <row r="63" customFormat="false" ht="14.25" hidden="false" customHeight="true" outlineLevel="0" collapsed="false">
      <c r="A63" s="8" t="str">
        <f aca="false">parametros_manuales!$B$26</f>
        <v>Cilindrado</v>
      </c>
      <c r="B63" s="9" t="n">
        <f aca="false">(parametros_manuales!$D$26*(datos_base!$D$2+datos_base!$D$18+IF(parametros_manuales!$H$26="Todos",datos_base!$D$9+datos_base!$D$23,0))*parametros_manuales!$B$95+parametros_manuales!$E$26*(datos_base!$D$3+datos_base!$D$19+IF(parametros_manuales!$H$26="Todos",datos_base!$D$10+datos_base!$D$24,0))*parametros_manuales!$B$100+parametros_manuales!$F$26*(datos_base!$D$4+datos_base!$D$20+IF(parametros_manuales!$H$26="Todos",datos_base!$D$11+datos_base!$D$25,0))*parametros_manuales!$B$105+parametros_manuales!$G$26*(datos_base!$D$5+datos_base!$D$21+IF(parametros_manuales!$H$26="Todos",datos_base!$D$12+datos_base!$D$26,0))*parametros_manuales!$B$110)*parametros_manuales!$I$26*parametros_manuales!$J$26</f>
        <v>758.313398556</v>
      </c>
      <c r="C63" s="9" t="n">
        <f aca="false">(parametros_manuales!$D$26*(datos_base!$D$2+datos_base!$D$18+IF(parametros_manuales!$H$26="Todos",datos_base!$D$9+datos_base!$D$23,0))*parametros_manuales!$C$95+parametros_manuales!$E$26*(datos_base!$D$3+datos_base!$D$19+IF(parametros_manuales!$H$26="Todos",datos_base!$D$10+datos_base!$D$24,0))*parametros_manuales!$C$100+parametros_manuales!$F$26*(datos_base!$D$4+datos_base!$D$20+IF(parametros_manuales!$H$26="Todos",datos_base!$D$11+datos_base!$D$25,0))*parametros_manuales!$C$105+parametros_manuales!$G$26*(datos_base!$D$5+datos_base!$D$21+IF(parametros_manuales!$H$26="Todos",datos_base!$D$12+datos_base!$D$26,0))*parametros_manuales!$C$110)*parametros_manuales!$I$26*parametros_manuales!$J$26</f>
        <v>674.056354272</v>
      </c>
      <c r="D63" s="9" t="n">
        <f aca="false">(parametros_manuales!$D$26*(datos_base!$D$2+datos_base!$D$18+IF(parametros_manuales!$H$26="Todos",datos_base!$D$9+datos_base!$D$23,0))*parametros_manuales!$D$95+parametros_manuales!$E$26*(datos_base!$D$3+datos_base!$D$19+IF(parametros_manuales!$H$26="Todos",datos_base!$D$10+datos_base!$D$24,0))*parametros_manuales!$D$100+parametros_manuales!$F$26*(datos_base!$D$4+datos_base!$D$20+IF(parametros_manuales!$H$26="Todos",datos_base!$D$11+datos_base!$D$25,0))*parametros_manuales!$D$105+parametros_manuales!$G$26*(datos_base!$D$5+datos_base!$D$21+IF(parametros_manuales!$H$26="Todos",datos_base!$D$12+datos_base!$D$26,0))*parametros_manuales!$D$110)*parametros_manuales!$I$26*parametros_manuales!$J$26</f>
        <v>716.184876414</v>
      </c>
      <c r="E63" s="9" t="n">
        <f aca="false">(parametros_manuales!$D$26*(datos_base!$D$2+datos_base!$D$18+IF(parametros_manuales!$H$26="Todos",datos_base!$D$9+datos_base!$D$23,0))*parametros_manuales!$E$95+parametros_manuales!$E$26*(datos_base!$D$3+datos_base!$D$19+IF(parametros_manuales!$H$26="Todos",datos_base!$D$10+datos_base!$D$24,0))*parametros_manuales!$E$100+parametros_manuales!$F$26*(datos_base!$D$4+datos_base!$D$20+IF(parametros_manuales!$H$26="Todos",datos_base!$D$11+datos_base!$D$25,0))*parametros_manuales!$E$105+parametros_manuales!$G$26*(datos_base!$D$5+datos_base!$D$21+IF(parametros_manuales!$H$26="Todos",datos_base!$D$12+datos_base!$D$26,0))*parametros_manuales!$E$110)*parametros_manuales!$I$26*parametros_manuales!$J$26</f>
        <v>716.184876414</v>
      </c>
      <c r="F63" s="9" t="n">
        <f aca="false">(parametros_manuales!$D$26*(datos_base!$D$2+datos_base!$D$18+IF(parametros_manuales!$H$26="Todos",datos_base!$D$9+datos_base!$D$23,0))*parametros_manuales!$F$95+parametros_manuales!$E$26*(datos_base!$D$3+datos_base!$D$19+IF(parametros_manuales!$H$26="Todos",datos_base!$D$10+datos_base!$D$24,0))*parametros_manuales!$F$100+parametros_manuales!$F$26*(datos_base!$D$4+datos_base!$D$20+IF(parametros_manuales!$H$26="Todos",datos_base!$D$11+datos_base!$D$25,0))*parametros_manuales!$F$105+parametros_manuales!$G$26*(datos_base!$D$5+datos_base!$D$21+IF(parametros_manuales!$H$26="Todos",datos_base!$D$12+datos_base!$D$26,0))*parametros_manuales!$F$110)*parametros_manuales!$I$26*parametros_manuales!$J$26</f>
        <v>674.056354272</v>
      </c>
      <c r="G63" s="9" t="n">
        <f aca="false">(parametros_manuales!$D$26*(datos_base!$D$2+datos_base!$D$18+IF(parametros_manuales!$H$26="Todos",datos_base!$D$9+datos_base!$D$23,0))*parametros_manuales!$G$95+parametros_manuales!$E$26*(datos_base!$D$3+datos_base!$D$19+IF(parametros_manuales!$H$26="Todos",datos_base!$D$10+datos_base!$D$24,0))*parametros_manuales!$G$100+parametros_manuales!$F$26*(datos_base!$D$4+datos_base!$D$20+IF(parametros_manuales!$H$26="Todos",datos_base!$D$11+datos_base!$D$25,0))*parametros_manuales!$G$105+parametros_manuales!$G$26*(datos_base!$D$5+datos_base!$D$21+IF(parametros_manuales!$H$26="Todos",datos_base!$D$12+datos_base!$D$26,0))*parametros_manuales!$G$110)*parametros_manuales!$I$26*parametros_manuales!$J$26</f>
        <v>631.92783213</v>
      </c>
      <c r="H63" s="9" t="n">
        <f aca="false">(parametros_manuales!$D$26*(datos_base!$D$2+datos_base!$D$18+IF(parametros_manuales!$H$26="Todos",datos_base!$D$9+datos_base!$D$23,0))*parametros_manuales!$H$95+parametros_manuales!$E$26*(datos_base!$D$3+datos_base!$D$19+IF(parametros_manuales!$H$26="Todos",datos_base!$D$10+datos_base!$D$24,0))*parametros_manuales!$H$100+parametros_manuales!$F$26*(datos_base!$D$4+datos_base!$D$20+IF(parametros_manuales!$H$26="Todos",datos_base!$D$11+datos_base!$D$25,0))*parametros_manuales!$H$105+parametros_manuales!$G$26*(datos_base!$D$5+datos_base!$D$21+IF(parametros_manuales!$H$26="Todos",datos_base!$D$12+datos_base!$D$26,0))*parametros_manuales!$H$110)*parametros_manuales!$I$26*parametros_manuales!$J$26</f>
        <v>674.056354272</v>
      </c>
      <c r="I63" s="9" t="n">
        <f aca="false">(parametros_manuales!$D$26*(datos_base!$D$2+datos_base!$D$18+IF(parametros_manuales!$H$26="Todos",datos_base!$D$9+datos_base!$D$23,0))*parametros_manuales!$I$95+parametros_manuales!$E$26*(datos_base!$D$3+datos_base!$D$19+IF(parametros_manuales!$H$26="Todos",datos_base!$D$10+datos_base!$D$24,0))*parametros_manuales!$I$100+parametros_manuales!$F$26*(datos_base!$D$4+datos_base!$D$20+IF(parametros_manuales!$H$26="Todos",datos_base!$D$11+datos_base!$D$25,0))*parametros_manuales!$I$105+parametros_manuales!$G$26*(datos_base!$D$5+datos_base!$D$21+IF(parametros_manuales!$H$26="Todos",datos_base!$D$12+datos_base!$D$26,0))*parametros_manuales!$I$110)*parametros_manuales!$I$26*parametros_manuales!$J$26</f>
        <v>674.056354272</v>
      </c>
      <c r="J63" s="9" t="n">
        <f aca="false">(parametros_manuales!$D$26*(datos_base!$D$2+datos_base!$D$18+IF(parametros_manuales!$H$26="Todos",datos_base!$D$9+datos_base!$D$23,0))*parametros_manuales!$J$95+parametros_manuales!$E$26*(datos_base!$D$3+datos_base!$D$19+IF(parametros_manuales!$H$26="Todos",datos_base!$D$10+datos_base!$D$24,0))*parametros_manuales!$J$100+parametros_manuales!$F$26*(datos_base!$D$4+datos_base!$D$20+IF(parametros_manuales!$H$26="Todos",datos_base!$D$11+datos_base!$D$25,0))*parametros_manuales!$J$105+parametros_manuales!$G$26*(datos_base!$D$5+datos_base!$D$21+IF(parametros_manuales!$H$26="Todos",datos_base!$D$12+datos_base!$D$26,0))*parametros_manuales!$J$110)*parametros_manuales!$I$26*parametros_manuales!$J$26</f>
        <v>674.056354272</v>
      </c>
      <c r="K63" s="9" t="n">
        <f aca="false">(parametros_manuales!$D$26*(datos_base!$D$2+datos_base!$D$18+IF(parametros_manuales!$H$26="Todos",datos_base!$D$9+datos_base!$D$23,0))*parametros_manuales!$K$95+parametros_manuales!$E$26*(datos_base!$D$3+datos_base!$D$19+IF(parametros_manuales!$H$26="Todos",datos_base!$D$10+datos_base!$D$24,0))*parametros_manuales!$K$100+parametros_manuales!$F$26*(datos_base!$D$4+datos_base!$D$20+IF(parametros_manuales!$H$26="Todos",datos_base!$D$11+datos_base!$D$25,0))*parametros_manuales!$K$105+parametros_manuales!$G$26*(datos_base!$D$5+datos_base!$D$21+IF(parametros_manuales!$H$26="Todos",datos_base!$D$12+datos_base!$D$26,0))*parametros_manuales!$K$110)*parametros_manuales!$I$26*parametros_manuales!$J$26</f>
        <v>716.184876414</v>
      </c>
      <c r="L63" s="9" t="n">
        <f aca="false">(parametros_manuales!$D$26*(datos_base!$D$2+datos_base!$D$18+IF(parametros_manuales!$H$26="Todos",datos_base!$D$9+datos_base!$D$23,0))*parametros_manuales!$L$95+parametros_manuales!$E$26*(datos_base!$D$3+datos_base!$D$19+IF(parametros_manuales!$H$26="Todos",datos_base!$D$10+datos_base!$D$24,0))*parametros_manuales!$L$100+parametros_manuales!$F$26*(datos_base!$D$4+datos_base!$D$20+IF(parametros_manuales!$H$26="Todos",datos_base!$D$11+datos_base!$D$25,0))*parametros_manuales!$L$105+parametros_manuales!$G$26*(datos_base!$D$5+datos_base!$D$21+IF(parametros_manuales!$H$26="Todos",datos_base!$D$12+datos_base!$D$26,0))*parametros_manuales!$L$110)*parametros_manuales!$I$26*parametros_manuales!$J$26</f>
        <v>758.313398556</v>
      </c>
      <c r="M63" s="9" t="n">
        <f aca="false">(parametros_manuales!$D$26*(datos_base!$D$2+datos_base!$D$18+IF(parametros_manuales!$H$26="Todos",datos_base!$D$9+datos_base!$D$23,0))*parametros_manuales!$M$95+parametros_manuales!$E$26*(datos_base!$D$3+datos_base!$D$19+IF(parametros_manuales!$H$26="Todos",datos_base!$D$10+datos_base!$D$24,0))*parametros_manuales!$M$100+parametros_manuales!$F$26*(datos_base!$D$4+datos_base!$D$20+IF(parametros_manuales!$H$26="Todos",datos_base!$D$11+datos_base!$D$25,0))*parametros_manuales!$M$105+parametros_manuales!$G$26*(datos_base!$D$5+datos_base!$D$21+IF(parametros_manuales!$H$26="Todos",datos_base!$D$12+datos_base!$D$26,0))*parametros_manuales!$M$110)*parametros_manuales!$I$26*parametros_manuales!$J$26</f>
        <v>758.313398556</v>
      </c>
      <c r="N63" s="9" t="n">
        <f aca="false">SUM(B63:M63)</f>
        <v>8425.7044284</v>
      </c>
      <c r="O63" s="9" t="n">
        <f aca="false">MAX(B63:M63)</f>
        <v>758.313398556</v>
      </c>
      <c r="P63" s="43" t="n">
        <f aca="false">O63/(parametros_manuales!$B$7)</f>
        <v>5.05542265704</v>
      </c>
      <c r="Q63" s="8" t="str">
        <f aca="false">IF(O63=0,"-",INDEX($B$55:$M$55,MATCH(O63,B63:M63,0)))</f>
        <v>Ene</v>
      </c>
    </row>
    <row r="64" customFormat="false" ht="14.25" hidden="false" customHeight="true" outlineLevel="0" collapsed="false">
      <c r="A64" s="8" t="str">
        <f aca="false">parametros_manuales!$B$27</f>
        <v>Soldadura longitudinal</v>
      </c>
      <c r="B64" s="9" t="n">
        <f aca="false">(parametros_manuales!$D$27*(datos_base!$D$2+datos_base!$D$18+IF(parametros_manuales!$H$27="Todos",datos_base!$D$9+datos_base!$D$23,0))*parametros_manuales!$B$95+parametros_manuales!$E$27*(datos_base!$D$3+datos_base!$D$19+IF(parametros_manuales!$H$27="Todos",datos_base!$D$10+datos_base!$D$24,0))*parametros_manuales!$B$100+parametros_manuales!$F$27*(datos_base!$D$4+datos_base!$D$20+IF(parametros_manuales!$H$27="Todos",datos_base!$D$11+datos_base!$D$25,0))*parametros_manuales!$B$105+parametros_manuales!$G$27*(datos_base!$D$5+datos_base!$D$21+IF(parametros_manuales!$H$27="Todos",datos_base!$D$12+datos_base!$D$26,0))*parametros_manuales!$B$110)*parametros_manuales!$I$27*parametros_manuales!$J$27</f>
        <v>758.313398556</v>
      </c>
      <c r="C64" s="9" t="n">
        <f aca="false">(parametros_manuales!$D$27*(datos_base!$D$2+datos_base!$D$18+IF(parametros_manuales!$H$27="Todos",datos_base!$D$9+datos_base!$D$23,0))*parametros_manuales!$C$95+parametros_manuales!$E$27*(datos_base!$D$3+datos_base!$D$19+IF(parametros_manuales!$H$27="Todos",datos_base!$D$10+datos_base!$D$24,0))*parametros_manuales!$C$100+parametros_manuales!$F$27*(datos_base!$D$4+datos_base!$D$20+IF(parametros_manuales!$H$27="Todos",datos_base!$D$11+datos_base!$D$25,0))*parametros_manuales!$C$105+parametros_manuales!$G$27*(datos_base!$D$5+datos_base!$D$21+IF(parametros_manuales!$H$27="Todos",datos_base!$D$12+datos_base!$D$26,0))*parametros_manuales!$C$110)*parametros_manuales!$I$27*parametros_manuales!$J$27</f>
        <v>674.056354272</v>
      </c>
      <c r="D64" s="9" t="n">
        <f aca="false">(parametros_manuales!$D$27*(datos_base!$D$2+datos_base!$D$18+IF(parametros_manuales!$H$27="Todos",datos_base!$D$9+datos_base!$D$23,0))*parametros_manuales!$D$95+parametros_manuales!$E$27*(datos_base!$D$3+datos_base!$D$19+IF(parametros_manuales!$H$27="Todos",datos_base!$D$10+datos_base!$D$24,0))*parametros_manuales!$D$100+parametros_manuales!$F$27*(datos_base!$D$4+datos_base!$D$20+IF(parametros_manuales!$H$27="Todos",datos_base!$D$11+datos_base!$D$25,0))*parametros_manuales!$D$105+parametros_manuales!$G$27*(datos_base!$D$5+datos_base!$D$21+IF(parametros_manuales!$H$27="Todos",datos_base!$D$12+datos_base!$D$26,0))*parametros_manuales!$D$110)*parametros_manuales!$I$27*parametros_manuales!$J$27</f>
        <v>716.184876414</v>
      </c>
      <c r="E64" s="9" t="n">
        <f aca="false">(parametros_manuales!$D$27*(datos_base!$D$2+datos_base!$D$18+IF(parametros_manuales!$H$27="Todos",datos_base!$D$9+datos_base!$D$23,0))*parametros_manuales!$E$95+parametros_manuales!$E$27*(datos_base!$D$3+datos_base!$D$19+IF(parametros_manuales!$H$27="Todos",datos_base!$D$10+datos_base!$D$24,0))*parametros_manuales!$E$100+parametros_manuales!$F$27*(datos_base!$D$4+datos_base!$D$20+IF(parametros_manuales!$H$27="Todos",datos_base!$D$11+datos_base!$D$25,0))*parametros_manuales!$E$105+parametros_manuales!$G$27*(datos_base!$D$5+datos_base!$D$21+IF(parametros_manuales!$H$27="Todos",datos_base!$D$12+datos_base!$D$26,0))*parametros_manuales!$E$110)*parametros_manuales!$I$27*parametros_manuales!$J$27</f>
        <v>716.184876414</v>
      </c>
      <c r="F64" s="9" t="n">
        <f aca="false">(parametros_manuales!$D$27*(datos_base!$D$2+datos_base!$D$18+IF(parametros_manuales!$H$27="Todos",datos_base!$D$9+datos_base!$D$23,0))*parametros_manuales!$F$95+parametros_manuales!$E$27*(datos_base!$D$3+datos_base!$D$19+IF(parametros_manuales!$H$27="Todos",datos_base!$D$10+datos_base!$D$24,0))*parametros_manuales!$F$100+parametros_manuales!$F$27*(datos_base!$D$4+datos_base!$D$20+IF(parametros_manuales!$H$27="Todos",datos_base!$D$11+datos_base!$D$25,0))*parametros_manuales!$F$105+parametros_manuales!$G$27*(datos_base!$D$5+datos_base!$D$21+IF(parametros_manuales!$H$27="Todos",datos_base!$D$12+datos_base!$D$26,0))*parametros_manuales!$F$110)*parametros_manuales!$I$27*parametros_manuales!$J$27</f>
        <v>674.056354272</v>
      </c>
      <c r="G64" s="9" t="n">
        <f aca="false">(parametros_manuales!$D$27*(datos_base!$D$2+datos_base!$D$18+IF(parametros_manuales!$H$27="Todos",datos_base!$D$9+datos_base!$D$23,0))*parametros_manuales!$G$95+parametros_manuales!$E$27*(datos_base!$D$3+datos_base!$D$19+IF(parametros_manuales!$H$27="Todos",datos_base!$D$10+datos_base!$D$24,0))*parametros_manuales!$G$100+parametros_manuales!$F$27*(datos_base!$D$4+datos_base!$D$20+IF(parametros_manuales!$H$27="Todos",datos_base!$D$11+datos_base!$D$25,0))*parametros_manuales!$G$105+parametros_manuales!$G$27*(datos_base!$D$5+datos_base!$D$21+IF(parametros_manuales!$H$27="Todos",datos_base!$D$12+datos_base!$D$26,0))*parametros_manuales!$G$110)*parametros_manuales!$I$27*parametros_manuales!$J$27</f>
        <v>631.92783213</v>
      </c>
      <c r="H64" s="9" t="n">
        <f aca="false">(parametros_manuales!$D$27*(datos_base!$D$2+datos_base!$D$18+IF(parametros_manuales!$H$27="Todos",datos_base!$D$9+datos_base!$D$23,0))*parametros_manuales!$H$95+parametros_manuales!$E$27*(datos_base!$D$3+datos_base!$D$19+IF(parametros_manuales!$H$27="Todos",datos_base!$D$10+datos_base!$D$24,0))*parametros_manuales!$H$100+parametros_manuales!$F$27*(datos_base!$D$4+datos_base!$D$20+IF(parametros_manuales!$H$27="Todos",datos_base!$D$11+datos_base!$D$25,0))*parametros_manuales!$H$105+parametros_manuales!$G$27*(datos_base!$D$5+datos_base!$D$21+IF(parametros_manuales!$H$27="Todos",datos_base!$D$12+datos_base!$D$26,0))*parametros_manuales!$H$110)*parametros_manuales!$I$27*parametros_manuales!$J$27</f>
        <v>674.056354272</v>
      </c>
      <c r="I64" s="9" t="n">
        <f aca="false">(parametros_manuales!$D$27*(datos_base!$D$2+datos_base!$D$18+IF(parametros_manuales!$H$27="Todos",datos_base!$D$9+datos_base!$D$23,0))*parametros_manuales!$I$95+parametros_manuales!$E$27*(datos_base!$D$3+datos_base!$D$19+IF(parametros_manuales!$H$27="Todos",datos_base!$D$10+datos_base!$D$24,0))*parametros_manuales!$I$100+parametros_manuales!$F$27*(datos_base!$D$4+datos_base!$D$20+IF(parametros_manuales!$H$27="Todos",datos_base!$D$11+datos_base!$D$25,0))*parametros_manuales!$I$105+parametros_manuales!$G$27*(datos_base!$D$5+datos_base!$D$21+IF(parametros_manuales!$H$27="Todos",datos_base!$D$12+datos_base!$D$26,0))*parametros_manuales!$I$110)*parametros_manuales!$I$27*parametros_manuales!$J$27</f>
        <v>674.056354272</v>
      </c>
      <c r="J64" s="9" t="n">
        <f aca="false">(parametros_manuales!$D$27*(datos_base!$D$2+datos_base!$D$18+IF(parametros_manuales!$H$27="Todos",datos_base!$D$9+datos_base!$D$23,0))*parametros_manuales!$J$95+parametros_manuales!$E$27*(datos_base!$D$3+datos_base!$D$19+IF(parametros_manuales!$H$27="Todos",datos_base!$D$10+datos_base!$D$24,0))*parametros_manuales!$J$100+parametros_manuales!$F$27*(datos_base!$D$4+datos_base!$D$20+IF(parametros_manuales!$H$27="Todos",datos_base!$D$11+datos_base!$D$25,0))*parametros_manuales!$J$105+parametros_manuales!$G$27*(datos_base!$D$5+datos_base!$D$21+IF(parametros_manuales!$H$27="Todos",datos_base!$D$12+datos_base!$D$26,0))*parametros_manuales!$J$110)*parametros_manuales!$I$27*parametros_manuales!$J$27</f>
        <v>674.056354272</v>
      </c>
      <c r="K64" s="9" t="n">
        <f aca="false">(parametros_manuales!$D$27*(datos_base!$D$2+datos_base!$D$18+IF(parametros_manuales!$H$27="Todos",datos_base!$D$9+datos_base!$D$23,0))*parametros_manuales!$K$95+parametros_manuales!$E$27*(datos_base!$D$3+datos_base!$D$19+IF(parametros_manuales!$H$27="Todos",datos_base!$D$10+datos_base!$D$24,0))*parametros_manuales!$K$100+parametros_manuales!$F$27*(datos_base!$D$4+datos_base!$D$20+IF(parametros_manuales!$H$27="Todos",datos_base!$D$11+datos_base!$D$25,0))*parametros_manuales!$K$105+parametros_manuales!$G$27*(datos_base!$D$5+datos_base!$D$21+IF(parametros_manuales!$H$27="Todos",datos_base!$D$12+datos_base!$D$26,0))*parametros_manuales!$K$110)*parametros_manuales!$I$27*parametros_manuales!$J$27</f>
        <v>716.184876414</v>
      </c>
      <c r="L64" s="9" t="n">
        <f aca="false">(parametros_manuales!$D$27*(datos_base!$D$2+datos_base!$D$18+IF(parametros_manuales!$H$27="Todos",datos_base!$D$9+datos_base!$D$23,0))*parametros_manuales!$L$95+parametros_manuales!$E$27*(datos_base!$D$3+datos_base!$D$19+IF(parametros_manuales!$H$27="Todos",datos_base!$D$10+datos_base!$D$24,0))*parametros_manuales!$L$100+parametros_manuales!$F$27*(datos_base!$D$4+datos_base!$D$20+IF(parametros_manuales!$H$27="Todos",datos_base!$D$11+datos_base!$D$25,0))*parametros_manuales!$L$105+parametros_manuales!$G$27*(datos_base!$D$5+datos_base!$D$21+IF(parametros_manuales!$H$27="Todos",datos_base!$D$12+datos_base!$D$26,0))*parametros_manuales!$L$110)*parametros_manuales!$I$27*parametros_manuales!$J$27</f>
        <v>758.313398556</v>
      </c>
      <c r="M64" s="9" t="n">
        <f aca="false">(parametros_manuales!$D$27*(datos_base!$D$2+datos_base!$D$18+IF(parametros_manuales!$H$27="Todos",datos_base!$D$9+datos_base!$D$23,0))*parametros_manuales!$M$95+parametros_manuales!$E$27*(datos_base!$D$3+datos_base!$D$19+IF(parametros_manuales!$H$27="Todos",datos_base!$D$10+datos_base!$D$24,0))*parametros_manuales!$M$100+parametros_manuales!$F$27*(datos_base!$D$4+datos_base!$D$20+IF(parametros_manuales!$H$27="Todos",datos_base!$D$11+datos_base!$D$25,0))*parametros_manuales!$M$105+parametros_manuales!$G$27*(datos_base!$D$5+datos_base!$D$21+IF(parametros_manuales!$H$27="Todos",datos_base!$D$12+datos_base!$D$26,0))*parametros_manuales!$M$110)*parametros_manuales!$I$27*parametros_manuales!$J$27</f>
        <v>758.313398556</v>
      </c>
      <c r="N64" s="9" t="n">
        <f aca="false">SUM(B64:M64)</f>
        <v>8425.7044284</v>
      </c>
      <c r="O64" s="9" t="n">
        <f aca="false">MAX(B64:M64)</f>
        <v>758.313398556</v>
      </c>
      <c r="P64" s="43" t="n">
        <f aca="false">O64/(parametros_manuales!$B$7)</f>
        <v>5.05542265704</v>
      </c>
      <c r="Q64" s="8" t="str">
        <f aca="false">IF(O64=0,"-",INDEX($B$55:$M$55,MATCH(O64,B64:M64,0)))</f>
        <v>Ene</v>
      </c>
    </row>
    <row r="65" customFormat="false" ht="14.25" hidden="false" customHeight="true" outlineLevel="0" collapsed="false">
      <c r="A65" s="8" t="str">
        <f aca="false">parametros_manuales!$B$28</f>
        <v>Encastre de fondo</v>
      </c>
      <c r="B65" s="9" t="n">
        <f aca="false">(parametros_manuales!$D$28*(datos_base!$D$2+datos_base!$D$18+IF(parametros_manuales!$H$28="Todos",datos_base!$D$9+datos_base!$D$23,0))*parametros_manuales!$B$95+parametros_manuales!$E$28*(datos_base!$D$3+datos_base!$D$19+IF(parametros_manuales!$H$28="Todos",datos_base!$D$10+datos_base!$D$24,0))*parametros_manuales!$B$100+parametros_manuales!$F$28*(datos_base!$D$4+datos_base!$D$20+IF(parametros_manuales!$H$28="Todos",datos_base!$D$11+datos_base!$D$25,0))*parametros_manuales!$B$105+parametros_manuales!$G$28*(datos_base!$D$5+datos_base!$D$21+IF(parametros_manuales!$H$28="Todos",datos_base!$D$12+datos_base!$D$26,0))*parametros_manuales!$B$110)*parametros_manuales!$I$28*parametros_manuales!$J$28</f>
        <v>2064.586696776</v>
      </c>
      <c r="C65" s="9" t="n">
        <f aca="false">(parametros_manuales!$D$28*(datos_base!$D$2+datos_base!$D$18+IF(parametros_manuales!$H$28="Todos",datos_base!$D$9+datos_base!$D$23,0))*parametros_manuales!$C$95+parametros_manuales!$E$28*(datos_base!$D$3+datos_base!$D$19+IF(parametros_manuales!$H$28="Todos",datos_base!$D$10+datos_base!$D$24,0))*parametros_manuales!$C$100+parametros_manuales!$F$28*(datos_base!$D$4+datos_base!$D$20+IF(parametros_manuales!$H$28="Todos",datos_base!$D$11+datos_base!$D$25,0))*parametros_manuales!$C$105+parametros_manuales!$G$28*(datos_base!$D$5+datos_base!$D$21+IF(parametros_manuales!$H$28="Todos",datos_base!$D$12+datos_base!$D$26,0))*parametros_manuales!$C$110)*parametros_manuales!$I$28*parametros_manuales!$J$28</f>
        <v>1980.329652492</v>
      </c>
      <c r="D65" s="9" t="n">
        <f aca="false">(parametros_manuales!$D$28*(datos_base!$D$2+datos_base!$D$18+IF(parametros_manuales!$H$28="Todos",datos_base!$D$9+datos_base!$D$23,0))*parametros_manuales!$D$95+parametros_manuales!$E$28*(datos_base!$D$3+datos_base!$D$19+IF(parametros_manuales!$H$28="Todos",datos_base!$D$10+datos_base!$D$24,0))*parametros_manuales!$D$100+parametros_manuales!$F$28*(datos_base!$D$4+datos_base!$D$20+IF(parametros_manuales!$H$28="Todos",datos_base!$D$11+datos_base!$D$25,0))*parametros_manuales!$D$105+parametros_manuales!$G$28*(datos_base!$D$5+datos_base!$D$21+IF(parametros_manuales!$H$28="Todos",datos_base!$D$12+datos_base!$D$26,0))*parametros_manuales!$D$110)*parametros_manuales!$I$28*parametros_manuales!$J$28</f>
        <v>1877.316697054</v>
      </c>
      <c r="E65" s="9" t="n">
        <f aca="false">(parametros_manuales!$D$28*(datos_base!$D$2+datos_base!$D$18+IF(parametros_manuales!$H$28="Todos",datos_base!$D$9+datos_base!$D$23,0))*parametros_manuales!$E$95+parametros_manuales!$E$28*(datos_base!$D$3+datos_base!$D$19+IF(parametros_manuales!$H$28="Todos",datos_base!$D$10+datos_base!$D$24,0))*parametros_manuales!$E$100+parametros_manuales!$F$28*(datos_base!$D$4+datos_base!$D$20+IF(parametros_manuales!$H$28="Todos",datos_base!$D$11+datos_base!$D$25,0))*parametros_manuales!$E$105+parametros_manuales!$G$28*(datos_base!$D$5+datos_base!$D$21+IF(parametros_manuales!$H$28="Todos",datos_base!$D$12+datos_base!$D$26,0))*parametros_manuales!$E$110)*parametros_manuales!$I$28*parametros_manuales!$J$28</f>
        <v>1804.745958264</v>
      </c>
      <c r="F65" s="9" t="n">
        <f aca="false">(parametros_manuales!$D$28*(datos_base!$D$2+datos_base!$D$18+IF(parametros_manuales!$H$28="Todos",datos_base!$D$9+datos_base!$D$23,0))*parametros_manuales!$F$95+parametros_manuales!$E$28*(datos_base!$D$3+datos_base!$D$19+IF(parametros_manuales!$H$28="Todos",datos_base!$D$10+datos_base!$D$24,0))*parametros_manuales!$F$100+parametros_manuales!$F$28*(datos_base!$D$4+datos_base!$D$20+IF(parametros_manuales!$H$28="Todos",datos_base!$D$11+datos_base!$D$25,0))*parametros_manuales!$F$105+parametros_manuales!$G$28*(datos_base!$D$5+datos_base!$D$21+IF(parametros_manuales!$H$28="Todos",datos_base!$D$12+datos_base!$D$26,0))*parametros_manuales!$F$110)*parametros_manuales!$I$28*parametros_manuales!$J$28</f>
        <v>1690.046697332</v>
      </c>
      <c r="G65" s="9" t="n">
        <f aca="false">(parametros_manuales!$D$28*(datos_base!$D$2+datos_base!$D$18+IF(parametros_manuales!$H$28="Todos",datos_base!$D$9+datos_base!$D$23,0))*parametros_manuales!$G$95+parametros_manuales!$E$28*(datos_base!$D$3+datos_base!$D$19+IF(parametros_manuales!$H$28="Todos",datos_base!$D$10+datos_base!$D$24,0))*parametros_manuales!$G$100+parametros_manuales!$F$28*(datos_base!$D$4+datos_base!$D$20+IF(parametros_manuales!$H$28="Todos",datos_base!$D$11+datos_base!$D$25,0))*parametros_manuales!$G$105+parametros_manuales!$G$28*(datos_base!$D$5+datos_base!$D$21+IF(parametros_manuales!$H$28="Todos",datos_base!$D$12+datos_base!$D$26,0))*parametros_manuales!$G$110)*parametros_manuales!$I$28*parametros_manuales!$J$28</f>
        <v>1647.91817519</v>
      </c>
      <c r="H65" s="9" t="n">
        <f aca="false">(parametros_manuales!$D$28*(datos_base!$D$2+datos_base!$D$18+IF(parametros_manuales!$H$28="Todos",datos_base!$D$9+datos_base!$D$23,0))*parametros_manuales!$H$95+parametros_manuales!$E$28*(datos_base!$D$3+datos_base!$D$19+IF(parametros_manuales!$H$28="Todos",datos_base!$D$10+datos_base!$D$24,0))*parametros_manuales!$H$100+parametros_manuales!$F$28*(datos_base!$D$4+datos_base!$D$20+IF(parametros_manuales!$H$28="Todos",datos_base!$D$11+datos_base!$D$25,0))*parametros_manuales!$H$105+parametros_manuales!$G$28*(datos_base!$D$5+datos_base!$D$21+IF(parametros_manuales!$H$28="Todos",datos_base!$D$12+datos_base!$D$26,0))*parametros_manuales!$H$110)*parametros_manuales!$I$28*parametros_manuales!$J$28</f>
        <v>1762.617436122</v>
      </c>
      <c r="I65" s="9" t="n">
        <f aca="false">(parametros_manuales!$D$28*(datos_base!$D$2+datos_base!$D$18+IF(parametros_manuales!$H$28="Todos",datos_base!$D$9+datos_base!$D$23,0))*parametros_manuales!$I$95+parametros_manuales!$E$28*(datos_base!$D$3+datos_base!$D$19+IF(parametros_manuales!$H$28="Todos",datos_base!$D$10+datos_base!$D$24,0))*parametros_manuales!$I$100+parametros_manuales!$F$28*(datos_base!$D$4+datos_base!$D$20+IF(parametros_manuales!$H$28="Todos",datos_base!$D$11+datos_base!$D$25,0))*parametros_manuales!$I$105+parametros_manuales!$G$28*(datos_base!$D$5+datos_base!$D$21+IF(parametros_manuales!$H$28="Todos",datos_base!$D$12+datos_base!$D$26,0))*parametros_manuales!$I$110)*parametros_manuales!$I$28*parametros_manuales!$J$28</f>
        <v>1980.329652492</v>
      </c>
      <c r="J65" s="9" t="n">
        <f aca="false">(parametros_manuales!$D$28*(datos_base!$D$2+datos_base!$D$18+IF(parametros_manuales!$H$28="Todos",datos_base!$D$9+datos_base!$D$23,0))*parametros_manuales!$J$95+parametros_manuales!$E$28*(datos_base!$D$3+datos_base!$D$19+IF(parametros_manuales!$H$28="Todos",datos_base!$D$10+datos_base!$D$24,0))*parametros_manuales!$J$100+parametros_manuales!$F$28*(datos_base!$D$4+datos_base!$D$20+IF(parametros_manuales!$H$28="Todos",datos_base!$D$11+datos_base!$D$25,0))*parametros_manuales!$J$105+parametros_manuales!$G$28*(datos_base!$D$5+datos_base!$D$21+IF(parametros_manuales!$H$28="Todos",datos_base!$D$12+datos_base!$D$26,0))*parametros_manuales!$J$110)*parametros_manuales!$I$28*parametros_manuales!$J$28</f>
        <v>1980.329652492</v>
      </c>
      <c r="K65" s="9" t="n">
        <f aca="false">(parametros_manuales!$D$28*(datos_base!$D$2+datos_base!$D$18+IF(parametros_manuales!$H$28="Todos",datos_base!$D$9+datos_base!$D$23,0))*parametros_manuales!$K$95+parametros_manuales!$E$28*(datos_base!$D$3+datos_base!$D$19+IF(parametros_manuales!$H$28="Todos",datos_base!$D$10+datos_base!$D$24,0))*parametros_manuales!$K$100+parametros_manuales!$F$28*(datos_base!$D$4+datos_base!$D$20+IF(parametros_manuales!$H$28="Todos",datos_base!$D$11+datos_base!$D$25,0))*parametros_manuales!$K$105+parametros_manuales!$G$28*(datos_base!$D$5+datos_base!$D$21+IF(parametros_manuales!$H$28="Todos",datos_base!$D$12+datos_base!$D$26,0))*parametros_manuales!$K$110)*parametros_manuales!$I$28*parametros_manuales!$J$28</f>
        <v>2022.458174634</v>
      </c>
      <c r="L65" s="9" t="n">
        <f aca="false">(parametros_manuales!$D$28*(datos_base!$D$2+datos_base!$D$18+IF(parametros_manuales!$H$28="Todos",datos_base!$D$9+datos_base!$D$23,0))*parametros_manuales!$L$95+parametros_manuales!$E$28*(datos_base!$D$3+datos_base!$D$19+IF(parametros_manuales!$H$28="Todos",datos_base!$D$10+datos_base!$D$24,0))*parametros_manuales!$L$100+parametros_manuales!$F$28*(datos_base!$D$4+datos_base!$D$20+IF(parametros_manuales!$H$28="Todos",datos_base!$D$11+datos_base!$D$25,0))*parametros_manuales!$L$105+parametros_manuales!$G$28*(datos_base!$D$5+datos_base!$D$21+IF(parametros_manuales!$H$28="Todos",datos_base!$D$12+datos_base!$D$26,0))*parametros_manuales!$L$110)*parametros_manuales!$I$28*parametros_manuales!$J$28</f>
        <v>2064.586696776</v>
      </c>
      <c r="M65" s="9" t="n">
        <f aca="false">(parametros_manuales!$D$28*(datos_base!$D$2+datos_base!$D$18+IF(parametros_manuales!$H$28="Todos",datos_base!$D$9+datos_base!$D$23,0))*parametros_manuales!$M$95+parametros_manuales!$E$28*(datos_base!$D$3+datos_base!$D$19+IF(parametros_manuales!$H$28="Todos",datos_base!$D$10+datos_base!$D$24,0))*parametros_manuales!$M$100+parametros_manuales!$F$28*(datos_base!$D$4+datos_base!$D$20+IF(parametros_manuales!$H$28="Todos",datos_base!$D$11+datos_base!$D$25,0))*parametros_manuales!$M$105+parametros_manuales!$G$28*(datos_base!$D$5+datos_base!$D$21+IF(parametros_manuales!$H$28="Todos",datos_base!$D$12+datos_base!$D$26,0))*parametros_manuales!$M$110)*parametros_manuales!$I$28*parametros_manuales!$J$28</f>
        <v>2064.586696776</v>
      </c>
      <c r="N65" s="9" t="n">
        <f aca="false">SUM(B65:M65)</f>
        <v>22939.8521864</v>
      </c>
      <c r="O65" s="9" t="n">
        <f aca="false">MAX(B65:M65)</f>
        <v>2064.586696776</v>
      </c>
      <c r="P65" s="43" t="n">
        <f aca="false">O65/(parametros_manuales!$B$7)</f>
        <v>13.76391131184</v>
      </c>
      <c r="Q65" s="8" t="str">
        <f aca="false">IF(O65=0,"-",INDEX($B$55:$M$55,MATCH(O65,B65:M65,0)))</f>
        <v>Ene</v>
      </c>
    </row>
    <row r="66" customFormat="false" ht="14.25" hidden="false" customHeight="true" outlineLevel="0" collapsed="false">
      <c r="A66" s="8" t="str">
        <f aca="false">parametros_manuales!$B$29</f>
        <v>Bordoneado</v>
      </c>
      <c r="B66" s="9" t="n">
        <f aca="false">(parametros_manuales!$D$29*(datos_base!$D$2+datos_base!$D$18+IF(parametros_manuales!$H$29="Todos",datos_base!$D$9+datos_base!$D$23,0))*parametros_manuales!$B$95+parametros_manuales!$E$29*(datos_base!$D$3+datos_base!$D$19+IF(parametros_manuales!$H$29="Todos",datos_base!$D$10+datos_base!$D$24,0))*parametros_manuales!$B$100+parametros_manuales!$F$29*(datos_base!$D$4+datos_base!$D$20+IF(parametros_manuales!$H$29="Todos",datos_base!$D$11+datos_base!$D$25,0))*parametros_manuales!$B$105+parametros_manuales!$G$29*(datos_base!$D$5+datos_base!$D$21+IF(parametros_manuales!$H$29="Todos",datos_base!$D$12+datos_base!$D$26,0))*parametros_manuales!$B$110)*parametros_manuales!$I$29*parametros_manuales!$J$29</f>
        <v>2064.586696776</v>
      </c>
      <c r="C66" s="9" t="n">
        <f aca="false">(parametros_manuales!$D$29*(datos_base!$D$2+datos_base!$D$18+IF(parametros_manuales!$H$29="Todos",datos_base!$D$9+datos_base!$D$23,0))*parametros_manuales!$C$95+parametros_manuales!$E$29*(datos_base!$D$3+datos_base!$D$19+IF(parametros_manuales!$H$29="Todos",datos_base!$D$10+datos_base!$D$24,0))*parametros_manuales!$C$100+parametros_manuales!$F$29*(datos_base!$D$4+datos_base!$D$20+IF(parametros_manuales!$H$29="Todos",datos_base!$D$11+datos_base!$D$25,0))*parametros_manuales!$C$105+parametros_manuales!$G$29*(datos_base!$D$5+datos_base!$D$21+IF(parametros_manuales!$H$29="Todos",datos_base!$D$12+datos_base!$D$26,0))*parametros_manuales!$C$110)*parametros_manuales!$I$29*parametros_manuales!$J$29</f>
        <v>1980.329652492</v>
      </c>
      <c r="D66" s="9" t="n">
        <f aca="false">(parametros_manuales!$D$29*(datos_base!$D$2+datos_base!$D$18+IF(parametros_manuales!$H$29="Todos",datos_base!$D$9+datos_base!$D$23,0))*parametros_manuales!$D$95+parametros_manuales!$E$29*(datos_base!$D$3+datos_base!$D$19+IF(parametros_manuales!$H$29="Todos",datos_base!$D$10+datos_base!$D$24,0))*parametros_manuales!$D$100+parametros_manuales!$F$29*(datos_base!$D$4+datos_base!$D$20+IF(parametros_manuales!$H$29="Todos",datos_base!$D$11+datos_base!$D$25,0))*parametros_manuales!$D$105+parametros_manuales!$G$29*(datos_base!$D$5+datos_base!$D$21+IF(parametros_manuales!$H$29="Todos",datos_base!$D$12+datos_base!$D$26,0))*parametros_manuales!$D$110)*parametros_manuales!$I$29*parametros_manuales!$J$29</f>
        <v>1877.316697054</v>
      </c>
      <c r="E66" s="9" t="n">
        <f aca="false">(parametros_manuales!$D$29*(datos_base!$D$2+datos_base!$D$18+IF(parametros_manuales!$H$29="Todos",datos_base!$D$9+datos_base!$D$23,0))*parametros_manuales!$E$95+parametros_manuales!$E$29*(datos_base!$D$3+datos_base!$D$19+IF(parametros_manuales!$H$29="Todos",datos_base!$D$10+datos_base!$D$24,0))*parametros_manuales!$E$100+parametros_manuales!$F$29*(datos_base!$D$4+datos_base!$D$20+IF(parametros_manuales!$H$29="Todos",datos_base!$D$11+datos_base!$D$25,0))*parametros_manuales!$E$105+parametros_manuales!$G$29*(datos_base!$D$5+datos_base!$D$21+IF(parametros_manuales!$H$29="Todos",datos_base!$D$12+datos_base!$D$26,0))*parametros_manuales!$E$110)*parametros_manuales!$I$29*parametros_manuales!$J$29</f>
        <v>1804.745958264</v>
      </c>
      <c r="F66" s="9" t="n">
        <f aca="false">(parametros_manuales!$D$29*(datos_base!$D$2+datos_base!$D$18+IF(parametros_manuales!$H$29="Todos",datos_base!$D$9+datos_base!$D$23,0))*parametros_manuales!$F$95+parametros_manuales!$E$29*(datos_base!$D$3+datos_base!$D$19+IF(parametros_manuales!$H$29="Todos",datos_base!$D$10+datos_base!$D$24,0))*parametros_manuales!$F$100+parametros_manuales!$F$29*(datos_base!$D$4+datos_base!$D$20+IF(parametros_manuales!$H$29="Todos",datos_base!$D$11+datos_base!$D$25,0))*parametros_manuales!$F$105+parametros_manuales!$G$29*(datos_base!$D$5+datos_base!$D$21+IF(parametros_manuales!$H$29="Todos",datos_base!$D$12+datos_base!$D$26,0))*parametros_manuales!$F$110)*parametros_manuales!$I$29*parametros_manuales!$J$29</f>
        <v>1690.046697332</v>
      </c>
      <c r="G66" s="9" t="n">
        <f aca="false">(parametros_manuales!$D$29*(datos_base!$D$2+datos_base!$D$18+IF(parametros_manuales!$H$29="Todos",datos_base!$D$9+datos_base!$D$23,0))*parametros_manuales!$G$95+parametros_manuales!$E$29*(datos_base!$D$3+datos_base!$D$19+IF(parametros_manuales!$H$29="Todos",datos_base!$D$10+datos_base!$D$24,0))*parametros_manuales!$G$100+parametros_manuales!$F$29*(datos_base!$D$4+datos_base!$D$20+IF(parametros_manuales!$H$29="Todos",datos_base!$D$11+datos_base!$D$25,0))*parametros_manuales!$G$105+parametros_manuales!$G$29*(datos_base!$D$5+datos_base!$D$21+IF(parametros_manuales!$H$29="Todos",datos_base!$D$12+datos_base!$D$26,0))*parametros_manuales!$G$110)*parametros_manuales!$I$29*parametros_manuales!$J$29</f>
        <v>1647.91817519</v>
      </c>
      <c r="H66" s="9" t="n">
        <f aca="false">(parametros_manuales!$D$29*(datos_base!$D$2+datos_base!$D$18+IF(parametros_manuales!$H$29="Todos",datos_base!$D$9+datos_base!$D$23,0))*parametros_manuales!$H$95+parametros_manuales!$E$29*(datos_base!$D$3+datos_base!$D$19+IF(parametros_manuales!$H$29="Todos",datos_base!$D$10+datos_base!$D$24,0))*parametros_manuales!$H$100+parametros_manuales!$F$29*(datos_base!$D$4+datos_base!$D$20+IF(parametros_manuales!$H$29="Todos",datos_base!$D$11+datos_base!$D$25,0))*parametros_manuales!$H$105+parametros_manuales!$G$29*(datos_base!$D$5+datos_base!$D$21+IF(parametros_manuales!$H$29="Todos",datos_base!$D$12+datos_base!$D$26,0))*parametros_manuales!$H$110)*parametros_manuales!$I$29*parametros_manuales!$J$29</f>
        <v>1762.617436122</v>
      </c>
      <c r="I66" s="9" t="n">
        <f aca="false">(parametros_manuales!$D$29*(datos_base!$D$2+datos_base!$D$18+IF(parametros_manuales!$H$29="Todos",datos_base!$D$9+datos_base!$D$23,0))*parametros_manuales!$I$95+parametros_manuales!$E$29*(datos_base!$D$3+datos_base!$D$19+IF(parametros_manuales!$H$29="Todos",datos_base!$D$10+datos_base!$D$24,0))*parametros_manuales!$I$100+parametros_manuales!$F$29*(datos_base!$D$4+datos_base!$D$20+IF(parametros_manuales!$H$29="Todos",datos_base!$D$11+datos_base!$D$25,0))*parametros_manuales!$I$105+parametros_manuales!$G$29*(datos_base!$D$5+datos_base!$D$21+IF(parametros_manuales!$H$29="Todos",datos_base!$D$12+datos_base!$D$26,0))*parametros_manuales!$I$110)*parametros_manuales!$I$29*parametros_manuales!$J$29</f>
        <v>1980.329652492</v>
      </c>
      <c r="J66" s="9" t="n">
        <f aca="false">(parametros_manuales!$D$29*(datos_base!$D$2+datos_base!$D$18+IF(parametros_manuales!$H$29="Todos",datos_base!$D$9+datos_base!$D$23,0))*parametros_manuales!$J$95+parametros_manuales!$E$29*(datos_base!$D$3+datos_base!$D$19+IF(parametros_manuales!$H$29="Todos",datos_base!$D$10+datos_base!$D$24,0))*parametros_manuales!$J$100+parametros_manuales!$F$29*(datos_base!$D$4+datos_base!$D$20+IF(parametros_manuales!$H$29="Todos",datos_base!$D$11+datos_base!$D$25,0))*parametros_manuales!$J$105+parametros_manuales!$G$29*(datos_base!$D$5+datos_base!$D$21+IF(parametros_manuales!$H$29="Todos",datos_base!$D$12+datos_base!$D$26,0))*parametros_manuales!$J$110)*parametros_manuales!$I$29*parametros_manuales!$J$29</f>
        <v>1980.329652492</v>
      </c>
      <c r="K66" s="9" t="n">
        <f aca="false">(parametros_manuales!$D$29*(datos_base!$D$2+datos_base!$D$18+IF(parametros_manuales!$H$29="Todos",datos_base!$D$9+datos_base!$D$23,0))*parametros_manuales!$K$95+parametros_manuales!$E$29*(datos_base!$D$3+datos_base!$D$19+IF(parametros_manuales!$H$29="Todos",datos_base!$D$10+datos_base!$D$24,0))*parametros_manuales!$K$100+parametros_manuales!$F$29*(datos_base!$D$4+datos_base!$D$20+IF(parametros_manuales!$H$29="Todos",datos_base!$D$11+datos_base!$D$25,0))*parametros_manuales!$K$105+parametros_manuales!$G$29*(datos_base!$D$5+datos_base!$D$21+IF(parametros_manuales!$H$29="Todos",datos_base!$D$12+datos_base!$D$26,0))*parametros_manuales!$K$110)*parametros_manuales!$I$29*parametros_manuales!$J$29</f>
        <v>2022.458174634</v>
      </c>
      <c r="L66" s="9" t="n">
        <f aca="false">(parametros_manuales!$D$29*(datos_base!$D$2+datos_base!$D$18+IF(parametros_manuales!$H$29="Todos",datos_base!$D$9+datos_base!$D$23,0))*parametros_manuales!$L$95+parametros_manuales!$E$29*(datos_base!$D$3+datos_base!$D$19+IF(parametros_manuales!$H$29="Todos",datos_base!$D$10+datos_base!$D$24,0))*parametros_manuales!$L$100+parametros_manuales!$F$29*(datos_base!$D$4+datos_base!$D$20+IF(parametros_manuales!$H$29="Todos",datos_base!$D$11+datos_base!$D$25,0))*parametros_manuales!$L$105+parametros_manuales!$G$29*(datos_base!$D$5+datos_base!$D$21+IF(parametros_manuales!$H$29="Todos",datos_base!$D$12+datos_base!$D$26,0))*parametros_manuales!$L$110)*parametros_manuales!$I$29*parametros_manuales!$J$29</f>
        <v>2064.586696776</v>
      </c>
      <c r="M66" s="9" t="n">
        <f aca="false">(parametros_manuales!$D$29*(datos_base!$D$2+datos_base!$D$18+IF(parametros_manuales!$H$29="Todos",datos_base!$D$9+datos_base!$D$23,0))*parametros_manuales!$M$95+parametros_manuales!$E$29*(datos_base!$D$3+datos_base!$D$19+IF(parametros_manuales!$H$29="Todos",datos_base!$D$10+datos_base!$D$24,0))*parametros_manuales!$M$100+parametros_manuales!$F$29*(datos_base!$D$4+datos_base!$D$20+IF(parametros_manuales!$H$29="Todos",datos_base!$D$11+datos_base!$D$25,0))*parametros_manuales!$M$105+parametros_manuales!$G$29*(datos_base!$D$5+datos_base!$D$21+IF(parametros_manuales!$H$29="Todos",datos_base!$D$12+datos_base!$D$26,0))*parametros_manuales!$M$110)*parametros_manuales!$I$29*parametros_manuales!$J$29</f>
        <v>2064.586696776</v>
      </c>
      <c r="N66" s="9" t="n">
        <f aca="false">SUM(B66:M66)</f>
        <v>22939.8521864</v>
      </c>
      <c r="O66" s="9" t="n">
        <f aca="false">MAX(B66:M66)</f>
        <v>2064.586696776</v>
      </c>
      <c r="P66" s="43" t="n">
        <f aca="false">O66/(parametros_manuales!$B$7)</f>
        <v>13.76391131184</v>
      </c>
      <c r="Q66" s="8" t="str">
        <f aca="false">IF(O66=0,"-",INDEX($B$55:$M$55,MATCH(O66,B66:M66,0)))</f>
        <v>Ene</v>
      </c>
    </row>
    <row r="67" customFormat="false" ht="14.25" hidden="false" customHeight="true" outlineLevel="0" collapsed="false">
      <c r="A67" s="8" t="str">
        <f aca="false">parametros_manuales!$B$30</f>
        <v>Soldadura circunferencial de cúpula y fondo</v>
      </c>
      <c r="B67" s="9" t="n">
        <f aca="false">(parametros_manuales!$D$30*(datos_base!$D$2+datos_base!$D$18+IF(parametros_manuales!$H$30="Todos",datos_base!$D$9+datos_base!$D$23,0))*parametros_manuales!$B$95+parametros_manuales!$E$30*(datos_base!$D$3+datos_base!$D$19+IF(parametros_manuales!$H$30="Todos",datos_base!$D$10+datos_base!$D$24,0))*parametros_manuales!$B$100+parametros_manuales!$F$30*(datos_base!$D$4+datos_base!$D$20+IF(parametros_manuales!$H$30="Todos",datos_base!$D$11+datos_base!$D$25,0))*parametros_manuales!$B$105+parametros_manuales!$G$30*(datos_base!$D$5+datos_base!$D$21+IF(parametros_manuales!$H$30="Todos",datos_base!$D$12+datos_base!$D$26,0))*parametros_manuales!$B$110)*parametros_manuales!$I$30*parametros_manuales!$J$30</f>
        <v>2064.586696776</v>
      </c>
      <c r="C67" s="9" t="n">
        <f aca="false">(parametros_manuales!$D$30*(datos_base!$D$2+datos_base!$D$18+IF(parametros_manuales!$H$30="Todos",datos_base!$D$9+datos_base!$D$23,0))*parametros_manuales!$C$95+parametros_manuales!$E$30*(datos_base!$D$3+datos_base!$D$19+IF(parametros_manuales!$H$30="Todos",datos_base!$D$10+datos_base!$D$24,0))*parametros_manuales!$C$100+parametros_manuales!$F$30*(datos_base!$D$4+datos_base!$D$20+IF(parametros_manuales!$H$30="Todos",datos_base!$D$11+datos_base!$D$25,0))*parametros_manuales!$C$105+parametros_manuales!$G$30*(datos_base!$D$5+datos_base!$D$21+IF(parametros_manuales!$H$30="Todos",datos_base!$D$12+datos_base!$D$26,0))*parametros_manuales!$C$110)*parametros_manuales!$I$30*parametros_manuales!$J$30</f>
        <v>1980.329652492</v>
      </c>
      <c r="D67" s="9" t="n">
        <f aca="false">(parametros_manuales!$D$30*(datos_base!$D$2+datos_base!$D$18+IF(parametros_manuales!$H$30="Todos",datos_base!$D$9+datos_base!$D$23,0))*parametros_manuales!$D$95+parametros_manuales!$E$30*(datos_base!$D$3+datos_base!$D$19+IF(parametros_manuales!$H$30="Todos",datos_base!$D$10+datos_base!$D$24,0))*parametros_manuales!$D$100+parametros_manuales!$F$30*(datos_base!$D$4+datos_base!$D$20+IF(parametros_manuales!$H$30="Todos",datos_base!$D$11+datos_base!$D$25,0))*parametros_manuales!$D$105+parametros_manuales!$G$30*(datos_base!$D$5+datos_base!$D$21+IF(parametros_manuales!$H$30="Todos",datos_base!$D$12+datos_base!$D$26,0))*parametros_manuales!$D$110)*parametros_manuales!$I$30*parametros_manuales!$J$30</f>
        <v>1877.316697054</v>
      </c>
      <c r="E67" s="9" t="n">
        <f aca="false">(parametros_manuales!$D$30*(datos_base!$D$2+datos_base!$D$18+IF(parametros_manuales!$H$30="Todos",datos_base!$D$9+datos_base!$D$23,0))*parametros_manuales!$E$95+parametros_manuales!$E$30*(datos_base!$D$3+datos_base!$D$19+IF(parametros_manuales!$H$30="Todos",datos_base!$D$10+datos_base!$D$24,0))*parametros_manuales!$E$100+parametros_manuales!$F$30*(datos_base!$D$4+datos_base!$D$20+IF(parametros_manuales!$H$30="Todos",datos_base!$D$11+datos_base!$D$25,0))*parametros_manuales!$E$105+parametros_manuales!$G$30*(datos_base!$D$5+datos_base!$D$21+IF(parametros_manuales!$H$30="Todos",datos_base!$D$12+datos_base!$D$26,0))*parametros_manuales!$E$110)*parametros_manuales!$I$30*parametros_manuales!$J$30</f>
        <v>1804.745958264</v>
      </c>
      <c r="F67" s="9" t="n">
        <f aca="false">(parametros_manuales!$D$30*(datos_base!$D$2+datos_base!$D$18+IF(parametros_manuales!$H$30="Todos",datos_base!$D$9+datos_base!$D$23,0))*parametros_manuales!$F$95+parametros_manuales!$E$30*(datos_base!$D$3+datos_base!$D$19+IF(parametros_manuales!$H$30="Todos",datos_base!$D$10+datos_base!$D$24,0))*parametros_manuales!$F$100+parametros_manuales!$F$30*(datos_base!$D$4+datos_base!$D$20+IF(parametros_manuales!$H$30="Todos",datos_base!$D$11+datos_base!$D$25,0))*parametros_manuales!$F$105+parametros_manuales!$G$30*(datos_base!$D$5+datos_base!$D$21+IF(parametros_manuales!$H$30="Todos",datos_base!$D$12+datos_base!$D$26,0))*parametros_manuales!$F$110)*parametros_manuales!$I$30*parametros_manuales!$J$30</f>
        <v>1690.046697332</v>
      </c>
      <c r="G67" s="9" t="n">
        <f aca="false">(parametros_manuales!$D$30*(datos_base!$D$2+datos_base!$D$18+IF(parametros_manuales!$H$30="Todos",datos_base!$D$9+datos_base!$D$23,0))*parametros_manuales!$G$95+parametros_manuales!$E$30*(datos_base!$D$3+datos_base!$D$19+IF(parametros_manuales!$H$30="Todos",datos_base!$D$10+datos_base!$D$24,0))*parametros_manuales!$G$100+parametros_manuales!$F$30*(datos_base!$D$4+datos_base!$D$20+IF(parametros_manuales!$H$30="Todos",datos_base!$D$11+datos_base!$D$25,0))*parametros_manuales!$G$105+parametros_manuales!$G$30*(datos_base!$D$5+datos_base!$D$21+IF(parametros_manuales!$H$30="Todos",datos_base!$D$12+datos_base!$D$26,0))*parametros_manuales!$G$110)*parametros_manuales!$I$30*parametros_manuales!$J$30</f>
        <v>1647.91817519</v>
      </c>
      <c r="H67" s="9" t="n">
        <f aca="false">(parametros_manuales!$D$30*(datos_base!$D$2+datos_base!$D$18+IF(parametros_manuales!$H$30="Todos",datos_base!$D$9+datos_base!$D$23,0))*parametros_manuales!$H$95+parametros_manuales!$E$30*(datos_base!$D$3+datos_base!$D$19+IF(parametros_manuales!$H$30="Todos",datos_base!$D$10+datos_base!$D$24,0))*parametros_manuales!$H$100+parametros_manuales!$F$30*(datos_base!$D$4+datos_base!$D$20+IF(parametros_manuales!$H$30="Todos",datos_base!$D$11+datos_base!$D$25,0))*parametros_manuales!$H$105+parametros_manuales!$G$30*(datos_base!$D$5+datos_base!$D$21+IF(parametros_manuales!$H$30="Todos",datos_base!$D$12+datos_base!$D$26,0))*parametros_manuales!$H$110)*parametros_manuales!$I$30*parametros_manuales!$J$30</f>
        <v>1762.617436122</v>
      </c>
      <c r="I67" s="9" t="n">
        <f aca="false">(parametros_manuales!$D$30*(datos_base!$D$2+datos_base!$D$18+IF(parametros_manuales!$H$30="Todos",datos_base!$D$9+datos_base!$D$23,0))*parametros_manuales!$I$95+parametros_manuales!$E$30*(datos_base!$D$3+datos_base!$D$19+IF(parametros_manuales!$H$30="Todos",datos_base!$D$10+datos_base!$D$24,0))*parametros_manuales!$I$100+parametros_manuales!$F$30*(datos_base!$D$4+datos_base!$D$20+IF(parametros_manuales!$H$30="Todos",datos_base!$D$11+datos_base!$D$25,0))*parametros_manuales!$I$105+parametros_manuales!$G$30*(datos_base!$D$5+datos_base!$D$21+IF(parametros_manuales!$H$30="Todos",datos_base!$D$12+datos_base!$D$26,0))*parametros_manuales!$I$110)*parametros_manuales!$I$30*parametros_manuales!$J$30</f>
        <v>1980.329652492</v>
      </c>
      <c r="J67" s="9" t="n">
        <f aca="false">(parametros_manuales!$D$30*(datos_base!$D$2+datos_base!$D$18+IF(parametros_manuales!$H$30="Todos",datos_base!$D$9+datos_base!$D$23,0))*parametros_manuales!$J$95+parametros_manuales!$E$30*(datos_base!$D$3+datos_base!$D$19+IF(parametros_manuales!$H$30="Todos",datos_base!$D$10+datos_base!$D$24,0))*parametros_manuales!$J$100+parametros_manuales!$F$30*(datos_base!$D$4+datos_base!$D$20+IF(parametros_manuales!$H$30="Todos",datos_base!$D$11+datos_base!$D$25,0))*parametros_manuales!$J$105+parametros_manuales!$G$30*(datos_base!$D$5+datos_base!$D$21+IF(parametros_manuales!$H$30="Todos",datos_base!$D$12+datos_base!$D$26,0))*parametros_manuales!$J$110)*parametros_manuales!$I$30*parametros_manuales!$J$30</f>
        <v>1980.329652492</v>
      </c>
      <c r="K67" s="9" t="n">
        <f aca="false">(parametros_manuales!$D$30*(datos_base!$D$2+datos_base!$D$18+IF(parametros_manuales!$H$30="Todos",datos_base!$D$9+datos_base!$D$23,0))*parametros_manuales!$K$95+parametros_manuales!$E$30*(datos_base!$D$3+datos_base!$D$19+IF(parametros_manuales!$H$30="Todos",datos_base!$D$10+datos_base!$D$24,0))*parametros_manuales!$K$100+parametros_manuales!$F$30*(datos_base!$D$4+datos_base!$D$20+IF(parametros_manuales!$H$30="Todos",datos_base!$D$11+datos_base!$D$25,0))*parametros_manuales!$K$105+parametros_manuales!$G$30*(datos_base!$D$5+datos_base!$D$21+IF(parametros_manuales!$H$30="Todos",datos_base!$D$12+datos_base!$D$26,0))*parametros_manuales!$K$110)*parametros_manuales!$I$30*parametros_manuales!$J$30</f>
        <v>2022.458174634</v>
      </c>
      <c r="L67" s="9" t="n">
        <f aca="false">(parametros_manuales!$D$30*(datos_base!$D$2+datos_base!$D$18+IF(parametros_manuales!$H$30="Todos",datos_base!$D$9+datos_base!$D$23,0))*parametros_manuales!$L$95+parametros_manuales!$E$30*(datos_base!$D$3+datos_base!$D$19+IF(parametros_manuales!$H$30="Todos",datos_base!$D$10+datos_base!$D$24,0))*parametros_manuales!$L$100+parametros_manuales!$F$30*(datos_base!$D$4+datos_base!$D$20+IF(parametros_manuales!$H$30="Todos",datos_base!$D$11+datos_base!$D$25,0))*parametros_manuales!$L$105+parametros_manuales!$G$30*(datos_base!$D$5+datos_base!$D$21+IF(parametros_manuales!$H$30="Todos",datos_base!$D$12+datos_base!$D$26,0))*parametros_manuales!$L$110)*parametros_manuales!$I$30*parametros_manuales!$J$30</f>
        <v>2064.586696776</v>
      </c>
      <c r="M67" s="9" t="n">
        <f aca="false">(parametros_manuales!$D$30*(datos_base!$D$2+datos_base!$D$18+IF(parametros_manuales!$H$30="Todos",datos_base!$D$9+datos_base!$D$23,0))*parametros_manuales!$M$95+parametros_manuales!$E$30*(datos_base!$D$3+datos_base!$D$19+IF(parametros_manuales!$H$30="Todos",datos_base!$D$10+datos_base!$D$24,0))*parametros_manuales!$M$100+parametros_manuales!$F$30*(datos_base!$D$4+datos_base!$D$20+IF(parametros_manuales!$H$30="Todos",datos_base!$D$11+datos_base!$D$25,0))*parametros_manuales!$M$105+parametros_manuales!$G$30*(datos_base!$D$5+datos_base!$D$21+IF(parametros_manuales!$H$30="Todos",datos_base!$D$12+datos_base!$D$26,0))*parametros_manuales!$M$110)*parametros_manuales!$I$30*parametros_manuales!$J$30</f>
        <v>2064.586696776</v>
      </c>
      <c r="N67" s="9" t="n">
        <f aca="false">SUM(B67:M67)</f>
        <v>22939.8521864</v>
      </c>
      <c r="O67" s="9" t="n">
        <f aca="false">MAX(B67:M67)</f>
        <v>2064.586696776</v>
      </c>
      <c r="P67" s="43" t="n">
        <f aca="false">O67/(parametros_manuales!$B$7)</f>
        <v>13.76391131184</v>
      </c>
      <c r="Q67" s="8" t="str">
        <f aca="false">IF(O67=0,"-",INDEX($B$55:$M$55,MATCH(O67,B67:M67,0)))</f>
        <v>Ene</v>
      </c>
    </row>
    <row r="68" customFormat="false" ht="14.25" hidden="false" customHeight="true" outlineLevel="0" collapsed="false">
      <c r="A68" s="8" t="str">
        <f aca="false">parametros_manuales!$B$31</f>
        <v>Control de calidad — Espesor</v>
      </c>
      <c r="B68" s="9" t="n">
        <f aca="false">(parametros_manuales!$D$31*(datos_base!$D$2+datos_base!$D$18+IF(parametros_manuales!$H$31="Todos",datos_base!$D$9+datos_base!$D$23,0))*parametros_manuales!$B$95+parametros_manuales!$E$31*(datos_base!$D$3+datos_base!$D$19+IF(parametros_manuales!$H$31="Todos",datos_base!$D$10+datos_base!$D$24,0))*parametros_manuales!$B$100+parametros_manuales!$F$31*(datos_base!$D$4+datos_base!$D$20+IF(parametros_manuales!$H$31="Todos",datos_base!$D$11+datos_base!$D$25,0))*parametros_manuales!$B$105+parametros_manuales!$G$31*(datos_base!$D$5+datos_base!$D$21+IF(parametros_manuales!$H$31="Todos",datos_base!$D$12+datos_base!$D$26,0))*parametros_manuales!$B$110)*parametros_manuales!$I$31*parametros_manuales!$J$31</f>
        <v>41.29173393552</v>
      </c>
      <c r="C68" s="9" t="n">
        <f aca="false">(parametros_manuales!$D$31*(datos_base!$D$2+datos_base!$D$18+IF(parametros_manuales!$H$31="Todos",datos_base!$D$9+datos_base!$D$23,0))*parametros_manuales!$C$95+parametros_manuales!$E$31*(datos_base!$D$3+datos_base!$D$19+IF(parametros_manuales!$H$31="Todos",datos_base!$D$10+datos_base!$D$24,0))*parametros_manuales!$C$100+parametros_manuales!$F$31*(datos_base!$D$4+datos_base!$D$20+IF(parametros_manuales!$H$31="Todos",datos_base!$D$11+datos_base!$D$25,0))*parametros_manuales!$C$105+parametros_manuales!$G$31*(datos_base!$D$5+datos_base!$D$21+IF(parametros_manuales!$H$31="Todos",datos_base!$D$12+datos_base!$D$26,0))*parametros_manuales!$C$110)*parametros_manuales!$I$31*parametros_manuales!$J$31</f>
        <v>39.60659304984</v>
      </c>
      <c r="D68" s="9" t="n">
        <f aca="false">(parametros_manuales!$D$31*(datos_base!$D$2+datos_base!$D$18+IF(parametros_manuales!$H$31="Todos",datos_base!$D$9+datos_base!$D$23,0))*parametros_manuales!$D$95+parametros_manuales!$E$31*(datos_base!$D$3+datos_base!$D$19+IF(parametros_manuales!$H$31="Todos",datos_base!$D$10+datos_base!$D$24,0))*parametros_manuales!$D$100+parametros_manuales!$F$31*(datos_base!$D$4+datos_base!$D$20+IF(parametros_manuales!$H$31="Todos",datos_base!$D$11+datos_base!$D$25,0))*parametros_manuales!$D$105+parametros_manuales!$G$31*(datos_base!$D$5+datos_base!$D$21+IF(parametros_manuales!$H$31="Todos",datos_base!$D$12+datos_base!$D$26,0))*parametros_manuales!$D$110)*parametros_manuales!$I$31*parametros_manuales!$J$31</f>
        <v>37.54633394108</v>
      </c>
      <c r="E68" s="9" t="n">
        <f aca="false">(parametros_manuales!$D$31*(datos_base!$D$2+datos_base!$D$18+IF(parametros_manuales!$H$31="Todos",datos_base!$D$9+datos_base!$D$23,0))*parametros_manuales!$E$95+parametros_manuales!$E$31*(datos_base!$D$3+datos_base!$D$19+IF(parametros_manuales!$H$31="Todos",datos_base!$D$10+datos_base!$D$24,0))*parametros_manuales!$E$100+parametros_manuales!$F$31*(datos_base!$D$4+datos_base!$D$20+IF(parametros_manuales!$H$31="Todos",datos_base!$D$11+datos_base!$D$25,0))*parametros_manuales!$E$105+parametros_manuales!$G$31*(datos_base!$D$5+datos_base!$D$21+IF(parametros_manuales!$H$31="Todos",datos_base!$D$12+datos_base!$D$26,0))*parametros_manuales!$E$110)*parametros_manuales!$I$31*parametros_manuales!$J$31</f>
        <v>36.09491916528</v>
      </c>
      <c r="F68" s="9" t="n">
        <f aca="false">(parametros_manuales!$D$31*(datos_base!$D$2+datos_base!$D$18+IF(parametros_manuales!$H$31="Todos",datos_base!$D$9+datos_base!$D$23,0))*parametros_manuales!$F$95+parametros_manuales!$E$31*(datos_base!$D$3+datos_base!$D$19+IF(parametros_manuales!$H$31="Todos",datos_base!$D$10+datos_base!$D$24,0))*parametros_manuales!$F$100+parametros_manuales!$F$31*(datos_base!$D$4+datos_base!$D$20+IF(parametros_manuales!$H$31="Todos",datos_base!$D$11+datos_base!$D$25,0))*parametros_manuales!$F$105+parametros_manuales!$G$31*(datos_base!$D$5+datos_base!$D$21+IF(parametros_manuales!$H$31="Todos",datos_base!$D$12+datos_base!$D$26,0))*parametros_manuales!$F$110)*parametros_manuales!$I$31*parametros_manuales!$J$31</f>
        <v>33.80093394664</v>
      </c>
      <c r="G68" s="9" t="n">
        <f aca="false">(parametros_manuales!$D$31*(datos_base!$D$2+datos_base!$D$18+IF(parametros_manuales!$H$31="Todos",datos_base!$D$9+datos_base!$D$23,0))*parametros_manuales!$G$95+parametros_manuales!$E$31*(datos_base!$D$3+datos_base!$D$19+IF(parametros_manuales!$H$31="Todos",datos_base!$D$10+datos_base!$D$24,0))*parametros_manuales!$G$100+parametros_manuales!$F$31*(datos_base!$D$4+datos_base!$D$20+IF(parametros_manuales!$H$31="Todos",datos_base!$D$11+datos_base!$D$25,0))*parametros_manuales!$G$105+parametros_manuales!$G$31*(datos_base!$D$5+datos_base!$D$21+IF(parametros_manuales!$H$31="Todos",datos_base!$D$12+datos_base!$D$26,0))*parametros_manuales!$G$110)*parametros_manuales!$I$31*parametros_manuales!$J$31</f>
        <v>32.9583635038</v>
      </c>
      <c r="H68" s="9" t="n">
        <f aca="false">(parametros_manuales!$D$31*(datos_base!$D$2+datos_base!$D$18+IF(parametros_manuales!$H$31="Todos",datos_base!$D$9+datos_base!$D$23,0))*parametros_manuales!$H$95+parametros_manuales!$E$31*(datos_base!$D$3+datos_base!$D$19+IF(parametros_manuales!$H$31="Todos",datos_base!$D$10+datos_base!$D$24,0))*parametros_manuales!$H$100+parametros_manuales!$F$31*(datos_base!$D$4+datos_base!$D$20+IF(parametros_manuales!$H$31="Todos",datos_base!$D$11+datos_base!$D$25,0))*parametros_manuales!$H$105+parametros_manuales!$G$31*(datos_base!$D$5+datos_base!$D$21+IF(parametros_manuales!$H$31="Todos",datos_base!$D$12+datos_base!$D$26,0))*parametros_manuales!$H$110)*parametros_manuales!$I$31*parametros_manuales!$J$31</f>
        <v>35.25234872244</v>
      </c>
      <c r="I68" s="9" t="n">
        <f aca="false">(parametros_manuales!$D$31*(datos_base!$D$2+datos_base!$D$18+IF(parametros_manuales!$H$31="Todos",datos_base!$D$9+datos_base!$D$23,0))*parametros_manuales!$I$95+parametros_manuales!$E$31*(datos_base!$D$3+datos_base!$D$19+IF(parametros_manuales!$H$31="Todos",datos_base!$D$10+datos_base!$D$24,0))*parametros_manuales!$I$100+parametros_manuales!$F$31*(datos_base!$D$4+datos_base!$D$20+IF(parametros_manuales!$H$31="Todos",datos_base!$D$11+datos_base!$D$25,0))*parametros_manuales!$I$105+parametros_manuales!$G$31*(datos_base!$D$5+datos_base!$D$21+IF(parametros_manuales!$H$31="Todos",datos_base!$D$12+datos_base!$D$26,0))*parametros_manuales!$I$110)*parametros_manuales!$I$31*parametros_manuales!$J$31</f>
        <v>39.60659304984</v>
      </c>
      <c r="J68" s="9" t="n">
        <f aca="false">(parametros_manuales!$D$31*(datos_base!$D$2+datos_base!$D$18+IF(parametros_manuales!$H$31="Todos",datos_base!$D$9+datos_base!$D$23,0))*parametros_manuales!$J$95+parametros_manuales!$E$31*(datos_base!$D$3+datos_base!$D$19+IF(parametros_manuales!$H$31="Todos",datos_base!$D$10+datos_base!$D$24,0))*parametros_manuales!$J$100+parametros_manuales!$F$31*(datos_base!$D$4+datos_base!$D$20+IF(parametros_manuales!$H$31="Todos",datos_base!$D$11+datos_base!$D$25,0))*parametros_manuales!$J$105+parametros_manuales!$G$31*(datos_base!$D$5+datos_base!$D$21+IF(parametros_manuales!$H$31="Todos",datos_base!$D$12+datos_base!$D$26,0))*parametros_manuales!$J$110)*parametros_manuales!$I$31*parametros_manuales!$J$31</f>
        <v>39.60659304984</v>
      </c>
      <c r="K68" s="9" t="n">
        <f aca="false">(parametros_manuales!$D$31*(datos_base!$D$2+datos_base!$D$18+IF(parametros_manuales!$H$31="Todos",datos_base!$D$9+datos_base!$D$23,0))*parametros_manuales!$K$95+parametros_manuales!$E$31*(datos_base!$D$3+datos_base!$D$19+IF(parametros_manuales!$H$31="Todos",datos_base!$D$10+datos_base!$D$24,0))*parametros_manuales!$K$100+parametros_manuales!$F$31*(datos_base!$D$4+datos_base!$D$20+IF(parametros_manuales!$H$31="Todos",datos_base!$D$11+datos_base!$D$25,0))*parametros_manuales!$K$105+parametros_manuales!$G$31*(datos_base!$D$5+datos_base!$D$21+IF(parametros_manuales!$H$31="Todos",datos_base!$D$12+datos_base!$D$26,0))*parametros_manuales!$K$110)*parametros_manuales!$I$31*parametros_manuales!$J$31</f>
        <v>40.44916349268</v>
      </c>
      <c r="L68" s="9" t="n">
        <f aca="false">(parametros_manuales!$D$31*(datos_base!$D$2+datos_base!$D$18+IF(parametros_manuales!$H$31="Todos",datos_base!$D$9+datos_base!$D$23,0))*parametros_manuales!$L$95+parametros_manuales!$E$31*(datos_base!$D$3+datos_base!$D$19+IF(parametros_manuales!$H$31="Todos",datos_base!$D$10+datos_base!$D$24,0))*parametros_manuales!$L$100+parametros_manuales!$F$31*(datos_base!$D$4+datos_base!$D$20+IF(parametros_manuales!$H$31="Todos",datos_base!$D$11+datos_base!$D$25,0))*parametros_manuales!$L$105+parametros_manuales!$G$31*(datos_base!$D$5+datos_base!$D$21+IF(parametros_manuales!$H$31="Todos",datos_base!$D$12+datos_base!$D$26,0))*parametros_manuales!$L$110)*parametros_manuales!$I$31*parametros_manuales!$J$31</f>
        <v>41.29173393552</v>
      </c>
      <c r="M68" s="9" t="n">
        <f aca="false">(parametros_manuales!$D$31*(datos_base!$D$2+datos_base!$D$18+IF(parametros_manuales!$H$31="Todos",datos_base!$D$9+datos_base!$D$23,0))*parametros_manuales!$M$95+parametros_manuales!$E$31*(datos_base!$D$3+datos_base!$D$19+IF(parametros_manuales!$H$31="Todos",datos_base!$D$10+datos_base!$D$24,0))*parametros_manuales!$M$100+parametros_manuales!$F$31*(datos_base!$D$4+datos_base!$D$20+IF(parametros_manuales!$H$31="Todos",datos_base!$D$11+datos_base!$D$25,0))*parametros_manuales!$M$105+parametros_manuales!$G$31*(datos_base!$D$5+datos_base!$D$21+IF(parametros_manuales!$H$31="Todos",datos_base!$D$12+datos_base!$D$26,0))*parametros_manuales!$M$110)*parametros_manuales!$I$31*parametros_manuales!$J$31</f>
        <v>41.29173393552</v>
      </c>
      <c r="N68" s="9" t="n">
        <f aca="false">SUM(B68:M68)</f>
        <v>458.797043728</v>
      </c>
      <c r="O68" s="9" t="n">
        <f aca="false">MAX(B68:M68)</f>
        <v>41.29173393552</v>
      </c>
      <c r="P68" s="43" t="n">
        <f aca="false">O68/(parametros_manuales!$B$7)</f>
        <v>0.2752782262368</v>
      </c>
      <c r="Q68" s="8" t="str">
        <f aca="false">IF(O68=0,"-",INDEX($B$55:$M$55,MATCH(O68,B68:M68,0)))</f>
        <v>Ene</v>
      </c>
    </row>
    <row r="69" customFormat="false" ht="14.25" hidden="false" customHeight="true" outlineLevel="0" collapsed="false">
      <c r="A69" s="8" t="str">
        <f aca="false">parametros_manuales!$B$32</f>
        <v>Prueba hidráulica</v>
      </c>
      <c r="B69" s="9" t="n">
        <f aca="false">(parametros_manuales!$D$32*(datos_base!$D$2+datos_base!$D$18+IF(parametros_manuales!$H$32="Todos",datos_base!$D$9+datos_base!$D$23,0))*parametros_manuales!$B$95+parametros_manuales!$E$32*(datos_base!$D$3+datos_base!$D$19+IF(parametros_manuales!$H$32="Todos",datos_base!$D$10+datos_base!$D$24,0))*parametros_manuales!$B$100+parametros_manuales!$F$32*(datos_base!$D$4+datos_base!$D$20+IF(parametros_manuales!$H$32="Todos",datos_base!$D$11+datos_base!$D$25,0))*parametros_manuales!$B$105+parametros_manuales!$G$32*(datos_base!$D$5+datos_base!$D$21+IF(parametros_manuales!$H$32="Todos",datos_base!$D$12+datos_base!$D$26,0))*parametros_manuales!$B$110)*parametros_manuales!$I$32*parametros_manuales!$J$32</f>
        <v>2064.586696776</v>
      </c>
      <c r="C69" s="9" t="n">
        <f aca="false">(parametros_manuales!$D$32*(datos_base!$D$2+datos_base!$D$18+IF(parametros_manuales!$H$32="Todos",datos_base!$D$9+datos_base!$D$23,0))*parametros_manuales!$C$95+parametros_manuales!$E$32*(datos_base!$D$3+datos_base!$D$19+IF(parametros_manuales!$H$32="Todos",datos_base!$D$10+datos_base!$D$24,0))*parametros_manuales!$C$100+parametros_manuales!$F$32*(datos_base!$D$4+datos_base!$D$20+IF(parametros_manuales!$H$32="Todos",datos_base!$D$11+datos_base!$D$25,0))*parametros_manuales!$C$105+parametros_manuales!$G$32*(datos_base!$D$5+datos_base!$D$21+IF(parametros_manuales!$H$32="Todos",datos_base!$D$12+datos_base!$D$26,0))*parametros_manuales!$C$110)*parametros_manuales!$I$32*parametros_manuales!$J$32</f>
        <v>1980.329652492</v>
      </c>
      <c r="D69" s="9" t="n">
        <f aca="false">(parametros_manuales!$D$32*(datos_base!$D$2+datos_base!$D$18+IF(parametros_manuales!$H$32="Todos",datos_base!$D$9+datos_base!$D$23,0))*parametros_manuales!$D$95+parametros_manuales!$E$32*(datos_base!$D$3+datos_base!$D$19+IF(parametros_manuales!$H$32="Todos",datos_base!$D$10+datos_base!$D$24,0))*parametros_manuales!$D$100+parametros_manuales!$F$32*(datos_base!$D$4+datos_base!$D$20+IF(parametros_manuales!$H$32="Todos",datos_base!$D$11+datos_base!$D$25,0))*parametros_manuales!$D$105+parametros_manuales!$G$32*(datos_base!$D$5+datos_base!$D$21+IF(parametros_manuales!$H$32="Todos",datos_base!$D$12+datos_base!$D$26,0))*parametros_manuales!$D$110)*parametros_manuales!$I$32*parametros_manuales!$J$32</f>
        <v>1877.316697054</v>
      </c>
      <c r="E69" s="9" t="n">
        <f aca="false">(parametros_manuales!$D$32*(datos_base!$D$2+datos_base!$D$18+IF(parametros_manuales!$H$32="Todos",datos_base!$D$9+datos_base!$D$23,0))*parametros_manuales!$E$95+parametros_manuales!$E$32*(datos_base!$D$3+datos_base!$D$19+IF(parametros_manuales!$H$32="Todos",datos_base!$D$10+datos_base!$D$24,0))*parametros_manuales!$E$100+parametros_manuales!$F$32*(datos_base!$D$4+datos_base!$D$20+IF(parametros_manuales!$H$32="Todos",datos_base!$D$11+datos_base!$D$25,0))*parametros_manuales!$E$105+parametros_manuales!$G$32*(datos_base!$D$5+datos_base!$D$21+IF(parametros_manuales!$H$32="Todos",datos_base!$D$12+datos_base!$D$26,0))*parametros_manuales!$E$110)*parametros_manuales!$I$32*parametros_manuales!$J$32</f>
        <v>1804.745958264</v>
      </c>
      <c r="F69" s="9" t="n">
        <f aca="false">(parametros_manuales!$D$32*(datos_base!$D$2+datos_base!$D$18+IF(parametros_manuales!$H$32="Todos",datos_base!$D$9+datos_base!$D$23,0))*parametros_manuales!$F$95+parametros_manuales!$E$32*(datos_base!$D$3+datos_base!$D$19+IF(parametros_manuales!$H$32="Todos",datos_base!$D$10+datos_base!$D$24,0))*parametros_manuales!$F$100+parametros_manuales!$F$32*(datos_base!$D$4+datos_base!$D$20+IF(parametros_manuales!$H$32="Todos",datos_base!$D$11+datos_base!$D$25,0))*parametros_manuales!$F$105+parametros_manuales!$G$32*(datos_base!$D$5+datos_base!$D$21+IF(parametros_manuales!$H$32="Todos",datos_base!$D$12+datos_base!$D$26,0))*parametros_manuales!$F$110)*parametros_manuales!$I$32*parametros_manuales!$J$32</f>
        <v>1690.046697332</v>
      </c>
      <c r="G69" s="9" t="n">
        <f aca="false">(parametros_manuales!$D$32*(datos_base!$D$2+datos_base!$D$18+IF(parametros_manuales!$H$32="Todos",datos_base!$D$9+datos_base!$D$23,0))*parametros_manuales!$G$95+parametros_manuales!$E$32*(datos_base!$D$3+datos_base!$D$19+IF(parametros_manuales!$H$32="Todos",datos_base!$D$10+datos_base!$D$24,0))*parametros_manuales!$G$100+parametros_manuales!$F$32*(datos_base!$D$4+datos_base!$D$20+IF(parametros_manuales!$H$32="Todos",datos_base!$D$11+datos_base!$D$25,0))*parametros_manuales!$G$105+parametros_manuales!$G$32*(datos_base!$D$5+datos_base!$D$21+IF(parametros_manuales!$H$32="Todos",datos_base!$D$12+datos_base!$D$26,0))*parametros_manuales!$G$110)*parametros_manuales!$I$32*parametros_manuales!$J$32</f>
        <v>1647.91817519</v>
      </c>
      <c r="H69" s="9" t="n">
        <f aca="false">(parametros_manuales!$D$32*(datos_base!$D$2+datos_base!$D$18+IF(parametros_manuales!$H$32="Todos",datos_base!$D$9+datos_base!$D$23,0))*parametros_manuales!$H$95+parametros_manuales!$E$32*(datos_base!$D$3+datos_base!$D$19+IF(parametros_manuales!$H$32="Todos",datos_base!$D$10+datos_base!$D$24,0))*parametros_manuales!$H$100+parametros_manuales!$F$32*(datos_base!$D$4+datos_base!$D$20+IF(parametros_manuales!$H$32="Todos",datos_base!$D$11+datos_base!$D$25,0))*parametros_manuales!$H$105+parametros_manuales!$G$32*(datos_base!$D$5+datos_base!$D$21+IF(parametros_manuales!$H$32="Todos",datos_base!$D$12+datos_base!$D$26,0))*parametros_manuales!$H$110)*parametros_manuales!$I$32*parametros_manuales!$J$32</f>
        <v>1762.617436122</v>
      </c>
      <c r="I69" s="9" t="n">
        <f aca="false">(parametros_manuales!$D$32*(datos_base!$D$2+datos_base!$D$18+IF(parametros_manuales!$H$32="Todos",datos_base!$D$9+datos_base!$D$23,0))*parametros_manuales!$I$95+parametros_manuales!$E$32*(datos_base!$D$3+datos_base!$D$19+IF(parametros_manuales!$H$32="Todos",datos_base!$D$10+datos_base!$D$24,0))*parametros_manuales!$I$100+parametros_manuales!$F$32*(datos_base!$D$4+datos_base!$D$20+IF(parametros_manuales!$H$32="Todos",datos_base!$D$11+datos_base!$D$25,0))*parametros_manuales!$I$105+parametros_manuales!$G$32*(datos_base!$D$5+datos_base!$D$21+IF(parametros_manuales!$H$32="Todos",datos_base!$D$12+datos_base!$D$26,0))*parametros_manuales!$I$110)*parametros_manuales!$I$32*parametros_manuales!$J$32</f>
        <v>1980.329652492</v>
      </c>
      <c r="J69" s="9" t="n">
        <f aca="false">(parametros_manuales!$D$32*(datos_base!$D$2+datos_base!$D$18+IF(parametros_manuales!$H$32="Todos",datos_base!$D$9+datos_base!$D$23,0))*parametros_manuales!$J$95+parametros_manuales!$E$32*(datos_base!$D$3+datos_base!$D$19+IF(parametros_manuales!$H$32="Todos",datos_base!$D$10+datos_base!$D$24,0))*parametros_manuales!$J$100+parametros_manuales!$F$32*(datos_base!$D$4+datos_base!$D$20+IF(parametros_manuales!$H$32="Todos",datos_base!$D$11+datos_base!$D$25,0))*parametros_manuales!$J$105+parametros_manuales!$G$32*(datos_base!$D$5+datos_base!$D$21+IF(parametros_manuales!$H$32="Todos",datos_base!$D$12+datos_base!$D$26,0))*parametros_manuales!$J$110)*parametros_manuales!$I$32*parametros_manuales!$J$32</f>
        <v>1980.329652492</v>
      </c>
      <c r="K69" s="9" t="n">
        <f aca="false">(parametros_manuales!$D$32*(datos_base!$D$2+datos_base!$D$18+IF(parametros_manuales!$H$32="Todos",datos_base!$D$9+datos_base!$D$23,0))*parametros_manuales!$K$95+parametros_manuales!$E$32*(datos_base!$D$3+datos_base!$D$19+IF(parametros_manuales!$H$32="Todos",datos_base!$D$10+datos_base!$D$24,0))*parametros_manuales!$K$100+parametros_manuales!$F$32*(datos_base!$D$4+datos_base!$D$20+IF(parametros_manuales!$H$32="Todos",datos_base!$D$11+datos_base!$D$25,0))*parametros_manuales!$K$105+parametros_manuales!$G$32*(datos_base!$D$5+datos_base!$D$21+IF(parametros_manuales!$H$32="Todos",datos_base!$D$12+datos_base!$D$26,0))*parametros_manuales!$K$110)*parametros_manuales!$I$32*parametros_manuales!$J$32</f>
        <v>2022.458174634</v>
      </c>
      <c r="L69" s="9" t="n">
        <f aca="false">(parametros_manuales!$D$32*(datos_base!$D$2+datos_base!$D$18+IF(parametros_manuales!$H$32="Todos",datos_base!$D$9+datos_base!$D$23,0))*parametros_manuales!$L$95+parametros_manuales!$E$32*(datos_base!$D$3+datos_base!$D$19+IF(parametros_manuales!$H$32="Todos",datos_base!$D$10+datos_base!$D$24,0))*parametros_manuales!$L$100+parametros_manuales!$F$32*(datos_base!$D$4+datos_base!$D$20+IF(parametros_manuales!$H$32="Todos",datos_base!$D$11+datos_base!$D$25,0))*parametros_manuales!$L$105+parametros_manuales!$G$32*(datos_base!$D$5+datos_base!$D$21+IF(parametros_manuales!$H$32="Todos",datos_base!$D$12+datos_base!$D$26,0))*parametros_manuales!$L$110)*parametros_manuales!$I$32*parametros_manuales!$J$32</f>
        <v>2064.586696776</v>
      </c>
      <c r="M69" s="9" t="n">
        <f aca="false">(parametros_manuales!$D$32*(datos_base!$D$2+datos_base!$D$18+IF(parametros_manuales!$H$32="Todos",datos_base!$D$9+datos_base!$D$23,0))*parametros_manuales!$M$95+parametros_manuales!$E$32*(datos_base!$D$3+datos_base!$D$19+IF(parametros_manuales!$H$32="Todos",datos_base!$D$10+datos_base!$D$24,0))*parametros_manuales!$M$100+parametros_manuales!$F$32*(datos_base!$D$4+datos_base!$D$20+IF(parametros_manuales!$H$32="Todos",datos_base!$D$11+datos_base!$D$25,0))*parametros_manuales!$M$105+parametros_manuales!$G$32*(datos_base!$D$5+datos_base!$D$21+IF(parametros_manuales!$H$32="Todos",datos_base!$D$12+datos_base!$D$26,0))*parametros_manuales!$M$110)*parametros_manuales!$I$32*parametros_manuales!$J$32</f>
        <v>2064.586696776</v>
      </c>
      <c r="N69" s="9" t="n">
        <f aca="false">SUM(B69:M69)</f>
        <v>22939.8521864</v>
      </c>
      <c r="O69" s="9" t="n">
        <f aca="false">MAX(B69:M69)</f>
        <v>2064.586696776</v>
      </c>
      <c r="P69" s="43" t="n">
        <f aca="false">O69/(parametros_manuales!$B$7)</f>
        <v>13.76391131184</v>
      </c>
      <c r="Q69" s="8" t="str">
        <f aca="false">IF(O69=0,"-",INDEX($B$55:$M$55,MATCH(O69,B69:M69,0)))</f>
        <v>Ene</v>
      </c>
    </row>
    <row r="70" customFormat="false" ht="14.25" hidden="false" customHeight="true" outlineLevel="0" collapsed="false">
      <c r="A70" s="8" t="str">
        <f aca="false">parametros_manuales!$B$33</f>
        <v>Secado</v>
      </c>
      <c r="B70" s="9" t="n">
        <f aca="false">(parametros_manuales!$D$33*(datos_base!$D$2+datos_base!$D$18+IF(parametros_manuales!$H$33="Todos",datos_base!$D$9+datos_base!$D$23,0))*parametros_manuales!$B$95+parametros_manuales!$E$33*(datos_base!$D$3+datos_base!$D$19+IF(parametros_manuales!$H$33="Todos",datos_base!$D$10+datos_base!$D$24,0))*parametros_manuales!$B$100+parametros_manuales!$F$33*(datos_base!$D$4+datos_base!$D$20+IF(parametros_manuales!$H$33="Todos",datos_base!$D$11+datos_base!$D$25,0))*parametros_manuales!$B$105+parametros_manuales!$G$33*(datos_base!$D$5+datos_base!$D$21+IF(parametros_manuales!$H$33="Todos",datos_base!$D$12+datos_base!$D$26,0))*parametros_manuales!$B$110)*parametros_manuales!$I$33*parametros_manuales!$J$33</f>
        <v>2064.586696776</v>
      </c>
      <c r="C70" s="9" t="n">
        <f aca="false">(parametros_manuales!$D$33*(datos_base!$D$2+datos_base!$D$18+IF(parametros_manuales!$H$33="Todos",datos_base!$D$9+datos_base!$D$23,0))*parametros_manuales!$C$95+parametros_manuales!$E$33*(datos_base!$D$3+datos_base!$D$19+IF(parametros_manuales!$H$33="Todos",datos_base!$D$10+datos_base!$D$24,0))*parametros_manuales!$C$100+parametros_manuales!$F$33*(datos_base!$D$4+datos_base!$D$20+IF(parametros_manuales!$H$33="Todos",datos_base!$D$11+datos_base!$D$25,0))*parametros_manuales!$C$105+parametros_manuales!$G$33*(datos_base!$D$5+datos_base!$D$21+IF(parametros_manuales!$H$33="Todos",datos_base!$D$12+datos_base!$D$26,0))*parametros_manuales!$C$110)*parametros_manuales!$I$33*parametros_manuales!$J$33</f>
        <v>1980.329652492</v>
      </c>
      <c r="D70" s="9" t="n">
        <f aca="false">(parametros_manuales!$D$33*(datos_base!$D$2+datos_base!$D$18+IF(parametros_manuales!$H$33="Todos",datos_base!$D$9+datos_base!$D$23,0))*parametros_manuales!$D$95+parametros_manuales!$E$33*(datos_base!$D$3+datos_base!$D$19+IF(parametros_manuales!$H$33="Todos",datos_base!$D$10+datos_base!$D$24,0))*parametros_manuales!$D$100+parametros_manuales!$F$33*(datos_base!$D$4+datos_base!$D$20+IF(parametros_manuales!$H$33="Todos",datos_base!$D$11+datos_base!$D$25,0))*parametros_manuales!$D$105+parametros_manuales!$G$33*(datos_base!$D$5+datos_base!$D$21+IF(parametros_manuales!$H$33="Todos",datos_base!$D$12+datos_base!$D$26,0))*parametros_manuales!$D$110)*parametros_manuales!$I$33*parametros_manuales!$J$33</f>
        <v>1877.316697054</v>
      </c>
      <c r="E70" s="9" t="n">
        <f aca="false">(parametros_manuales!$D$33*(datos_base!$D$2+datos_base!$D$18+IF(parametros_manuales!$H$33="Todos",datos_base!$D$9+datos_base!$D$23,0))*parametros_manuales!$E$95+parametros_manuales!$E$33*(datos_base!$D$3+datos_base!$D$19+IF(parametros_manuales!$H$33="Todos",datos_base!$D$10+datos_base!$D$24,0))*parametros_manuales!$E$100+parametros_manuales!$F$33*(datos_base!$D$4+datos_base!$D$20+IF(parametros_manuales!$H$33="Todos",datos_base!$D$11+datos_base!$D$25,0))*parametros_manuales!$E$105+parametros_manuales!$G$33*(datos_base!$D$5+datos_base!$D$21+IF(parametros_manuales!$H$33="Todos",datos_base!$D$12+datos_base!$D$26,0))*parametros_manuales!$E$110)*parametros_manuales!$I$33*parametros_manuales!$J$33</f>
        <v>1804.745958264</v>
      </c>
      <c r="F70" s="9" t="n">
        <f aca="false">(parametros_manuales!$D$33*(datos_base!$D$2+datos_base!$D$18+IF(parametros_manuales!$H$33="Todos",datos_base!$D$9+datos_base!$D$23,0))*parametros_manuales!$F$95+parametros_manuales!$E$33*(datos_base!$D$3+datos_base!$D$19+IF(parametros_manuales!$H$33="Todos",datos_base!$D$10+datos_base!$D$24,0))*parametros_manuales!$F$100+parametros_manuales!$F$33*(datos_base!$D$4+datos_base!$D$20+IF(parametros_manuales!$H$33="Todos",datos_base!$D$11+datos_base!$D$25,0))*parametros_manuales!$F$105+parametros_manuales!$G$33*(datos_base!$D$5+datos_base!$D$21+IF(parametros_manuales!$H$33="Todos",datos_base!$D$12+datos_base!$D$26,0))*parametros_manuales!$F$110)*parametros_manuales!$I$33*parametros_manuales!$J$33</f>
        <v>1690.046697332</v>
      </c>
      <c r="G70" s="9" t="n">
        <f aca="false">(parametros_manuales!$D$33*(datos_base!$D$2+datos_base!$D$18+IF(parametros_manuales!$H$33="Todos",datos_base!$D$9+datos_base!$D$23,0))*parametros_manuales!$G$95+parametros_manuales!$E$33*(datos_base!$D$3+datos_base!$D$19+IF(parametros_manuales!$H$33="Todos",datos_base!$D$10+datos_base!$D$24,0))*parametros_manuales!$G$100+parametros_manuales!$F$33*(datos_base!$D$4+datos_base!$D$20+IF(parametros_manuales!$H$33="Todos",datos_base!$D$11+datos_base!$D$25,0))*parametros_manuales!$G$105+parametros_manuales!$G$33*(datos_base!$D$5+datos_base!$D$21+IF(parametros_manuales!$H$33="Todos",datos_base!$D$12+datos_base!$D$26,0))*parametros_manuales!$G$110)*parametros_manuales!$I$33*parametros_manuales!$J$33</f>
        <v>1647.91817519</v>
      </c>
      <c r="H70" s="9" t="n">
        <f aca="false">(parametros_manuales!$D$33*(datos_base!$D$2+datos_base!$D$18+IF(parametros_manuales!$H$33="Todos",datos_base!$D$9+datos_base!$D$23,0))*parametros_manuales!$H$95+parametros_manuales!$E$33*(datos_base!$D$3+datos_base!$D$19+IF(parametros_manuales!$H$33="Todos",datos_base!$D$10+datos_base!$D$24,0))*parametros_manuales!$H$100+parametros_manuales!$F$33*(datos_base!$D$4+datos_base!$D$20+IF(parametros_manuales!$H$33="Todos",datos_base!$D$11+datos_base!$D$25,0))*parametros_manuales!$H$105+parametros_manuales!$G$33*(datos_base!$D$5+datos_base!$D$21+IF(parametros_manuales!$H$33="Todos",datos_base!$D$12+datos_base!$D$26,0))*parametros_manuales!$H$110)*parametros_manuales!$I$33*parametros_manuales!$J$33</f>
        <v>1762.617436122</v>
      </c>
      <c r="I70" s="9" t="n">
        <f aca="false">(parametros_manuales!$D$33*(datos_base!$D$2+datos_base!$D$18+IF(parametros_manuales!$H$33="Todos",datos_base!$D$9+datos_base!$D$23,0))*parametros_manuales!$I$95+parametros_manuales!$E$33*(datos_base!$D$3+datos_base!$D$19+IF(parametros_manuales!$H$33="Todos",datos_base!$D$10+datos_base!$D$24,0))*parametros_manuales!$I$100+parametros_manuales!$F$33*(datos_base!$D$4+datos_base!$D$20+IF(parametros_manuales!$H$33="Todos",datos_base!$D$11+datos_base!$D$25,0))*parametros_manuales!$I$105+parametros_manuales!$G$33*(datos_base!$D$5+datos_base!$D$21+IF(parametros_manuales!$H$33="Todos",datos_base!$D$12+datos_base!$D$26,0))*parametros_manuales!$I$110)*parametros_manuales!$I$33*parametros_manuales!$J$33</f>
        <v>1980.329652492</v>
      </c>
      <c r="J70" s="9" t="n">
        <f aca="false">(parametros_manuales!$D$33*(datos_base!$D$2+datos_base!$D$18+IF(parametros_manuales!$H$33="Todos",datos_base!$D$9+datos_base!$D$23,0))*parametros_manuales!$J$95+parametros_manuales!$E$33*(datos_base!$D$3+datos_base!$D$19+IF(parametros_manuales!$H$33="Todos",datos_base!$D$10+datos_base!$D$24,0))*parametros_manuales!$J$100+parametros_manuales!$F$33*(datos_base!$D$4+datos_base!$D$20+IF(parametros_manuales!$H$33="Todos",datos_base!$D$11+datos_base!$D$25,0))*parametros_manuales!$J$105+parametros_manuales!$G$33*(datos_base!$D$5+datos_base!$D$21+IF(parametros_manuales!$H$33="Todos",datos_base!$D$12+datos_base!$D$26,0))*parametros_manuales!$J$110)*parametros_manuales!$I$33*parametros_manuales!$J$33</f>
        <v>1980.329652492</v>
      </c>
      <c r="K70" s="9" t="n">
        <f aca="false">(parametros_manuales!$D$33*(datos_base!$D$2+datos_base!$D$18+IF(parametros_manuales!$H$33="Todos",datos_base!$D$9+datos_base!$D$23,0))*parametros_manuales!$K$95+parametros_manuales!$E$33*(datos_base!$D$3+datos_base!$D$19+IF(parametros_manuales!$H$33="Todos",datos_base!$D$10+datos_base!$D$24,0))*parametros_manuales!$K$100+parametros_manuales!$F$33*(datos_base!$D$4+datos_base!$D$20+IF(parametros_manuales!$H$33="Todos",datos_base!$D$11+datos_base!$D$25,0))*parametros_manuales!$K$105+parametros_manuales!$G$33*(datos_base!$D$5+datos_base!$D$21+IF(parametros_manuales!$H$33="Todos",datos_base!$D$12+datos_base!$D$26,0))*parametros_manuales!$K$110)*parametros_manuales!$I$33*parametros_manuales!$J$33</f>
        <v>2022.458174634</v>
      </c>
      <c r="L70" s="9" t="n">
        <f aca="false">(parametros_manuales!$D$33*(datos_base!$D$2+datos_base!$D$18+IF(parametros_manuales!$H$33="Todos",datos_base!$D$9+datos_base!$D$23,0))*parametros_manuales!$L$95+parametros_manuales!$E$33*(datos_base!$D$3+datos_base!$D$19+IF(parametros_manuales!$H$33="Todos",datos_base!$D$10+datos_base!$D$24,0))*parametros_manuales!$L$100+parametros_manuales!$F$33*(datos_base!$D$4+datos_base!$D$20+IF(parametros_manuales!$H$33="Todos",datos_base!$D$11+datos_base!$D$25,0))*parametros_manuales!$L$105+parametros_manuales!$G$33*(datos_base!$D$5+datos_base!$D$21+IF(parametros_manuales!$H$33="Todos",datos_base!$D$12+datos_base!$D$26,0))*parametros_manuales!$L$110)*parametros_manuales!$I$33*parametros_manuales!$J$33</f>
        <v>2064.586696776</v>
      </c>
      <c r="M70" s="9" t="n">
        <f aca="false">(parametros_manuales!$D$33*(datos_base!$D$2+datos_base!$D$18+IF(parametros_manuales!$H$33="Todos",datos_base!$D$9+datos_base!$D$23,0))*parametros_manuales!$M$95+parametros_manuales!$E$33*(datos_base!$D$3+datos_base!$D$19+IF(parametros_manuales!$H$33="Todos",datos_base!$D$10+datos_base!$D$24,0))*parametros_manuales!$M$100+parametros_manuales!$F$33*(datos_base!$D$4+datos_base!$D$20+IF(parametros_manuales!$H$33="Todos",datos_base!$D$11+datos_base!$D$25,0))*parametros_manuales!$M$105+parametros_manuales!$G$33*(datos_base!$D$5+datos_base!$D$21+IF(parametros_manuales!$H$33="Todos",datos_base!$D$12+datos_base!$D$26,0))*parametros_manuales!$M$110)*parametros_manuales!$I$33*parametros_manuales!$J$33</f>
        <v>2064.586696776</v>
      </c>
      <c r="N70" s="9" t="n">
        <f aca="false">SUM(B70:M70)</f>
        <v>22939.8521864</v>
      </c>
      <c r="O70" s="9" t="n">
        <f aca="false">MAX(B70:M70)</f>
        <v>2064.586696776</v>
      </c>
      <c r="P70" s="43" t="n">
        <f aca="false">O70/(parametros_manuales!$B$7)</f>
        <v>13.76391131184</v>
      </c>
      <c r="Q70" s="8" t="str">
        <f aca="false">IF(O70=0,"-",INDEX($B$55:$M$55,MATCH(O70,B70:M70,0)))</f>
        <v>Ene</v>
      </c>
    </row>
    <row r="71" customFormat="false" ht="14.25" hidden="false" customHeight="true" outlineLevel="0" collapsed="false">
      <c r="A71" s="8" t="str">
        <f aca="false">parametros_manuales!$B$34</f>
        <v>Granallado</v>
      </c>
      <c r="B71" s="9" t="n">
        <f aca="false">(parametros_manuales!$D$34*(datos_base!$D$2+datos_base!$D$18+IF(parametros_manuales!$H$34="Todos",datos_base!$D$9+datos_base!$D$23,0))*parametros_manuales!$B$95+parametros_manuales!$E$34*(datos_base!$D$3+datos_base!$D$19+IF(parametros_manuales!$H$34="Todos",datos_base!$D$10+datos_base!$D$24,0))*parametros_manuales!$B$100+parametros_manuales!$F$34*(datos_base!$D$4+datos_base!$D$20+IF(parametros_manuales!$H$34="Todos",datos_base!$D$11+datos_base!$D$25,0))*parametros_manuales!$B$105+parametros_manuales!$G$34*(datos_base!$D$5+datos_base!$D$21+IF(parametros_manuales!$H$34="Todos",datos_base!$D$12+datos_base!$D$26,0))*parametros_manuales!$B$110)*parametros_manuales!$I$34*parametros_manuales!$J$34</f>
        <v>2064.586696776</v>
      </c>
      <c r="C71" s="9" t="n">
        <f aca="false">(parametros_manuales!$D$34*(datos_base!$D$2+datos_base!$D$18+IF(parametros_manuales!$H$34="Todos",datos_base!$D$9+datos_base!$D$23,0))*parametros_manuales!$C$95+parametros_manuales!$E$34*(datos_base!$D$3+datos_base!$D$19+IF(parametros_manuales!$H$34="Todos",datos_base!$D$10+datos_base!$D$24,0))*parametros_manuales!$C$100+parametros_manuales!$F$34*(datos_base!$D$4+datos_base!$D$20+IF(parametros_manuales!$H$34="Todos",datos_base!$D$11+datos_base!$D$25,0))*parametros_manuales!$C$105+parametros_manuales!$G$34*(datos_base!$D$5+datos_base!$D$21+IF(parametros_manuales!$H$34="Todos",datos_base!$D$12+datos_base!$D$26,0))*parametros_manuales!$C$110)*parametros_manuales!$I$34*parametros_manuales!$J$34</f>
        <v>1980.329652492</v>
      </c>
      <c r="D71" s="9" t="n">
        <f aca="false">(parametros_manuales!$D$34*(datos_base!$D$2+datos_base!$D$18+IF(parametros_manuales!$H$34="Todos",datos_base!$D$9+datos_base!$D$23,0))*parametros_manuales!$D$95+parametros_manuales!$E$34*(datos_base!$D$3+datos_base!$D$19+IF(parametros_manuales!$H$34="Todos",datos_base!$D$10+datos_base!$D$24,0))*parametros_manuales!$D$100+parametros_manuales!$F$34*(datos_base!$D$4+datos_base!$D$20+IF(parametros_manuales!$H$34="Todos",datos_base!$D$11+datos_base!$D$25,0))*parametros_manuales!$D$105+parametros_manuales!$G$34*(datos_base!$D$5+datos_base!$D$21+IF(parametros_manuales!$H$34="Todos",datos_base!$D$12+datos_base!$D$26,0))*parametros_manuales!$D$110)*parametros_manuales!$I$34*parametros_manuales!$J$34</f>
        <v>1877.316697054</v>
      </c>
      <c r="E71" s="9" t="n">
        <f aca="false">(parametros_manuales!$D$34*(datos_base!$D$2+datos_base!$D$18+IF(parametros_manuales!$H$34="Todos",datos_base!$D$9+datos_base!$D$23,0))*parametros_manuales!$E$95+parametros_manuales!$E$34*(datos_base!$D$3+datos_base!$D$19+IF(parametros_manuales!$H$34="Todos",datos_base!$D$10+datos_base!$D$24,0))*parametros_manuales!$E$100+parametros_manuales!$F$34*(datos_base!$D$4+datos_base!$D$20+IF(parametros_manuales!$H$34="Todos",datos_base!$D$11+datos_base!$D$25,0))*parametros_manuales!$E$105+parametros_manuales!$G$34*(datos_base!$D$5+datos_base!$D$21+IF(parametros_manuales!$H$34="Todos",datos_base!$D$12+datos_base!$D$26,0))*parametros_manuales!$E$110)*parametros_manuales!$I$34*parametros_manuales!$J$34</f>
        <v>1804.745958264</v>
      </c>
      <c r="F71" s="9" t="n">
        <f aca="false">(parametros_manuales!$D$34*(datos_base!$D$2+datos_base!$D$18+IF(parametros_manuales!$H$34="Todos",datos_base!$D$9+datos_base!$D$23,0))*parametros_manuales!$F$95+parametros_manuales!$E$34*(datos_base!$D$3+datos_base!$D$19+IF(parametros_manuales!$H$34="Todos",datos_base!$D$10+datos_base!$D$24,0))*parametros_manuales!$F$100+parametros_manuales!$F$34*(datos_base!$D$4+datos_base!$D$20+IF(parametros_manuales!$H$34="Todos",datos_base!$D$11+datos_base!$D$25,0))*parametros_manuales!$F$105+parametros_manuales!$G$34*(datos_base!$D$5+datos_base!$D$21+IF(parametros_manuales!$H$34="Todos",datos_base!$D$12+datos_base!$D$26,0))*parametros_manuales!$F$110)*parametros_manuales!$I$34*parametros_manuales!$J$34</f>
        <v>1690.046697332</v>
      </c>
      <c r="G71" s="9" t="n">
        <f aca="false">(parametros_manuales!$D$34*(datos_base!$D$2+datos_base!$D$18+IF(parametros_manuales!$H$34="Todos",datos_base!$D$9+datos_base!$D$23,0))*parametros_manuales!$G$95+parametros_manuales!$E$34*(datos_base!$D$3+datos_base!$D$19+IF(parametros_manuales!$H$34="Todos",datos_base!$D$10+datos_base!$D$24,0))*parametros_manuales!$G$100+parametros_manuales!$F$34*(datos_base!$D$4+datos_base!$D$20+IF(parametros_manuales!$H$34="Todos",datos_base!$D$11+datos_base!$D$25,0))*parametros_manuales!$G$105+parametros_manuales!$G$34*(datos_base!$D$5+datos_base!$D$21+IF(parametros_manuales!$H$34="Todos",datos_base!$D$12+datos_base!$D$26,0))*parametros_manuales!$G$110)*parametros_manuales!$I$34*parametros_manuales!$J$34</f>
        <v>1647.91817519</v>
      </c>
      <c r="H71" s="9" t="n">
        <f aca="false">(parametros_manuales!$D$34*(datos_base!$D$2+datos_base!$D$18+IF(parametros_manuales!$H$34="Todos",datos_base!$D$9+datos_base!$D$23,0))*parametros_manuales!$H$95+parametros_manuales!$E$34*(datos_base!$D$3+datos_base!$D$19+IF(parametros_manuales!$H$34="Todos",datos_base!$D$10+datos_base!$D$24,0))*parametros_manuales!$H$100+parametros_manuales!$F$34*(datos_base!$D$4+datos_base!$D$20+IF(parametros_manuales!$H$34="Todos",datos_base!$D$11+datos_base!$D$25,0))*parametros_manuales!$H$105+parametros_manuales!$G$34*(datos_base!$D$5+datos_base!$D$21+IF(parametros_manuales!$H$34="Todos",datos_base!$D$12+datos_base!$D$26,0))*parametros_manuales!$H$110)*parametros_manuales!$I$34*parametros_manuales!$J$34</f>
        <v>1762.617436122</v>
      </c>
      <c r="I71" s="9" t="n">
        <f aca="false">(parametros_manuales!$D$34*(datos_base!$D$2+datos_base!$D$18+IF(parametros_manuales!$H$34="Todos",datos_base!$D$9+datos_base!$D$23,0))*parametros_manuales!$I$95+parametros_manuales!$E$34*(datos_base!$D$3+datos_base!$D$19+IF(parametros_manuales!$H$34="Todos",datos_base!$D$10+datos_base!$D$24,0))*parametros_manuales!$I$100+parametros_manuales!$F$34*(datos_base!$D$4+datos_base!$D$20+IF(parametros_manuales!$H$34="Todos",datos_base!$D$11+datos_base!$D$25,0))*parametros_manuales!$I$105+parametros_manuales!$G$34*(datos_base!$D$5+datos_base!$D$21+IF(parametros_manuales!$H$34="Todos",datos_base!$D$12+datos_base!$D$26,0))*parametros_manuales!$I$110)*parametros_manuales!$I$34*parametros_manuales!$J$34</f>
        <v>1980.329652492</v>
      </c>
      <c r="J71" s="9" t="n">
        <f aca="false">(parametros_manuales!$D$34*(datos_base!$D$2+datos_base!$D$18+IF(parametros_manuales!$H$34="Todos",datos_base!$D$9+datos_base!$D$23,0))*parametros_manuales!$J$95+parametros_manuales!$E$34*(datos_base!$D$3+datos_base!$D$19+IF(parametros_manuales!$H$34="Todos",datos_base!$D$10+datos_base!$D$24,0))*parametros_manuales!$J$100+parametros_manuales!$F$34*(datos_base!$D$4+datos_base!$D$20+IF(parametros_manuales!$H$34="Todos",datos_base!$D$11+datos_base!$D$25,0))*parametros_manuales!$J$105+parametros_manuales!$G$34*(datos_base!$D$5+datos_base!$D$21+IF(parametros_manuales!$H$34="Todos",datos_base!$D$12+datos_base!$D$26,0))*parametros_manuales!$J$110)*parametros_manuales!$I$34*parametros_manuales!$J$34</f>
        <v>1980.329652492</v>
      </c>
      <c r="K71" s="9" t="n">
        <f aca="false">(parametros_manuales!$D$34*(datos_base!$D$2+datos_base!$D$18+IF(parametros_manuales!$H$34="Todos",datos_base!$D$9+datos_base!$D$23,0))*parametros_manuales!$K$95+parametros_manuales!$E$34*(datos_base!$D$3+datos_base!$D$19+IF(parametros_manuales!$H$34="Todos",datos_base!$D$10+datos_base!$D$24,0))*parametros_manuales!$K$100+parametros_manuales!$F$34*(datos_base!$D$4+datos_base!$D$20+IF(parametros_manuales!$H$34="Todos",datos_base!$D$11+datos_base!$D$25,0))*parametros_manuales!$K$105+parametros_manuales!$G$34*(datos_base!$D$5+datos_base!$D$21+IF(parametros_manuales!$H$34="Todos",datos_base!$D$12+datos_base!$D$26,0))*parametros_manuales!$K$110)*parametros_manuales!$I$34*parametros_manuales!$J$34</f>
        <v>2022.458174634</v>
      </c>
      <c r="L71" s="9" t="n">
        <f aca="false">(parametros_manuales!$D$34*(datos_base!$D$2+datos_base!$D$18+IF(parametros_manuales!$H$34="Todos",datos_base!$D$9+datos_base!$D$23,0))*parametros_manuales!$L$95+parametros_manuales!$E$34*(datos_base!$D$3+datos_base!$D$19+IF(parametros_manuales!$H$34="Todos",datos_base!$D$10+datos_base!$D$24,0))*parametros_manuales!$L$100+parametros_manuales!$F$34*(datos_base!$D$4+datos_base!$D$20+IF(parametros_manuales!$H$34="Todos",datos_base!$D$11+datos_base!$D$25,0))*parametros_manuales!$L$105+parametros_manuales!$G$34*(datos_base!$D$5+datos_base!$D$21+IF(parametros_manuales!$H$34="Todos",datos_base!$D$12+datos_base!$D$26,0))*parametros_manuales!$L$110)*parametros_manuales!$I$34*parametros_manuales!$J$34</f>
        <v>2064.586696776</v>
      </c>
      <c r="M71" s="9" t="n">
        <f aca="false">(parametros_manuales!$D$34*(datos_base!$D$2+datos_base!$D$18+IF(parametros_manuales!$H$34="Todos",datos_base!$D$9+datos_base!$D$23,0))*parametros_manuales!$M$95+parametros_manuales!$E$34*(datos_base!$D$3+datos_base!$D$19+IF(parametros_manuales!$H$34="Todos",datos_base!$D$10+datos_base!$D$24,0))*parametros_manuales!$M$100+parametros_manuales!$F$34*(datos_base!$D$4+datos_base!$D$20+IF(parametros_manuales!$H$34="Todos",datos_base!$D$11+datos_base!$D$25,0))*parametros_manuales!$M$105+parametros_manuales!$G$34*(datos_base!$D$5+datos_base!$D$21+IF(parametros_manuales!$H$34="Todos",datos_base!$D$12+datos_base!$D$26,0))*parametros_manuales!$M$110)*parametros_manuales!$I$34*parametros_manuales!$J$34</f>
        <v>2064.586696776</v>
      </c>
      <c r="N71" s="9" t="n">
        <f aca="false">SUM(B71:M71)</f>
        <v>22939.8521864</v>
      </c>
      <c r="O71" s="9" t="n">
        <f aca="false">MAX(B71:M71)</f>
        <v>2064.586696776</v>
      </c>
      <c r="P71" s="43" t="n">
        <f aca="false">O71/(parametros_manuales!$B$7)</f>
        <v>13.76391131184</v>
      </c>
      <c r="Q71" s="8" t="str">
        <f aca="false">IF(O71=0,"-",INDEX($B$55:$M$55,MATCH(O71,B71:M71,0)))</f>
        <v>Ene</v>
      </c>
    </row>
    <row r="72" customFormat="false" ht="14.25" hidden="false" customHeight="true" outlineLevel="0" collapsed="false">
      <c r="A72" s="8" t="str">
        <f aca="false">parametros_manuales!$B$35</f>
        <v>Detección de defectos</v>
      </c>
      <c r="B72" s="9" t="n">
        <f aca="false">(parametros_manuales!$D$35*(datos_base!$D$2+datos_base!$D$18+IF(parametros_manuales!$H$35="Todos",datos_base!$D$9+datos_base!$D$23,0))*parametros_manuales!$B$95+parametros_manuales!$E$35*(datos_base!$D$3+datos_base!$D$19+IF(parametros_manuales!$H$35="Todos",datos_base!$D$10+datos_base!$D$24,0))*parametros_manuales!$B$100+parametros_manuales!$F$35*(datos_base!$D$4+datos_base!$D$20+IF(parametros_manuales!$H$35="Todos",datos_base!$D$11+datos_base!$D$25,0))*parametros_manuales!$B$105+parametros_manuales!$G$35*(datos_base!$D$5+datos_base!$D$21+IF(parametros_manuales!$H$35="Todos",datos_base!$D$12+datos_base!$D$26,0))*parametros_manuales!$B$110)*parametros_manuales!$I$35*parametros_manuales!$J$35</f>
        <v>2064.586696776</v>
      </c>
      <c r="C72" s="9" t="n">
        <f aca="false">(parametros_manuales!$D$35*(datos_base!$D$2+datos_base!$D$18+IF(parametros_manuales!$H$35="Todos",datos_base!$D$9+datos_base!$D$23,0))*parametros_manuales!$C$95+parametros_manuales!$E$35*(datos_base!$D$3+datos_base!$D$19+IF(parametros_manuales!$H$35="Todos",datos_base!$D$10+datos_base!$D$24,0))*parametros_manuales!$C$100+parametros_manuales!$F$35*(datos_base!$D$4+datos_base!$D$20+IF(parametros_manuales!$H$35="Todos",datos_base!$D$11+datos_base!$D$25,0))*parametros_manuales!$C$105+parametros_manuales!$G$35*(datos_base!$D$5+datos_base!$D$21+IF(parametros_manuales!$H$35="Todos",datos_base!$D$12+datos_base!$D$26,0))*parametros_manuales!$C$110)*parametros_manuales!$I$35*parametros_manuales!$J$35</f>
        <v>1980.329652492</v>
      </c>
      <c r="D72" s="9" t="n">
        <f aca="false">(parametros_manuales!$D$35*(datos_base!$D$2+datos_base!$D$18+IF(parametros_manuales!$H$35="Todos",datos_base!$D$9+datos_base!$D$23,0))*parametros_manuales!$D$95+parametros_manuales!$E$35*(datos_base!$D$3+datos_base!$D$19+IF(parametros_manuales!$H$35="Todos",datos_base!$D$10+datos_base!$D$24,0))*parametros_manuales!$D$100+parametros_manuales!$F$35*(datos_base!$D$4+datos_base!$D$20+IF(parametros_manuales!$H$35="Todos",datos_base!$D$11+datos_base!$D$25,0))*parametros_manuales!$D$105+parametros_manuales!$G$35*(datos_base!$D$5+datos_base!$D$21+IF(parametros_manuales!$H$35="Todos",datos_base!$D$12+datos_base!$D$26,0))*parametros_manuales!$D$110)*parametros_manuales!$I$35*parametros_manuales!$J$35</f>
        <v>1877.316697054</v>
      </c>
      <c r="E72" s="9" t="n">
        <f aca="false">(parametros_manuales!$D$35*(datos_base!$D$2+datos_base!$D$18+IF(parametros_manuales!$H$35="Todos",datos_base!$D$9+datos_base!$D$23,0))*parametros_manuales!$E$95+parametros_manuales!$E$35*(datos_base!$D$3+datos_base!$D$19+IF(parametros_manuales!$H$35="Todos",datos_base!$D$10+datos_base!$D$24,0))*parametros_manuales!$E$100+parametros_manuales!$F$35*(datos_base!$D$4+datos_base!$D$20+IF(parametros_manuales!$H$35="Todos",datos_base!$D$11+datos_base!$D$25,0))*parametros_manuales!$E$105+parametros_manuales!$G$35*(datos_base!$D$5+datos_base!$D$21+IF(parametros_manuales!$H$35="Todos",datos_base!$D$12+datos_base!$D$26,0))*parametros_manuales!$E$110)*parametros_manuales!$I$35*parametros_manuales!$J$35</f>
        <v>1804.745958264</v>
      </c>
      <c r="F72" s="9" t="n">
        <f aca="false">(parametros_manuales!$D$35*(datos_base!$D$2+datos_base!$D$18+IF(parametros_manuales!$H$35="Todos",datos_base!$D$9+datos_base!$D$23,0))*parametros_manuales!$F$95+parametros_manuales!$E$35*(datos_base!$D$3+datos_base!$D$19+IF(parametros_manuales!$H$35="Todos",datos_base!$D$10+datos_base!$D$24,0))*parametros_manuales!$F$100+parametros_manuales!$F$35*(datos_base!$D$4+datos_base!$D$20+IF(parametros_manuales!$H$35="Todos",datos_base!$D$11+datos_base!$D$25,0))*parametros_manuales!$F$105+parametros_manuales!$G$35*(datos_base!$D$5+datos_base!$D$21+IF(parametros_manuales!$H$35="Todos",datos_base!$D$12+datos_base!$D$26,0))*parametros_manuales!$F$110)*parametros_manuales!$I$35*parametros_manuales!$J$35</f>
        <v>1690.046697332</v>
      </c>
      <c r="G72" s="9" t="n">
        <f aca="false">(parametros_manuales!$D$35*(datos_base!$D$2+datos_base!$D$18+IF(parametros_manuales!$H$35="Todos",datos_base!$D$9+datos_base!$D$23,0))*parametros_manuales!$G$95+parametros_manuales!$E$35*(datos_base!$D$3+datos_base!$D$19+IF(parametros_manuales!$H$35="Todos",datos_base!$D$10+datos_base!$D$24,0))*parametros_manuales!$G$100+parametros_manuales!$F$35*(datos_base!$D$4+datos_base!$D$20+IF(parametros_manuales!$H$35="Todos",datos_base!$D$11+datos_base!$D$25,0))*parametros_manuales!$G$105+parametros_manuales!$G$35*(datos_base!$D$5+datos_base!$D$21+IF(parametros_manuales!$H$35="Todos",datos_base!$D$12+datos_base!$D$26,0))*parametros_manuales!$G$110)*parametros_manuales!$I$35*parametros_manuales!$J$35</f>
        <v>1647.91817519</v>
      </c>
      <c r="H72" s="9" t="n">
        <f aca="false">(parametros_manuales!$D$35*(datos_base!$D$2+datos_base!$D$18+IF(parametros_manuales!$H$35="Todos",datos_base!$D$9+datos_base!$D$23,0))*parametros_manuales!$H$95+parametros_manuales!$E$35*(datos_base!$D$3+datos_base!$D$19+IF(parametros_manuales!$H$35="Todos",datos_base!$D$10+datos_base!$D$24,0))*parametros_manuales!$H$100+parametros_manuales!$F$35*(datos_base!$D$4+datos_base!$D$20+IF(parametros_manuales!$H$35="Todos",datos_base!$D$11+datos_base!$D$25,0))*parametros_manuales!$H$105+parametros_manuales!$G$35*(datos_base!$D$5+datos_base!$D$21+IF(parametros_manuales!$H$35="Todos",datos_base!$D$12+datos_base!$D$26,0))*parametros_manuales!$H$110)*parametros_manuales!$I$35*parametros_manuales!$J$35</f>
        <v>1762.617436122</v>
      </c>
      <c r="I72" s="9" t="n">
        <f aca="false">(parametros_manuales!$D$35*(datos_base!$D$2+datos_base!$D$18+IF(parametros_manuales!$H$35="Todos",datos_base!$D$9+datos_base!$D$23,0))*parametros_manuales!$I$95+parametros_manuales!$E$35*(datos_base!$D$3+datos_base!$D$19+IF(parametros_manuales!$H$35="Todos",datos_base!$D$10+datos_base!$D$24,0))*parametros_manuales!$I$100+parametros_manuales!$F$35*(datos_base!$D$4+datos_base!$D$20+IF(parametros_manuales!$H$35="Todos",datos_base!$D$11+datos_base!$D$25,0))*parametros_manuales!$I$105+parametros_manuales!$G$35*(datos_base!$D$5+datos_base!$D$21+IF(parametros_manuales!$H$35="Todos",datos_base!$D$12+datos_base!$D$26,0))*parametros_manuales!$I$110)*parametros_manuales!$I$35*parametros_manuales!$J$35</f>
        <v>1980.329652492</v>
      </c>
      <c r="J72" s="9" t="n">
        <f aca="false">(parametros_manuales!$D$35*(datos_base!$D$2+datos_base!$D$18+IF(parametros_manuales!$H$35="Todos",datos_base!$D$9+datos_base!$D$23,0))*parametros_manuales!$J$95+parametros_manuales!$E$35*(datos_base!$D$3+datos_base!$D$19+IF(parametros_manuales!$H$35="Todos",datos_base!$D$10+datos_base!$D$24,0))*parametros_manuales!$J$100+parametros_manuales!$F$35*(datos_base!$D$4+datos_base!$D$20+IF(parametros_manuales!$H$35="Todos",datos_base!$D$11+datos_base!$D$25,0))*parametros_manuales!$J$105+parametros_manuales!$G$35*(datos_base!$D$5+datos_base!$D$21+IF(parametros_manuales!$H$35="Todos",datos_base!$D$12+datos_base!$D$26,0))*parametros_manuales!$J$110)*parametros_manuales!$I$35*parametros_manuales!$J$35</f>
        <v>1980.329652492</v>
      </c>
      <c r="K72" s="9" t="n">
        <f aca="false">(parametros_manuales!$D$35*(datos_base!$D$2+datos_base!$D$18+IF(parametros_manuales!$H$35="Todos",datos_base!$D$9+datos_base!$D$23,0))*parametros_manuales!$K$95+parametros_manuales!$E$35*(datos_base!$D$3+datos_base!$D$19+IF(parametros_manuales!$H$35="Todos",datos_base!$D$10+datos_base!$D$24,0))*parametros_manuales!$K$100+parametros_manuales!$F$35*(datos_base!$D$4+datos_base!$D$20+IF(parametros_manuales!$H$35="Todos",datos_base!$D$11+datos_base!$D$25,0))*parametros_manuales!$K$105+parametros_manuales!$G$35*(datos_base!$D$5+datos_base!$D$21+IF(parametros_manuales!$H$35="Todos",datos_base!$D$12+datos_base!$D$26,0))*parametros_manuales!$K$110)*parametros_manuales!$I$35*parametros_manuales!$J$35</f>
        <v>2022.458174634</v>
      </c>
      <c r="L72" s="9" t="n">
        <f aca="false">(parametros_manuales!$D$35*(datos_base!$D$2+datos_base!$D$18+IF(parametros_manuales!$H$35="Todos",datos_base!$D$9+datos_base!$D$23,0))*parametros_manuales!$L$95+parametros_manuales!$E$35*(datos_base!$D$3+datos_base!$D$19+IF(parametros_manuales!$H$35="Todos",datos_base!$D$10+datos_base!$D$24,0))*parametros_manuales!$L$100+parametros_manuales!$F$35*(datos_base!$D$4+datos_base!$D$20+IF(parametros_manuales!$H$35="Todos",datos_base!$D$11+datos_base!$D$25,0))*parametros_manuales!$L$105+parametros_manuales!$G$35*(datos_base!$D$5+datos_base!$D$21+IF(parametros_manuales!$H$35="Todos",datos_base!$D$12+datos_base!$D$26,0))*parametros_manuales!$L$110)*parametros_manuales!$I$35*parametros_manuales!$J$35</f>
        <v>2064.586696776</v>
      </c>
      <c r="M72" s="9" t="n">
        <f aca="false">(parametros_manuales!$D$35*(datos_base!$D$2+datos_base!$D$18+IF(parametros_manuales!$H$35="Todos",datos_base!$D$9+datos_base!$D$23,0))*parametros_manuales!$M$95+parametros_manuales!$E$35*(datos_base!$D$3+datos_base!$D$19+IF(parametros_manuales!$H$35="Todos",datos_base!$D$10+datos_base!$D$24,0))*parametros_manuales!$M$100+parametros_manuales!$F$35*(datos_base!$D$4+datos_base!$D$20+IF(parametros_manuales!$H$35="Todos",datos_base!$D$11+datos_base!$D$25,0))*parametros_manuales!$M$105+parametros_manuales!$G$35*(datos_base!$D$5+datos_base!$D$21+IF(parametros_manuales!$H$35="Todos",datos_base!$D$12+datos_base!$D$26,0))*parametros_manuales!$M$110)*parametros_manuales!$I$35*parametros_manuales!$J$35</f>
        <v>2064.586696776</v>
      </c>
      <c r="N72" s="9" t="n">
        <f aca="false">SUM(B72:M72)</f>
        <v>22939.8521864</v>
      </c>
      <c r="O72" s="9" t="n">
        <f aca="false">MAX(B72:M72)</f>
        <v>2064.586696776</v>
      </c>
      <c r="P72" s="43" t="n">
        <f aca="false">O72/(parametros_manuales!$B$7)</f>
        <v>13.76391131184</v>
      </c>
      <c r="Q72" s="8" t="str">
        <f aca="false">IF(O72=0,"-",INDEX($B$55:$M$55,MATCH(O72,B72:M72,0)))</f>
        <v>Ene</v>
      </c>
    </row>
    <row r="73" customFormat="false" ht="14.25" hidden="false" customHeight="true" outlineLevel="0" collapsed="false">
      <c r="A73" s="8" t="str">
        <f aca="false">parametros_manuales!$B$36</f>
        <v>Corrección de defectos</v>
      </c>
      <c r="B73" s="9" t="n">
        <f aca="false">(parametros_manuales!$D$36*(datos_base!$D$2+datos_base!$D$18+IF(parametros_manuales!$H$36="Todos",datos_base!$D$9+datos_base!$D$23,0))*parametros_manuales!$B$95+parametros_manuales!$E$36*(datos_base!$D$3+datos_base!$D$19+IF(parametros_manuales!$H$36="Todos",datos_base!$D$10+datos_base!$D$24,0))*parametros_manuales!$B$100+parametros_manuales!$F$36*(datos_base!$D$4+datos_base!$D$20+IF(parametros_manuales!$H$36="Todos",datos_base!$D$11+datos_base!$D$25,0))*parametros_manuales!$B$105+parametros_manuales!$G$36*(datos_base!$D$5+datos_base!$D$21+IF(parametros_manuales!$H$36="Todos",datos_base!$D$12+datos_base!$D$26,0))*parametros_manuales!$B$110)*parametros_manuales!$I$36*parametros_manuales!$J$36</f>
        <v>103.2293348388</v>
      </c>
      <c r="C73" s="9" t="n">
        <f aca="false">(parametros_manuales!$D$36*(datos_base!$D$2+datos_base!$D$18+IF(parametros_manuales!$H$36="Todos",datos_base!$D$9+datos_base!$D$23,0))*parametros_manuales!$C$95+parametros_manuales!$E$36*(datos_base!$D$3+datos_base!$D$19+IF(parametros_manuales!$H$36="Todos",datos_base!$D$10+datos_base!$D$24,0))*parametros_manuales!$C$100+parametros_manuales!$F$36*(datos_base!$D$4+datos_base!$D$20+IF(parametros_manuales!$H$36="Todos",datos_base!$D$11+datos_base!$D$25,0))*parametros_manuales!$C$105+parametros_manuales!$G$36*(datos_base!$D$5+datos_base!$D$21+IF(parametros_manuales!$H$36="Todos",datos_base!$D$12+datos_base!$D$26,0))*parametros_manuales!$C$110)*parametros_manuales!$I$36*parametros_manuales!$J$36</f>
        <v>99.0164826246</v>
      </c>
      <c r="D73" s="9" t="n">
        <f aca="false">(parametros_manuales!$D$36*(datos_base!$D$2+datos_base!$D$18+IF(parametros_manuales!$H$36="Todos",datos_base!$D$9+datos_base!$D$23,0))*parametros_manuales!$D$95+parametros_manuales!$E$36*(datos_base!$D$3+datos_base!$D$19+IF(parametros_manuales!$H$36="Todos",datos_base!$D$10+datos_base!$D$24,0))*parametros_manuales!$D$100+parametros_manuales!$F$36*(datos_base!$D$4+datos_base!$D$20+IF(parametros_manuales!$H$36="Todos",datos_base!$D$11+datos_base!$D$25,0))*parametros_manuales!$D$105+parametros_manuales!$G$36*(datos_base!$D$5+datos_base!$D$21+IF(parametros_manuales!$H$36="Todos",datos_base!$D$12+datos_base!$D$26,0))*parametros_manuales!$D$110)*parametros_manuales!$I$36*parametros_manuales!$J$36</f>
        <v>93.8658348527</v>
      </c>
      <c r="E73" s="9" t="n">
        <f aca="false">(parametros_manuales!$D$36*(datos_base!$D$2+datos_base!$D$18+IF(parametros_manuales!$H$36="Todos",datos_base!$D$9+datos_base!$D$23,0))*parametros_manuales!$E$95+parametros_manuales!$E$36*(datos_base!$D$3+datos_base!$D$19+IF(parametros_manuales!$H$36="Todos",datos_base!$D$10+datos_base!$D$24,0))*parametros_manuales!$E$100+parametros_manuales!$F$36*(datos_base!$D$4+datos_base!$D$20+IF(parametros_manuales!$H$36="Todos",datos_base!$D$11+datos_base!$D$25,0))*parametros_manuales!$E$105+parametros_manuales!$G$36*(datos_base!$D$5+datos_base!$D$21+IF(parametros_manuales!$H$36="Todos",datos_base!$D$12+datos_base!$D$26,0))*parametros_manuales!$E$110)*parametros_manuales!$I$36*parametros_manuales!$J$36</f>
        <v>90.2372979132</v>
      </c>
      <c r="F73" s="9" t="n">
        <f aca="false">(parametros_manuales!$D$36*(datos_base!$D$2+datos_base!$D$18+IF(parametros_manuales!$H$36="Todos",datos_base!$D$9+datos_base!$D$23,0))*parametros_manuales!$F$95+parametros_manuales!$E$36*(datos_base!$D$3+datos_base!$D$19+IF(parametros_manuales!$H$36="Todos",datos_base!$D$10+datos_base!$D$24,0))*parametros_manuales!$F$100+parametros_manuales!$F$36*(datos_base!$D$4+datos_base!$D$20+IF(parametros_manuales!$H$36="Todos",datos_base!$D$11+datos_base!$D$25,0))*parametros_manuales!$F$105+parametros_manuales!$G$36*(datos_base!$D$5+datos_base!$D$21+IF(parametros_manuales!$H$36="Todos",datos_base!$D$12+datos_base!$D$26,0))*parametros_manuales!$F$110)*parametros_manuales!$I$36*parametros_manuales!$J$36</f>
        <v>84.5023348666</v>
      </c>
      <c r="G73" s="9" t="n">
        <f aca="false">(parametros_manuales!$D$36*(datos_base!$D$2+datos_base!$D$18+IF(parametros_manuales!$H$36="Todos",datos_base!$D$9+datos_base!$D$23,0))*parametros_manuales!$G$95+parametros_manuales!$E$36*(datos_base!$D$3+datos_base!$D$19+IF(parametros_manuales!$H$36="Todos",datos_base!$D$10+datos_base!$D$24,0))*parametros_manuales!$G$100+parametros_manuales!$F$36*(datos_base!$D$4+datos_base!$D$20+IF(parametros_manuales!$H$36="Todos",datos_base!$D$11+datos_base!$D$25,0))*parametros_manuales!$G$105+parametros_manuales!$G$36*(datos_base!$D$5+datos_base!$D$21+IF(parametros_manuales!$H$36="Todos",datos_base!$D$12+datos_base!$D$26,0))*parametros_manuales!$G$110)*parametros_manuales!$I$36*parametros_manuales!$J$36</f>
        <v>82.3959087595</v>
      </c>
      <c r="H73" s="9" t="n">
        <f aca="false">(parametros_manuales!$D$36*(datos_base!$D$2+datos_base!$D$18+IF(parametros_manuales!$H$36="Todos",datos_base!$D$9+datos_base!$D$23,0))*parametros_manuales!$H$95+parametros_manuales!$E$36*(datos_base!$D$3+datos_base!$D$19+IF(parametros_manuales!$H$36="Todos",datos_base!$D$10+datos_base!$D$24,0))*parametros_manuales!$H$100+parametros_manuales!$F$36*(datos_base!$D$4+datos_base!$D$20+IF(parametros_manuales!$H$36="Todos",datos_base!$D$11+datos_base!$D$25,0))*parametros_manuales!$H$105+parametros_manuales!$G$36*(datos_base!$D$5+datos_base!$D$21+IF(parametros_manuales!$H$36="Todos",datos_base!$D$12+datos_base!$D$26,0))*parametros_manuales!$H$110)*parametros_manuales!$I$36*parametros_manuales!$J$36</f>
        <v>88.1308718061</v>
      </c>
      <c r="I73" s="9" t="n">
        <f aca="false">(parametros_manuales!$D$36*(datos_base!$D$2+datos_base!$D$18+IF(parametros_manuales!$H$36="Todos",datos_base!$D$9+datos_base!$D$23,0))*parametros_manuales!$I$95+parametros_manuales!$E$36*(datos_base!$D$3+datos_base!$D$19+IF(parametros_manuales!$H$36="Todos",datos_base!$D$10+datos_base!$D$24,0))*parametros_manuales!$I$100+parametros_manuales!$F$36*(datos_base!$D$4+datos_base!$D$20+IF(parametros_manuales!$H$36="Todos",datos_base!$D$11+datos_base!$D$25,0))*parametros_manuales!$I$105+parametros_manuales!$G$36*(datos_base!$D$5+datos_base!$D$21+IF(parametros_manuales!$H$36="Todos",datos_base!$D$12+datos_base!$D$26,0))*parametros_manuales!$I$110)*parametros_manuales!$I$36*parametros_manuales!$J$36</f>
        <v>99.0164826246</v>
      </c>
      <c r="J73" s="9" t="n">
        <f aca="false">(parametros_manuales!$D$36*(datos_base!$D$2+datos_base!$D$18+IF(parametros_manuales!$H$36="Todos",datos_base!$D$9+datos_base!$D$23,0))*parametros_manuales!$J$95+parametros_manuales!$E$36*(datos_base!$D$3+datos_base!$D$19+IF(parametros_manuales!$H$36="Todos",datos_base!$D$10+datos_base!$D$24,0))*parametros_manuales!$J$100+parametros_manuales!$F$36*(datos_base!$D$4+datos_base!$D$20+IF(parametros_manuales!$H$36="Todos",datos_base!$D$11+datos_base!$D$25,0))*parametros_manuales!$J$105+parametros_manuales!$G$36*(datos_base!$D$5+datos_base!$D$21+IF(parametros_manuales!$H$36="Todos",datos_base!$D$12+datos_base!$D$26,0))*parametros_manuales!$J$110)*parametros_manuales!$I$36*parametros_manuales!$J$36</f>
        <v>99.0164826246</v>
      </c>
      <c r="K73" s="9" t="n">
        <f aca="false">(parametros_manuales!$D$36*(datos_base!$D$2+datos_base!$D$18+IF(parametros_manuales!$H$36="Todos",datos_base!$D$9+datos_base!$D$23,0))*parametros_manuales!$K$95+parametros_manuales!$E$36*(datos_base!$D$3+datos_base!$D$19+IF(parametros_manuales!$H$36="Todos",datos_base!$D$10+datos_base!$D$24,0))*parametros_manuales!$K$100+parametros_manuales!$F$36*(datos_base!$D$4+datos_base!$D$20+IF(parametros_manuales!$H$36="Todos",datos_base!$D$11+datos_base!$D$25,0))*parametros_manuales!$K$105+parametros_manuales!$G$36*(datos_base!$D$5+datos_base!$D$21+IF(parametros_manuales!$H$36="Todos",datos_base!$D$12+datos_base!$D$26,0))*parametros_manuales!$K$110)*parametros_manuales!$I$36*parametros_manuales!$J$36</f>
        <v>101.1229087317</v>
      </c>
      <c r="L73" s="9" t="n">
        <f aca="false">(parametros_manuales!$D$36*(datos_base!$D$2+datos_base!$D$18+IF(parametros_manuales!$H$36="Todos",datos_base!$D$9+datos_base!$D$23,0))*parametros_manuales!$L$95+parametros_manuales!$E$36*(datos_base!$D$3+datos_base!$D$19+IF(parametros_manuales!$H$36="Todos",datos_base!$D$10+datos_base!$D$24,0))*parametros_manuales!$L$100+parametros_manuales!$F$36*(datos_base!$D$4+datos_base!$D$20+IF(parametros_manuales!$H$36="Todos",datos_base!$D$11+datos_base!$D$25,0))*parametros_manuales!$L$105+parametros_manuales!$G$36*(datos_base!$D$5+datos_base!$D$21+IF(parametros_manuales!$H$36="Todos",datos_base!$D$12+datos_base!$D$26,0))*parametros_manuales!$L$110)*parametros_manuales!$I$36*parametros_manuales!$J$36</f>
        <v>103.2293348388</v>
      </c>
      <c r="M73" s="9" t="n">
        <f aca="false">(parametros_manuales!$D$36*(datos_base!$D$2+datos_base!$D$18+IF(parametros_manuales!$H$36="Todos",datos_base!$D$9+datos_base!$D$23,0))*parametros_manuales!$M$95+parametros_manuales!$E$36*(datos_base!$D$3+datos_base!$D$19+IF(parametros_manuales!$H$36="Todos",datos_base!$D$10+datos_base!$D$24,0))*parametros_manuales!$M$100+parametros_manuales!$F$36*(datos_base!$D$4+datos_base!$D$20+IF(parametros_manuales!$H$36="Todos",datos_base!$D$11+datos_base!$D$25,0))*parametros_manuales!$M$105+parametros_manuales!$G$36*(datos_base!$D$5+datos_base!$D$21+IF(parametros_manuales!$H$36="Todos",datos_base!$D$12+datos_base!$D$26,0))*parametros_manuales!$M$110)*parametros_manuales!$I$36*parametros_manuales!$J$36</f>
        <v>103.2293348388</v>
      </c>
      <c r="N73" s="9" t="n">
        <f aca="false">SUM(B73:M73)</f>
        <v>1146.99260932</v>
      </c>
      <c r="O73" s="9" t="n">
        <f aca="false">MAX(B73:M73)</f>
        <v>103.2293348388</v>
      </c>
      <c r="P73" s="43" t="n">
        <f aca="false">O73/(parametros_manuales!$B$7)</f>
        <v>0.688195565592</v>
      </c>
      <c r="Q73" s="8" t="str">
        <f aca="false">IF(O73=0,"-",INDEX($B$55:$M$55,MATCH(O73,B73:M73,0)))</f>
        <v>Ene</v>
      </c>
    </row>
    <row r="74" customFormat="false" ht="14.25" hidden="false" customHeight="true" outlineLevel="0" collapsed="false">
      <c r="A74" s="8" t="str">
        <f aca="false">parametros_manuales!$B$37</f>
        <v>Pintura en polvo + horno</v>
      </c>
      <c r="B74" s="9" t="n">
        <f aca="false">(parametros_manuales!$D$37*(datos_base!$D$2+datos_base!$D$18+IF(parametros_manuales!$H$37="Todos",datos_base!$D$9+datos_base!$D$23,0))*parametros_manuales!$B$95+parametros_manuales!$E$37*(datos_base!$D$3+datos_base!$D$19+IF(parametros_manuales!$H$37="Todos",datos_base!$D$10+datos_base!$D$24,0))*parametros_manuales!$B$100+parametros_manuales!$F$37*(datos_base!$D$4+datos_base!$D$20+IF(parametros_manuales!$H$37="Todos",datos_base!$D$11+datos_base!$D$25,0))*parametros_manuales!$B$105+parametros_manuales!$G$37*(datos_base!$D$5+datos_base!$D$21+IF(parametros_manuales!$H$37="Todos",datos_base!$D$12+datos_base!$D$26,0))*parametros_manuales!$B$110)*parametros_manuales!$I$37*parametros_manuales!$J$37</f>
        <v>2064.586696776</v>
      </c>
      <c r="C74" s="9" t="n">
        <f aca="false">(parametros_manuales!$D$37*(datos_base!$D$2+datos_base!$D$18+IF(parametros_manuales!$H$37="Todos",datos_base!$D$9+datos_base!$D$23,0))*parametros_manuales!$C$95+parametros_manuales!$E$37*(datos_base!$D$3+datos_base!$D$19+IF(parametros_manuales!$H$37="Todos",datos_base!$D$10+datos_base!$D$24,0))*parametros_manuales!$C$100+parametros_manuales!$F$37*(datos_base!$D$4+datos_base!$D$20+IF(parametros_manuales!$H$37="Todos",datos_base!$D$11+datos_base!$D$25,0))*parametros_manuales!$C$105+parametros_manuales!$G$37*(datos_base!$D$5+datos_base!$D$21+IF(parametros_manuales!$H$37="Todos",datos_base!$D$12+datos_base!$D$26,0))*parametros_manuales!$C$110)*parametros_manuales!$I$37*parametros_manuales!$J$37</f>
        <v>1980.329652492</v>
      </c>
      <c r="D74" s="9" t="n">
        <f aca="false">(parametros_manuales!$D$37*(datos_base!$D$2+datos_base!$D$18+IF(parametros_manuales!$H$37="Todos",datos_base!$D$9+datos_base!$D$23,0))*parametros_manuales!$D$95+parametros_manuales!$E$37*(datos_base!$D$3+datos_base!$D$19+IF(parametros_manuales!$H$37="Todos",datos_base!$D$10+datos_base!$D$24,0))*parametros_manuales!$D$100+parametros_manuales!$F$37*(datos_base!$D$4+datos_base!$D$20+IF(parametros_manuales!$H$37="Todos",datos_base!$D$11+datos_base!$D$25,0))*parametros_manuales!$D$105+parametros_manuales!$G$37*(datos_base!$D$5+datos_base!$D$21+IF(parametros_manuales!$H$37="Todos",datos_base!$D$12+datos_base!$D$26,0))*parametros_manuales!$D$110)*parametros_manuales!$I$37*parametros_manuales!$J$37</f>
        <v>1877.316697054</v>
      </c>
      <c r="E74" s="9" t="n">
        <f aca="false">(parametros_manuales!$D$37*(datos_base!$D$2+datos_base!$D$18+IF(parametros_manuales!$H$37="Todos",datos_base!$D$9+datos_base!$D$23,0))*parametros_manuales!$E$95+parametros_manuales!$E$37*(datos_base!$D$3+datos_base!$D$19+IF(parametros_manuales!$H$37="Todos",datos_base!$D$10+datos_base!$D$24,0))*parametros_manuales!$E$100+parametros_manuales!$F$37*(datos_base!$D$4+datos_base!$D$20+IF(parametros_manuales!$H$37="Todos",datos_base!$D$11+datos_base!$D$25,0))*parametros_manuales!$E$105+parametros_manuales!$G$37*(datos_base!$D$5+datos_base!$D$21+IF(parametros_manuales!$H$37="Todos",datos_base!$D$12+datos_base!$D$26,0))*parametros_manuales!$E$110)*parametros_manuales!$I$37*parametros_manuales!$J$37</f>
        <v>1804.745958264</v>
      </c>
      <c r="F74" s="9" t="n">
        <f aca="false">(parametros_manuales!$D$37*(datos_base!$D$2+datos_base!$D$18+IF(parametros_manuales!$H$37="Todos",datos_base!$D$9+datos_base!$D$23,0))*parametros_manuales!$F$95+parametros_manuales!$E$37*(datos_base!$D$3+datos_base!$D$19+IF(parametros_manuales!$H$37="Todos",datos_base!$D$10+datos_base!$D$24,0))*parametros_manuales!$F$100+parametros_manuales!$F$37*(datos_base!$D$4+datos_base!$D$20+IF(parametros_manuales!$H$37="Todos",datos_base!$D$11+datos_base!$D$25,0))*parametros_manuales!$F$105+parametros_manuales!$G$37*(datos_base!$D$5+datos_base!$D$21+IF(parametros_manuales!$H$37="Todos",datos_base!$D$12+datos_base!$D$26,0))*parametros_manuales!$F$110)*parametros_manuales!$I$37*parametros_manuales!$J$37</f>
        <v>1690.046697332</v>
      </c>
      <c r="G74" s="9" t="n">
        <f aca="false">(parametros_manuales!$D$37*(datos_base!$D$2+datos_base!$D$18+IF(parametros_manuales!$H$37="Todos",datos_base!$D$9+datos_base!$D$23,0))*parametros_manuales!$G$95+parametros_manuales!$E$37*(datos_base!$D$3+datos_base!$D$19+IF(parametros_manuales!$H$37="Todos",datos_base!$D$10+datos_base!$D$24,0))*parametros_manuales!$G$100+parametros_manuales!$F$37*(datos_base!$D$4+datos_base!$D$20+IF(parametros_manuales!$H$37="Todos",datos_base!$D$11+datos_base!$D$25,0))*parametros_manuales!$G$105+parametros_manuales!$G$37*(datos_base!$D$5+datos_base!$D$21+IF(parametros_manuales!$H$37="Todos",datos_base!$D$12+datos_base!$D$26,0))*parametros_manuales!$G$110)*parametros_manuales!$I$37*parametros_manuales!$J$37</f>
        <v>1647.91817519</v>
      </c>
      <c r="H74" s="9" t="n">
        <f aca="false">(parametros_manuales!$D$37*(datos_base!$D$2+datos_base!$D$18+IF(parametros_manuales!$H$37="Todos",datos_base!$D$9+datos_base!$D$23,0))*parametros_manuales!$H$95+parametros_manuales!$E$37*(datos_base!$D$3+datos_base!$D$19+IF(parametros_manuales!$H$37="Todos",datos_base!$D$10+datos_base!$D$24,0))*parametros_manuales!$H$100+parametros_manuales!$F$37*(datos_base!$D$4+datos_base!$D$20+IF(parametros_manuales!$H$37="Todos",datos_base!$D$11+datos_base!$D$25,0))*parametros_manuales!$H$105+parametros_manuales!$G$37*(datos_base!$D$5+datos_base!$D$21+IF(parametros_manuales!$H$37="Todos",datos_base!$D$12+datos_base!$D$26,0))*parametros_manuales!$H$110)*parametros_manuales!$I$37*parametros_manuales!$J$37</f>
        <v>1762.617436122</v>
      </c>
      <c r="I74" s="9" t="n">
        <f aca="false">(parametros_manuales!$D$37*(datos_base!$D$2+datos_base!$D$18+IF(parametros_manuales!$H$37="Todos",datos_base!$D$9+datos_base!$D$23,0))*parametros_manuales!$I$95+parametros_manuales!$E$37*(datos_base!$D$3+datos_base!$D$19+IF(parametros_manuales!$H$37="Todos",datos_base!$D$10+datos_base!$D$24,0))*parametros_manuales!$I$100+parametros_manuales!$F$37*(datos_base!$D$4+datos_base!$D$20+IF(parametros_manuales!$H$37="Todos",datos_base!$D$11+datos_base!$D$25,0))*parametros_manuales!$I$105+parametros_manuales!$G$37*(datos_base!$D$5+datos_base!$D$21+IF(parametros_manuales!$H$37="Todos",datos_base!$D$12+datos_base!$D$26,0))*parametros_manuales!$I$110)*parametros_manuales!$I$37*parametros_manuales!$J$37</f>
        <v>1980.329652492</v>
      </c>
      <c r="J74" s="9" t="n">
        <f aca="false">(parametros_manuales!$D$37*(datos_base!$D$2+datos_base!$D$18+IF(parametros_manuales!$H$37="Todos",datos_base!$D$9+datos_base!$D$23,0))*parametros_manuales!$J$95+parametros_manuales!$E$37*(datos_base!$D$3+datos_base!$D$19+IF(parametros_manuales!$H$37="Todos",datos_base!$D$10+datos_base!$D$24,0))*parametros_manuales!$J$100+parametros_manuales!$F$37*(datos_base!$D$4+datos_base!$D$20+IF(parametros_manuales!$H$37="Todos",datos_base!$D$11+datos_base!$D$25,0))*parametros_manuales!$J$105+parametros_manuales!$G$37*(datos_base!$D$5+datos_base!$D$21+IF(parametros_manuales!$H$37="Todos",datos_base!$D$12+datos_base!$D$26,0))*parametros_manuales!$J$110)*parametros_manuales!$I$37*parametros_manuales!$J$37</f>
        <v>1980.329652492</v>
      </c>
      <c r="K74" s="9" t="n">
        <f aca="false">(parametros_manuales!$D$37*(datos_base!$D$2+datos_base!$D$18+IF(parametros_manuales!$H$37="Todos",datos_base!$D$9+datos_base!$D$23,0))*parametros_manuales!$K$95+parametros_manuales!$E$37*(datos_base!$D$3+datos_base!$D$19+IF(parametros_manuales!$H$37="Todos",datos_base!$D$10+datos_base!$D$24,0))*parametros_manuales!$K$100+parametros_manuales!$F$37*(datos_base!$D$4+datos_base!$D$20+IF(parametros_manuales!$H$37="Todos",datos_base!$D$11+datos_base!$D$25,0))*parametros_manuales!$K$105+parametros_manuales!$G$37*(datos_base!$D$5+datos_base!$D$21+IF(parametros_manuales!$H$37="Todos",datos_base!$D$12+datos_base!$D$26,0))*parametros_manuales!$K$110)*parametros_manuales!$I$37*parametros_manuales!$J$37</f>
        <v>2022.458174634</v>
      </c>
      <c r="L74" s="9" t="n">
        <f aca="false">(parametros_manuales!$D$37*(datos_base!$D$2+datos_base!$D$18+IF(parametros_manuales!$H$37="Todos",datos_base!$D$9+datos_base!$D$23,0))*parametros_manuales!$L$95+parametros_manuales!$E$37*(datos_base!$D$3+datos_base!$D$19+IF(parametros_manuales!$H$37="Todos",datos_base!$D$10+datos_base!$D$24,0))*parametros_manuales!$L$100+parametros_manuales!$F$37*(datos_base!$D$4+datos_base!$D$20+IF(parametros_manuales!$H$37="Todos",datos_base!$D$11+datos_base!$D$25,0))*parametros_manuales!$L$105+parametros_manuales!$G$37*(datos_base!$D$5+datos_base!$D$21+IF(parametros_manuales!$H$37="Todos",datos_base!$D$12+datos_base!$D$26,0))*parametros_manuales!$L$110)*parametros_manuales!$I$37*parametros_manuales!$J$37</f>
        <v>2064.586696776</v>
      </c>
      <c r="M74" s="9" t="n">
        <f aca="false">(parametros_manuales!$D$37*(datos_base!$D$2+datos_base!$D$18+IF(parametros_manuales!$H$37="Todos",datos_base!$D$9+datos_base!$D$23,0))*parametros_manuales!$M$95+parametros_manuales!$E$37*(datos_base!$D$3+datos_base!$D$19+IF(parametros_manuales!$H$37="Todos",datos_base!$D$10+datos_base!$D$24,0))*parametros_manuales!$M$100+parametros_manuales!$F$37*(datos_base!$D$4+datos_base!$D$20+IF(parametros_manuales!$H$37="Todos",datos_base!$D$11+datos_base!$D$25,0))*parametros_manuales!$M$105+parametros_manuales!$G$37*(datos_base!$D$5+datos_base!$D$21+IF(parametros_manuales!$H$37="Todos",datos_base!$D$12+datos_base!$D$26,0))*parametros_manuales!$M$110)*parametros_manuales!$I$37*parametros_manuales!$J$37</f>
        <v>2064.586696776</v>
      </c>
      <c r="N74" s="9" t="n">
        <f aca="false">SUM(B74:M74)</f>
        <v>22939.8521864</v>
      </c>
      <c r="O74" s="9" t="n">
        <f aca="false">MAX(B74:M74)</f>
        <v>2064.586696776</v>
      </c>
      <c r="P74" s="43" t="n">
        <f aca="false">O74/(parametros_manuales!$B$7)</f>
        <v>13.76391131184</v>
      </c>
      <c r="Q74" s="8" t="str">
        <f aca="false">IF(O74=0,"-",INDEX($B$55:$M$55,MATCH(O74,B74:M74,0)))</f>
        <v>Ene</v>
      </c>
    </row>
    <row r="75" customFormat="false" ht="14.25" hidden="false" customHeight="true" outlineLevel="0" collapsed="false">
      <c r="A75" s="8" t="str">
        <f aca="false">parametros_manuales!$B$38</f>
        <v>Carga de polvo</v>
      </c>
      <c r="B75" s="9" t="n">
        <f aca="false">(parametros_manuales!$D$38*(datos_base!$D$2+datos_base!$D$18+IF(parametros_manuales!$H$38="Todos",datos_base!$D$9+datos_base!$D$23,0))*parametros_manuales!$B$95+parametros_manuales!$E$38*(datos_base!$D$3+datos_base!$D$19+IF(parametros_manuales!$H$38="Todos",datos_base!$D$10+datos_base!$D$24,0))*parametros_manuales!$B$100+parametros_manuales!$F$38*(datos_base!$D$4+datos_base!$D$20+IF(parametros_manuales!$H$38="Todos",datos_base!$D$11+datos_base!$D$25,0))*parametros_manuales!$B$105+parametros_manuales!$G$38*(datos_base!$D$5+datos_base!$D$21+IF(parametros_manuales!$H$38="Todos",datos_base!$D$12+datos_base!$D$26,0))*parametros_manuales!$B$110)*parametros_manuales!$I$38*parametros_manuales!$J$38</f>
        <v>1193.753896776</v>
      </c>
      <c r="C75" s="9" t="n">
        <f aca="false">(parametros_manuales!$D$38*(datos_base!$D$2+datos_base!$D$18+IF(parametros_manuales!$H$38="Todos",datos_base!$D$9+datos_base!$D$23,0))*parametros_manuales!$C$95+parametros_manuales!$E$38*(datos_base!$D$3+datos_base!$D$19+IF(parametros_manuales!$H$38="Todos",datos_base!$D$10+datos_base!$D$24,0))*parametros_manuales!$C$100+parametros_manuales!$F$38*(datos_base!$D$4+datos_base!$D$20+IF(parametros_manuales!$H$38="Todos",datos_base!$D$11+datos_base!$D$25,0))*parametros_manuales!$C$105+parametros_manuales!$G$38*(datos_base!$D$5+datos_base!$D$21+IF(parametros_manuales!$H$38="Todos",datos_base!$D$12+datos_base!$D$26,0))*parametros_manuales!$C$110)*parametros_manuales!$I$38*parametros_manuales!$J$38</f>
        <v>1129.632052492</v>
      </c>
      <c r="D75" s="9" t="n">
        <f aca="false">(parametros_manuales!$D$38*(datos_base!$D$2+datos_base!$D$18+IF(parametros_manuales!$H$38="Todos",datos_base!$D$9+datos_base!$D$23,0))*parametros_manuales!$D$95+parametros_manuales!$E$38*(datos_base!$D$3+datos_base!$D$19+IF(parametros_manuales!$H$38="Todos",datos_base!$D$10+datos_base!$D$24,0))*parametros_manuales!$D$100+parametros_manuales!$F$38*(datos_base!$D$4+datos_base!$D$20+IF(parametros_manuales!$H$38="Todos",datos_base!$D$11+datos_base!$D$25,0))*parametros_manuales!$D$105+parametros_manuales!$G$38*(datos_base!$D$5+datos_base!$D$21+IF(parametros_manuales!$H$38="Todos",datos_base!$D$12+datos_base!$D$26,0))*parametros_manuales!$D$110)*parametros_manuales!$I$38*parametros_manuales!$J$38</f>
        <v>1093.175497054</v>
      </c>
      <c r="E75" s="9" t="n">
        <f aca="false">(parametros_manuales!$D$38*(datos_base!$D$2+datos_base!$D$18+IF(parametros_manuales!$H$38="Todos",datos_base!$D$9+datos_base!$D$23,0))*parametros_manuales!$E$95+parametros_manuales!$E$38*(datos_base!$D$3+datos_base!$D$19+IF(parametros_manuales!$H$38="Todos",datos_base!$D$10+datos_base!$D$24,0))*parametros_manuales!$E$100+parametros_manuales!$F$38*(datos_base!$D$4+datos_base!$D$20+IF(parametros_manuales!$H$38="Todos",datos_base!$D$11+datos_base!$D$25,0))*parametros_manuales!$E$105+parametros_manuales!$G$38*(datos_base!$D$5+datos_base!$D$21+IF(parametros_manuales!$H$38="Todos",datos_base!$D$12+datos_base!$D$26,0))*parametros_manuales!$E$110)*parametros_manuales!$I$38*parametros_manuales!$J$38</f>
        <v>1058.916758264</v>
      </c>
      <c r="F75" s="9" t="n">
        <f aca="false">(parametros_manuales!$D$38*(datos_base!$D$2+datos_base!$D$18+IF(parametros_manuales!$H$38="Todos",datos_base!$D$9+datos_base!$D$23,0))*parametros_manuales!$F$95+parametros_manuales!$E$38*(datos_base!$D$3+datos_base!$D$19+IF(parametros_manuales!$H$38="Todos",datos_base!$D$10+datos_base!$D$24,0))*parametros_manuales!$F$100+parametros_manuales!$F$38*(datos_base!$D$4+datos_base!$D$20+IF(parametros_manuales!$H$38="Todos",datos_base!$D$11+datos_base!$D$25,0))*parametros_manuales!$F$105+parametros_manuales!$G$38*(datos_base!$D$5+datos_base!$D$21+IF(parametros_manuales!$H$38="Todos",datos_base!$D$12+datos_base!$D$26,0))*parametros_manuales!$F$110)*parametros_manuales!$I$38*parametros_manuales!$J$38</f>
        <v>992.597097332</v>
      </c>
      <c r="G75" s="9" t="n">
        <f aca="false">(parametros_manuales!$D$38*(datos_base!$D$2+datos_base!$D$18+IF(parametros_manuales!$H$38="Todos",datos_base!$D$9+datos_base!$D$23,0))*parametros_manuales!$G$95+parametros_manuales!$E$38*(datos_base!$D$3+datos_base!$D$19+IF(parametros_manuales!$H$38="Todos",datos_base!$D$10+datos_base!$D$24,0))*parametros_manuales!$G$100+parametros_manuales!$F$38*(datos_base!$D$4+datos_base!$D$20+IF(parametros_manuales!$H$38="Todos",datos_base!$D$11+datos_base!$D$25,0))*parametros_manuales!$G$105+parametros_manuales!$G$38*(datos_base!$D$5+datos_base!$D$21+IF(parametros_manuales!$H$38="Todos",datos_base!$D$12+datos_base!$D$26,0))*parametros_manuales!$G$110)*parametros_manuales!$I$38*parametros_manuales!$J$38</f>
        <v>960.53617519</v>
      </c>
      <c r="H75" s="9" t="n">
        <f aca="false">(parametros_manuales!$D$38*(datos_base!$D$2+datos_base!$D$18+IF(parametros_manuales!$H$38="Todos",datos_base!$D$9+datos_base!$D$23,0))*parametros_manuales!$H$95+parametros_manuales!$E$38*(datos_base!$D$3+datos_base!$D$19+IF(parametros_manuales!$H$38="Todos",datos_base!$D$10+datos_base!$D$24,0))*parametros_manuales!$H$100+parametros_manuales!$F$38*(datos_base!$D$4+datos_base!$D$20+IF(parametros_manuales!$H$38="Todos",datos_base!$D$11+datos_base!$D$25,0))*parametros_manuales!$H$105+parametros_manuales!$G$38*(datos_base!$D$5+datos_base!$D$21+IF(parametros_manuales!$H$38="Todos",datos_base!$D$12+datos_base!$D$26,0))*parametros_manuales!$H$110)*parametros_manuales!$I$38*parametros_manuales!$J$38</f>
        <v>1026.855836122</v>
      </c>
      <c r="I75" s="9" t="n">
        <f aca="false">(parametros_manuales!$D$38*(datos_base!$D$2+datos_base!$D$18+IF(parametros_manuales!$H$38="Todos",datos_base!$D$9+datos_base!$D$23,0))*parametros_manuales!$I$95+parametros_manuales!$E$38*(datos_base!$D$3+datos_base!$D$19+IF(parametros_manuales!$H$38="Todos",datos_base!$D$10+datos_base!$D$24,0))*parametros_manuales!$I$100+parametros_manuales!$F$38*(datos_base!$D$4+datos_base!$D$20+IF(parametros_manuales!$H$38="Todos",datos_base!$D$11+datos_base!$D$25,0))*parametros_manuales!$I$105+parametros_manuales!$G$38*(datos_base!$D$5+datos_base!$D$21+IF(parametros_manuales!$H$38="Todos",datos_base!$D$12+datos_base!$D$26,0))*parametros_manuales!$I$110)*parametros_manuales!$I$38*parametros_manuales!$J$38</f>
        <v>1129.632052492</v>
      </c>
      <c r="J75" s="9" t="n">
        <f aca="false">(parametros_manuales!$D$38*(datos_base!$D$2+datos_base!$D$18+IF(parametros_manuales!$H$38="Todos",datos_base!$D$9+datos_base!$D$23,0))*parametros_manuales!$J$95+parametros_manuales!$E$38*(datos_base!$D$3+datos_base!$D$19+IF(parametros_manuales!$H$38="Todos",datos_base!$D$10+datos_base!$D$24,0))*parametros_manuales!$J$100+parametros_manuales!$F$38*(datos_base!$D$4+datos_base!$D$20+IF(parametros_manuales!$H$38="Todos",datos_base!$D$11+datos_base!$D$25,0))*parametros_manuales!$J$105+parametros_manuales!$G$38*(datos_base!$D$5+datos_base!$D$21+IF(parametros_manuales!$H$38="Todos",datos_base!$D$12+datos_base!$D$26,0))*parametros_manuales!$J$110)*parametros_manuales!$I$38*parametros_manuales!$J$38</f>
        <v>1129.632052492</v>
      </c>
      <c r="K75" s="9" t="n">
        <f aca="false">(parametros_manuales!$D$38*(datos_base!$D$2+datos_base!$D$18+IF(parametros_manuales!$H$38="Todos",datos_base!$D$9+datos_base!$D$23,0))*parametros_manuales!$K$95+parametros_manuales!$E$38*(datos_base!$D$3+datos_base!$D$19+IF(parametros_manuales!$H$38="Todos",datos_base!$D$10+datos_base!$D$24,0))*parametros_manuales!$K$100+parametros_manuales!$F$38*(datos_base!$D$4+datos_base!$D$20+IF(parametros_manuales!$H$38="Todos",datos_base!$D$11+datos_base!$D$25,0))*parametros_manuales!$K$105+parametros_manuales!$G$38*(datos_base!$D$5+datos_base!$D$21+IF(parametros_manuales!$H$38="Todos",datos_base!$D$12+datos_base!$D$26,0))*parametros_manuales!$K$110)*parametros_manuales!$I$38*parametros_manuales!$J$38</f>
        <v>1161.692974634</v>
      </c>
      <c r="L75" s="9" t="n">
        <f aca="false">(parametros_manuales!$D$38*(datos_base!$D$2+datos_base!$D$18+IF(parametros_manuales!$H$38="Todos",datos_base!$D$9+datos_base!$D$23,0))*parametros_manuales!$L$95+parametros_manuales!$E$38*(datos_base!$D$3+datos_base!$D$19+IF(parametros_manuales!$H$38="Todos",datos_base!$D$10+datos_base!$D$24,0))*parametros_manuales!$L$100+parametros_manuales!$F$38*(datos_base!$D$4+datos_base!$D$20+IF(parametros_manuales!$H$38="Todos",datos_base!$D$11+datos_base!$D$25,0))*parametros_manuales!$L$105+parametros_manuales!$G$38*(datos_base!$D$5+datos_base!$D$21+IF(parametros_manuales!$H$38="Todos",datos_base!$D$12+datos_base!$D$26,0))*parametros_manuales!$L$110)*parametros_manuales!$I$38*parametros_manuales!$J$38</f>
        <v>1193.753896776</v>
      </c>
      <c r="M75" s="9" t="n">
        <f aca="false">(parametros_manuales!$D$38*(datos_base!$D$2+datos_base!$D$18+IF(parametros_manuales!$H$38="Todos",datos_base!$D$9+datos_base!$D$23,0))*parametros_manuales!$M$95+parametros_manuales!$E$38*(datos_base!$D$3+datos_base!$D$19+IF(parametros_manuales!$H$38="Todos",datos_base!$D$10+datos_base!$D$24,0))*parametros_manuales!$M$100+parametros_manuales!$F$38*(datos_base!$D$4+datos_base!$D$20+IF(parametros_manuales!$H$38="Todos",datos_base!$D$11+datos_base!$D$25,0))*parametros_manuales!$M$105+parametros_manuales!$G$38*(datos_base!$D$5+datos_base!$D$21+IF(parametros_manuales!$H$38="Todos",datos_base!$D$12+datos_base!$D$26,0))*parametros_manuales!$M$110)*parametros_manuales!$I$38*parametros_manuales!$J$38</f>
        <v>1193.753896776</v>
      </c>
      <c r="N75" s="9" t="n">
        <f aca="false">SUM(B75:M75)</f>
        <v>13263.9321864</v>
      </c>
      <c r="O75" s="9" t="n">
        <f aca="false">MAX(B75:M75)</f>
        <v>1193.753896776</v>
      </c>
      <c r="P75" s="43" t="n">
        <f aca="false">O75/(parametros_manuales!$B$7)</f>
        <v>7.95835931184</v>
      </c>
      <c r="Q75" s="8" t="str">
        <f aca="false">IF(O75=0,"-",INDEX($B$55:$M$55,MATCH(O75,B75:M75,0)))</f>
        <v>Ene</v>
      </c>
    </row>
    <row r="76" customFormat="false" ht="14.25" hidden="false" customHeight="true" outlineLevel="0" collapsed="false">
      <c r="A76" s="8" t="str">
        <f aca="false">parametros_manuales!$B$39</f>
        <v>Ensamblaje</v>
      </c>
      <c r="B76" s="9" t="n">
        <f aca="false">(parametros_manuales!$D$39*(datos_base!$D$2+datos_base!$D$18+IF(parametros_manuales!$H$39="Todos",datos_base!$D$9+datos_base!$D$23,0))*parametros_manuales!$B$95+parametros_manuales!$E$39*(datos_base!$D$3+datos_base!$D$19+IF(parametros_manuales!$H$39="Todos",datos_base!$D$10+datos_base!$D$24,0))*parametros_manuales!$B$100+parametros_manuales!$F$39*(datos_base!$D$4+datos_base!$D$20+IF(parametros_manuales!$H$39="Todos",datos_base!$D$11+datos_base!$D$25,0))*parametros_manuales!$B$105+parametros_manuales!$G$39*(datos_base!$D$5+datos_base!$D$21+IF(parametros_manuales!$H$39="Todos",datos_base!$D$12+datos_base!$D$26,0))*parametros_manuales!$B$110)*parametros_manuales!$I$39*parametros_manuales!$J$39</f>
        <v>1193.753896776</v>
      </c>
      <c r="C76" s="9" t="n">
        <f aca="false">(parametros_manuales!$D$39*(datos_base!$D$2+datos_base!$D$18+IF(parametros_manuales!$H$39="Todos",datos_base!$D$9+datos_base!$D$23,0))*parametros_manuales!$C$95+parametros_manuales!$E$39*(datos_base!$D$3+datos_base!$D$19+IF(parametros_manuales!$H$39="Todos",datos_base!$D$10+datos_base!$D$24,0))*parametros_manuales!$C$100+parametros_manuales!$F$39*(datos_base!$D$4+datos_base!$D$20+IF(parametros_manuales!$H$39="Todos",datos_base!$D$11+datos_base!$D$25,0))*parametros_manuales!$C$105+parametros_manuales!$G$39*(datos_base!$D$5+datos_base!$D$21+IF(parametros_manuales!$H$39="Todos",datos_base!$D$12+datos_base!$D$26,0))*parametros_manuales!$C$110)*parametros_manuales!$I$39*parametros_manuales!$J$39</f>
        <v>1129.632052492</v>
      </c>
      <c r="D76" s="9" t="n">
        <f aca="false">(parametros_manuales!$D$39*(datos_base!$D$2+datos_base!$D$18+IF(parametros_manuales!$H$39="Todos",datos_base!$D$9+datos_base!$D$23,0))*parametros_manuales!$D$95+parametros_manuales!$E$39*(datos_base!$D$3+datos_base!$D$19+IF(parametros_manuales!$H$39="Todos",datos_base!$D$10+datos_base!$D$24,0))*parametros_manuales!$D$100+parametros_manuales!$F$39*(datos_base!$D$4+datos_base!$D$20+IF(parametros_manuales!$H$39="Todos",datos_base!$D$11+datos_base!$D$25,0))*parametros_manuales!$D$105+parametros_manuales!$G$39*(datos_base!$D$5+datos_base!$D$21+IF(parametros_manuales!$H$39="Todos",datos_base!$D$12+datos_base!$D$26,0))*parametros_manuales!$D$110)*parametros_manuales!$I$39*parametros_manuales!$J$39</f>
        <v>1093.175497054</v>
      </c>
      <c r="E76" s="9" t="n">
        <f aca="false">(parametros_manuales!$D$39*(datos_base!$D$2+datos_base!$D$18+IF(parametros_manuales!$H$39="Todos",datos_base!$D$9+datos_base!$D$23,0))*parametros_manuales!$E$95+parametros_manuales!$E$39*(datos_base!$D$3+datos_base!$D$19+IF(parametros_manuales!$H$39="Todos",datos_base!$D$10+datos_base!$D$24,0))*parametros_manuales!$E$100+parametros_manuales!$F$39*(datos_base!$D$4+datos_base!$D$20+IF(parametros_manuales!$H$39="Todos",datos_base!$D$11+datos_base!$D$25,0))*parametros_manuales!$E$105+parametros_manuales!$G$39*(datos_base!$D$5+datos_base!$D$21+IF(parametros_manuales!$H$39="Todos",datos_base!$D$12+datos_base!$D$26,0))*parametros_manuales!$E$110)*parametros_manuales!$I$39*parametros_manuales!$J$39</f>
        <v>1058.916758264</v>
      </c>
      <c r="F76" s="9" t="n">
        <f aca="false">(parametros_manuales!$D$39*(datos_base!$D$2+datos_base!$D$18+IF(parametros_manuales!$H$39="Todos",datos_base!$D$9+datos_base!$D$23,0))*parametros_manuales!$F$95+parametros_manuales!$E$39*(datos_base!$D$3+datos_base!$D$19+IF(parametros_manuales!$H$39="Todos",datos_base!$D$10+datos_base!$D$24,0))*parametros_manuales!$F$100+parametros_manuales!$F$39*(datos_base!$D$4+datos_base!$D$20+IF(parametros_manuales!$H$39="Todos",datos_base!$D$11+datos_base!$D$25,0))*parametros_manuales!$F$105+parametros_manuales!$G$39*(datos_base!$D$5+datos_base!$D$21+IF(parametros_manuales!$H$39="Todos",datos_base!$D$12+datos_base!$D$26,0))*parametros_manuales!$F$110)*parametros_manuales!$I$39*parametros_manuales!$J$39</f>
        <v>992.597097332</v>
      </c>
      <c r="G76" s="9" t="n">
        <f aca="false">(parametros_manuales!$D$39*(datos_base!$D$2+datos_base!$D$18+IF(parametros_manuales!$H$39="Todos",datos_base!$D$9+datos_base!$D$23,0))*parametros_manuales!$G$95+parametros_manuales!$E$39*(datos_base!$D$3+datos_base!$D$19+IF(parametros_manuales!$H$39="Todos",datos_base!$D$10+datos_base!$D$24,0))*parametros_manuales!$G$100+parametros_manuales!$F$39*(datos_base!$D$4+datos_base!$D$20+IF(parametros_manuales!$H$39="Todos",datos_base!$D$11+datos_base!$D$25,0))*parametros_manuales!$G$105+parametros_manuales!$G$39*(datos_base!$D$5+datos_base!$D$21+IF(parametros_manuales!$H$39="Todos",datos_base!$D$12+datos_base!$D$26,0))*parametros_manuales!$G$110)*parametros_manuales!$I$39*parametros_manuales!$J$39</f>
        <v>960.53617519</v>
      </c>
      <c r="H76" s="9" t="n">
        <f aca="false">(parametros_manuales!$D$39*(datos_base!$D$2+datos_base!$D$18+IF(parametros_manuales!$H$39="Todos",datos_base!$D$9+datos_base!$D$23,0))*parametros_manuales!$H$95+parametros_manuales!$E$39*(datos_base!$D$3+datos_base!$D$19+IF(parametros_manuales!$H$39="Todos",datos_base!$D$10+datos_base!$D$24,0))*parametros_manuales!$H$100+parametros_manuales!$F$39*(datos_base!$D$4+datos_base!$D$20+IF(parametros_manuales!$H$39="Todos",datos_base!$D$11+datos_base!$D$25,0))*parametros_manuales!$H$105+parametros_manuales!$G$39*(datos_base!$D$5+datos_base!$D$21+IF(parametros_manuales!$H$39="Todos",datos_base!$D$12+datos_base!$D$26,0))*parametros_manuales!$H$110)*parametros_manuales!$I$39*parametros_manuales!$J$39</f>
        <v>1026.855836122</v>
      </c>
      <c r="I76" s="9" t="n">
        <f aca="false">(parametros_manuales!$D$39*(datos_base!$D$2+datos_base!$D$18+IF(parametros_manuales!$H$39="Todos",datos_base!$D$9+datos_base!$D$23,0))*parametros_manuales!$I$95+parametros_manuales!$E$39*(datos_base!$D$3+datos_base!$D$19+IF(parametros_manuales!$H$39="Todos",datos_base!$D$10+datos_base!$D$24,0))*parametros_manuales!$I$100+parametros_manuales!$F$39*(datos_base!$D$4+datos_base!$D$20+IF(parametros_manuales!$H$39="Todos",datos_base!$D$11+datos_base!$D$25,0))*parametros_manuales!$I$105+parametros_manuales!$G$39*(datos_base!$D$5+datos_base!$D$21+IF(parametros_manuales!$H$39="Todos",datos_base!$D$12+datos_base!$D$26,0))*parametros_manuales!$I$110)*parametros_manuales!$I$39*parametros_manuales!$J$39</f>
        <v>1129.632052492</v>
      </c>
      <c r="J76" s="9" t="n">
        <f aca="false">(parametros_manuales!$D$39*(datos_base!$D$2+datos_base!$D$18+IF(parametros_manuales!$H$39="Todos",datos_base!$D$9+datos_base!$D$23,0))*parametros_manuales!$J$95+parametros_manuales!$E$39*(datos_base!$D$3+datos_base!$D$19+IF(parametros_manuales!$H$39="Todos",datos_base!$D$10+datos_base!$D$24,0))*parametros_manuales!$J$100+parametros_manuales!$F$39*(datos_base!$D$4+datos_base!$D$20+IF(parametros_manuales!$H$39="Todos",datos_base!$D$11+datos_base!$D$25,0))*parametros_manuales!$J$105+parametros_manuales!$G$39*(datos_base!$D$5+datos_base!$D$21+IF(parametros_manuales!$H$39="Todos",datos_base!$D$12+datos_base!$D$26,0))*parametros_manuales!$J$110)*parametros_manuales!$I$39*parametros_manuales!$J$39</f>
        <v>1129.632052492</v>
      </c>
      <c r="K76" s="9" t="n">
        <f aca="false">(parametros_manuales!$D$39*(datos_base!$D$2+datos_base!$D$18+IF(parametros_manuales!$H$39="Todos",datos_base!$D$9+datos_base!$D$23,0))*parametros_manuales!$K$95+parametros_manuales!$E$39*(datos_base!$D$3+datos_base!$D$19+IF(parametros_manuales!$H$39="Todos",datos_base!$D$10+datos_base!$D$24,0))*parametros_manuales!$K$100+parametros_manuales!$F$39*(datos_base!$D$4+datos_base!$D$20+IF(parametros_manuales!$H$39="Todos",datos_base!$D$11+datos_base!$D$25,0))*parametros_manuales!$K$105+parametros_manuales!$G$39*(datos_base!$D$5+datos_base!$D$21+IF(parametros_manuales!$H$39="Todos",datos_base!$D$12+datos_base!$D$26,0))*parametros_manuales!$K$110)*parametros_manuales!$I$39*parametros_manuales!$J$39</f>
        <v>1161.692974634</v>
      </c>
      <c r="L76" s="9" t="n">
        <f aca="false">(parametros_manuales!$D$39*(datos_base!$D$2+datos_base!$D$18+IF(parametros_manuales!$H$39="Todos",datos_base!$D$9+datos_base!$D$23,0))*parametros_manuales!$L$95+parametros_manuales!$E$39*(datos_base!$D$3+datos_base!$D$19+IF(parametros_manuales!$H$39="Todos",datos_base!$D$10+datos_base!$D$24,0))*parametros_manuales!$L$100+parametros_manuales!$F$39*(datos_base!$D$4+datos_base!$D$20+IF(parametros_manuales!$H$39="Todos",datos_base!$D$11+datos_base!$D$25,0))*parametros_manuales!$L$105+parametros_manuales!$G$39*(datos_base!$D$5+datos_base!$D$21+IF(parametros_manuales!$H$39="Todos",datos_base!$D$12+datos_base!$D$26,0))*parametros_manuales!$L$110)*parametros_manuales!$I$39*parametros_manuales!$J$39</f>
        <v>1193.753896776</v>
      </c>
      <c r="M76" s="9" t="n">
        <f aca="false">(parametros_manuales!$D$39*(datos_base!$D$2+datos_base!$D$18+IF(parametros_manuales!$H$39="Todos",datos_base!$D$9+datos_base!$D$23,0))*parametros_manuales!$M$95+parametros_manuales!$E$39*(datos_base!$D$3+datos_base!$D$19+IF(parametros_manuales!$H$39="Todos",datos_base!$D$10+datos_base!$D$24,0))*parametros_manuales!$M$100+parametros_manuales!$F$39*(datos_base!$D$4+datos_base!$D$20+IF(parametros_manuales!$H$39="Todos",datos_base!$D$11+datos_base!$D$25,0))*parametros_manuales!$M$105+parametros_manuales!$G$39*(datos_base!$D$5+datos_base!$D$21+IF(parametros_manuales!$H$39="Todos",datos_base!$D$12+datos_base!$D$26,0))*parametros_manuales!$M$110)*parametros_manuales!$I$39*parametros_manuales!$J$39</f>
        <v>1193.753896776</v>
      </c>
      <c r="N76" s="9" t="n">
        <f aca="false">SUM(B76:M76)</f>
        <v>13263.9321864</v>
      </c>
      <c r="O76" s="9" t="n">
        <f aca="false">MAX(B76:M76)</f>
        <v>1193.753896776</v>
      </c>
      <c r="P76" s="43" t="n">
        <f aca="false">O76/(parametros_manuales!$B$7)</f>
        <v>7.95835931184</v>
      </c>
      <c r="Q76" s="8" t="str">
        <f aca="false">IF(O76=0,"-",INDEX($B$55:$M$55,MATCH(O76,B76:M76,0)))</f>
        <v>Ene</v>
      </c>
    </row>
    <row r="77" customFormat="false" ht="14.25" hidden="false" customHeight="true" outlineLevel="0" collapsed="false">
      <c r="A77" s="8" t="str">
        <f aca="false">parametros_manuales!$B$40</f>
        <v>Presurización</v>
      </c>
      <c r="B77" s="9" t="n">
        <f aca="false">(parametros_manuales!$D$40*(datos_base!$D$2+datos_base!$D$18+IF(parametros_manuales!$H$40="Todos",datos_base!$D$9+datos_base!$D$23,0))*parametros_manuales!$B$95+parametros_manuales!$E$40*(datos_base!$D$3+datos_base!$D$19+IF(parametros_manuales!$H$40="Todos",datos_base!$D$10+datos_base!$D$24,0))*parametros_manuales!$B$100+parametros_manuales!$F$40*(datos_base!$D$4+datos_base!$D$20+IF(parametros_manuales!$H$40="Todos",datos_base!$D$11+datos_base!$D$25,0))*parametros_manuales!$B$105+parametros_manuales!$G$40*(datos_base!$D$5+datos_base!$D$21+IF(parametros_manuales!$H$40="Todos",datos_base!$D$12+datos_base!$D$26,0))*parametros_manuales!$B$110)*parametros_manuales!$I$40*parametros_manuales!$J$40</f>
        <v>1193.753896776</v>
      </c>
      <c r="C77" s="9" t="n">
        <f aca="false">(parametros_manuales!$D$40*(datos_base!$D$2+datos_base!$D$18+IF(parametros_manuales!$H$40="Todos",datos_base!$D$9+datos_base!$D$23,0))*parametros_manuales!$C$95+parametros_manuales!$E$40*(datos_base!$D$3+datos_base!$D$19+IF(parametros_manuales!$H$40="Todos",datos_base!$D$10+datos_base!$D$24,0))*parametros_manuales!$C$100+parametros_manuales!$F$40*(datos_base!$D$4+datos_base!$D$20+IF(parametros_manuales!$H$40="Todos",datos_base!$D$11+datos_base!$D$25,0))*parametros_manuales!$C$105+parametros_manuales!$G$40*(datos_base!$D$5+datos_base!$D$21+IF(parametros_manuales!$H$40="Todos",datos_base!$D$12+datos_base!$D$26,0))*parametros_manuales!$C$110)*parametros_manuales!$I$40*parametros_manuales!$J$40</f>
        <v>1129.632052492</v>
      </c>
      <c r="D77" s="9" t="n">
        <f aca="false">(parametros_manuales!$D$40*(datos_base!$D$2+datos_base!$D$18+IF(parametros_manuales!$H$40="Todos",datos_base!$D$9+datos_base!$D$23,0))*parametros_manuales!$D$95+parametros_manuales!$E$40*(datos_base!$D$3+datos_base!$D$19+IF(parametros_manuales!$H$40="Todos",datos_base!$D$10+datos_base!$D$24,0))*parametros_manuales!$D$100+parametros_manuales!$F$40*(datos_base!$D$4+datos_base!$D$20+IF(parametros_manuales!$H$40="Todos",datos_base!$D$11+datos_base!$D$25,0))*parametros_manuales!$D$105+parametros_manuales!$G$40*(datos_base!$D$5+datos_base!$D$21+IF(parametros_manuales!$H$40="Todos",datos_base!$D$12+datos_base!$D$26,0))*parametros_manuales!$D$110)*parametros_manuales!$I$40*parametros_manuales!$J$40</f>
        <v>1093.175497054</v>
      </c>
      <c r="E77" s="9" t="n">
        <f aca="false">(parametros_manuales!$D$40*(datos_base!$D$2+datos_base!$D$18+IF(parametros_manuales!$H$40="Todos",datos_base!$D$9+datos_base!$D$23,0))*parametros_manuales!$E$95+parametros_manuales!$E$40*(datos_base!$D$3+datos_base!$D$19+IF(parametros_manuales!$H$40="Todos",datos_base!$D$10+datos_base!$D$24,0))*parametros_manuales!$E$100+parametros_manuales!$F$40*(datos_base!$D$4+datos_base!$D$20+IF(parametros_manuales!$H$40="Todos",datos_base!$D$11+datos_base!$D$25,0))*parametros_manuales!$E$105+parametros_manuales!$G$40*(datos_base!$D$5+datos_base!$D$21+IF(parametros_manuales!$H$40="Todos",datos_base!$D$12+datos_base!$D$26,0))*parametros_manuales!$E$110)*parametros_manuales!$I$40*parametros_manuales!$J$40</f>
        <v>1058.916758264</v>
      </c>
      <c r="F77" s="9" t="n">
        <f aca="false">(parametros_manuales!$D$40*(datos_base!$D$2+datos_base!$D$18+IF(parametros_manuales!$H$40="Todos",datos_base!$D$9+datos_base!$D$23,0))*parametros_manuales!$F$95+parametros_manuales!$E$40*(datos_base!$D$3+datos_base!$D$19+IF(parametros_manuales!$H$40="Todos",datos_base!$D$10+datos_base!$D$24,0))*parametros_manuales!$F$100+parametros_manuales!$F$40*(datos_base!$D$4+datos_base!$D$20+IF(parametros_manuales!$H$40="Todos",datos_base!$D$11+datos_base!$D$25,0))*parametros_manuales!$F$105+parametros_manuales!$G$40*(datos_base!$D$5+datos_base!$D$21+IF(parametros_manuales!$H$40="Todos",datos_base!$D$12+datos_base!$D$26,0))*parametros_manuales!$F$110)*parametros_manuales!$I$40*parametros_manuales!$J$40</f>
        <v>992.597097332</v>
      </c>
      <c r="G77" s="9" t="n">
        <f aca="false">(parametros_manuales!$D$40*(datos_base!$D$2+datos_base!$D$18+IF(parametros_manuales!$H$40="Todos",datos_base!$D$9+datos_base!$D$23,0))*parametros_manuales!$G$95+parametros_manuales!$E$40*(datos_base!$D$3+datos_base!$D$19+IF(parametros_manuales!$H$40="Todos",datos_base!$D$10+datos_base!$D$24,0))*parametros_manuales!$G$100+parametros_manuales!$F$40*(datos_base!$D$4+datos_base!$D$20+IF(parametros_manuales!$H$40="Todos",datos_base!$D$11+datos_base!$D$25,0))*parametros_manuales!$G$105+parametros_manuales!$G$40*(datos_base!$D$5+datos_base!$D$21+IF(parametros_manuales!$H$40="Todos",datos_base!$D$12+datos_base!$D$26,0))*parametros_manuales!$G$110)*parametros_manuales!$I$40*parametros_manuales!$J$40</f>
        <v>960.53617519</v>
      </c>
      <c r="H77" s="9" t="n">
        <f aca="false">(parametros_manuales!$D$40*(datos_base!$D$2+datos_base!$D$18+IF(parametros_manuales!$H$40="Todos",datos_base!$D$9+datos_base!$D$23,0))*parametros_manuales!$H$95+parametros_manuales!$E$40*(datos_base!$D$3+datos_base!$D$19+IF(parametros_manuales!$H$40="Todos",datos_base!$D$10+datos_base!$D$24,0))*parametros_manuales!$H$100+parametros_manuales!$F$40*(datos_base!$D$4+datos_base!$D$20+IF(parametros_manuales!$H$40="Todos",datos_base!$D$11+datos_base!$D$25,0))*parametros_manuales!$H$105+parametros_manuales!$G$40*(datos_base!$D$5+datos_base!$D$21+IF(parametros_manuales!$H$40="Todos",datos_base!$D$12+datos_base!$D$26,0))*parametros_manuales!$H$110)*parametros_manuales!$I$40*parametros_manuales!$J$40</f>
        <v>1026.855836122</v>
      </c>
      <c r="I77" s="9" t="n">
        <f aca="false">(parametros_manuales!$D$40*(datos_base!$D$2+datos_base!$D$18+IF(parametros_manuales!$H$40="Todos",datos_base!$D$9+datos_base!$D$23,0))*parametros_manuales!$I$95+parametros_manuales!$E$40*(datos_base!$D$3+datos_base!$D$19+IF(parametros_manuales!$H$40="Todos",datos_base!$D$10+datos_base!$D$24,0))*parametros_manuales!$I$100+parametros_manuales!$F$40*(datos_base!$D$4+datos_base!$D$20+IF(parametros_manuales!$H$40="Todos",datos_base!$D$11+datos_base!$D$25,0))*parametros_manuales!$I$105+parametros_manuales!$G$40*(datos_base!$D$5+datos_base!$D$21+IF(parametros_manuales!$H$40="Todos",datos_base!$D$12+datos_base!$D$26,0))*parametros_manuales!$I$110)*parametros_manuales!$I$40*parametros_manuales!$J$40</f>
        <v>1129.632052492</v>
      </c>
      <c r="J77" s="9" t="n">
        <f aca="false">(parametros_manuales!$D$40*(datos_base!$D$2+datos_base!$D$18+IF(parametros_manuales!$H$40="Todos",datos_base!$D$9+datos_base!$D$23,0))*parametros_manuales!$J$95+parametros_manuales!$E$40*(datos_base!$D$3+datos_base!$D$19+IF(parametros_manuales!$H$40="Todos",datos_base!$D$10+datos_base!$D$24,0))*parametros_manuales!$J$100+parametros_manuales!$F$40*(datos_base!$D$4+datos_base!$D$20+IF(parametros_manuales!$H$40="Todos",datos_base!$D$11+datos_base!$D$25,0))*parametros_manuales!$J$105+parametros_manuales!$G$40*(datos_base!$D$5+datos_base!$D$21+IF(parametros_manuales!$H$40="Todos",datos_base!$D$12+datos_base!$D$26,0))*parametros_manuales!$J$110)*parametros_manuales!$I$40*parametros_manuales!$J$40</f>
        <v>1129.632052492</v>
      </c>
      <c r="K77" s="9" t="n">
        <f aca="false">(parametros_manuales!$D$40*(datos_base!$D$2+datos_base!$D$18+IF(parametros_manuales!$H$40="Todos",datos_base!$D$9+datos_base!$D$23,0))*parametros_manuales!$K$95+parametros_manuales!$E$40*(datos_base!$D$3+datos_base!$D$19+IF(parametros_manuales!$H$40="Todos",datos_base!$D$10+datos_base!$D$24,0))*parametros_manuales!$K$100+parametros_manuales!$F$40*(datos_base!$D$4+datos_base!$D$20+IF(parametros_manuales!$H$40="Todos",datos_base!$D$11+datos_base!$D$25,0))*parametros_manuales!$K$105+parametros_manuales!$G$40*(datos_base!$D$5+datos_base!$D$21+IF(parametros_manuales!$H$40="Todos",datos_base!$D$12+datos_base!$D$26,0))*parametros_manuales!$K$110)*parametros_manuales!$I$40*parametros_manuales!$J$40</f>
        <v>1161.692974634</v>
      </c>
      <c r="L77" s="9" t="n">
        <f aca="false">(parametros_manuales!$D$40*(datos_base!$D$2+datos_base!$D$18+IF(parametros_manuales!$H$40="Todos",datos_base!$D$9+datos_base!$D$23,0))*parametros_manuales!$L$95+parametros_manuales!$E$40*(datos_base!$D$3+datos_base!$D$19+IF(parametros_manuales!$H$40="Todos",datos_base!$D$10+datos_base!$D$24,0))*parametros_manuales!$L$100+parametros_manuales!$F$40*(datos_base!$D$4+datos_base!$D$20+IF(parametros_manuales!$H$40="Todos",datos_base!$D$11+datos_base!$D$25,0))*parametros_manuales!$L$105+parametros_manuales!$G$40*(datos_base!$D$5+datos_base!$D$21+IF(parametros_manuales!$H$40="Todos",datos_base!$D$12+datos_base!$D$26,0))*parametros_manuales!$L$110)*parametros_manuales!$I$40*parametros_manuales!$J$40</f>
        <v>1193.753896776</v>
      </c>
      <c r="M77" s="9" t="n">
        <f aca="false">(parametros_manuales!$D$40*(datos_base!$D$2+datos_base!$D$18+IF(parametros_manuales!$H$40="Todos",datos_base!$D$9+datos_base!$D$23,0))*parametros_manuales!$M$95+parametros_manuales!$E$40*(datos_base!$D$3+datos_base!$D$19+IF(parametros_manuales!$H$40="Todos",datos_base!$D$10+datos_base!$D$24,0))*parametros_manuales!$M$100+parametros_manuales!$F$40*(datos_base!$D$4+datos_base!$D$20+IF(parametros_manuales!$H$40="Todos",datos_base!$D$11+datos_base!$D$25,0))*parametros_manuales!$M$105+parametros_manuales!$G$40*(datos_base!$D$5+datos_base!$D$21+IF(parametros_manuales!$H$40="Todos",datos_base!$D$12+datos_base!$D$26,0))*parametros_manuales!$M$110)*parametros_manuales!$I$40*parametros_manuales!$J$40</f>
        <v>1193.753896776</v>
      </c>
      <c r="N77" s="9" t="n">
        <f aca="false">SUM(B77:M77)</f>
        <v>13263.9321864</v>
      </c>
      <c r="O77" s="9" t="n">
        <f aca="false">MAX(B77:M77)</f>
        <v>1193.753896776</v>
      </c>
      <c r="P77" s="43" t="n">
        <f aca="false">O77/(parametros_manuales!$B$7)</f>
        <v>7.95835931184</v>
      </c>
      <c r="Q77" s="8" t="str">
        <f aca="false">IF(O77=0,"-",INDEX($B$55:$M$55,MATCH(O77,B77:M77,0)))</f>
        <v>Ene</v>
      </c>
    </row>
    <row r="78" customFormat="false" ht="14.25" hidden="false" customHeight="true" outlineLevel="0" collapsed="false">
      <c r="A78" s="8" t="str">
        <f aca="false">parametros_manuales!$B$41</f>
        <v>Control de calidad — Ensayo de pérdidas</v>
      </c>
      <c r="B78" s="9" t="n">
        <f aca="false">(parametros_manuales!$D$41*(datos_base!$D$2+datos_base!$D$18+IF(parametros_manuales!$H$41="Todos",datos_base!$D$9+datos_base!$D$23,0))*parametros_manuales!$B$95+parametros_manuales!$E$41*(datos_base!$D$3+datos_base!$D$19+IF(parametros_manuales!$H$41="Todos",datos_base!$D$10+datos_base!$D$24,0))*parametros_manuales!$B$100+parametros_manuales!$F$41*(datos_base!$D$4+datos_base!$D$20+IF(parametros_manuales!$H$41="Todos",datos_base!$D$11+datos_base!$D$25,0))*parametros_manuales!$B$105+parametros_manuales!$G$41*(datos_base!$D$5+datos_base!$D$21+IF(parametros_manuales!$H$41="Todos",datos_base!$D$12+datos_base!$D$26,0))*parametros_manuales!$B$110)*parametros_manuales!$I$41*parametros_manuales!$J$41</f>
        <v>1193.753896776</v>
      </c>
      <c r="C78" s="9" t="n">
        <f aca="false">(parametros_manuales!$D$41*(datos_base!$D$2+datos_base!$D$18+IF(parametros_manuales!$H$41="Todos",datos_base!$D$9+datos_base!$D$23,0))*parametros_manuales!$C$95+parametros_manuales!$E$41*(datos_base!$D$3+datos_base!$D$19+IF(parametros_manuales!$H$41="Todos",datos_base!$D$10+datos_base!$D$24,0))*parametros_manuales!$C$100+parametros_manuales!$F$41*(datos_base!$D$4+datos_base!$D$20+IF(parametros_manuales!$H$41="Todos",datos_base!$D$11+datos_base!$D$25,0))*parametros_manuales!$C$105+parametros_manuales!$G$41*(datos_base!$D$5+datos_base!$D$21+IF(parametros_manuales!$H$41="Todos",datos_base!$D$12+datos_base!$D$26,0))*parametros_manuales!$C$110)*parametros_manuales!$I$41*parametros_manuales!$J$41</f>
        <v>1129.632052492</v>
      </c>
      <c r="D78" s="9" t="n">
        <f aca="false">(parametros_manuales!$D$41*(datos_base!$D$2+datos_base!$D$18+IF(parametros_manuales!$H$41="Todos",datos_base!$D$9+datos_base!$D$23,0))*parametros_manuales!$D$95+parametros_manuales!$E$41*(datos_base!$D$3+datos_base!$D$19+IF(parametros_manuales!$H$41="Todos",datos_base!$D$10+datos_base!$D$24,0))*parametros_manuales!$D$100+parametros_manuales!$F$41*(datos_base!$D$4+datos_base!$D$20+IF(parametros_manuales!$H$41="Todos",datos_base!$D$11+datos_base!$D$25,0))*parametros_manuales!$D$105+parametros_manuales!$G$41*(datos_base!$D$5+datos_base!$D$21+IF(parametros_manuales!$H$41="Todos",datos_base!$D$12+datos_base!$D$26,0))*parametros_manuales!$D$110)*parametros_manuales!$I$41*parametros_manuales!$J$41</f>
        <v>1093.175497054</v>
      </c>
      <c r="E78" s="9" t="n">
        <f aca="false">(parametros_manuales!$D$41*(datos_base!$D$2+datos_base!$D$18+IF(parametros_manuales!$H$41="Todos",datos_base!$D$9+datos_base!$D$23,0))*parametros_manuales!$E$95+parametros_manuales!$E$41*(datos_base!$D$3+datos_base!$D$19+IF(parametros_manuales!$H$41="Todos",datos_base!$D$10+datos_base!$D$24,0))*parametros_manuales!$E$100+parametros_manuales!$F$41*(datos_base!$D$4+datos_base!$D$20+IF(parametros_manuales!$H$41="Todos",datos_base!$D$11+datos_base!$D$25,0))*parametros_manuales!$E$105+parametros_manuales!$G$41*(datos_base!$D$5+datos_base!$D$21+IF(parametros_manuales!$H$41="Todos",datos_base!$D$12+datos_base!$D$26,0))*parametros_manuales!$E$110)*parametros_manuales!$I$41*parametros_manuales!$J$41</f>
        <v>1058.916758264</v>
      </c>
      <c r="F78" s="9" t="n">
        <f aca="false">(parametros_manuales!$D$41*(datos_base!$D$2+datos_base!$D$18+IF(parametros_manuales!$H$41="Todos",datos_base!$D$9+datos_base!$D$23,0))*parametros_manuales!$F$95+parametros_manuales!$E$41*(datos_base!$D$3+datos_base!$D$19+IF(parametros_manuales!$H$41="Todos",datos_base!$D$10+datos_base!$D$24,0))*parametros_manuales!$F$100+parametros_manuales!$F$41*(datos_base!$D$4+datos_base!$D$20+IF(parametros_manuales!$H$41="Todos",datos_base!$D$11+datos_base!$D$25,0))*parametros_manuales!$F$105+parametros_manuales!$G$41*(datos_base!$D$5+datos_base!$D$21+IF(parametros_manuales!$H$41="Todos",datos_base!$D$12+datos_base!$D$26,0))*parametros_manuales!$F$110)*parametros_manuales!$I$41*parametros_manuales!$J$41</f>
        <v>992.597097332</v>
      </c>
      <c r="G78" s="9" t="n">
        <f aca="false">(parametros_manuales!$D$41*(datos_base!$D$2+datos_base!$D$18+IF(parametros_manuales!$H$41="Todos",datos_base!$D$9+datos_base!$D$23,0))*parametros_manuales!$G$95+parametros_manuales!$E$41*(datos_base!$D$3+datos_base!$D$19+IF(parametros_manuales!$H$41="Todos",datos_base!$D$10+datos_base!$D$24,0))*parametros_manuales!$G$100+parametros_manuales!$F$41*(datos_base!$D$4+datos_base!$D$20+IF(parametros_manuales!$H$41="Todos",datos_base!$D$11+datos_base!$D$25,0))*parametros_manuales!$G$105+parametros_manuales!$G$41*(datos_base!$D$5+datos_base!$D$21+IF(parametros_manuales!$H$41="Todos",datos_base!$D$12+datos_base!$D$26,0))*parametros_manuales!$G$110)*parametros_manuales!$I$41*parametros_manuales!$J$41</f>
        <v>960.53617519</v>
      </c>
      <c r="H78" s="9" t="n">
        <f aca="false">(parametros_manuales!$D$41*(datos_base!$D$2+datos_base!$D$18+IF(parametros_manuales!$H$41="Todos",datos_base!$D$9+datos_base!$D$23,0))*parametros_manuales!$H$95+parametros_manuales!$E$41*(datos_base!$D$3+datos_base!$D$19+IF(parametros_manuales!$H$41="Todos",datos_base!$D$10+datos_base!$D$24,0))*parametros_manuales!$H$100+parametros_manuales!$F$41*(datos_base!$D$4+datos_base!$D$20+IF(parametros_manuales!$H$41="Todos",datos_base!$D$11+datos_base!$D$25,0))*parametros_manuales!$H$105+parametros_manuales!$G$41*(datos_base!$D$5+datos_base!$D$21+IF(parametros_manuales!$H$41="Todos",datos_base!$D$12+datos_base!$D$26,0))*parametros_manuales!$H$110)*parametros_manuales!$I$41*parametros_manuales!$J$41</f>
        <v>1026.855836122</v>
      </c>
      <c r="I78" s="9" t="n">
        <f aca="false">(parametros_manuales!$D$41*(datos_base!$D$2+datos_base!$D$18+IF(parametros_manuales!$H$41="Todos",datos_base!$D$9+datos_base!$D$23,0))*parametros_manuales!$I$95+parametros_manuales!$E$41*(datos_base!$D$3+datos_base!$D$19+IF(parametros_manuales!$H$41="Todos",datos_base!$D$10+datos_base!$D$24,0))*parametros_manuales!$I$100+parametros_manuales!$F$41*(datos_base!$D$4+datos_base!$D$20+IF(parametros_manuales!$H$41="Todos",datos_base!$D$11+datos_base!$D$25,0))*parametros_manuales!$I$105+parametros_manuales!$G$41*(datos_base!$D$5+datos_base!$D$21+IF(parametros_manuales!$H$41="Todos",datos_base!$D$12+datos_base!$D$26,0))*parametros_manuales!$I$110)*parametros_manuales!$I$41*parametros_manuales!$J$41</f>
        <v>1129.632052492</v>
      </c>
      <c r="J78" s="9" t="n">
        <f aca="false">(parametros_manuales!$D$41*(datos_base!$D$2+datos_base!$D$18+IF(parametros_manuales!$H$41="Todos",datos_base!$D$9+datos_base!$D$23,0))*parametros_manuales!$J$95+parametros_manuales!$E$41*(datos_base!$D$3+datos_base!$D$19+IF(parametros_manuales!$H$41="Todos",datos_base!$D$10+datos_base!$D$24,0))*parametros_manuales!$J$100+parametros_manuales!$F$41*(datos_base!$D$4+datos_base!$D$20+IF(parametros_manuales!$H$41="Todos",datos_base!$D$11+datos_base!$D$25,0))*parametros_manuales!$J$105+parametros_manuales!$G$41*(datos_base!$D$5+datos_base!$D$21+IF(parametros_manuales!$H$41="Todos",datos_base!$D$12+datos_base!$D$26,0))*parametros_manuales!$J$110)*parametros_manuales!$I$41*parametros_manuales!$J$41</f>
        <v>1129.632052492</v>
      </c>
      <c r="K78" s="9" t="n">
        <f aca="false">(parametros_manuales!$D$41*(datos_base!$D$2+datos_base!$D$18+IF(parametros_manuales!$H$41="Todos",datos_base!$D$9+datos_base!$D$23,0))*parametros_manuales!$K$95+parametros_manuales!$E$41*(datos_base!$D$3+datos_base!$D$19+IF(parametros_manuales!$H$41="Todos",datos_base!$D$10+datos_base!$D$24,0))*parametros_manuales!$K$100+parametros_manuales!$F$41*(datos_base!$D$4+datos_base!$D$20+IF(parametros_manuales!$H$41="Todos",datos_base!$D$11+datos_base!$D$25,0))*parametros_manuales!$K$105+parametros_manuales!$G$41*(datos_base!$D$5+datos_base!$D$21+IF(parametros_manuales!$H$41="Todos",datos_base!$D$12+datos_base!$D$26,0))*parametros_manuales!$K$110)*parametros_manuales!$I$41*parametros_manuales!$J$41</f>
        <v>1161.692974634</v>
      </c>
      <c r="L78" s="9" t="n">
        <f aca="false">(parametros_manuales!$D$41*(datos_base!$D$2+datos_base!$D$18+IF(parametros_manuales!$H$41="Todos",datos_base!$D$9+datos_base!$D$23,0))*parametros_manuales!$L$95+parametros_manuales!$E$41*(datos_base!$D$3+datos_base!$D$19+IF(parametros_manuales!$H$41="Todos",datos_base!$D$10+datos_base!$D$24,0))*parametros_manuales!$L$100+parametros_manuales!$F$41*(datos_base!$D$4+datos_base!$D$20+IF(parametros_manuales!$H$41="Todos",datos_base!$D$11+datos_base!$D$25,0))*parametros_manuales!$L$105+parametros_manuales!$G$41*(datos_base!$D$5+datos_base!$D$21+IF(parametros_manuales!$H$41="Todos",datos_base!$D$12+datos_base!$D$26,0))*parametros_manuales!$L$110)*parametros_manuales!$I$41*parametros_manuales!$J$41</f>
        <v>1193.753896776</v>
      </c>
      <c r="M78" s="9" t="n">
        <f aca="false">(parametros_manuales!$D$41*(datos_base!$D$2+datos_base!$D$18+IF(parametros_manuales!$H$41="Todos",datos_base!$D$9+datos_base!$D$23,0))*parametros_manuales!$M$95+parametros_manuales!$E$41*(datos_base!$D$3+datos_base!$D$19+IF(parametros_manuales!$H$41="Todos",datos_base!$D$10+datos_base!$D$24,0))*parametros_manuales!$M$100+parametros_manuales!$F$41*(datos_base!$D$4+datos_base!$D$20+IF(parametros_manuales!$H$41="Todos",datos_base!$D$11+datos_base!$D$25,0))*parametros_manuales!$M$105+parametros_manuales!$G$41*(datos_base!$D$5+datos_base!$D$21+IF(parametros_manuales!$H$41="Todos",datos_base!$D$12+datos_base!$D$26,0))*parametros_manuales!$M$110)*parametros_manuales!$I$41*parametros_manuales!$J$41</f>
        <v>1193.753896776</v>
      </c>
      <c r="N78" s="9" t="n">
        <f aca="false">SUM(B78:M78)</f>
        <v>13263.9321864</v>
      </c>
      <c r="O78" s="9" t="n">
        <f aca="false">MAX(B78:M78)</f>
        <v>1193.753896776</v>
      </c>
      <c r="P78" s="43" t="n">
        <f aca="false">O78/(parametros_manuales!$B$7)</f>
        <v>7.95835931184</v>
      </c>
      <c r="Q78" s="8" t="str">
        <f aca="false">IF(O78=0,"-",INDEX($B$55:$M$55,MATCH(O78,B78:M78,0)))</f>
        <v>Ene</v>
      </c>
    </row>
    <row r="79" customFormat="false" ht="14.25" hidden="false" customHeight="true" outlineLevel="0" collapsed="false">
      <c r="A79" s="8" t="str">
        <f aca="false">parametros_manuales!$B$42</f>
        <v>Etiquetado</v>
      </c>
      <c r="B79" s="9" t="n">
        <f aca="false">(parametros_manuales!$D$42*(datos_base!$D$2+datos_base!$D$18+IF(parametros_manuales!$H$42="Todos",datos_base!$D$9+datos_base!$D$23,0))*parametros_manuales!$B$95+parametros_manuales!$E$42*(datos_base!$D$3+datos_base!$D$19+IF(parametros_manuales!$H$42="Todos",datos_base!$D$10+datos_base!$D$24,0))*parametros_manuales!$B$100+parametros_manuales!$F$42*(datos_base!$D$4+datos_base!$D$20+IF(parametros_manuales!$H$42="Todos",datos_base!$D$11+datos_base!$D$25,0))*parametros_manuales!$B$105+parametros_manuales!$G$42*(datos_base!$D$5+datos_base!$D$21+IF(parametros_manuales!$H$42="Todos",datos_base!$D$12+datos_base!$D$26,0))*parametros_manuales!$B$110)*parametros_manuales!$I$42*parametros_manuales!$J$42</f>
        <v>1193.753896776</v>
      </c>
      <c r="C79" s="9" t="n">
        <f aca="false">(parametros_manuales!$D$42*(datos_base!$D$2+datos_base!$D$18+IF(parametros_manuales!$H$42="Todos",datos_base!$D$9+datos_base!$D$23,0))*parametros_manuales!$C$95+parametros_manuales!$E$42*(datos_base!$D$3+datos_base!$D$19+IF(parametros_manuales!$H$42="Todos",datos_base!$D$10+datos_base!$D$24,0))*parametros_manuales!$C$100+parametros_manuales!$F$42*(datos_base!$D$4+datos_base!$D$20+IF(parametros_manuales!$H$42="Todos",datos_base!$D$11+datos_base!$D$25,0))*parametros_manuales!$C$105+parametros_manuales!$G$42*(datos_base!$D$5+datos_base!$D$21+IF(parametros_manuales!$H$42="Todos",datos_base!$D$12+datos_base!$D$26,0))*parametros_manuales!$C$110)*parametros_manuales!$I$42*parametros_manuales!$J$42</f>
        <v>1129.632052492</v>
      </c>
      <c r="D79" s="9" t="n">
        <f aca="false">(parametros_manuales!$D$42*(datos_base!$D$2+datos_base!$D$18+IF(parametros_manuales!$H$42="Todos",datos_base!$D$9+datos_base!$D$23,0))*parametros_manuales!$D$95+parametros_manuales!$E$42*(datos_base!$D$3+datos_base!$D$19+IF(parametros_manuales!$H$42="Todos",datos_base!$D$10+datos_base!$D$24,0))*parametros_manuales!$D$100+parametros_manuales!$F$42*(datos_base!$D$4+datos_base!$D$20+IF(parametros_manuales!$H$42="Todos",datos_base!$D$11+datos_base!$D$25,0))*parametros_manuales!$D$105+parametros_manuales!$G$42*(datos_base!$D$5+datos_base!$D$21+IF(parametros_manuales!$H$42="Todos",datos_base!$D$12+datos_base!$D$26,0))*parametros_manuales!$D$110)*parametros_manuales!$I$42*parametros_manuales!$J$42</f>
        <v>1093.175497054</v>
      </c>
      <c r="E79" s="9" t="n">
        <f aca="false">(parametros_manuales!$D$42*(datos_base!$D$2+datos_base!$D$18+IF(parametros_manuales!$H$42="Todos",datos_base!$D$9+datos_base!$D$23,0))*parametros_manuales!$E$95+parametros_manuales!$E$42*(datos_base!$D$3+datos_base!$D$19+IF(parametros_manuales!$H$42="Todos",datos_base!$D$10+datos_base!$D$24,0))*parametros_manuales!$E$100+parametros_manuales!$F$42*(datos_base!$D$4+datos_base!$D$20+IF(parametros_manuales!$H$42="Todos",datos_base!$D$11+datos_base!$D$25,0))*parametros_manuales!$E$105+parametros_manuales!$G$42*(datos_base!$D$5+datos_base!$D$21+IF(parametros_manuales!$H$42="Todos",datos_base!$D$12+datos_base!$D$26,0))*parametros_manuales!$E$110)*parametros_manuales!$I$42*parametros_manuales!$J$42</f>
        <v>1058.916758264</v>
      </c>
      <c r="F79" s="9" t="n">
        <f aca="false">(parametros_manuales!$D$42*(datos_base!$D$2+datos_base!$D$18+IF(parametros_manuales!$H$42="Todos",datos_base!$D$9+datos_base!$D$23,0))*parametros_manuales!$F$95+parametros_manuales!$E$42*(datos_base!$D$3+datos_base!$D$19+IF(parametros_manuales!$H$42="Todos",datos_base!$D$10+datos_base!$D$24,0))*parametros_manuales!$F$100+parametros_manuales!$F$42*(datos_base!$D$4+datos_base!$D$20+IF(parametros_manuales!$H$42="Todos",datos_base!$D$11+datos_base!$D$25,0))*parametros_manuales!$F$105+parametros_manuales!$G$42*(datos_base!$D$5+datos_base!$D$21+IF(parametros_manuales!$H$42="Todos",datos_base!$D$12+datos_base!$D$26,0))*parametros_manuales!$F$110)*parametros_manuales!$I$42*parametros_manuales!$J$42</f>
        <v>992.597097332</v>
      </c>
      <c r="G79" s="9" t="n">
        <f aca="false">(parametros_manuales!$D$42*(datos_base!$D$2+datos_base!$D$18+IF(parametros_manuales!$H$42="Todos",datos_base!$D$9+datos_base!$D$23,0))*parametros_manuales!$G$95+parametros_manuales!$E$42*(datos_base!$D$3+datos_base!$D$19+IF(parametros_manuales!$H$42="Todos",datos_base!$D$10+datos_base!$D$24,0))*parametros_manuales!$G$100+parametros_manuales!$F$42*(datos_base!$D$4+datos_base!$D$20+IF(parametros_manuales!$H$42="Todos",datos_base!$D$11+datos_base!$D$25,0))*parametros_manuales!$G$105+parametros_manuales!$G$42*(datos_base!$D$5+datos_base!$D$21+IF(parametros_manuales!$H$42="Todos",datos_base!$D$12+datos_base!$D$26,0))*parametros_manuales!$G$110)*parametros_manuales!$I$42*parametros_manuales!$J$42</f>
        <v>960.53617519</v>
      </c>
      <c r="H79" s="9" t="n">
        <f aca="false">(parametros_manuales!$D$42*(datos_base!$D$2+datos_base!$D$18+IF(parametros_manuales!$H$42="Todos",datos_base!$D$9+datos_base!$D$23,0))*parametros_manuales!$H$95+parametros_manuales!$E$42*(datos_base!$D$3+datos_base!$D$19+IF(parametros_manuales!$H$42="Todos",datos_base!$D$10+datos_base!$D$24,0))*parametros_manuales!$H$100+parametros_manuales!$F$42*(datos_base!$D$4+datos_base!$D$20+IF(parametros_manuales!$H$42="Todos",datos_base!$D$11+datos_base!$D$25,0))*parametros_manuales!$H$105+parametros_manuales!$G$42*(datos_base!$D$5+datos_base!$D$21+IF(parametros_manuales!$H$42="Todos",datos_base!$D$12+datos_base!$D$26,0))*parametros_manuales!$H$110)*parametros_manuales!$I$42*parametros_manuales!$J$42</f>
        <v>1026.855836122</v>
      </c>
      <c r="I79" s="9" t="n">
        <f aca="false">(parametros_manuales!$D$42*(datos_base!$D$2+datos_base!$D$18+IF(parametros_manuales!$H$42="Todos",datos_base!$D$9+datos_base!$D$23,0))*parametros_manuales!$I$95+parametros_manuales!$E$42*(datos_base!$D$3+datos_base!$D$19+IF(parametros_manuales!$H$42="Todos",datos_base!$D$10+datos_base!$D$24,0))*parametros_manuales!$I$100+parametros_manuales!$F$42*(datos_base!$D$4+datos_base!$D$20+IF(parametros_manuales!$H$42="Todos",datos_base!$D$11+datos_base!$D$25,0))*parametros_manuales!$I$105+parametros_manuales!$G$42*(datos_base!$D$5+datos_base!$D$21+IF(parametros_manuales!$H$42="Todos",datos_base!$D$12+datos_base!$D$26,0))*parametros_manuales!$I$110)*parametros_manuales!$I$42*parametros_manuales!$J$42</f>
        <v>1129.632052492</v>
      </c>
      <c r="J79" s="9" t="n">
        <f aca="false">(parametros_manuales!$D$42*(datos_base!$D$2+datos_base!$D$18+IF(parametros_manuales!$H$42="Todos",datos_base!$D$9+datos_base!$D$23,0))*parametros_manuales!$J$95+parametros_manuales!$E$42*(datos_base!$D$3+datos_base!$D$19+IF(parametros_manuales!$H$42="Todos",datos_base!$D$10+datos_base!$D$24,0))*parametros_manuales!$J$100+parametros_manuales!$F$42*(datos_base!$D$4+datos_base!$D$20+IF(parametros_manuales!$H$42="Todos",datos_base!$D$11+datos_base!$D$25,0))*parametros_manuales!$J$105+parametros_manuales!$G$42*(datos_base!$D$5+datos_base!$D$21+IF(parametros_manuales!$H$42="Todos",datos_base!$D$12+datos_base!$D$26,0))*parametros_manuales!$J$110)*parametros_manuales!$I$42*parametros_manuales!$J$42</f>
        <v>1129.632052492</v>
      </c>
      <c r="K79" s="9" t="n">
        <f aca="false">(parametros_manuales!$D$42*(datos_base!$D$2+datos_base!$D$18+IF(parametros_manuales!$H$42="Todos",datos_base!$D$9+datos_base!$D$23,0))*parametros_manuales!$K$95+parametros_manuales!$E$42*(datos_base!$D$3+datos_base!$D$19+IF(parametros_manuales!$H$42="Todos",datos_base!$D$10+datos_base!$D$24,0))*parametros_manuales!$K$100+parametros_manuales!$F$42*(datos_base!$D$4+datos_base!$D$20+IF(parametros_manuales!$H$42="Todos",datos_base!$D$11+datos_base!$D$25,0))*parametros_manuales!$K$105+parametros_manuales!$G$42*(datos_base!$D$5+datos_base!$D$21+IF(parametros_manuales!$H$42="Todos",datos_base!$D$12+datos_base!$D$26,0))*parametros_manuales!$K$110)*parametros_manuales!$I$42*parametros_manuales!$J$42</f>
        <v>1161.692974634</v>
      </c>
      <c r="L79" s="9" t="n">
        <f aca="false">(parametros_manuales!$D$42*(datos_base!$D$2+datos_base!$D$18+IF(parametros_manuales!$H$42="Todos",datos_base!$D$9+datos_base!$D$23,0))*parametros_manuales!$L$95+parametros_manuales!$E$42*(datos_base!$D$3+datos_base!$D$19+IF(parametros_manuales!$H$42="Todos",datos_base!$D$10+datos_base!$D$24,0))*parametros_manuales!$L$100+parametros_manuales!$F$42*(datos_base!$D$4+datos_base!$D$20+IF(parametros_manuales!$H$42="Todos",datos_base!$D$11+datos_base!$D$25,0))*parametros_manuales!$L$105+parametros_manuales!$G$42*(datos_base!$D$5+datos_base!$D$21+IF(parametros_manuales!$H$42="Todos",datos_base!$D$12+datos_base!$D$26,0))*parametros_manuales!$L$110)*parametros_manuales!$I$42*parametros_manuales!$J$42</f>
        <v>1193.753896776</v>
      </c>
      <c r="M79" s="9" t="n">
        <f aca="false">(parametros_manuales!$D$42*(datos_base!$D$2+datos_base!$D$18+IF(parametros_manuales!$H$42="Todos",datos_base!$D$9+datos_base!$D$23,0))*parametros_manuales!$M$95+parametros_manuales!$E$42*(datos_base!$D$3+datos_base!$D$19+IF(parametros_manuales!$H$42="Todos",datos_base!$D$10+datos_base!$D$24,0))*parametros_manuales!$M$100+parametros_manuales!$F$42*(datos_base!$D$4+datos_base!$D$20+IF(parametros_manuales!$H$42="Todos",datos_base!$D$11+datos_base!$D$25,0))*parametros_manuales!$M$105+parametros_manuales!$G$42*(datos_base!$D$5+datos_base!$D$21+IF(parametros_manuales!$H$42="Todos",datos_base!$D$12+datos_base!$D$26,0))*parametros_manuales!$M$110)*parametros_manuales!$I$42*parametros_manuales!$J$42</f>
        <v>1193.753896776</v>
      </c>
      <c r="N79" s="9" t="n">
        <f aca="false">SUM(B79:M79)</f>
        <v>13263.9321864</v>
      </c>
      <c r="O79" s="9" t="n">
        <f aca="false">MAX(B79:M79)</f>
        <v>1193.753896776</v>
      </c>
      <c r="P79" s="43" t="n">
        <f aca="false">O79/(parametros_manuales!$B$7)</f>
        <v>7.95835931184</v>
      </c>
      <c r="Q79" s="8" t="str">
        <f aca="false">IF(O79=0,"-",INDEX($B$55:$M$55,MATCH(O79,B79:M79,0)))</f>
        <v>Ene</v>
      </c>
    </row>
    <row r="80" customFormat="false" ht="14.25" hidden="false" customHeight="true" outlineLevel="0" collapsed="false">
      <c r="A80" s="8" t="str">
        <f aca="false">parametros_manuales!$B$43</f>
        <v>Embalaje y paletizado</v>
      </c>
      <c r="B80" s="9" t="n">
        <f aca="false">(parametros_manuales!$D$43*(datos_base!$D$2+datos_base!$D$18+IF(parametros_manuales!$H$43="Todos",datos_base!$D$9+datos_base!$D$23,0))*parametros_manuales!$B$95+parametros_manuales!$E$43*(datos_base!$D$3+datos_base!$D$19+IF(parametros_manuales!$H$43="Todos",datos_base!$D$10+datos_base!$D$24,0))*parametros_manuales!$B$100+parametros_manuales!$F$43*(datos_base!$D$4+datos_base!$D$20+IF(parametros_manuales!$H$43="Todos",datos_base!$D$11+datos_base!$D$25,0))*parametros_manuales!$B$105+parametros_manuales!$G$43*(datos_base!$D$5+datos_base!$D$21+IF(parametros_manuales!$H$43="Todos",datos_base!$D$12+datos_base!$D$26,0))*parametros_manuales!$B$110)*parametros_manuales!$I$43*parametros_manuales!$J$43</f>
        <v>2064.586696776</v>
      </c>
      <c r="C80" s="9" t="n">
        <f aca="false">(parametros_manuales!$D$43*(datos_base!$D$2+datos_base!$D$18+IF(parametros_manuales!$H$43="Todos",datos_base!$D$9+datos_base!$D$23,0))*parametros_manuales!$C$95+parametros_manuales!$E$43*(datos_base!$D$3+datos_base!$D$19+IF(parametros_manuales!$H$43="Todos",datos_base!$D$10+datos_base!$D$24,0))*parametros_manuales!$C$100+parametros_manuales!$F$43*(datos_base!$D$4+datos_base!$D$20+IF(parametros_manuales!$H$43="Todos",datos_base!$D$11+datos_base!$D$25,0))*parametros_manuales!$C$105+parametros_manuales!$G$43*(datos_base!$D$5+datos_base!$D$21+IF(parametros_manuales!$H$43="Todos",datos_base!$D$12+datos_base!$D$26,0))*parametros_manuales!$C$110)*parametros_manuales!$I$43*parametros_manuales!$J$43</f>
        <v>1980.329652492</v>
      </c>
      <c r="D80" s="9" t="n">
        <f aca="false">(parametros_manuales!$D$43*(datos_base!$D$2+datos_base!$D$18+IF(parametros_manuales!$H$43="Todos",datos_base!$D$9+datos_base!$D$23,0))*parametros_manuales!$D$95+parametros_manuales!$E$43*(datos_base!$D$3+datos_base!$D$19+IF(parametros_manuales!$H$43="Todos",datos_base!$D$10+datos_base!$D$24,0))*parametros_manuales!$D$100+parametros_manuales!$F$43*(datos_base!$D$4+datos_base!$D$20+IF(parametros_manuales!$H$43="Todos",datos_base!$D$11+datos_base!$D$25,0))*parametros_manuales!$D$105+parametros_manuales!$G$43*(datos_base!$D$5+datos_base!$D$21+IF(parametros_manuales!$H$43="Todos",datos_base!$D$12+datos_base!$D$26,0))*parametros_manuales!$D$110)*parametros_manuales!$I$43*parametros_manuales!$J$43</f>
        <v>1877.316697054</v>
      </c>
      <c r="E80" s="9" t="n">
        <f aca="false">(parametros_manuales!$D$43*(datos_base!$D$2+datos_base!$D$18+IF(parametros_manuales!$H$43="Todos",datos_base!$D$9+datos_base!$D$23,0))*parametros_manuales!$E$95+parametros_manuales!$E$43*(datos_base!$D$3+datos_base!$D$19+IF(parametros_manuales!$H$43="Todos",datos_base!$D$10+datos_base!$D$24,0))*parametros_manuales!$E$100+parametros_manuales!$F$43*(datos_base!$D$4+datos_base!$D$20+IF(parametros_manuales!$H$43="Todos",datos_base!$D$11+datos_base!$D$25,0))*parametros_manuales!$E$105+parametros_manuales!$G$43*(datos_base!$D$5+datos_base!$D$21+IF(parametros_manuales!$H$43="Todos",datos_base!$D$12+datos_base!$D$26,0))*parametros_manuales!$E$110)*parametros_manuales!$I$43*parametros_manuales!$J$43</f>
        <v>1804.745958264</v>
      </c>
      <c r="F80" s="9" t="n">
        <f aca="false">(parametros_manuales!$D$43*(datos_base!$D$2+datos_base!$D$18+IF(parametros_manuales!$H$43="Todos",datos_base!$D$9+datos_base!$D$23,0))*parametros_manuales!$F$95+parametros_manuales!$E$43*(datos_base!$D$3+datos_base!$D$19+IF(parametros_manuales!$H$43="Todos",datos_base!$D$10+datos_base!$D$24,0))*parametros_manuales!$F$100+parametros_manuales!$F$43*(datos_base!$D$4+datos_base!$D$20+IF(parametros_manuales!$H$43="Todos",datos_base!$D$11+datos_base!$D$25,0))*parametros_manuales!$F$105+parametros_manuales!$G$43*(datos_base!$D$5+datos_base!$D$21+IF(parametros_manuales!$H$43="Todos",datos_base!$D$12+datos_base!$D$26,0))*parametros_manuales!$F$110)*parametros_manuales!$I$43*parametros_manuales!$J$43</f>
        <v>1690.046697332</v>
      </c>
      <c r="G80" s="9" t="n">
        <f aca="false">(parametros_manuales!$D$43*(datos_base!$D$2+datos_base!$D$18+IF(parametros_manuales!$H$43="Todos",datos_base!$D$9+datos_base!$D$23,0))*parametros_manuales!$G$95+parametros_manuales!$E$43*(datos_base!$D$3+datos_base!$D$19+IF(parametros_manuales!$H$43="Todos",datos_base!$D$10+datos_base!$D$24,0))*parametros_manuales!$G$100+parametros_manuales!$F$43*(datos_base!$D$4+datos_base!$D$20+IF(parametros_manuales!$H$43="Todos",datos_base!$D$11+datos_base!$D$25,0))*parametros_manuales!$G$105+parametros_manuales!$G$43*(datos_base!$D$5+datos_base!$D$21+IF(parametros_manuales!$H$43="Todos",datos_base!$D$12+datos_base!$D$26,0))*parametros_manuales!$G$110)*parametros_manuales!$I$43*parametros_manuales!$J$43</f>
        <v>1647.91817519</v>
      </c>
      <c r="H80" s="9" t="n">
        <f aca="false">(parametros_manuales!$D$43*(datos_base!$D$2+datos_base!$D$18+IF(parametros_manuales!$H$43="Todos",datos_base!$D$9+datos_base!$D$23,0))*parametros_manuales!$H$95+parametros_manuales!$E$43*(datos_base!$D$3+datos_base!$D$19+IF(parametros_manuales!$H$43="Todos",datos_base!$D$10+datos_base!$D$24,0))*parametros_manuales!$H$100+parametros_manuales!$F$43*(datos_base!$D$4+datos_base!$D$20+IF(parametros_manuales!$H$43="Todos",datos_base!$D$11+datos_base!$D$25,0))*parametros_manuales!$H$105+parametros_manuales!$G$43*(datos_base!$D$5+datos_base!$D$21+IF(parametros_manuales!$H$43="Todos",datos_base!$D$12+datos_base!$D$26,0))*parametros_manuales!$H$110)*parametros_manuales!$I$43*parametros_manuales!$J$43</f>
        <v>1762.617436122</v>
      </c>
      <c r="I80" s="9" t="n">
        <f aca="false">(parametros_manuales!$D$43*(datos_base!$D$2+datos_base!$D$18+IF(parametros_manuales!$H$43="Todos",datos_base!$D$9+datos_base!$D$23,0))*parametros_manuales!$I$95+parametros_manuales!$E$43*(datos_base!$D$3+datos_base!$D$19+IF(parametros_manuales!$H$43="Todos",datos_base!$D$10+datos_base!$D$24,0))*parametros_manuales!$I$100+parametros_manuales!$F$43*(datos_base!$D$4+datos_base!$D$20+IF(parametros_manuales!$H$43="Todos",datos_base!$D$11+datos_base!$D$25,0))*parametros_manuales!$I$105+parametros_manuales!$G$43*(datos_base!$D$5+datos_base!$D$21+IF(parametros_manuales!$H$43="Todos",datos_base!$D$12+datos_base!$D$26,0))*parametros_manuales!$I$110)*parametros_manuales!$I$43*parametros_manuales!$J$43</f>
        <v>1980.329652492</v>
      </c>
      <c r="J80" s="9" t="n">
        <f aca="false">(parametros_manuales!$D$43*(datos_base!$D$2+datos_base!$D$18+IF(parametros_manuales!$H$43="Todos",datos_base!$D$9+datos_base!$D$23,0))*parametros_manuales!$J$95+parametros_manuales!$E$43*(datos_base!$D$3+datos_base!$D$19+IF(parametros_manuales!$H$43="Todos",datos_base!$D$10+datos_base!$D$24,0))*parametros_manuales!$J$100+parametros_manuales!$F$43*(datos_base!$D$4+datos_base!$D$20+IF(parametros_manuales!$H$43="Todos",datos_base!$D$11+datos_base!$D$25,0))*parametros_manuales!$J$105+parametros_manuales!$G$43*(datos_base!$D$5+datos_base!$D$21+IF(parametros_manuales!$H$43="Todos",datos_base!$D$12+datos_base!$D$26,0))*parametros_manuales!$J$110)*parametros_manuales!$I$43*parametros_manuales!$J$43</f>
        <v>1980.329652492</v>
      </c>
      <c r="K80" s="9" t="n">
        <f aca="false">(parametros_manuales!$D$43*(datos_base!$D$2+datos_base!$D$18+IF(parametros_manuales!$H$43="Todos",datos_base!$D$9+datos_base!$D$23,0))*parametros_manuales!$K$95+parametros_manuales!$E$43*(datos_base!$D$3+datos_base!$D$19+IF(parametros_manuales!$H$43="Todos",datos_base!$D$10+datos_base!$D$24,0))*parametros_manuales!$K$100+parametros_manuales!$F$43*(datos_base!$D$4+datos_base!$D$20+IF(parametros_manuales!$H$43="Todos",datos_base!$D$11+datos_base!$D$25,0))*parametros_manuales!$K$105+parametros_manuales!$G$43*(datos_base!$D$5+datos_base!$D$21+IF(parametros_manuales!$H$43="Todos",datos_base!$D$12+datos_base!$D$26,0))*parametros_manuales!$K$110)*parametros_manuales!$I$43*parametros_manuales!$J$43</f>
        <v>2022.458174634</v>
      </c>
      <c r="L80" s="9" t="n">
        <f aca="false">(parametros_manuales!$D$43*(datos_base!$D$2+datos_base!$D$18+IF(parametros_manuales!$H$43="Todos",datos_base!$D$9+datos_base!$D$23,0))*parametros_manuales!$L$95+parametros_manuales!$E$43*(datos_base!$D$3+datos_base!$D$19+IF(parametros_manuales!$H$43="Todos",datos_base!$D$10+datos_base!$D$24,0))*parametros_manuales!$L$100+parametros_manuales!$F$43*(datos_base!$D$4+datos_base!$D$20+IF(parametros_manuales!$H$43="Todos",datos_base!$D$11+datos_base!$D$25,0))*parametros_manuales!$L$105+parametros_manuales!$G$43*(datos_base!$D$5+datos_base!$D$21+IF(parametros_manuales!$H$43="Todos",datos_base!$D$12+datos_base!$D$26,0))*parametros_manuales!$L$110)*parametros_manuales!$I$43*parametros_manuales!$J$43</f>
        <v>2064.586696776</v>
      </c>
      <c r="M80" s="9" t="n">
        <f aca="false">(parametros_manuales!$D$43*(datos_base!$D$2+datos_base!$D$18+IF(parametros_manuales!$H$43="Todos",datos_base!$D$9+datos_base!$D$23,0))*parametros_manuales!$M$95+parametros_manuales!$E$43*(datos_base!$D$3+datos_base!$D$19+IF(parametros_manuales!$H$43="Todos",datos_base!$D$10+datos_base!$D$24,0))*parametros_manuales!$M$100+parametros_manuales!$F$43*(datos_base!$D$4+datos_base!$D$20+IF(parametros_manuales!$H$43="Todos",datos_base!$D$11+datos_base!$D$25,0))*parametros_manuales!$M$105+parametros_manuales!$G$43*(datos_base!$D$5+datos_base!$D$21+IF(parametros_manuales!$H$43="Todos",datos_base!$D$12+datos_base!$D$26,0))*parametros_manuales!$M$110)*parametros_manuales!$I$43*parametros_manuales!$J$43</f>
        <v>2064.586696776</v>
      </c>
      <c r="N80" s="9" t="n">
        <f aca="false">SUM(B80:M80)</f>
        <v>22939.8521864</v>
      </c>
      <c r="O80" s="9" t="n">
        <f aca="false">MAX(B80:M80)</f>
        <v>2064.586696776</v>
      </c>
      <c r="P80" s="43" t="n">
        <f aca="false">O80/(parametros_manuales!$B$7)</f>
        <v>13.76391131184</v>
      </c>
      <c r="Q80" s="8" t="str">
        <f aca="false">IF(O80=0,"-",INDEX($B$55:$M$55,MATCH(O80,B80:M80,0)))</f>
        <v>Ene</v>
      </c>
    </row>
    <row r="81" customFormat="false" ht="14.25" hidden="false" customHeight="true" outlineLevel="0" collapsed="false"/>
    <row r="82" customFormat="false" ht="14.25" hidden="false" customHeight="true" outlineLevel="0" collapsed="false">
      <c r="A82" s="7" t="s">
        <v>193</v>
      </c>
      <c r="B82" s="7" t="s">
        <v>61</v>
      </c>
      <c r="C82" s="7" t="s">
        <v>62</v>
      </c>
      <c r="D82" s="7" t="s">
        <v>63</v>
      </c>
      <c r="E82" s="7" t="s">
        <v>64</v>
      </c>
      <c r="F82" s="7" t="s">
        <v>65</v>
      </c>
      <c r="G82" s="7" t="s">
        <v>66</v>
      </c>
      <c r="H82" s="7" t="s">
        <v>67</v>
      </c>
      <c r="I82" s="7" t="s">
        <v>68</v>
      </c>
      <c r="J82" s="7" t="s">
        <v>69</v>
      </c>
      <c r="K82" s="7" t="s">
        <v>70</v>
      </c>
      <c r="L82" s="7" t="s">
        <v>71</v>
      </c>
      <c r="M82" s="7" t="s">
        <v>72</v>
      </c>
      <c r="N82" s="7" t="s">
        <v>183</v>
      </c>
      <c r="O82" s="7" t="s">
        <v>188</v>
      </c>
      <c r="P82" s="7" t="s">
        <v>189</v>
      </c>
      <c r="Q82" s="7" t="s">
        <v>190</v>
      </c>
    </row>
    <row r="83" customFormat="false" ht="14.25" hidden="false" customHeight="true" outlineLevel="0" collapsed="false">
      <c r="A83" s="8" t="str">
        <f aca="false">parametros_manuales!$B$19</f>
        <v>Recepción de materia prima</v>
      </c>
      <c r="B83" s="9" t="n">
        <f aca="false">(parametros_manuales!$D$19*(datos_base!$E$2+datos_base!$E$18+IF(parametros_manuales!$H$19="Todos",datos_base!$E$9+datos_base!$E$23,0))*parametros_manuales!$B$95+parametros_manuales!$E$19*(datos_base!$E$3+datos_base!$E$19+IF(parametros_manuales!$H$19="Todos",datos_base!$E$10+datos_base!$E$24,0))*parametros_manuales!$B$100+parametros_manuales!$F$19*(datos_base!$E$4+datos_base!$E$20+IF(parametros_manuales!$H$19="Todos",datos_base!$E$11+datos_base!$E$25,0))*parametros_manuales!$B$105+parametros_manuales!$G$19*(datos_base!$E$5+datos_base!$E$21+IF(parametros_manuales!$H$19="Todos",datos_base!$E$12+datos_base!$E$26,0))*parametros_manuales!$B$110)*parametros_manuales!$I$19*parametros_manuales!$J$19</f>
        <v>4564.604657709</v>
      </c>
      <c r="C83" s="9" t="n">
        <f aca="false">(parametros_manuales!$D$19*(datos_base!$E$2+datos_base!$E$18+IF(parametros_manuales!$H$19="Todos",datos_base!$E$9+datos_base!$E$23,0))*parametros_manuales!$C$95+parametros_manuales!$E$19*(datos_base!$E$3+datos_base!$E$19+IF(parametros_manuales!$H$19="Todos",datos_base!$E$10+datos_base!$E$24,0))*parametros_manuales!$C$100+parametros_manuales!$F$19*(datos_base!$E$4+datos_base!$E$20+IF(parametros_manuales!$H$19="Todos",datos_base!$E$11+datos_base!$E$25,0))*parametros_manuales!$C$105+parametros_manuales!$G$19*(datos_base!$E$5+datos_base!$E$21+IF(parametros_manuales!$H$19="Todos",datos_base!$E$12+datos_base!$E$26,0))*parametros_manuales!$C$110)*parametros_manuales!$I$19*parametros_manuales!$J$19</f>
        <v>4409.045717898</v>
      </c>
      <c r="D83" s="9" t="n">
        <f aca="false">(parametros_manuales!$D$19*(datos_base!$E$2+datos_base!$E$18+IF(parametros_manuales!$H$19="Todos",datos_base!$E$9+datos_base!$E$23,0))*parametros_manuales!$D$95+parametros_manuales!$E$19*(datos_base!$E$3+datos_base!$E$19+IF(parametros_manuales!$H$19="Todos",datos_base!$E$10+datos_base!$E$24,0))*parametros_manuales!$D$100+parametros_manuales!$F$19*(datos_base!$E$4+datos_base!$E$20+IF(parametros_manuales!$H$19="Todos",datos_base!$E$11+datos_base!$E$25,0))*parametros_manuales!$D$105+parametros_manuales!$G$19*(datos_base!$E$5+datos_base!$E$21+IF(parametros_manuales!$H$19="Todos",datos_base!$E$12+datos_base!$E$26,0))*parametros_manuales!$D$110)*parametros_manuales!$I$19*parametros_manuales!$J$19</f>
        <v>4135.2058323135</v>
      </c>
      <c r="E83" s="9" t="n">
        <f aca="false">(parametros_manuales!$D$19*(datos_base!$E$2+datos_base!$E$18+IF(parametros_manuales!$H$19="Todos",datos_base!$E$9+datos_base!$E$23,0))*parametros_manuales!$E$95+parametros_manuales!$E$19*(datos_base!$E$3+datos_base!$E$19+IF(parametros_manuales!$H$19="Todos",datos_base!$E$10+datos_base!$E$24,0))*parametros_manuales!$E$100+parametros_manuales!$F$19*(datos_base!$E$4+datos_base!$E$20+IF(parametros_manuales!$H$19="Todos",datos_base!$E$11+datos_base!$E$25,0))*parametros_manuales!$E$105+parametros_manuales!$G$19*(datos_base!$E$5+datos_base!$E$21+IF(parametros_manuales!$H$19="Todos",datos_base!$E$12+datos_base!$E$26,0))*parametros_manuales!$E$110)*parametros_manuales!$I$19*parametros_manuales!$J$19</f>
        <v>3959.3961545685</v>
      </c>
      <c r="F83" s="9" t="n">
        <f aca="false">(parametros_manuales!$D$19*(datos_base!$E$2+datos_base!$E$18+IF(parametros_manuales!$H$19="Todos",datos_base!$E$9+datos_base!$E$23,0))*parametros_manuales!$F$95+parametros_manuales!$E$19*(datos_base!$E$3+datos_base!$E$19+IF(parametros_manuales!$H$19="Todos",datos_base!$E$10+datos_base!$E$24,0))*parametros_manuales!$F$100+parametros_manuales!$F$19*(datos_base!$E$4+datos_base!$E$20+IF(parametros_manuales!$H$19="Todos",datos_base!$E$11+datos_base!$E$25,0))*parametros_manuales!$F$105+parametros_manuales!$G$19*(datos_base!$E$5+datos_base!$E$21+IF(parametros_manuales!$H$19="Todos",datos_base!$E$12+datos_base!$E$26,0))*parametros_manuales!$F$110)*parametros_manuales!$I$19*parametros_manuales!$J$19</f>
        <v>3705.807006918</v>
      </c>
      <c r="G83" s="9" t="n">
        <f aca="false">(parametros_manuales!$D$19*(datos_base!$E$2+datos_base!$E$18+IF(parametros_manuales!$H$19="Todos",datos_base!$E$9+datos_base!$E$23,0))*parametros_manuales!$G$95+parametros_manuales!$E$19*(datos_base!$E$3+datos_base!$E$19+IF(parametros_manuales!$H$19="Todos",datos_base!$E$10+datos_base!$E$24,0))*parametros_manuales!$G$100+parametros_manuales!$F$19*(datos_base!$E$4+datos_base!$E$20+IF(parametros_manuales!$H$19="Todos",datos_base!$E$11+datos_base!$E$25,0))*parametros_manuales!$G$105+parametros_manuales!$G$19*(datos_base!$E$5+datos_base!$E$21+IF(parametros_manuales!$H$19="Todos",datos_base!$E$12+datos_base!$E$26,0))*parametros_manuales!$G$110)*parametros_manuales!$I$19*parametros_manuales!$J$19</f>
        <v>3628.0275370125</v>
      </c>
      <c r="H83" s="9" t="n">
        <f aca="false">(parametros_manuales!$D$19*(datos_base!$E$2+datos_base!$E$18+IF(parametros_manuales!$H$19="Todos",datos_base!$E$9+datos_base!$E$23,0))*parametros_manuales!$H$95+parametros_manuales!$E$19*(datos_base!$E$3+datos_base!$E$19+IF(parametros_manuales!$H$19="Todos",datos_base!$E$10+datos_base!$E$24,0))*parametros_manuales!$H$100+parametros_manuales!$F$19*(datos_base!$E$4+datos_base!$E$20+IF(parametros_manuales!$H$19="Todos",datos_base!$E$11+datos_base!$E$25,0))*parametros_manuales!$H$105+parametros_manuales!$G$19*(datos_base!$E$5+datos_base!$E$21+IF(parametros_manuales!$H$19="Todos",datos_base!$E$12+datos_base!$E$26,0))*parametros_manuales!$H$110)*parametros_manuales!$I$19*parametros_manuales!$J$19</f>
        <v>3881.616684663</v>
      </c>
      <c r="I83" s="9" t="n">
        <f aca="false">(parametros_manuales!$D$19*(datos_base!$E$2+datos_base!$E$18+IF(parametros_manuales!$H$19="Todos",datos_base!$E$9+datos_base!$E$23,0))*parametros_manuales!$I$95+parametros_manuales!$E$19*(datos_base!$E$3+datos_base!$E$19+IF(parametros_manuales!$H$19="Todos",datos_base!$E$10+datos_base!$E$24,0))*parametros_manuales!$I$100+parametros_manuales!$F$19*(datos_base!$E$4+datos_base!$E$20+IF(parametros_manuales!$H$19="Todos",datos_base!$E$11+datos_base!$E$25,0))*parametros_manuales!$I$105+parametros_manuales!$G$19*(datos_base!$E$5+datos_base!$E$21+IF(parametros_manuales!$H$19="Todos",datos_base!$E$12+datos_base!$E$26,0))*parametros_manuales!$I$110)*parametros_manuales!$I$19*parametros_manuales!$J$19</f>
        <v>4409.045717898</v>
      </c>
      <c r="J83" s="9" t="n">
        <f aca="false">(parametros_manuales!$D$19*(datos_base!$E$2+datos_base!$E$18+IF(parametros_manuales!$H$19="Todos",datos_base!$E$9+datos_base!$E$23,0))*parametros_manuales!$J$95+parametros_manuales!$E$19*(datos_base!$E$3+datos_base!$E$19+IF(parametros_manuales!$H$19="Todos",datos_base!$E$10+datos_base!$E$24,0))*parametros_manuales!$J$100+parametros_manuales!$F$19*(datos_base!$E$4+datos_base!$E$20+IF(parametros_manuales!$H$19="Todos",datos_base!$E$11+datos_base!$E$25,0))*parametros_manuales!$J$105+parametros_manuales!$G$19*(datos_base!$E$5+datos_base!$E$21+IF(parametros_manuales!$H$19="Todos",datos_base!$E$12+datos_base!$E$26,0))*parametros_manuales!$J$110)*parametros_manuales!$I$19*parametros_manuales!$J$19</f>
        <v>4409.045717898</v>
      </c>
      <c r="K83" s="9" t="n">
        <f aca="false">(parametros_manuales!$D$19*(datos_base!$E$2+datos_base!$E$18+IF(parametros_manuales!$H$19="Todos",datos_base!$E$9+datos_base!$E$23,0))*parametros_manuales!$K$95+parametros_manuales!$E$19*(datos_base!$E$3+datos_base!$E$19+IF(parametros_manuales!$H$19="Todos",datos_base!$E$10+datos_base!$E$24,0))*parametros_manuales!$K$100+parametros_manuales!$F$19*(datos_base!$E$4+datos_base!$E$20+IF(parametros_manuales!$H$19="Todos",datos_base!$E$11+datos_base!$E$25,0))*parametros_manuales!$K$105+parametros_manuales!$G$19*(datos_base!$E$5+datos_base!$E$21+IF(parametros_manuales!$H$19="Todos",datos_base!$E$12+datos_base!$E$26,0))*parametros_manuales!$K$110)*parametros_manuales!$I$19*parametros_manuales!$J$19</f>
        <v>4486.8251878035</v>
      </c>
      <c r="L83" s="9" t="n">
        <f aca="false">(parametros_manuales!$D$19*(datos_base!$E$2+datos_base!$E$18+IF(parametros_manuales!$H$19="Todos",datos_base!$E$9+datos_base!$E$23,0))*parametros_manuales!$L$95+parametros_manuales!$E$19*(datos_base!$E$3+datos_base!$E$19+IF(parametros_manuales!$H$19="Todos",datos_base!$E$10+datos_base!$E$24,0))*parametros_manuales!$L$100+parametros_manuales!$F$19*(datos_base!$E$4+datos_base!$E$20+IF(parametros_manuales!$H$19="Todos",datos_base!$E$11+datos_base!$E$25,0))*parametros_manuales!$L$105+parametros_manuales!$G$19*(datos_base!$E$5+datos_base!$E$21+IF(parametros_manuales!$H$19="Todos",datos_base!$E$12+datos_base!$E$26,0))*parametros_manuales!$L$110)*parametros_manuales!$I$19*parametros_manuales!$J$19</f>
        <v>4564.604657709</v>
      </c>
      <c r="M83" s="9" t="n">
        <f aca="false">(parametros_manuales!$D$19*(datos_base!$E$2+datos_base!$E$18+IF(parametros_manuales!$H$19="Todos",datos_base!$E$9+datos_base!$E$23,0))*parametros_manuales!$M$95+parametros_manuales!$E$19*(datos_base!$E$3+datos_base!$E$19+IF(parametros_manuales!$H$19="Todos",datos_base!$E$10+datos_base!$E$24,0))*parametros_manuales!$M$100+parametros_manuales!$F$19*(datos_base!$E$4+datos_base!$E$20+IF(parametros_manuales!$H$19="Todos",datos_base!$E$11+datos_base!$E$25,0))*parametros_manuales!$M$105+parametros_manuales!$G$19*(datos_base!$E$5+datos_base!$E$21+IF(parametros_manuales!$H$19="Todos",datos_base!$E$12+datos_base!$E$26,0))*parametros_manuales!$M$110)*parametros_manuales!$I$19*parametros_manuales!$J$19</f>
        <v>4564.604657709</v>
      </c>
      <c r="N83" s="9" t="n">
        <f aca="false">SUM(B83:M83)</f>
        <v>50717.8295301</v>
      </c>
      <c r="O83" s="9" t="n">
        <f aca="false">MAX(B83:M83)</f>
        <v>4564.604657709</v>
      </c>
      <c r="P83" s="43" t="n">
        <f aca="false">O83/(parametros_manuales!$B$7)</f>
        <v>30.43069771806</v>
      </c>
      <c r="Q83" s="8" t="str">
        <f aca="false">IF(O83=0,"-",INDEX($B$82:$M$82,MATCH(O83,B83:M83,0)))</f>
        <v>Ene</v>
      </c>
    </row>
    <row r="84" customFormat="false" ht="14.25" hidden="false" customHeight="true" outlineLevel="0" collapsed="false">
      <c r="A84" s="8" t="str">
        <f aca="false">parametros_manuales!$B$20</f>
        <v>Corte de chapa (guillotina) — 2,5 a 10 kg</v>
      </c>
      <c r="B84" s="9" t="n">
        <f aca="false">(parametros_manuales!$D$20*(datos_base!$E$2+datos_base!$E$18+IF(parametros_manuales!$H$20="Todos",datos_base!$E$9+datos_base!$E$23,0))*parametros_manuales!$B$95+parametros_manuales!$E$20*(datos_base!$E$3+datos_base!$E$19+IF(parametros_manuales!$H$20="Todos",datos_base!$E$10+datos_base!$E$24,0))*parametros_manuales!$B$100+parametros_manuales!$F$20*(datos_base!$E$4+datos_base!$E$20+IF(parametros_manuales!$H$20="Todos",datos_base!$E$11+datos_base!$E$25,0))*parametros_manuales!$B$105+parametros_manuales!$G$20*(datos_base!$E$5+datos_base!$E$21+IF(parametros_manuales!$H$20="Todos",datos_base!$E$12+datos_base!$E$26,0))*parametros_manuales!$B$110)*parametros_manuales!$I$20*parametros_manuales!$J$20</f>
        <v>1400.030458299</v>
      </c>
      <c r="C84" s="9" t="n">
        <f aca="false">(parametros_manuales!$D$20*(datos_base!$E$2+datos_base!$E$18+IF(parametros_manuales!$H$20="Todos",datos_base!$E$9+datos_base!$E$23,0))*parametros_manuales!$C$95+parametros_manuales!$E$20*(datos_base!$E$3+datos_base!$E$19+IF(parametros_manuales!$H$20="Todos",datos_base!$E$10+datos_base!$E$24,0))*parametros_manuales!$C$100+parametros_manuales!$F$20*(datos_base!$E$4+datos_base!$E$20+IF(parametros_manuales!$H$20="Todos",datos_base!$E$11+datos_base!$E$25,0))*parametros_manuales!$C$105+parametros_manuales!$G$20*(datos_base!$E$5+datos_base!$E$21+IF(parametros_manuales!$H$20="Todos",datos_base!$E$12+datos_base!$E$26,0))*parametros_manuales!$C$110)*parametros_manuales!$I$20*parametros_manuales!$J$20</f>
        <v>1244.471518488</v>
      </c>
      <c r="D84" s="9" t="n">
        <f aca="false">(parametros_manuales!$D$20*(datos_base!$E$2+datos_base!$E$18+IF(parametros_manuales!$H$20="Todos",datos_base!$E$9+datos_base!$E$23,0))*parametros_manuales!$D$95+parametros_manuales!$E$20*(datos_base!$E$3+datos_base!$E$19+IF(parametros_manuales!$H$20="Todos",datos_base!$E$10+datos_base!$E$24,0))*parametros_manuales!$D$100+parametros_manuales!$F$20*(datos_base!$E$4+datos_base!$E$20+IF(parametros_manuales!$H$20="Todos",datos_base!$E$11+datos_base!$E$25,0))*parametros_manuales!$D$105+parametros_manuales!$G$20*(datos_base!$E$5+datos_base!$E$21+IF(parametros_manuales!$H$20="Todos",datos_base!$E$12+datos_base!$E$26,0))*parametros_manuales!$D$110)*parametros_manuales!$I$20*parametros_manuales!$J$20</f>
        <v>1322.2509883935</v>
      </c>
      <c r="E84" s="9" t="n">
        <f aca="false">(parametros_manuales!$D$20*(datos_base!$E$2+datos_base!$E$18+IF(parametros_manuales!$H$20="Todos",datos_base!$E$9+datos_base!$E$23,0))*parametros_manuales!$E$95+parametros_manuales!$E$20*(datos_base!$E$3+datos_base!$E$19+IF(parametros_manuales!$H$20="Todos",datos_base!$E$10+datos_base!$E$24,0))*parametros_manuales!$E$100+parametros_manuales!$F$20*(datos_base!$E$4+datos_base!$E$20+IF(parametros_manuales!$H$20="Todos",datos_base!$E$11+datos_base!$E$25,0))*parametros_manuales!$E$105+parametros_manuales!$G$20*(datos_base!$E$5+datos_base!$E$21+IF(parametros_manuales!$H$20="Todos",datos_base!$E$12+datos_base!$E$26,0))*parametros_manuales!$E$110)*parametros_manuales!$I$20*parametros_manuales!$J$20</f>
        <v>1322.2509883935</v>
      </c>
      <c r="F84" s="9" t="n">
        <f aca="false">(parametros_manuales!$D$20*(datos_base!$E$2+datos_base!$E$18+IF(parametros_manuales!$H$20="Todos",datos_base!$E$9+datos_base!$E$23,0))*parametros_manuales!$F$95+parametros_manuales!$E$20*(datos_base!$E$3+datos_base!$E$19+IF(parametros_manuales!$H$20="Todos",datos_base!$E$10+datos_base!$E$24,0))*parametros_manuales!$F$100+parametros_manuales!$F$20*(datos_base!$E$4+datos_base!$E$20+IF(parametros_manuales!$H$20="Todos",datos_base!$E$11+datos_base!$E$25,0))*parametros_manuales!$F$105+parametros_manuales!$G$20*(datos_base!$E$5+datos_base!$E$21+IF(parametros_manuales!$H$20="Todos",datos_base!$E$12+datos_base!$E$26,0))*parametros_manuales!$F$110)*parametros_manuales!$I$20*parametros_manuales!$J$20</f>
        <v>1244.471518488</v>
      </c>
      <c r="G84" s="9" t="n">
        <f aca="false">(parametros_manuales!$D$20*(datos_base!$E$2+datos_base!$E$18+IF(parametros_manuales!$H$20="Todos",datos_base!$E$9+datos_base!$E$23,0))*parametros_manuales!$G$95+parametros_manuales!$E$20*(datos_base!$E$3+datos_base!$E$19+IF(parametros_manuales!$H$20="Todos",datos_base!$E$10+datos_base!$E$24,0))*parametros_manuales!$G$100+parametros_manuales!$F$20*(datos_base!$E$4+datos_base!$E$20+IF(parametros_manuales!$H$20="Todos",datos_base!$E$11+datos_base!$E$25,0))*parametros_manuales!$G$105+parametros_manuales!$G$20*(datos_base!$E$5+datos_base!$E$21+IF(parametros_manuales!$H$20="Todos",datos_base!$E$12+datos_base!$E$26,0))*parametros_manuales!$G$110)*parametros_manuales!$I$20*parametros_manuales!$J$20</f>
        <v>1166.6920485825</v>
      </c>
      <c r="H84" s="9" t="n">
        <f aca="false">(parametros_manuales!$D$20*(datos_base!$E$2+datos_base!$E$18+IF(parametros_manuales!$H$20="Todos",datos_base!$E$9+datos_base!$E$23,0))*parametros_manuales!$H$95+parametros_manuales!$E$20*(datos_base!$E$3+datos_base!$E$19+IF(parametros_manuales!$H$20="Todos",datos_base!$E$10+datos_base!$E$24,0))*parametros_manuales!$H$100+parametros_manuales!$F$20*(datos_base!$E$4+datos_base!$E$20+IF(parametros_manuales!$H$20="Todos",datos_base!$E$11+datos_base!$E$25,0))*parametros_manuales!$H$105+parametros_manuales!$G$20*(datos_base!$E$5+datos_base!$E$21+IF(parametros_manuales!$H$20="Todos",datos_base!$E$12+datos_base!$E$26,0))*parametros_manuales!$H$110)*parametros_manuales!$I$20*parametros_manuales!$J$20</f>
        <v>1244.471518488</v>
      </c>
      <c r="I84" s="9" t="n">
        <f aca="false">(parametros_manuales!$D$20*(datos_base!$E$2+datos_base!$E$18+IF(parametros_manuales!$H$20="Todos",datos_base!$E$9+datos_base!$E$23,0))*parametros_manuales!$I$95+parametros_manuales!$E$20*(datos_base!$E$3+datos_base!$E$19+IF(parametros_manuales!$H$20="Todos",datos_base!$E$10+datos_base!$E$24,0))*parametros_manuales!$I$100+parametros_manuales!$F$20*(datos_base!$E$4+datos_base!$E$20+IF(parametros_manuales!$H$20="Todos",datos_base!$E$11+datos_base!$E$25,0))*parametros_manuales!$I$105+parametros_manuales!$G$20*(datos_base!$E$5+datos_base!$E$21+IF(parametros_manuales!$H$20="Todos",datos_base!$E$12+datos_base!$E$26,0))*parametros_manuales!$I$110)*parametros_manuales!$I$20*parametros_manuales!$J$20</f>
        <v>1244.471518488</v>
      </c>
      <c r="J84" s="9" t="n">
        <f aca="false">(parametros_manuales!$D$20*(datos_base!$E$2+datos_base!$E$18+IF(parametros_manuales!$H$20="Todos",datos_base!$E$9+datos_base!$E$23,0))*parametros_manuales!$J$95+parametros_manuales!$E$20*(datos_base!$E$3+datos_base!$E$19+IF(parametros_manuales!$H$20="Todos",datos_base!$E$10+datos_base!$E$24,0))*parametros_manuales!$J$100+parametros_manuales!$F$20*(datos_base!$E$4+datos_base!$E$20+IF(parametros_manuales!$H$20="Todos",datos_base!$E$11+datos_base!$E$25,0))*parametros_manuales!$J$105+parametros_manuales!$G$20*(datos_base!$E$5+datos_base!$E$21+IF(parametros_manuales!$H$20="Todos",datos_base!$E$12+datos_base!$E$26,0))*parametros_manuales!$J$110)*parametros_manuales!$I$20*parametros_manuales!$J$20</f>
        <v>1244.471518488</v>
      </c>
      <c r="K84" s="9" t="n">
        <f aca="false">(parametros_manuales!$D$20*(datos_base!$E$2+datos_base!$E$18+IF(parametros_manuales!$H$20="Todos",datos_base!$E$9+datos_base!$E$23,0))*parametros_manuales!$K$95+parametros_manuales!$E$20*(datos_base!$E$3+datos_base!$E$19+IF(parametros_manuales!$H$20="Todos",datos_base!$E$10+datos_base!$E$24,0))*parametros_manuales!$K$100+parametros_manuales!$F$20*(datos_base!$E$4+datos_base!$E$20+IF(parametros_manuales!$H$20="Todos",datos_base!$E$11+datos_base!$E$25,0))*parametros_manuales!$K$105+parametros_manuales!$G$20*(datos_base!$E$5+datos_base!$E$21+IF(parametros_manuales!$H$20="Todos",datos_base!$E$12+datos_base!$E$26,0))*parametros_manuales!$K$110)*parametros_manuales!$I$20*parametros_manuales!$J$20</f>
        <v>1322.2509883935</v>
      </c>
      <c r="L84" s="9" t="n">
        <f aca="false">(parametros_manuales!$D$20*(datos_base!$E$2+datos_base!$E$18+IF(parametros_manuales!$H$20="Todos",datos_base!$E$9+datos_base!$E$23,0))*parametros_manuales!$L$95+parametros_manuales!$E$20*(datos_base!$E$3+datos_base!$E$19+IF(parametros_manuales!$H$20="Todos",datos_base!$E$10+datos_base!$E$24,0))*parametros_manuales!$L$100+parametros_manuales!$F$20*(datos_base!$E$4+datos_base!$E$20+IF(parametros_manuales!$H$20="Todos",datos_base!$E$11+datos_base!$E$25,0))*parametros_manuales!$L$105+parametros_manuales!$G$20*(datos_base!$E$5+datos_base!$E$21+IF(parametros_manuales!$H$20="Todos",datos_base!$E$12+datos_base!$E$26,0))*parametros_manuales!$L$110)*parametros_manuales!$I$20*parametros_manuales!$J$20</f>
        <v>1400.030458299</v>
      </c>
      <c r="M84" s="9" t="n">
        <f aca="false">(parametros_manuales!$D$20*(datos_base!$E$2+datos_base!$E$18+IF(parametros_manuales!$H$20="Todos",datos_base!$E$9+datos_base!$E$23,0))*parametros_manuales!$M$95+parametros_manuales!$E$20*(datos_base!$E$3+datos_base!$E$19+IF(parametros_manuales!$H$20="Todos",datos_base!$E$10+datos_base!$E$24,0))*parametros_manuales!$M$100+parametros_manuales!$F$20*(datos_base!$E$4+datos_base!$E$20+IF(parametros_manuales!$H$20="Todos",datos_base!$E$11+datos_base!$E$25,0))*parametros_manuales!$M$105+parametros_manuales!$G$20*(datos_base!$E$5+datos_base!$E$21+IF(parametros_manuales!$H$20="Todos",datos_base!$E$12+datos_base!$E$26,0))*parametros_manuales!$M$110)*parametros_manuales!$I$20*parametros_manuales!$J$20</f>
        <v>1400.030458299</v>
      </c>
      <c r="N84" s="9" t="n">
        <f aca="false">SUM(B84:M84)</f>
        <v>15555.8939811</v>
      </c>
      <c r="O84" s="9" t="n">
        <f aca="false">MAX(B84:M84)</f>
        <v>1400.030458299</v>
      </c>
      <c r="P84" s="43" t="n">
        <f aca="false">O84/(parametros_manuales!$B$7)</f>
        <v>9.33353638866</v>
      </c>
      <c r="Q84" s="8" t="str">
        <f aca="false">IF(O84=0,"-",INDEX($B$82:$M$82,MATCH(O84,B84:M84,0)))</f>
        <v>Ene</v>
      </c>
    </row>
    <row r="85" customFormat="false" ht="14.25" hidden="false" customHeight="true" outlineLevel="0" collapsed="false">
      <c r="A85" s="8" t="str">
        <f aca="false">parametros_manuales!$B$21</f>
        <v>Corte de tubo — 1 kg</v>
      </c>
      <c r="B85" s="9" t="n">
        <f aca="false">(parametros_manuales!$D$21*(datos_base!$E$2+datos_base!$E$18+IF(parametros_manuales!$H$21="Todos",datos_base!$E$9+datos_base!$E$23,0))*parametros_manuales!$B$95+parametros_manuales!$E$21*(datos_base!$E$3+datos_base!$E$19+IF(parametros_manuales!$H$21="Todos",datos_base!$E$10+datos_base!$E$24,0))*parametros_manuales!$B$100+parametros_manuales!$F$21*(datos_base!$E$4+datos_base!$E$20+IF(parametros_manuales!$H$21="Todos",datos_base!$E$11+datos_base!$E$25,0))*parametros_manuales!$B$105+parametros_manuales!$G$21*(datos_base!$E$5+datos_base!$E$21+IF(parametros_manuales!$H$21="Todos",datos_base!$E$12+datos_base!$E$26,0))*parametros_manuales!$B$110)*parametros_manuales!$I$21*parametros_manuales!$J$21</f>
        <v>3164.57419941</v>
      </c>
      <c r="C85" s="9" t="n">
        <f aca="false">(parametros_manuales!$D$21*(datos_base!$E$2+datos_base!$E$18+IF(parametros_manuales!$H$21="Todos",datos_base!$E$9+datos_base!$E$23,0))*parametros_manuales!$C$95+parametros_manuales!$E$21*(datos_base!$E$3+datos_base!$E$19+IF(parametros_manuales!$H$21="Todos",datos_base!$E$10+datos_base!$E$24,0))*parametros_manuales!$C$100+parametros_manuales!$F$21*(datos_base!$E$4+datos_base!$E$20+IF(parametros_manuales!$H$21="Todos",datos_base!$E$11+datos_base!$E$25,0))*parametros_manuales!$C$105+parametros_manuales!$G$21*(datos_base!$E$5+datos_base!$E$21+IF(parametros_manuales!$H$21="Todos",datos_base!$E$12+datos_base!$E$26,0))*parametros_manuales!$C$110)*parametros_manuales!$I$21*parametros_manuales!$J$21</f>
        <v>3164.57419941</v>
      </c>
      <c r="D85" s="9" t="n">
        <f aca="false">(parametros_manuales!$D$21*(datos_base!$E$2+datos_base!$E$18+IF(parametros_manuales!$H$21="Todos",datos_base!$E$9+datos_base!$E$23,0))*parametros_manuales!$D$95+parametros_manuales!$E$21*(datos_base!$E$3+datos_base!$E$19+IF(parametros_manuales!$H$21="Todos",datos_base!$E$10+datos_base!$E$24,0))*parametros_manuales!$D$100+parametros_manuales!$F$21*(datos_base!$E$4+datos_base!$E$20+IF(parametros_manuales!$H$21="Todos",datos_base!$E$11+datos_base!$E$25,0))*parametros_manuales!$D$105+parametros_manuales!$G$21*(datos_base!$E$5+datos_base!$E$21+IF(parametros_manuales!$H$21="Todos",datos_base!$E$12+datos_base!$E$26,0))*parametros_manuales!$D$110)*parametros_manuales!$I$21*parametros_manuales!$J$21</f>
        <v>2812.95484392</v>
      </c>
      <c r="E85" s="9" t="n">
        <f aca="false">(parametros_manuales!$D$21*(datos_base!$E$2+datos_base!$E$18+IF(parametros_manuales!$H$21="Todos",datos_base!$E$9+datos_base!$E$23,0))*parametros_manuales!$E$95+parametros_manuales!$E$21*(datos_base!$E$3+datos_base!$E$19+IF(parametros_manuales!$H$21="Todos",datos_base!$E$10+datos_base!$E$24,0))*parametros_manuales!$E$100+parametros_manuales!$F$21*(datos_base!$E$4+datos_base!$E$20+IF(parametros_manuales!$H$21="Todos",datos_base!$E$11+datos_base!$E$25,0))*parametros_manuales!$E$105+parametros_manuales!$G$21*(datos_base!$E$5+datos_base!$E$21+IF(parametros_manuales!$H$21="Todos",datos_base!$E$12+datos_base!$E$26,0))*parametros_manuales!$E$110)*parametros_manuales!$I$21*parametros_manuales!$J$21</f>
        <v>2637.145166175</v>
      </c>
      <c r="F85" s="9" t="n">
        <f aca="false">(parametros_manuales!$D$21*(datos_base!$E$2+datos_base!$E$18+IF(parametros_manuales!$H$21="Todos",datos_base!$E$9+datos_base!$E$23,0))*parametros_manuales!$F$95+parametros_manuales!$E$21*(datos_base!$E$3+datos_base!$E$19+IF(parametros_manuales!$H$21="Todos",datos_base!$E$10+datos_base!$E$24,0))*parametros_manuales!$F$100+parametros_manuales!$F$21*(datos_base!$E$4+datos_base!$E$20+IF(parametros_manuales!$H$21="Todos",datos_base!$E$11+datos_base!$E$25,0))*parametros_manuales!$F$105+parametros_manuales!$G$21*(datos_base!$E$5+datos_base!$E$21+IF(parametros_manuales!$H$21="Todos",datos_base!$E$12+datos_base!$E$26,0))*parametros_manuales!$F$110)*parametros_manuales!$I$21*parametros_manuales!$J$21</f>
        <v>2461.33548843</v>
      </c>
      <c r="G85" s="9" t="n">
        <f aca="false">(parametros_manuales!$D$21*(datos_base!$E$2+datos_base!$E$18+IF(parametros_manuales!$H$21="Todos",datos_base!$E$9+datos_base!$E$23,0))*parametros_manuales!$G$95+parametros_manuales!$E$21*(datos_base!$E$3+datos_base!$E$19+IF(parametros_manuales!$H$21="Todos",datos_base!$E$10+datos_base!$E$24,0))*parametros_manuales!$G$100+parametros_manuales!$F$21*(datos_base!$E$4+datos_base!$E$20+IF(parametros_manuales!$H$21="Todos",datos_base!$E$11+datos_base!$E$25,0))*parametros_manuales!$G$105+parametros_manuales!$G$21*(datos_base!$E$5+datos_base!$E$21+IF(parametros_manuales!$H$21="Todos",datos_base!$E$12+datos_base!$E$26,0))*parametros_manuales!$G$110)*parametros_manuales!$I$21*parametros_manuales!$J$21</f>
        <v>2461.33548843</v>
      </c>
      <c r="H85" s="9" t="n">
        <f aca="false">(parametros_manuales!$D$21*(datos_base!$E$2+datos_base!$E$18+IF(parametros_manuales!$H$21="Todos",datos_base!$E$9+datos_base!$E$23,0))*parametros_manuales!$H$95+parametros_manuales!$E$21*(datos_base!$E$3+datos_base!$E$19+IF(parametros_manuales!$H$21="Todos",datos_base!$E$10+datos_base!$E$24,0))*parametros_manuales!$H$100+parametros_manuales!$F$21*(datos_base!$E$4+datos_base!$E$20+IF(parametros_manuales!$H$21="Todos",datos_base!$E$11+datos_base!$E$25,0))*parametros_manuales!$H$105+parametros_manuales!$G$21*(datos_base!$E$5+datos_base!$E$21+IF(parametros_manuales!$H$21="Todos",datos_base!$E$12+datos_base!$E$26,0))*parametros_manuales!$H$110)*parametros_manuales!$I$21*parametros_manuales!$J$21</f>
        <v>2637.145166175</v>
      </c>
      <c r="I85" s="9" t="n">
        <f aca="false">(parametros_manuales!$D$21*(datos_base!$E$2+datos_base!$E$18+IF(parametros_manuales!$H$21="Todos",datos_base!$E$9+datos_base!$E$23,0))*parametros_manuales!$I$95+parametros_manuales!$E$21*(datos_base!$E$3+datos_base!$E$19+IF(parametros_manuales!$H$21="Todos",datos_base!$E$10+datos_base!$E$24,0))*parametros_manuales!$I$100+parametros_manuales!$F$21*(datos_base!$E$4+datos_base!$E$20+IF(parametros_manuales!$H$21="Todos",datos_base!$E$11+datos_base!$E$25,0))*parametros_manuales!$I$105+parametros_manuales!$G$21*(datos_base!$E$5+datos_base!$E$21+IF(parametros_manuales!$H$21="Todos",datos_base!$E$12+datos_base!$E$26,0))*parametros_manuales!$I$110)*parametros_manuales!$I$21*parametros_manuales!$J$21</f>
        <v>3164.57419941</v>
      </c>
      <c r="J85" s="9" t="n">
        <f aca="false">(parametros_manuales!$D$21*(datos_base!$E$2+datos_base!$E$18+IF(parametros_manuales!$H$21="Todos",datos_base!$E$9+datos_base!$E$23,0))*parametros_manuales!$J$95+parametros_manuales!$E$21*(datos_base!$E$3+datos_base!$E$19+IF(parametros_manuales!$H$21="Todos",datos_base!$E$10+datos_base!$E$24,0))*parametros_manuales!$J$100+parametros_manuales!$F$21*(datos_base!$E$4+datos_base!$E$20+IF(parametros_manuales!$H$21="Todos",datos_base!$E$11+datos_base!$E$25,0))*parametros_manuales!$J$105+parametros_manuales!$G$21*(datos_base!$E$5+datos_base!$E$21+IF(parametros_manuales!$H$21="Todos",datos_base!$E$12+datos_base!$E$26,0))*parametros_manuales!$J$110)*parametros_manuales!$I$21*parametros_manuales!$J$21</f>
        <v>3164.57419941</v>
      </c>
      <c r="K85" s="9" t="n">
        <f aca="false">(parametros_manuales!$D$21*(datos_base!$E$2+datos_base!$E$18+IF(parametros_manuales!$H$21="Todos",datos_base!$E$9+datos_base!$E$23,0))*parametros_manuales!$K$95+parametros_manuales!$E$21*(datos_base!$E$3+datos_base!$E$19+IF(parametros_manuales!$H$21="Todos",datos_base!$E$10+datos_base!$E$24,0))*parametros_manuales!$K$100+parametros_manuales!$F$21*(datos_base!$E$4+datos_base!$E$20+IF(parametros_manuales!$H$21="Todos",datos_base!$E$11+datos_base!$E$25,0))*parametros_manuales!$K$105+parametros_manuales!$G$21*(datos_base!$E$5+datos_base!$E$21+IF(parametros_manuales!$H$21="Todos",datos_base!$E$12+datos_base!$E$26,0))*parametros_manuales!$K$110)*parametros_manuales!$I$21*parametros_manuales!$J$21</f>
        <v>3164.57419941</v>
      </c>
      <c r="L85" s="9" t="n">
        <f aca="false">(parametros_manuales!$D$21*(datos_base!$E$2+datos_base!$E$18+IF(parametros_manuales!$H$21="Todos",datos_base!$E$9+datos_base!$E$23,0))*parametros_manuales!$L$95+parametros_manuales!$E$21*(datos_base!$E$3+datos_base!$E$19+IF(parametros_manuales!$H$21="Todos",datos_base!$E$10+datos_base!$E$24,0))*parametros_manuales!$L$100+parametros_manuales!$F$21*(datos_base!$E$4+datos_base!$E$20+IF(parametros_manuales!$H$21="Todos",datos_base!$E$11+datos_base!$E$25,0))*parametros_manuales!$L$105+parametros_manuales!$G$21*(datos_base!$E$5+datos_base!$E$21+IF(parametros_manuales!$H$21="Todos",datos_base!$E$12+datos_base!$E$26,0))*parametros_manuales!$L$110)*parametros_manuales!$I$21*parametros_manuales!$J$21</f>
        <v>3164.57419941</v>
      </c>
      <c r="M85" s="9" t="n">
        <f aca="false">(parametros_manuales!$D$21*(datos_base!$E$2+datos_base!$E$18+IF(parametros_manuales!$H$21="Todos",datos_base!$E$9+datos_base!$E$23,0))*parametros_manuales!$M$95+parametros_manuales!$E$21*(datos_base!$E$3+datos_base!$E$19+IF(parametros_manuales!$H$21="Todos",datos_base!$E$10+datos_base!$E$24,0))*parametros_manuales!$M$100+parametros_manuales!$F$21*(datos_base!$E$4+datos_base!$E$20+IF(parametros_manuales!$H$21="Todos",datos_base!$E$11+datos_base!$E$25,0))*parametros_manuales!$M$105+parametros_manuales!$G$21*(datos_base!$E$5+datos_base!$E$21+IF(parametros_manuales!$H$21="Todos",datos_base!$E$12+datos_base!$E$26,0))*parametros_manuales!$M$110)*parametros_manuales!$I$21*parametros_manuales!$J$21</f>
        <v>3164.57419941</v>
      </c>
      <c r="N85" s="9" t="n">
        <f aca="false">SUM(B85:M85)</f>
        <v>35161.935549</v>
      </c>
      <c r="O85" s="9" t="n">
        <f aca="false">MAX(B85:M85)</f>
        <v>3164.57419941</v>
      </c>
      <c r="P85" s="43" t="n">
        <f aca="false">O85/(parametros_manuales!$B$7)</f>
        <v>21.0971613294</v>
      </c>
      <c r="Q85" s="8" t="str">
        <f aca="false">IF(O85=0,"-",INDEX($B$82:$M$82,MATCH(O85,B85:M85,0)))</f>
        <v>Ene</v>
      </c>
    </row>
    <row r="86" customFormat="false" ht="14.25" hidden="false" customHeight="true" outlineLevel="0" collapsed="false">
      <c r="A86" s="8" t="str">
        <f aca="false">parametros_manuales!$B$22</f>
        <v>Corte de disco y embutido (cúpula y fondo)</v>
      </c>
      <c r="B86" s="9" t="n">
        <f aca="false">(parametros_manuales!$D$22*(datos_base!$E$2+datos_base!$E$18+IF(parametros_manuales!$H$22="Todos",datos_base!$E$9+datos_base!$E$23,0))*parametros_manuales!$B$95+parametros_manuales!$E$22*(datos_base!$E$3+datos_base!$E$19+IF(parametros_manuales!$H$22="Todos",datos_base!$E$10+datos_base!$E$24,0))*parametros_manuales!$B$100+parametros_manuales!$F$22*(datos_base!$E$4+datos_base!$E$20+IF(parametros_manuales!$H$22="Todos",datos_base!$E$11+datos_base!$E$25,0))*parametros_manuales!$B$105+parametros_manuales!$G$22*(datos_base!$E$5+datos_base!$E$21+IF(parametros_manuales!$H$22="Todos",datos_base!$E$12+datos_base!$E$26,0))*parametros_manuales!$B$110)*parametros_manuales!$I$22*parametros_manuales!$J$22</f>
        <v>9129.209315418</v>
      </c>
      <c r="C86" s="9" t="n">
        <f aca="false">(parametros_manuales!$D$22*(datos_base!$E$2+datos_base!$E$18+IF(parametros_manuales!$H$22="Todos",datos_base!$E$9+datos_base!$E$23,0))*parametros_manuales!$C$95+parametros_manuales!$E$22*(datos_base!$E$3+datos_base!$E$19+IF(parametros_manuales!$H$22="Todos",datos_base!$E$10+datos_base!$E$24,0))*parametros_manuales!$C$100+parametros_manuales!$F$22*(datos_base!$E$4+datos_base!$E$20+IF(parametros_manuales!$H$22="Todos",datos_base!$E$11+datos_base!$E$25,0))*parametros_manuales!$C$105+parametros_manuales!$G$22*(datos_base!$E$5+datos_base!$E$21+IF(parametros_manuales!$H$22="Todos",datos_base!$E$12+datos_base!$E$26,0))*parametros_manuales!$C$110)*parametros_manuales!$I$22*parametros_manuales!$J$22</f>
        <v>8818.091435796</v>
      </c>
      <c r="D86" s="9" t="n">
        <f aca="false">(parametros_manuales!$D$22*(datos_base!$E$2+datos_base!$E$18+IF(parametros_manuales!$H$22="Todos",datos_base!$E$9+datos_base!$E$23,0))*parametros_manuales!$D$95+parametros_manuales!$E$22*(datos_base!$E$3+datos_base!$E$19+IF(parametros_manuales!$H$22="Todos",datos_base!$E$10+datos_base!$E$24,0))*parametros_manuales!$D$100+parametros_manuales!$F$22*(datos_base!$E$4+datos_base!$E$20+IF(parametros_manuales!$H$22="Todos",datos_base!$E$11+datos_base!$E$25,0))*parametros_manuales!$D$105+parametros_manuales!$G$22*(datos_base!$E$5+datos_base!$E$21+IF(parametros_manuales!$H$22="Todos",datos_base!$E$12+datos_base!$E$26,0))*parametros_manuales!$D$110)*parametros_manuales!$I$22*parametros_manuales!$J$22</f>
        <v>8270.411664627</v>
      </c>
      <c r="E86" s="9" t="n">
        <f aca="false">(parametros_manuales!$D$22*(datos_base!$E$2+datos_base!$E$18+IF(parametros_manuales!$H$22="Todos",datos_base!$E$9+datos_base!$E$23,0))*parametros_manuales!$E$95+parametros_manuales!$E$22*(datos_base!$E$3+datos_base!$E$19+IF(parametros_manuales!$H$22="Todos",datos_base!$E$10+datos_base!$E$24,0))*parametros_manuales!$E$100+parametros_manuales!$F$22*(datos_base!$E$4+datos_base!$E$20+IF(parametros_manuales!$H$22="Todos",datos_base!$E$11+datos_base!$E$25,0))*parametros_manuales!$E$105+parametros_manuales!$G$22*(datos_base!$E$5+datos_base!$E$21+IF(parametros_manuales!$H$22="Todos",datos_base!$E$12+datos_base!$E$26,0))*parametros_manuales!$E$110)*parametros_manuales!$I$22*parametros_manuales!$J$22</f>
        <v>7918.792309137</v>
      </c>
      <c r="F86" s="9" t="n">
        <f aca="false">(parametros_manuales!$D$22*(datos_base!$E$2+datos_base!$E$18+IF(parametros_manuales!$H$22="Todos",datos_base!$E$9+datos_base!$E$23,0))*parametros_manuales!$F$95+parametros_manuales!$E$22*(datos_base!$E$3+datos_base!$E$19+IF(parametros_manuales!$H$22="Todos",datos_base!$E$10+datos_base!$E$24,0))*parametros_manuales!$F$100+parametros_manuales!$F$22*(datos_base!$E$4+datos_base!$E$20+IF(parametros_manuales!$H$22="Todos",datos_base!$E$11+datos_base!$E$25,0))*parametros_manuales!$F$105+parametros_manuales!$G$22*(datos_base!$E$5+datos_base!$E$21+IF(parametros_manuales!$H$22="Todos",datos_base!$E$12+datos_base!$E$26,0))*parametros_manuales!$F$110)*parametros_manuales!$I$22*parametros_manuales!$J$22</f>
        <v>7411.614013836</v>
      </c>
      <c r="G86" s="9" t="n">
        <f aca="false">(parametros_manuales!$D$22*(datos_base!$E$2+datos_base!$E$18+IF(parametros_manuales!$H$22="Todos",datos_base!$E$9+datos_base!$E$23,0))*parametros_manuales!$G$95+parametros_manuales!$E$22*(datos_base!$E$3+datos_base!$E$19+IF(parametros_manuales!$H$22="Todos",datos_base!$E$10+datos_base!$E$24,0))*parametros_manuales!$G$100+parametros_manuales!$F$22*(datos_base!$E$4+datos_base!$E$20+IF(parametros_manuales!$H$22="Todos",datos_base!$E$11+datos_base!$E$25,0))*parametros_manuales!$G$105+parametros_manuales!$G$22*(datos_base!$E$5+datos_base!$E$21+IF(parametros_manuales!$H$22="Todos",datos_base!$E$12+datos_base!$E$26,0))*parametros_manuales!$G$110)*parametros_manuales!$I$22*parametros_manuales!$J$22</f>
        <v>7256.055074025</v>
      </c>
      <c r="H86" s="9" t="n">
        <f aca="false">(parametros_manuales!$D$22*(datos_base!$E$2+datos_base!$E$18+IF(parametros_manuales!$H$22="Todos",datos_base!$E$9+datos_base!$E$23,0))*parametros_manuales!$H$95+parametros_manuales!$E$22*(datos_base!$E$3+datos_base!$E$19+IF(parametros_manuales!$H$22="Todos",datos_base!$E$10+datos_base!$E$24,0))*parametros_manuales!$H$100+parametros_manuales!$F$22*(datos_base!$E$4+datos_base!$E$20+IF(parametros_manuales!$H$22="Todos",datos_base!$E$11+datos_base!$E$25,0))*parametros_manuales!$H$105+parametros_manuales!$G$22*(datos_base!$E$5+datos_base!$E$21+IF(parametros_manuales!$H$22="Todos",datos_base!$E$12+datos_base!$E$26,0))*parametros_manuales!$H$110)*parametros_manuales!$I$22*parametros_manuales!$J$22</f>
        <v>7763.233369326</v>
      </c>
      <c r="I86" s="9" t="n">
        <f aca="false">(parametros_manuales!$D$22*(datos_base!$E$2+datos_base!$E$18+IF(parametros_manuales!$H$22="Todos",datos_base!$E$9+datos_base!$E$23,0))*parametros_manuales!$I$95+parametros_manuales!$E$22*(datos_base!$E$3+datos_base!$E$19+IF(parametros_manuales!$H$22="Todos",datos_base!$E$10+datos_base!$E$24,0))*parametros_manuales!$I$100+parametros_manuales!$F$22*(datos_base!$E$4+datos_base!$E$20+IF(parametros_manuales!$H$22="Todos",datos_base!$E$11+datos_base!$E$25,0))*parametros_manuales!$I$105+parametros_manuales!$G$22*(datos_base!$E$5+datos_base!$E$21+IF(parametros_manuales!$H$22="Todos",datos_base!$E$12+datos_base!$E$26,0))*parametros_manuales!$I$110)*parametros_manuales!$I$22*parametros_manuales!$J$22</f>
        <v>8818.09143579599</v>
      </c>
      <c r="J86" s="9" t="n">
        <f aca="false">(parametros_manuales!$D$22*(datos_base!$E$2+datos_base!$E$18+IF(parametros_manuales!$H$22="Todos",datos_base!$E$9+datos_base!$E$23,0))*parametros_manuales!$J$95+parametros_manuales!$E$22*(datos_base!$E$3+datos_base!$E$19+IF(parametros_manuales!$H$22="Todos",datos_base!$E$10+datos_base!$E$24,0))*parametros_manuales!$J$100+parametros_manuales!$F$22*(datos_base!$E$4+datos_base!$E$20+IF(parametros_manuales!$H$22="Todos",datos_base!$E$11+datos_base!$E$25,0))*parametros_manuales!$J$105+parametros_manuales!$G$22*(datos_base!$E$5+datos_base!$E$21+IF(parametros_manuales!$H$22="Todos",datos_base!$E$12+datos_base!$E$26,0))*parametros_manuales!$J$110)*parametros_manuales!$I$22*parametros_manuales!$J$22</f>
        <v>8818.091435796</v>
      </c>
      <c r="K86" s="9" t="n">
        <f aca="false">(parametros_manuales!$D$22*(datos_base!$E$2+datos_base!$E$18+IF(parametros_manuales!$H$22="Todos",datos_base!$E$9+datos_base!$E$23,0))*parametros_manuales!$K$95+parametros_manuales!$E$22*(datos_base!$E$3+datos_base!$E$19+IF(parametros_manuales!$H$22="Todos",datos_base!$E$10+datos_base!$E$24,0))*parametros_manuales!$K$100+parametros_manuales!$F$22*(datos_base!$E$4+datos_base!$E$20+IF(parametros_manuales!$H$22="Todos",datos_base!$E$11+datos_base!$E$25,0))*parametros_manuales!$K$105+parametros_manuales!$G$22*(datos_base!$E$5+datos_base!$E$21+IF(parametros_manuales!$H$22="Todos",datos_base!$E$12+datos_base!$E$26,0))*parametros_manuales!$K$110)*parametros_manuales!$I$22*parametros_manuales!$J$22</f>
        <v>8973.650375607</v>
      </c>
      <c r="L86" s="9" t="n">
        <f aca="false">(parametros_manuales!$D$22*(datos_base!$E$2+datos_base!$E$18+IF(parametros_manuales!$H$22="Todos",datos_base!$E$9+datos_base!$E$23,0))*parametros_manuales!$L$95+parametros_manuales!$E$22*(datos_base!$E$3+datos_base!$E$19+IF(parametros_manuales!$H$22="Todos",datos_base!$E$10+datos_base!$E$24,0))*parametros_manuales!$L$100+parametros_manuales!$F$22*(datos_base!$E$4+datos_base!$E$20+IF(parametros_manuales!$H$22="Todos",datos_base!$E$11+datos_base!$E$25,0))*parametros_manuales!$L$105+parametros_manuales!$G$22*(datos_base!$E$5+datos_base!$E$21+IF(parametros_manuales!$H$22="Todos",datos_base!$E$12+datos_base!$E$26,0))*parametros_manuales!$L$110)*parametros_manuales!$I$22*parametros_manuales!$J$22</f>
        <v>9129.209315418</v>
      </c>
      <c r="M86" s="9" t="n">
        <f aca="false">(parametros_manuales!$D$22*(datos_base!$E$2+datos_base!$E$18+IF(parametros_manuales!$H$22="Todos",datos_base!$E$9+datos_base!$E$23,0))*parametros_manuales!$M$95+parametros_manuales!$E$22*(datos_base!$E$3+datos_base!$E$19+IF(parametros_manuales!$H$22="Todos",datos_base!$E$10+datos_base!$E$24,0))*parametros_manuales!$M$100+parametros_manuales!$F$22*(datos_base!$E$4+datos_base!$E$20+IF(parametros_manuales!$H$22="Todos",datos_base!$E$11+datos_base!$E$25,0))*parametros_manuales!$M$105+parametros_manuales!$G$22*(datos_base!$E$5+datos_base!$E$21+IF(parametros_manuales!$H$22="Todos",datos_base!$E$12+datos_base!$E$26,0))*parametros_manuales!$M$110)*parametros_manuales!$I$22*parametros_manuales!$J$22</f>
        <v>9129.209315418</v>
      </c>
      <c r="N86" s="9" t="n">
        <f aca="false">SUM(B86:M86)</f>
        <v>101435.6590602</v>
      </c>
      <c r="O86" s="9" t="n">
        <f aca="false">MAX(B86:M86)</f>
        <v>9129.209315418</v>
      </c>
      <c r="P86" s="43" t="n">
        <f aca="false">O86/(parametros_manuales!$B$7)</f>
        <v>60.86139543612</v>
      </c>
      <c r="Q86" s="8" t="str">
        <f aca="false">IF(O86=0,"-",INDEX($B$82:$M$82,MATCH(O86,B86:M86,0)))</f>
        <v>Ene</v>
      </c>
    </row>
    <row r="87" customFormat="false" ht="14.25" hidden="false" customHeight="true" outlineLevel="0" collapsed="false">
      <c r="A87" s="8" t="str">
        <f aca="false">parametros_manuales!$B$23</f>
        <v>Preparación de cuello</v>
      </c>
      <c r="B87" s="9" t="n">
        <f aca="false">(parametros_manuales!$D$23*(datos_base!$E$2+datos_base!$E$18+IF(parametros_manuales!$H$23="Todos",datos_base!$E$9+datos_base!$E$23,0))*parametros_manuales!$B$95+parametros_manuales!$E$23*(datos_base!$E$3+datos_base!$E$19+IF(parametros_manuales!$H$23="Todos",datos_base!$E$10+datos_base!$E$24,0))*parametros_manuales!$B$100+parametros_manuales!$F$23*(datos_base!$E$4+datos_base!$E$20+IF(parametros_manuales!$H$23="Todos",datos_base!$E$11+datos_base!$E$25,0))*parametros_manuales!$B$105+parametros_manuales!$G$23*(datos_base!$E$5+datos_base!$E$21+IF(parametros_manuales!$H$23="Todos",datos_base!$E$12+datos_base!$E$26,0))*parametros_manuales!$B$110)*parametros_manuales!$I$23*parametros_manuales!$J$23</f>
        <v>4564.604657709</v>
      </c>
      <c r="C87" s="9" t="n">
        <f aca="false">(parametros_manuales!$D$23*(datos_base!$E$2+datos_base!$E$18+IF(parametros_manuales!$H$23="Todos",datos_base!$E$9+datos_base!$E$23,0))*parametros_manuales!$C$95+parametros_manuales!$E$23*(datos_base!$E$3+datos_base!$E$19+IF(parametros_manuales!$H$23="Todos",datos_base!$E$10+datos_base!$E$24,0))*parametros_manuales!$C$100+parametros_manuales!$F$23*(datos_base!$E$4+datos_base!$E$20+IF(parametros_manuales!$H$23="Todos",datos_base!$E$11+datos_base!$E$25,0))*parametros_manuales!$C$105+parametros_manuales!$G$23*(datos_base!$E$5+datos_base!$E$21+IF(parametros_manuales!$H$23="Todos",datos_base!$E$12+datos_base!$E$26,0))*parametros_manuales!$C$110)*parametros_manuales!$I$23*parametros_manuales!$J$23</f>
        <v>4409.045717898</v>
      </c>
      <c r="D87" s="9" t="n">
        <f aca="false">(parametros_manuales!$D$23*(datos_base!$E$2+datos_base!$E$18+IF(parametros_manuales!$H$23="Todos",datos_base!$E$9+datos_base!$E$23,0))*parametros_manuales!$D$95+parametros_manuales!$E$23*(datos_base!$E$3+datos_base!$E$19+IF(parametros_manuales!$H$23="Todos",datos_base!$E$10+datos_base!$E$24,0))*parametros_manuales!$D$100+parametros_manuales!$F$23*(datos_base!$E$4+datos_base!$E$20+IF(parametros_manuales!$H$23="Todos",datos_base!$E$11+datos_base!$E$25,0))*parametros_manuales!$D$105+parametros_manuales!$G$23*(datos_base!$E$5+datos_base!$E$21+IF(parametros_manuales!$H$23="Todos",datos_base!$E$12+datos_base!$E$26,0))*parametros_manuales!$D$110)*parametros_manuales!$I$23*parametros_manuales!$J$23</f>
        <v>4135.2058323135</v>
      </c>
      <c r="E87" s="9" t="n">
        <f aca="false">(parametros_manuales!$D$23*(datos_base!$E$2+datos_base!$E$18+IF(parametros_manuales!$H$23="Todos",datos_base!$E$9+datos_base!$E$23,0))*parametros_manuales!$E$95+parametros_manuales!$E$23*(datos_base!$E$3+datos_base!$E$19+IF(parametros_manuales!$H$23="Todos",datos_base!$E$10+datos_base!$E$24,0))*parametros_manuales!$E$100+parametros_manuales!$F$23*(datos_base!$E$4+datos_base!$E$20+IF(parametros_manuales!$H$23="Todos",datos_base!$E$11+datos_base!$E$25,0))*parametros_manuales!$E$105+parametros_manuales!$G$23*(datos_base!$E$5+datos_base!$E$21+IF(parametros_manuales!$H$23="Todos",datos_base!$E$12+datos_base!$E$26,0))*parametros_manuales!$E$110)*parametros_manuales!$I$23*parametros_manuales!$J$23</f>
        <v>3959.3961545685</v>
      </c>
      <c r="F87" s="9" t="n">
        <f aca="false">(parametros_manuales!$D$23*(datos_base!$E$2+datos_base!$E$18+IF(parametros_manuales!$H$23="Todos",datos_base!$E$9+datos_base!$E$23,0))*parametros_manuales!$F$95+parametros_manuales!$E$23*(datos_base!$E$3+datos_base!$E$19+IF(parametros_manuales!$H$23="Todos",datos_base!$E$10+datos_base!$E$24,0))*parametros_manuales!$F$100+parametros_manuales!$F$23*(datos_base!$E$4+datos_base!$E$20+IF(parametros_manuales!$H$23="Todos",datos_base!$E$11+datos_base!$E$25,0))*parametros_manuales!$F$105+parametros_manuales!$G$23*(datos_base!$E$5+datos_base!$E$21+IF(parametros_manuales!$H$23="Todos",datos_base!$E$12+datos_base!$E$26,0))*parametros_manuales!$F$110)*parametros_manuales!$I$23*parametros_manuales!$J$23</f>
        <v>3705.807006918</v>
      </c>
      <c r="G87" s="9" t="n">
        <f aca="false">(parametros_manuales!$D$23*(datos_base!$E$2+datos_base!$E$18+IF(parametros_manuales!$H$23="Todos",datos_base!$E$9+datos_base!$E$23,0))*parametros_manuales!$G$95+parametros_manuales!$E$23*(datos_base!$E$3+datos_base!$E$19+IF(parametros_manuales!$H$23="Todos",datos_base!$E$10+datos_base!$E$24,0))*parametros_manuales!$G$100+parametros_manuales!$F$23*(datos_base!$E$4+datos_base!$E$20+IF(parametros_manuales!$H$23="Todos",datos_base!$E$11+datos_base!$E$25,0))*parametros_manuales!$G$105+parametros_manuales!$G$23*(datos_base!$E$5+datos_base!$E$21+IF(parametros_manuales!$H$23="Todos",datos_base!$E$12+datos_base!$E$26,0))*parametros_manuales!$G$110)*parametros_manuales!$I$23*parametros_manuales!$J$23</f>
        <v>3628.0275370125</v>
      </c>
      <c r="H87" s="9" t="n">
        <f aca="false">(parametros_manuales!$D$23*(datos_base!$E$2+datos_base!$E$18+IF(parametros_manuales!$H$23="Todos",datos_base!$E$9+datos_base!$E$23,0))*parametros_manuales!$H$95+parametros_manuales!$E$23*(datos_base!$E$3+datos_base!$E$19+IF(parametros_manuales!$H$23="Todos",datos_base!$E$10+datos_base!$E$24,0))*parametros_manuales!$H$100+parametros_manuales!$F$23*(datos_base!$E$4+datos_base!$E$20+IF(parametros_manuales!$H$23="Todos",datos_base!$E$11+datos_base!$E$25,0))*parametros_manuales!$H$105+parametros_manuales!$G$23*(datos_base!$E$5+datos_base!$E$21+IF(parametros_manuales!$H$23="Todos",datos_base!$E$12+datos_base!$E$26,0))*parametros_manuales!$H$110)*parametros_manuales!$I$23*parametros_manuales!$J$23</f>
        <v>3881.616684663</v>
      </c>
      <c r="I87" s="9" t="n">
        <f aca="false">(parametros_manuales!$D$23*(datos_base!$E$2+datos_base!$E$18+IF(parametros_manuales!$H$23="Todos",datos_base!$E$9+datos_base!$E$23,0))*parametros_manuales!$I$95+parametros_manuales!$E$23*(datos_base!$E$3+datos_base!$E$19+IF(parametros_manuales!$H$23="Todos",datos_base!$E$10+datos_base!$E$24,0))*parametros_manuales!$I$100+parametros_manuales!$F$23*(datos_base!$E$4+datos_base!$E$20+IF(parametros_manuales!$H$23="Todos",datos_base!$E$11+datos_base!$E$25,0))*parametros_manuales!$I$105+parametros_manuales!$G$23*(datos_base!$E$5+datos_base!$E$21+IF(parametros_manuales!$H$23="Todos",datos_base!$E$12+datos_base!$E$26,0))*parametros_manuales!$I$110)*parametros_manuales!$I$23*parametros_manuales!$J$23</f>
        <v>4409.045717898</v>
      </c>
      <c r="J87" s="9" t="n">
        <f aca="false">(parametros_manuales!$D$23*(datos_base!$E$2+datos_base!$E$18+IF(parametros_manuales!$H$23="Todos",datos_base!$E$9+datos_base!$E$23,0))*parametros_manuales!$J$95+parametros_manuales!$E$23*(datos_base!$E$3+datos_base!$E$19+IF(parametros_manuales!$H$23="Todos",datos_base!$E$10+datos_base!$E$24,0))*parametros_manuales!$J$100+parametros_manuales!$F$23*(datos_base!$E$4+datos_base!$E$20+IF(parametros_manuales!$H$23="Todos",datos_base!$E$11+datos_base!$E$25,0))*parametros_manuales!$J$105+parametros_manuales!$G$23*(datos_base!$E$5+datos_base!$E$21+IF(parametros_manuales!$H$23="Todos",datos_base!$E$12+datos_base!$E$26,0))*parametros_manuales!$J$110)*parametros_manuales!$I$23*parametros_manuales!$J$23</f>
        <v>4409.045717898</v>
      </c>
      <c r="K87" s="9" t="n">
        <f aca="false">(parametros_manuales!$D$23*(datos_base!$E$2+datos_base!$E$18+IF(parametros_manuales!$H$23="Todos",datos_base!$E$9+datos_base!$E$23,0))*parametros_manuales!$K$95+parametros_manuales!$E$23*(datos_base!$E$3+datos_base!$E$19+IF(parametros_manuales!$H$23="Todos",datos_base!$E$10+datos_base!$E$24,0))*parametros_manuales!$K$100+parametros_manuales!$F$23*(datos_base!$E$4+datos_base!$E$20+IF(parametros_manuales!$H$23="Todos",datos_base!$E$11+datos_base!$E$25,0))*parametros_manuales!$K$105+parametros_manuales!$G$23*(datos_base!$E$5+datos_base!$E$21+IF(parametros_manuales!$H$23="Todos",datos_base!$E$12+datos_base!$E$26,0))*parametros_manuales!$K$110)*parametros_manuales!$I$23*parametros_manuales!$J$23</f>
        <v>4486.8251878035</v>
      </c>
      <c r="L87" s="9" t="n">
        <f aca="false">(parametros_manuales!$D$23*(datos_base!$E$2+datos_base!$E$18+IF(parametros_manuales!$H$23="Todos",datos_base!$E$9+datos_base!$E$23,0))*parametros_manuales!$L$95+parametros_manuales!$E$23*(datos_base!$E$3+datos_base!$E$19+IF(parametros_manuales!$H$23="Todos",datos_base!$E$10+datos_base!$E$24,0))*parametros_manuales!$L$100+parametros_manuales!$F$23*(datos_base!$E$4+datos_base!$E$20+IF(parametros_manuales!$H$23="Todos",datos_base!$E$11+datos_base!$E$25,0))*parametros_manuales!$L$105+parametros_manuales!$G$23*(datos_base!$E$5+datos_base!$E$21+IF(parametros_manuales!$H$23="Todos",datos_base!$E$12+datos_base!$E$26,0))*parametros_manuales!$L$110)*parametros_manuales!$I$23*parametros_manuales!$J$23</f>
        <v>4564.604657709</v>
      </c>
      <c r="M87" s="9" t="n">
        <f aca="false">(parametros_manuales!$D$23*(datos_base!$E$2+datos_base!$E$18+IF(parametros_manuales!$H$23="Todos",datos_base!$E$9+datos_base!$E$23,0))*parametros_manuales!$M$95+parametros_manuales!$E$23*(datos_base!$E$3+datos_base!$E$19+IF(parametros_manuales!$H$23="Todos",datos_base!$E$10+datos_base!$E$24,0))*parametros_manuales!$M$100+parametros_manuales!$F$23*(datos_base!$E$4+datos_base!$E$20+IF(parametros_manuales!$H$23="Todos",datos_base!$E$11+datos_base!$E$25,0))*parametros_manuales!$M$105+parametros_manuales!$G$23*(datos_base!$E$5+datos_base!$E$21+IF(parametros_manuales!$H$23="Todos",datos_base!$E$12+datos_base!$E$26,0))*parametros_manuales!$M$110)*parametros_manuales!$I$23*parametros_manuales!$J$23</f>
        <v>4564.604657709</v>
      </c>
      <c r="N87" s="9" t="n">
        <f aca="false">SUM(B87:M87)</f>
        <v>50717.8295301</v>
      </c>
      <c r="O87" s="9" t="n">
        <f aca="false">MAX(B87:M87)</f>
        <v>4564.604657709</v>
      </c>
      <c r="P87" s="43" t="n">
        <f aca="false">O87/(parametros_manuales!$B$7)</f>
        <v>30.43069771806</v>
      </c>
      <c r="Q87" s="8" t="str">
        <f aca="false">IF(O87=0,"-",INDEX($B$82:$M$82,MATCH(O87,B87:M87,0)))</f>
        <v>Ene</v>
      </c>
    </row>
    <row r="88" customFormat="false" ht="14.25" hidden="false" customHeight="true" outlineLevel="0" collapsed="false">
      <c r="A88" s="8" t="str">
        <f aca="false">parametros_manuales!$B$24</f>
        <v>Numerado de cúpula</v>
      </c>
      <c r="B88" s="9" t="n">
        <f aca="false">(parametros_manuales!$D$24*(datos_base!$E$2+datos_base!$E$18+IF(parametros_manuales!$H$24="Todos",datos_base!$E$9+datos_base!$E$23,0))*parametros_manuales!$B$95+parametros_manuales!$E$24*(datos_base!$E$3+datos_base!$E$19+IF(parametros_manuales!$H$24="Todos",datos_base!$E$10+datos_base!$E$24,0))*parametros_manuales!$B$100+parametros_manuales!$F$24*(datos_base!$E$4+datos_base!$E$20+IF(parametros_manuales!$H$24="Todos",datos_base!$E$11+datos_base!$E$25,0))*parametros_manuales!$B$105+parametros_manuales!$G$24*(datos_base!$E$5+datos_base!$E$21+IF(parametros_manuales!$H$24="Todos",datos_base!$E$12+datos_base!$E$26,0))*parametros_manuales!$B$110)*parametros_manuales!$I$24*parametros_manuales!$J$24</f>
        <v>4564.604657709</v>
      </c>
      <c r="C88" s="9" t="n">
        <f aca="false">(parametros_manuales!$D$24*(datos_base!$E$2+datos_base!$E$18+IF(parametros_manuales!$H$24="Todos",datos_base!$E$9+datos_base!$E$23,0))*parametros_manuales!$C$95+parametros_manuales!$E$24*(datos_base!$E$3+datos_base!$E$19+IF(parametros_manuales!$H$24="Todos",datos_base!$E$10+datos_base!$E$24,0))*parametros_manuales!$C$100+parametros_manuales!$F$24*(datos_base!$E$4+datos_base!$E$20+IF(parametros_manuales!$H$24="Todos",datos_base!$E$11+datos_base!$E$25,0))*parametros_manuales!$C$105+parametros_manuales!$G$24*(datos_base!$E$5+datos_base!$E$21+IF(parametros_manuales!$H$24="Todos",datos_base!$E$12+datos_base!$E$26,0))*parametros_manuales!$C$110)*parametros_manuales!$I$24*parametros_manuales!$J$24</f>
        <v>4409.045717898</v>
      </c>
      <c r="D88" s="9" t="n">
        <f aca="false">(parametros_manuales!$D$24*(datos_base!$E$2+datos_base!$E$18+IF(parametros_manuales!$H$24="Todos",datos_base!$E$9+datos_base!$E$23,0))*parametros_manuales!$D$95+parametros_manuales!$E$24*(datos_base!$E$3+datos_base!$E$19+IF(parametros_manuales!$H$24="Todos",datos_base!$E$10+datos_base!$E$24,0))*parametros_manuales!$D$100+parametros_manuales!$F$24*(datos_base!$E$4+datos_base!$E$20+IF(parametros_manuales!$H$24="Todos",datos_base!$E$11+datos_base!$E$25,0))*parametros_manuales!$D$105+parametros_manuales!$G$24*(datos_base!$E$5+datos_base!$E$21+IF(parametros_manuales!$H$24="Todos",datos_base!$E$12+datos_base!$E$26,0))*parametros_manuales!$D$110)*parametros_manuales!$I$24*parametros_manuales!$J$24</f>
        <v>4135.2058323135</v>
      </c>
      <c r="E88" s="9" t="n">
        <f aca="false">(parametros_manuales!$D$24*(datos_base!$E$2+datos_base!$E$18+IF(parametros_manuales!$H$24="Todos",datos_base!$E$9+datos_base!$E$23,0))*parametros_manuales!$E$95+parametros_manuales!$E$24*(datos_base!$E$3+datos_base!$E$19+IF(parametros_manuales!$H$24="Todos",datos_base!$E$10+datos_base!$E$24,0))*parametros_manuales!$E$100+parametros_manuales!$F$24*(datos_base!$E$4+datos_base!$E$20+IF(parametros_manuales!$H$24="Todos",datos_base!$E$11+datos_base!$E$25,0))*parametros_manuales!$E$105+parametros_manuales!$G$24*(datos_base!$E$5+datos_base!$E$21+IF(parametros_manuales!$H$24="Todos",datos_base!$E$12+datos_base!$E$26,0))*parametros_manuales!$E$110)*parametros_manuales!$I$24*parametros_manuales!$J$24</f>
        <v>3959.3961545685</v>
      </c>
      <c r="F88" s="9" t="n">
        <f aca="false">(parametros_manuales!$D$24*(datos_base!$E$2+datos_base!$E$18+IF(parametros_manuales!$H$24="Todos",datos_base!$E$9+datos_base!$E$23,0))*parametros_manuales!$F$95+parametros_manuales!$E$24*(datos_base!$E$3+datos_base!$E$19+IF(parametros_manuales!$H$24="Todos",datos_base!$E$10+datos_base!$E$24,0))*parametros_manuales!$F$100+parametros_manuales!$F$24*(datos_base!$E$4+datos_base!$E$20+IF(parametros_manuales!$H$24="Todos",datos_base!$E$11+datos_base!$E$25,0))*parametros_manuales!$F$105+parametros_manuales!$G$24*(datos_base!$E$5+datos_base!$E$21+IF(parametros_manuales!$H$24="Todos",datos_base!$E$12+datos_base!$E$26,0))*parametros_manuales!$F$110)*parametros_manuales!$I$24*parametros_manuales!$J$24</f>
        <v>3705.807006918</v>
      </c>
      <c r="G88" s="9" t="n">
        <f aca="false">(parametros_manuales!$D$24*(datos_base!$E$2+datos_base!$E$18+IF(parametros_manuales!$H$24="Todos",datos_base!$E$9+datos_base!$E$23,0))*parametros_manuales!$G$95+parametros_manuales!$E$24*(datos_base!$E$3+datos_base!$E$19+IF(parametros_manuales!$H$24="Todos",datos_base!$E$10+datos_base!$E$24,0))*parametros_manuales!$G$100+parametros_manuales!$F$24*(datos_base!$E$4+datos_base!$E$20+IF(parametros_manuales!$H$24="Todos",datos_base!$E$11+datos_base!$E$25,0))*parametros_manuales!$G$105+parametros_manuales!$G$24*(datos_base!$E$5+datos_base!$E$21+IF(parametros_manuales!$H$24="Todos",datos_base!$E$12+datos_base!$E$26,0))*parametros_manuales!$G$110)*parametros_manuales!$I$24*parametros_manuales!$J$24</f>
        <v>3628.0275370125</v>
      </c>
      <c r="H88" s="9" t="n">
        <f aca="false">(parametros_manuales!$D$24*(datos_base!$E$2+datos_base!$E$18+IF(parametros_manuales!$H$24="Todos",datos_base!$E$9+datos_base!$E$23,0))*parametros_manuales!$H$95+parametros_manuales!$E$24*(datos_base!$E$3+datos_base!$E$19+IF(parametros_manuales!$H$24="Todos",datos_base!$E$10+datos_base!$E$24,0))*parametros_manuales!$H$100+parametros_manuales!$F$24*(datos_base!$E$4+datos_base!$E$20+IF(parametros_manuales!$H$24="Todos",datos_base!$E$11+datos_base!$E$25,0))*parametros_manuales!$H$105+parametros_manuales!$G$24*(datos_base!$E$5+datos_base!$E$21+IF(parametros_manuales!$H$24="Todos",datos_base!$E$12+datos_base!$E$26,0))*parametros_manuales!$H$110)*parametros_manuales!$I$24*parametros_manuales!$J$24</f>
        <v>3881.616684663</v>
      </c>
      <c r="I88" s="9" t="n">
        <f aca="false">(parametros_manuales!$D$24*(datos_base!$E$2+datos_base!$E$18+IF(parametros_manuales!$H$24="Todos",datos_base!$E$9+datos_base!$E$23,0))*parametros_manuales!$I$95+parametros_manuales!$E$24*(datos_base!$E$3+datos_base!$E$19+IF(parametros_manuales!$H$24="Todos",datos_base!$E$10+datos_base!$E$24,0))*parametros_manuales!$I$100+parametros_manuales!$F$24*(datos_base!$E$4+datos_base!$E$20+IF(parametros_manuales!$H$24="Todos",datos_base!$E$11+datos_base!$E$25,0))*parametros_manuales!$I$105+parametros_manuales!$G$24*(datos_base!$E$5+datos_base!$E$21+IF(parametros_manuales!$H$24="Todos",datos_base!$E$12+datos_base!$E$26,0))*parametros_manuales!$I$110)*parametros_manuales!$I$24*parametros_manuales!$J$24</f>
        <v>4409.045717898</v>
      </c>
      <c r="J88" s="9" t="n">
        <f aca="false">(parametros_manuales!$D$24*(datos_base!$E$2+datos_base!$E$18+IF(parametros_manuales!$H$24="Todos",datos_base!$E$9+datos_base!$E$23,0))*parametros_manuales!$J$95+parametros_manuales!$E$24*(datos_base!$E$3+datos_base!$E$19+IF(parametros_manuales!$H$24="Todos",datos_base!$E$10+datos_base!$E$24,0))*parametros_manuales!$J$100+parametros_manuales!$F$24*(datos_base!$E$4+datos_base!$E$20+IF(parametros_manuales!$H$24="Todos",datos_base!$E$11+datos_base!$E$25,0))*parametros_manuales!$J$105+parametros_manuales!$G$24*(datos_base!$E$5+datos_base!$E$21+IF(parametros_manuales!$H$24="Todos",datos_base!$E$12+datos_base!$E$26,0))*parametros_manuales!$J$110)*parametros_manuales!$I$24*parametros_manuales!$J$24</f>
        <v>4409.045717898</v>
      </c>
      <c r="K88" s="9" t="n">
        <f aca="false">(parametros_manuales!$D$24*(datos_base!$E$2+datos_base!$E$18+IF(parametros_manuales!$H$24="Todos",datos_base!$E$9+datos_base!$E$23,0))*parametros_manuales!$K$95+parametros_manuales!$E$24*(datos_base!$E$3+datos_base!$E$19+IF(parametros_manuales!$H$24="Todos",datos_base!$E$10+datos_base!$E$24,0))*parametros_manuales!$K$100+parametros_manuales!$F$24*(datos_base!$E$4+datos_base!$E$20+IF(parametros_manuales!$H$24="Todos",datos_base!$E$11+datos_base!$E$25,0))*parametros_manuales!$K$105+parametros_manuales!$G$24*(datos_base!$E$5+datos_base!$E$21+IF(parametros_manuales!$H$24="Todos",datos_base!$E$12+datos_base!$E$26,0))*parametros_manuales!$K$110)*parametros_manuales!$I$24*parametros_manuales!$J$24</f>
        <v>4486.8251878035</v>
      </c>
      <c r="L88" s="9" t="n">
        <f aca="false">(parametros_manuales!$D$24*(datos_base!$E$2+datos_base!$E$18+IF(parametros_manuales!$H$24="Todos",datos_base!$E$9+datos_base!$E$23,0))*parametros_manuales!$L$95+parametros_manuales!$E$24*(datos_base!$E$3+datos_base!$E$19+IF(parametros_manuales!$H$24="Todos",datos_base!$E$10+datos_base!$E$24,0))*parametros_manuales!$L$100+parametros_manuales!$F$24*(datos_base!$E$4+datos_base!$E$20+IF(parametros_manuales!$H$24="Todos",datos_base!$E$11+datos_base!$E$25,0))*parametros_manuales!$L$105+parametros_manuales!$G$24*(datos_base!$E$5+datos_base!$E$21+IF(parametros_manuales!$H$24="Todos",datos_base!$E$12+datos_base!$E$26,0))*parametros_manuales!$L$110)*parametros_manuales!$I$24*parametros_manuales!$J$24</f>
        <v>4564.604657709</v>
      </c>
      <c r="M88" s="9" t="n">
        <f aca="false">(parametros_manuales!$D$24*(datos_base!$E$2+datos_base!$E$18+IF(parametros_manuales!$H$24="Todos",datos_base!$E$9+datos_base!$E$23,0))*parametros_manuales!$M$95+parametros_manuales!$E$24*(datos_base!$E$3+datos_base!$E$19+IF(parametros_manuales!$H$24="Todos",datos_base!$E$10+datos_base!$E$24,0))*parametros_manuales!$M$100+parametros_manuales!$F$24*(datos_base!$E$4+datos_base!$E$20+IF(parametros_manuales!$H$24="Todos",datos_base!$E$11+datos_base!$E$25,0))*parametros_manuales!$M$105+parametros_manuales!$G$24*(datos_base!$E$5+datos_base!$E$21+IF(parametros_manuales!$H$24="Todos",datos_base!$E$12+datos_base!$E$26,0))*parametros_manuales!$M$110)*parametros_manuales!$I$24*parametros_manuales!$J$24</f>
        <v>4564.604657709</v>
      </c>
      <c r="N88" s="9" t="n">
        <f aca="false">SUM(B88:M88)</f>
        <v>50717.8295301</v>
      </c>
      <c r="O88" s="9" t="n">
        <f aca="false">MAX(B88:M88)</f>
        <v>4564.604657709</v>
      </c>
      <c r="P88" s="43" t="n">
        <f aca="false">O88/(parametros_manuales!$B$7)</f>
        <v>30.43069771806</v>
      </c>
      <c r="Q88" s="8" t="str">
        <f aca="false">IF(O88=0,"-",INDEX($B$82:$M$82,MATCH(O88,B88:M88,0)))</f>
        <v>Ene</v>
      </c>
    </row>
    <row r="89" customFormat="false" ht="14.25" hidden="false" customHeight="true" outlineLevel="0" collapsed="false">
      <c r="A89" s="8" t="str">
        <f aca="false">parametros_manuales!$B$25</f>
        <v>Soldadura del cuello a la cúpula</v>
      </c>
      <c r="B89" s="9" t="n">
        <f aca="false">(parametros_manuales!$D$25*(datos_base!$E$2+datos_base!$E$18+IF(parametros_manuales!$H$25="Todos",datos_base!$E$9+datos_base!$E$23,0))*parametros_manuales!$B$95+parametros_manuales!$E$25*(datos_base!$E$3+datos_base!$E$19+IF(parametros_manuales!$H$25="Todos",datos_base!$E$10+datos_base!$E$24,0))*parametros_manuales!$B$100+parametros_manuales!$F$25*(datos_base!$E$4+datos_base!$E$20+IF(parametros_manuales!$H$25="Todos",datos_base!$E$11+datos_base!$E$25,0))*parametros_manuales!$B$105+parametros_manuales!$G$25*(datos_base!$E$5+datos_base!$E$21+IF(parametros_manuales!$H$25="Todos",datos_base!$E$12+datos_base!$E$26,0))*parametros_manuales!$B$110)*parametros_manuales!$I$25*parametros_manuales!$J$25</f>
        <v>4564.604657709</v>
      </c>
      <c r="C89" s="9" t="n">
        <f aca="false">(parametros_manuales!$D$25*(datos_base!$E$2+datos_base!$E$18+IF(parametros_manuales!$H$25="Todos",datos_base!$E$9+datos_base!$E$23,0))*parametros_manuales!$C$95+parametros_manuales!$E$25*(datos_base!$E$3+datos_base!$E$19+IF(parametros_manuales!$H$25="Todos",datos_base!$E$10+datos_base!$E$24,0))*parametros_manuales!$C$100+parametros_manuales!$F$25*(datos_base!$E$4+datos_base!$E$20+IF(parametros_manuales!$H$25="Todos",datos_base!$E$11+datos_base!$E$25,0))*parametros_manuales!$C$105+parametros_manuales!$G$25*(datos_base!$E$5+datos_base!$E$21+IF(parametros_manuales!$H$25="Todos",datos_base!$E$12+datos_base!$E$26,0))*parametros_manuales!$C$110)*parametros_manuales!$I$25*parametros_manuales!$J$25</f>
        <v>4409.045717898</v>
      </c>
      <c r="D89" s="9" t="n">
        <f aca="false">(parametros_manuales!$D$25*(datos_base!$E$2+datos_base!$E$18+IF(parametros_manuales!$H$25="Todos",datos_base!$E$9+datos_base!$E$23,0))*parametros_manuales!$D$95+parametros_manuales!$E$25*(datos_base!$E$3+datos_base!$E$19+IF(parametros_manuales!$H$25="Todos",datos_base!$E$10+datos_base!$E$24,0))*parametros_manuales!$D$100+parametros_manuales!$F$25*(datos_base!$E$4+datos_base!$E$20+IF(parametros_manuales!$H$25="Todos",datos_base!$E$11+datos_base!$E$25,0))*parametros_manuales!$D$105+parametros_manuales!$G$25*(datos_base!$E$5+datos_base!$E$21+IF(parametros_manuales!$H$25="Todos",datos_base!$E$12+datos_base!$E$26,0))*parametros_manuales!$D$110)*parametros_manuales!$I$25*parametros_manuales!$J$25</f>
        <v>4135.2058323135</v>
      </c>
      <c r="E89" s="9" t="n">
        <f aca="false">(parametros_manuales!$D$25*(datos_base!$E$2+datos_base!$E$18+IF(parametros_manuales!$H$25="Todos",datos_base!$E$9+datos_base!$E$23,0))*parametros_manuales!$E$95+parametros_manuales!$E$25*(datos_base!$E$3+datos_base!$E$19+IF(parametros_manuales!$H$25="Todos",datos_base!$E$10+datos_base!$E$24,0))*parametros_manuales!$E$100+parametros_manuales!$F$25*(datos_base!$E$4+datos_base!$E$20+IF(parametros_manuales!$H$25="Todos",datos_base!$E$11+datos_base!$E$25,0))*parametros_manuales!$E$105+parametros_manuales!$G$25*(datos_base!$E$5+datos_base!$E$21+IF(parametros_manuales!$H$25="Todos",datos_base!$E$12+datos_base!$E$26,0))*parametros_manuales!$E$110)*parametros_manuales!$I$25*parametros_manuales!$J$25</f>
        <v>3959.3961545685</v>
      </c>
      <c r="F89" s="9" t="n">
        <f aca="false">(parametros_manuales!$D$25*(datos_base!$E$2+datos_base!$E$18+IF(parametros_manuales!$H$25="Todos",datos_base!$E$9+datos_base!$E$23,0))*parametros_manuales!$F$95+parametros_manuales!$E$25*(datos_base!$E$3+datos_base!$E$19+IF(parametros_manuales!$H$25="Todos",datos_base!$E$10+datos_base!$E$24,0))*parametros_manuales!$F$100+parametros_manuales!$F$25*(datos_base!$E$4+datos_base!$E$20+IF(parametros_manuales!$H$25="Todos",datos_base!$E$11+datos_base!$E$25,0))*parametros_manuales!$F$105+parametros_manuales!$G$25*(datos_base!$E$5+datos_base!$E$21+IF(parametros_manuales!$H$25="Todos",datos_base!$E$12+datos_base!$E$26,0))*parametros_manuales!$F$110)*parametros_manuales!$I$25*parametros_manuales!$J$25</f>
        <v>3705.807006918</v>
      </c>
      <c r="G89" s="9" t="n">
        <f aca="false">(parametros_manuales!$D$25*(datos_base!$E$2+datos_base!$E$18+IF(parametros_manuales!$H$25="Todos",datos_base!$E$9+datos_base!$E$23,0))*parametros_manuales!$G$95+parametros_manuales!$E$25*(datos_base!$E$3+datos_base!$E$19+IF(parametros_manuales!$H$25="Todos",datos_base!$E$10+datos_base!$E$24,0))*parametros_manuales!$G$100+parametros_manuales!$F$25*(datos_base!$E$4+datos_base!$E$20+IF(parametros_manuales!$H$25="Todos",datos_base!$E$11+datos_base!$E$25,0))*parametros_manuales!$G$105+parametros_manuales!$G$25*(datos_base!$E$5+datos_base!$E$21+IF(parametros_manuales!$H$25="Todos",datos_base!$E$12+datos_base!$E$26,0))*parametros_manuales!$G$110)*parametros_manuales!$I$25*parametros_manuales!$J$25</f>
        <v>3628.0275370125</v>
      </c>
      <c r="H89" s="9" t="n">
        <f aca="false">(parametros_manuales!$D$25*(datos_base!$E$2+datos_base!$E$18+IF(parametros_manuales!$H$25="Todos",datos_base!$E$9+datos_base!$E$23,0))*parametros_manuales!$H$95+parametros_manuales!$E$25*(datos_base!$E$3+datos_base!$E$19+IF(parametros_manuales!$H$25="Todos",datos_base!$E$10+datos_base!$E$24,0))*parametros_manuales!$H$100+parametros_manuales!$F$25*(datos_base!$E$4+datos_base!$E$20+IF(parametros_manuales!$H$25="Todos",datos_base!$E$11+datos_base!$E$25,0))*parametros_manuales!$H$105+parametros_manuales!$G$25*(datos_base!$E$5+datos_base!$E$21+IF(parametros_manuales!$H$25="Todos",datos_base!$E$12+datos_base!$E$26,0))*parametros_manuales!$H$110)*parametros_manuales!$I$25*parametros_manuales!$J$25</f>
        <v>3881.616684663</v>
      </c>
      <c r="I89" s="9" t="n">
        <f aca="false">(parametros_manuales!$D$25*(datos_base!$E$2+datos_base!$E$18+IF(parametros_manuales!$H$25="Todos",datos_base!$E$9+datos_base!$E$23,0))*parametros_manuales!$I$95+parametros_manuales!$E$25*(datos_base!$E$3+datos_base!$E$19+IF(parametros_manuales!$H$25="Todos",datos_base!$E$10+datos_base!$E$24,0))*parametros_manuales!$I$100+parametros_manuales!$F$25*(datos_base!$E$4+datos_base!$E$20+IF(parametros_manuales!$H$25="Todos",datos_base!$E$11+datos_base!$E$25,0))*parametros_manuales!$I$105+parametros_manuales!$G$25*(datos_base!$E$5+datos_base!$E$21+IF(parametros_manuales!$H$25="Todos",datos_base!$E$12+datos_base!$E$26,0))*parametros_manuales!$I$110)*parametros_manuales!$I$25*parametros_manuales!$J$25</f>
        <v>4409.045717898</v>
      </c>
      <c r="J89" s="9" t="n">
        <f aca="false">(parametros_manuales!$D$25*(datos_base!$E$2+datos_base!$E$18+IF(parametros_manuales!$H$25="Todos",datos_base!$E$9+datos_base!$E$23,0))*parametros_manuales!$J$95+parametros_manuales!$E$25*(datos_base!$E$3+datos_base!$E$19+IF(parametros_manuales!$H$25="Todos",datos_base!$E$10+datos_base!$E$24,0))*parametros_manuales!$J$100+parametros_manuales!$F$25*(datos_base!$E$4+datos_base!$E$20+IF(parametros_manuales!$H$25="Todos",datos_base!$E$11+datos_base!$E$25,0))*parametros_manuales!$J$105+parametros_manuales!$G$25*(datos_base!$E$5+datos_base!$E$21+IF(parametros_manuales!$H$25="Todos",datos_base!$E$12+datos_base!$E$26,0))*parametros_manuales!$J$110)*parametros_manuales!$I$25*parametros_manuales!$J$25</f>
        <v>4409.045717898</v>
      </c>
      <c r="K89" s="9" t="n">
        <f aca="false">(parametros_manuales!$D$25*(datos_base!$E$2+datos_base!$E$18+IF(parametros_manuales!$H$25="Todos",datos_base!$E$9+datos_base!$E$23,0))*parametros_manuales!$K$95+parametros_manuales!$E$25*(datos_base!$E$3+datos_base!$E$19+IF(parametros_manuales!$H$25="Todos",datos_base!$E$10+datos_base!$E$24,0))*parametros_manuales!$K$100+parametros_manuales!$F$25*(datos_base!$E$4+datos_base!$E$20+IF(parametros_manuales!$H$25="Todos",datos_base!$E$11+datos_base!$E$25,0))*parametros_manuales!$K$105+parametros_manuales!$G$25*(datos_base!$E$5+datos_base!$E$21+IF(parametros_manuales!$H$25="Todos",datos_base!$E$12+datos_base!$E$26,0))*parametros_manuales!$K$110)*parametros_manuales!$I$25*parametros_manuales!$J$25</f>
        <v>4486.8251878035</v>
      </c>
      <c r="L89" s="9" t="n">
        <f aca="false">(parametros_manuales!$D$25*(datos_base!$E$2+datos_base!$E$18+IF(parametros_manuales!$H$25="Todos",datos_base!$E$9+datos_base!$E$23,0))*parametros_manuales!$L$95+parametros_manuales!$E$25*(datos_base!$E$3+datos_base!$E$19+IF(parametros_manuales!$H$25="Todos",datos_base!$E$10+datos_base!$E$24,0))*parametros_manuales!$L$100+parametros_manuales!$F$25*(datos_base!$E$4+datos_base!$E$20+IF(parametros_manuales!$H$25="Todos",datos_base!$E$11+datos_base!$E$25,0))*parametros_manuales!$L$105+parametros_manuales!$G$25*(datos_base!$E$5+datos_base!$E$21+IF(parametros_manuales!$H$25="Todos",datos_base!$E$12+datos_base!$E$26,0))*parametros_manuales!$L$110)*parametros_manuales!$I$25*parametros_manuales!$J$25</f>
        <v>4564.604657709</v>
      </c>
      <c r="M89" s="9" t="n">
        <f aca="false">(parametros_manuales!$D$25*(datos_base!$E$2+datos_base!$E$18+IF(parametros_manuales!$H$25="Todos",datos_base!$E$9+datos_base!$E$23,0))*parametros_manuales!$M$95+parametros_manuales!$E$25*(datos_base!$E$3+datos_base!$E$19+IF(parametros_manuales!$H$25="Todos",datos_base!$E$10+datos_base!$E$24,0))*parametros_manuales!$M$100+parametros_manuales!$F$25*(datos_base!$E$4+datos_base!$E$20+IF(parametros_manuales!$H$25="Todos",datos_base!$E$11+datos_base!$E$25,0))*parametros_manuales!$M$105+parametros_manuales!$G$25*(datos_base!$E$5+datos_base!$E$21+IF(parametros_manuales!$H$25="Todos",datos_base!$E$12+datos_base!$E$26,0))*parametros_manuales!$M$110)*parametros_manuales!$I$25*parametros_manuales!$J$25</f>
        <v>4564.604657709</v>
      </c>
      <c r="N89" s="9" t="n">
        <f aca="false">SUM(B89:M89)</f>
        <v>50717.8295301</v>
      </c>
      <c r="O89" s="9" t="n">
        <f aca="false">MAX(B89:M89)</f>
        <v>4564.604657709</v>
      </c>
      <c r="P89" s="43" t="n">
        <f aca="false">O89/(parametros_manuales!$B$7)</f>
        <v>30.43069771806</v>
      </c>
      <c r="Q89" s="8" t="str">
        <f aca="false">IF(O89=0,"-",INDEX($B$82:$M$82,MATCH(O89,B89:M89,0)))</f>
        <v>Ene</v>
      </c>
    </row>
    <row r="90" customFormat="false" ht="14.25" hidden="false" customHeight="true" outlineLevel="0" collapsed="false">
      <c r="A90" s="8" t="str">
        <f aca="false">parametros_manuales!$B$26</f>
        <v>Cilindrado</v>
      </c>
      <c r="B90" s="9" t="n">
        <f aca="false">(parametros_manuales!$D$26*(datos_base!$E$2+datos_base!$E$18+IF(parametros_manuales!$H$26="Todos",datos_base!$E$9+datos_base!$E$23,0))*parametros_manuales!$B$95+parametros_manuales!$E$26*(datos_base!$E$3+datos_base!$E$19+IF(parametros_manuales!$H$26="Todos",datos_base!$E$10+datos_base!$E$24,0))*parametros_manuales!$B$100+parametros_manuales!$F$26*(datos_base!$E$4+datos_base!$E$20+IF(parametros_manuales!$H$26="Todos",datos_base!$E$11+datos_base!$E$25,0))*parametros_manuales!$B$105+parametros_manuales!$G$26*(datos_base!$E$5+datos_base!$E$21+IF(parametros_manuales!$H$26="Todos",datos_base!$E$12+datos_base!$E$26,0))*parametros_manuales!$B$110)*parametros_manuales!$I$26*parametros_manuales!$J$26</f>
        <v>1400.030458299</v>
      </c>
      <c r="C90" s="9" t="n">
        <f aca="false">(parametros_manuales!$D$26*(datos_base!$E$2+datos_base!$E$18+IF(parametros_manuales!$H$26="Todos",datos_base!$E$9+datos_base!$E$23,0))*parametros_manuales!$C$95+parametros_manuales!$E$26*(datos_base!$E$3+datos_base!$E$19+IF(parametros_manuales!$H$26="Todos",datos_base!$E$10+datos_base!$E$24,0))*parametros_manuales!$C$100+parametros_manuales!$F$26*(datos_base!$E$4+datos_base!$E$20+IF(parametros_manuales!$H$26="Todos",datos_base!$E$11+datos_base!$E$25,0))*parametros_manuales!$C$105+parametros_manuales!$G$26*(datos_base!$E$5+datos_base!$E$21+IF(parametros_manuales!$H$26="Todos",datos_base!$E$12+datos_base!$E$26,0))*parametros_manuales!$C$110)*parametros_manuales!$I$26*parametros_manuales!$J$26</f>
        <v>1244.471518488</v>
      </c>
      <c r="D90" s="9" t="n">
        <f aca="false">(parametros_manuales!$D$26*(datos_base!$E$2+datos_base!$E$18+IF(parametros_manuales!$H$26="Todos",datos_base!$E$9+datos_base!$E$23,0))*parametros_manuales!$D$95+parametros_manuales!$E$26*(datos_base!$E$3+datos_base!$E$19+IF(parametros_manuales!$H$26="Todos",datos_base!$E$10+datos_base!$E$24,0))*parametros_manuales!$D$100+parametros_manuales!$F$26*(datos_base!$E$4+datos_base!$E$20+IF(parametros_manuales!$H$26="Todos",datos_base!$E$11+datos_base!$E$25,0))*parametros_manuales!$D$105+parametros_manuales!$G$26*(datos_base!$E$5+datos_base!$E$21+IF(parametros_manuales!$H$26="Todos",datos_base!$E$12+datos_base!$E$26,0))*parametros_manuales!$D$110)*parametros_manuales!$I$26*parametros_manuales!$J$26</f>
        <v>1322.2509883935</v>
      </c>
      <c r="E90" s="9" t="n">
        <f aca="false">(parametros_manuales!$D$26*(datos_base!$E$2+datos_base!$E$18+IF(parametros_manuales!$H$26="Todos",datos_base!$E$9+datos_base!$E$23,0))*parametros_manuales!$E$95+parametros_manuales!$E$26*(datos_base!$E$3+datos_base!$E$19+IF(parametros_manuales!$H$26="Todos",datos_base!$E$10+datos_base!$E$24,0))*parametros_manuales!$E$100+parametros_manuales!$F$26*(datos_base!$E$4+datos_base!$E$20+IF(parametros_manuales!$H$26="Todos",datos_base!$E$11+datos_base!$E$25,0))*parametros_manuales!$E$105+parametros_manuales!$G$26*(datos_base!$E$5+datos_base!$E$21+IF(parametros_manuales!$H$26="Todos",datos_base!$E$12+datos_base!$E$26,0))*parametros_manuales!$E$110)*parametros_manuales!$I$26*parametros_manuales!$J$26</f>
        <v>1322.2509883935</v>
      </c>
      <c r="F90" s="9" t="n">
        <f aca="false">(parametros_manuales!$D$26*(datos_base!$E$2+datos_base!$E$18+IF(parametros_manuales!$H$26="Todos",datos_base!$E$9+datos_base!$E$23,0))*parametros_manuales!$F$95+parametros_manuales!$E$26*(datos_base!$E$3+datos_base!$E$19+IF(parametros_manuales!$H$26="Todos",datos_base!$E$10+datos_base!$E$24,0))*parametros_manuales!$F$100+parametros_manuales!$F$26*(datos_base!$E$4+datos_base!$E$20+IF(parametros_manuales!$H$26="Todos",datos_base!$E$11+datos_base!$E$25,0))*parametros_manuales!$F$105+parametros_manuales!$G$26*(datos_base!$E$5+datos_base!$E$21+IF(parametros_manuales!$H$26="Todos",datos_base!$E$12+datos_base!$E$26,0))*parametros_manuales!$F$110)*parametros_manuales!$I$26*parametros_manuales!$J$26</f>
        <v>1244.471518488</v>
      </c>
      <c r="G90" s="9" t="n">
        <f aca="false">(parametros_manuales!$D$26*(datos_base!$E$2+datos_base!$E$18+IF(parametros_manuales!$H$26="Todos",datos_base!$E$9+datos_base!$E$23,0))*parametros_manuales!$G$95+parametros_manuales!$E$26*(datos_base!$E$3+datos_base!$E$19+IF(parametros_manuales!$H$26="Todos",datos_base!$E$10+datos_base!$E$24,0))*parametros_manuales!$G$100+parametros_manuales!$F$26*(datos_base!$E$4+datos_base!$E$20+IF(parametros_manuales!$H$26="Todos",datos_base!$E$11+datos_base!$E$25,0))*parametros_manuales!$G$105+parametros_manuales!$G$26*(datos_base!$E$5+datos_base!$E$21+IF(parametros_manuales!$H$26="Todos",datos_base!$E$12+datos_base!$E$26,0))*parametros_manuales!$G$110)*parametros_manuales!$I$26*parametros_manuales!$J$26</f>
        <v>1166.6920485825</v>
      </c>
      <c r="H90" s="9" t="n">
        <f aca="false">(parametros_manuales!$D$26*(datos_base!$E$2+datos_base!$E$18+IF(parametros_manuales!$H$26="Todos",datos_base!$E$9+datos_base!$E$23,0))*parametros_manuales!$H$95+parametros_manuales!$E$26*(datos_base!$E$3+datos_base!$E$19+IF(parametros_manuales!$H$26="Todos",datos_base!$E$10+datos_base!$E$24,0))*parametros_manuales!$H$100+parametros_manuales!$F$26*(datos_base!$E$4+datos_base!$E$20+IF(parametros_manuales!$H$26="Todos",datos_base!$E$11+datos_base!$E$25,0))*parametros_manuales!$H$105+parametros_manuales!$G$26*(datos_base!$E$5+datos_base!$E$21+IF(parametros_manuales!$H$26="Todos",datos_base!$E$12+datos_base!$E$26,0))*parametros_manuales!$H$110)*parametros_manuales!$I$26*parametros_manuales!$J$26</f>
        <v>1244.471518488</v>
      </c>
      <c r="I90" s="9" t="n">
        <f aca="false">(parametros_manuales!$D$26*(datos_base!$E$2+datos_base!$E$18+IF(parametros_manuales!$H$26="Todos",datos_base!$E$9+datos_base!$E$23,0))*parametros_manuales!$I$95+parametros_manuales!$E$26*(datos_base!$E$3+datos_base!$E$19+IF(parametros_manuales!$H$26="Todos",datos_base!$E$10+datos_base!$E$24,0))*parametros_manuales!$I$100+parametros_manuales!$F$26*(datos_base!$E$4+datos_base!$E$20+IF(parametros_manuales!$H$26="Todos",datos_base!$E$11+datos_base!$E$25,0))*parametros_manuales!$I$105+parametros_manuales!$G$26*(datos_base!$E$5+datos_base!$E$21+IF(parametros_manuales!$H$26="Todos",datos_base!$E$12+datos_base!$E$26,0))*parametros_manuales!$I$110)*parametros_manuales!$I$26*parametros_manuales!$J$26</f>
        <v>1244.471518488</v>
      </c>
      <c r="J90" s="9" t="n">
        <f aca="false">(parametros_manuales!$D$26*(datos_base!$E$2+datos_base!$E$18+IF(parametros_manuales!$H$26="Todos",datos_base!$E$9+datos_base!$E$23,0))*parametros_manuales!$J$95+parametros_manuales!$E$26*(datos_base!$E$3+datos_base!$E$19+IF(parametros_manuales!$H$26="Todos",datos_base!$E$10+datos_base!$E$24,0))*parametros_manuales!$J$100+parametros_manuales!$F$26*(datos_base!$E$4+datos_base!$E$20+IF(parametros_manuales!$H$26="Todos",datos_base!$E$11+datos_base!$E$25,0))*parametros_manuales!$J$105+parametros_manuales!$G$26*(datos_base!$E$5+datos_base!$E$21+IF(parametros_manuales!$H$26="Todos",datos_base!$E$12+datos_base!$E$26,0))*parametros_manuales!$J$110)*parametros_manuales!$I$26*parametros_manuales!$J$26</f>
        <v>1244.471518488</v>
      </c>
      <c r="K90" s="9" t="n">
        <f aca="false">(parametros_manuales!$D$26*(datos_base!$E$2+datos_base!$E$18+IF(parametros_manuales!$H$26="Todos",datos_base!$E$9+datos_base!$E$23,0))*parametros_manuales!$K$95+parametros_manuales!$E$26*(datos_base!$E$3+datos_base!$E$19+IF(parametros_manuales!$H$26="Todos",datos_base!$E$10+datos_base!$E$24,0))*parametros_manuales!$K$100+parametros_manuales!$F$26*(datos_base!$E$4+datos_base!$E$20+IF(parametros_manuales!$H$26="Todos",datos_base!$E$11+datos_base!$E$25,0))*parametros_manuales!$K$105+parametros_manuales!$G$26*(datos_base!$E$5+datos_base!$E$21+IF(parametros_manuales!$H$26="Todos",datos_base!$E$12+datos_base!$E$26,0))*parametros_manuales!$K$110)*parametros_manuales!$I$26*parametros_manuales!$J$26</f>
        <v>1322.2509883935</v>
      </c>
      <c r="L90" s="9" t="n">
        <f aca="false">(parametros_manuales!$D$26*(datos_base!$E$2+datos_base!$E$18+IF(parametros_manuales!$H$26="Todos",datos_base!$E$9+datos_base!$E$23,0))*parametros_manuales!$L$95+parametros_manuales!$E$26*(datos_base!$E$3+datos_base!$E$19+IF(parametros_manuales!$H$26="Todos",datos_base!$E$10+datos_base!$E$24,0))*parametros_manuales!$L$100+parametros_manuales!$F$26*(datos_base!$E$4+datos_base!$E$20+IF(parametros_manuales!$H$26="Todos",datos_base!$E$11+datos_base!$E$25,0))*parametros_manuales!$L$105+parametros_manuales!$G$26*(datos_base!$E$5+datos_base!$E$21+IF(parametros_manuales!$H$26="Todos",datos_base!$E$12+datos_base!$E$26,0))*parametros_manuales!$L$110)*parametros_manuales!$I$26*parametros_manuales!$J$26</f>
        <v>1400.030458299</v>
      </c>
      <c r="M90" s="9" t="n">
        <f aca="false">(parametros_manuales!$D$26*(datos_base!$E$2+datos_base!$E$18+IF(parametros_manuales!$H$26="Todos",datos_base!$E$9+datos_base!$E$23,0))*parametros_manuales!$M$95+parametros_manuales!$E$26*(datos_base!$E$3+datos_base!$E$19+IF(parametros_manuales!$H$26="Todos",datos_base!$E$10+datos_base!$E$24,0))*parametros_manuales!$M$100+parametros_manuales!$F$26*(datos_base!$E$4+datos_base!$E$20+IF(parametros_manuales!$H$26="Todos",datos_base!$E$11+datos_base!$E$25,0))*parametros_manuales!$M$105+parametros_manuales!$G$26*(datos_base!$E$5+datos_base!$E$21+IF(parametros_manuales!$H$26="Todos",datos_base!$E$12+datos_base!$E$26,0))*parametros_manuales!$M$110)*parametros_manuales!$I$26*parametros_manuales!$J$26</f>
        <v>1400.030458299</v>
      </c>
      <c r="N90" s="9" t="n">
        <f aca="false">SUM(B90:M90)</f>
        <v>15555.8939811</v>
      </c>
      <c r="O90" s="9" t="n">
        <f aca="false">MAX(B90:M90)</f>
        <v>1400.030458299</v>
      </c>
      <c r="P90" s="43" t="n">
        <f aca="false">O90/(parametros_manuales!$B$7)</f>
        <v>9.33353638866</v>
      </c>
      <c r="Q90" s="8" t="str">
        <f aca="false">IF(O90=0,"-",INDEX($B$82:$M$82,MATCH(O90,B90:M90,0)))</f>
        <v>Ene</v>
      </c>
    </row>
    <row r="91" customFormat="false" ht="14.25" hidden="false" customHeight="true" outlineLevel="0" collapsed="false">
      <c r="A91" s="8" t="str">
        <f aca="false">parametros_manuales!$B$27</f>
        <v>Soldadura longitudinal</v>
      </c>
      <c r="B91" s="9" t="n">
        <f aca="false">(parametros_manuales!$D$27*(datos_base!$E$2+datos_base!$E$18+IF(parametros_manuales!$H$27="Todos",datos_base!$E$9+datos_base!$E$23,0))*parametros_manuales!$B$95+parametros_manuales!$E$27*(datos_base!$E$3+datos_base!$E$19+IF(parametros_manuales!$H$27="Todos",datos_base!$E$10+datos_base!$E$24,0))*parametros_manuales!$B$100+parametros_manuales!$F$27*(datos_base!$E$4+datos_base!$E$20+IF(parametros_manuales!$H$27="Todos",datos_base!$E$11+datos_base!$E$25,0))*parametros_manuales!$B$105+parametros_manuales!$G$27*(datos_base!$E$5+datos_base!$E$21+IF(parametros_manuales!$H$27="Todos",datos_base!$E$12+datos_base!$E$26,0))*parametros_manuales!$B$110)*parametros_manuales!$I$27*parametros_manuales!$J$27</f>
        <v>1400.030458299</v>
      </c>
      <c r="C91" s="9" t="n">
        <f aca="false">(parametros_manuales!$D$27*(datos_base!$E$2+datos_base!$E$18+IF(parametros_manuales!$H$27="Todos",datos_base!$E$9+datos_base!$E$23,0))*parametros_manuales!$C$95+parametros_manuales!$E$27*(datos_base!$E$3+datos_base!$E$19+IF(parametros_manuales!$H$27="Todos",datos_base!$E$10+datos_base!$E$24,0))*parametros_manuales!$C$100+parametros_manuales!$F$27*(datos_base!$E$4+datos_base!$E$20+IF(parametros_manuales!$H$27="Todos",datos_base!$E$11+datos_base!$E$25,0))*parametros_manuales!$C$105+parametros_manuales!$G$27*(datos_base!$E$5+datos_base!$E$21+IF(parametros_manuales!$H$27="Todos",datos_base!$E$12+datos_base!$E$26,0))*parametros_manuales!$C$110)*parametros_manuales!$I$27*parametros_manuales!$J$27</f>
        <v>1244.471518488</v>
      </c>
      <c r="D91" s="9" t="n">
        <f aca="false">(parametros_manuales!$D$27*(datos_base!$E$2+datos_base!$E$18+IF(parametros_manuales!$H$27="Todos",datos_base!$E$9+datos_base!$E$23,0))*parametros_manuales!$D$95+parametros_manuales!$E$27*(datos_base!$E$3+datos_base!$E$19+IF(parametros_manuales!$H$27="Todos",datos_base!$E$10+datos_base!$E$24,0))*parametros_manuales!$D$100+parametros_manuales!$F$27*(datos_base!$E$4+datos_base!$E$20+IF(parametros_manuales!$H$27="Todos",datos_base!$E$11+datos_base!$E$25,0))*parametros_manuales!$D$105+parametros_manuales!$G$27*(datos_base!$E$5+datos_base!$E$21+IF(parametros_manuales!$H$27="Todos",datos_base!$E$12+datos_base!$E$26,0))*parametros_manuales!$D$110)*parametros_manuales!$I$27*parametros_manuales!$J$27</f>
        <v>1322.2509883935</v>
      </c>
      <c r="E91" s="9" t="n">
        <f aca="false">(parametros_manuales!$D$27*(datos_base!$E$2+datos_base!$E$18+IF(parametros_manuales!$H$27="Todos",datos_base!$E$9+datos_base!$E$23,0))*parametros_manuales!$E$95+parametros_manuales!$E$27*(datos_base!$E$3+datos_base!$E$19+IF(parametros_manuales!$H$27="Todos",datos_base!$E$10+datos_base!$E$24,0))*parametros_manuales!$E$100+parametros_manuales!$F$27*(datos_base!$E$4+datos_base!$E$20+IF(parametros_manuales!$H$27="Todos",datos_base!$E$11+datos_base!$E$25,0))*parametros_manuales!$E$105+parametros_manuales!$G$27*(datos_base!$E$5+datos_base!$E$21+IF(parametros_manuales!$H$27="Todos",datos_base!$E$12+datos_base!$E$26,0))*parametros_manuales!$E$110)*parametros_manuales!$I$27*parametros_manuales!$J$27</f>
        <v>1322.2509883935</v>
      </c>
      <c r="F91" s="9" t="n">
        <f aca="false">(parametros_manuales!$D$27*(datos_base!$E$2+datos_base!$E$18+IF(parametros_manuales!$H$27="Todos",datos_base!$E$9+datos_base!$E$23,0))*parametros_manuales!$F$95+parametros_manuales!$E$27*(datos_base!$E$3+datos_base!$E$19+IF(parametros_manuales!$H$27="Todos",datos_base!$E$10+datos_base!$E$24,0))*parametros_manuales!$F$100+parametros_manuales!$F$27*(datos_base!$E$4+datos_base!$E$20+IF(parametros_manuales!$H$27="Todos",datos_base!$E$11+datos_base!$E$25,0))*parametros_manuales!$F$105+parametros_manuales!$G$27*(datos_base!$E$5+datos_base!$E$21+IF(parametros_manuales!$H$27="Todos",datos_base!$E$12+datos_base!$E$26,0))*parametros_manuales!$F$110)*parametros_manuales!$I$27*parametros_manuales!$J$27</f>
        <v>1244.471518488</v>
      </c>
      <c r="G91" s="9" t="n">
        <f aca="false">(parametros_manuales!$D$27*(datos_base!$E$2+datos_base!$E$18+IF(parametros_manuales!$H$27="Todos",datos_base!$E$9+datos_base!$E$23,0))*parametros_manuales!$G$95+parametros_manuales!$E$27*(datos_base!$E$3+datos_base!$E$19+IF(parametros_manuales!$H$27="Todos",datos_base!$E$10+datos_base!$E$24,0))*parametros_manuales!$G$100+parametros_manuales!$F$27*(datos_base!$E$4+datos_base!$E$20+IF(parametros_manuales!$H$27="Todos",datos_base!$E$11+datos_base!$E$25,0))*parametros_manuales!$G$105+parametros_manuales!$G$27*(datos_base!$E$5+datos_base!$E$21+IF(parametros_manuales!$H$27="Todos",datos_base!$E$12+datos_base!$E$26,0))*parametros_manuales!$G$110)*parametros_manuales!$I$27*parametros_manuales!$J$27</f>
        <v>1166.6920485825</v>
      </c>
      <c r="H91" s="9" t="n">
        <f aca="false">(parametros_manuales!$D$27*(datos_base!$E$2+datos_base!$E$18+IF(parametros_manuales!$H$27="Todos",datos_base!$E$9+datos_base!$E$23,0))*parametros_manuales!$H$95+parametros_manuales!$E$27*(datos_base!$E$3+datos_base!$E$19+IF(parametros_manuales!$H$27="Todos",datos_base!$E$10+datos_base!$E$24,0))*parametros_manuales!$H$100+parametros_manuales!$F$27*(datos_base!$E$4+datos_base!$E$20+IF(parametros_manuales!$H$27="Todos",datos_base!$E$11+datos_base!$E$25,0))*parametros_manuales!$H$105+parametros_manuales!$G$27*(datos_base!$E$5+datos_base!$E$21+IF(parametros_manuales!$H$27="Todos",datos_base!$E$12+datos_base!$E$26,0))*parametros_manuales!$H$110)*parametros_manuales!$I$27*parametros_manuales!$J$27</f>
        <v>1244.471518488</v>
      </c>
      <c r="I91" s="9" t="n">
        <f aca="false">(parametros_manuales!$D$27*(datos_base!$E$2+datos_base!$E$18+IF(parametros_manuales!$H$27="Todos",datos_base!$E$9+datos_base!$E$23,0))*parametros_manuales!$I$95+parametros_manuales!$E$27*(datos_base!$E$3+datos_base!$E$19+IF(parametros_manuales!$H$27="Todos",datos_base!$E$10+datos_base!$E$24,0))*parametros_manuales!$I$100+parametros_manuales!$F$27*(datos_base!$E$4+datos_base!$E$20+IF(parametros_manuales!$H$27="Todos",datos_base!$E$11+datos_base!$E$25,0))*parametros_manuales!$I$105+parametros_manuales!$G$27*(datos_base!$E$5+datos_base!$E$21+IF(parametros_manuales!$H$27="Todos",datos_base!$E$12+datos_base!$E$26,0))*parametros_manuales!$I$110)*parametros_manuales!$I$27*parametros_manuales!$J$27</f>
        <v>1244.471518488</v>
      </c>
      <c r="J91" s="9" t="n">
        <f aca="false">(parametros_manuales!$D$27*(datos_base!$E$2+datos_base!$E$18+IF(parametros_manuales!$H$27="Todos",datos_base!$E$9+datos_base!$E$23,0))*parametros_manuales!$J$95+parametros_manuales!$E$27*(datos_base!$E$3+datos_base!$E$19+IF(parametros_manuales!$H$27="Todos",datos_base!$E$10+datos_base!$E$24,0))*parametros_manuales!$J$100+parametros_manuales!$F$27*(datos_base!$E$4+datos_base!$E$20+IF(parametros_manuales!$H$27="Todos",datos_base!$E$11+datos_base!$E$25,0))*parametros_manuales!$J$105+parametros_manuales!$G$27*(datos_base!$E$5+datos_base!$E$21+IF(parametros_manuales!$H$27="Todos",datos_base!$E$12+datos_base!$E$26,0))*parametros_manuales!$J$110)*parametros_manuales!$I$27*parametros_manuales!$J$27</f>
        <v>1244.471518488</v>
      </c>
      <c r="K91" s="9" t="n">
        <f aca="false">(parametros_manuales!$D$27*(datos_base!$E$2+datos_base!$E$18+IF(parametros_manuales!$H$27="Todos",datos_base!$E$9+datos_base!$E$23,0))*parametros_manuales!$K$95+parametros_manuales!$E$27*(datos_base!$E$3+datos_base!$E$19+IF(parametros_manuales!$H$27="Todos",datos_base!$E$10+datos_base!$E$24,0))*parametros_manuales!$K$100+parametros_manuales!$F$27*(datos_base!$E$4+datos_base!$E$20+IF(parametros_manuales!$H$27="Todos",datos_base!$E$11+datos_base!$E$25,0))*parametros_manuales!$K$105+parametros_manuales!$G$27*(datos_base!$E$5+datos_base!$E$21+IF(parametros_manuales!$H$27="Todos",datos_base!$E$12+datos_base!$E$26,0))*parametros_manuales!$K$110)*parametros_manuales!$I$27*parametros_manuales!$J$27</f>
        <v>1322.2509883935</v>
      </c>
      <c r="L91" s="9" t="n">
        <f aca="false">(parametros_manuales!$D$27*(datos_base!$E$2+datos_base!$E$18+IF(parametros_manuales!$H$27="Todos",datos_base!$E$9+datos_base!$E$23,0))*parametros_manuales!$L$95+parametros_manuales!$E$27*(datos_base!$E$3+datos_base!$E$19+IF(parametros_manuales!$H$27="Todos",datos_base!$E$10+datos_base!$E$24,0))*parametros_manuales!$L$100+parametros_manuales!$F$27*(datos_base!$E$4+datos_base!$E$20+IF(parametros_manuales!$H$27="Todos",datos_base!$E$11+datos_base!$E$25,0))*parametros_manuales!$L$105+parametros_manuales!$G$27*(datos_base!$E$5+datos_base!$E$21+IF(parametros_manuales!$H$27="Todos",datos_base!$E$12+datos_base!$E$26,0))*parametros_manuales!$L$110)*parametros_manuales!$I$27*parametros_manuales!$J$27</f>
        <v>1400.030458299</v>
      </c>
      <c r="M91" s="9" t="n">
        <f aca="false">(parametros_manuales!$D$27*(datos_base!$E$2+datos_base!$E$18+IF(parametros_manuales!$H$27="Todos",datos_base!$E$9+datos_base!$E$23,0))*parametros_manuales!$M$95+parametros_manuales!$E$27*(datos_base!$E$3+datos_base!$E$19+IF(parametros_manuales!$H$27="Todos",datos_base!$E$10+datos_base!$E$24,0))*parametros_manuales!$M$100+parametros_manuales!$F$27*(datos_base!$E$4+datos_base!$E$20+IF(parametros_manuales!$H$27="Todos",datos_base!$E$11+datos_base!$E$25,0))*parametros_manuales!$M$105+parametros_manuales!$G$27*(datos_base!$E$5+datos_base!$E$21+IF(parametros_manuales!$H$27="Todos",datos_base!$E$12+datos_base!$E$26,0))*parametros_manuales!$M$110)*parametros_manuales!$I$27*parametros_manuales!$J$27</f>
        <v>1400.030458299</v>
      </c>
      <c r="N91" s="9" t="n">
        <f aca="false">SUM(B91:M91)</f>
        <v>15555.8939811</v>
      </c>
      <c r="O91" s="9" t="n">
        <f aca="false">MAX(B91:M91)</f>
        <v>1400.030458299</v>
      </c>
      <c r="P91" s="43" t="n">
        <f aca="false">O91/(parametros_manuales!$B$7)</f>
        <v>9.33353638866</v>
      </c>
      <c r="Q91" s="8" t="str">
        <f aca="false">IF(O91=0,"-",INDEX($B$82:$M$82,MATCH(O91,B91:M91,0)))</f>
        <v>Ene</v>
      </c>
    </row>
    <row r="92" customFormat="false" ht="14.25" hidden="false" customHeight="true" outlineLevel="0" collapsed="false">
      <c r="A92" s="8" t="str">
        <f aca="false">parametros_manuales!$B$28</f>
        <v>Encastre de fondo</v>
      </c>
      <c r="B92" s="9" t="n">
        <f aca="false">(parametros_manuales!$D$28*(datos_base!$E$2+datos_base!$E$18+IF(parametros_manuales!$H$28="Todos",datos_base!$E$9+datos_base!$E$23,0))*parametros_manuales!$B$95+parametros_manuales!$E$28*(datos_base!$E$3+datos_base!$E$19+IF(parametros_manuales!$H$28="Todos",datos_base!$E$10+datos_base!$E$24,0))*parametros_manuales!$B$100+parametros_manuales!$F$28*(datos_base!$E$4+datos_base!$E$20+IF(parametros_manuales!$H$28="Todos",datos_base!$E$11+datos_base!$E$25,0))*parametros_manuales!$B$105+parametros_manuales!$G$28*(datos_base!$E$5+datos_base!$E$21+IF(parametros_manuales!$H$28="Todos",datos_base!$E$12+datos_base!$E$26,0))*parametros_manuales!$B$110)*parametros_manuales!$I$28*parametros_manuales!$J$28</f>
        <v>4564.604657709</v>
      </c>
      <c r="C92" s="9" t="n">
        <f aca="false">(parametros_manuales!$D$28*(datos_base!$E$2+datos_base!$E$18+IF(parametros_manuales!$H$28="Todos",datos_base!$E$9+datos_base!$E$23,0))*parametros_manuales!$C$95+parametros_manuales!$E$28*(datos_base!$E$3+datos_base!$E$19+IF(parametros_manuales!$H$28="Todos",datos_base!$E$10+datos_base!$E$24,0))*parametros_manuales!$C$100+parametros_manuales!$F$28*(datos_base!$E$4+datos_base!$E$20+IF(parametros_manuales!$H$28="Todos",datos_base!$E$11+datos_base!$E$25,0))*parametros_manuales!$C$105+parametros_manuales!$G$28*(datos_base!$E$5+datos_base!$E$21+IF(parametros_manuales!$H$28="Todos",datos_base!$E$12+datos_base!$E$26,0))*parametros_manuales!$C$110)*parametros_manuales!$I$28*parametros_manuales!$J$28</f>
        <v>4409.045717898</v>
      </c>
      <c r="D92" s="9" t="n">
        <f aca="false">(parametros_manuales!$D$28*(datos_base!$E$2+datos_base!$E$18+IF(parametros_manuales!$H$28="Todos",datos_base!$E$9+datos_base!$E$23,0))*parametros_manuales!$D$95+parametros_manuales!$E$28*(datos_base!$E$3+datos_base!$E$19+IF(parametros_manuales!$H$28="Todos",datos_base!$E$10+datos_base!$E$24,0))*parametros_manuales!$D$100+parametros_manuales!$F$28*(datos_base!$E$4+datos_base!$E$20+IF(parametros_manuales!$H$28="Todos",datos_base!$E$11+datos_base!$E$25,0))*parametros_manuales!$D$105+parametros_manuales!$G$28*(datos_base!$E$5+datos_base!$E$21+IF(parametros_manuales!$H$28="Todos",datos_base!$E$12+datos_base!$E$26,0))*parametros_manuales!$D$110)*parametros_manuales!$I$28*parametros_manuales!$J$28</f>
        <v>4135.2058323135</v>
      </c>
      <c r="E92" s="9" t="n">
        <f aca="false">(parametros_manuales!$D$28*(datos_base!$E$2+datos_base!$E$18+IF(parametros_manuales!$H$28="Todos",datos_base!$E$9+datos_base!$E$23,0))*parametros_manuales!$E$95+parametros_manuales!$E$28*(datos_base!$E$3+datos_base!$E$19+IF(parametros_manuales!$H$28="Todos",datos_base!$E$10+datos_base!$E$24,0))*parametros_manuales!$E$100+parametros_manuales!$F$28*(datos_base!$E$4+datos_base!$E$20+IF(parametros_manuales!$H$28="Todos",datos_base!$E$11+datos_base!$E$25,0))*parametros_manuales!$E$105+parametros_manuales!$G$28*(datos_base!$E$5+datos_base!$E$21+IF(parametros_manuales!$H$28="Todos",datos_base!$E$12+datos_base!$E$26,0))*parametros_manuales!$E$110)*parametros_manuales!$I$28*parametros_manuales!$J$28</f>
        <v>3959.3961545685</v>
      </c>
      <c r="F92" s="9" t="n">
        <f aca="false">(parametros_manuales!$D$28*(datos_base!$E$2+datos_base!$E$18+IF(parametros_manuales!$H$28="Todos",datos_base!$E$9+datos_base!$E$23,0))*parametros_manuales!$F$95+parametros_manuales!$E$28*(datos_base!$E$3+datos_base!$E$19+IF(parametros_manuales!$H$28="Todos",datos_base!$E$10+datos_base!$E$24,0))*parametros_manuales!$F$100+parametros_manuales!$F$28*(datos_base!$E$4+datos_base!$E$20+IF(parametros_manuales!$H$28="Todos",datos_base!$E$11+datos_base!$E$25,0))*parametros_manuales!$F$105+parametros_manuales!$G$28*(datos_base!$E$5+datos_base!$E$21+IF(parametros_manuales!$H$28="Todos",datos_base!$E$12+datos_base!$E$26,0))*parametros_manuales!$F$110)*parametros_manuales!$I$28*parametros_manuales!$J$28</f>
        <v>3705.807006918</v>
      </c>
      <c r="G92" s="9" t="n">
        <f aca="false">(parametros_manuales!$D$28*(datos_base!$E$2+datos_base!$E$18+IF(parametros_manuales!$H$28="Todos",datos_base!$E$9+datos_base!$E$23,0))*parametros_manuales!$G$95+parametros_manuales!$E$28*(datos_base!$E$3+datos_base!$E$19+IF(parametros_manuales!$H$28="Todos",datos_base!$E$10+datos_base!$E$24,0))*parametros_manuales!$G$100+parametros_manuales!$F$28*(datos_base!$E$4+datos_base!$E$20+IF(parametros_manuales!$H$28="Todos",datos_base!$E$11+datos_base!$E$25,0))*parametros_manuales!$G$105+parametros_manuales!$G$28*(datos_base!$E$5+datos_base!$E$21+IF(parametros_manuales!$H$28="Todos",datos_base!$E$12+datos_base!$E$26,0))*parametros_manuales!$G$110)*parametros_manuales!$I$28*parametros_manuales!$J$28</f>
        <v>3628.0275370125</v>
      </c>
      <c r="H92" s="9" t="n">
        <f aca="false">(parametros_manuales!$D$28*(datos_base!$E$2+datos_base!$E$18+IF(parametros_manuales!$H$28="Todos",datos_base!$E$9+datos_base!$E$23,0))*parametros_manuales!$H$95+parametros_manuales!$E$28*(datos_base!$E$3+datos_base!$E$19+IF(parametros_manuales!$H$28="Todos",datos_base!$E$10+datos_base!$E$24,0))*parametros_manuales!$H$100+parametros_manuales!$F$28*(datos_base!$E$4+datos_base!$E$20+IF(parametros_manuales!$H$28="Todos",datos_base!$E$11+datos_base!$E$25,0))*parametros_manuales!$H$105+parametros_manuales!$G$28*(datos_base!$E$5+datos_base!$E$21+IF(parametros_manuales!$H$28="Todos",datos_base!$E$12+datos_base!$E$26,0))*parametros_manuales!$H$110)*parametros_manuales!$I$28*parametros_manuales!$J$28</f>
        <v>3881.616684663</v>
      </c>
      <c r="I92" s="9" t="n">
        <f aca="false">(parametros_manuales!$D$28*(datos_base!$E$2+datos_base!$E$18+IF(parametros_manuales!$H$28="Todos",datos_base!$E$9+datos_base!$E$23,0))*parametros_manuales!$I$95+parametros_manuales!$E$28*(datos_base!$E$3+datos_base!$E$19+IF(parametros_manuales!$H$28="Todos",datos_base!$E$10+datos_base!$E$24,0))*parametros_manuales!$I$100+parametros_manuales!$F$28*(datos_base!$E$4+datos_base!$E$20+IF(parametros_manuales!$H$28="Todos",datos_base!$E$11+datos_base!$E$25,0))*parametros_manuales!$I$105+parametros_manuales!$G$28*(datos_base!$E$5+datos_base!$E$21+IF(parametros_manuales!$H$28="Todos",datos_base!$E$12+datos_base!$E$26,0))*parametros_manuales!$I$110)*parametros_manuales!$I$28*parametros_manuales!$J$28</f>
        <v>4409.045717898</v>
      </c>
      <c r="J92" s="9" t="n">
        <f aca="false">(parametros_manuales!$D$28*(datos_base!$E$2+datos_base!$E$18+IF(parametros_manuales!$H$28="Todos",datos_base!$E$9+datos_base!$E$23,0))*parametros_manuales!$J$95+parametros_manuales!$E$28*(datos_base!$E$3+datos_base!$E$19+IF(parametros_manuales!$H$28="Todos",datos_base!$E$10+datos_base!$E$24,0))*parametros_manuales!$J$100+parametros_manuales!$F$28*(datos_base!$E$4+datos_base!$E$20+IF(parametros_manuales!$H$28="Todos",datos_base!$E$11+datos_base!$E$25,0))*parametros_manuales!$J$105+parametros_manuales!$G$28*(datos_base!$E$5+datos_base!$E$21+IF(parametros_manuales!$H$28="Todos",datos_base!$E$12+datos_base!$E$26,0))*parametros_manuales!$J$110)*parametros_manuales!$I$28*parametros_manuales!$J$28</f>
        <v>4409.045717898</v>
      </c>
      <c r="K92" s="9" t="n">
        <f aca="false">(parametros_manuales!$D$28*(datos_base!$E$2+datos_base!$E$18+IF(parametros_manuales!$H$28="Todos",datos_base!$E$9+datos_base!$E$23,0))*parametros_manuales!$K$95+parametros_manuales!$E$28*(datos_base!$E$3+datos_base!$E$19+IF(parametros_manuales!$H$28="Todos",datos_base!$E$10+datos_base!$E$24,0))*parametros_manuales!$K$100+parametros_manuales!$F$28*(datos_base!$E$4+datos_base!$E$20+IF(parametros_manuales!$H$28="Todos",datos_base!$E$11+datos_base!$E$25,0))*parametros_manuales!$K$105+parametros_manuales!$G$28*(datos_base!$E$5+datos_base!$E$21+IF(parametros_manuales!$H$28="Todos",datos_base!$E$12+datos_base!$E$26,0))*parametros_manuales!$K$110)*parametros_manuales!$I$28*parametros_manuales!$J$28</f>
        <v>4486.8251878035</v>
      </c>
      <c r="L92" s="9" t="n">
        <f aca="false">(parametros_manuales!$D$28*(datos_base!$E$2+datos_base!$E$18+IF(parametros_manuales!$H$28="Todos",datos_base!$E$9+datos_base!$E$23,0))*parametros_manuales!$L$95+parametros_manuales!$E$28*(datos_base!$E$3+datos_base!$E$19+IF(parametros_manuales!$H$28="Todos",datos_base!$E$10+datos_base!$E$24,0))*parametros_manuales!$L$100+parametros_manuales!$F$28*(datos_base!$E$4+datos_base!$E$20+IF(parametros_manuales!$H$28="Todos",datos_base!$E$11+datos_base!$E$25,0))*parametros_manuales!$L$105+parametros_manuales!$G$28*(datos_base!$E$5+datos_base!$E$21+IF(parametros_manuales!$H$28="Todos",datos_base!$E$12+datos_base!$E$26,0))*parametros_manuales!$L$110)*parametros_manuales!$I$28*parametros_manuales!$J$28</f>
        <v>4564.604657709</v>
      </c>
      <c r="M92" s="9" t="n">
        <f aca="false">(parametros_manuales!$D$28*(datos_base!$E$2+datos_base!$E$18+IF(parametros_manuales!$H$28="Todos",datos_base!$E$9+datos_base!$E$23,0))*parametros_manuales!$M$95+parametros_manuales!$E$28*(datos_base!$E$3+datos_base!$E$19+IF(parametros_manuales!$H$28="Todos",datos_base!$E$10+datos_base!$E$24,0))*parametros_manuales!$M$100+parametros_manuales!$F$28*(datos_base!$E$4+datos_base!$E$20+IF(parametros_manuales!$H$28="Todos",datos_base!$E$11+datos_base!$E$25,0))*parametros_manuales!$M$105+parametros_manuales!$G$28*(datos_base!$E$5+datos_base!$E$21+IF(parametros_manuales!$H$28="Todos",datos_base!$E$12+datos_base!$E$26,0))*parametros_manuales!$M$110)*parametros_manuales!$I$28*parametros_manuales!$J$28</f>
        <v>4564.604657709</v>
      </c>
      <c r="N92" s="9" t="n">
        <f aca="false">SUM(B92:M92)</f>
        <v>50717.8295301</v>
      </c>
      <c r="O92" s="9" t="n">
        <f aca="false">MAX(B92:M92)</f>
        <v>4564.604657709</v>
      </c>
      <c r="P92" s="43" t="n">
        <f aca="false">O92/(parametros_manuales!$B$7)</f>
        <v>30.43069771806</v>
      </c>
      <c r="Q92" s="8" t="str">
        <f aca="false">IF(O92=0,"-",INDEX($B$82:$M$82,MATCH(O92,B92:M92,0)))</f>
        <v>Ene</v>
      </c>
    </row>
    <row r="93" customFormat="false" ht="14.25" hidden="false" customHeight="true" outlineLevel="0" collapsed="false">
      <c r="A93" s="8" t="str">
        <f aca="false">parametros_manuales!$B$29</f>
        <v>Bordoneado</v>
      </c>
      <c r="B93" s="9" t="n">
        <f aca="false">(parametros_manuales!$D$29*(datos_base!$E$2+datos_base!$E$18+IF(parametros_manuales!$H$29="Todos",datos_base!$E$9+datos_base!$E$23,0))*parametros_manuales!$B$95+parametros_manuales!$E$29*(datos_base!$E$3+datos_base!$E$19+IF(parametros_manuales!$H$29="Todos",datos_base!$E$10+datos_base!$E$24,0))*parametros_manuales!$B$100+parametros_manuales!$F$29*(datos_base!$E$4+datos_base!$E$20+IF(parametros_manuales!$H$29="Todos",datos_base!$E$11+datos_base!$E$25,0))*parametros_manuales!$B$105+parametros_manuales!$G$29*(datos_base!$E$5+datos_base!$E$21+IF(parametros_manuales!$H$29="Todos",datos_base!$E$12+datos_base!$E$26,0))*parametros_manuales!$B$110)*parametros_manuales!$I$29*parametros_manuales!$J$29</f>
        <v>4564.604657709</v>
      </c>
      <c r="C93" s="9" t="n">
        <f aca="false">(parametros_manuales!$D$29*(datos_base!$E$2+datos_base!$E$18+IF(parametros_manuales!$H$29="Todos",datos_base!$E$9+datos_base!$E$23,0))*parametros_manuales!$C$95+parametros_manuales!$E$29*(datos_base!$E$3+datos_base!$E$19+IF(parametros_manuales!$H$29="Todos",datos_base!$E$10+datos_base!$E$24,0))*parametros_manuales!$C$100+parametros_manuales!$F$29*(datos_base!$E$4+datos_base!$E$20+IF(parametros_manuales!$H$29="Todos",datos_base!$E$11+datos_base!$E$25,0))*parametros_manuales!$C$105+parametros_manuales!$G$29*(datos_base!$E$5+datos_base!$E$21+IF(parametros_manuales!$H$29="Todos",datos_base!$E$12+datos_base!$E$26,0))*parametros_manuales!$C$110)*parametros_manuales!$I$29*parametros_manuales!$J$29</f>
        <v>4409.045717898</v>
      </c>
      <c r="D93" s="9" t="n">
        <f aca="false">(parametros_manuales!$D$29*(datos_base!$E$2+datos_base!$E$18+IF(parametros_manuales!$H$29="Todos",datos_base!$E$9+datos_base!$E$23,0))*parametros_manuales!$D$95+parametros_manuales!$E$29*(datos_base!$E$3+datos_base!$E$19+IF(parametros_manuales!$H$29="Todos",datos_base!$E$10+datos_base!$E$24,0))*parametros_manuales!$D$100+parametros_manuales!$F$29*(datos_base!$E$4+datos_base!$E$20+IF(parametros_manuales!$H$29="Todos",datos_base!$E$11+datos_base!$E$25,0))*parametros_manuales!$D$105+parametros_manuales!$G$29*(datos_base!$E$5+datos_base!$E$21+IF(parametros_manuales!$H$29="Todos",datos_base!$E$12+datos_base!$E$26,0))*parametros_manuales!$D$110)*parametros_manuales!$I$29*parametros_manuales!$J$29</f>
        <v>4135.2058323135</v>
      </c>
      <c r="E93" s="9" t="n">
        <f aca="false">(parametros_manuales!$D$29*(datos_base!$E$2+datos_base!$E$18+IF(parametros_manuales!$H$29="Todos",datos_base!$E$9+datos_base!$E$23,0))*parametros_manuales!$E$95+parametros_manuales!$E$29*(datos_base!$E$3+datos_base!$E$19+IF(parametros_manuales!$H$29="Todos",datos_base!$E$10+datos_base!$E$24,0))*parametros_manuales!$E$100+parametros_manuales!$F$29*(datos_base!$E$4+datos_base!$E$20+IF(parametros_manuales!$H$29="Todos",datos_base!$E$11+datos_base!$E$25,0))*parametros_manuales!$E$105+parametros_manuales!$G$29*(datos_base!$E$5+datos_base!$E$21+IF(parametros_manuales!$H$29="Todos",datos_base!$E$12+datos_base!$E$26,0))*parametros_manuales!$E$110)*parametros_manuales!$I$29*parametros_manuales!$J$29</f>
        <v>3959.3961545685</v>
      </c>
      <c r="F93" s="9" t="n">
        <f aca="false">(parametros_manuales!$D$29*(datos_base!$E$2+datos_base!$E$18+IF(parametros_manuales!$H$29="Todos",datos_base!$E$9+datos_base!$E$23,0))*parametros_manuales!$F$95+parametros_manuales!$E$29*(datos_base!$E$3+datos_base!$E$19+IF(parametros_manuales!$H$29="Todos",datos_base!$E$10+datos_base!$E$24,0))*parametros_manuales!$F$100+parametros_manuales!$F$29*(datos_base!$E$4+datos_base!$E$20+IF(parametros_manuales!$H$29="Todos",datos_base!$E$11+datos_base!$E$25,0))*parametros_manuales!$F$105+parametros_manuales!$G$29*(datos_base!$E$5+datos_base!$E$21+IF(parametros_manuales!$H$29="Todos",datos_base!$E$12+datos_base!$E$26,0))*parametros_manuales!$F$110)*parametros_manuales!$I$29*parametros_manuales!$J$29</f>
        <v>3705.807006918</v>
      </c>
      <c r="G93" s="9" t="n">
        <f aca="false">(parametros_manuales!$D$29*(datos_base!$E$2+datos_base!$E$18+IF(parametros_manuales!$H$29="Todos",datos_base!$E$9+datos_base!$E$23,0))*parametros_manuales!$G$95+parametros_manuales!$E$29*(datos_base!$E$3+datos_base!$E$19+IF(parametros_manuales!$H$29="Todos",datos_base!$E$10+datos_base!$E$24,0))*parametros_manuales!$G$100+parametros_manuales!$F$29*(datos_base!$E$4+datos_base!$E$20+IF(parametros_manuales!$H$29="Todos",datos_base!$E$11+datos_base!$E$25,0))*parametros_manuales!$G$105+parametros_manuales!$G$29*(datos_base!$E$5+datos_base!$E$21+IF(parametros_manuales!$H$29="Todos",datos_base!$E$12+datos_base!$E$26,0))*parametros_manuales!$G$110)*parametros_manuales!$I$29*parametros_manuales!$J$29</f>
        <v>3628.0275370125</v>
      </c>
      <c r="H93" s="9" t="n">
        <f aca="false">(parametros_manuales!$D$29*(datos_base!$E$2+datos_base!$E$18+IF(parametros_manuales!$H$29="Todos",datos_base!$E$9+datos_base!$E$23,0))*parametros_manuales!$H$95+parametros_manuales!$E$29*(datos_base!$E$3+datos_base!$E$19+IF(parametros_manuales!$H$29="Todos",datos_base!$E$10+datos_base!$E$24,0))*parametros_manuales!$H$100+parametros_manuales!$F$29*(datos_base!$E$4+datos_base!$E$20+IF(parametros_manuales!$H$29="Todos",datos_base!$E$11+datos_base!$E$25,0))*parametros_manuales!$H$105+parametros_manuales!$G$29*(datos_base!$E$5+datos_base!$E$21+IF(parametros_manuales!$H$29="Todos",datos_base!$E$12+datos_base!$E$26,0))*parametros_manuales!$H$110)*parametros_manuales!$I$29*parametros_manuales!$J$29</f>
        <v>3881.616684663</v>
      </c>
      <c r="I93" s="9" t="n">
        <f aca="false">(parametros_manuales!$D$29*(datos_base!$E$2+datos_base!$E$18+IF(parametros_manuales!$H$29="Todos",datos_base!$E$9+datos_base!$E$23,0))*parametros_manuales!$I$95+parametros_manuales!$E$29*(datos_base!$E$3+datos_base!$E$19+IF(parametros_manuales!$H$29="Todos",datos_base!$E$10+datos_base!$E$24,0))*parametros_manuales!$I$100+parametros_manuales!$F$29*(datos_base!$E$4+datos_base!$E$20+IF(parametros_manuales!$H$29="Todos",datos_base!$E$11+datos_base!$E$25,0))*parametros_manuales!$I$105+parametros_manuales!$G$29*(datos_base!$E$5+datos_base!$E$21+IF(parametros_manuales!$H$29="Todos",datos_base!$E$12+datos_base!$E$26,0))*parametros_manuales!$I$110)*parametros_manuales!$I$29*parametros_manuales!$J$29</f>
        <v>4409.045717898</v>
      </c>
      <c r="J93" s="9" t="n">
        <f aca="false">(parametros_manuales!$D$29*(datos_base!$E$2+datos_base!$E$18+IF(parametros_manuales!$H$29="Todos",datos_base!$E$9+datos_base!$E$23,0))*parametros_manuales!$J$95+parametros_manuales!$E$29*(datos_base!$E$3+datos_base!$E$19+IF(parametros_manuales!$H$29="Todos",datos_base!$E$10+datos_base!$E$24,0))*parametros_manuales!$J$100+parametros_manuales!$F$29*(datos_base!$E$4+datos_base!$E$20+IF(parametros_manuales!$H$29="Todos",datos_base!$E$11+datos_base!$E$25,0))*parametros_manuales!$J$105+parametros_manuales!$G$29*(datos_base!$E$5+datos_base!$E$21+IF(parametros_manuales!$H$29="Todos",datos_base!$E$12+datos_base!$E$26,0))*parametros_manuales!$J$110)*parametros_manuales!$I$29*parametros_manuales!$J$29</f>
        <v>4409.045717898</v>
      </c>
      <c r="K93" s="9" t="n">
        <f aca="false">(parametros_manuales!$D$29*(datos_base!$E$2+datos_base!$E$18+IF(parametros_manuales!$H$29="Todos",datos_base!$E$9+datos_base!$E$23,0))*parametros_manuales!$K$95+parametros_manuales!$E$29*(datos_base!$E$3+datos_base!$E$19+IF(parametros_manuales!$H$29="Todos",datos_base!$E$10+datos_base!$E$24,0))*parametros_manuales!$K$100+parametros_manuales!$F$29*(datos_base!$E$4+datos_base!$E$20+IF(parametros_manuales!$H$29="Todos",datos_base!$E$11+datos_base!$E$25,0))*parametros_manuales!$K$105+parametros_manuales!$G$29*(datos_base!$E$5+datos_base!$E$21+IF(parametros_manuales!$H$29="Todos",datos_base!$E$12+datos_base!$E$26,0))*parametros_manuales!$K$110)*parametros_manuales!$I$29*parametros_manuales!$J$29</f>
        <v>4486.8251878035</v>
      </c>
      <c r="L93" s="9" t="n">
        <f aca="false">(parametros_manuales!$D$29*(datos_base!$E$2+datos_base!$E$18+IF(parametros_manuales!$H$29="Todos",datos_base!$E$9+datos_base!$E$23,0))*parametros_manuales!$L$95+parametros_manuales!$E$29*(datos_base!$E$3+datos_base!$E$19+IF(parametros_manuales!$H$29="Todos",datos_base!$E$10+datos_base!$E$24,0))*parametros_manuales!$L$100+parametros_manuales!$F$29*(datos_base!$E$4+datos_base!$E$20+IF(parametros_manuales!$H$29="Todos",datos_base!$E$11+datos_base!$E$25,0))*parametros_manuales!$L$105+parametros_manuales!$G$29*(datos_base!$E$5+datos_base!$E$21+IF(parametros_manuales!$H$29="Todos",datos_base!$E$12+datos_base!$E$26,0))*parametros_manuales!$L$110)*parametros_manuales!$I$29*parametros_manuales!$J$29</f>
        <v>4564.604657709</v>
      </c>
      <c r="M93" s="9" t="n">
        <f aca="false">(parametros_manuales!$D$29*(datos_base!$E$2+datos_base!$E$18+IF(parametros_manuales!$H$29="Todos",datos_base!$E$9+datos_base!$E$23,0))*parametros_manuales!$M$95+parametros_manuales!$E$29*(datos_base!$E$3+datos_base!$E$19+IF(parametros_manuales!$H$29="Todos",datos_base!$E$10+datos_base!$E$24,0))*parametros_manuales!$M$100+parametros_manuales!$F$29*(datos_base!$E$4+datos_base!$E$20+IF(parametros_manuales!$H$29="Todos",datos_base!$E$11+datos_base!$E$25,0))*parametros_manuales!$M$105+parametros_manuales!$G$29*(datos_base!$E$5+datos_base!$E$21+IF(parametros_manuales!$H$29="Todos",datos_base!$E$12+datos_base!$E$26,0))*parametros_manuales!$M$110)*parametros_manuales!$I$29*parametros_manuales!$J$29</f>
        <v>4564.604657709</v>
      </c>
      <c r="N93" s="9" t="n">
        <f aca="false">SUM(B93:M93)</f>
        <v>50717.8295301</v>
      </c>
      <c r="O93" s="9" t="n">
        <f aca="false">MAX(B93:M93)</f>
        <v>4564.604657709</v>
      </c>
      <c r="P93" s="43" t="n">
        <f aca="false">O93/(parametros_manuales!$B$7)</f>
        <v>30.43069771806</v>
      </c>
      <c r="Q93" s="8" t="str">
        <f aca="false">IF(O93=0,"-",INDEX($B$82:$M$82,MATCH(O93,B93:M93,0)))</f>
        <v>Ene</v>
      </c>
    </row>
    <row r="94" customFormat="false" ht="14.25" hidden="false" customHeight="true" outlineLevel="0" collapsed="false">
      <c r="A94" s="8" t="str">
        <f aca="false">parametros_manuales!$B$30</f>
        <v>Soldadura circunferencial de cúpula y fondo</v>
      </c>
      <c r="B94" s="9" t="n">
        <f aca="false">(parametros_manuales!$D$30*(datos_base!$E$2+datos_base!$E$18+IF(parametros_manuales!$H$30="Todos",datos_base!$E$9+datos_base!$E$23,0))*parametros_manuales!$B$95+parametros_manuales!$E$30*(datos_base!$E$3+datos_base!$E$19+IF(parametros_manuales!$H$30="Todos",datos_base!$E$10+datos_base!$E$24,0))*parametros_manuales!$B$100+parametros_manuales!$F$30*(datos_base!$E$4+datos_base!$E$20+IF(parametros_manuales!$H$30="Todos",datos_base!$E$11+datos_base!$E$25,0))*parametros_manuales!$B$105+parametros_manuales!$G$30*(datos_base!$E$5+datos_base!$E$21+IF(parametros_manuales!$H$30="Todos",datos_base!$E$12+datos_base!$E$26,0))*parametros_manuales!$B$110)*parametros_manuales!$I$30*parametros_manuales!$J$30</f>
        <v>4564.604657709</v>
      </c>
      <c r="C94" s="9" t="n">
        <f aca="false">(parametros_manuales!$D$30*(datos_base!$E$2+datos_base!$E$18+IF(parametros_manuales!$H$30="Todos",datos_base!$E$9+datos_base!$E$23,0))*parametros_manuales!$C$95+parametros_manuales!$E$30*(datos_base!$E$3+datos_base!$E$19+IF(parametros_manuales!$H$30="Todos",datos_base!$E$10+datos_base!$E$24,0))*parametros_manuales!$C$100+parametros_manuales!$F$30*(datos_base!$E$4+datos_base!$E$20+IF(parametros_manuales!$H$30="Todos",datos_base!$E$11+datos_base!$E$25,0))*parametros_manuales!$C$105+parametros_manuales!$G$30*(datos_base!$E$5+datos_base!$E$21+IF(parametros_manuales!$H$30="Todos",datos_base!$E$12+datos_base!$E$26,0))*parametros_manuales!$C$110)*parametros_manuales!$I$30*parametros_manuales!$J$30</f>
        <v>4409.045717898</v>
      </c>
      <c r="D94" s="9" t="n">
        <f aca="false">(parametros_manuales!$D$30*(datos_base!$E$2+datos_base!$E$18+IF(parametros_manuales!$H$30="Todos",datos_base!$E$9+datos_base!$E$23,0))*parametros_manuales!$D$95+parametros_manuales!$E$30*(datos_base!$E$3+datos_base!$E$19+IF(parametros_manuales!$H$30="Todos",datos_base!$E$10+datos_base!$E$24,0))*parametros_manuales!$D$100+parametros_manuales!$F$30*(datos_base!$E$4+datos_base!$E$20+IF(parametros_manuales!$H$30="Todos",datos_base!$E$11+datos_base!$E$25,0))*parametros_manuales!$D$105+parametros_manuales!$G$30*(datos_base!$E$5+datos_base!$E$21+IF(parametros_manuales!$H$30="Todos",datos_base!$E$12+datos_base!$E$26,0))*parametros_manuales!$D$110)*parametros_manuales!$I$30*parametros_manuales!$J$30</f>
        <v>4135.2058323135</v>
      </c>
      <c r="E94" s="9" t="n">
        <f aca="false">(parametros_manuales!$D$30*(datos_base!$E$2+datos_base!$E$18+IF(parametros_manuales!$H$30="Todos",datos_base!$E$9+datos_base!$E$23,0))*parametros_manuales!$E$95+parametros_manuales!$E$30*(datos_base!$E$3+datos_base!$E$19+IF(parametros_manuales!$H$30="Todos",datos_base!$E$10+datos_base!$E$24,0))*parametros_manuales!$E$100+parametros_manuales!$F$30*(datos_base!$E$4+datos_base!$E$20+IF(parametros_manuales!$H$30="Todos",datos_base!$E$11+datos_base!$E$25,0))*parametros_manuales!$E$105+parametros_manuales!$G$30*(datos_base!$E$5+datos_base!$E$21+IF(parametros_manuales!$H$30="Todos",datos_base!$E$12+datos_base!$E$26,0))*parametros_manuales!$E$110)*parametros_manuales!$I$30*parametros_manuales!$J$30</f>
        <v>3959.3961545685</v>
      </c>
      <c r="F94" s="9" t="n">
        <f aca="false">(parametros_manuales!$D$30*(datos_base!$E$2+datos_base!$E$18+IF(parametros_manuales!$H$30="Todos",datos_base!$E$9+datos_base!$E$23,0))*parametros_manuales!$F$95+parametros_manuales!$E$30*(datos_base!$E$3+datos_base!$E$19+IF(parametros_manuales!$H$30="Todos",datos_base!$E$10+datos_base!$E$24,0))*parametros_manuales!$F$100+parametros_manuales!$F$30*(datos_base!$E$4+datos_base!$E$20+IF(parametros_manuales!$H$30="Todos",datos_base!$E$11+datos_base!$E$25,0))*parametros_manuales!$F$105+parametros_manuales!$G$30*(datos_base!$E$5+datos_base!$E$21+IF(parametros_manuales!$H$30="Todos",datos_base!$E$12+datos_base!$E$26,0))*parametros_manuales!$F$110)*parametros_manuales!$I$30*parametros_manuales!$J$30</f>
        <v>3705.807006918</v>
      </c>
      <c r="G94" s="9" t="n">
        <f aca="false">(parametros_manuales!$D$30*(datos_base!$E$2+datos_base!$E$18+IF(parametros_manuales!$H$30="Todos",datos_base!$E$9+datos_base!$E$23,0))*parametros_manuales!$G$95+parametros_manuales!$E$30*(datos_base!$E$3+datos_base!$E$19+IF(parametros_manuales!$H$30="Todos",datos_base!$E$10+datos_base!$E$24,0))*parametros_manuales!$G$100+parametros_manuales!$F$30*(datos_base!$E$4+datos_base!$E$20+IF(parametros_manuales!$H$30="Todos",datos_base!$E$11+datos_base!$E$25,0))*parametros_manuales!$G$105+parametros_manuales!$G$30*(datos_base!$E$5+datos_base!$E$21+IF(parametros_manuales!$H$30="Todos",datos_base!$E$12+datos_base!$E$26,0))*parametros_manuales!$G$110)*parametros_manuales!$I$30*parametros_manuales!$J$30</f>
        <v>3628.0275370125</v>
      </c>
      <c r="H94" s="9" t="n">
        <f aca="false">(parametros_manuales!$D$30*(datos_base!$E$2+datos_base!$E$18+IF(parametros_manuales!$H$30="Todos",datos_base!$E$9+datos_base!$E$23,0))*parametros_manuales!$H$95+parametros_manuales!$E$30*(datos_base!$E$3+datos_base!$E$19+IF(parametros_manuales!$H$30="Todos",datos_base!$E$10+datos_base!$E$24,0))*parametros_manuales!$H$100+parametros_manuales!$F$30*(datos_base!$E$4+datos_base!$E$20+IF(parametros_manuales!$H$30="Todos",datos_base!$E$11+datos_base!$E$25,0))*parametros_manuales!$H$105+parametros_manuales!$G$30*(datos_base!$E$5+datos_base!$E$21+IF(parametros_manuales!$H$30="Todos",datos_base!$E$12+datos_base!$E$26,0))*parametros_manuales!$H$110)*parametros_manuales!$I$30*parametros_manuales!$J$30</f>
        <v>3881.616684663</v>
      </c>
      <c r="I94" s="9" t="n">
        <f aca="false">(parametros_manuales!$D$30*(datos_base!$E$2+datos_base!$E$18+IF(parametros_manuales!$H$30="Todos",datos_base!$E$9+datos_base!$E$23,0))*parametros_manuales!$I$95+parametros_manuales!$E$30*(datos_base!$E$3+datos_base!$E$19+IF(parametros_manuales!$H$30="Todos",datos_base!$E$10+datos_base!$E$24,0))*parametros_manuales!$I$100+parametros_manuales!$F$30*(datos_base!$E$4+datos_base!$E$20+IF(parametros_manuales!$H$30="Todos",datos_base!$E$11+datos_base!$E$25,0))*parametros_manuales!$I$105+parametros_manuales!$G$30*(datos_base!$E$5+datos_base!$E$21+IF(parametros_manuales!$H$30="Todos",datos_base!$E$12+datos_base!$E$26,0))*parametros_manuales!$I$110)*parametros_manuales!$I$30*parametros_manuales!$J$30</f>
        <v>4409.045717898</v>
      </c>
      <c r="J94" s="9" t="n">
        <f aca="false">(parametros_manuales!$D$30*(datos_base!$E$2+datos_base!$E$18+IF(parametros_manuales!$H$30="Todos",datos_base!$E$9+datos_base!$E$23,0))*parametros_manuales!$J$95+parametros_manuales!$E$30*(datos_base!$E$3+datos_base!$E$19+IF(parametros_manuales!$H$30="Todos",datos_base!$E$10+datos_base!$E$24,0))*parametros_manuales!$J$100+parametros_manuales!$F$30*(datos_base!$E$4+datos_base!$E$20+IF(parametros_manuales!$H$30="Todos",datos_base!$E$11+datos_base!$E$25,0))*parametros_manuales!$J$105+parametros_manuales!$G$30*(datos_base!$E$5+datos_base!$E$21+IF(parametros_manuales!$H$30="Todos",datos_base!$E$12+datos_base!$E$26,0))*parametros_manuales!$J$110)*parametros_manuales!$I$30*parametros_manuales!$J$30</f>
        <v>4409.045717898</v>
      </c>
      <c r="K94" s="9" t="n">
        <f aca="false">(parametros_manuales!$D$30*(datos_base!$E$2+datos_base!$E$18+IF(parametros_manuales!$H$30="Todos",datos_base!$E$9+datos_base!$E$23,0))*parametros_manuales!$K$95+parametros_manuales!$E$30*(datos_base!$E$3+datos_base!$E$19+IF(parametros_manuales!$H$30="Todos",datos_base!$E$10+datos_base!$E$24,0))*parametros_manuales!$K$100+parametros_manuales!$F$30*(datos_base!$E$4+datos_base!$E$20+IF(parametros_manuales!$H$30="Todos",datos_base!$E$11+datos_base!$E$25,0))*parametros_manuales!$K$105+parametros_manuales!$G$30*(datos_base!$E$5+datos_base!$E$21+IF(parametros_manuales!$H$30="Todos",datos_base!$E$12+datos_base!$E$26,0))*parametros_manuales!$K$110)*parametros_manuales!$I$30*parametros_manuales!$J$30</f>
        <v>4486.8251878035</v>
      </c>
      <c r="L94" s="9" t="n">
        <f aca="false">(parametros_manuales!$D$30*(datos_base!$E$2+datos_base!$E$18+IF(parametros_manuales!$H$30="Todos",datos_base!$E$9+datos_base!$E$23,0))*parametros_manuales!$L$95+parametros_manuales!$E$30*(datos_base!$E$3+datos_base!$E$19+IF(parametros_manuales!$H$30="Todos",datos_base!$E$10+datos_base!$E$24,0))*parametros_manuales!$L$100+parametros_manuales!$F$30*(datos_base!$E$4+datos_base!$E$20+IF(parametros_manuales!$H$30="Todos",datos_base!$E$11+datos_base!$E$25,0))*parametros_manuales!$L$105+parametros_manuales!$G$30*(datos_base!$E$5+datos_base!$E$21+IF(parametros_manuales!$H$30="Todos",datos_base!$E$12+datos_base!$E$26,0))*parametros_manuales!$L$110)*parametros_manuales!$I$30*parametros_manuales!$J$30</f>
        <v>4564.604657709</v>
      </c>
      <c r="M94" s="9" t="n">
        <f aca="false">(parametros_manuales!$D$30*(datos_base!$E$2+datos_base!$E$18+IF(parametros_manuales!$H$30="Todos",datos_base!$E$9+datos_base!$E$23,0))*parametros_manuales!$M$95+parametros_manuales!$E$30*(datos_base!$E$3+datos_base!$E$19+IF(parametros_manuales!$H$30="Todos",datos_base!$E$10+datos_base!$E$24,0))*parametros_manuales!$M$100+parametros_manuales!$F$30*(datos_base!$E$4+datos_base!$E$20+IF(parametros_manuales!$H$30="Todos",datos_base!$E$11+datos_base!$E$25,0))*parametros_manuales!$M$105+parametros_manuales!$G$30*(datos_base!$E$5+datos_base!$E$21+IF(parametros_manuales!$H$30="Todos",datos_base!$E$12+datos_base!$E$26,0))*parametros_manuales!$M$110)*parametros_manuales!$I$30*parametros_manuales!$J$30</f>
        <v>4564.604657709</v>
      </c>
      <c r="N94" s="9" t="n">
        <f aca="false">SUM(B94:M94)</f>
        <v>50717.8295301</v>
      </c>
      <c r="O94" s="9" t="n">
        <f aca="false">MAX(B94:M94)</f>
        <v>4564.604657709</v>
      </c>
      <c r="P94" s="43" t="n">
        <f aca="false">O94/(parametros_manuales!$B$7)</f>
        <v>30.43069771806</v>
      </c>
      <c r="Q94" s="8" t="str">
        <f aca="false">IF(O94=0,"-",INDEX($B$82:$M$82,MATCH(O94,B94:M94,0)))</f>
        <v>Ene</v>
      </c>
    </row>
    <row r="95" customFormat="false" ht="14.25" hidden="false" customHeight="true" outlineLevel="0" collapsed="false">
      <c r="A95" s="8" t="str">
        <f aca="false">parametros_manuales!$B$31</f>
        <v>Control de calidad — Espesor</v>
      </c>
      <c r="B95" s="9" t="n">
        <f aca="false">(parametros_manuales!$D$31*(datos_base!$E$2+datos_base!$E$18+IF(parametros_manuales!$H$31="Todos",datos_base!$E$9+datos_base!$E$23,0))*parametros_manuales!$B$95+parametros_manuales!$E$31*(datos_base!$E$3+datos_base!$E$19+IF(parametros_manuales!$H$31="Todos",datos_base!$E$10+datos_base!$E$24,0))*parametros_manuales!$B$100+parametros_manuales!$F$31*(datos_base!$E$4+datos_base!$E$20+IF(parametros_manuales!$H$31="Todos",datos_base!$E$11+datos_base!$E$25,0))*parametros_manuales!$B$105+parametros_manuales!$G$31*(datos_base!$E$5+datos_base!$E$21+IF(parametros_manuales!$H$31="Todos",datos_base!$E$12+datos_base!$E$26,0))*parametros_manuales!$B$110)*parametros_manuales!$I$31*parametros_manuales!$J$31</f>
        <v>91.29209315418</v>
      </c>
      <c r="C95" s="9" t="n">
        <f aca="false">(parametros_manuales!$D$31*(datos_base!$E$2+datos_base!$E$18+IF(parametros_manuales!$H$31="Todos",datos_base!$E$9+datos_base!$E$23,0))*parametros_manuales!$C$95+parametros_manuales!$E$31*(datos_base!$E$3+datos_base!$E$19+IF(parametros_manuales!$H$31="Todos",datos_base!$E$10+datos_base!$E$24,0))*parametros_manuales!$C$100+parametros_manuales!$F$31*(datos_base!$E$4+datos_base!$E$20+IF(parametros_manuales!$H$31="Todos",datos_base!$E$11+datos_base!$E$25,0))*parametros_manuales!$C$105+parametros_manuales!$G$31*(datos_base!$E$5+datos_base!$E$21+IF(parametros_manuales!$H$31="Todos",datos_base!$E$12+datos_base!$E$26,0))*parametros_manuales!$C$110)*parametros_manuales!$I$31*parametros_manuales!$J$31</f>
        <v>88.18091435796</v>
      </c>
      <c r="D95" s="9" t="n">
        <f aca="false">(parametros_manuales!$D$31*(datos_base!$E$2+datos_base!$E$18+IF(parametros_manuales!$H$31="Todos",datos_base!$E$9+datos_base!$E$23,0))*parametros_manuales!$D$95+parametros_manuales!$E$31*(datos_base!$E$3+datos_base!$E$19+IF(parametros_manuales!$H$31="Todos",datos_base!$E$10+datos_base!$E$24,0))*parametros_manuales!$D$100+parametros_manuales!$F$31*(datos_base!$E$4+datos_base!$E$20+IF(parametros_manuales!$H$31="Todos",datos_base!$E$11+datos_base!$E$25,0))*parametros_manuales!$D$105+parametros_manuales!$G$31*(datos_base!$E$5+datos_base!$E$21+IF(parametros_manuales!$H$31="Todos",datos_base!$E$12+datos_base!$E$26,0))*parametros_manuales!$D$110)*parametros_manuales!$I$31*parametros_manuales!$J$31</f>
        <v>82.70411664627</v>
      </c>
      <c r="E95" s="9" t="n">
        <f aca="false">(parametros_manuales!$D$31*(datos_base!$E$2+datos_base!$E$18+IF(parametros_manuales!$H$31="Todos",datos_base!$E$9+datos_base!$E$23,0))*parametros_manuales!$E$95+parametros_manuales!$E$31*(datos_base!$E$3+datos_base!$E$19+IF(parametros_manuales!$H$31="Todos",datos_base!$E$10+datos_base!$E$24,0))*parametros_manuales!$E$100+parametros_manuales!$F$31*(datos_base!$E$4+datos_base!$E$20+IF(parametros_manuales!$H$31="Todos",datos_base!$E$11+datos_base!$E$25,0))*parametros_manuales!$E$105+parametros_manuales!$G$31*(datos_base!$E$5+datos_base!$E$21+IF(parametros_manuales!$H$31="Todos",datos_base!$E$12+datos_base!$E$26,0))*parametros_manuales!$E$110)*parametros_manuales!$I$31*parametros_manuales!$J$31</f>
        <v>79.18792309137</v>
      </c>
      <c r="F95" s="9" t="n">
        <f aca="false">(parametros_manuales!$D$31*(datos_base!$E$2+datos_base!$E$18+IF(parametros_manuales!$H$31="Todos",datos_base!$E$9+datos_base!$E$23,0))*parametros_manuales!$F$95+parametros_manuales!$E$31*(datos_base!$E$3+datos_base!$E$19+IF(parametros_manuales!$H$31="Todos",datos_base!$E$10+datos_base!$E$24,0))*parametros_manuales!$F$100+parametros_manuales!$F$31*(datos_base!$E$4+datos_base!$E$20+IF(parametros_manuales!$H$31="Todos",datos_base!$E$11+datos_base!$E$25,0))*parametros_manuales!$F$105+parametros_manuales!$G$31*(datos_base!$E$5+datos_base!$E$21+IF(parametros_manuales!$H$31="Todos",datos_base!$E$12+datos_base!$E$26,0))*parametros_manuales!$F$110)*parametros_manuales!$I$31*parametros_manuales!$J$31</f>
        <v>74.11614013836</v>
      </c>
      <c r="G95" s="9" t="n">
        <f aca="false">(parametros_manuales!$D$31*(datos_base!$E$2+datos_base!$E$18+IF(parametros_manuales!$H$31="Todos",datos_base!$E$9+datos_base!$E$23,0))*parametros_manuales!$G$95+parametros_manuales!$E$31*(datos_base!$E$3+datos_base!$E$19+IF(parametros_manuales!$H$31="Todos",datos_base!$E$10+datos_base!$E$24,0))*parametros_manuales!$G$100+parametros_manuales!$F$31*(datos_base!$E$4+datos_base!$E$20+IF(parametros_manuales!$H$31="Todos",datos_base!$E$11+datos_base!$E$25,0))*parametros_manuales!$G$105+parametros_manuales!$G$31*(datos_base!$E$5+datos_base!$E$21+IF(parametros_manuales!$H$31="Todos",datos_base!$E$12+datos_base!$E$26,0))*parametros_manuales!$G$110)*parametros_manuales!$I$31*parametros_manuales!$J$31</f>
        <v>72.56055074025</v>
      </c>
      <c r="H95" s="9" t="n">
        <f aca="false">(parametros_manuales!$D$31*(datos_base!$E$2+datos_base!$E$18+IF(parametros_manuales!$H$31="Todos",datos_base!$E$9+datos_base!$E$23,0))*parametros_manuales!$H$95+parametros_manuales!$E$31*(datos_base!$E$3+datos_base!$E$19+IF(parametros_manuales!$H$31="Todos",datos_base!$E$10+datos_base!$E$24,0))*parametros_manuales!$H$100+parametros_manuales!$F$31*(datos_base!$E$4+datos_base!$E$20+IF(parametros_manuales!$H$31="Todos",datos_base!$E$11+datos_base!$E$25,0))*parametros_manuales!$H$105+parametros_manuales!$G$31*(datos_base!$E$5+datos_base!$E$21+IF(parametros_manuales!$H$31="Todos",datos_base!$E$12+datos_base!$E$26,0))*parametros_manuales!$H$110)*parametros_manuales!$I$31*parametros_manuales!$J$31</f>
        <v>77.63233369326</v>
      </c>
      <c r="I95" s="9" t="n">
        <f aca="false">(parametros_manuales!$D$31*(datos_base!$E$2+datos_base!$E$18+IF(parametros_manuales!$H$31="Todos",datos_base!$E$9+datos_base!$E$23,0))*parametros_manuales!$I$95+parametros_manuales!$E$31*(datos_base!$E$3+datos_base!$E$19+IF(parametros_manuales!$H$31="Todos",datos_base!$E$10+datos_base!$E$24,0))*parametros_manuales!$I$100+parametros_manuales!$F$31*(datos_base!$E$4+datos_base!$E$20+IF(parametros_manuales!$H$31="Todos",datos_base!$E$11+datos_base!$E$25,0))*parametros_manuales!$I$105+parametros_manuales!$G$31*(datos_base!$E$5+datos_base!$E$21+IF(parametros_manuales!$H$31="Todos",datos_base!$E$12+datos_base!$E$26,0))*parametros_manuales!$I$110)*parametros_manuales!$I$31*parametros_manuales!$J$31</f>
        <v>88.1809143579599</v>
      </c>
      <c r="J95" s="9" t="n">
        <f aca="false">(parametros_manuales!$D$31*(datos_base!$E$2+datos_base!$E$18+IF(parametros_manuales!$H$31="Todos",datos_base!$E$9+datos_base!$E$23,0))*parametros_manuales!$J$95+parametros_manuales!$E$31*(datos_base!$E$3+datos_base!$E$19+IF(parametros_manuales!$H$31="Todos",datos_base!$E$10+datos_base!$E$24,0))*parametros_manuales!$J$100+parametros_manuales!$F$31*(datos_base!$E$4+datos_base!$E$20+IF(parametros_manuales!$H$31="Todos",datos_base!$E$11+datos_base!$E$25,0))*parametros_manuales!$J$105+parametros_manuales!$G$31*(datos_base!$E$5+datos_base!$E$21+IF(parametros_manuales!$H$31="Todos",datos_base!$E$12+datos_base!$E$26,0))*parametros_manuales!$J$110)*parametros_manuales!$I$31*parametros_manuales!$J$31</f>
        <v>88.18091435796</v>
      </c>
      <c r="K95" s="9" t="n">
        <f aca="false">(parametros_manuales!$D$31*(datos_base!$E$2+datos_base!$E$18+IF(parametros_manuales!$H$31="Todos",datos_base!$E$9+datos_base!$E$23,0))*parametros_manuales!$K$95+parametros_manuales!$E$31*(datos_base!$E$3+datos_base!$E$19+IF(parametros_manuales!$H$31="Todos",datos_base!$E$10+datos_base!$E$24,0))*parametros_manuales!$K$100+parametros_manuales!$F$31*(datos_base!$E$4+datos_base!$E$20+IF(parametros_manuales!$H$31="Todos",datos_base!$E$11+datos_base!$E$25,0))*parametros_manuales!$K$105+parametros_manuales!$G$31*(datos_base!$E$5+datos_base!$E$21+IF(parametros_manuales!$H$31="Todos",datos_base!$E$12+datos_base!$E$26,0))*parametros_manuales!$K$110)*parametros_manuales!$I$31*parametros_manuales!$J$31</f>
        <v>89.73650375607</v>
      </c>
      <c r="L95" s="9" t="n">
        <f aca="false">(parametros_manuales!$D$31*(datos_base!$E$2+datos_base!$E$18+IF(parametros_manuales!$H$31="Todos",datos_base!$E$9+datos_base!$E$23,0))*parametros_manuales!$L$95+parametros_manuales!$E$31*(datos_base!$E$3+datos_base!$E$19+IF(parametros_manuales!$H$31="Todos",datos_base!$E$10+datos_base!$E$24,0))*parametros_manuales!$L$100+parametros_manuales!$F$31*(datos_base!$E$4+datos_base!$E$20+IF(parametros_manuales!$H$31="Todos",datos_base!$E$11+datos_base!$E$25,0))*parametros_manuales!$L$105+parametros_manuales!$G$31*(datos_base!$E$5+datos_base!$E$21+IF(parametros_manuales!$H$31="Todos",datos_base!$E$12+datos_base!$E$26,0))*parametros_manuales!$L$110)*parametros_manuales!$I$31*parametros_manuales!$J$31</f>
        <v>91.29209315418</v>
      </c>
      <c r="M95" s="9" t="n">
        <f aca="false">(parametros_manuales!$D$31*(datos_base!$E$2+datos_base!$E$18+IF(parametros_manuales!$H$31="Todos",datos_base!$E$9+datos_base!$E$23,0))*parametros_manuales!$M$95+parametros_manuales!$E$31*(datos_base!$E$3+datos_base!$E$19+IF(parametros_manuales!$H$31="Todos",datos_base!$E$10+datos_base!$E$24,0))*parametros_manuales!$M$100+parametros_manuales!$F$31*(datos_base!$E$4+datos_base!$E$20+IF(parametros_manuales!$H$31="Todos",datos_base!$E$11+datos_base!$E$25,0))*parametros_manuales!$M$105+parametros_manuales!$G$31*(datos_base!$E$5+datos_base!$E$21+IF(parametros_manuales!$H$31="Todos",datos_base!$E$12+datos_base!$E$26,0))*parametros_manuales!$M$110)*parametros_manuales!$I$31*parametros_manuales!$J$31</f>
        <v>91.29209315418</v>
      </c>
      <c r="N95" s="9" t="n">
        <f aca="false">SUM(B95:M95)</f>
        <v>1014.356590602</v>
      </c>
      <c r="O95" s="9" t="n">
        <f aca="false">MAX(B95:M95)</f>
        <v>91.29209315418</v>
      </c>
      <c r="P95" s="43" t="n">
        <f aca="false">O95/(parametros_manuales!$B$7)</f>
        <v>0.6086139543612</v>
      </c>
      <c r="Q95" s="8" t="str">
        <f aca="false">IF(O95=0,"-",INDEX($B$82:$M$82,MATCH(O95,B95:M95,0)))</f>
        <v>Ene</v>
      </c>
    </row>
    <row r="96" customFormat="false" ht="14.25" hidden="false" customHeight="true" outlineLevel="0" collapsed="false">
      <c r="A96" s="8" t="str">
        <f aca="false">parametros_manuales!$B$32</f>
        <v>Prueba hidráulica</v>
      </c>
      <c r="B96" s="9" t="n">
        <f aca="false">(parametros_manuales!$D$32*(datos_base!$E$2+datos_base!$E$18+IF(parametros_manuales!$H$32="Todos",datos_base!$E$9+datos_base!$E$23,0))*parametros_manuales!$B$95+parametros_manuales!$E$32*(datos_base!$E$3+datos_base!$E$19+IF(parametros_manuales!$H$32="Todos",datos_base!$E$10+datos_base!$E$24,0))*parametros_manuales!$B$100+parametros_manuales!$F$32*(datos_base!$E$4+datos_base!$E$20+IF(parametros_manuales!$H$32="Todos",datos_base!$E$11+datos_base!$E$25,0))*parametros_manuales!$B$105+parametros_manuales!$G$32*(datos_base!$E$5+datos_base!$E$21+IF(parametros_manuales!$H$32="Todos",datos_base!$E$12+datos_base!$E$26,0))*parametros_manuales!$B$110)*parametros_manuales!$I$32*parametros_manuales!$J$32</f>
        <v>4564.604657709</v>
      </c>
      <c r="C96" s="9" t="n">
        <f aca="false">(parametros_manuales!$D$32*(datos_base!$E$2+datos_base!$E$18+IF(parametros_manuales!$H$32="Todos",datos_base!$E$9+datos_base!$E$23,0))*parametros_manuales!$C$95+parametros_manuales!$E$32*(datos_base!$E$3+datos_base!$E$19+IF(parametros_manuales!$H$32="Todos",datos_base!$E$10+datos_base!$E$24,0))*parametros_manuales!$C$100+parametros_manuales!$F$32*(datos_base!$E$4+datos_base!$E$20+IF(parametros_manuales!$H$32="Todos",datos_base!$E$11+datos_base!$E$25,0))*parametros_manuales!$C$105+parametros_manuales!$G$32*(datos_base!$E$5+datos_base!$E$21+IF(parametros_manuales!$H$32="Todos",datos_base!$E$12+datos_base!$E$26,0))*parametros_manuales!$C$110)*parametros_manuales!$I$32*parametros_manuales!$J$32</f>
        <v>4409.045717898</v>
      </c>
      <c r="D96" s="9" t="n">
        <f aca="false">(parametros_manuales!$D$32*(datos_base!$E$2+datos_base!$E$18+IF(parametros_manuales!$H$32="Todos",datos_base!$E$9+datos_base!$E$23,0))*parametros_manuales!$D$95+parametros_manuales!$E$32*(datos_base!$E$3+datos_base!$E$19+IF(parametros_manuales!$H$32="Todos",datos_base!$E$10+datos_base!$E$24,0))*parametros_manuales!$D$100+parametros_manuales!$F$32*(datos_base!$E$4+datos_base!$E$20+IF(parametros_manuales!$H$32="Todos",datos_base!$E$11+datos_base!$E$25,0))*parametros_manuales!$D$105+parametros_manuales!$G$32*(datos_base!$E$5+datos_base!$E$21+IF(parametros_manuales!$H$32="Todos",datos_base!$E$12+datos_base!$E$26,0))*parametros_manuales!$D$110)*parametros_manuales!$I$32*parametros_manuales!$J$32</f>
        <v>4135.2058323135</v>
      </c>
      <c r="E96" s="9" t="n">
        <f aca="false">(parametros_manuales!$D$32*(datos_base!$E$2+datos_base!$E$18+IF(parametros_manuales!$H$32="Todos",datos_base!$E$9+datos_base!$E$23,0))*parametros_manuales!$E$95+parametros_manuales!$E$32*(datos_base!$E$3+datos_base!$E$19+IF(parametros_manuales!$H$32="Todos",datos_base!$E$10+datos_base!$E$24,0))*parametros_manuales!$E$100+parametros_manuales!$F$32*(datos_base!$E$4+datos_base!$E$20+IF(parametros_manuales!$H$32="Todos",datos_base!$E$11+datos_base!$E$25,0))*parametros_manuales!$E$105+parametros_manuales!$G$32*(datos_base!$E$5+datos_base!$E$21+IF(parametros_manuales!$H$32="Todos",datos_base!$E$12+datos_base!$E$26,0))*parametros_manuales!$E$110)*parametros_manuales!$I$32*parametros_manuales!$J$32</f>
        <v>3959.3961545685</v>
      </c>
      <c r="F96" s="9" t="n">
        <f aca="false">(parametros_manuales!$D$32*(datos_base!$E$2+datos_base!$E$18+IF(parametros_manuales!$H$32="Todos",datos_base!$E$9+datos_base!$E$23,0))*parametros_manuales!$F$95+parametros_manuales!$E$32*(datos_base!$E$3+datos_base!$E$19+IF(parametros_manuales!$H$32="Todos",datos_base!$E$10+datos_base!$E$24,0))*parametros_manuales!$F$100+parametros_manuales!$F$32*(datos_base!$E$4+datos_base!$E$20+IF(parametros_manuales!$H$32="Todos",datos_base!$E$11+datos_base!$E$25,0))*parametros_manuales!$F$105+parametros_manuales!$G$32*(datos_base!$E$5+datos_base!$E$21+IF(parametros_manuales!$H$32="Todos",datos_base!$E$12+datos_base!$E$26,0))*parametros_manuales!$F$110)*parametros_manuales!$I$32*parametros_manuales!$J$32</f>
        <v>3705.807006918</v>
      </c>
      <c r="G96" s="9" t="n">
        <f aca="false">(parametros_manuales!$D$32*(datos_base!$E$2+datos_base!$E$18+IF(parametros_manuales!$H$32="Todos",datos_base!$E$9+datos_base!$E$23,0))*parametros_manuales!$G$95+parametros_manuales!$E$32*(datos_base!$E$3+datos_base!$E$19+IF(parametros_manuales!$H$32="Todos",datos_base!$E$10+datos_base!$E$24,0))*parametros_manuales!$G$100+parametros_manuales!$F$32*(datos_base!$E$4+datos_base!$E$20+IF(parametros_manuales!$H$32="Todos",datos_base!$E$11+datos_base!$E$25,0))*parametros_manuales!$G$105+parametros_manuales!$G$32*(datos_base!$E$5+datos_base!$E$21+IF(parametros_manuales!$H$32="Todos",datos_base!$E$12+datos_base!$E$26,0))*parametros_manuales!$G$110)*parametros_manuales!$I$32*parametros_manuales!$J$32</f>
        <v>3628.0275370125</v>
      </c>
      <c r="H96" s="9" t="n">
        <f aca="false">(parametros_manuales!$D$32*(datos_base!$E$2+datos_base!$E$18+IF(parametros_manuales!$H$32="Todos",datos_base!$E$9+datos_base!$E$23,0))*parametros_manuales!$H$95+parametros_manuales!$E$32*(datos_base!$E$3+datos_base!$E$19+IF(parametros_manuales!$H$32="Todos",datos_base!$E$10+datos_base!$E$24,0))*parametros_manuales!$H$100+parametros_manuales!$F$32*(datos_base!$E$4+datos_base!$E$20+IF(parametros_manuales!$H$32="Todos",datos_base!$E$11+datos_base!$E$25,0))*parametros_manuales!$H$105+parametros_manuales!$G$32*(datos_base!$E$5+datos_base!$E$21+IF(parametros_manuales!$H$32="Todos",datos_base!$E$12+datos_base!$E$26,0))*parametros_manuales!$H$110)*parametros_manuales!$I$32*parametros_manuales!$J$32</f>
        <v>3881.616684663</v>
      </c>
      <c r="I96" s="9" t="n">
        <f aca="false">(parametros_manuales!$D$32*(datos_base!$E$2+datos_base!$E$18+IF(parametros_manuales!$H$32="Todos",datos_base!$E$9+datos_base!$E$23,0))*parametros_manuales!$I$95+parametros_manuales!$E$32*(datos_base!$E$3+datos_base!$E$19+IF(parametros_manuales!$H$32="Todos",datos_base!$E$10+datos_base!$E$24,0))*parametros_manuales!$I$100+parametros_manuales!$F$32*(datos_base!$E$4+datos_base!$E$20+IF(parametros_manuales!$H$32="Todos",datos_base!$E$11+datos_base!$E$25,0))*parametros_manuales!$I$105+parametros_manuales!$G$32*(datos_base!$E$5+datos_base!$E$21+IF(parametros_manuales!$H$32="Todos",datos_base!$E$12+datos_base!$E$26,0))*parametros_manuales!$I$110)*parametros_manuales!$I$32*parametros_manuales!$J$32</f>
        <v>4409.045717898</v>
      </c>
      <c r="J96" s="9" t="n">
        <f aca="false">(parametros_manuales!$D$32*(datos_base!$E$2+datos_base!$E$18+IF(parametros_manuales!$H$32="Todos",datos_base!$E$9+datos_base!$E$23,0))*parametros_manuales!$J$95+parametros_manuales!$E$32*(datos_base!$E$3+datos_base!$E$19+IF(parametros_manuales!$H$32="Todos",datos_base!$E$10+datos_base!$E$24,0))*parametros_manuales!$J$100+parametros_manuales!$F$32*(datos_base!$E$4+datos_base!$E$20+IF(parametros_manuales!$H$32="Todos",datos_base!$E$11+datos_base!$E$25,0))*parametros_manuales!$J$105+parametros_manuales!$G$32*(datos_base!$E$5+datos_base!$E$21+IF(parametros_manuales!$H$32="Todos",datos_base!$E$12+datos_base!$E$26,0))*parametros_manuales!$J$110)*parametros_manuales!$I$32*parametros_manuales!$J$32</f>
        <v>4409.045717898</v>
      </c>
      <c r="K96" s="9" t="n">
        <f aca="false">(parametros_manuales!$D$32*(datos_base!$E$2+datos_base!$E$18+IF(parametros_manuales!$H$32="Todos",datos_base!$E$9+datos_base!$E$23,0))*parametros_manuales!$K$95+parametros_manuales!$E$32*(datos_base!$E$3+datos_base!$E$19+IF(parametros_manuales!$H$32="Todos",datos_base!$E$10+datos_base!$E$24,0))*parametros_manuales!$K$100+parametros_manuales!$F$32*(datos_base!$E$4+datos_base!$E$20+IF(parametros_manuales!$H$32="Todos",datos_base!$E$11+datos_base!$E$25,0))*parametros_manuales!$K$105+parametros_manuales!$G$32*(datos_base!$E$5+datos_base!$E$21+IF(parametros_manuales!$H$32="Todos",datos_base!$E$12+datos_base!$E$26,0))*parametros_manuales!$K$110)*parametros_manuales!$I$32*parametros_manuales!$J$32</f>
        <v>4486.8251878035</v>
      </c>
      <c r="L96" s="9" t="n">
        <f aca="false">(parametros_manuales!$D$32*(datos_base!$E$2+datos_base!$E$18+IF(parametros_manuales!$H$32="Todos",datos_base!$E$9+datos_base!$E$23,0))*parametros_manuales!$L$95+parametros_manuales!$E$32*(datos_base!$E$3+datos_base!$E$19+IF(parametros_manuales!$H$32="Todos",datos_base!$E$10+datos_base!$E$24,0))*parametros_manuales!$L$100+parametros_manuales!$F$32*(datos_base!$E$4+datos_base!$E$20+IF(parametros_manuales!$H$32="Todos",datos_base!$E$11+datos_base!$E$25,0))*parametros_manuales!$L$105+parametros_manuales!$G$32*(datos_base!$E$5+datos_base!$E$21+IF(parametros_manuales!$H$32="Todos",datos_base!$E$12+datos_base!$E$26,0))*parametros_manuales!$L$110)*parametros_manuales!$I$32*parametros_manuales!$J$32</f>
        <v>4564.604657709</v>
      </c>
      <c r="M96" s="9" t="n">
        <f aca="false">(parametros_manuales!$D$32*(datos_base!$E$2+datos_base!$E$18+IF(parametros_manuales!$H$32="Todos",datos_base!$E$9+datos_base!$E$23,0))*parametros_manuales!$M$95+parametros_manuales!$E$32*(datos_base!$E$3+datos_base!$E$19+IF(parametros_manuales!$H$32="Todos",datos_base!$E$10+datos_base!$E$24,0))*parametros_manuales!$M$100+parametros_manuales!$F$32*(datos_base!$E$4+datos_base!$E$20+IF(parametros_manuales!$H$32="Todos",datos_base!$E$11+datos_base!$E$25,0))*parametros_manuales!$M$105+parametros_manuales!$G$32*(datos_base!$E$5+datos_base!$E$21+IF(parametros_manuales!$H$32="Todos",datos_base!$E$12+datos_base!$E$26,0))*parametros_manuales!$M$110)*parametros_manuales!$I$32*parametros_manuales!$J$32</f>
        <v>4564.604657709</v>
      </c>
      <c r="N96" s="9" t="n">
        <f aca="false">SUM(B96:M96)</f>
        <v>50717.8295301</v>
      </c>
      <c r="O96" s="9" t="n">
        <f aca="false">MAX(B96:M96)</f>
        <v>4564.604657709</v>
      </c>
      <c r="P96" s="43" t="n">
        <f aca="false">O96/(parametros_manuales!$B$7)</f>
        <v>30.43069771806</v>
      </c>
      <c r="Q96" s="8" t="str">
        <f aca="false">IF(O96=0,"-",INDEX($B$82:$M$82,MATCH(O96,B96:M96,0)))</f>
        <v>Ene</v>
      </c>
    </row>
    <row r="97" customFormat="false" ht="14.25" hidden="false" customHeight="true" outlineLevel="0" collapsed="false">
      <c r="A97" s="8" t="str">
        <f aca="false">parametros_manuales!$B$33</f>
        <v>Secado</v>
      </c>
      <c r="B97" s="9" t="n">
        <f aca="false">(parametros_manuales!$D$33*(datos_base!$E$2+datos_base!$E$18+IF(parametros_manuales!$H$33="Todos",datos_base!$E$9+datos_base!$E$23,0))*parametros_manuales!$B$95+parametros_manuales!$E$33*(datos_base!$E$3+datos_base!$E$19+IF(parametros_manuales!$H$33="Todos",datos_base!$E$10+datos_base!$E$24,0))*parametros_manuales!$B$100+parametros_manuales!$F$33*(datos_base!$E$4+datos_base!$E$20+IF(parametros_manuales!$H$33="Todos",datos_base!$E$11+datos_base!$E$25,0))*parametros_manuales!$B$105+parametros_manuales!$G$33*(datos_base!$E$5+datos_base!$E$21+IF(parametros_manuales!$H$33="Todos",datos_base!$E$12+datos_base!$E$26,0))*parametros_manuales!$B$110)*parametros_manuales!$I$33*parametros_manuales!$J$33</f>
        <v>4564.604657709</v>
      </c>
      <c r="C97" s="9" t="n">
        <f aca="false">(parametros_manuales!$D$33*(datos_base!$E$2+datos_base!$E$18+IF(parametros_manuales!$H$33="Todos",datos_base!$E$9+datos_base!$E$23,0))*parametros_manuales!$C$95+parametros_manuales!$E$33*(datos_base!$E$3+datos_base!$E$19+IF(parametros_manuales!$H$33="Todos",datos_base!$E$10+datos_base!$E$24,0))*parametros_manuales!$C$100+parametros_manuales!$F$33*(datos_base!$E$4+datos_base!$E$20+IF(parametros_manuales!$H$33="Todos",datos_base!$E$11+datos_base!$E$25,0))*parametros_manuales!$C$105+parametros_manuales!$G$33*(datos_base!$E$5+datos_base!$E$21+IF(parametros_manuales!$H$33="Todos",datos_base!$E$12+datos_base!$E$26,0))*parametros_manuales!$C$110)*parametros_manuales!$I$33*parametros_manuales!$J$33</f>
        <v>4409.045717898</v>
      </c>
      <c r="D97" s="9" t="n">
        <f aca="false">(parametros_manuales!$D$33*(datos_base!$E$2+datos_base!$E$18+IF(parametros_manuales!$H$33="Todos",datos_base!$E$9+datos_base!$E$23,0))*parametros_manuales!$D$95+parametros_manuales!$E$33*(datos_base!$E$3+datos_base!$E$19+IF(parametros_manuales!$H$33="Todos",datos_base!$E$10+datos_base!$E$24,0))*parametros_manuales!$D$100+parametros_manuales!$F$33*(datos_base!$E$4+datos_base!$E$20+IF(parametros_manuales!$H$33="Todos",datos_base!$E$11+datos_base!$E$25,0))*parametros_manuales!$D$105+parametros_manuales!$G$33*(datos_base!$E$5+datos_base!$E$21+IF(parametros_manuales!$H$33="Todos",datos_base!$E$12+datos_base!$E$26,0))*parametros_manuales!$D$110)*parametros_manuales!$I$33*parametros_manuales!$J$33</f>
        <v>4135.2058323135</v>
      </c>
      <c r="E97" s="9" t="n">
        <f aca="false">(parametros_manuales!$D$33*(datos_base!$E$2+datos_base!$E$18+IF(parametros_manuales!$H$33="Todos",datos_base!$E$9+datos_base!$E$23,0))*parametros_manuales!$E$95+parametros_manuales!$E$33*(datos_base!$E$3+datos_base!$E$19+IF(parametros_manuales!$H$33="Todos",datos_base!$E$10+datos_base!$E$24,0))*parametros_manuales!$E$100+parametros_manuales!$F$33*(datos_base!$E$4+datos_base!$E$20+IF(parametros_manuales!$H$33="Todos",datos_base!$E$11+datos_base!$E$25,0))*parametros_manuales!$E$105+parametros_manuales!$G$33*(datos_base!$E$5+datos_base!$E$21+IF(parametros_manuales!$H$33="Todos",datos_base!$E$12+datos_base!$E$26,0))*parametros_manuales!$E$110)*parametros_manuales!$I$33*parametros_manuales!$J$33</f>
        <v>3959.3961545685</v>
      </c>
      <c r="F97" s="9" t="n">
        <f aca="false">(parametros_manuales!$D$33*(datos_base!$E$2+datos_base!$E$18+IF(parametros_manuales!$H$33="Todos",datos_base!$E$9+datos_base!$E$23,0))*parametros_manuales!$F$95+parametros_manuales!$E$33*(datos_base!$E$3+datos_base!$E$19+IF(parametros_manuales!$H$33="Todos",datos_base!$E$10+datos_base!$E$24,0))*parametros_manuales!$F$100+parametros_manuales!$F$33*(datos_base!$E$4+datos_base!$E$20+IF(parametros_manuales!$H$33="Todos",datos_base!$E$11+datos_base!$E$25,0))*parametros_manuales!$F$105+parametros_manuales!$G$33*(datos_base!$E$5+datos_base!$E$21+IF(parametros_manuales!$H$33="Todos",datos_base!$E$12+datos_base!$E$26,0))*parametros_manuales!$F$110)*parametros_manuales!$I$33*parametros_manuales!$J$33</f>
        <v>3705.807006918</v>
      </c>
      <c r="G97" s="9" t="n">
        <f aca="false">(parametros_manuales!$D$33*(datos_base!$E$2+datos_base!$E$18+IF(parametros_manuales!$H$33="Todos",datos_base!$E$9+datos_base!$E$23,0))*parametros_manuales!$G$95+parametros_manuales!$E$33*(datos_base!$E$3+datos_base!$E$19+IF(parametros_manuales!$H$33="Todos",datos_base!$E$10+datos_base!$E$24,0))*parametros_manuales!$G$100+parametros_manuales!$F$33*(datos_base!$E$4+datos_base!$E$20+IF(parametros_manuales!$H$33="Todos",datos_base!$E$11+datos_base!$E$25,0))*parametros_manuales!$G$105+parametros_manuales!$G$33*(datos_base!$E$5+datos_base!$E$21+IF(parametros_manuales!$H$33="Todos",datos_base!$E$12+datos_base!$E$26,0))*parametros_manuales!$G$110)*parametros_manuales!$I$33*parametros_manuales!$J$33</f>
        <v>3628.0275370125</v>
      </c>
      <c r="H97" s="9" t="n">
        <f aca="false">(parametros_manuales!$D$33*(datos_base!$E$2+datos_base!$E$18+IF(parametros_manuales!$H$33="Todos",datos_base!$E$9+datos_base!$E$23,0))*parametros_manuales!$H$95+parametros_manuales!$E$33*(datos_base!$E$3+datos_base!$E$19+IF(parametros_manuales!$H$33="Todos",datos_base!$E$10+datos_base!$E$24,0))*parametros_manuales!$H$100+parametros_manuales!$F$33*(datos_base!$E$4+datos_base!$E$20+IF(parametros_manuales!$H$33="Todos",datos_base!$E$11+datos_base!$E$25,0))*parametros_manuales!$H$105+parametros_manuales!$G$33*(datos_base!$E$5+datos_base!$E$21+IF(parametros_manuales!$H$33="Todos",datos_base!$E$12+datos_base!$E$26,0))*parametros_manuales!$H$110)*parametros_manuales!$I$33*parametros_manuales!$J$33</f>
        <v>3881.616684663</v>
      </c>
      <c r="I97" s="9" t="n">
        <f aca="false">(parametros_manuales!$D$33*(datos_base!$E$2+datos_base!$E$18+IF(parametros_manuales!$H$33="Todos",datos_base!$E$9+datos_base!$E$23,0))*parametros_manuales!$I$95+parametros_manuales!$E$33*(datos_base!$E$3+datos_base!$E$19+IF(parametros_manuales!$H$33="Todos",datos_base!$E$10+datos_base!$E$24,0))*parametros_manuales!$I$100+parametros_manuales!$F$33*(datos_base!$E$4+datos_base!$E$20+IF(parametros_manuales!$H$33="Todos",datos_base!$E$11+datos_base!$E$25,0))*parametros_manuales!$I$105+parametros_manuales!$G$33*(datos_base!$E$5+datos_base!$E$21+IF(parametros_manuales!$H$33="Todos",datos_base!$E$12+datos_base!$E$26,0))*parametros_manuales!$I$110)*parametros_manuales!$I$33*parametros_manuales!$J$33</f>
        <v>4409.045717898</v>
      </c>
      <c r="J97" s="9" t="n">
        <f aca="false">(parametros_manuales!$D$33*(datos_base!$E$2+datos_base!$E$18+IF(parametros_manuales!$H$33="Todos",datos_base!$E$9+datos_base!$E$23,0))*parametros_manuales!$J$95+parametros_manuales!$E$33*(datos_base!$E$3+datos_base!$E$19+IF(parametros_manuales!$H$33="Todos",datos_base!$E$10+datos_base!$E$24,0))*parametros_manuales!$J$100+parametros_manuales!$F$33*(datos_base!$E$4+datos_base!$E$20+IF(parametros_manuales!$H$33="Todos",datos_base!$E$11+datos_base!$E$25,0))*parametros_manuales!$J$105+parametros_manuales!$G$33*(datos_base!$E$5+datos_base!$E$21+IF(parametros_manuales!$H$33="Todos",datos_base!$E$12+datos_base!$E$26,0))*parametros_manuales!$J$110)*parametros_manuales!$I$33*parametros_manuales!$J$33</f>
        <v>4409.045717898</v>
      </c>
      <c r="K97" s="9" t="n">
        <f aca="false">(parametros_manuales!$D$33*(datos_base!$E$2+datos_base!$E$18+IF(parametros_manuales!$H$33="Todos",datos_base!$E$9+datos_base!$E$23,0))*parametros_manuales!$K$95+parametros_manuales!$E$33*(datos_base!$E$3+datos_base!$E$19+IF(parametros_manuales!$H$33="Todos",datos_base!$E$10+datos_base!$E$24,0))*parametros_manuales!$K$100+parametros_manuales!$F$33*(datos_base!$E$4+datos_base!$E$20+IF(parametros_manuales!$H$33="Todos",datos_base!$E$11+datos_base!$E$25,0))*parametros_manuales!$K$105+parametros_manuales!$G$33*(datos_base!$E$5+datos_base!$E$21+IF(parametros_manuales!$H$33="Todos",datos_base!$E$12+datos_base!$E$26,0))*parametros_manuales!$K$110)*parametros_manuales!$I$33*parametros_manuales!$J$33</f>
        <v>4486.8251878035</v>
      </c>
      <c r="L97" s="9" t="n">
        <f aca="false">(parametros_manuales!$D$33*(datos_base!$E$2+datos_base!$E$18+IF(parametros_manuales!$H$33="Todos",datos_base!$E$9+datos_base!$E$23,0))*parametros_manuales!$L$95+parametros_manuales!$E$33*(datos_base!$E$3+datos_base!$E$19+IF(parametros_manuales!$H$33="Todos",datos_base!$E$10+datos_base!$E$24,0))*parametros_manuales!$L$100+parametros_manuales!$F$33*(datos_base!$E$4+datos_base!$E$20+IF(parametros_manuales!$H$33="Todos",datos_base!$E$11+datos_base!$E$25,0))*parametros_manuales!$L$105+parametros_manuales!$G$33*(datos_base!$E$5+datos_base!$E$21+IF(parametros_manuales!$H$33="Todos",datos_base!$E$12+datos_base!$E$26,0))*parametros_manuales!$L$110)*parametros_manuales!$I$33*parametros_manuales!$J$33</f>
        <v>4564.604657709</v>
      </c>
      <c r="M97" s="9" t="n">
        <f aca="false">(parametros_manuales!$D$33*(datos_base!$E$2+datos_base!$E$18+IF(parametros_manuales!$H$33="Todos",datos_base!$E$9+datos_base!$E$23,0))*parametros_manuales!$M$95+parametros_manuales!$E$33*(datos_base!$E$3+datos_base!$E$19+IF(parametros_manuales!$H$33="Todos",datos_base!$E$10+datos_base!$E$24,0))*parametros_manuales!$M$100+parametros_manuales!$F$33*(datos_base!$E$4+datos_base!$E$20+IF(parametros_manuales!$H$33="Todos",datos_base!$E$11+datos_base!$E$25,0))*parametros_manuales!$M$105+parametros_manuales!$G$33*(datos_base!$E$5+datos_base!$E$21+IF(parametros_manuales!$H$33="Todos",datos_base!$E$12+datos_base!$E$26,0))*parametros_manuales!$M$110)*parametros_manuales!$I$33*parametros_manuales!$J$33</f>
        <v>4564.604657709</v>
      </c>
      <c r="N97" s="9" t="n">
        <f aca="false">SUM(B97:M97)</f>
        <v>50717.8295301</v>
      </c>
      <c r="O97" s="9" t="n">
        <f aca="false">MAX(B97:M97)</f>
        <v>4564.604657709</v>
      </c>
      <c r="P97" s="43" t="n">
        <f aca="false">O97/(parametros_manuales!$B$7)</f>
        <v>30.43069771806</v>
      </c>
      <c r="Q97" s="8" t="str">
        <f aca="false">IF(O97=0,"-",INDEX($B$82:$M$82,MATCH(O97,B97:M97,0)))</f>
        <v>Ene</v>
      </c>
    </row>
    <row r="98" customFormat="false" ht="14.25" hidden="false" customHeight="true" outlineLevel="0" collapsed="false">
      <c r="A98" s="8" t="str">
        <f aca="false">parametros_manuales!$B$34</f>
        <v>Granallado</v>
      </c>
      <c r="B98" s="9" t="n">
        <f aca="false">(parametros_manuales!$D$34*(datos_base!$E$2+datos_base!$E$18+IF(parametros_manuales!$H$34="Todos",datos_base!$E$9+datos_base!$E$23,0))*parametros_manuales!$B$95+parametros_manuales!$E$34*(datos_base!$E$3+datos_base!$E$19+IF(parametros_manuales!$H$34="Todos",datos_base!$E$10+datos_base!$E$24,0))*parametros_manuales!$B$100+parametros_manuales!$F$34*(datos_base!$E$4+datos_base!$E$20+IF(parametros_manuales!$H$34="Todos",datos_base!$E$11+datos_base!$E$25,0))*parametros_manuales!$B$105+parametros_manuales!$G$34*(datos_base!$E$5+datos_base!$E$21+IF(parametros_manuales!$H$34="Todos",datos_base!$E$12+datos_base!$E$26,0))*parametros_manuales!$B$110)*parametros_manuales!$I$34*parametros_manuales!$J$34</f>
        <v>4564.604657709</v>
      </c>
      <c r="C98" s="9" t="n">
        <f aca="false">(parametros_manuales!$D$34*(datos_base!$E$2+datos_base!$E$18+IF(parametros_manuales!$H$34="Todos",datos_base!$E$9+datos_base!$E$23,0))*parametros_manuales!$C$95+parametros_manuales!$E$34*(datos_base!$E$3+datos_base!$E$19+IF(parametros_manuales!$H$34="Todos",datos_base!$E$10+datos_base!$E$24,0))*parametros_manuales!$C$100+parametros_manuales!$F$34*(datos_base!$E$4+datos_base!$E$20+IF(parametros_manuales!$H$34="Todos",datos_base!$E$11+datos_base!$E$25,0))*parametros_manuales!$C$105+parametros_manuales!$G$34*(datos_base!$E$5+datos_base!$E$21+IF(parametros_manuales!$H$34="Todos",datos_base!$E$12+datos_base!$E$26,0))*parametros_manuales!$C$110)*parametros_manuales!$I$34*parametros_manuales!$J$34</f>
        <v>4409.045717898</v>
      </c>
      <c r="D98" s="9" t="n">
        <f aca="false">(parametros_manuales!$D$34*(datos_base!$E$2+datos_base!$E$18+IF(parametros_manuales!$H$34="Todos",datos_base!$E$9+datos_base!$E$23,0))*parametros_manuales!$D$95+parametros_manuales!$E$34*(datos_base!$E$3+datos_base!$E$19+IF(parametros_manuales!$H$34="Todos",datos_base!$E$10+datos_base!$E$24,0))*parametros_manuales!$D$100+parametros_manuales!$F$34*(datos_base!$E$4+datos_base!$E$20+IF(parametros_manuales!$H$34="Todos",datos_base!$E$11+datos_base!$E$25,0))*parametros_manuales!$D$105+parametros_manuales!$G$34*(datos_base!$E$5+datos_base!$E$21+IF(parametros_manuales!$H$34="Todos",datos_base!$E$12+datos_base!$E$26,0))*parametros_manuales!$D$110)*parametros_manuales!$I$34*parametros_manuales!$J$34</f>
        <v>4135.2058323135</v>
      </c>
      <c r="E98" s="9" t="n">
        <f aca="false">(parametros_manuales!$D$34*(datos_base!$E$2+datos_base!$E$18+IF(parametros_manuales!$H$34="Todos",datos_base!$E$9+datos_base!$E$23,0))*parametros_manuales!$E$95+parametros_manuales!$E$34*(datos_base!$E$3+datos_base!$E$19+IF(parametros_manuales!$H$34="Todos",datos_base!$E$10+datos_base!$E$24,0))*parametros_manuales!$E$100+parametros_manuales!$F$34*(datos_base!$E$4+datos_base!$E$20+IF(parametros_manuales!$H$34="Todos",datos_base!$E$11+datos_base!$E$25,0))*parametros_manuales!$E$105+parametros_manuales!$G$34*(datos_base!$E$5+datos_base!$E$21+IF(parametros_manuales!$H$34="Todos",datos_base!$E$12+datos_base!$E$26,0))*parametros_manuales!$E$110)*parametros_manuales!$I$34*parametros_manuales!$J$34</f>
        <v>3959.3961545685</v>
      </c>
      <c r="F98" s="9" t="n">
        <f aca="false">(parametros_manuales!$D$34*(datos_base!$E$2+datos_base!$E$18+IF(parametros_manuales!$H$34="Todos",datos_base!$E$9+datos_base!$E$23,0))*parametros_manuales!$F$95+parametros_manuales!$E$34*(datos_base!$E$3+datos_base!$E$19+IF(parametros_manuales!$H$34="Todos",datos_base!$E$10+datos_base!$E$24,0))*parametros_manuales!$F$100+parametros_manuales!$F$34*(datos_base!$E$4+datos_base!$E$20+IF(parametros_manuales!$H$34="Todos",datos_base!$E$11+datos_base!$E$25,0))*parametros_manuales!$F$105+parametros_manuales!$G$34*(datos_base!$E$5+datos_base!$E$21+IF(parametros_manuales!$H$34="Todos",datos_base!$E$12+datos_base!$E$26,0))*parametros_manuales!$F$110)*parametros_manuales!$I$34*parametros_manuales!$J$34</f>
        <v>3705.807006918</v>
      </c>
      <c r="G98" s="9" t="n">
        <f aca="false">(parametros_manuales!$D$34*(datos_base!$E$2+datos_base!$E$18+IF(parametros_manuales!$H$34="Todos",datos_base!$E$9+datos_base!$E$23,0))*parametros_manuales!$G$95+parametros_manuales!$E$34*(datos_base!$E$3+datos_base!$E$19+IF(parametros_manuales!$H$34="Todos",datos_base!$E$10+datos_base!$E$24,0))*parametros_manuales!$G$100+parametros_manuales!$F$34*(datos_base!$E$4+datos_base!$E$20+IF(parametros_manuales!$H$34="Todos",datos_base!$E$11+datos_base!$E$25,0))*parametros_manuales!$G$105+parametros_manuales!$G$34*(datos_base!$E$5+datos_base!$E$21+IF(parametros_manuales!$H$34="Todos",datos_base!$E$12+datos_base!$E$26,0))*parametros_manuales!$G$110)*parametros_manuales!$I$34*parametros_manuales!$J$34</f>
        <v>3628.0275370125</v>
      </c>
      <c r="H98" s="9" t="n">
        <f aca="false">(parametros_manuales!$D$34*(datos_base!$E$2+datos_base!$E$18+IF(parametros_manuales!$H$34="Todos",datos_base!$E$9+datos_base!$E$23,0))*parametros_manuales!$H$95+parametros_manuales!$E$34*(datos_base!$E$3+datos_base!$E$19+IF(parametros_manuales!$H$34="Todos",datos_base!$E$10+datos_base!$E$24,0))*parametros_manuales!$H$100+parametros_manuales!$F$34*(datos_base!$E$4+datos_base!$E$20+IF(parametros_manuales!$H$34="Todos",datos_base!$E$11+datos_base!$E$25,0))*parametros_manuales!$H$105+parametros_manuales!$G$34*(datos_base!$E$5+datos_base!$E$21+IF(parametros_manuales!$H$34="Todos",datos_base!$E$12+datos_base!$E$26,0))*parametros_manuales!$H$110)*parametros_manuales!$I$34*parametros_manuales!$J$34</f>
        <v>3881.616684663</v>
      </c>
      <c r="I98" s="9" t="n">
        <f aca="false">(parametros_manuales!$D$34*(datos_base!$E$2+datos_base!$E$18+IF(parametros_manuales!$H$34="Todos",datos_base!$E$9+datos_base!$E$23,0))*parametros_manuales!$I$95+parametros_manuales!$E$34*(datos_base!$E$3+datos_base!$E$19+IF(parametros_manuales!$H$34="Todos",datos_base!$E$10+datos_base!$E$24,0))*parametros_manuales!$I$100+parametros_manuales!$F$34*(datos_base!$E$4+datos_base!$E$20+IF(parametros_manuales!$H$34="Todos",datos_base!$E$11+datos_base!$E$25,0))*parametros_manuales!$I$105+parametros_manuales!$G$34*(datos_base!$E$5+datos_base!$E$21+IF(parametros_manuales!$H$34="Todos",datos_base!$E$12+datos_base!$E$26,0))*parametros_manuales!$I$110)*parametros_manuales!$I$34*parametros_manuales!$J$34</f>
        <v>4409.045717898</v>
      </c>
      <c r="J98" s="9" t="n">
        <f aca="false">(parametros_manuales!$D$34*(datos_base!$E$2+datos_base!$E$18+IF(parametros_manuales!$H$34="Todos",datos_base!$E$9+datos_base!$E$23,0))*parametros_manuales!$J$95+parametros_manuales!$E$34*(datos_base!$E$3+datos_base!$E$19+IF(parametros_manuales!$H$34="Todos",datos_base!$E$10+datos_base!$E$24,0))*parametros_manuales!$J$100+parametros_manuales!$F$34*(datos_base!$E$4+datos_base!$E$20+IF(parametros_manuales!$H$34="Todos",datos_base!$E$11+datos_base!$E$25,0))*parametros_manuales!$J$105+parametros_manuales!$G$34*(datos_base!$E$5+datos_base!$E$21+IF(parametros_manuales!$H$34="Todos",datos_base!$E$12+datos_base!$E$26,0))*parametros_manuales!$J$110)*parametros_manuales!$I$34*parametros_manuales!$J$34</f>
        <v>4409.045717898</v>
      </c>
      <c r="K98" s="9" t="n">
        <f aca="false">(parametros_manuales!$D$34*(datos_base!$E$2+datos_base!$E$18+IF(parametros_manuales!$H$34="Todos",datos_base!$E$9+datos_base!$E$23,0))*parametros_manuales!$K$95+parametros_manuales!$E$34*(datos_base!$E$3+datos_base!$E$19+IF(parametros_manuales!$H$34="Todos",datos_base!$E$10+datos_base!$E$24,0))*parametros_manuales!$K$100+parametros_manuales!$F$34*(datos_base!$E$4+datos_base!$E$20+IF(parametros_manuales!$H$34="Todos",datos_base!$E$11+datos_base!$E$25,0))*parametros_manuales!$K$105+parametros_manuales!$G$34*(datos_base!$E$5+datos_base!$E$21+IF(parametros_manuales!$H$34="Todos",datos_base!$E$12+datos_base!$E$26,0))*parametros_manuales!$K$110)*parametros_manuales!$I$34*parametros_manuales!$J$34</f>
        <v>4486.8251878035</v>
      </c>
      <c r="L98" s="9" t="n">
        <f aca="false">(parametros_manuales!$D$34*(datos_base!$E$2+datos_base!$E$18+IF(parametros_manuales!$H$34="Todos",datos_base!$E$9+datos_base!$E$23,0))*parametros_manuales!$L$95+parametros_manuales!$E$34*(datos_base!$E$3+datos_base!$E$19+IF(parametros_manuales!$H$34="Todos",datos_base!$E$10+datos_base!$E$24,0))*parametros_manuales!$L$100+parametros_manuales!$F$34*(datos_base!$E$4+datos_base!$E$20+IF(parametros_manuales!$H$34="Todos",datos_base!$E$11+datos_base!$E$25,0))*parametros_manuales!$L$105+parametros_manuales!$G$34*(datos_base!$E$5+datos_base!$E$21+IF(parametros_manuales!$H$34="Todos",datos_base!$E$12+datos_base!$E$26,0))*parametros_manuales!$L$110)*parametros_manuales!$I$34*parametros_manuales!$J$34</f>
        <v>4564.604657709</v>
      </c>
      <c r="M98" s="9" t="n">
        <f aca="false">(parametros_manuales!$D$34*(datos_base!$E$2+datos_base!$E$18+IF(parametros_manuales!$H$34="Todos",datos_base!$E$9+datos_base!$E$23,0))*parametros_manuales!$M$95+parametros_manuales!$E$34*(datos_base!$E$3+datos_base!$E$19+IF(parametros_manuales!$H$34="Todos",datos_base!$E$10+datos_base!$E$24,0))*parametros_manuales!$M$100+parametros_manuales!$F$34*(datos_base!$E$4+datos_base!$E$20+IF(parametros_manuales!$H$34="Todos",datos_base!$E$11+datos_base!$E$25,0))*parametros_manuales!$M$105+parametros_manuales!$G$34*(datos_base!$E$5+datos_base!$E$21+IF(parametros_manuales!$H$34="Todos",datos_base!$E$12+datos_base!$E$26,0))*parametros_manuales!$M$110)*parametros_manuales!$I$34*parametros_manuales!$J$34</f>
        <v>4564.604657709</v>
      </c>
      <c r="N98" s="9" t="n">
        <f aca="false">SUM(B98:M98)</f>
        <v>50717.8295301</v>
      </c>
      <c r="O98" s="9" t="n">
        <f aca="false">MAX(B98:M98)</f>
        <v>4564.604657709</v>
      </c>
      <c r="P98" s="43" t="n">
        <f aca="false">O98/(parametros_manuales!$B$7)</f>
        <v>30.43069771806</v>
      </c>
      <c r="Q98" s="8" t="str">
        <f aca="false">IF(O98=0,"-",INDEX($B$82:$M$82,MATCH(O98,B98:M98,0)))</f>
        <v>Ene</v>
      </c>
    </row>
    <row r="99" customFormat="false" ht="14.25" hidden="false" customHeight="true" outlineLevel="0" collapsed="false">
      <c r="A99" s="8" t="str">
        <f aca="false">parametros_manuales!$B$35</f>
        <v>Detección de defectos</v>
      </c>
      <c r="B99" s="9" t="n">
        <f aca="false">(parametros_manuales!$D$35*(datos_base!$E$2+datos_base!$E$18+IF(parametros_manuales!$H$35="Todos",datos_base!$E$9+datos_base!$E$23,0))*parametros_manuales!$B$95+parametros_manuales!$E$35*(datos_base!$E$3+datos_base!$E$19+IF(parametros_manuales!$H$35="Todos",datos_base!$E$10+datos_base!$E$24,0))*parametros_manuales!$B$100+parametros_manuales!$F$35*(datos_base!$E$4+datos_base!$E$20+IF(parametros_manuales!$H$35="Todos",datos_base!$E$11+datos_base!$E$25,0))*parametros_manuales!$B$105+parametros_manuales!$G$35*(datos_base!$E$5+datos_base!$E$21+IF(parametros_manuales!$H$35="Todos",datos_base!$E$12+datos_base!$E$26,0))*parametros_manuales!$B$110)*parametros_manuales!$I$35*parametros_manuales!$J$35</f>
        <v>4564.604657709</v>
      </c>
      <c r="C99" s="9" t="n">
        <f aca="false">(parametros_manuales!$D$35*(datos_base!$E$2+datos_base!$E$18+IF(parametros_manuales!$H$35="Todos",datos_base!$E$9+datos_base!$E$23,0))*parametros_manuales!$C$95+parametros_manuales!$E$35*(datos_base!$E$3+datos_base!$E$19+IF(parametros_manuales!$H$35="Todos",datos_base!$E$10+datos_base!$E$24,0))*parametros_manuales!$C$100+parametros_manuales!$F$35*(datos_base!$E$4+datos_base!$E$20+IF(parametros_manuales!$H$35="Todos",datos_base!$E$11+datos_base!$E$25,0))*parametros_manuales!$C$105+parametros_manuales!$G$35*(datos_base!$E$5+datos_base!$E$21+IF(parametros_manuales!$H$35="Todos",datos_base!$E$12+datos_base!$E$26,0))*parametros_manuales!$C$110)*parametros_manuales!$I$35*parametros_manuales!$J$35</f>
        <v>4409.045717898</v>
      </c>
      <c r="D99" s="9" t="n">
        <f aca="false">(parametros_manuales!$D$35*(datos_base!$E$2+datos_base!$E$18+IF(parametros_manuales!$H$35="Todos",datos_base!$E$9+datos_base!$E$23,0))*parametros_manuales!$D$95+parametros_manuales!$E$35*(datos_base!$E$3+datos_base!$E$19+IF(parametros_manuales!$H$35="Todos",datos_base!$E$10+datos_base!$E$24,0))*parametros_manuales!$D$100+parametros_manuales!$F$35*(datos_base!$E$4+datos_base!$E$20+IF(parametros_manuales!$H$35="Todos",datos_base!$E$11+datos_base!$E$25,0))*parametros_manuales!$D$105+parametros_manuales!$G$35*(datos_base!$E$5+datos_base!$E$21+IF(parametros_manuales!$H$35="Todos",datos_base!$E$12+datos_base!$E$26,0))*parametros_manuales!$D$110)*parametros_manuales!$I$35*parametros_manuales!$J$35</f>
        <v>4135.2058323135</v>
      </c>
      <c r="E99" s="9" t="n">
        <f aca="false">(parametros_manuales!$D$35*(datos_base!$E$2+datos_base!$E$18+IF(parametros_manuales!$H$35="Todos",datos_base!$E$9+datos_base!$E$23,0))*parametros_manuales!$E$95+parametros_manuales!$E$35*(datos_base!$E$3+datos_base!$E$19+IF(parametros_manuales!$H$35="Todos",datos_base!$E$10+datos_base!$E$24,0))*parametros_manuales!$E$100+parametros_manuales!$F$35*(datos_base!$E$4+datos_base!$E$20+IF(parametros_manuales!$H$35="Todos",datos_base!$E$11+datos_base!$E$25,0))*parametros_manuales!$E$105+parametros_manuales!$G$35*(datos_base!$E$5+datos_base!$E$21+IF(parametros_manuales!$H$35="Todos",datos_base!$E$12+datos_base!$E$26,0))*parametros_manuales!$E$110)*parametros_manuales!$I$35*parametros_manuales!$J$35</f>
        <v>3959.3961545685</v>
      </c>
      <c r="F99" s="9" t="n">
        <f aca="false">(parametros_manuales!$D$35*(datos_base!$E$2+datos_base!$E$18+IF(parametros_manuales!$H$35="Todos",datos_base!$E$9+datos_base!$E$23,0))*parametros_manuales!$F$95+parametros_manuales!$E$35*(datos_base!$E$3+datos_base!$E$19+IF(parametros_manuales!$H$35="Todos",datos_base!$E$10+datos_base!$E$24,0))*parametros_manuales!$F$100+parametros_manuales!$F$35*(datos_base!$E$4+datos_base!$E$20+IF(parametros_manuales!$H$35="Todos",datos_base!$E$11+datos_base!$E$25,0))*parametros_manuales!$F$105+parametros_manuales!$G$35*(datos_base!$E$5+datos_base!$E$21+IF(parametros_manuales!$H$35="Todos",datos_base!$E$12+datos_base!$E$26,0))*parametros_manuales!$F$110)*parametros_manuales!$I$35*parametros_manuales!$J$35</f>
        <v>3705.807006918</v>
      </c>
      <c r="G99" s="9" t="n">
        <f aca="false">(parametros_manuales!$D$35*(datos_base!$E$2+datos_base!$E$18+IF(parametros_manuales!$H$35="Todos",datos_base!$E$9+datos_base!$E$23,0))*parametros_manuales!$G$95+parametros_manuales!$E$35*(datos_base!$E$3+datos_base!$E$19+IF(parametros_manuales!$H$35="Todos",datos_base!$E$10+datos_base!$E$24,0))*parametros_manuales!$G$100+parametros_manuales!$F$35*(datos_base!$E$4+datos_base!$E$20+IF(parametros_manuales!$H$35="Todos",datos_base!$E$11+datos_base!$E$25,0))*parametros_manuales!$G$105+parametros_manuales!$G$35*(datos_base!$E$5+datos_base!$E$21+IF(parametros_manuales!$H$35="Todos",datos_base!$E$12+datos_base!$E$26,0))*parametros_manuales!$G$110)*parametros_manuales!$I$35*parametros_manuales!$J$35</f>
        <v>3628.0275370125</v>
      </c>
      <c r="H99" s="9" t="n">
        <f aca="false">(parametros_manuales!$D$35*(datos_base!$E$2+datos_base!$E$18+IF(parametros_manuales!$H$35="Todos",datos_base!$E$9+datos_base!$E$23,0))*parametros_manuales!$H$95+parametros_manuales!$E$35*(datos_base!$E$3+datos_base!$E$19+IF(parametros_manuales!$H$35="Todos",datos_base!$E$10+datos_base!$E$24,0))*parametros_manuales!$H$100+parametros_manuales!$F$35*(datos_base!$E$4+datos_base!$E$20+IF(parametros_manuales!$H$35="Todos",datos_base!$E$11+datos_base!$E$25,0))*parametros_manuales!$H$105+parametros_manuales!$G$35*(datos_base!$E$5+datos_base!$E$21+IF(parametros_manuales!$H$35="Todos",datos_base!$E$12+datos_base!$E$26,0))*parametros_manuales!$H$110)*parametros_manuales!$I$35*parametros_manuales!$J$35</f>
        <v>3881.616684663</v>
      </c>
      <c r="I99" s="9" t="n">
        <f aca="false">(parametros_manuales!$D$35*(datos_base!$E$2+datos_base!$E$18+IF(parametros_manuales!$H$35="Todos",datos_base!$E$9+datos_base!$E$23,0))*parametros_manuales!$I$95+parametros_manuales!$E$35*(datos_base!$E$3+datos_base!$E$19+IF(parametros_manuales!$H$35="Todos",datos_base!$E$10+datos_base!$E$24,0))*parametros_manuales!$I$100+parametros_manuales!$F$35*(datos_base!$E$4+datos_base!$E$20+IF(parametros_manuales!$H$35="Todos",datos_base!$E$11+datos_base!$E$25,0))*parametros_manuales!$I$105+parametros_manuales!$G$35*(datos_base!$E$5+datos_base!$E$21+IF(parametros_manuales!$H$35="Todos",datos_base!$E$12+datos_base!$E$26,0))*parametros_manuales!$I$110)*parametros_manuales!$I$35*parametros_manuales!$J$35</f>
        <v>4409.045717898</v>
      </c>
      <c r="J99" s="9" t="n">
        <f aca="false">(parametros_manuales!$D$35*(datos_base!$E$2+datos_base!$E$18+IF(parametros_manuales!$H$35="Todos",datos_base!$E$9+datos_base!$E$23,0))*parametros_manuales!$J$95+parametros_manuales!$E$35*(datos_base!$E$3+datos_base!$E$19+IF(parametros_manuales!$H$35="Todos",datos_base!$E$10+datos_base!$E$24,0))*parametros_manuales!$J$100+parametros_manuales!$F$35*(datos_base!$E$4+datos_base!$E$20+IF(parametros_manuales!$H$35="Todos",datos_base!$E$11+datos_base!$E$25,0))*parametros_manuales!$J$105+parametros_manuales!$G$35*(datos_base!$E$5+datos_base!$E$21+IF(parametros_manuales!$H$35="Todos",datos_base!$E$12+datos_base!$E$26,0))*parametros_manuales!$J$110)*parametros_manuales!$I$35*parametros_manuales!$J$35</f>
        <v>4409.045717898</v>
      </c>
      <c r="K99" s="9" t="n">
        <f aca="false">(parametros_manuales!$D$35*(datos_base!$E$2+datos_base!$E$18+IF(parametros_manuales!$H$35="Todos",datos_base!$E$9+datos_base!$E$23,0))*parametros_manuales!$K$95+parametros_manuales!$E$35*(datos_base!$E$3+datos_base!$E$19+IF(parametros_manuales!$H$35="Todos",datos_base!$E$10+datos_base!$E$24,0))*parametros_manuales!$K$100+parametros_manuales!$F$35*(datos_base!$E$4+datos_base!$E$20+IF(parametros_manuales!$H$35="Todos",datos_base!$E$11+datos_base!$E$25,0))*parametros_manuales!$K$105+parametros_manuales!$G$35*(datos_base!$E$5+datos_base!$E$21+IF(parametros_manuales!$H$35="Todos",datos_base!$E$12+datos_base!$E$26,0))*parametros_manuales!$K$110)*parametros_manuales!$I$35*parametros_manuales!$J$35</f>
        <v>4486.8251878035</v>
      </c>
      <c r="L99" s="9" t="n">
        <f aca="false">(parametros_manuales!$D$35*(datos_base!$E$2+datos_base!$E$18+IF(parametros_manuales!$H$35="Todos",datos_base!$E$9+datos_base!$E$23,0))*parametros_manuales!$L$95+parametros_manuales!$E$35*(datos_base!$E$3+datos_base!$E$19+IF(parametros_manuales!$H$35="Todos",datos_base!$E$10+datos_base!$E$24,0))*parametros_manuales!$L$100+parametros_manuales!$F$35*(datos_base!$E$4+datos_base!$E$20+IF(parametros_manuales!$H$35="Todos",datos_base!$E$11+datos_base!$E$25,0))*parametros_manuales!$L$105+parametros_manuales!$G$35*(datos_base!$E$5+datos_base!$E$21+IF(parametros_manuales!$H$35="Todos",datos_base!$E$12+datos_base!$E$26,0))*parametros_manuales!$L$110)*parametros_manuales!$I$35*parametros_manuales!$J$35</f>
        <v>4564.604657709</v>
      </c>
      <c r="M99" s="9" t="n">
        <f aca="false">(parametros_manuales!$D$35*(datos_base!$E$2+datos_base!$E$18+IF(parametros_manuales!$H$35="Todos",datos_base!$E$9+datos_base!$E$23,0))*parametros_manuales!$M$95+parametros_manuales!$E$35*(datos_base!$E$3+datos_base!$E$19+IF(parametros_manuales!$H$35="Todos",datos_base!$E$10+datos_base!$E$24,0))*parametros_manuales!$M$100+parametros_manuales!$F$35*(datos_base!$E$4+datos_base!$E$20+IF(parametros_manuales!$H$35="Todos",datos_base!$E$11+datos_base!$E$25,0))*parametros_manuales!$M$105+parametros_manuales!$G$35*(datos_base!$E$5+datos_base!$E$21+IF(parametros_manuales!$H$35="Todos",datos_base!$E$12+datos_base!$E$26,0))*parametros_manuales!$M$110)*parametros_manuales!$I$35*parametros_manuales!$J$35</f>
        <v>4564.604657709</v>
      </c>
      <c r="N99" s="9" t="n">
        <f aca="false">SUM(B99:M99)</f>
        <v>50717.8295301</v>
      </c>
      <c r="O99" s="9" t="n">
        <f aca="false">MAX(B99:M99)</f>
        <v>4564.604657709</v>
      </c>
      <c r="P99" s="43" t="n">
        <f aca="false">O99/(parametros_manuales!$B$7)</f>
        <v>30.43069771806</v>
      </c>
      <c r="Q99" s="8" t="str">
        <f aca="false">IF(O99=0,"-",INDEX($B$82:$M$82,MATCH(O99,B99:M99,0)))</f>
        <v>Ene</v>
      </c>
    </row>
    <row r="100" customFormat="false" ht="14.25" hidden="false" customHeight="true" outlineLevel="0" collapsed="false">
      <c r="A100" s="8" t="str">
        <f aca="false">parametros_manuales!$B$36</f>
        <v>Corrección de defectos</v>
      </c>
      <c r="B100" s="9" t="n">
        <f aca="false">(parametros_manuales!$D$36*(datos_base!$E$2+datos_base!$E$18+IF(parametros_manuales!$H$36="Todos",datos_base!$E$9+datos_base!$E$23,0))*parametros_manuales!$B$95+parametros_manuales!$E$36*(datos_base!$E$3+datos_base!$E$19+IF(parametros_manuales!$H$36="Todos",datos_base!$E$10+datos_base!$E$24,0))*parametros_manuales!$B$100+parametros_manuales!$F$36*(datos_base!$E$4+datos_base!$E$20+IF(parametros_manuales!$H$36="Todos",datos_base!$E$11+datos_base!$E$25,0))*parametros_manuales!$B$105+parametros_manuales!$G$36*(datos_base!$E$5+datos_base!$E$21+IF(parametros_manuales!$H$36="Todos",datos_base!$E$12+datos_base!$E$26,0))*parametros_manuales!$B$110)*parametros_manuales!$I$36*parametros_manuales!$J$36</f>
        <v>228.23023288545</v>
      </c>
      <c r="C100" s="9" t="n">
        <f aca="false">(parametros_manuales!$D$36*(datos_base!$E$2+datos_base!$E$18+IF(parametros_manuales!$H$36="Todos",datos_base!$E$9+datos_base!$E$23,0))*parametros_manuales!$C$95+parametros_manuales!$E$36*(datos_base!$E$3+datos_base!$E$19+IF(parametros_manuales!$H$36="Todos",datos_base!$E$10+datos_base!$E$24,0))*parametros_manuales!$C$100+parametros_manuales!$F$36*(datos_base!$E$4+datos_base!$E$20+IF(parametros_manuales!$H$36="Todos",datos_base!$E$11+datos_base!$E$25,0))*parametros_manuales!$C$105+parametros_manuales!$G$36*(datos_base!$E$5+datos_base!$E$21+IF(parametros_manuales!$H$36="Todos",datos_base!$E$12+datos_base!$E$26,0))*parametros_manuales!$C$110)*parametros_manuales!$I$36*parametros_manuales!$J$36</f>
        <v>220.4522858949</v>
      </c>
      <c r="D100" s="9" t="n">
        <f aca="false">(parametros_manuales!$D$36*(datos_base!$E$2+datos_base!$E$18+IF(parametros_manuales!$H$36="Todos",datos_base!$E$9+datos_base!$E$23,0))*parametros_manuales!$D$95+parametros_manuales!$E$36*(datos_base!$E$3+datos_base!$E$19+IF(parametros_manuales!$H$36="Todos",datos_base!$E$10+datos_base!$E$24,0))*parametros_manuales!$D$100+parametros_manuales!$F$36*(datos_base!$E$4+datos_base!$E$20+IF(parametros_manuales!$H$36="Todos",datos_base!$E$11+datos_base!$E$25,0))*parametros_manuales!$D$105+parametros_manuales!$G$36*(datos_base!$E$5+datos_base!$E$21+IF(parametros_manuales!$H$36="Todos",datos_base!$E$12+datos_base!$E$26,0))*parametros_manuales!$D$110)*parametros_manuales!$I$36*parametros_manuales!$J$36</f>
        <v>206.760291615675</v>
      </c>
      <c r="E100" s="9" t="n">
        <f aca="false">(parametros_manuales!$D$36*(datos_base!$E$2+datos_base!$E$18+IF(parametros_manuales!$H$36="Todos",datos_base!$E$9+datos_base!$E$23,0))*parametros_manuales!$E$95+parametros_manuales!$E$36*(datos_base!$E$3+datos_base!$E$19+IF(parametros_manuales!$H$36="Todos",datos_base!$E$10+datos_base!$E$24,0))*parametros_manuales!$E$100+parametros_manuales!$F$36*(datos_base!$E$4+datos_base!$E$20+IF(parametros_manuales!$H$36="Todos",datos_base!$E$11+datos_base!$E$25,0))*parametros_manuales!$E$105+parametros_manuales!$G$36*(datos_base!$E$5+datos_base!$E$21+IF(parametros_manuales!$H$36="Todos",datos_base!$E$12+datos_base!$E$26,0))*parametros_manuales!$E$110)*parametros_manuales!$I$36*parametros_manuales!$J$36</f>
        <v>197.969807728425</v>
      </c>
      <c r="F100" s="9" t="n">
        <f aca="false">(parametros_manuales!$D$36*(datos_base!$E$2+datos_base!$E$18+IF(parametros_manuales!$H$36="Todos",datos_base!$E$9+datos_base!$E$23,0))*parametros_manuales!$F$95+parametros_manuales!$E$36*(datos_base!$E$3+datos_base!$E$19+IF(parametros_manuales!$H$36="Todos",datos_base!$E$10+datos_base!$E$24,0))*parametros_manuales!$F$100+parametros_manuales!$F$36*(datos_base!$E$4+datos_base!$E$20+IF(parametros_manuales!$H$36="Todos",datos_base!$E$11+datos_base!$E$25,0))*parametros_manuales!$F$105+parametros_manuales!$G$36*(datos_base!$E$5+datos_base!$E$21+IF(parametros_manuales!$H$36="Todos",datos_base!$E$12+datos_base!$E$26,0))*parametros_manuales!$F$110)*parametros_manuales!$I$36*parametros_manuales!$J$36</f>
        <v>185.2903503459</v>
      </c>
      <c r="G100" s="9" t="n">
        <f aca="false">(parametros_manuales!$D$36*(datos_base!$E$2+datos_base!$E$18+IF(parametros_manuales!$H$36="Todos",datos_base!$E$9+datos_base!$E$23,0))*parametros_manuales!$G$95+parametros_manuales!$E$36*(datos_base!$E$3+datos_base!$E$19+IF(parametros_manuales!$H$36="Todos",datos_base!$E$10+datos_base!$E$24,0))*parametros_manuales!$G$100+parametros_manuales!$F$36*(datos_base!$E$4+datos_base!$E$20+IF(parametros_manuales!$H$36="Todos",datos_base!$E$11+datos_base!$E$25,0))*parametros_manuales!$G$105+parametros_manuales!$G$36*(datos_base!$E$5+datos_base!$E$21+IF(parametros_manuales!$H$36="Todos",datos_base!$E$12+datos_base!$E$26,0))*parametros_manuales!$G$110)*parametros_manuales!$I$36*parametros_manuales!$J$36</f>
        <v>181.401376850625</v>
      </c>
      <c r="H100" s="9" t="n">
        <f aca="false">(parametros_manuales!$D$36*(datos_base!$E$2+datos_base!$E$18+IF(parametros_manuales!$H$36="Todos",datos_base!$E$9+datos_base!$E$23,0))*parametros_manuales!$H$95+parametros_manuales!$E$36*(datos_base!$E$3+datos_base!$E$19+IF(parametros_manuales!$H$36="Todos",datos_base!$E$10+datos_base!$E$24,0))*parametros_manuales!$H$100+parametros_manuales!$F$36*(datos_base!$E$4+datos_base!$E$20+IF(parametros_manuales!$H$36="Todos",datos_base!$E$11+datos_base!$E$25,0))*parametros_manuales!$H$105+parametros_manuales!$G$36*(datos_base!$E$5+datos_base!$E$21+IF(parametros_manuales!$H$36="Todos",datos_base!$E$12+datos_base!$E$26,0))*parametros_manuales!$H$110)*parametros_manuales!$I$36*parametros_manuales!$J$36</f>
        <v>194.08083423315</v>
      </c>
      <c r="I100" s="9" t="n">
        <f aca="false">(parametros_manuales!$D$36*(datos_base!$E$2+datos_base!$E$18+IF(parametros_manuales!$H$36="Todos",datos_base!$E$9+datos_base!$E$23,0))*parametros_manuales!$I$95+parametros_manuales!$E$36*(datos_base!$E$3+datos_base!$E$19+IF(parametros_manuales!$H$36="Todos",datos_base!$E$10+datos_base!$E$24,0))*parametros_manuales!$I$100+parametros_manuales!$F$36*(datos_base!$E$4+datos_base!$E$20+IF(parametros_manuales!$H$36="Todos",datos_base!$E$11+datos_base!$E$25,0))*parametros_manuales!$I$105+parametros_manuales!$G$36*(datos_base!$E$5+datos_base!$E$21+IF(parametros_manuales!$H$36="Todos",datos_base!$E$12+datos_base!$E$26,0))*parametros_manuales!$I$110)*parametros_manuales!$I$36*parametros_manuales!$J$36</f>
        <v>220.4522858949</v>
      </c>
      <c r="J100" s="9" t="n">
        <f aca="false">(parametros_manuales!$D$36*(datos_base!$E$2+datos_base!$E$18+IF(parametros_manuales!$H$36="Todos",datos_base!$E$9+datos_base!$E$23,0))*parametros_manuales!$J$95+parametros_manuales!$E$36*(datos_base!$E$3+datos_base!$E$19+IF(parametros_manuales!$H$36="Todos",datos_base!$E$10+datos_base!$E$24,0))*parametros_manuales!$J$100+parametros_manuales!$F$36*(datos_base!$E$4+datos_base!$E$20+IF(parametros_manuales!$H$36="Todos",datos_base!$E$11+datos_base!$E$25,0))*parametros_manuales!$J$105+parametros_manuales!$G$36*(datos_base!$E$5+datos_base!$E$21+IF(parametros_manuales!$H$36="Todos",datos_base!$E$12+datos_base!$E$26,0))*parametros_manuales!$J$110)*parametros_manuales!$I$36*parametros_manuales!$J$36</f>
        <v>220.4522858949</v>
      </c>
      <c r="K100" s="9" t="n">
        <f aca="false">(parametros_manuales!$D$36*(datos_base!$E$2+datos_base!$E$18+IF(parametros_manuales!$H$36="Todos",datos_base!$E$9+datos_base!$E$23,0))*parametros_manuales!$K$95+parametros_manuales!$E$36*(datos_base!$E$3+datos_base!$E$19+IF(parametros_manuales!$H$36="Todos",datos_base!$E$10+datos_base!$E$24,0))*parametros_manuales!$K$100+parametros_manuales!$F$36*(datos_base!$E$4+datos_base!$E$20+IF(parametros_manuales!$H$36="Todos",datos_base!$E$11+datos_base!$E$25,0))*parametros_manuales!$K$105+parametros_manuales!$G$36*(datos_base!$E$5+datos_base!$E$21+IF(parametros_manuales!$H$36="Todos",datos_base!$E$12+datos_base!$E$26,0))*parametros_manuales!$K$110)*parametros_manuales!$I$36*parametros_manuales!$J$36</f>
        <v>224.341259390175</v>
      </c>
      <c r="L100" s="9" t="n">
        <f aca="false">(parametros_manuales!$D$36*(datos_base!$E$2+datos_base!$E$18+IF(parametros_manuales!$H$36="Todos",datos_base!$E$9+datos_base!$E$23,0))*parametros_manuales!$L$95+parametros_manuales!$E$36*(datos_base!$E$3+datos_base!$E$19+IF(parametros_manuales!$H$36="Todos",datos_base!$E$10+datos_base!$E$24,0))*parametros_manuales!$L$100+parametros_manuales!$F$36*(datos_base!$E$4+datos_base!$E$20+IF(parametros_manuales!$H$36="Todos",datos_base!$E$11+datos_base!$E$25,0))*parametros_manuales!$L$105+parametros_manuales!$G$36*(datos_base!$E$5+datos_base!$E$21+IF(parametros_manuales!$H$36="Todos",datos_base!$E$12+datos_base!$E$26,0))*parametros_manuales!$L$110)*parametros_manuales!$I$36*parametros_manuales!$J$36</f>
        <v>228.23023288545</v>
      </c>
      <c r="M100" s="9" t="n">
        <f aca="false">(parametros_manuales!$D$36*(datos_base!$E$2+datos_base!$E$18+IF(parametros_manuales!$H$36="Todos",datos_base!$E$9+datos_base!$E$23,0))*parametros_manuales!$M$95+parametros_manuales!$E$36*(datos_base!$E$3+datos_base!$E$19+IF(parametros_manuales!$H$36="Todos",datos_base!$E$10+datos_base!$E$24,0))*parametros_manuales!$M$100+parametros_manuales!$F$36*(datos_base!$E$4+datos_base!$E$20+IF(parametros_manuales!$H$36="Todos",datos_base!$E$11+datos_base!$E$25,0))*parametros_manuales!$M$105+parametros_manuales!$G$36*(datos_base!$E$5+datos_base!$E$21+IF(parametros_manuales!$H$36="Todos",datos_base!$E$12+datos_base!$E$26,0))*parametros_manuales!$M$110)*parametros_manuales!$I$36*parametros_manuales!$J$36</f>
        <v>228.23023288545</v>
      </c>
      <c r="N100" s="9" t="n">
        <f aca="false">SUM(B100:M100)</f>
        <v>2535.891476505</v>
      </c>
      <c r="O100" s="9" t="n">
        <f aca="false">MAX(B100:M100)</f>
        <v>228.23023288545</v>
      </c>
      <c r="P100" s="43" t="n">
        <f aca="false">O100/(parametros_manuales!$B$7)</f>
        <v>1.521534885903</v>
      </c>
      <c r="Q100" s="8" t="str">
        <f aca="false">IF(O100=0,"-",INDEX($B$82:$M$82,MATCH(O100,B100:M100,0)))</f>
        <v>Ene</v>
      </c>
    </row>
    <row r="101" customFormat="false" ht="14.25" hidden="false" customHeight="true" outlineLevel="0" collapsed="false">
      <c r="A101" s="8" t="str">
        <f aca="false">parametros_manuales!$B$37</f>
        <v>Pintura en polvo + horno</v>
      </c>
      <c r="B101" s="9" t="n">
        <f aca="false">(parametros_manuales!$D$37*(datos_base!$E$2+datos_base!$E$18+IF(parametros_manuales!$H$37="Todos",datos_base!$E$9+datos_base!$E$23,0))*parametros_manuales!$B$95+parametros_manuales!$E$37*(datos_base!$E$3+datos_base!$E$19+IF(parametros_manuales!$H$37="Todos",datos_base!$E$10+datos_base!$E$24,0))*parametros_manuales!$B$100+parametros_manuales!$F$37*(datos_base!$E$4+datos_base!$E$20+IF(parametros_manuales!$H$37="Todos",datos_base!$E$11+datos_base!$E$25,0))*parametros_manuales!$B$105+parametros_manuales!$G$37*(datos_base!$E$5+datos_base!$E$21+IF(parametros_manuales!$H$37="Todos",datos_base!$E$12+datos_base!$E$26,0))*parametros_manuales!$B$110)*parametros_manuales!$I$37*parametros_manuales!$J$37</f>
        <v>4564.604657709</v>
      </c>
      <c r="C101" s="9" t="n">
        <f aca="false">(parametros_manuales!$D$37*(datos_base!$E$2+datos_base!$E$18+IF(parametros_manuales!$H$37="Todos",datos_base!$E$9+datos_base!$E$23,0))*parametros_manuales!$C$95+parametros_manuales!$E$37*(datos_base!$E$3+datos_base!$E$19+IF(parametros_manuales!$H$37="Todos",datos_base!$E$10+datos_base!$E$24,0))*parametros_manuales!$C$100+parametros_manuales!$F$37*(datos_base!$E$4+datos_base!$E$20+IF(parametros_manuales!$H$37="Todos",datos_base!$E$11+datos_base!$E$25,0))*parametros_manuales!$C$105+parametros_manuales!$G$37*(datos_base!$E$5+datos_base!$E$21+IF(parametros_manuales!$H$37="Todos",datos_base!$E$12+datos_base!$E$26,0))*parametros_manuales!$C$110)*parametros_manuales!$I$37*parametros_manuales!$J$37</f>
        <v>4409.045717898</v>
      </c>
      <c r="D101" s="9" t="n">
        <f aca="false">(parametros_manuales!$D$37*(datos_base!$E$2+datos_base!$E$18+IF(parametros_manuales!$H$37="Todos",datos_base!$E$9+datos_base!$E$23,0))*parametros_manuales!$D$95+parametros_manuales!$E$37*(datos_base!$E$3+datos_base!$E$19+IF(parametros_manuales!$H$37="Todos",datos_base!$E$10+datos_base!$E$24,0))*parametros_manuales!$D$100+parametros_manuales!$F$37*(datos_base!$E$4+datos_base!$E$20+IF(parametros_manuales!$H$37="Todos",datos_base!$E$11+datos_base!$E$25,0))*parametros_manuales!$D$105+parametros_manuales!$G$37*(datos_base!$E$5+datos_base!$E$21+IF(parametros_manuales!$H$37="Todos",datos_base!$E$12+datos_base!$E$26,0))*parametros_manuales!$D$110)*parametros_manuales!$I$37*parametros_manuales!$J$37</f>
        <v>4135.2058323135</v>
      </c>
      <c r="E101" s="9" t="n">
        <f aca="false">(parametros_manuales!$D$37*(datos_base!$E$2+datos_base!$E$18+IF(parametros_manuales!$H$37="Todos",datos_base!$E$9+datos_base!$E$23,0))*parametros_manuales!$E$95+parametros_manuales!$E$37*(datos_base!$E$3+datos_base!$E$19+IF(parametros_manuales!$H$37="Todos",datos_base!$E$10+datos_base!$E$24,0))*parametros_manuales!$E$100+parametros_manuales!$F$37*(datos_base!$E$4+datos_base!$E$20+IF(parametros_manuales!$H$37="Todos",datos_base!$E$11+datos_base!$E$25,0))*parametros_manuales!$E$105+parametros_manuales!$G$37*(datos_base!$E$5+datos_base!$E$21+IF(parametros_manuales!$H$37="Todos",datos_base!$E$12+datos_base!$E$26,0))*parametros_manuales!$E$110)*parametros_manuales!$I$37*parametros_manuales!$J$37</f>
        <v>3959.3961545685</v>
      </c>
      <c r="F101" s="9" t="n">
        <f aca="false">(parametros_manuales!$D$37*(datos_base!$E$2+datos_base!$E$18+IF(parametros_manuales!$H$37="Todos",datos_base!$E$9+datos_base!$E$23,0))*parametros_manuales!$F$95+parametros_manuales!$E$37*(datos_base!$E$3+datos_base!$E$19+IF(parametros_manuales!$H$37="Todos",datos_base!$E$10+datos_base!$E$24,0))*parametros_manuales!$F$100+parametros_manuales!$F$37*(datos_base!$E$4+datos_base!$E$20+IF(parametros_manuales!$H$37="Todos",datos_base!$E$11+datos_base!$E$25,0))*parametros_manuales!$F$105+parametros_manuales!$G$37*(datos_base!$E$5+datos_base!$E$21+IF(parametros_manuales!$H$37="Todos",datos_base!$E$12+datos_base!$E$26,0))*parametros_manuales!$F$110)*parametros_manuales!$I$37*parametros_manuales!$J$37</f>
        <v>3705.807006918</v>
      </c>
      <c r="G101" s="9" t="n">
        <f aca="false">(parametros_manuales!$D$37*(datos_base!$E$2+datos_base!$E$18+IF(parametros_manuales!$H$37="Todos",datos_base!$E$9+datos_base!$E$23,0))*parametros_manuales!$G$95+parametros_manuales!$E$37*(datos_base!$E$3+datos_base!$E$19+IF(parametros_manuales!$H$37="Todos",datos_base!$E$10+datos_base!$E$24,0))*parametros_manuales!$G$100+parametros_manuales!$F$37*(datos_base!$E$4+datos_base!$E$20+IF(parametros_manuales!$H$37="Todos",datos_base!$E$11+datos_base!$E$25,0))*parametros_manuales!$G$105+parametros_manuales!$G$37*(datos_base!$E$5+datos_base!$E$21+IF(parametros_manuales!$H$37="Todos",datos_base!$E$12+datos_base!$E$26,0))*parametros_manuales!$G$110)*parametros_manuales!$I$37*parametros_manuales!$J$37</f>
        <v>3628.0275370125</v>
      </c>
      <c r="H101" s="9" t="n">
        <f aca="false">(parametros_manuales!$D$37*(datos_base!$E$2+datos_base!$E$18+IF(parametros_manuales!$H$37="Todos",datos_base!$E$9+datos_base!$E$23,0))*parametros_manuales!$H$95+parametros_manuales!$E$37*(datos_base!$E$3+datos_base!$E$19+IF(parametros_manuales!$H$37="Todos",datos_base!$E$10+datos_base!$E$24,0))*parametros_manuales!$H$100+parametros_manuales!$F$37*(datos_base!$E$4+datos_base!$E$20+IF(parametros_manuales!$H$37="Todos",datos_base!$E$11+datos_base!$E$25,0))*parametros_manuales!$H$105+parametros_manuales!$G$37*(datos_base!$E$5+datos_base!$E$21+IF(parametros_manuales!$H$37="Todos",datos_base!$E$12+datos_base!$E$26,0))*parametros_manuales!$H$110)*parametros_manuales!$I$37*parametros_manuales!$J$37</f>
        <v>3881.616684663</v>
      </c>
      <c r="I101" s="9" t="n">
        <f aca="false">(parametros_manuales!$D$37*(datos_base!$E$2+datos_base!$E$18+IF(parametros_manuales!$H$37="Todos",datos_base!$E$9+datos_base!$E$23,0))*parametros_manuales!$I$95+parametros_manuales!$E$37*(datos_base!$E$3+datos_base!$E$19+IF(parametros_manuales!$H$37="Todos",datos_base!$E$10+datos_base!$E$24,0))*parametros_manuales!$I$100+parametros_manuales!$F$37*(datos_base!$E$4+datos_base!$E$20+IF(parametros_manuales!$H$37="Todos",datos_base!$E$11+datos_base!$E$25,0))*parametros_manuales!$I$105+parametros_manuales!$G$37*(datos_base!$E$5+datos_base!$E$21+IF(parametros_manuales!$H$37="Todos",datos_base!$E$12+datos_base!$E$26,0))*parametros_manuales!$I$110)*parametros_manuales!$I$37*parametros_manuales!$J$37</f>
        <v>4409.045717898</v>
      </c>
      <c r="J101" s="9" t="n">
        <f aca="false">(parametros_manuales!$D$37*(datos_base!$E$2+datos_base!$E$18+IF(parametros_manuales!$H$37="Todos",datos_base!$E$9+datos_base!$E$23,0))*parametros_manuales!$J$95+parametros_manuales!$E$37*(datos_base!$E$3+datos_base!$E$19+IF(parametros_manuales!$H$37="Todos",datos_base!$E$10+datos_base!$E$24,0))*parametros_manuales!$J$100+parametros_manuales!$F$37*(datos_base!$E$4+datos_base!$E$20+IF(parametros_manuales!$H$37="Todos",datos_base!$E$11+datos_base!$E$25,0))*parametros_manuales!$J$105+parametros_manuales!$G$37*(datos_base!$E$5+datos_base!$E$21+IF(parametros_manuales!$H$37="Todos",datos_base!$E$12+datos_base!$E$26,0))*parametros_manuales!$J$110)*parametros_manuales!$I$37*parametros_manuales!$J$37</f>
        <v>4409.045717898</v>
      </c>
      <c r="K101" s="9" t="n">
        <f aca="false">(parametros_manuales!$D$37*(datos_base!$E$2+datos_base!$E$18+IF(parametros_manuales!$H$37="Todos",datos_base!$E$9+datos_base!$E$23,0))*parametros_manuales!$K$95+parametros_manuales!$E$37*(datos_base!$E$3+datos_base!$E$19+IF(parametros_manuales!$H$37="Todos",datos_base!$E$10+datos_base!$E$24,0))*parametros_manuales!$K$100+parametros_manuales!$F$37*(datos_base!$E$4+datos_base!$E$20+IF(parametros_manuales!$H$37="Todos",datos_base!$E$11+datos_base!$E$25,0))*parametros_manuales!$K$105+parametros_manuales!$G$37*(datos_base!$E$5+datos_base!$E$21+IF(parametros_manuales!$H$37="Todos",datos_base!$E$12+datos_base!$E$26,0))*parametros_manuales!$K$110)*parametros_manuales!$I$37*parametros_manuales!$J$37</f>
        <v>4486.8251878035</v>
      </c>
      <c r="L101" s="9" t="n">
        <f aca="false">(parametros_manuales!$D$37*(datos_base!$E$2+datos_base!$E$18+IF(parametros_manuales!$H$37="Todos",datos_base!$E$9+datos_base!$E$23,0))*parametros_manuales!$L$95+parametros_manuales!$E$37*(datos_base!$E$3+datos_base!$E$19+IF(parametros_manuales!$H$37="Todos",datos_base!$E$10+datos_base!$E$24,0))*parametros_manuales!$L$100+parametros_manuales!$F$37*(datos_base!$E$4+datos_base!$E$20+IF(parametros_manuales!$H$37="Todos",datos_base!$E$11+datos_base!$E$25,0))*parametros_manuales!$L$105+parametros_manuales!$G$37*(datos_base!$E$5+datos_base!$E$21+IF(parametros_manuales!$H$37="Todos",datos_base!$E$12+datos_base!$E$26,0))*parametros_manuales!$L$110)*parametros_manuales!$I$37*parametros_manuales!$J$37</f>
        <v>4564.604657709</v>
      </c>
      <c r="M101" s="9" t="n">
        <f aca="false">(parametros_manuales!$D$37*(datos_base!$E$2+datos_base!$E$18+IF(parametros_manuales!$H$37="Todos",datos_base!$E$9+datos_base!$E$23,0))*parametros_manuales!$M$95+parametros_manuales!$E$37*(datos_base!$E$3+datos_base!$E$19+IF(parametros_manuales!$H$37="Todos",datos_base!$E$10+datos_base!$E$24,0))*parametros_manuales!$M$100+parametros_manuales!$F$37*(datos_base!$E$4+datos_base!$E$20+IF(parametros_manuales!$H$37="Todos",datos_base!$E$11+datos_base!$E$25,0))*parametros_manuales!$M$105+parametros_manuales!$G$37*(datos_base!$E$5+datos_base!$E$21+IF(parametros_manuales!$H$37="Todos",datos_base!$E$12+datos_base!$E$26,0))*parametros_manuales!$M$110)*parametros_manuales!$I$37*parametros_manuales!$J$37</f>
        <v>4564.604657709</v>
      </c>
      <c r="N101" s="9" t="n">
        <f aca="false">SUM(B101:M101)</f>
        <v>50717.8295301</v>
      </c>
      <c r="O101" s="9" t="n">
        <f aca="false">MAX(B101:M101)</f>
        <v>4564.604657709</v>
      </c>
      <c r="P101" s="43" t="n">
        <f aca="false">O101/(parametros_manuales!$B$7)</f>
        <v>30.43069771806</v>
      </c>
      <c r="Q101" s="8" t="str">
        <f aca="false">IF(O101=0,"-",INDEX($B$82:$M$82,MATCH(O101,B101:M101,0)))</f>
        <v>Ene</v>
      </c>
    </row>
    <row r="102" customFormat="false" ht="14.25" hidden="false" customHeight="true" outlineLevel="0" collapsed="false">
      <c r="A102" s="8" t="str">
        <f aca="false">parametros_manuales!$B$38</f>
        <v>Carga de polvo</v>
      </c>
      <c r="B102" s="9" t="n">
        <f aca="false">(parametros_manuales!$D$38*(datos_base!$E$2+datos_base!$E$18+IF(parametros_manuales!$H$38="Todos",datos_base!$E$9+datos_base!$E$23,0))*parametros_manuales!$B$95+parametros_manuales!$E$38*(datos_base!$E$3+datos_base!$E$19+IF(parametros_manuales!$H$38="Todos",datos_base!$E$10+datos_base!$E$24,0))*parametros_manuales!$B$100+parametros_manuales!$F$38*(datos_base!$E$4+datos_base!$E$20+IF(parametros_manuales!$H$38="Todos",datos_base!$E$11+datos_base!$E$25,0))*parametros_manuales!$B$105+parametros_manuales!$G$38*(datos_base!$E$5+datos_base!$E$21+IF(parametros_manuales!$H$38="Todos",datos_base!$E$12+datos_base!$E$26,0))*parametros_manuales!$B$110)*parametros_manuales!$I$38*parametros_manuales!$J$38</f>
        <v>1554.896657709</v>
      </c>
      <c r="C102" s="9" t="n">
        <f aca="false">(parametros_manuales!$D$38*(datos_base!$E$2+datos_base!$E$18+IF(parametros_manuales!$H$38="Todos",datos_base!$E$9+datos_base!$E$23,0))*parametros_manuales!$C$95+parametros_manuales!$E$38*(datos_base!$E$3+datos_base!$E$19+IF(parametros_manuales!$H$38="Todos",datos_base!$E$10+datos_base!$E$24,0))*parametros_manuales!$C$100+parametros_manuales!$F$38*(datos_base!$E$4+datos_base!$E$20+IF(parametros_manuales!$H$38="Todos",datos_base!$E$11+datos_base!$E$25,0))*parametros_manuales!$C$105+parametros_manuales!$G$38*(datos_base!$E$5+datos_base!$E$21+IF(parametros_manuales!$H$38="Todos",datos_base!$E$12+datos_base!$E$26,0))*parametros_manuales!$C$110)*parametros_manuales!$I$38*parametros_manuales!$J$38</f>
        <v>1466.801717898</v>
      </c>
      <c r="D102" s="9" t="n">
        <f aca="false">(parametros_manuales!$D$38*(datos_base!$E$2+datos_base!$E$18+IF(parametros_manuales!$H$38="Todos",datos_base!$E$9+datos_base!$E$23,0))*parametros_manuales!$D$95+parametros_manuales!$E$38*(datos_base!$E$3+datos_base!$E$19+IF(parametros_manuales!$H$38="Todos",datos_base!$E$10+datos_base!$E$24,0))*parametros_manuales!$D$100+parametros_manuales!$F$38*(datos_base!$E$4+datos_base!$E$20+IF(parametros_manuales!$H$38="Todos",datos_base!$E$11+datos_base!$E$25,0))*parametros_manuales!$D$105+parametros_manuales!$G$38*(datos_base!$E$5+datos_base!$E$21+IF(parametros_manuales!$H$38="Todos",datos_base!$E$12+datos_base!$E$26,0))*parametros_manuales!$D$110)*parametros_manuales!$I$38*parametros_manuales!$J$38</f>
        <v>1426.1778323135</v>
      </c>
      <c r="E102" s="9" t="n">
        <f aca="false">(parametros_manuales!$D$38*(datos_base!$E$2+datos_base!$E$18+IF(parametros_manuales!$H$38="Todos",datos_base!$E$9+datos_base!$E$23,0))*parametros_manuales!$E$95+parametros_manuales!$E$38*(datos_base!$E$3+datos_base!$E$19+IF(parametros_manuales!$H$38="Todos",datos_base!$E$10+datos_base!$E$24,0))*parametros_manuales!$E$100+parametros_manuales!$F$38*(datos_base!$E$4+datos_base!$E$20+IF(parametros_manuales!$H$38="Todos",datos_base!$E$11+datos_base!$E$25,0))*parametros_manuales!$E$105+parametros_manuales!$G$38*(datos_base!$E$5+datos_base!$E$21+IF(parametros_manuales!$H$38="Todos",datos_base!$E$12+datos_base!$E$26,0))*parametros_manuales!$E$110)*parametros_manuales!$I$38*parametros_manuales!$J$38</f>
        <v>1383.8421545685</v>
      </c>
      <c r="F102" s="9" t="n">
        <f aca="false">(parametros_manuales!$D$38*(datos_base!$E$2+datos_base!$E$18+IF(parametros_manuales!$H$38="Todos",datos_base!$E$9+datos_base!$E$23,0))*parametros_manuales!$F$95+parametros_manuales!$E$38*(datos_base!$E$3+datos_base!$E$19+IF(parametros_manuales!$H$38="Todos",datos_base!$E$10+datos_base!$E$24,0))*parametros_manuales!$F$100+parametros_manuales!$F$38*(datos_base!$E$4+datos_base!$E$20+IF(parametros_manuales!$H$38="Todos",datos_base!$E$11+datos_base!$E$25,0))*parametros_manuales!$F$105+parametros_manuales!$G$38*(datos_base!$E$5+datos_base!$E$21+IF(parametros_manuales!$H$38="Todos",datos_base!$E$12+datos_base!$E$26,0))*parametros_manuales!$F$110)*parametros_manuales!$I$38*parametros_manuales!$J$38</f>
        <v>1297.459006918</v>
      </c>
      <c r="G102" s="9" t="n">
        <f aca="false">(parametros_manuales!$D$38*(datos_base!$E$2+datos_base!$E$18+IF(parametros_manuales!$H$38="Todos",datos_base!$E$9+datos_base!$E$23,0))*parametros_manuales!$G$95+parametros_manuales!$E$38*(datos_base!$E$3+datos_base!$E$19+IF(parametros_manuales!$H$38="Todos",datos_base!$E$10+datos_base!$E$24,0))*parametros_manuales!$G$100+parametros_manuales!$F$38*(datos_base!$E$4+datos_base!$E$20+IF(parametros_manuales!$H$38="Todos",datos_base!$E$11+datos_base!$E$25,0))*parametros_manuales!$G$105+parametros_manuales!$G$38*(datos_base!$E$5+datos_base!$E$21+IF(parametros_manuales!$H$38="Todos",datos_base!$E$12+datos_base!$E$26,0))*parametros_manuales!$G$110)*parametros_manuales!$I$38*parametros_manuales!$J$38</f>
        <v>1253.4115370125</v>
      </c>
      <c r="H102" s="9" t="n">
        <f aca="false">(parametros_manuales!$D$38*(datos_base!$E$2+datos_base!$E$18+IF(parametros_manuales!$H$38="Todos",datos_base!$E$9+datos_base!$E$23,0))*parametros_manuales!$H$95+parametros_manuales!$E$38*(datos_base!$E$3+datos_base!$E$19+IF(parametros_manuales!$H$38="Todos",datos_base!$E$10+datos_base!$E$24,0))*parametros_manuales!$H$100+parametros_manuales!$F$38*(datos_base!$E$4+datos_base!$E$20+IF(parametros_manuales!$H$38="Todos",datos_base!$E$11+datos_base!$E$25,0))*parametros_manuales!$H$105+parametros_manuales!$G$38*(datos_base!$E$5+datos_base!$E$21+IF(parametros_manuales!$H$38="Todos",datos_base!$E$12+datos_base!$E$26,0))*parametros_manuales!$H$110)*parametros_manuales!$I$38*parametros_manuales!$J$38</f>
        <v>1339.794684663</v>
      </c>
      <c r="I102" s="9" t="n">
        <f aca="false">(parametros_manuales!$D$38*(datos_base!$E$2+datos_base!$E$18+IF(parametros_manuales!$H$38="Todos",datos_base!$E$9+datos_base!$E$23,0))*parametros_manuales!$I$95+parametros_manuales!$E$38*(datos_base!$E$3+datos_base!$E$19+IF(parametros_manuales!$H$38="Todos",datos_base!$E$10+datos_base!$E$24,0))*parametros_manuales!$I$100+parametros_manuales!$F$38*(datos_base!$E$4+datos_base!$E$20+IF(parametros_manuales!$H$38="Todos",datos_base!$E$11+datos_base!$E$25,0))*parametros_manuales!$I$105+parametros_manuales!$G$38*(datos_base!$E$5+datos_base!$E$21+IF(parametros_manuales!$H$38="Todos",datos_base!$E$12+datos_base!$E$26,0))*parametros_manuales!$I$110)*parametros_manuales!$I$38*parametros_manuales!$J$38</f>
        <v>1466.801717898</v>
      </c>
      <c r="J102" s="9" t="n">
        <f aca="false">(parametros_manuales!$D$38*(datos_base!$E$2+datos_base!$E$18+IF(parametros_manuales!$H$38="Todos",datos_base!$E$9+datos_base!$E$23,0))*parametros_manuales!$J$95+parametros_manuales!$E$38*(datos_base!$E$3+datos_base!$E$19+IF(parametros_manuales!$H$38="Todos",datos_base!$E$10+datos_base!$E$24,0))*parametros_manuales!$J$100+parametros_manuales!$F$38*(datos_base!$E$4+datos_base!$E$20+IF(parametros_manuales!$H$38="Todos",datos_base!$E$11+datos_base!$E$25,0))*parametros_manuales!$J$105+parametros_manuales!$G$38*(datos_base!$E$5+datos_base!$E$21+IF(parametros_manuales!$H$38="Todos",datos_base!$E$12+datos_base!$E$26,0))*parametros_manuales!$J$110)*parametros_manuales!$I$38*parametros_manuales!$J$38</f>
        <v>1466.801717898</v>
      </c>
      <c r="K102" s="9" t="n">
        <f aca="false">(parametros_manuales!$D$38*(datos_base!$E$2+datos_base!$E$18+IF(parametros_manuales!$H$38="Todos",datos_base!$E$9+datos_base!$E$23,0))*parametros_manuales!$K$95+parametros_manuales!$E$38*(datos_base!$E$3+datos_base!$E$19+IF(parametros_manuales!$H$38="Todos",datos_base!$E$10+datos_base!$E$24,0))*parametros_manuales!$K$100+parametros_manuales!$F$38*(datos_base!$E$4+datos_base!$E$20+IF(parametros_manuales!$H$38="Todos",datos_base!$E$11+datos_base!$E$25,0))*parametros_manuales!$K$105+parametros_manuales!$G$38*(datos_base!$E$5+datos_base!$E$21+IF(parametros_manuales!$H$38="Todos",datos_base!$E$12+datos_base!$E$26,0))*parametros_manuales!$K$110)*parametros_manuales!$I$38*parametros_manuales!$J$38</f>
        <v>1510.8491878035</v>
      </c>
      <c r="L102" s="9" t="n">
        <f aca="false">(parametros_manuales!$D$38*(datos_base!$E$2+datos_base!$E$18+IF(parametros_manuales!$H$38="Todos",datos_base!$E$9+datos_base!$E$23,0))*parametros_manuales!$L$95+parametros_manuales!$E$38*(datos_base!$E$3+datos_base!$E$19+IF(parametros_manuales!$H$38="Todos",datos_base!$E$10+datos_base!$E$24,0))*parametros_manuales!$L$100+parametros_manuales!$F$38*(datos_base!$E$4+datos_base!$E$20+IF(parametros_manuales!$H$38="Todos",datos_base!$E$11+datos_base!$E$25,0))*parametros_manuales!$L$105+parametros_manuales!$G$38*(datos_base!$E$5+datos_base!$E$21+IF(parametros_manuales!$H$38="Todos",datos_base!$E$12+datos_base!$E$26,0))*parametros_manuales!$L$110)*parametros_manuales!$I$38*parametros_manuales!$J$38</f>
        <v>1554.896657709</v>
      </c>
      <c r="M102" s="9" t="n">
        <f aca="false">(parametros_manuales!$D$38*(datos_base!$E$2+datos_base!$E$18+IF(parametros_manuales!$H$38="Todos",datos_base!$E$9+datos_base!$E$23,0))*parametros_manuales!$M$95+parametros_manuales!$E$38*(datos_base!$E$3+datos_base!$E$19+IF(parametros_manuales!$H$38="Todos",datos_base!$E$10+datos_base!$E$24,0))*parametros_manuales!$M$100+parametros_manuales!$F$38*(datos_base!$E$4+datos_base!$E$20+IF(parametros_manuales!$H$38="Todos",datos_base!$E$11+datos_base!$E$25,0))*parametros_manuales!$M$105+parametros_manuales!$G$38*(datos_base!$E$5+datos_base!$E$21+IF(parametros_manuales!$H$38="Todos",datos_base!$E$12+datos_base!$E$26,0))*parametros_manuales!$M$110)*parametros_manuales!$I$38*parametros_manuales!$J$38</f>
        <v>1554.896657709</v>
      </c>
      <c r="N102" s="9" t="n">
        <f aca="false">SUM(B102:M102)</f>
        <v>17276.6295301</v>
      </c>
      <c r="O102" s="9" t="n">
        <f aca="false">MAX(B102:M102)</f>
        <v>1554.896657709</v>
      </c>
      <c r="P102" s="43" t="n">
        <f aca="false">O102/(parametros_manuales!$B$7)</f>
        <v>10.36597771806</v>
      </c>
      <c r="Q102" s="8" t="str">
        <f aca="false">IF(O102=0,"-",INDEX($B$82:$M$82,MATCH(O102,B102:M102,0)))</f>
        <v>Ene</v>
      </c>
    </row>
    <row r="103" customFormat="false" ht="14.25" hidden="false" customHeight="true" outlineLevel="0" collapsed="false">
      <c r="A103" s="8" t="str">
        <f aca="false">parametros_manuales!$B$39</f>
        <v>Ensamblaje</v>
      </c>
      <c r="B103" s="9" t="n">
        <f aca="false">(parametros_manuales!$D$39*(datos_base!$E$2+datos_base!$E$18+IF(parametros_manuales!$H$39="Todos",datos_base!$E$9+datos_base!$E$23,0))*parametros_manuales!$B$95+parametros_manuales!$E$39*(datos_base!$E$3+datos_base!$E$19+IF(parametros_manuales!$H$39="Todos",datos_base!$E$10+datos_base!$E$24,0))*parametros_manuales!$B$100+parametros_manuales!$F$39*(datos_base!$E$4+datos_base!$E$20+IF(parametros_manuales!$H$39="Todos",datos_base!$E$11+datos_base!$E$25,0))*parametros_manuales!$B$105+parametros_manuales!$G$39*(datos_base!$E$5+datos_base!$E$21+IF(parametros_manuales!$H$39="Todos",datos_base!$E$12+datos_base!$E$26,0))*parametros_manuales!$B$110)*parametros_manuales!$I$39*parametros_manuales!$J$39</f>
        <v>1554.896657709</v>
      </c>
      <c r="C103" s="9" t="n">
        <f aca="false">(parametros_manuales!$D$39*(datos_base!$E$2+datos_base!$E$18+IF(parametros_manuales!$H$39="Todos",datos_base!$E$9+datos_base!$E$23,0))*parametros_manuales!$C$95+parametros_manuales!$E$39*(datos_base!$E$3+datos_base!$E$19+IF(parametros_manuales!$H$39="Todos",datos_base!$E$10+datos_base!$E$24,0))*parametros_manuales!$C$100+parametros_manuales!$F$39*(datos_base!$E$4+datos_base!$E$20+IF(parametros_manuales!$H$39="Todos",datos_base!$E$11+datos_base!$E$25,0))*parametros_manuales!$C$105+parametros_manuales!$G$39*(datos_base!$E$5+datos_base!$E$21+IF(parametros_manuales!$H$39="Todos",datos_base!$E$12+datos_base!$E$26,0))*parametros_manuales!$C$110)*parametros_manuales!$I$39*parametros_manuales!$J$39</f>
        <v>1466.801717898</v>
      </c>
      <c r="D103" s="9" t="n">
        <f aca="false">(parametros_manuales!$D$39*(datos_base!$E$2+datos_base!$E$18+IF(parametros_manuales!$H$39="Todos",datos_base!$E$9+datos_base!$E$23,0))*parametros_manuales!$D$95+parametros_manuales!$E$39*(datos_base!$E$3+datos_base!$E$19+IF(parametros_manuales!$H$39="Todos",datos_base!$E$10+datos_base!$E$24,0))*parametros_manuales!$D$100+parametros_manuales!$F$39*(datos_base!$E$4+datos_base!$E$20+IF(parametros_manuales!$H$39="Todos",datos_base!$E$11+datos_base!$E$25,0))*parametros_manuales!$D$105+parametros_manuales!$G$39*(datos_base!$E$5+datos_base!$E$21+IF(parametros_manuales!$H$39="Todos",datos_base!$E$12+datos_base!$E$26,0))*parametros_manuales!$D$110)*parametros_manuales!$I$39*parametros_manuales!$J$39</f>
        <v>1426.1778323135</v>
      </c>
      <c r="E103" s="9" t="n">
        <f aca="false">(parametros_manuales!$D$39*(datos_base!$E$2+datos_base!$E$18+IF(parametros_manuales!$H$39="Todos",datos_base!$E$9+datos_base!$E$23,0))*parametros_manuales!$E$95+parametros_manuales!$E$39*(datos_base!$E$3+datos_base!$E$19+IF(parametros_manuales!$H$39="Todos",datos_base!$E$10+datos_base!$E$24,0))*parametros_manuales!$E$100+parametros_manuales!$F$39*(datos_base!$E$4+datos_base!$E$20+IF(parametros_manuales!$H$39="Todos",datos_base!$E$11+datos_base!$E$25,0))*parametros_manuales!$E$105+parametros_manuales!$G$39*(datos_base!$E$5+datos_base!$E$21+IF(parametros_manuales!$H$39="Todos",datos_base!$E$12+datos_base!$E$26,0))*parametros_manuales!$E$110)*parametros_manuales!$I$39*parametros_manuales!$J$39</f>
        <v>1383.8421545685</v>
      </c>
      <c r="F103" s="9" t="n">
        <f aca="false">(parametros_manuales!$D$39*(datos_base!$E$2+datos_base!$E$18+IF(parametros_manuales!$H$39="Todos",datos_base!$E$9+datos_base!$E$23,0))*parametros_manuales!$F$95+parametros_manuales!$E$39*(datos_base!$E$3+datos_base!$E$19+IF(parametros_manuales!$H$39="Todos",datos_base!$E$10+datos_base!$E$24,0))*parametros_manuales!$F$100+parametros_manuales!$F$39*(datos_base!$E$4+datos_base!$E$20+IF(parametros_manuales!$H$39="Todos",datos_base!$E$11+datos_base!$E$25,0))*parametros_manuales!$F$105+parametros_manuales!$G$39*(datos_base!$E$5+datos_base!$E$21+IF(parametros_manuales!$H$39="Todos",datos_base!$E$12+datos_base!$E$26,0))*parametros_manuales!$F$110)*parametros_manuales!$I$39*parametros_manuales!$J$39</f>
        <v>1297.459006918</v>
      </c>
      <c r="G103" s="9" t="n">
        <f aca="false">(parametros_manuales!$D$39*(datos_base!$E$2+datos_base!$E$18+IF(parametros_manuales!$H$39="Todos",datos_base!$E$9+datos_base!$E$23,0))*parametros_manuales!$G$95+parametros_manuales!$E$39*(datos_base!$E$3+datos_base!$E$19+IF(parametros_manuales!$H$39="Todos",datos_base!$E$10+datos_base!$E$24,0))*parametros_manuales!$G$100+parametros_manuales!$F$39*(datos_base!$E$4+datos_base!$E$20+IF(parametros_manuales!$H$39="Todos",datos_base!$E$11+datos_base!$E$25,0))*parametros_manuales!$G$105+parametros_manuales!$G$39*(datos_base!$E$5+datos_base!$E$21+IF(parametros_manuales!$H$39="Todos",datos_base!$E$12+datos_base!$E$26,0))*parametros_manuales!$G$110)*parametros_manuales!$I$39*parametros_manuales!$J$39</f>
        <v>1253.4115370125</v>
      </c>
      <c r="H103" s="9" t="n">
        <f aca="false">(parametros_manuales!$D$39*(datos_base!$E$2+datos_base!$E$18+IF(parametros_manuales!$H$39="Todos",datos_base!$E$9+datos_base!$E$23,0))*parametros_manuales!$H$95+parametros_manuales!$E$39*(datos_base!$E$3+datos_base!$E$19+IF(parametros_manuales!$H$39="Todos",datos_base!$E$10+datos_base!$E$24,0))*parametros_manuales!$H$100+parametros_manuales!$F$39*(datos_base!$E$4+datos_base!$E$20+IF(parametros_manuales!$H$39="Todos",datos_base!$E$11+datos_base!$E$25,0))*parametros_manuales!$H$105+parametros_manuales!$G$39*(datos_base!$E$5+datos_base!$E$21+IF(parametros_manuales!$H$39="Todos",datos_base!$E$12+datos_base!$E$26,0))*parametros_manuales!$H$110)*parametros_manuales!$I$39*parametros_manuales!$J$39</f>
        <v>1339.794684663</v>
      </c>
      <c r="I103" s="9" t="n">
        <f aca="false">(parametros_manuales!$D$39*(datos_base!$E$2+datos_base!$E$18+IF(parametros_manuales!$H$39="Todos",datos_base!$E$9+datos_base!$E$23,0))*parametros_manuales!$I$95+parametros_manuales!$E$39*(datos_base!$E$3+datos_base!$E$19+IF(parametros_manuales!$H$39="Todos",datos_base!$E$10+datos_base!$E$24,0))*parametros_manuales!$I$100+parametros_manuales!$F$39*(datos_base!$E$4+datos_base!$E$20+IF(parametros_manuales!$H$39="Todos",datos_base!$E$11+datos_base!$E$25,0))*parametros_manuales!$I$105+parametros_manuales!$G$39*(datos_base!$E$5+datos_base!$E$21+IF(parametros_manuales!$H$39="Todos",datos_base!$E$12+datos_base!$E$26,0))*parametros_manuales!$I$110)*parametros_manuales!$I$39*parametros_manuales!$J$39</f>
        <v>1466.801717898</v>
      </c>
      <c r="J103" s="9" t="n">
        <f aca="false">(parametros_manuales!$D$39*(datos_base!$E$2+datos_base!$E$18+IF(parametros_manuales!$H$39="Todos",datos_base!$E$9+datos_base!$E$23,0))*parametros_manuales!$J$95+parametros_manuales!$E$39*(datos_base!$E$3+datos_base!$E$19+IF(parametros_manuales!$H$39="Todos",datos_base!$E$10+datos_base!$E$24,0))*parametros_manuales!$J$100+parametros_manuales!$F$39*(datos_base!$E$4+datos_base!$E$20+IF(parametros_manuales!$H$39="Todos",datos_base!$E$11+datos_base!$E$25,0))*parametros_manuales!$J$105+parametros_manuales!$G$39*(datos_base!$E$5+datos_base!$E$21+IF(parametros_manuales!$H$39="Todos",datos_base!$E$12+datos_base!$E$26,0))*parametros_manuales!$J$110)*parametros_manuales!$I$39*parametros_manuales!$J$39</f>
        <v>1466.801717898</v>
      </c>
      <c r="K103" s="9" t="n">
        <f aca="false">(parametros_manuales!$D$39*(datos_base!$E$2+datos_base!$E$18+IF(parametros_manuales!$H$39="Todos",datos_base!$E$9+datos_base!$E$23,0))*parametros_manuales!$K$95+parametros_manuales!$E$39*(datos_base!$E$3+datos_base!$E$19+IF(parametros_manuales!$H$39="Todos",datos_base!$E$10+datos_base!$E$24,0))*parametros_manuales!$K$100+parametros_manuales!$F$39*(datos_base!$E$4+datos_base!$E$20+IF(parametros_manuales!$H$39="Todos",datos_base!$E$11+datos_base!$E$25,0))*parametros_manuales!$K$105+parametros_manuales!$G$39*(datos_base!$E$5+datos_base!$E$21+IF(parametros_manuales!$H$39="Todos",datos_base!$E$12+datos_base!$E$26,0))*parametros_manuales!$K$110)*parametros_manuales!$I$39*parametros_manuales!$J$39</f>
        <v>1510.8491878035</v>
      </c>
      <c r="L103" s="9" t="n">
        <f aca="false">(parametros_manuales!$D$39*(datos_base!$E$2+datos_base!$E$18+IF(parametros_manuales!$H$39="Todos",datos_base!$E$9+datos_base!$E$23,0))*parametros_manuales!$L$95+parametros_manuales!$E$39*(datos_base!$E$3+datos_base!$E$19+IF(parametros_manuales!$H$39="Todos",datos_base!$E$10+datos_base!$E$24,0))*parametros_manuales!$L$100+parametros_manuales!$F$39*(datos_base!$E$4+datos_base!$E$20+IF(parametros_manuales!$H$39="Todos",datos_base!$E$11+datos_base!$E$25,0))*parametros_manuales!$L$105+parametros_manuales!$G$39*(datos_base!$E$5+datos_base!$E$21+IF(parametros_manuales!$H$39="Todos",datos_base!$E$12+datos_base!$E$26,0))*parametros_manuales!$L$110)*parametros_manuales!$I$39*parametros_manuales!$J$39</f>
        <v>1554.896657709</v>
      </c>
      <c r="M103" s="9" t="n">
        <f aca="false">(parametros_manuales!$D$39*(datos_base!$E$2+datos_base!$E$18+IF(parametros_manuales!$H$39="Todos",datos_base!$E$9+datos_base!$E$23,0))*parametros_manuales!$M$95+parametros_manuales!$E$39*(datos_base!$E$3+datos_base!$E$19+IF(parametros_manuales!$H$39="Todos",datos_base!$E$10+datos_base!$E$24,0))*parametros_manuales!$M$100+parametros_manuales!$F$39*(datos_base!$E$4+datos_base!$E$20+IF(parametros_manuales!$H$39="Todos",datos_base!$E$11+datos_base!$E$25,0))*parametros_manuales!$M$105+parametros_manuales!$G$39*(datos_base!$E$5+datos_base!$E$21+IF(parametros_manuales!$H$39="Todos",datos_base!$E$12+datos_base!$E$26,0))*parametros_manuales!$M$110)*parametros_manuales!$I$39*parametros_manuales!$J$39</f>
        <v>1554.896657709</v>
      </c>
      <c r="N103" s="9" t="n">
        <f aca="false">SUM(B103:M103)</f>
        <v>17276.6295301</v>
      </c>
      <c r="O103" s="9" t="n">
        <f aca="false">MAX(B103:M103)</f>
        <v>1554.896657709</v>
      </c>
      <c r="P103" s="43" t="n">
        <f aca="false">O103/(parametros_manuales!$B$7)</f>
        <v>10.36597771806</v>
      </c>
      <c r="Q103" s="8" t="str">
        <f aca="false">IF(O103=0,"-",INDEX($B$82:$M$82,MATCH(O103,B103:M103,0)))</f>
        <v>Ene</v>
      </c>
    </row>
    <row r="104" customFormat="false" ht="14.25" hidden="false" customHeight="true" outlineLevel="0" collapsed="false">
      <c r="A104" s="8" t="str">
        <f aca="false">parametros_manuales!$B$40</f>
        <v>Presurización</v>
      </c>
      <c r="B104" s="9" t="n">
        <f aca="false">(parametros_manuales!$D$40*(datos_base!$E$2+datos_base!$E$18+IF(parametros_manuales!$H$40="Todos",datos_base!$E$9+datos_base!$E$23,0))*parametros_manuales!$B$95+parametros_manuales!$E$40*(datos_base!$E$3+datos_base!$E$19+IF(parametros_manuales!$H$40="Todos",datos_base!$E$10+datos_base!$E$24,0))*parametros_manuales!$B$100+parametros_manuales!$F$40*(datos_base!$E$4+datos_base!$E$20+IF(parametros_manuales!$H$40="Todos",datos_base!$E$11+datos_base!$E$25,0))*parametros_manuales!$B$105+parametros_manuales!$G$40*(datos_base!$E$5+datos_base!$E$21+IF(parametros_manuales!$H$40="Todos",datos_base!$E$12+datos_base!$E$26,0))*parametros_manuales!$B$110)*parametros_manuales!$I$40*parametros_manuales!$J$40</f>
        <v>1554.896657709</v>
      </c>
      <c r="C104" s="9" t="n">
        <f aca="false">(parametros_manuales!$D$40*(datos_base!$E$2+datos_base!$E$18+IF(parametros_manuales!$H$40="Todos",datos_base!$E$9+datos_base!$E$23,0))*parametros_manuales!$C$95+parametros_manuales!$E$40*(datos_base!$E$3+datos_base!$E$19+IF(parametros_manuales!$H$40="Todos",datos_base!$E$10+datos_base!$E$24,0))*parametros_manuales!$C$100+parametros_manuales!$F$40*(datos_base!$E$4+datos_base!$E$20+IF(parametros_manuales!$H$40="Todos",datos_base!$E$11+datos_base!$E$25,0))*parametros_manuales!$C$105+parametros_manuales!$G$40*(datos_base!$E$5+datos_base!$E$21+IF(parametros_manuales!$H$40="Todos",datos_base!$E$12+datos_base!$E$26,0))*parametros_manuales!$C$110)*parametros_manuales!$I$40*parametros_manuales!$J$40</f>
        <v>1466.801717898</v>
      </c>
      <c r="D104" s="9" t="n">
        <f aca="false">(parametros_manuales!$D$40*(datos_base!$E$2+datos_base!$E$18+IF(parametros_manuales!$H$40="Todos",datos_base!$E$9+datos_base!$E$23,0))*parametros_manuales!$D$95+parametros_manuales!$E$40*(datos_base!$E$3+datos_base!$E$19+IF(parametros_manuales!$H$40="Todos",datos_base!$E$10+datos_base!$E$24,0))*parametros_manuales!$D$100+parametros_manuales!$F$40*(datos_base!$E$4+datos_base!$E$20+IF(parametros_manuales!$H$40="Todos",datos_base!$E$11+datos_base!$E$25,0))*parametros_manuales!$D$105+parametros_manuales!$G$40*(datos_base!$E$5+datos_base!$E$21+IF(parametros_manuales!$H$40="Todos",datos_base!$E$12+datos_base!$E$26,0))*parametros_manuales!$D$110)*parametros_manuales!$I$40*parametros_manuales!$J$40</f>
        <v>1426.1778323135</v>
      </c>
      <c r="E104" s="9" t="n">
        <f aca="false">(parametros_manuales!$D$40*(datos_base!$E$2+datos_base!$E$18+IF(parametros_manuales!$H$40="Todos",datos_base!$E$9+datos_base!$E$23,0))*parametros_manuales!$E$95+parametros_manuales!$E$40*(datos_base!$E$3+datos_base!$E$19+IF(parametros_manuales!$H$40="Todos",datos_base!$E$10+datos_base!$E$24,0))*parametros_manuales!$E$100+parametros_manuales!$F$40*(datos_base!$E$4+datos_base!$E$20+IF(parametros_manuales!$H$40="Todos",datos_base!$E$11+datos_base!$E$25,0))*parametros_manuales!$E$105+parametros_manuales!$G$40*(datos_base!$E$5+datos_base!$E$21+IF(parametros_manuales!$H$40="Todos",datos_base!$E$12+datos_base!$E$26,0))*parametros_manuales!$E$110)*parametros_manuales!$I$40*parametros_manuales!$J$40</f>
        <v>1383.8421545685</v>
      </c>
      <c r="F104" s="9" t="n">
        <f aca="false">(parametros_manuales!$D$40*(datos_base!$E$2+datos_base!$E$18+IF(parametros_manuales!$H$40="Todos",datos_base!$E$9+datos_base!$E$23,0))*parametros_manuales!$F$95+parametros_manuales!$E$40*(datos_base!$E$3+datos_base!$E$19+IF(parametros_manuales!$H$40="Todos",datos_base!$E$10+datos_base!$E$24,0))*parametros_manuales!$F$100+parametros_manuales!$F$40*(datos_base!$E$4+datos_base!$E$20+IF(parametros_manuales!$H$40="Todos",datos_base!$E$11+datos_base!$E$25,0))*parametros_manuales!$F$105+parametros_manuales!$G$40*(datos_base!$E$5+datos_base!$E$21+IF(parametros_manuales!$H$40="Todos",datos_base!$E$12+datos_base!$E$26,0))*parametros_manuales!$F$110)*parametros_manuales!$I$40*parametros_manuales!$J$40</f>
        <v>1297.459006918</v>
      </c>
      <c r="G104" s="9" t="n">
        <f aca="false">(parametros_manuales!$D$40*(datos_base!$E$2+datos_base!$E$18+IF(parametros_manuales!$H$40="Todos",datos_base!$E$9+datos_base!$E$23,0))*parametros_manuales!$G$95+parametros_manuales!$E$40*(datos_base!$E$3+datos_base!$E$19+IF(parametros_manuales!$H$40="Todos",datos_base!$E$10+datos_base!$E$24,0))*parametros_manuales!$G$100+parametros_manuales!$F$40*(datos_base!$E$4+datos_base!$E$20+IF(parametros_manuales!$H$40="Todos",datos_base!$E$11+datos_base!$E$25,0))*parametros_manuales!$G$105+parametros_manuales!$G$40*(datos_base!$E$5+datos_base!$E$21+IF(parametros_manuales!$H$40="Todos",datos_base!$E$12+datos_base!$E$26,0))*parametros_manuales!$G$110)*parametros_manuales!$I$40*parametros_manuales!$J$40</f>
        <v>1253.4115370125</v>
      </c>
      <c r="H104" s="9" t="n">
        <f aca="false">(parametros_manuales!$D$40*(datos_base!$E$2+datos_base!$E$18+IF(parametros_manuales!$H$40="Todos",datos_base!$E$9+datos_base!$E$23,0))*parametros_manuales!$H$95+parametros_manuales!$E$40*(datos_base!$E$3+datos_base!$E$19+IF(parametros_manuales!$H$40="Todos",datos_base!$E$10+datos_base!$E$24,0))*parametros_manuales!$H$100+parametros_manuales!$F$40*(datos_base!$E$4+datos_base!$E$20+IF(parametros_manuales!$H$40="Todos",datos_base!$E$11+datos_base!$E$25,0))*parametros_manuales!$H$105+parametros_manuales!$G$40*(datos_base!$E$5+datos_base!$E$21+IF(parametros_manuales!$H$40="Todos",datos_base!$E$12+datos_base!$E$26,0))*parametros_manuales!$H$110)*parametros_manuales!$I$40*parametros_manuales!$J$40</f>
        <v>1339.794684663</v>
      </c>
      <c r="I104" s="9" t="n">
        <f aca="false">(parametros_manuales!$D$40*(datos_base!$E$2+datos_base!$E$18+IF(parametros_manuales!$H$40="Todos",datos_base!$E$9+datos_base!$E$23,0))*parametros_manuales!$I$95+parametros_manuales!$E$40*(datos_base!$E$3+datos_base!$E$19+IF(parametros_manuales!$H$40="Todos",datos_base!$E$10+datos_base!$E$24,0))*parametros_manuales!$I$100+parametros_manuales!$F$40*(datos_base!$E$4+datos_base!$E$20+IF(parametros_manuales!$H$40="Todos",datos_base!$E$11+datos_base!$E$25,0))*parametros_manuales!$I$105+parametros_manuales!$G$40*(datos_base!$E$5+datos_base!$E$21+IF(parametros_manuales!$H$40="Todos",datos_base!$E$12+datos_base!$E$26,0))*parametros_manuales!$I$110)*parametros_manuales!$I$40*parametros_manuales!$J$40</f>
        <v>1466.801717898</v>
      </c>
      <c r="J104" s="9" t="n">
        <f aca="false">(parametros_manuales!$D$40*(datos_base!$E$2+datos_base!$E$18+IF(parametros_manuales!$H$40="Todos",datos_base!$E$9+datos_base!$E$23,0))*parametros_manuales!$J$95+parametros_manuales!$E$40*(datos_base!$E$3+datos_base!$E$19+IF(parametros_manuales!$H$40="Todos",datos_base!$E$10+datos_base!$E$24,0))*parametros_manuales!$J$100+parametros_manuales!$F$40*(datos_base!$E$4+datos_base!$E$20+IF(parametros_manuales!$H$40="Todos",datos_base!$E$11+datos_base!$E$25,0))*parametros_manuales!$J$105+parametros_manuales!$G$40*(datos_base!$E$5+datos_base!$E$21+IF(parametros_manuales!$H$40="Todos",datos_base!$E$12+datos_base!$E$26,0))*parametros_manuales!$J$110)*parametros_manuales!$I$40*parametros_manuales!$J$40</f>
        <v>1466.801717898</v>
      </c>
      <c r="K104" s="9" t="n">
        <f aca="false">(parametros_manuales!$D$40*(datos_base!$E$2+datos_base!$E$18+IF(parametros_manuales!$H$40="Todos",datos_base!$E$9+datos_base!$E$23,0))*parametros_manuales!$K$95+parametros_manuales!$E$40*(datos_base!$E$3+datos_base!$E$19+IF(parametros_manuales!$H$40="Todos",datos_base!$E$10+datos_base!$E$24,0))*parametros_manuales!$K$100+parametros_manuales!$F$40*(datos_base!$E$4+datos_base!$E$20+IF(parametros_manuales!$H$40="Todos",datos_base!$E$11+datos_base!$E$25,0))*parametros_manuales!$K$105+parametros_manuales!$G$40*(datos_base!$E$5+datos_base!$E$21+IF(parametros_manuales!$H$40="Todos",datos_base!$E$12+datos_base!$E$26,0))*parametros_manuales!$K$110)*parametros_manuales!$I$40*parametros_manuales!$J$40</f>
        <v>1510.8491878035</v>
      </c>
      <c r="L104" s="9" t="n">
        <f aca="false">(parametros_manuales!$D$40*(datos_base!$E$2+datos_base!$E$18+IF(parametros_manuales!$H$40="Todos",datos_base!$E$9+datos_base!$E$23,0))*parametros_manuales!$L$95+parametros_manuales!$E$40*(datos_base!$E$3+datos_base!$E$19+IF(parametros_manuales!$H$40="Todos",datos_base!$E$10+datos_base!$E$24,0))*parametros_manuales!$L$100+parametros_manuales!$F$40*(datos_base!$E$4+datos_base!$E$20+IF(parametros_manuales!$H$40="Todos",datos_base!$E$11+datos_base!$E$25,0))*parametros_manuales!$L$105+parametros_manuales!$G$40*(datos_base!$E$5+datos_base!$E$21+IF(parametros_manuales!$H$40="Todos",datos_base!$E$12+datos_base!$E$26,0))*parametros_manuales!$L$110)*parametros_manuales!$I$40*parametros_manuales!$J$40</f>
        <v>1554.896657709</v>
      </c>
      <c r="M104" s="9" t="n">
        <f aca="false">(parametros_manuales!$D$40*(datos_base!$E$2+datos_base!$E$18+IF(parametros_manuales!$H$40="Todos",datos_base!$E$9+datos_base!$E$23,0))*parametros_manuales!$M$95+parametros_manuales!$E$40*(datos_base!$E$3+datos_base!$E$19+IF(parametros_manuales!$H$40="Todos",datos_base!$E$10+datos_base!$E$24,0))*parametros_manuales!$M$100+parametros_manuales!$F$40*(datos_base!$E$4+datos_base!$E$20+IF(parametros_manuales!$H$40="Todos",datos_base!$E$11+datos_base!$E$25,0))*parametros_manuales!$M$105+parametros_manuales!$G$40*(datos_base!$E$5+datos_base!$E$21+IF(parametros_manuales!$H$40="Todos",datos_base!$E$12+datos_base!$E$26,0))*parametros_manuales!$M$110)*parametros_manuales!$I$40*parametros_manuales!$J$40</f>
        <v>1554.896657709</v>
      </c>
      <c r="N104" s="9" t="n">
        <f aca="false">SUM(B104:M104)</f>
        <v>17276.6295301</v>
      </c>
      <c r="O104" s="9" t="n">
        <f aca="false">MAX(B104:M104)</f>
        <v>1554.896657709</v>
      </c>
      <c r="P104" s="43" t="n">
        <f aca="false">O104/(parametros_manuales!$B$7)</f>
        <v>10.36597771806</v>
      </c>
      <c r="Q104" s="8" t="str">
        <f aca="false">IF(O104=0,"-",INDEX($B$82:$M$82,MATCH(O104,B104:M104,0)))</f>
        <v>Ene</v>
      </c>
    </row>
    <row r="105" customFormat="false" ht="14.25" hidden="false" customHeight="true" outlineLevel="0" collapsed="false">
      <c r="A105" s="8" t="str">
        <f aca="false">parametros_manuales!$B$41</f>
        <v>Control de calidad — Ensayo de pérdidas</v>
      </c>
      <c r="B105" s="9" t="n">
        <f aca="false">(parametros_manuales!$D$41*(datos_base!$E$2+datos_base!$E$18+IF(parametros_manuales!$H$41="Todos",datos_base!$E$9+datos_base!$E$23,0))*parametros_manuales!$B$95+parametros_manuales!$E$41*(datos_base!$E$3+datos_base!$E$19+IF(parametros_manuales!$H$41="Todos",datos_base!$E$10+datos_base!$E$24,0))*parametros_manuales!$B$100+parametros_manuales!$F$41*(datos_base!$E$4+datos_base!$E$20+IF(parametros_manuales!$H$41="Todos",datos_base!$E$11+datos_base!$E$25,0))*parametros_manuales!$B$105+parametros_manuales!$G$41*(datos_base!$E$5+datos_base!$E$21+IF(parametros_manuales!$H$41="Todos",datos_base!$E$12+datos_base!$E$26,0))*parametros_manuales!$B$110)*parametros_manuales!$I$41*parametros_manuales!$J$41</f>
        <v>1554.896657709</v>
      </c>
      <c r="C105" s="9" t="n">
        <f aca="false">(parametros_manuales!$D$41*(datos_base!$E$2+datos_base!$E$18+IF(parametros_manuales!$H$41="Todos",datos_base!$E$9+datos_base!$E$23,0))*parametros_manuales!$C$95+parametros_manuales!$E$41*(datos_base!$E$3+datos_base!$E$19+IF(parametros_manuales!$H$41="Todos",datos_base!$E$10+datos_base!$E$24,0))*parametros_manuales!$C$100+parametros_manuales!$F$41*(datos_base!$E$4+datos_base!$E$20+IF(parametros_manuales!$H$41="Todos",datos_base!$E$11+datos_base!$E$25,0))*parametros_manuales!$C$105+parametros_manuales!$G$41*(datos_base!$E$5+datos_base!$E$21+IF(parametros_manuales!$H$41="Todos",datos_base!$E$12+datos_base!$E$26,0))*parametros_manuales!$C$110)*parametros_manuales!$I$41*parametros_manuales!$J$41</f>
        <v>1466.801717898</v>
      </c>
      <c r="D105" s="9" t="n">
        <f aca="false">(parametros_manuales!$D$41*(datos_base!$E$2+datos_base!$E$18+IF(parametros_manuales!$H$41="Todos",datos_base!$E$9+datos_base!$E$23,0))*parametros_manuales!$D$95+parametros_manuales!$E$41*(datos_base!$E$3+datos_base!$E$19+IF(parametros_manuales!$H$41="Todos",datos_base!$E$10+datos_base!$E$24,0))*parametros_manuales!$D$100+parametros_manuales!$F$41*(datos_base!$E$4+datos_base!$E$20+IF(parametros_manuales!$H$41="Todos",datos_base!$E$11+datos_base!$E$25,0))*parametros_manuales!$D$105+parametros_manuales!$G$41*(datos_base!$E$5+datos_base!$E$21+IF(parametros_manuales!$H$41="Todos",datos_base!$E$12+datos_base!$E$26,0))*parametros_manuales!$D$110)*parametros_manuales!$I$41*parametros_manuales!$J$41</f>
        <v>1426.1778323135</v>
      </c>
      <c r="E105" s="9" t="n">
        <f aca="false">(parametros_manuales!$D$41*(datos_base!$E$2+datos_base!$E$18+IF(parametros_manuales!$H$41="Todos",datos_base!$E$9+datos_base!$E$23,0))*parametros_manuales!$E$95+parametros_manuales!$E$41*(datos_base!$E$3+datos_base!$E$19+IF(parametros_manuales!$H$41="Todos",datos_base!$E$10+datos_base!$E$24,0))*parametros_manuales!$E$100+parametros_manuales!$F$41*(datos_base!$E$4+datos_base!$E$20+IF(parametros_manuales!$H$41="Todos",datos_base!$E$11+datos_base!$E$25,0))*parametros_manuales!$E$105+parametros_manuales!$G$41*(datos_base!$E$5+datos_base!$E$21+IF(parametros_manuales!$H$41="Todos",datos_base!$E$12+datos_base!$E$26,0))*parametros_manuales!$E$110)*parametros_manuales!$I$41*parametros_manuales!$J$41</f>
        <v>1383.8421545685</v>
      </c>
      <c r="F105" s="9" t="n">
        <f aca="false">(parametros_manuales!$D$41*(datos_base!$E$2+datos_base!$E$18+IF(parametros_manuales!$H$41="Todos",datos_base!$E$9+datos_base!$E$23,0))*parametros_manuales!$F$95+parametros_manuales!$E$41*(datos_base!$E$3+datos_base!$E$19+IF(parametros_manuales!$H$41="Todos",datos_base!$E$10+datos_base!$E$24,0))*parametros_manuales!$F$100+parametros_manuales!$F$41*(datos_base!$E$4+datos_base!$E$20+IF(parametros_manuales!$H$41="Todos",datos_base!$E$11+datos_base!$E$25,0))*parametros_manuales!$F$105+parametros_manuales!$G$41*(datos_base!$E$5+datos_base!$E$21+IF(parametros_manuales!$H$41="Todos",datos_base!$E$12+datos_base!$E$26,0))*parametros_manuales!$F$110)*parametros_manuales!$I$41*parametros_manuales!$J$41</f>
        <v>1297.459006918</v>
      </c>
      <c r="G105" s="9" t="n">
        <f aca="false">(parametros_manuales!$D$41*(datos_base!$E$2+datos_base!$E$18+IF(parametros_manuales!$H$41="Todos",datos_base!$E$9+datos_base!$E$23,0))*parametros_manuales!$G$95+parametros_manuales!$E$41*(datos_base!$E$3+datos_base!$E$19+IF(parametros_manuales!$H$41="Todos",datos_base!$E$10+datos_base!$E$24,0))*parametros_manuales!$G$100+parametros_manuales!$F$41*(datos_base!$E$4+datos_base!$E$20+IF(parametros_manuales!$H$41="Todos",datos_base!$E$11+datos_base!$E$25,0))*parametros_manuales!$G$105+parametros_manuales!$G$41*(datos_base!$E$5+datos_base!$E$21+IF(parametros_manuales!$H$41="Todos",datos_base!$E$12+datos_base!$E$26,0))*parametros_manuales!$G$110)*parametros_manuales!$I$41*parametros_manuales!$J$41</f>
        <v>1253.4115370125</v>
      </c>
      <c r="H105" s="9" t="n">
        <f aca="false">(parametros_manuales!$D$41*(datos_base!$E$2+datos_base!$E$18+IF(parametros_manuales!$H$41="Todos",datos_base!$E$9+datos_base!$E$23,0))*parametros_manuales!$H$95+parametros_manuales!$E$41*(datos_base!$E$3+datos_base!$E$19+IF(parametros_manuales!$H$41="Todos",datos_base!$E$10+datos_base!$E$24,0))*parametros_manuales!$H$100+parametros_manuales!$F$41*(datos_base!$E$4+datos_base!$E$20+IF(parametros_manuales!$H$41="Todos",datos_base!$E$11+datos_base!$E$25,0))*parametros_manuales!$H$105+parametros_manuales!$G$41*(datos_base!$E$5+datos_base!$E$21+IF(parametros_manuales!$H$41="Todos",datos_base!$E$12+datos_base!$E$26,0))*parametros_manuales!$H$110)*parametros_manuales!$I$41*parametros_manuales!$J$41</f>
        <v>1339.794684663</v>
      </c>
      <c r="I105" s="9" t="n">
        <f aca="false">(parametros_manuales!$D$41*(datos_base!$E$2+datos_base!$E$18+IF(parametros_manuales!$H$41="Todos",datos_base!$E$9+datos_base!$E$23,0))*parametros_manuales!$I$95+parametros_manuales!$E$41*(datos_base!$E$3+datos_base!$E$19+IF(parametros_manuales!$H$41="Todos",datos_base!$E$10+datos_base!$E$24,0))*parametros_manuales!$I$100+parametros_manuales!$F$41*(datos_base!$E$4+datos_base!$E$20+IF(parametros_manuales!$H$41="Todos",datos_base!$E$11+datos_base!$E$25,0))*parametros_manuales!$I$105+parametros_manuales!$G$41*(datos_base!$E$5+datos_base!$E$21+IF(parametros_manuales!$H$41="Todos",datos_base!$E$12+datos_base!$E$26,0))*parametros_manuales!$I$110)*parametros_manuales!$I$41*parametros_manuales!$J$41</f>
        <v>1466.801717898</v>
      </c>
      <c r="J105" s="9" t="n">
        <f aca="false">(parametros_manuales!$D$41*(datos_base!$E$2+datos_base!$E$18+IF(parametros_manuales!$H$41="Todos",datos_base!$E$9+datos_base!$E$23,0))*parametros_manuales!$J$95+parametros_manuales!$E$41*(datos_base!$E$3+datos_base!$E$19+IF(parametros_manuales!$H$41="Todos",datos_base!$E$10+datos_base!$E$24,0))*parametros_manuales!$J$100+parametros_manuales!$F$41*(datos_base!$E$4+datos_base!$E$20+IF(parametros_manuales!$H$41="Todos",datos_base!$E$11+datos_base!$E$25,0))*parametros_manuales!$J$105+parametros_manuales!$G$41*(datos_base!$E$5+datos_base!$E$21+IF(parametros_manuales!$H$41="Todos",datos_base!$E$12+datos_base!$E$26,0))*parametros_manuales!$J$110)*parametros_manuales!$I$41*parametros_manuales!$J$41</f>
        <v>1466.801717898</v>
      </c>
      <c r="K105" s="9" t="n">
        <f aca="false">(parametros_manuales!$D$41*(datos_base!$E$2+datos_base!$E$18+IF(parametros_manuales!$H$41="Todos",datos_base!$E$9+datos_base!$E$23,0))*parametros_manuales!$K$95+parametros_manuales!$E$41*(datos_base!$E$3+datos_base!$E$19+IF(parametros_manuales!$H$41="Todos",datos_base!$E$10+datos_base!$E$24,0))*parametros_manuales!$K$100+parametros_manuales!$F$41*(datos_base!$E$4+datos_base!$E$20+IF(parametros_manuales!$H$41="Todos",datos_base!$E$11+datos_base!$E$25,0))*parametros_manuales!$K$105+parametros_manuales!$G$41*(datos_base!$E$5+datos_base!$E$21+IF(parametros_manuales!$H$41="Todos",datos_base!$E$12+datos_base!$E$26,0))*parametros_manuales!$K$110)*parametros_manuales!$I$41*parametros_manuales!$J$41</f>
        <v>1510.8491878035</v>
      </c>
      <c r="L105" s="9" t="n">
        <f aca="false">(parametros_manuales!$D$41*(datos_base!$E$2+datos_base!$E$18+IF(parametros_manuales!$H$41="Todos",datos_base!$E$9+datos_base!$E$23,0))*parametros_manuales!$L$95+parametros_manuales!$E$41*(datos_base!$E$3+datos_base!$E$19+IF(parametros_manuales!$H$41="Todos",datos_base!$E$10+datos_base!$E$24,0))*parametros_manuales!$L$100+parametros_manuales!$F$41*(datos_base!$E$4+datos_base!$E$20+IF(parametros_manuales!$H$41="Todos",datos_base!$E$11+datos_base!$E$25,0))*parametros_manuales!$L$105+parametros_manuales!$G$41*(datos_base!$E$5+datos_base!$E$21+IF(parametros_manuales!$H$41="Todos",datos_base!$E$12+datos_base!$E$26,0))*parametros_manuales!$L$110)*parametros_manuales!$I$41*parametros_manuales!$J$41</f>
        <v>1554.896657709</v>
      </c>
      <c r="M105" s="9" t="n">
        <f aca="false">(parametros_manuales!$D$41*(datos_base!$E$2+datos_base!$E$18+IF(parametros_manuales!$H$41="Todos",datos_base!$E$9+datos_base!$E$23,0))*parametros_manuales!$M$95+parametros_manuales!$E$41*(datos_base!$E$3+datos_base!$E$19+IF(parametros_manuales!$H$41="Todos",datos_base!$E$10+datos_base!$E$24,0))*parametros_manuales!$M$100+parametros_manuales!$F$41*(datos_base!$E$4+datos_base!$E$20+IF(parametros_manuales!$H$41="Todos",datos_base!$E$11+datos_base!$E$25,0))*parametros_manuales!$M$105+parametros_manuales!$G$41*(datos_base!$E$5+datos_base!$E$21+IF(parametros_manuales!$H$41="Todos",datos_base!$E$12+datos_base!$E$26,0))*parametros_manuales!$M$110)*parametros_manuales!$I$41*parametros_manuales!$J$41</f>
        <v>1554.896657709</v>
      </c>
      <c r="N105" s="9" t="n">
        <f aca="false">SUM(B105:M105)</f>
        <v>17276.6295301</v>
      </c>
      <c r="O105" s="9" t="n">
        <f aca="false">MAX(B105:M105)</f>
        <v>1554.896657709</v>
      </c>
      <c r="P105" s="43" t="n">
        <f aca="false">O105/(parametros_manuales!$B$7)</f>
        <v>10.36597771806</v>
      </c>
      <c r="Q105" s="8" t="str">
        <f aca="false">IF(O105=0,"-",INDEX($B$82:$M$82,MATCH(O105,B105:M105,0)))</f>
        <v>Ene</v>
      </c>
    </row>
    <row r="106" customFormat="false" ht="14.25" hidden="false" customHeight="true" outlineLevel="0" collapsed="false">
      <c r="A106" s="8" t="str">
        <f aca="false">parametros_manuales!$B$42</f>
        <v>Etiquetado</v>
      </c>
      <c r="B106" s="9" t="n">
        <f aca="false">(parametros_manuales!$D$42*(datos_base!$E$2+datos_base!$E$18+IF(parametros_manuales!$H$42="Todos",datos_base!$E$9+datos_base!$E$23,0))*parametros_manuales!$B$95+parametros_manuales!$E$42*(datos_base!$E$3+datos_base!$E$19+IF(parametros_manuales!$H$42="Todos",datos_base!$E$10+datos_base!$E$24,0))*parametros_manuales!$B$100+parametros_manuales!$F$42*(datos_base!$E$4+datos_base!$E$20+IF(parametros_manuales!$H$42="Todos",datos_base!$E$11+datos_base!$E$25,0))*parametros_manuales!$B$105+parametros_manuales!$G$42*(datos_base!$E$5+datos_base!$E$21+IF(parametros_manuales!$H$42="Todos",datos_base!$E$12+datos_base!$E$26,0))*parametros_manuales!$B$110)*parametros_manuales!$I$42*parametros_manuales!$J$42</f>
        <v>1554.896657709</v>
      </c>
      <c r="C106" s="9" t="n">
        <f aca="false">(parametros_manuales!$D$42*(datos_base!$E$2+datos_base!$E$18+IF(parametros_manuales!$H$42="Todos",datos_base!$E$9+datos_base!$E$23,0))*parametros_manuales!$C$95+parametros_manuales!$E$42*(datos_base!$E$3+datos_base!$E$19+IF(parametros_manuales!$H$42="Todos",datos_base!$E$10+datos_base!$E$24,0))*parametros_manuales!$C$100+parametros_manuales!$F$42*(datos_base!$E$4+datos_base!$E$20+IF(parametros_manuales!$H$42="Todos",datos_base!$E$11+datos_base!$E$25,0))*parametros_manuales!$C$105+parametros_manuales!$G$42*(datos_base!$E$5+datos_base!$E$21+IF(parametros_manuales!$H$42="Todos",datos_base!$E$12+datos_base!$E$26,0))*parametros_manuales!$C$110)*parametros_manuales!$I$42*parametros_manuales!$J$42</f>
        <v>1466.801717898</v>
      </c>
      <c r="D106" s="9" t="n">
        <f aca="false">(parametros_manuales!$D$42*(datos_base!$E$2+datos_base!$E$18+IF(parametros_manuales!$H$42="Todos",datos_base!$E$9+datos_base!$E$23,0))*parametros_manuales!$D$95+parametros_manuales!$E$42*(datos_base!$E$3+datos_base!$E$19+IF(parametros_manuales!$H$42="Todos",datos_base!$E$10+datos_base!$E$24,0))*parametros_manuales!$D$100+parametros_manuales!$F$42*(datos_base!$E$4+datos_base!$E$20+IF(parametros_manuales!$H$42="Todos",datos_base!$E$11+datos_base!$E$25,0))*parametros_manuales!$D$105+parametros_manuales!$G$42*(datos_base!$E$5+datos_base!$E$21+IF(parametros_manuales!$H$42="Todos",datos_base!$E$12+datos_base!$E$26,0))*parametros_manuales!$D$110)*parametros_manuales!$I$42*parametros_manuales!$J$42</f>
        <v>1426.1778323135</v>
      </c>
      <c r="E106" s="9" t="n">
        <f aca="false">(parametros_manuales!$D$42*(datos_base!$E$2+datos_base!$E$18+IF(parametros_manuales!$H$42="Todos",datos_base!$E$9+datos_base!$E$23,0))*parametros_manuales!$E$95+parametros_manuales!$E$42*(datos_base!$E$3+datos_base!$E$19+IF(parametros_manuales!$H$42="Todos",datos_base!$E$10+datos_base!$E$24,0))*parametros_manuales!$E$100+parametros_manuales!$F$42*(datos_base!$E$4+datos_base!$E$20+IF(parametros_manuales!$H$42="Todos",datos_base!$E$11+datos_base!$E$25,0))*parametros_manuales!$E$105+parametros_manuales!$G$42*(datos_base!$E$5+datos_base!$E$21+IF(parametros_manuales!$H$42="Todos",datos_base!$E$12+datos_base!$E$26,0))*parametros_manuales!$E$110)*parametros_manuales!$I$42*parametros_manuales!$J$42</f>
        <v>1383.8421545685</v>
      </c>
      <c r="F106" s="9" t="n">
        <f aca="false">(parametros_manuales!$D$42*(datos_base!$E$2+datos_base!$E$18+IF(parametros_manuales!$H$42="Todos",datos_base!$E$9+datos_base!$E$23,0))*parametros_manuales!$F$95+parametros_manuales!$E$42*(datos_base!$E$3+datos_base!$E$19+IF(parametros_manuales!$H$42="Todos",datos_base!$E$10+datos_base!$E$24,0))*parametros_manuales!$F$100+parametros_manuales!$F$42*(datos_base!$E$4+datos_base!$E$20+IF(parametros_manuales!$H$42="Todos",datos_base!$E$11+datos_base!$E$25,0))*parametros_manuales!$F$105+parametros_manuales!$G$42*(datos_base!$E$5+datos_base!$E$21+IF(parametros_manuales!$H$42="Todos",datos_base!$E$12+datos_base!$E$26,0))*parametros_manuales!$F$110)*parametros_manuales!$I$42*parametros_manuales!$J$42</f>
        <v>1297.459006918</v>
      </c>
      <c r="G106" s="9" t="n">
        <f aca="false">(parametros_manuales!$D$42*(datos_base!$E$2+datos_base!$E$18+IF(parametros_manuales!$H$42="Todos",datos_base!$E$9+datos_base!$E$23,0))*parametros_manuales!$G$95+parametros_manuales!$E$42*(datos_base!$E$3+datos_base!$E$19+IF(parametros_manuales!$H$42="Todos",datos_base!$E$10+datos_base!$E$24,0))*parametros_manuales!$G$100+parametros_manuales!$F$42*(datos_base!$E$4+datos_base!$E$20+IF(parametros_manuales!$H$42="Todos",datos_base!$E$11+datos_base!$E$25,0))*parametros_manuales!$G$105+parametros_manuales!$G$42*(datos_base!$E$5+datos_base!$E$21+IF(parametros_manuales!$H$42="Todos",datos_base!$E$12+datos_base!$E$26,0))*parametros_manuales!$G$110)*parametros_manuales!$I$42*parametros_manuales!$J$42</f>
        <v>1253.4115370125</v>
      </c>
      <c r="H106" s="9" t="n">
        <f aca="false">(parametros_manuales!$D$42*(datos_base!$E$2+datos_base!$E$18+IF(parametros_manuales!$H$42="Todos",datos_base!$E$9+datos_base!$E$23,0))*parametros_manuales!$H$95+parametros_manuales!$E$42*(datos_base!$E$3+datos_base!$E$19+IF(parametros_manuales!$H$42="Todos",datos_base!$E$10+datos_base!$E$24,0))*parametros_manuales!$H$100+parametros_manuales!$F$42*(datos_base!$E$4+datos_base!$E$20+IF(parametros_manuales!$H$42="Todos",datos_base!$E$11+datos_base!$E$25,0))*parametros_manuales!$H$105+parametros_manuales!$G$42*(datos_base!$E$5+datos_base!$E$21+IF(parametros_manuales!$H$42="Todos",datos_base!$E$12+datos_base!$E$26,0))*parametros_manuales!$H$110)*parametros_manuales!$I$42*parametros_manuales!$J$42</f>
        <v>1339.794684663</v>
      </c>
      <c r="I106" s="9" t="n">
        <f aca="false">(parametros_manuales!$D$42*(datos_base!$E$2+datos_base!$E$18+IF(parametros_manuales!$H$42="Todos",datos_base!$E$9+datos_base!$E$23,0))*parametros_manuales!$I$95+parametros_manuales!$E$42*(datos_base!$E$3+datos_base!$E$19+IF(parametros_manuales!$H$42="Todos",datos_base!$E$10+datos_base!$E$24,0))*parametros_manuales!$I$100+parametros_manuales!$F$42*(datos_base!$E$4+datos_base!$E$20+IF(parametros_manuales!$H$42="Todos",datos_base!$E$11+datos_base!$E$25,0))*parametros_manuales!$I$105+parametros_manuales!$G$42*(datos_base!$E$5+datos_base!$E$21+IF(parametros_manuales!$H$42="Todos",datos_base!$E$12+datos_base!$E$26,0))*parametros_manuales!$I$110)*parametros_manuales!$I$42*parametros_manuales!$J$42</f>
        <v>1466.801717898</v>
      </c>
      <c r="J106" s="9" t="n">
        <f aca="false">(parametros_manuales!$D$42*(datos_base!$E$2+datos_base!$E$18+IF(parametros_manuales!$H$42="Todos",datos_base!$E$9+datos_base!$E$23,0))*parametros_manuales!$J$95+parametros_manuales!$E$42*(datos_base!$E$3+datos_base!$E$19+IF(parametros_manuales!$H$42="Todos",datos_base!$E$10+datos_base!$E$24,0))*parametros_manuales!$J$100+parametros_manuales!$F$42*(datos_base!$E$4+datos_base!$E$20+IF(parametros_manuales!$H$42="Todos",datos_base!$E$11+datos_base!$E$25,0))*parametros_manuales!$J$105+parametros_manuales!$G$42*(datos_base!$E$5+datos_base!$E$21+IF(parametros_manuales!$H$42="Todos",datos_base!$E$12+datos_base!$E$26,0))*parametros_manuales!$J$110)*parametros_manuales!$I$42*parametros_manuales!$J$42</f>
        <v>1466.801717898</v>
      </c>
      <c r="K106" s="9" t="n">
        <f aca="false">(parametros_manuales!$D$42*(datos_base!$E$2+datos_base!$E$18+IF(parametros_manuales!$H$42="Todos",datos_base!$E$9+datos_base!$E$23,0))*parametros_manuales!$K$95+parametros_manuales!$E$42*(datos_base!$E$3+datos_base!$E$19+IF(parametros_manuales!$H$42="Todos",datos_base!$E$10+datos_base!$E$24,0))*parametros_manuales!$K$100+parametros_manuales!$F$42*(datos_base!$E$4+datos_base!$E$20+IF(parametros_manuales!$H$42="Todos",datos_base!$E$11+datos_base!$E$25,0))*parametros_manuales!$K$105+parametros_manuales!$G$42*(datos_base!$E$5+datos_base!$E$21+IF(parametros_manuales!$H$42="Todos",datos_base!$E$12+datos_base!$E$26,0))*parametros_manuales!$K$110)*parametros_manuales!$I$42*parametros_manuales!$J$42</f>
        <v>1510.8491878035</v>
      </c>
      <c r="L106" s="9" t="n">
        <f aca="false">(parametros_manuales!$D$42*(datos_base!$E$2+datos_base!$E$18+IF(parametros_manuales!$H$42="Todos",datos_base!$E$9+datos_base!$E$23,0))*parametros_manuales!$L$95+parametros_manuales!$E$42*(datos_base!$E$3+datos_base!$E$19+IF(parametros_manuales!$H$42="Todos",datos_base!$E$10+datos_base!$E$24,0))*parametros_manuales!$L$100+parametros_manuales!$F$42*(datos_base!$E$4+datos_base!$E$20+IF(parametros_manuales!$H$42="Todos",datos_base!$E$11+datos_base!$E$25,0))*parametros_manuales!$L$105+parametros_manuales!$G$42*(datos_base!$E$5+datos_base!$E$21+IF(parametros_manuales!$H$42="Todos",datos_base!$E$12+datos_base!$E$26,0))*parametros_manuales!$L$110)*parametros_manuales!$I$42*parametros_manuales!$J$42</f>
        <v>1554.896657709</v>
      </c>
      <c r="M106" s="9" t="n">
        <f aca="false">(parametros_manuales!$D$42*(datos_base!$E$2+datos_base!$E$18+IF(parametros_manuales!$H$42="Todos",datos_base!$E$9+datos_base!$E$23,0))*parametros_manuales!$M$95+parametros_manuales!$E$42*(datos_base!$E$3+datos_base!$E$19+IF(parametros_manuales!$H$42="Todos",datos_base!$E$10+datos_base!$E$24,0))*parametros_manuales!$M$100+parametros_manuales!$F$42*(datos_base!$E$4+datos_base!$E$20+IF(parametros_manuales!$H$42="Todos",datos_base!$E$11+datos_base!$E$25,0))*parametros_manuales!$M$105+parametros_manuales!$G$42*(datos_base!$E$5+datos_base!$E$21+IF(parametros_manuales!$H$42="Todos",datos_base!$E$12+datos_base!$E$26,0))*parametros_manuales!$M$110)*parametros_manuales!$I$42*parametros_manuales!$J$42</f>
        <v>1554.896657709</v>
      </c>
      <c r="N106" s="9" t="n">
        <f aca="false">SUM(B106:M106)</f>
        <v>17276.6295301</v>
      </c>
      <c r="O106" s="9" t="n">
        <f aca="false">MAX(B106:M106)</f>
        <v>1554.896657709</v>
      </c>
      <c r="P106" s="43" t="n">
        <f aca="false">O106/(parametros_manuales!$B$7)</f>
        <v>10.36597771806</v>
      </c>
      <c r="Q106" s="8" t="str">
        <f aca="false">IF(O106=0,"-",INDEX($B$82:$M$82,MATCH(O106,B106:M106,0)))</f>
        <v>Ene</v>
      </c>
    </row>
    <row r="107" customFormat="false" ht="14.25" hidden="false" customHeight="true" outlineLevel="0" collapsed="false">
      <c r="A107" s="8" t="str">
        <f aca="false">parametros_manuales!$B$43</f>
        <v>Embalaje y paletizado</v>
      </c>
      <c r="B107" s="9" t="n">
        <f aca="false">(parametros_manuales!$D$43*(datos_base!$E$2+datos_base!$E$18+IF(parametros_manuales!$H$43="Todos",datos_base!$E$9+datos_base!$E$23,0))*parametros_manuales!$B$95+parametros_manuales!$E$43*(datos_base!$E$3+datos_base!$E$19+IF(parametros_manuales!$H$43="Todos",datos_base!$E$10+datos_base!$E$24,0))*parametros_manuales!$B$100+parametros_manuales!$F$43*(datos_base!$E$4+datos_base!$E$20+IF(parametros_manuales!$H$43="Todos",datos_base!$E$11+datos_base!$E$25,0))*parametros_manuales!$B$105+parametros_manuales!$G$43*(datos_base!$E$5+datos_base!$E$21+IF(parametros_manuales!$H$43="Todos",datos_base!$E$12+datos_base!$E$26,0))*parametros_manuales!$B$110)*parametros_manuales!$I$43*parametros_manuales!$J$43</f>
        <v>4564.604657709</v>
      </c>
      <c r="C107" s="9" t="n">
        <f aca="false">(parametros_manuales!$D$43*(datos_base!$E$2+datos_base!$E$18+IF(parametros_manuales!$H$43="Todos",datos_base!$E$9+datos_base!$E$23,0))*parametros_manuales!$C$95+parametros_manuales!$E$43*(datos_base!$E$3+datos_base!$E$19+IF(parametros_manuales!$H$43="Todos",datos_base!$E$10+datos_base!$E$24,0))*parametros_manuales!$C$100+parametros_manuales!$F$43*(datos_base!$E$4+datos_base!$E$20+IF(parametros_manuales!$H$43="Todos",datos_base!$E$11+datos_base!$E$25,0))*parametros_manuales!$C$105+parametros_manuales!$G$43*(datos_base!$E$5+datos_base!$E$21+IF(parametros_manuales!$H$43="Todos",datos_base!$E$12+datos_base!$E$26,0))*parametros_manuales!$C$110)*parametros_manuales!$I$43*parametros_manuales!$J$43</f>
        <v>4409.045717898</v>
      </c>
      <c r="D107" s="9" t="n">
        <f aca="false">(parametros_manuales!$D$43*(datos_base!$E$2+datos_base!$E$18+IF(parametros_manuales!$H$43="Todos",datos_base!$E$9+datos_base!$E$23,0))*parametros_manuales!$D$95+parametros_manuales!$E$43*(datos_base!$E$3+datos_base!$E$19+IF(parametros_manuales!$H$43="Todos",datos_base!$E$10+datos_base!$E$24,0))*parametros_manuales!$D$100+parametros_manuales!$F$43*(datos_base!$E$4+datos_base!$E$20+IF(parametros_manuales!$H$43="Todos",datos_base!$E$11+datos_base!$E$25,0))*parametros_manuales!$D$105+parametros_manuales!$G$43*(datos_base!$E$5+datos_base!$E$21+IF(parametros_manuales!$H$43="Todos",datos_base!$E$12+datos_base!$E$26,0))*parametros_manuales!$D$110)*parametros_manuales!$I$43*parametros_manuales!$J$43</f>
        <v>4135.2058323135</v>
      </c>
      <c r="E107" s="9" t="n">
        <f aca="false">(parametros_manuales!$D$43*(datos_base!$E$2+datos_base!$E$18+IF(parametros_manuales!$H$43="Todos",datos_base!$E$9+datos_base!$E$23,0))*parametros_manuales!$E$95+parametros_manuales!$E$43*(datos_base!$E$3+datos_base!$E$19+IF(parametros_manuales!$H$43="Todos",datos_base!$E$10+datos_base!$E$24,0))*parametros_manuales!$E$100+parametros_manuales!$F$43*(datos_base!$E$4+datos_base!$E$20+IF(parametros_manuales!$H$43="Todos",datos_base!$E$11+datos_base!$E$25,0))*parametros_manuales!$E$105+parametros_manuales!$G$43*(datos_base!$E$5+datos_base!$E$21+IF(parametros_manuales!$H$43="Todos",datos_base!$E$12+datos_base!$E$26,0))*parametros_manuales!$E$110)*parametros_manuales!$I$43*parametros_manuales!$J$43</f>
        <v>3959.3961545685</v>
      </c>
      <c r="F107" s="9" t="n">
        <f aca="false">(parametros_manuales!$D$43*(datos_base!$E$2+datos_base!$E$18+IF(parametros_manuales!$H$43="Todos",datos_base!$E$9+datos_base!$E$23,0))*parametros_manuales!$F$95+parametros_manuales!$E$43*(datos_base!$E$3+datos_base!$E$19+IF(parametros_manuales!$H$43="Todos",datos_base!$E$10+datos_base!$E$24,0))*parametros_manuales!$F$100+parametros_manuales!$F$43*(datos_base!$E$4+datos_base!$E$20+IF(parametros_manuales!$H$43="Todos",datos_base!$E$11+datos_base!$E$25,0))*parametros_manuales!$F$105+parametros_manuales!$G$43*(datos_base!$E$5+datos_base!$E$21+IF(parametros_manuales!$H$43="Todos",datos_base!$E$12+datos_base!$E$26,0))*parametros_manuales!$F$110)*parametros_manuales!$I$43*parametros_manuales!$J$43</f>
        <v>3705.807006918</v>
      </c>
      <c r="G107" s="9" t="n">
        <f aca="false">(parametros_manuales!$D$43*(datos_base!$E$2+datos_base!$E$18+IF(parametros_manuales!$H$43="Todos",datos_base!$E$9+datos_base!$E$23,0))*parametros_manuales!$G$95+parametros_manuales!$E$43*(datos_base!$E$3+datos_base!$E$19+IF(parametros_manuales!$H$43="Todos",datos_base!$E$10+datos_base!$E$24,0))*parametros_manuales!$G$100+parametros_manuales!$F$43*(datos_base!$E$4+datos_base!$E$20+IF(parametros_manuales!$H$43="Todos",datos_base!$E$11+datos_base!$E$25,0))*parametros_manuales!$G$105+parametros_manuales!$G$43*(datos_base!$E$5+datos_base!$E$21+IF(parametros_manuales!$H$43="Todos",datos_base!$E$12+datos_base!$E$26,0))*parametros_manuales!$G$110)*parametros_manuales!$I$43*parametros_manuales!$J$43</f>
        <v>3628.0275370125</v>
      </c>
      <c r="H107" s="9" t="n">
        <f aca="false">(parametros_manuales!$D$43*(datos_base!$E$2+datos_base!$E$18+IF(parametros_manuales!$H$43="Todos",datos_base!$E$9+datos_base!$E$23,0))*parametros_manuales!$H$95+parametros_manuales!$E$43*(datos_base!$E$3+datos_base!$E$19+IF(parametros_manuales!$H$43="Todos",datos_base!$E$10+datos_base!$E$24,0))*parametros_manuales!$H$100+parametros_manuales!$F$43*(datos_base!$E$4+datos_base!$E$20+IF(parametros_manuales!$H$43="Todos",datos_base!$E$11+datos_base!$E$25,0))*parametros_manuales!$H$105+parametros_manuales!$G$43*(datos_base!$E$5+datos_base!$E$21+IF(parametros_manuales!$H$43="Todos",datos_base!$E$12+datos_base!$E$26,0))*parametros_manuales!$H$110)*parametros_manuales!$I$43*parametros_manuales!$J$43</f>
        <v>3881.616684663</v>
      </c>
      <c r="I107" s="9" t="n">
        <f aca="false">(parametros_manuales!$D$43*(datos_base!$E$2+datos_base!$E$18+IF(parametros_manuales!$H$43="Todos",datos_base!$E$9+datos_base!$E$23,0))*parametros_manuales!$I$95+parametros_manuales!$E$43*(datos_base!$E$3+datos_base!$E$19+IF(parametros_manuales!$H$43="Todos",datos_base!$E$10+datos_base!$E$24,0))*parametros_manuales!$I$100+parametros_manuales!$F$43*(datos_base!$E$4+datos_base!$E$20+IF(parametros_manuales!$H$43="Todos",datos_base!$E$11+datos_base!$E$25,0))*parametros_manuales!$I$105+parametros_manuales!$G$43*(datos_base!$E$5+datos_base!$E$21+IF(parametros_manuales!$H$43="Todos",datos_base!$E$12+datos_base!$E$26,0))*parametros_manuales!$I$110)*parametros_manuales!$I$43*parametros_manuales!$J$43</f>
        <v>4409.045717898</v>
      </c>
      <c r="J107" s="9" t="n">
        <f aca="false">(parametros_manuales!$D$43*(datos_base!$E$2+datos_base!$E$18+IF(parametros_manuales!$H$43="Todos",datos_base!$E$9+datos_base!$E$23,0))*parametros_manuales!$J$95+parametros_manuales!$E$43*(datos_base!$E$3+datos_base!$E$19+IF(parametros_manuales!$H$43="Todos",datos_base!$E$10+datos_base!$E$24,0))*parametros_manuales!$J$100+parametros_manuales!$F$43*(datos_base!$E$4+datos_base!$E$20+IF(parametros_manuales!$H$43="Todos",datos_base!$E$11+datos_base!$E$25,0))*parametros_manuales!$J$105+parametros_manuales!$G$43*(datos_base!$E$5+datos_base!$E$21+IF(parametros_manuales!$H$43="Todos",datos_base!$E$12+datos_base!$E$26,0))*parametros_manuales!$J$110)*parametros_manuales!$I$43*parametros_manuales!$J$43</f>
        <v>4409.045717898</v>
      </c>
      <c r="K107" s="9" t="n">
        <f aca="false">(parametros_manuales!$D$43*(datos_base!$E$2+datos_base!$E$18+IF(parametros_manuales!$H$43="Todos",datos_base!$E$9+datos_base!$E$23,0))*parametros_manuales!$K$95+parametros_manuales!$E$43*(datos_base!$E$3+datos_base!$E$19+IF(parametros_manuales!$H$43="Todos",datos_base!$E$10+datos_base!$E$24,0))*parametros_manuales!$K$100+parametros_manuales!$F$43*(datos_base!$E$4+datos_base!$E$20+IF(parametros_manuales!$H$43="Todos",datos_base!$E$11+datos_base!$E$25,0))*parametros_manuales!$K$105+parametros_manuales!$G$43*(datos_base!$E$5+datos_base!$E$21+IF(parametros_manuales!$H$43="Todos",datos_base!$E$12+datos_base!$E$26,0))*parametros_manuales!$K$110)*parametros_manuales!$I$43*parametros_manuales!$J$43</f>
        <v>4486.8251878035</v>
      </c>
      <c r="L107" s="9" t="n">
        <f aca="false">(parametros_manuales!$D$43*(datos_base!$E$2+datos_base!$E$18+IF(parametros_manuales!$H$43="Todos",datos_base!$E$9+datos_base!$E$23,0))*parametros_manuales!$L$95+parametros_manuales!$E$43*(datos_base!$E$3+datos_base!$E$19+IF(parametros_manuales!$H$43="Todos",datos_base!$E$10+datos_base!$E$24,0))*parametros_manuales!$L$100+parametros_manuales!$F$43*(datos_base!$E$4+datos_base!$E$20+IF(parametros_manuales!$H$43="Todos",datos_base!$E$11+datos_base!$E$25,0))*parametros_manuales!$L$105+parametros_manuales!$G$43*(datos_base!$E$5+datos_base!$E$21+IF(parametros_manuales!$H$43="Todos",datos_base!$E$12+datos_base!$E$26,0))*parametros_manuales!$L$110)*parametros_manuales!$I$43*parametros_manuales!$J$43</f>
        <v>4564.604657709</v>
      </c>
      <c r="M107" s="9" t="n">
        <f aca="false">(parametros_manuales!$D$43*(datos_base!$E$2+datos_base!$E$18+IF(parametros_manuales!$H$43="Todos",datos_base!$E$9+datos_base!$E$23,0))*parametros_manuales!$M$95+parametros_manuales!$E$43*(datos_base!$E$3+datos_base!$E$19+IF(parametros_manuales!$H$43="Todos",datos_base!$E$10+datos_base!$E$24,0))*parametros_manuales!$M$100+parametros_manuales!$F$43*(datos_base!$E$4+datos_base!$E$20+IF(parametros_manuales!$H$43="Todos",datos_base!$E$11+datos_base!$E$25,0))*parametros_manuales!$M$105+parametros_manuales!$G$43*(datos_base!$E$5+datos_base!$E$21+IF(parametros_manuales!$H$43="Todos",datos_base!$E$12+datos_base!$E$26,0))*parametros_manuales!$M$110)*parametros_manuales!$I$43*parametros_manuales!$J$43</f>
        <v>4564.604657709</v>
      </c>
      <c r="N107" s="9" t="n">
        <f aca="false">SUM(B107:M107)</f>
        <v>50717.8295301</v>
      </c>
      <c r="O107" s="9" t="n">
        <f aca="false">MAX(B107:M107)</f>
        <v>4564.604657709</v>
      </c>
      <c r="P107" s="43" t="n">
        <f aca="false">O107/(parametros_manuales!$B$7)</f>
        <v>30.43069771806</v>
      </c>
      <c r="Q107" s="8" t="str">
        <f aca="false">IF(O107=0,"-",INDEX($B$82:$M$82,MATCH(O107,B107:M107,0)))</f>
        <v>Ene</v>
      </c>
    </row>
    <row r="108" customFormat="false" ht="14.25" hidden="false" customHeight="true" outlineLevel="0" collapsed="false"/>
    <row r="109" customFormat="false" ht="14.25" hidden="false" customHeight="true" outlineLevel="0" collapsed="false">
      <c r="A109" s="7" t="s">
        <v>194</v>
      </c>
      <c r="B109" s="7" t="s">
        <v>61</v>
      </c>
      <c r="C109" s="7" t="s">
        <v>62</v>
      </c>
      <c r="D109" s="7" t="s">
        <v>63</v>
      </c>
      <c r="E109" s="7" t="s">
        <v>64</v>
      </c>
      <c r="F109" s="7" t="s">
        <v>65</v>
      </c>
      <c r="G109" s="7" t="s">
        <v>66</v>
      </c>
      <c r="H109" s="7" t="s">
        <v>67</v>
      </c>
      <c r="I109" s="7" t="s">
        <v>68</v>
      </c>
      <c r="J109" s="7" t="s">
        <v>69</v>
      </c>
      <c r="K109" s="7" t="s">
        <v>70</v>
      </c>
      <c r="L109" s="7" t="s">
        <v>71</v>
      </c>
      <c r="M109" s="7" t="s">
        <v>72</v>
      </c>
      <c r="N109" s="7" t="s">
        <v>183</v>
      </c>
      <c r="O109" s="7" t="s">
        <v>188</v>
      </c>
      <c r="P109" s="7" t="s">
        <v>189</v>
      </c>
      <c r="Q109" s="7" t="s">
        <v>190</v>
      </c>
    </row>
    <row r="110" customFormat="false" ht="14.25" hidden="false" customHeight="true" outlineLevel="0" collapsed="false">
      <c r="A110" s="8" t="str">
        <f aca="false">parametros_manuales!$B$19</f>
        <v>Recepción de materia prima</v>
      </c>
      <c r="B110" s="9" t="n">
        <f aca="false">(parametros_manuales!$D$19*(datos_base!$F$2+datos_base!$F$18+IF(parametros_manuales!$H$19="Todos",datos_base!$F$9+datos_base!$F$23,0))*parametros_manuales!$B$95+parametros_manuales!$E$19*(datos_base!$F$3+datos_base!$F$19+IF(parametros_manuales!$H$19="Todos",datos_base!$F$10+datos_base!$F$24,0))*parametros_manuales!$B$100+parametros_manuales!$F$19*(datos_base!$F$4+datos_base!$F$20+IF(parametros_manuales!$H$19="Todos",datos_base!$F$11+datos_base!$F$25,0))*parametros_manuales!$B$105+parametros_manuales!$G$19*(datos_base!$F$5+datos_base!$F$21+IF(parametros_manuales!$H$19="Todos",datos_base!$F$12+datos_base!$F$26,0))*parametros_manuales!$B$110)*parametros_manuales!$I$19*parametros_manuales!$J$19</f>
        <v>7944.772097511</v>
      </c>
      <c r="C110" s="9" t="n">
        <f aca="false">(parametros_manuales!$D$19*(datos_base!$F$2+datos_base!$F$18+IF(parametros_manuales!$H$19="Todos",datos_base!$F$9+datos_base!$F$23,0))*parametros_manuales!$C$95+parametros_manuales!$E$19*(datos_base!$F$3+datos_base!$F$19+IF(parametros_manuales!$H$19="Todos",datos_base!$F$10+datos_base!$F$24,0))*parametros_manuales!$C$100+parametros_manuales!$F$19*(datos_base!$F$4+datos_base!$F$20+IF(parametros_manuales!$H$19="Todos",datos_base!$F$11+datos_base!$F$25,0))*parametros_manuales!$C$105+parametros_manuales!$G$19*(datos_base!$F$5+datos_base!$F$21+IF(parametros_manuales!$H$19="Todos",datos_base!$F$12+datos_base!$F$26,0))*parametros_manuales!$C$110)*parametros_manuales!$I$19*parametros_manuales!$J$19</f>
        <v>7683.173969332</v>
      </c>
      <c r="D110" s="9" t="n">
        <f aca="false">(parametros_manuales!$D$19*(datos_base!$F$2+datos_base!$F$18+IF(parametros_manuales!$H$19="Todos",datos_base!$F$9+datos_base!$F$23,0))*parametros_manuales!$D$95+parametros_manuales!$E$19*(datos_base!$F$3+datos_base!$F$19+IF(parametros_manuales!$H$19="Todos",datos_base!$F$10+datos_base!$F$24,0))*parametros_manuales!$D$100+parametros_manuales!$F$19*(datos_base!$F$4+datos_base!$F$20+IF(parametros_manuales!$H$19="Todos",datos_base!$F$11+datos_base!$F$25,0))*parametros_manuales!$D$105+parametros_manuales!$G$19*(datos_base!$F$5+datos_base!$F$21+IF(parametros_manuales!$H$19="Todos",datos_base!$F$12+datos_base!$F$26,0))*parametros_manuales!$D$110)*parametros_manuales!$I$19*parametros_manuales!$J$19</f>
        <v>7192.8187063215</v>
      </c>
      <c r="E110" s="9" t="n">
        <f aca="false">(parametros_manuales!$D$19*(datos_base!$F$2+datos_base!$F$18+IF(parametros_manuales!$H$19="Todos",datos_base!$F$9+datos_base!$F$23,0))*parametros_manuales!$E$95+parametros_manuales!$E$19*(datos_base!$F$3+datos_base!$F$19+IF(parametros_manuales!$H$19="Todos",datos_base!$F$10+datos_base!$F$24,0))*parametros_manuales!$E$100+parametros_manuales!$F$19*(datos_base!$F$4+datos_base!$F$20+IF(parametros_manuales!$H$19="Todos",datos_base!$F$11+datos_base!$F$25,0))*parametros_manuales!$E$105+parametros_manuales!$G$19*(datos_base!$F$5+datos_base!$F$21+IF(parametros_manuales!$H$19="Todos",datos_base!$F$12+datos_base!$F$26,0))*parametros_manuales!$E$110)*parametros_manuales!$I$19*parametros_manuales!$J$19</f>
        <v>6882.2415427715</v>
      </c>
      <c r="F110" s="9" t="n">
        <f aca="false">(parametros_manuales!$D$19*(datos_base!$F$2+datos_base!$F$18+IF(parametros_manuales!$H$19="Todos",datos_base!$F$9+datos_base!$F$23,0))*parametros_manuales!$F$95+parametros_manuales!$E$19*(datos_base!$F$3+datos_base!$F$19+IF(parametros_manuales!$H$19="Todos",datos_base!$F$10+datos_base!$F$24,0))*parametros_manuales!$F$100+parametros_manuales!$F$19*(datos_base!$F$4+datos_base!$F$20+IF(parametros_manuales!$H$19="Todos",datos_base!$F$11+datos_base!$F$25,0))*parametros_manuales!$F$105+parametros_manuales!$G$19*(datos_base!$F$5+datos_base!$F$21+IF(parametros_manuales!$H$19="Todos",datos_base!$F$12+datos_base!$F$26,0))*parametros_manuales!$F$110)*parametros_manuales!$I$19*parametros_manuales!$J$19</f>
        <v>6440.865315132</v>
      </c>
      <c r="G110" s="9" t="n">
        <f aca="false">(parametros_manuales!$D$19*(datos_base!$F$2+datos_base!$F$18+IF(parametros_manuales!$H$19="Todos",datos_base!$F$9+datos_base!$F$23,0))*parametros_manuales!$G$95+parametros_manuales!$E$19*(datos_base!$F$3+datos_base!$F$19+IF(parametros_manuales!$H$19="Todos",datos_base!$F$10+datos_base!$F$24,0))*parametros_manuales!$G$100+parametros_manuales!$F$19*(datos_base!$F$4+datos_base!$F$20+IF(parametros_manuales!$H$19="Todos",datos_base!$F$11+datos_base!$F$25,0))*parametros_manuales!$G$105+parametros_manuales!$G$19*(datos_base!$F$5+datos_base!$F$21+IF(parametros_manuales!$H$19="Todos",datos_base!$F$12+datos_base!$F$26,0))*parametros_manuales!$G$110)*parametros_manuales!$I$19*parametros_manuales!$J$19</f>
        <v>6310.0662510425</v>
      </c>
      <c r="H110" s="9" t="n">
        <f aca="false">(parametros_manuales!$D$19*(datos_base!$F$2+datos_base!$F$18+IF(parametros_manuales!$H$19="Todos",datos_base!$F$9+datos_base!$F$23,0))*parametros_manuales!$H$95+parametros_manuales!$E$19*(datos_base!$F$3+datos_base!$F$19+IF(parametros_manuales!$H$19="Todos",datos_base!$F$10+datos_base!$F$24,0))*parametros_manuales!$H$100+parametros_manuales!$F$19*(datos_base!$F$4+datos_base!$F$20+IF(parametros_manuales!$H$19="Todos",datos_base!$F$11+datos_base!$F$25,0))*parametros_manuales!$H$105+parametros_manuales!$G$19*(datos_base!$F$5+datos_base!$F$21+IF(parametros_manuales!$H$19="Todos",datos_base!$F$12+datos_base!$F$26,0))*parametros_manuales!$H$110)*parametros_manuales!$I$19*parametros_manuales!$J$19</f>
        <v>6751.442478682</v>
      </c>
      <c r="I110" s="9" t="n">
        <f aca="false">(parametros_manuales!$D$19*(datos_base!$F$2+datos_base!$F$18+IF(parametros_manuales!$H$19="Todos",datos_base!$F$9+datos_base!$F$23,0))*parametros_manuales!$I$95+parametros_manuales!$E$19*(datos_base!$F$3+datos_base!$F$19+IF(parametros_manuales!$H$19="Todos",datos_base!$F$10+datos_base!$F$24,0))*parametros_manuales!$I$100+parametros_manuales!$F$19*(datos_base!$F$4+datos_base!$F$20+IF(parametros_manuales!$H$19="Todos",datos_base!$F$11+datos_base!$F$25,0))*parametros_manuales!$I$105+parametros_manuales!$G$19*(datos_base!$F$5+datos_base!$F$21+IF(parametros_manuales!$H$19="Todos",datos_base!$F$12+datos_base!$F$26,0))*parametros_manuales!$I$110)*parametros_manuales!$I$19*parametros_manuales!$J$19</f>
        <v>7683.173969332</v>
      </c>
      <c r="J110" s="9" t="n">
        <f aca="false">(parametros_manuales!$D$19*(datos_base!$F$2+datos_base!$F$18+IF(parametros_manuales!$H$19="Todos",datos_base!$F$9+datos_base!$F$23,0))*parametros_manuales!$J$95+parametros_manuales!$E$19*(datos_base!$F$3+datos_base!$F$19+IF(parametros_manuales!$H$19="Todos",datos_base!$F$10+datos_base!$F$24,0))*parametros_manuales!$J$100+parametros_manuales!$F$19*(datos_base!$F$4+datos_base!$F$20+IF(parametros_manuales!$H$19="Todos",datos_base!$F$11+datos_base!$F$25,0))*parametros_manuales!$J$105+parametros_manuales!$G$19*(datos_base!$F$5+datos_base!$F$21+IF(parametros_manuales!$H$19="Todos",datos_base!$F$12+datos_base!$F$26,0))*parametros_manuales!$J$110)*parametros_manuales!$I$19*parametros_manuales!$J$19</f>
        <v>7683.173969332</v>
      </c>
      <c r="K110" s="9" t="n">
        <f aca="false">(parametros_manuales!$D$19*(datos_base!$F$2+datos_base!$F$18+IF(parametros_manuales!$H$19="Todos",datos_base!$F$9+datos_base!$F$23,0))*parametros_manuales!$K$95+parametros_manuales!$E$19*(datos_base!$F$3+datos_base!$F$19+IF(parametros_manuales!$H$19="Todos",datos_base!$F$10+datos_base!$F$24,0))*parametros_manuales!$K$100+parametros_manuales!$F$19*(datos_base!$F$4+datos_base!$F$20+IF(parametros_manuales!$H$19="Todos",datos_base!$F$11+datos_base!$F$25,0))*parametros_manuales!$K$105+parametros_manuales!$G$19*(datos_base!$F$5+datos_base!$F$21+IF(parametros_manuales!$H$19="Todos",datos_base!$F$12+datos_base!$F$26,0))*parametros_manuales!$K$110)*parametros_manuales!$I$19*parametros_manuales!$J$19</f>
        <v>7813.9730334215</v>
      </c>
      <c r="L110" s="9" t="n">
        <f aca="false">(parametros_manuales!$D$19*(datos_base!$F$2+datos_base!$F$18+IF(parametros_manuales!$H$19="Todos",datos_base!$F$9+datos_base!$F$23,0))*parametros_manuales!$L$95+parametros_manuales!$E$19*(datos_base!$F$3+datos_base!$F$19+IF(parametros_manuales!$H$19="Todos",datos_base!$F$10+datos_base!$F$24,0))*parametros_manuales!$L$100+parametros_manuales!$F$19*(datos_base!$F$4+datos_base!$F$20+IF(parametros_manuales!$H$19="Todos",datos_base!$F$11+datos_base!$F$25,0))*parametros_manuales!$L$105+parametros_manuales!$G$19*(datos_base!$F$5+datos_base!$F$21+IF(parametros_manuales!$H$19="Todos",datos_base!$F$12+datos_base!$F$26,0))*parametros_manuales!$L$110)*parametros_manuales!$I$19*parametros_manuales!$J$19</f>
        <v>7944.772097511</v>
      </c>
      <c r="M110" s="9" t="n">
        <f aca="false">(parametros_manuales!$D$19*(datos_base!$F$2+datos_base!$F$18+IF(parametros_manuales!$H$19="Todos",datos_base!$F$9+datos_base!$F$23,0))*parametros_manuales!$M$95+parametros_manuales!$E$19*(datos_base!$F$3+datos_base!$F$19+IF(parametros_manuales!$H$19="Todos",datos_base!$F$10+datos_base!$F$24,0))*parametros_manuales!$M$100+parametros_manuales!$F$19*(datos_base!$F$4+datos_base!$F$20+IF(parametros_manuales!$H$19="Todos",datos_base!$F$11+datos_base!$F$25,0))*parametros_manuales!$M$105+parametros_manuales!$G$19*(datos_base!$F$5+datos_base!$F$21+IF(parametros_manuales!$H$19="Todos",datos_base!$F$12+datos_base!$F$26,0))*parametros_manuales!$M$110)*parametros_manuales!$I$19*parametros_manuales!$J$19</f>
        <v>7944.772097511</v>
      </c>
      <c r="N110" s="9" t="n">
        <f aca="false">SUM(B110:M110)</f>
        <v>88275.2455279</v>
      </c>
      <c r="O110" s="9" t="n">
        <f aca="false">MAX(B110:M110)</f>
        <v>7944.772097511</v>
      </c>
      <c r="P110" s="43" t="n">
        <f aca="false">O110/(parametros_manuales!$B$7)</f>
        <v>52.96514731674</v>
      </c>
      <c r="Q110" s="8" t="str">
        <f aca="false">IF(O110=0,"-",INDEX($B$109:$M$109,MATCH(O110,B110:M110,0)))</f>
        <v>Ene</v>
      </c>
    </row>
    <row r="111" customFormat="false" ht="14.25" hidden="false" customHeight="true" outlineLevel="0" collapsed="false">
      <c r="A111" s="8" t="str">
        <f aca="false">parametros_manuales!$B$20</f>
        <v>Corte de chapa (guillotina) — 2,5 a 10 kg</v>
      </c>
      <c r="B111" s="9" t="n">
        <f aca="false">(parametros_manuales!$D$20*(datos_base!$F$2+datos_base!$F$18+IF(parametros_manuales!$H$20="Todos",datos_base!$F$9+datos_base!$F$23,0))*parametros_manuales!$B$95+parametros_manuales!$E$20*(datos_base!$F$3+datos_base!$F$19+IF(parametros_manuales!$H$20="Todos",datos_base!$F$10+datos_base!$F$24,0))*parametros_manuales!$B$100+parametros_manuales!$F$20*(datos_base!$F$4+datos_base!$F$20+IF(parametros_manuales!$H$20="Todos",datos_base!$F$11+datos_base!$F$25,0))*parametros_manuales!$B$105+parametros_manuales!$G$20*(datos_base!$F$5+datos_base!$F$21+IF(parametros_manuales!$H$20="Todos",datos_base!$F$12+datos_base!$F$26,0))*parametros_manuales!$B$110)*parametros_manuales!$I$20*parametros_manuales!$J$20</f>
        <v>2354.383153611</v>
      </c>
      <c r="C111" s="9" t="n">
        <f aca="false">(parametros_manuales!$D$20*(datos_base!$F$2+datos_base!$F$18+IF(parametros_manuales!$H$20="Todos",datos_base!$F$9+datos_base!$F$23,0))*parametros_manuales!$C$95+parametros_manuales!$E$20*(datos_base!$F$3+datos_base!$F$19+IF(parametros_manuales!$H$20="Todos",datos_base!$F$10+datos_base!$F$24,0))*parametros_manuales!$C$100+parametros_manuales!$F$20*(datos_base!$F$4+datos_base!$F$20+IF(parametros_manuales!$H$20="Todos",datos_base!$F$11+datos_base!$F$25,0))*parametros_manuales!$C$105+parametros_manuales!$G$20*(datos_base!$F$5+datos_base!$F$21+IF(parametros_manuales!$H$20="Todos",datos_base!$F$12+datos_base!$F$26,0))*parametros_manuales!$C$110)*parametros_manuales!$I$20*parametros_manuales!$J$20</f>
        <v>2092.785025432</v>
      </c>
      <c r="D111" s="9" t="n">
        <f aca="false">(parametros_manuales!$D$20*(datos_base!$F$2+datos_base!$F$18+IF(parametros_manuales!$H$20="Todos",datos_base!$F$9+datos_base!$F$23,0))*parametros_manuales!$D$95+parametros_manuales!$E$20*(datos_base!$F$3+datos_base!$F$19+IF(parametros_manuales!$H$20="Todos",datos_base!$F$10+datos_base!$F$24,0))*parametros_manuales!$D$100+parametros_manuales!$F$20*(datos_base!$F$4+datos_base!$F$20+IF(parametros_manuales!$H$20="Todos",datos_base!$F$11+datos_base!$F$25,0))*parametros_manuales!$D$105+parametros_manuales!$G$20*(datos_base!$F$5+datos_base!$F$21+IF(parametros_manuales!$H$20="Todos",datos_base!$F$12+datos_base!$F$26,0))*parametros_manuales!$D$110)*parametros_manuales!$I$20*parametros_manuales!$J$20</f>
        <v>2223.5840895215</v>
      </c>
      <c r="E111" s="9" t="n">
        <f aca="false">(parametros_manuales!$D$20*(datos_base!$F$2+datos_base!$F$18+IF(parametros_manuales!$H$20="Todos",datos_base!$F$9+datos_base!$F$23,0))*parametros_manuales!$E$95+parametros_manuales!$E$20*(datos_base!$F$3+datos_base!$F$19+IF(parametros_manuales!$H$20="Todos",datos_base!$F$10+datos_base!$F$24,0))*parametros_manuales!$E$100+parametros_manuales!$F$20*(datos_base!$F$4+datos_base!$F$20+IF(parametros_manuales!$H$20="Todos",datos_base!$F$11+datos_base!$F$25,0))*parametros_manuales!$E$105+parametros_manuales!$G$20*(datos_base!$F$5+datos_base!$F$21+IF(parametros_manuales!$H$20="Todos",datos_base!$F$12+datos_base!$F$26,0))*parametros_manuales!$E$110)*parametros_manuales!$I$20*parametros_manuales!$J$20</f>
        <v>2223.5840895215</v>
      </c>
      <c r="F111" s="9" t="n">
        <f aca="false">(parametros_manuales!$D$20*(datos_base!$F$2+datos_base!$F$18+IF(parametros_manuales!$H$20="Todos",datos_base!$F$9+datos_base!$F$23,0))*parametros_manuales!$F$95+parametros_manuales!$E$20*(datos_base!$F$3+datos_base!$F$19+IF(parametros_manuales!$H$20="Todos",datos_base!$F$10+datos_base!$F$24,0))*parametros_manuales!$F$100+parametros_manuales!$F$20*(datos_base!$F$4+datos_base!$F$20+IF(parametros_manuales!$H$20="Todos",datos_base!$F$11+datos_base!$F$25,0))*parametros_manuales!$F$105+parametros_manuales!$G$20*(datos_base!$F$5+datos_base!$F$21+IF(parametros_manuales!$H$20="Todos",datos_base!$F$12+datos_base!$F$26,0))*parametros_manuales!$F$110)*parametros_manuales!$I$20*parametros_manuales!$J$20</f>
        <v>2092.785025432</v>
      </c>
      <c r="G111" s="9" t="n">
        <f aca="false">(parametros_manuales!$D$20*(datos_base!$F$2+datos_base!$F$18+IF(parametros_manuales!$H$20="Todos",datos_base!$F$9+datos_base!$F$23,0))*parametros_manuales!$G$95+parametros_manuales!$E$20*(datos_base!$F$3+datos_base!$F$19+IF(parametros_manuales!$H$20="Todos",datos_base!$F$10+datos_base!$F$24,0))*parametros_manuales!$G$100+parametros_manuales!$F$20*(datos_base!$F$4+datos_base!$F$20+IF(parametros_manuales!$H$20="Todos",datos_base!$F$11+datos_base!$F$25,0))*parametros_manuales!$G$105+parametros_manuales!$G$20*(datos_base!$F$5+datos_base!$F$21+IF(parametros_manuales!$H$20="Todos",datos_base!$F$12+datos_base!$F$26,0))*parametros_manuales!$G$110)*parametros_manuales!$I$20*parametros_manuales!$J$20</f>
        <v>1961.9859613425</v>
      </c>
      <c r="H111" s="9" t="n">
        <f aca="false">(parametros_manuales!$D$20*(datos_base!$F$2+datos_base!$F$18+IF(parametros_manuales!$H$20="Todos",datos_base!$F$9+datos_base!$F$23,0))*parametros_manuales!$H$95+parametros_manuales!$E$20*(datos_base!$F$3+datos_base!$F$19+IF(parametros_manuales!$H$20="Todos",datos_base!$F$10+datos_base!$F$24,0))*parametros_manuales!$H$100+parametros_manuales!$F$20*(datos_base!$F$4+datos_base!$F$20+IF(parametros_manuales!$H$20="Todos",datos_base!$F$11+datos_base!$F$25,0))*parametros_manuales!$H$105+parametros_manuales!$G$20*(datos_base!$F$5+datos_base!$F$21+IF(parametros_manuales!$H$20="Todos",datos_base!$F$12+datos_base!$F$26,0))*parametros_manuales!$H$110)*parametros_manuales!$I$20*parametros_manuales!$J$20</f>
        <v>2092.785025432</v>
      </c>
      <c r="I111" s="9" t="n">
        <f aca="false">(parametros_manuales!$D$20*(datos_base!$F$2+datos_base!$F$18+IF(parametros_manuales!$H$20="Todos",datos_base!$F$9+datos_base!$F$23,0))*parametros_manuales!$I$95+parametros_manuales!$E$20*(datos_base!$F$3+datos_base!$F$19+IF(parametros_manuales!$H$20="Todos",datos_base!$F$10+datos_base!$F$24,0))*parametros_manuales!$I$100+parametros_manuales!$F$20*(datos_base!$F$4+datos_base!$F$20+IF(parametros_manuales!$H$20="Todos",datos_base!$F$11+datos_base!$F$25,0))*parametros_manuales!$I$105+parametros_manuales!$G$20*(datos_base!$F$5+datos_base!$F$21+IF(parametros_manuales!$H$20="Todos",datos_base!$F$12+datos_base!$F$26,0))*parametros_manuales!$I$110)*parametros_manuales!$I$20*parametros_manuales!$J$20</f>
        <v>2092.785025432</v>
      </c>
      <c r="J111" s="9" t="n">
        <f aca="false">(parametros_manuales!$D$20*(datos_base!$F$2+datos_base!$F$18+IF(parametros_manuales!$H$20="Todos",datos_base!$F$9+datos_base!$F$23,0))*parametros_manuales!$J$95+parametros_manuales!$E$20*(datos_base!$F$3+datos_base!$F$19+IF(parametros_manuales!$H$20="Todos",datos_base!$F$10+datos_base!$F$24,0))*parametros_manuales!$J$100+parametros_manuales!$F$20*(datos_base!$F$4+datos_base!$F$20+IF(parametros_manuales!$H$20="Todos",datos_base!$F$11+datos_base!$F$25,0))*parametros_manuales!$J$105+parametros_manuales!$G$20*(datos_base!$F$5+datos_base!$F$21+IF(parametros_manuales!$H$20="Todos",datos_base!$F$12+datos_base!$F$26,0))*parametros_manuales!$J$110)*parametros_manuales!$I$20*parametros_manuales!$J$20</f>
        <v>2092.785025432</v>
      </c>
      <c r="K111" s="9" t="n">
        <f aca="false">(parametros_manuales!$D$20*(datos_base!$F$2+datos_base!$F$18+IF(parametros_manuales!$H$20="Todos",datos_base!$F$9+datos_base!$F$23,0))*parametros_manuales!$K$95+parametros_manuales!$E$20*(datos_base!$F$3+datos_base!$F$19+IF(parametros_manuales!$H$20="Todos",datos_base!$F$10+datos_base!$F$24,0))*parametros_manuales!$K$100+parametros_manuales!$F$20*(datos_base!$F$4+datos_base!$F$20+IF(parametros_manuales!$H$20="Todos",datos_base!$F$11+datos_base!$F$25,0))*parametros_manuales!$K$105+parametros_manuales!$G$20*(datos_base!$F$5+datos_base!$F$21+IF(parametros_manuales!$H$20="Todos",datos_base!$F$12+datos_base!$F$26,0))*parametros_manuales!$K$110)*parametros_manuales!$I$20*parametros_manuales!$J$20</f>
        <v>2223.5840895215</v>
      </c>
      <c r="L111" s="9" t="n">
        <f aca="false">(parametros_manuales!$D$20*(datos_base!$F$2+datos_base!$F$18+IF(parametros_manuales!$H$20="Todos",datos_base!$F$9+datos_base!$F$23,0))*parametros_manuales!$L$95+parametros_manuales!$E$20*(datos_base!$F$3+datos_base!$F$19+IF(parametros_manuales!$H$20="Todos",datos_base!$F$10+datos_base!$F$24,0))*parametros_manuales!$L$100+parametros_manuales!$F$20*(datos_base!$F$4+datos_base!$F$20+IF(parametros_manuales!$H$20="Todos",datos_base!$F$11+datos_base!$F$25,0))*parametros_manuales!$L$105+parametros_manuales!$G$20*(datos_base!$F$5+datos_base!$F$21+IF(parametros_manuales!$H$20="Todos",datos_base!$F$12+datos_base!$F$26,0))*parametros_manuales!$L$110)*parametros_manuales!$I$20*parametros_manuales!$J$20</f>
        <v>2354.383153611</v>
      </c>
      <c r="M111" s="9" t="n">
        <f aca="false">(parametros_manuales!$D$20*(datos_base!$F$2+datos_base!$F$18+IF(parametros_manuales!$H$20="Todos",datos_base!$F$9+datos_base!$F$23,0))*parametros_manuales!$M$95+parametros_manuales!$E$20*(datos_base!$F$3+datos_base!$F$19+IF(parametros_manuales!$H$20="Todos",datos_base!$F$10+datos_base!$F$24,0))*parametros_manuales!$M$100+parametros_manuales!$F$20*(datos_base!$F$4+datos_base!$F$20+IF(parametros_manuales!$H$20="Todos",datos_base!$F$11+datos_base!$F$25,0))*parametros_manuales!$M$105+parametros_manuales!$G$20*(datos_base!$F$5+datos_base!$F$21+IF(parametros_manuales!$H$20="Todos",datos_base!$F$12+datos_base!$F$26,0))*parametros_manuales!$M$110)*parametros_manuales!$I$20*parametros_manuales!$J$20</f>
        <v>2354.383153611</v>
      </c>
      <c r="N111" s="9" t="n">
        <f aca="false">SUM(B111:M111)</f>
        <v>26159.8128179</v>
      </c>
      <c r="O111" s="9" t="n">
        <f aca="false">MAX(B111:M111)</f>
        <v>2354.383153611</v>
      </c>
      <c r="P111" s="43" t="n">
        <f aca="false">O111/(parametros_manuales!$B$7)</f>
        <v>15.69588769074</v>
      </c>
      <c r="Q111" s="8" t="str">
        <f aca="false">IF(O111=0,"-",INDEX($B$109:$M$109,MATCH(O111,B111:M111,0)))</f>
        <v>Ene</v>
      </c>
    </row>
    <row r="112" customFormat="false" ht="14.25" hidden="false" customHeight="true" outlineLevel="0" collapsed="false">
      <c r="A112" s="8" t="str">
        <f aca="false">parametros_manuales!$B$21</f>
        <v>Corte de tubo — 1 kg</v>
      </c>
      <c r="B112" s="9" t="n">
        <f aca="false">(parametros_manuales!$D$21*(datos_base!$F$2+datos_base!$F$18+IF(parametros_manuales!$H$21="Todos",datos_base!$F$9+datos_base!$F$23,0))*parametros_manuales!$B$95+parametros_manuales!$E$21*(datos_base!$F$3+datos_base!$F$19+IF(parametros_manuales!$H$21="Todos",datos_base!$F$10+datos_base!$F$24,0))*parametros_manuales!$B$100+parametros_manuales!$F$21*(datos_base!$F$4+datos_base!$F$20+IF(parametros_manuales!$H$21="Todos",datos_base!$F$11+datos_base!$F$25,0))*parametros_manuales!$B$105+parametros_manuales!$G$21*(datos_base!$F$5+datos_base!$F$21+IF(parametros_manuales!$H$21="Todos",datos_base!$F$12+datos_base!$F$26,0))*parametros_manuales!$B$110)*parametros_manuales!$I$21*parametros_manuales!$J$21</f>
        <v>5590.3889439</v>
      </c>
      <c r="C112" s="9" t="n">
        <f aca="false">(parametros_manuales!$D$21*(datos_base!$F$2+datos_base!$F$18+IF(parametros_manuales!$H$21="Todos",datos_base!$F$9+datos_base!$F$23,0))*parametros_manuales!$C$95+parametros_manuales!$E$21*(datos_base!$F$3+datos_base!$F$19+IF(parametros_manuales!$H$21="Todos",datos_base!$F$10+datos_base!$F$24,0))*parametros_manuales!$C$100+parametros_manuales!$F$21*(datos_base!$F$4+datos_base!$F$20+IF(parametros_manuales!$H$21="Todos",datos_base!$F$11+datos_base!$F$25,0))*parametros_manuales!$C$105+parametros_manuales!$G$21*(datos_base!$F$5+datos_base!$F$21+IF(parametros_manuales!$H$21="Todos",datos_base!$F$12+datos_base!$F$26,0))*parametros_manuales!$C$110)*parametros_manuales!$I$21*parametros_manuales!$J$21</f>
        <v>5590.3889439</v>
      </c>
      <c r="D112" s="9" t="n">
        <f aca="false">(parametros_manuales!$D$21*(datos_base!$F$2+datos_base!$F$18+IF(parametros_manuales!$H$21="Todos",datos_base!$F$9+datos_base!$F$23,0))*parametros_manuales!$D$95+parametros_manuales!$E$21*(datos_base!$F$3+datos_base!$F$19+IF(parametros_manuales!$H$21="Todos",datos_base!$F$10+datos_base!$F$24,0))*parametros_manuales!$D$100+parametros_manuales!$F$21*(datos_base!$F$4+datos_base!$F$20+IF(parametros_manuales!$H$21="Todos",datos_base!$F$11+datos_base!$F$25,0))*parametros_manuales!$D$105+parametros_manuales!$G$21*(datos_base!$F$5+datos_base!$F$21+IF(parametros_manuales!$H$21="Todos",datos_base!$F$12+datos_base!$F$26,0))*parametros_manuales!$D$110)*parametros_manuales!$I$21*parametros_manuales!$J$21</f>
        <v>4969.2346168</v>
      </c>
      <c r="E112" s="9" t="n">
        <f aca="false">(parametros_manuales!$D$21*(datos_base!$F$2+datos_base!$F$18+IF(parametros_manuales!$H$21="Todos",datos_base!$F$9+datos_base!$F$23,0))*parametros_manuales!$E$95+parametros_manuales!$E$21*(datos_base!$F$3+datos_base!$F$19+IF(parametros_manuales!$H$21="Todos",datos_base!$F$10+datos_base!$F$24,0))*parametros_manuales!$E$100+parametros_manuales!$F$21*(datos_base!$F$4+datos_base!$F$20+IF(parametros_manuales!$H$21="Todos",datos_base!$F$11+datos_base!$F$25,0))*parametros_manuales!$E$105+parametros_manuales!$G$21*(datos_base!$F$5+datos_base!$F$21+IF(parametros_manuales!$H$21="Todos",datos_base!$F$12+datos_base!$F$26,0))*parametros_manuales!$E$110)*parametros_manuales!$I$21*parametros_manuales!$J$21</f>
        <v>4658.65745325</v>
      </c>
      <c r="F112" s="9" t="n">
        <f aca="false">(parametros_manuales!$D$21*(datos_base!$F$2+datos_base!$F$18+IF(parametros_manuales!$H$21="Todos",datos_base!$F$9+datos_base!$F$23,0))*parametros_manuales!$F$95+parametros_manuales!$E$21*(datos_base!$F$3+datos_base!$F$19+IF(parametros_manuales!$H$21="Todos",datos_base!$F$10+datos_base!$F$24,0))*parametros_manuales!$F$100+parametros_manuales!$F$21*(datos_base!$F$4+datos_base!$F$20+IF(parametros_manuales!$H$21="Todos",datos_base!$F$11+datos_base!$F$25,0))*parametros_manuales!$F$105+parametros_manuales!$G$21*(datos_base!$F$5+datos_base!$F$21+IF(parametros_manuales!$H$21="Todos",datos_base!$F$12+datos_base!$F$26,0))*parametros_manuales!$F$110)*parametros_manuales!$I$21*parametros_manuales!$J$21</f>
        <v>4348.0802897</v>
      </c>
      <c r="G112" s="9" t="n">
        <f aca="false">(parametros_manuales!$D$21*(datos_base!$F$2+datos_base!$F$18+IF(parametros_manuales!$H$21="Todos",datos_base!$F$9+datos_base!$F$23,0))*parametros_manuales!$G$95+parametros_manuales!$E$21*(datos_base!$F$3+datos_base!$F$19+IF(parametros_manuales!$H$21="Todos",datos_base!$F$10+datos_base!$F$24,0))*parametros_manuales!$G$100+parametros_manuales!$F$21*(datos_base!$F$4+datos_base!$F$20+IF(parametros_manuales!$H$21="Todos",datos_base!$F$11+datos_base!$F$25,0))*parametros_manuales!$G$105+parametros_manuales!$G$21*(datos_base!$F$5+datos_base!$F$21+IF(parametros_manuales!$H$21="Todos",datos_base!$F$12+datos_base!$F$26,0))*parametros_manuales!$G$110)*parametros_manuales!$I$21*parametros_manuales!$J$21</f>
        <v>4348.0802897</v>
      </c>
      <c r="H112" s="9" t="n">
        <f aca="false">(parametros_manuales!$D$21*(datos_base!$F$2+datos_base!$F$18+IF(parametros_manuales!$H$21="Todos",datos_base!$F$9+datos_base!$F$23,0))*parametros_manuales!$H$95+parametros_manuales!$E$21*(datos_base!$F$3+datos_base!$F$19+IF(parametros_manuales!$H$21="Todos",datos_base!$F$10+datos_base!$F$24,0))*parametros_manuales!$H$100+parametros_manuales!$F$21*(datos_base!$F$4+datos_base!$F$20+IF(parametros_manuales!$H$21="Todos",datos_base!$F$11+datos_base!$F$25,0))*parametros_manuales!$H$105+parametros_manuales!$G$21*(datos_base!$F$5+datos_base!$F$21+IF(parametros_manuales!$H$21="Todos",datos_base!$F$12+datos_base!$F$26,0))*parametros_manuales!$H$110)*parametros_manuales!$I$21*parametros_manuales!$J$21</f>
        <v>4658.65745325</v>
      </c>
      <c r="I112" s="9" t="n">
        <f aca="false">(parametros_manuales!$D$21*(datos_base!$F$2+datos_base!$F$18+IF(parametros_manuales!$H$21="Todos",datos_base!$F$9+datos_base!$F$23,0))*parametros_manuales!$I$95+parametros_manuales!$E$21*(datos_base!$F$3+datos_base!$F$19+IF(parametros_manuales!$H$21="Todos",datos_base!$F$10+datos_base!$F$24,0))*parametros_manuales!$I$100+parametros_manuales!$F$21*(datos_base!$F$4+datos_base!$F$20+IF(parametros_manuales!$H$21="Todos",datos_base!$F$11+datos_base!$F$25,0))*parametros_manuales!$I$105+parametros_manuales!$G$21*(datos_base!$F$5+datos_base!$F$21+IF(parametros_manuales!$H$21="Todos",datos_base!$F$12+datos_base!$F$26,0))*parametros_manuales!$I$110)*parametros_manuales!$I$21*parametros_manuales!$J$21</f>
        <v>5590.3889439</v>
      </c>
      <c r="J112" s="9" t="n">
        <f aca="false">(parametros_manuales!$D$21*(datos_base!$F$2+datos_base!$F$18+IF(parametros_manuales!$H$21="Todos",datos_base!$F$9+datos_base!$F$23,0))*parametros_manuales!$J$95+parametros_manuales!$E$21*(datos_base!$F$3+datos_base!$F$19+IF(parametros_manuales!$H$21="Todos",datos_base!$F$10+datos_base!$F$24,0))*parametros_manuales!$J$100+parametros_manuales!$F$21*(datos_base!$F$4+datos_base!$F$20+IF(parametros_manuales!$H$21="Todos",datos_base!$F$11+datos_base!$F$25,0))*parametros_manuales!$J$105+parametros_manuales!$G$21*(datos_base!$F$5+datos_base!$F$21+IF(parametros_manuales!$H$21="Todos",datos_base!$F$12+datos_base!$F$26,0))*parametros_manuales!$J$110)*parametros_manuales!$I$21*parametros_manuales!$J$21</f>
        <v>5590.3889439</v>
      </c>
      <c r="K112" s="9" t="n">
        <f aca="false">(parametros_manuales!$D$21*(datos_base!$F$2+datos_base!$F$18+IF(parametros_manuales!$H$21="Todos",datos_base!$F$9+datos_base!$F$23,0))*parametros_manuales!$K$95+parametros_manuales!$E$21*(datos_base!$F$3+datos_base!$F$19+IF(parametros_manuales!$H$21="Todos",datos_base!$F$10+datos_base!$F$24,0))*parametros_manuales!$K$100+parametros_manuales!$F$21*(datos_base!$F$4+datos_base!$F$20+IF(parametros_manuales!$H$21="Todos",datos_base!$F$11+datos_base!$F$25,0))*parametros_manuales!$K$105+parametros_manuales!$G$21*(datos_base!$F$5+datos_base!$F$21+IF(parametros_manuales!$H$21="Todos",datos_base!$F$12+datos_base!$F$26,0))*parametros_manuales!$K$110)*parametros_manuales!$I$21*parametros_manuales!$J$21</f>
        <v>5590.3889439</v>
      </c>
      <c r="L112" s="9" t="n">
        <f aca="false">(parametros_manuales!$D$21*(datos_base!$F$2+datos_base!$F$18+IF(parametros_manuales!$H$21="Todos",datos_base!$F$9+datos_base!$F$23,0))*parametros_manuales!$L$95+parametros_manuales!$E$21*(datos_base!$F$3+datos_base!$F$19+IF(parametros_manuales!$H$21="Todos",datos_base!$F$10+datos_base!$F$24,0))*parametros_manuales!$L$100+parametros_manuales!$F$21*(datos_base!$F$4+datos_base!$F$20+IF(parametros_manuales!$H$21="Todos",datos_base!$F$11+datos_base!$F$25,0))*parametros_manuales!$L$105+parametros_manuales!$G$21*(datos_base!$F$5+datos_base!$F$21+IF(parametros_manuales!$H$21="Todos",datos_base!$F$12+datos_base!$F$26,0))*parametros_manuales!$L$110)*parametros_manuales!$I$21*parametros_manuales!$J$21</f>
        <v>5590.3889439</v>
      </c>
      <c r="M112" s="9" t="n">
        <f aca="false">(parametros_manuales!$D$21*(datos_base!$F$2+datos_base!$F$18+IF(parametros_manuales!$H$21="Todos",datos_base!$F$9+datos_base!$F$23,0))*parametros_manuales!$M$95+parametros_manuales!$E$21*(datos_base!$F$3+datos_base!$F$19+IF(parametros_manuales!$H$21="Todos",datos_base!$F$10+datos_base!$F$24,0))*parametros_manuales!$M$100+parametros_manuales!$F$21*(datos_base!$F$4+datos_base!$F$20+IF(parametros_manuales!$H$21="Todos",datos_base!$F$11+datos_base!$F$25,0))*parametros_manuales!$M$105+parametros_manuales!$G$21*(datos_base!$F$5+datos_base!$F$21+IF(parametros_manuales!$H$21="Todos",datos_base!$F$12+datos_base!$F$26,0))*parametros_manuales!$M$110)*parametros_manuales!$I$21*parametros_manuales!$J$21</f>
        <v>5590.3889439</v>
      </c>
      <c r="N112" s="9" t="n">
        <f aca="false">SUM(B112:M112)</f>
        <v>62115.43271</v>
      </c>
      <c r="O112" s="9" t="n">
        <f aca="false">MAX(B112:M112)</f>
        <v>5590.3889439</v>
      </c>
      <c r="P112" s="43" t="n">
        <f aca="false">O112/(parametros_manuales!$B$7)</f>
        <v>37.269259626</v>
      </c>
      <c r="Q112" s="8" t="str">
        <f aca="false">IF(O112=0,"-",INDEX($B$109:$M$109,MATCH(O112,B112:M112,0)))</f>
        <v>Ene</v>
      </c>
    </row>
    <row r="113" customFormat="false" ht="14.25" hidden="false" customHeight="true" outlineLevel="0" collapsed="false">
      <c r="A113" s="8" t="str">
        <f aca="false">parametros_manuales!$B$22</f>
        <v>Corte de disco y embutido (cúpula y fondo)</v>
      </c>
      <c r="B113" s="9" t="n">
        <f aca="false">(parametros_manuales!$D$22*(datos_base!$F$2+datos_base!$F$18+IF(parametros_manuales!$H$22="Todos",datos_base!$F$9+datos_base!$F$23,0))*parametros_manuales!$B$95+parametros_manuales!$E$22*(datos_base!$F$3+datos_base!$F$19+IF(parametros_manuales!$H$22="Todos",datos_base!$F$10+datos_base!$F$24,0))*parametros_manuales!$B$100+parametros_manuales!$F$22*(datos_base!$F$4+datos_base!$F$20+IF(parametros_manuales!$H$22="Todos",datos_base!$F$11+datos_base!$F$25,0))*parametros_manuales!$B$105+parametros_manuales!$G$22*(datos_base!$F$5+datos_base!$F$21+IF(parametros_manuales!$H$22="Todos",datos_base!$F$12+datos_base!$F$26,0))*parametros_manuales!$B$110)*parametros_manuales!$I$22*parametros_manuales!$J$22</f>
        <v>15889.544195022</v>
      </c>
      <c r="C113" s="9" t="n">
        <f aca="false">(parametros_manuales!$D$22*(datos_base!$F$2+datos_base!$F$18+IF(parametros_manuales!$H$22="Todos",datos_base!$F$9+datos_base!$F$23,0))*parametros_manuales!$C$95+parametros_manuales!$E$22*(datos_base!$F$3+datos_base!$F$19+IF(parametros_manuales!$H$22="Todos",datos_base!$F$10+datos_base!$F$24,0))*parametros_manuales!$C$100+parametros_manuales!$F$22*(datos_base!$F$4+datos_base!$F$20+IF(parametros_manuales!$H$22="Todos",datos_base!$F$11+datos_base!$F$25,0))*parametros_manuales!$C$105+parametros_manuales!$G$22*(datos_base!$F$5+datos_base!$F$21+IF(parametros_manuales!$H$22="Todos",datos_base!$F$12+datos_base!$F$26,0))*parametros_manuales!$C$110)*parametros_manuales!$I$22*parametros_manuales!$J$22</f>
        <v>15366.347938664</v>
      </c>
      <c r="D113" s="9" t="n">
        <f aca="false">(parametros_manuales!$D$22*(datos_base!$F$2+datos_base!$F$18+IF(parametros_manuales!$H$22="Todos",datos_base!$F$9+datos_base!$F$23,0))*parametros_manuales!$D$95+parametros_manuales!$E$22*(datos_base!$F$3+datos_base!$F$19+IF(parametros_manuales!$H$22="Todos",datos_base!$F$10+datos_base!$F$24,0))*parametros_manuales!$D$100+parametros_manuales!$F$22*(datos_base!$F$4+datos_base!$F$20+IF(parametros_manuales!$H$22="Todos",datos_base!$F$11+datos_base!$F$25,0))*parametros_manuales!$D$105+parametros_manuales!$G$22*(datos_base!$F$5+datos_base!$F$21+IF(parametros_manuales!$H$22="Todos",datos_base!$F$12+datos_base!$F$26,0))*parametros_manuales!$D$110)*parametros_manuales!$I$22*parametros_manuales!$J$22</f>
        <v>14385.637412643</v>
      </c>
      <c r="E113" s="9" t="n">
        <f aca="false">(parametros_manuales!$D$22*(datos_base!$F$2+datos_base!$F$18+IF(parametros_manuales!$H$22="Todos",datos_base!$F$9+datos_base!$F$23,0))*parametros_manuales!$E$95+parametros_manuales!$E$22*(datos_base!$F$3+datos_base!$F$19+IF(parametros_manuales!$H$22="Todos",datos_base!$F$10+datos_base!$F$24,0))*parametros_manuales!$E$100+parametros_manuales!$F$22*(datos_base!$F$4+datos_base!$F$20+IF(parametros_manuales!$H$22="Todos",datos_base!$F$11+datos_base!$F$25,0))*parametros_manuales!$E$105+parametros_manuales!$G$22*(datos_base!$F$5+datos_base!$F$21+IF(parametros_manuales!$H$22="Todos",datos_base!$F$12+datos_base!$F$26,0))*parametros_manuales!$E$110)*parametros_manuales!$I$22*parametros_manuales!$J$22</f>
        <v>13764.483085543</v>
      </c>
      <c r="F113" s="9" t="n">
        <f aca="false">(parametros_manuales!$D$22*(datos_base!$F$2+datos_base!$F$18+IF(parametros_manuales!$H$22="Todos",datos_base!$F$9+datos_base!$F$23,0))*parametros_manuales!$F$95+parametros_manuales!$E$22*(datos_base!$F$3+datos_base!$F$19+IF(parametros_manuales!$H$22="Todos",datos_base!$F$10+datos_base!$F$24,0))*parametros_manuales!$F$100+parametros_manuales!$F$22*(datos_base!$F$4+datos_base!$F$20+IF(parametros_manuales!$H$22="Todos",datos_base!$F$11+datos_base!$F$25,0))*parametros_manuales!$F$105+parametros_manuales!$G$22*(datos_base!$F$5+datos_base!$F$21+IF(parametros_manuales!$H$22="Todos",datos_base!$F$12+datos_base!$F$26,0))*parametros_manuales!$F$110)*parametros_manuales!$I$22*parametros_manuales!$J$22</f>
        <v>12881.730630264</v>
      </c>
      <c r="G113" s="9" t="n">
        <f aca="false">(parametros_manuales!$D$22*(datos_base!$F$2+datos_base!$F$18+IF(parametros_manuales!$H$22="Todos",datos_base!$F$9+datos_base!$F$23,0))*parametros_manuales!$G$95+parametros_manuales!$E$22*(datos_base!$F$3+datos_base!$F$19+IF(parametros_manuales!$H$22="Todos",datos_base!$F$10+datos_base!$F$24,0))*parametros_manuales!$G$100+parametros_manuales!$F$22*(datos_base!$F$4+datos_base!$F$20+IF(parametros_manuales!$H$22="Todos",datos_base!$F$11+datos_base!$F$25,0))*parametros_manuales!$G$105+parametros_manuales!$G$22*(datos_base!$F$5+datos_base!$F$21+IF(parametros_manuales!$H$22="Todos",datos_base!$F$12+datos_base!$F$26,0))*parametros_manuales!$G$110)*parametros_manuales!$I$22*parametros_manuales!$J$22</f>
        <v>12620.132502085</v>
      </c>
      <c r="H113" s="9" t="n">
        <f aca="false">(parametros_manuales!$D$22*(datos_base!$F$2+datos_base!$F$18+IF(parametros_manuales!$H$22="Todos",datos_base!$F$9+datos_base!$F$23,0))*parametros_manuales!$H$95+parametros_manuales!$E$22*(datos_base!$F$3+datos_base!$F$19+IF(parametros_manuales!$H$22="Todos",datos_base!$F$10+datos_base!$F$24,0))*parametros_manuales!$H$100+parametros_manuales!$F$22*(datos_base!$F$4+datos_base!$F$20+IF(parametros_manuales!$H$22="Todos",datos_base!$F$11+datos_base!$F$25,0))*parametros_manuales!$H$105+parametros_manuales!$G$22*(datos_base!$F$5+datos_base!$F$21+IF(parametros_manuales!$H$22="Todos",datos_base!$F$12+datos_base!$F$26,0))*parametros_manuales!$H$110)*parametros_manuales!$I$22*parametros_manuales!$J$22</f>
        <v>13502.884957364</v>
      </c>
      <c r="I113" s="9" t="n">
        <f aca="false">(parametros_manuales!$D$22*(datos_base!$F$2+datos_base!$F$18+IF(parametros_manuales!$H$22="Todos",datos_base!$F$9+datos_base!$F$23,0))*parametros_manuales!$I$95+parametros_manuales!$E$22*(datos_base!$F$3+datos_base!$F$19+IF(parametros_manuales!$H$22="Todos",datos_base!$F$10+datos_base!$F$24,0))*parametros_manuales!$I$100+parametros_manuales!$F$22*(datos_base!$F$4+datos_base!$F$20+IF(parametros_manuales!$H$22="Todos",datos_base!$F$11+datos_base!$F$25,0))*parametros_manuales!$I$105+parametros_manuales!$G$22*(datos_base!$F$5+datos_base!$F$21+IF(parametros_manuales!$H$22="Todos",datos_base!$F$12+datos_base!$F$26,0))*parametros_manuales!$I$110)*parametros_manuales!$I$22*parametros_manuales!$J$22</f>
        <v>15366.347938664</v>
      </c>
      <c r="J113" s="9" t="n">
        <f aca="false">(parametros_manuales!$D$22*(datos_base!$F$2+datos_base!$F$18+IF(parametros_manuales!$H$22="Todos",datos_base!$F$9+datos_base!$F$23,0))*parametros_manuales!$J$95+parametros_manuales!$E$22*(datos_base!$F$3+datos_base!$F$19+IF(parametros_manuales!$H$22="Todos",datos_base!$F$10+datos_base!$F$24,0))*parametros_manuales!$J$100+parametros_manuales!$F$22*(datos_base!$F$4+datos_base!$F$20+IF(parametros_manuales!$H$22="Todos",datos_base!$F$11+datos_base!$F$25,0))*parametros_manuales!$J$105+parametros_manuales!$G$22*(datos_base!$F$5+datos_base!$F$21+IF(parametros_manuales!$H$22="Todos",datos_base!$F$12+datos_base!$F$26,0))*parametros_manuales!$J$110)*parametros_manuales!$I$22*parametros_manuales!$J$22</f>
        <v>15366.347938664</v>
      </c>
      <c r="K113" s="9" t="n">
        <f aca="false">(parametros_manuales!$D$22*(datos_base!$F$2+datos_base!$F$18+IF(parametros_manuales!$H$22="Todos",datos_base!$F$9+datos_base!$F$23,0))*parametros_manuales!$K$95+parametros_manuales!$E$22*(datos_base!$F$3+datos_base!$F$19+IF(parametros_manuales!$H$22="Todos",datos_base!$F$10+datos_base!$F$24,0))*parametros_manuales!$K$100+parametros_manuales!$F$22*(datos_base!$F$4+datos_base!$F$20+IF(parametros_manuales!$H$22="Todos",datos_base!$F$11+datos_base!$F$25,0))*parametros_manuales!$K$105+parametros_manuales!$G$22*(datos_base!$F$5+datos_base!$F$21+IF(parametros_manuales!$H$22="Todos",datos_base!$F$12+datos_base!$F$26,0))*parametros_manuales!$K$110)*parametros_manuales!$I$22*parametros_manuales!$J$22</f>
        <v>15627.946066843</v>
      </c>
      <c r="L113" s="9" t="n">
        <f aca="false">(parametros_manuales!$D$22*(datos_base!$F$2+datos_base!$F$18+IF(parametros_manuales!$H$22="Todos",datos_base!$F$9+datos_base!$F$23,0))*parametros_manuales!$L$95+parametros_manuales!$E$22*(datos_base!$F$3+datos_base!$F$19+IF(parametros_manuales!$H$22="Todos",datos_base!$F$10+datos_base!$F$24,0))*parametros_manuales!$L$100+parametros_manuales!$F$22*(datos_base!$F$4+datos_base!$F$20+IF(parametros_manuales!$H$22="Todos",datos_base!$F$11+datos_base!$F$25,0))*parametros_manuales!$L$105+parametros_manuales!$G$22*(datos_base!$F$5+datos_base!$F$21+IF(parametros_manuales!$H$22="Todos",datos_base!$F$12+datos_base!$F$26,0))*parametros_manuales!$L$110)*parametros_manuales!$I$22*parametros_manuales!$J$22</f>
        <v>15889.544195022</v>
      </c>
      <c r="M113" s="9" t="n">
        <f aca="false">(parametros_manuales!$D$22*(datos_base!$F$2+datos_base!$F$18+IF(parametros_manuales!$H$22="Todos",datos_base!$F$9+datos_base!$F$23,0))*parametros_manuales!$M$95+parametros_manuales!$E$22*(datos_base!$F$3+datos_base!$F$19+IF(parametros_manuales!$H$22="Todos",datos_base!$F$10+datos_base!$F$24,0))*parametros_manuales!$M$100+parametros_manuales!$F$22*(datos_base!$F$4+datos_base!$F$20+IF(parametros_manuales!$H$22="Todos",datos_base!$F$11+datos_base!$F$25,0))*parametros_manuales!$M$105+parametros_manuales!$G$22*(datos_base!$F$5+datos_base!$F$21+IF(parametros_manuales!$H$22="Todos",datos_base!$F$12+datos_base!$F$26,0))*parametros_manuales!$M$110)*parametros_manuales!$I$22*parametros_manuales!$J$22</f>
        <v>15889.544195022</v>
      </c>
      <c r="N113" s="9" t="n">
        <f aca="false">SUM(B113:M113)</f>
        <v>176550.4910558</v>
      </c>
      <c r="O113" s="9" t="n">
        <f aca="false">MAX(B113:M113)</f>
        <v>15889.544195022</v>
      </c>
      <c r="P113" s="43" t="n">
        <f aca="false">O113/(parametros_manuales!$B$7)</f>
        <v>105.93029463348</v>
      </c>
      <c r="Q113" s="8" t="str">
        <f aca="false">IF(O113=0,"-",INDEX($B$109:$M$109,MATCH(O113,B113:M113,0)))</f>
        <v>Ene</v>
      </c>
    </row>
    <row r="114" customFormat="false" ht="14.25" hidden="false" customHeight="true" outlineLevel="0" collapsed="false">
      <c r="A114" s="8" t="str">
        <f aca="false">parametros_manuales!$B$23</f>
        <v>Preparación de cuello</v>
      </c>
      <c r="B114" s="9" t="n">
        <f aca="false">(parametros_manuales!$D$23*(datos_base!$F$2+datos_base!$F$18+IF(parametros_manuales!$H$23="Todos",datos_base!$F$9+datos_base!$F$23,0))*parametros_manuales!$B$95+parametros_manuales!$E$23*(datos_base!$F$3+datos_base!$F$19+IF(parametros_manuales!$H$23="Todos",datos_base!$F$10+datos_base!$F$24,0))*parametros_manuales!$B$100+parametros_manuales!$F$23*(datos_base!$F$4+datos_base!$F$20+IF(parametros_manuales!$H$23="Todos",datos_base!$F$11+datos_base!$F$25,0))*parametros_manuales!$B$105+parametros_manuales!$G$23*(datos_base!$F$5+datos_base!$F$21+IF(parametros_manuales!$H$23="Todos",datos_base!$F$12+datos_base!$F$26,0))*parametros_manuales!$B$110)*parametros_manuales!$I$23*parametros_manuales!$J$23</f>
        <v>7944.772097511</v>
      </c>
      <c r="C114" s="9" t="n">
        <f aca="false">(parametros_manuales!$D$23*(datos_base!$F$2+datos_base!$F$18+IF(parametros_manuales!$H$23="Todos",datos_base!$F$9+datos_base!$F$23,0))*parametros_manuales!$C$95+parametros_manuales!$E$23*(datos_base!$F$3+datos_base!$F$19+IF(parametros_manuales!$H$23="Todos",datos_base!$F$10+datos_base!$F$24,0))*parametros_manuales!$C$100+parametros_manuales!$F$23*(datos_base!$F$4+datos_base!$F$20+IF(parametros_manuales!$H$23="Todos",datos_base!$F$11+datos_base!$F$25,0))*parametros_manuales!$C$105+parametros_manuales!$G$23*(datos_base!$F$5+datos_base!$F$21+IF(parametros_manuales!$H$23="Todos",datos_base!$F$12+datos_base!$F$26,0))*parametros_manuales!$C$110)*parametros_manuales!$I$23*parametros_manuales!$J$23</f>
        <v>7683.173969332</v>
      </c>
      <c r="D114" s="9" t="n">
        <f aca="false">(parametros_manuales!$D$23*(datos_base!$F$2+datos_base!$F$18+IF(parametros_manuales!$H$23="Todos",datos_base!$F$9+datos_base!$F$23,0))*parametros_manuales!$D$95+parametros_manuales!$E$23*(datos_base!$F$3+datos_base!$F$19+IF(parametros_manuales!$H$23="Todos",datos_base!$F$10+datos_base!$F$24,0))*parametros_manuales!$D$100+parametros_manuales!$F$23*(datos_base!$F$4+datos_base!$F$20+IF(parametros_manuales!$H$23="Todos",datos_base!$F$11+datos_base!$F$25,0))*parametros_manuales!$D$105+parametros_manuales!$G$23*(datos_base!$F$5+datos_base!$F$21+IF(parametros_manuales!$H$23="Todos",datos_base!$F$12+datos_base!$F$26,0))*parametros_manuales!$D$110)*parametros_manuales!$I$23*parametros_manuales!$J$23</f>
        <v>7192.8187063215</v>
      </c>
      <c r="E114" s="9" t="n">
        <f aca="false">(parametros_manuales!$D$23*(datos_base!$F$2+datos_base!$F$18+IF(parametros_manuales!$H$23="Todos",datos_base!$F$9+datos_base!$F$23,0))*parametros_manuales!$E$95+parametros_manuales!$E$23*(datos_base!$F$3+datos_base!$F$19+IF(parametros_manuales!$H$23="Todos",datos_base!$F$10+datos_base!$F$24,0))*parametros_manuales!$E$100+parametros_manuales!$F$23*(datos_base!$F$4+datos_base!$F$20+IF(parametros_manuales!$H$23="Todos",datos_base!$F$11+datos_base!$F$25,0))*parametros_manuales!$E$105+parametros_manuales!$G$23*(datos_base!$F$5+datos_base!$F$21+IF(parametros_manuales!$H$23="Todos",datos_base!$F$12+datos_base!$F$26,0))*parametros_manuales!$E$110)*parametros_manuales!$I$23*parametros_manuales!$J$23</f>
        <v>6882.2415427715</v>
      </c>
      <c r="F114" s="9" t="n">
        <f aca="false">(parametros_manuales!$D$23*(datos_base!$F$2+datos_base!$F$18+IF(parametros_manuales!$H$23="Todos",datos_base!$F$9+datos_base!$F$23,0))*parametros_manuales!$F$95+parametros_manuales!$E$23*(datos_base!$F$3+datos_base!$F$19+IF(parametros_manuales!$H$23="Todos",datos_base!$F$10+datos_base!$F$24,0))*parametros_manuales!$F$100+parametros_manuales!$F$23*(datos_base!$F$4+datos_base!$F$20+IF(parametros_manuales!$H$23="Todos",datos_base!$F$11+datos_base!$F$25,0))*parametros_manuales!$F$105+parametros_manuales!$G$23*(datos_base!$F$5+datos_base!$F$21+IF(parametros_manuales!$H$23="Todos",datos_base!$F$12+datos_base!$F$26,0))*parametros_manuales!$F$110)*parametros_manuales!$I$23*parametros_manuales!$J$23</f>
        <v>6440.865315132</v>
      </c>
      <c r="G114" s="9" t="n">
        <f aca="false">(parametros_manuales!$D$23*(datos_base!$F$2+datos_base!$F$18+IF(parametros_manuales!$H$23="Todos",datos_base!$F$9+datos_base!$F$23,0))*parametros_manuales!$G$95+parametros_manuales!$E$23*(datos_base!$F$3+datos_base!$F$19+IF(parametros_manuales!$H$23="Todos",datos_base!$F$10+datos_base!$F$24,0))*parametros_manuales!$G$100+parametros_manuales!$F$23*(datos_base!$F$4+datos_base!$F$20+IF(parametros_manuales!$H$23="Todos",datos_base!$F$11+datos_base!$F$25,0))*parametros_manuales!$G$105+parametros_manuales!$G$23*(datos_base!$F$5+datos_base!$F$21+IF(parametros_manuales!$H$23="Todos",datos_base!$F$12+datos_base!$F$26,0))*parametros_manuales!$G$110)*parametros_manuales!$I$23*parametros_manuales!$J$23</f>
        <v>6310.0662510425</v>
      </c>
      <c r="H114" s="9" t="n">
        <f aca="false">(parametros_manuales!$D$23*(datos_base!$F$2+datos_base!$F$18+IF(parametros_manuales!$H$23="Todos",datos_base!$F$9+datos_base!$F$23,0))*parametros_manuales!$H$95+parametros_manuales!$E$23*(datos_base!$F$3+datos_base!$F$19+IF(parametros_manuales!$H$23="Todos",datos_base!$F$10+datos_base!$F$24,0))*parametros_manuales!$H$100+parametros_manuales!$F$23*(datos_base!$F$4+datos_base!$F$20+IF(parametros_manuales!$H$23="Todos",datos_base!$F$11+datos_base!$F$25,0))*parametros_manuales!$H$105+parametros_manuales!$G$23*(datos_base!$F$5+datos_base!$F$21+IF(parametros_manuales!$H$23="Todos",datos_base!$F$12+datos_base!$F$26,0))*parametros_manuales!$H$110)*parametros_manuales!$I$23*parametros_manuales!$J$23</f>
        <v>6751.442478682</v>
      </c>
      <c r="I114" s="9" t="n">
        <f aca="false">(parametros_manuales!$D$23*(datos_base!$F$2+datos_base!$F$18+IF(parametros_manuales!$H$23="Todos",datos_base!$F$9+datos_base!$F$23,0))*parametros_manuales!$I$95+parametros_manuales!$E$23*(datos_base!$F$3+datos_base!$F$19+IF(parametros_manuales!$H$23="Todos",datos_base!$F$10+datos_base!$F$24,0))*parametros_manuales!$I$100+parametros_manuales!$F$23*(datos_base!$F$4+datos_base!$F$20+IF(parametros_manuales!$H$23="Todos",datos_base!$F$11+datos_base!$F$25,0))*parametros_manuales!$I$105+parametros_manuales!$G$23*(datos_base!$F$5+datos_base!$F$21+IF(parametros_manuales!$H$23="Todos",datos_base!$F$12+datos_base!$F$26,0))*parametros_manuales!$I$110)*parametros_manuales!$I$23*parametros_manuales!$J$23</f>
        <v>7683.173969332</v>
      </c>
      <c r="J114" s="9" t="n">
        <f aca="false">(parametros_manuales!$D$23*(datos_base!$F$2+datos_base!$F$18+IF(parametros_manuales!$H$23="Todos",datos_base!$F$9+datos_base!$F$23,0))*parametros_manuales!$J$95+parametros_manuales!$E$23*(datos_base!$F$3+datos_base!$F$19+IF(parametros_manuales!$H$23="Todos",datos_base!$F$10+datos_base!$F$24,0))*parametros_manuales!$J$100+parametros_manuales!$F$23*(datos_base!$F$4+datos_base!$F$20+IF(parametros_manuales!$H$23="Todos",datos_base!$F$11+datos_base!$F$25,0))*parametros_manuales!$J$105+parametros_manuales!$G$23*(datos_base!$F$5+datos_base!$F$21+IF(parametros_manuales!$H$23="Todos",datos_base!$F$12+datos_base!$F$26,0))*parametros_manuales!$J$110)*parametros_manuales!$I$23*parametros_manuales!$J$23</f>
        <v>7683.173969332</v>
      </c>
      <c r="K114" s="9" t="n">
        <f aca="false">(parametros_manuales!$D$23*(datos_base!$F$2+datos_base!$F$18+IF(parametros_manuales!$H$23="Todos",datos_base!$F$9+datos_base!$F$23,0))*parametros_manuales!$K$95+parametros_manuales!$E$23*(datos_base!$F$3+datos_base!$F$19+IF(parametros_manuales!$H$23="Todos",datos_base!$F$10+datos_base!$F$24,0))*parametros_manuales!$K$100+parametros_manuales!$F$23*(datos_base!$F$4+datos_base!$F$20+IF(parametros_manuales!$H$23="Todos",datos_base!$F$11+datos_base!$F$25,0))*parametros_manuales!$K$105+parametros_manuales!$G$23*(datos_base!$F$5+datos_base!$F$21+IF(parametros_manuales!$H$23="Todos",datos_base!$F$12+datos_base!$F$26,0))*parametros_manuales!$K$110)*parametros_manuales!$I$23*parametros_manuales!$J$23</f>
        <v>7813.9730334215</v>
      </c>
      <c r="L114" s="9" t="n">
        <f aca="false">(parametros_manuales!$D$23*(datos_base!$F$2+datos_base!$F$18+IF(parametros_manuales!$H$23="Todos",datos_base!$F$9+datos_base!$F$23,0))*parametros_manuales!$L$95+parametros_manuales!$E$23*(datos_base!$F$3+datos_base!$F$19+IF(parametros_manuales!$H$23="Todos",datos_base!$F$10+datos_base!$F$24,0))*parametros_manuales!$L$100+parametros_manuales!$F$23*(datos_base!$F$4+datos_base!$F$20+IF(parametros_manuales!$H$23="Todos",datos_base!$F$11+datos_base!$F$25,0))*parametros_manuales!$L$105+parametros_manuales!$G$23*(datos_base!$F$5+datos_base!$F$21+IF(parametros_manuales!$H$23="Todos",datos_base!$F$12+datos_base!$F$26,0))*parametros_manuales!$L$110)*parametros_manuales!$I$23*parametros_manuales!$J$23</f>
        <v>7944.772097511</v>
      </c>
      <c r="M114" s="9" t="n">
        <f aca="false">(parametros_manuales!$D$23*(datos_base!$F$2+datos_base!$F$18+IF(parametros_manuales!$H$23="Todos",datos_base!$F$9+datos_base!$F$23,0))*parametros_manuales!$M$95+parametros_manuales!$E$23*(datos_base!$F$3+datos_base!$F$19+IF(parametros_manuales!$H$23="Todos",datos_base!$F$10+datos_base!$F$24,0))*parametros_manuales!$M$100+parametros_manuales!$F$23*(datos_base!$F$4+datos_base!$F$20+IF(parametros_manuales!$H$23="Todos",datos_base!$F$11+datos_base!$F$25,0))*parametros_manuales!$M$105+parametros_manuales!$G$23*(datos_base!$F$5+datos_base!$F$21+IF(parametros_manuales!$H$23="Todos",datos_base!$F$12+datos_base!$F$26,0))*parametros_manuales!$M$110)*parametros_manuales!$I$23*parametros_manuales!$J$23</f>
        <v>7944.772097511</v>
      </c>
      <c r="N114" s="9" t="n">
        <f aca="false">SUM(B114:M114)</f>
        <v>88275.2455279</v>
      </c>
      <c r="O114" s="9" t="n">
        <f aca="false">MAX(B114:M114)</f>
        <v>7944.772097511</v>
      </c>
      <c r="P114" s="43" t="n">
        <f aca="false">O114/(parametros_manuales!$B$7)</f>
        <v>52.96514731674</v>
      </c>
      <c r="Q114" s="8" t="str">
        <f aca="false">IF(O114=0,"-",INDEX($B$109:$M$109,MATCH(O114,B114:M114,0)))</f>
        <v>Ene</v>
      </c>
    </row>
    <row r="115" customFormat="false" ht="14.25" hidden="false" customHeight="true" outlineLevel="0" collapsed="false">
      <c r="A115" s="8" t="str">
        <f aca="false">parametros_manuales!$B$24</f>
        <v>Numerado de cúpula</v>
      </c>
      <c r="B115" s="9" t="n">
        <f aca="false">(parametros_manuales!$D$24*(datos_base!$F$2+datos_base!$F$18+IF(parametros_manuales!$H$24="Todos",datos_base!$F$9+datos_base!$F$23,0))*parametros_manuales!$B$95+parametros_manuales!$E$24*(datos_base!$F$3+datos_base!$F$19+IF(parametros_manuales!$H$24="Todos",datos_base!$F$10+datos_base!$F$24,0))*parametros_manuales!$B$100+parametros_manuales!$F$24*(datos_base!$F$4+datos_base!$F$20+IF(parametros_manuales!$H$24="Todos",datos_base!$F$11+datos_base!$F$25,0))*parametros_manuales!$B$105+parametros_manuales!$G$24*(datos_base!$F$5+datos_base!$F$21+IF(parametros_manuales!$H$24="Todos",datos_base!$F$12+datos_base!$F$26,0))*parametros_manuales!$B$110)*parametros_manuales!$I$24*parametros_manuales!$J$24</f>
        <v>7944.772097511</v>
      </c>
      <c r="C115" s="9" t="n">
        <f aca="false">(parametros_manuales!$D$24*(datos_base!$F$2+datos_base!$F$18+IF(parametros_manuales!$H$24="Todos",datos_base!$F$9+datos_base!$F$23,0))*parametros_manuales!$C$95+parametros_manuales!$E$24*(datos_base!$F$3+datos_base!$F$19+IF(parametros_manuales!$H$24="Todos",datos_base!$F$10+datos_base!$F$24,0))*parametros_manuales!$C$100+parametros_manuales!$F$24*(datos_base!$F$4+datos_base!$F$20+IF(parametros_manuales!$H$24="Todos",datos_base!$F$11+datos_base!$F$25,0))*parametros_manuales!$C$105+parametros_manuales!$G$24*(datos_base!$F$5+datos_base!$F$21+IF(parametros_manuales!$H$24="Todos",datos_base!$F$12+datos_base!$F$26,0))*parametros_manuales!$C$110)*parametros_manuales!$I$24*parametros_manuales!$J$24</f>
        <v>7683.173969332</v>
      </c>
      <c r="D115" s="9" t="n">
        <f aca="false">(parametros_manuales!$D$24*(datos_base!$F$2+datos_base!$F$18+IF(parametros_manuales!$H$24="Todos",datos_base!$F$9+datos_base!$F$23,0))*parametros_manuales!$D$95+parametros_manuales!$E$24*(datos_base!$F$3+datos_base!$F$19+IF(parametros_manuales!$H$24="Todos",datos_base!$F$10+datos_base!$F$24,0))*parametros_manuales!$D$100+parametros_manuales!$F$24*(datos_base!$F$4+datos_base!$F$20+IF(parametros_manuales!$H$24="Todos",datos_base!$F$11+datos_base!$F$25,0))*parametros_manuales!$D$105+parametros_manuales!$G$24*(datos_base!$F$5+datos_base!$F$21+IF(parametros_manuales!$H$24="Todos",datos_base!$F$12+datos_base!$F$26,0))*parametros_manuales!$D$110)*parametros_manuales!$I$24*parametros_manuales!$J$24</f>
        <v>7192.8187063215</v>
      </c>
      <c r="E115" s="9" t="n">
        <f aca="false">(parametros_manuales!$D$24*(datos_base!$F$2+datos_base!$F$18+IF(parametros_manuales!$H$24="Todos",datos_base!$F$9+datos_base!$F$23,0))*parametros_manuales!$E$95+parametros_manuales!$E$24*(datos_base!$F$3+datos_base!$F$19+IF(parametros_manuales!$H$24="Todos",datos_base!$F$10+datos_base!$F$24,0))*parametros_manuales!$E$100+parametros_manuales!$F$24*(datos_base!$F$4+datos_base!$F$20+IF(parametros_manuales!$H$24="Todos",datos_base!$F$11+datos_base!$F$25,0))*parametros_manuales!$E$105+parametros_manuales!$G$24*(datos_base!$F$5+datos_base!$F$21+IF(parametros_manuales!$H$24="Todos",datos_base!$F$12+datos_base!$F$26,0))*parametros_manuales!$E$110)*parametros_manuales!$I$24*parametros_manuales!$J$24</f>
        <v>6882.2415427715</v>
      </c>
      <c r="F115" s="9" t="n">
        <f aca="false">(parametros_manuales!$D$24*(datos_base!$F$2+datos_base!$F$18+IF(parametros_manuales!$H$24="Todos",datos_base!$F$9+datos_base!$F$23,0))*parametros_manuales!$F$95+parametros_manuales!$E$24*(datos_base!$F$3+datos_base!$F$19+IF(parametros_manuales!$H$24="Todos",datos_base!$F$10+datos_base!$F$24,0))*parametros_manuales!$F$100+parametros_manuales!$F$24*(datos_base!$F$4+datos_base!$F$20+IF(parametros_manuales!$H$24="Todos",datos_base!$F$11+datos_base!$F$25,0))*parametros_manuales!$F$105+parametros_manuales!$G$24*(datos_base!$F$5+datos_base!$F$21+IF(parametros_manuales!$H$24="Todos",datos_base!$F$12+datos_base!$F$26,0))*parametros_manuales!$F$110)*parametros_manuales!$I$24*parametros_manuales!$J$24</f>
        <v>6440.865315132</v>
      </c>
      <c r="G115" s="9" t="n">
        <f aca="false">(parametros_manuales!$D$24*(datos_base!$F$2+datos_base!$F$18+IF(parametros_manuales!$H$24="Todos",datos_base!$F$9+datos_base!$F$23,0))*parametros_manuales!$G$95+parametros_manuales!$E$24*(datos_base!$F$3+datos_base!$F$19+IF(parametros_manuales!$H$24="Todos",datos_base!$F$10+datos_base!$F$24,0))*parametros_manuales!$G$100+parametros_manuales!$F$24*(datos_base!$F$4+datos_base!$F$20+IF(parametros_manuales!$H$24="Todos",datos_base!$F$11+datos_base!$F$25,0))*parametros_manuales!$G$105+parametros_manuales!$G$24*(datos_base!$F$5+datos_base!$F$21+IF(parametros_manuales!$H$24="Todos",datos_base!$F$12+datos_base!$F$26,0))*parametros_manuales!$G$110)*parametros_manuales!$I$24*parametros_manuales!$J$24</f>
        <v>6310.0662510425</v>
      </c>
      <c r="H115" s="9" t="n">
        <f aca="false">(parametros_manuales!$D$24*(datos_base!$F$2+datos_base!$F$18+IF(parametros_manuales!$H$24="Todos",datos_base!$F$9+datos_base!$F$23,0))*parametros_manuales!$H$95+parametros_manuales!$E$24*(datos_base!$F$3+datos_base!$F$19+IF(parametros_manuales!$H$24="Todos",datos_base!$F$10+datos_base!$F$24,0))*parametros_manuales!$H$100+parametros_manuales!$F$24*(datos_base!$F$4+datos_base!$F$20+IF(parametros_manuales!$H$24="Todos",datos_base!$F$11+datos_base!$F$25,0))*parametros_manuales!$H$105+parametros_manuales!$G$24*(datos_base!$F$5+datos_base!$F$21+IF(parametros_manuales!$H$24="Todos",datos_base!$F$12+datos_base!$F$26,0))*parametros_manuales!$H$110)*parametros_manuales!$I$24*parametros_manuales!$J$24</f>
        <v>6751.442478682</v>
      </c>
      <c r="I115" s="9" t="n">
        <f aca="false">(parametros_manuales!$D$24*(datos_base!$F$2+datos_base!$F$18+IF(parametros_manuales!$H$24="Todos",datos_base!$F$9+datos_base!$F$23,0))*parametros_manuales!$I$95+parametros_manuales!$E$24*(datos_base!$F$3+datos_base!$F$19+IF(parametros_manuales!$H$24="Todos",datos_base!$F$10+datos_base!$F$24,0))*parametros_manuales!$I$100+parametros_manuales!$F$24*(datos_base!$F$4+datos_base!$F$20+IF(parametros_manuales!$H$24="Todos",datos_base!$F$11+datos_base!$F$25,0))*parametros_manuales!$I$105+parametros_manuales!$G$24*(datos_base!$F$5+datos_base!$F$21+IF(parametros_manuales!$H$24="Todos",datos_base!$F$12+datos_base!$F$26,0))*parametros_manuales!$I$110)*parametros_manuales!$I$24*parametros_manuales!$J$24</f>
        <v>7683.173969332</v>
      </c>
      <c r="J115" s="9" t="n">
        <f aca="false">(parametros_manuales!$D$24*(datos_base!$F$2+datos_base!$F$18+IF(parametros_manuales!$H$24="Todos",datos_base!$F$9+datos_base!$F$23,0))*parametros_manuales!$J$95+parametros_manuales!$E$24*(datos_base!$F$3+datos_base!$F$19+IF(parametros_manuales!$H$24="Todos",datos_base!$F$10+datos_base!$F$24,0))*parametros_manuales!$J$100+parametros_manuales!$F$24*(datos_base!$F$4+datos_base!$F$20+IF(parametros_manuales!$H$24="Todos",datos_base!$F$11+datos_base!$F$25,0))*parametros_manuales!$J$105+parametros_manuales!$G$24*(datos_base!$F$5+datos_base!$F$21+IF(parametros_manuales!$H$24="Todos",datos_base!$F$12+datos_base!$F$26,0))*parametros_manuales!$J$110)*parametros_manuales!$I$24*parametros_manuales!$J$24</f>
        <v>7683.173969332</v>
      </c>
      <c r="K115" s="9" t="n">
        <f aca="false">(parametros_manuales!$D$24*(datos_base!$F$2+datos_base!$F$18+IF(parametros_manuales!$H$24="Todos",datos_base!$F$9+datos_base!$F$23,0))*parametros_manuales!$K$95+parametros_manuales!$E$24*(datos_base!$F$3+datos_base!$F$19+IF(parametros_manuales!$H$24="Todos",datos_base!$F$10+datos_base!$F$24,0))*parametros_manuales!$K$100+parametros_manuales!$F$24*(datos_base!$F$4+datos_base!$F$20+IF(parametros_manuales!$H$24="Todos",datos_base!$F$11+datos_base!$F$25,0))*parametros_manuales!$K$105+parametros_manuales!$G$24*(datos_base!$F$5+datos_base!$F$21+IF(parametros_manuales!$H$24="Todos",datos_base!$F$12+datos_base!$F$26,0))*parametros_manuales!$K$110)*parametros_manuales!$I$24*parametros_manuales!$J$24</f>
        <v>7813.9730334215</v>
      </c>
      <c r="L115" s="9" t="n">
        <f aca="false">(parametros_manuales!$D$24*(datos_base!$F$2+datos_base!$F$18+IF(parametros_manuales!$H$24="Todos",datos_base!$F$9+datos_base!$F$23,0))*parametros_manuales!$L$95+parametros_manuales!$E$24*(datos_base!$F$3+datos_base!$F$19+IF(parametros_manuales!$H$24="Todos",datos_base!$F$10+datos_base!$F$24,0))*parametros_manuales!$L$100+parametros_manuales!$F$24*(datos_base!$F$4+datos_base!$F$20+IF(parametros_manuales!$H$24="Todos",datos_base!$F$11+datos_base!$F$25,0))*parametros_manuales!$L$105+parametros_manuales!$G$24*(datos_base!$F$5+datos_base!$F$21+IF(parametros_manuales!$H$24="Todos",datos_base!$F$12+datos_base!$F$26,0))*parametros_manuales!$L$110)*parametros_manuales!$I$24*parametros_manuales!$J$24</f>
        <v>7944.772097511</v>
      </c>
      <c r="M115" s="9" t="n">
        <f aca="false">(parametros_manuales!$D$24*(datos_base!$F$2+datos_base!$F$18+IF(parametros_manuales!$H$24="Todos",datos_base!$F$9+datos_base!$F$23,0))*parametros_manuales!$M$95+parametros_manuales!$E$24*(datos_base!$F$3+datos_base!$F$19+IF(parametros_manuales!$H$24="Todos",datos_base!$F$10+datos_base!$F$24,0))*parametros_manuales!$M$100+parametros_manuales!$F$24*(datos_base!$F$4+datos_base!$F$20+IF(parametros_manuales!$H$24="Todos",datos_base!$F$11+datos_base!$F$25,0))*parametros_manuales!$M$105+parametros_manuales!$G$24*(datos_base!$F$5+datos_base!$F$21+IF(parametros_manuales!$H$24="Todos",datos_base!$F$12+datos_base!$F$26,0))*parametros_manuales!$M$110)*parametros_manuales!$I$24*parametros_manuales!$J$24</f>
        <v>7944.772097511</v>
      </c>
      <c r="N115" s="9" t="n">
        <f aca="false">SUM(B115:M115)</f>
        <v>88275.2455279</v>
      </c>
      <c r="O115" s="9" t="n">
        <f aca="false">MAX(B115:M115)</f>
        <v>7944.772097511</v>
      </c>
      <c r="P115" s="43" t="n">
        <f aca="false">O115/(parametros_manuales!$B$7)</f>
        <v>52.96514731674</v>
      </c>
      <c r="Q115" s="8" t="str">
        <f aca="false">IF(O115=0,"-",INDEX($B$109:$M$109,MATCH(O115,B115:M115,0)))</f>
        <v>Ene</v>
      </c>
    </row>
    <row r="116" customFormat="false" ht="14.25" hidden="false" customHeight="true" outlineLevel="0" collapsed="false">
      <c r="A116" s="8" t="str">
        <f aca="false">parametros_manuales!$B$25</f>
        <v>Soldadura del cuello a la cúpula</v>
      </c>
      <c r="B116" s="9" t="n">
        <f aca="false">(parametros_manuales!$D$25*(datos_base!$F$2+datos_base!$F$18+IF(parametros_manuales!$H$25="Todos",datos_base!$F$9+datos_base!$F$23,0))*parametros_manuales!$B$95+parametros_manuales!$E$25*(datos_base!$F$3+datos_base!$F$19+IF(parametros_manuales!$H$25="Todos",datos_base!$F$10+datos_base!$F$24,0))*parametros_manuales!$B$100+parametros_manuales!$F$25*(datos_base!$F$4+datos_base!$F$20+IF(parametros_manuales!$H$25="Todos",datos_base!$F$11+datos_base!$F$25,0))*parametros_manuales!$B$105+parametros_manuales!$G$25*(datos_base!$F$5+datos_base!$F$21+IF(parametros_manuales!$H$25="Todos",datos_base!$F$12+datos_base!$F$26,0))*parametros_manuales!$B$110)*parametros_manuales!$I$25*parametros_manuales!$J$25</f>
        <v>7944.772097511</v>
      </c>
      <c r="C116" s="9" t="n">
        <f aca="false">(parametros_manuales!$D$25*(datos_base!$F$2+datos_base!$F$18+IF(parametros_manuales!$H$25="Todos",datos_base!$F$9+datos_base!$F$23,0))*parametros_manuales!$C$95+parametros_manuales!$E$25*(datos_base!$F$3+datos_base!$F$19+IF(parametros_manuales!$H$25="Todos",datos_base!$F$10+datos_base!$F$24,0))*parametros_manuales!$C$100+parametros_manuales!$F$25*(datos_base!$F$4+datos_base!$F$20+IF(parametros_manuales!$H$25="Todos",datos_base!$F$11+datos_base!$F$25,0))*parametros_manuales!$C$105+parametros_manuales!$G$25*(datos_base!$F$5+datos_base!$F$21+IF(parametros_manuales!$H$25="Todos",datos_base!$F$12+datos_base!$F$26,0))*parametros_manuales!$C$110)*parametros_manuales!$I$25*parametros_manuales!$J$25</f>
        <v>7683.173969332</v>
      </c>
      <c r="D116" s="9" t="n">
        <f aca="false">(parametros_manuales!$D$25*(datos_base!$F$2+datos_base!$F$18+IF(parametros_manuales!$H$25="Todos",datos_base!$F$9+datos_base!$F$23,0))*parametros_manuales!$D$95+parametros_manuales!$E$25*(datos_base!$F$3+datos_base!$F$19+IF(parametros_manuales!$H$25="Todos",datos_base!$F$10+datos_base!$F$24,0))*parametros_manuales!$D$100+parametros_manuales!$F$25*(datos_base!$F$4+datos_base!$F$20+IF(parametros_manuales!$H$25="Todos",datos_base!$F$11+datos_base!$F$25,0))*parametros_manuales!$D$105+parametros_manuales!$G$25*(datos_base!$F$5+datos_base!$F$21+IF(parametros_manuales!$H$25="Todos",datos_base!$F$12+datos_base!$F$26,0))*parametros_manuales!$D$110)*parametros_manuales!$I$25*parametros_manuales!$J$25</f>
        <v>7192.8187063215</v>
      </c>
      <c r="E116" s="9" t="n">
        <f aca="false">(parametros_manuales!$D$25*(datos_base!$F$2+datos_base!$F$18+IF(parametros_manuales!$H$25="Todos",datos_base!$F$9+datos_base!$F$23,0))*parametros_manuales!$E$95+parametros_manuales!$E$25*(datos_base!$F$3+datos_base!$F$19+IF(parametros_manuales!$H$25="Todos",datos_base!$F$10+datos_base!$F$24,0))*parametros_manuales!$E$100+parametros_manuales!$F$25*(datos_base!$F$4+datos_base!$F$20+IF(parametros_manuales!$H$25="Todos",datos_base!$F$11+datos_base!$F$25,0))*parametros_manuales!$E$105+parametros_manuales!$G$25*(datos_base!$F$5+datos_base!$F$21+IF(parametros_manuales!$H$25="Todos",datos_base!$F$12+datos_base!$F$26,0))*parametros_manuales!$E$110)*parametros_manuales!$I$25*parametros_manuales!$J$25</f>
        <v>6882.2415427715</v>
      </c>
      <c r="F116" s="9" t="n">
        <f aca="false">(parametros_manuales!$D$25*(datos_base!$F$2+datos_base!$F$18+IF(parametros_manuales!$H$25="Todos",datos_base!$F$9+datos_base!$F$23,0))*parametros_manuales!$F$95+parametros_manuales!$E$25*(datos_base!$F$3+datos_base!$F$19+IF(parametros_manuales!$H$25="Todos",datos_base!$F$10+datos_base!$F$24,0))*parametros_manuales!$F$100+parametros_manuales!$F$25*(datos_base!$F$4+datos_base!$F$20+IF(parametros_manuales!$H$25="Todos",datos_base!$F$11+datos_base!$F$25,0))*parametros_manuales!$F$105+parametros_manuales!$G$25*(datos_base!$F$5+datos_base!$F$21+IF(parametros_manuales!$H$25="Todos",datos_base!$F$12+datos_base!$F$26,0))*parametros_manuales!$F$110)*parametros_manuales!$I$25*parametros_manuales!$J$25</f>
        <v>6440.865315132</v>
      </c>
      <c r="G116" s="9" t="n">
        <f aca="false">(parametros_manuales!$D$25*(datos_base!$F$2+datos_base!$F$18+IF(parametros_manuales!$H$25="Todos",datos_base!$F$9+datos_base!$F$23,0))*parametros_manuales!$G$95+parametros_manuales!$E$25*(datos_base!$F$3+datos_base!$F$19+IF(parametros_manuales!$H$25="Todos",datos_base!$F$10+datos_base!$F$24,0))*parametros_manuales!$G$100+parametros_manuales!$F$25*(datos_base!$F$4+datos_base!$F$20+IF(parametros_manuales!$H$25="Todos",datos_base!$F$11+datos_base!$F$25,0))*parametros_manuales!$G$105+parametros_manuales!$G$25*(datos_base!$F$5+datos_base!$F$21+IF(parametros_manuales!$H$25="Todos",datos_base!$F$12+datos_base!$F$26,0))*parametros_manuales!$G$110)*parametros_manuales!$I$25*parametros_manuales!$J$25</f>
        <v>6310.0662510425</v>
      </c>
      <c r="H116" s="9" t="n">
        <f aca="false">(parametros_manuales!$D$25*(datos_base!$F$2+datos_base!$F$18+IF(parametros_manuales!$H$25="Todos",datos_base!$F$9+datos_base!$F$23,0))*parametros_manuales!$H$95+parametros_manuales!$E$25*(datos_base!$F$3+datos_base!$F$19+IF(parametros_manuales!$H$25="Todos",datos_base!$F$10+datos_base!$F$24,0))*parametros_manuales!$H$100+parametros_manuales!$F$25*(datos_base!$F$4+datos_base!$F$20+IF(parametros_manuales!$H$25="Todos",datos_base!$F$11+datos_base!$F$25,0))*parametros_manuales!$H$105+parametros_manuales!$G$25*(datos_base!$F$5+datos_base!$F$21+IF(parametros_manuales!$H$25="Todos",datos_base!$F$12+datos_base!$F$26,0))*parametros_manuales!$H$110)*parametros_manuales!$I$25*parametros_manuales!$J$25</f>
        <v>6751.442478682</v>
      </c>
      <c r="I116" s="9" t="n">
        <f aca="false">(parametros_manuales!$D$25*(datos_base!$F$2+datos_base!$F$18+IF(parametros_manuales!$H$25="Todos",datos_base!$F$9+datos_base!$F$23,0))*parametros_manuales!$I$95+parametros_manuales!$E$25*(datos_base!$F$3+datos_base!$F$19+IF(parametros_manuales!$H$25="Todos",datos_base!$F$10+datos_base!$F$24,0))*parametros_manuales!$I$100+parametros_manuales!$F$25*(datos_base!$F$4+datos_base!$F$20+IF(parametros_manuales!$H$25="Todos",datos_base!$F$11+datos_base!$F$25,0))*parametros_manuales!$I$105+parametros_manuales!$G$25*(datos_base!$F$5+datos_base!$F$21+IF(parametros_manuales!$H$25="Todos",datos_base!$F$12+datos_base!$F$26,0))*parametros_manuales!$I$110)*parametros_manuales!$I$25*parametros_manuales!$J$25</f>
        <v>7683.173969332</v>
      </c>
      <c r="J116" s="9" t="n">
        <f aca="false">(parametros_manuales!$D$25*(datos_base!$F$2+datos_base!$F$18+IF(parametros_manuales!$H$25="Todos",datos_base!$F$9+datos_base!$F$23,0))*parametros_manuales!$J$95+parametros_manuales!$E$25*(datos_base!$F$3+datos_base!$F$19+IF(parametros_manuales!$H$25="Todos",datos_base!$F$10+datos_base!$F$24,0))*parametros_manuales!$J$100+parametros_manuales!$F$25*(datos_base!$F$4+datos_base!$F$20+IF(parametros_manuales!$H$25="Todos",datos_base!$F$11+datos_base!$F$25,0))*parametros_manuales!$J$105+parametros_manuales!$G$25*(datos_base!$F$5+datos_base!$F$21+IF(parametros_manuales!$H$25="Todos",datos_base!$F$12+datos_base!$F$26,0))*parametros_manuales!$J$110)*parametros_manuales!$I$25*parametros_manuales!$J$25</f>
        <v>7683.173969332</v>
      </c>
      <c r="K116" s="9" t="n">
        <f aca="false">(parametros_manuales!$D$25*(datos_base!$F$2+datos_base!$F$18+IF(parametros_manuales!$H$25="Todos",datos_base!$F$9+datos_base!$F$23,0))*parametros_manuales!$K$95+parametros_manuales!$E$25*(datos_base!$F$3+datos_base!$F$19+IF(parametros_manuales!$H$25="Todos",datos_base!$F$10+datos_base!$F$24,0))*parametros_manuales!$K$100+parametros_manuales!$F$25*(datos_base!$F$4+datos_base!$F$20+IF(parametros_manuales!$H$25="Todos",datos_base!$F$11+datos_base!$F$25,0))*parametros_manuales!$K$105+parametros_manuales!$G$25*(datos_base!$F$5+datos_base!$F$21+IF(parametros_manuales!$H$25="Todos",datos_base!$F$12+datos_base!$F$26,0))*parametros_manuales!$K$110)*parametros_manuales!$I$25*parametros_manuales!$J$25</f>
        <v>7813.9730334215</v>
      </c>
      <c r="L116" s="9" t="n">
        <f aca="false">(parametros_manuales!$D$25*(datos_base!$F$2+datos_base!$F$18+IF(parametros_manuales!$H$25="Todos",datos_base!$F$9+datos_base!$F$23,0))*parametros_manuales!$L$95+parametros_manuales!$E$25*(datos_base!$F$3+datos_base!$F$19+IF(parametros_manuales!$H$25="Todos",datos_base!$F$10+datos_base!$F$24,0))*parametros_manuales!$L$100+parametros_manuales!$F$25*(datos_base!$F$4+datos_base!$F$20+IF(parametros_manuales!$H$25="Todos",datos_base!$F$11+datos_base!$F$25,0))*parametros_manuales!$L$105+parametros_manuales!$G$25*(datos_base!$F$5+datos_base!$F$21+IF(parametros_manuales!$H$25="Todos",datos_base!$F$12+datos_base!$F$26,0))*parametros_manuales!$L$110)*parametros_manuales!$I$25*parametros_manuales!$J$25</f>
        <v>7944.772097511</v>
      </c>
      <c r="M116" s="9" t="n">
        <f aca="false">(parametros_manuales!$D$25*(datos_base!$F$2+datos_base!$F$18+IF(parametros_manuales!$H$25="Todos",datos_base!$F$9+datos_base!$F$23,0))*parametros_manuales!$M$95+parametros_manuales!$E$25*(datos_base!$F$3+datos_base!$F$19+IF(parametros_manuales!$H$25="Todos",datos_base!$F$10+datos_base!$F$24,0))*parametros_manuales!$M$100+parametros_manuales!$F$25*(datos_base!$F$4+datos_base!$F$20+IF(parametros_manuales!$H$25="Todos",datos_base!$F$11+datos_base!$F$25,0))*parametros_manuales!$M$105+parametros_manuales!$G$25*(datos_base!$F$5+datos_base!$F$21+IF(parametros_manuales!$H$25="Todos",datos_base!$F$12+datos_base!$F$26,0))*parametros_manuales!$M$110)*parametros_manuales!$I$25*parametros_manuales!$J$25</f>
        <v>7944.772097511</v>
      </c>
      <c r="N116" s="9" t="n">
        <f aca="false">SUM(B116:M116)</f>
        <v>88275.2455279</v>
      </c>
      <c r="O116" s="9" t="n">
        <f aca="false">MAX(B116:M116)</f>
        <v>7944.772097511</v>
      </c>
      <c r="P116" s="43" t="n">
        <f aca="false">O116/(parametros_manuales!$B$7)</f>
        <v>52.96514731674</v>
      </c>
      <c r="Q116" s="8" t="str">
        <f aca="false">IF(O116=0,"-",INDEX($B$109:$M$109,MATCH(O116,B116:M116,0)))</f>
        <v>Ene</v>
      </c>
    </row>
    <row r="117" customFormat="false" ht="14.25" hidden="false" customHeight="true" outlineLevel="0" collapsed="false">
      <c r="A117" s="8" t="str">
        <f aca="false">parametros_manuales!$B$26</f>
        <v>Cilindrado</v>
      </c>
      <c r="B117" s="9" t="n">
        <f aca="false">(parametros_manuales!$D$26*(datos_base!$F$2+datos_base!$F$18+IF(parametros_manuales!$H$26="Todos",datos_base!$F$9+datos_base!$F$23,0))*parametros_manuales!$B$95+parametros_manuales!$E$26*(datos_base!$F$3+datos_base!$F$19+IF(parametros_manuales!$H$26="Todos",datos_base!$F$10+datos_base!$F$24,0))*parametros_manuales!$B$100+parametros_manuales!$F$26*(datos_base!$F$4+datos_base!$F$20+IF(parametros_manuales!$H$26="Todos",datos_base!$F$11+datos_base!$F$25,0))*parametros_manuales!$B$105+parametros_manuales!$G$26*(datos_base!$F$5+datos_base!$F$21+IF(parametros_manuales!$H$26="Todos",datos_base!$F$12+datos_base!$F$26,0))*parametros_manuales!$B$110)*parametros_manuales!$I$26*parametros_manuales!$J$26</f>
        <v>2354.383153611</v>
      </c>
      <c r="C117" s="9" t="n">
        <f aca="false">(parametros_manuales!$D$26*(datos_base!$F$2+datos_base!$F$18+IF(parametros_manuales!$H$26="Todos",datos_base!$F$9+datos_base!$F$23,0))*parametros_manuales!$C$95+parametros_manuales!$E$26*(datos_base!$F$3+datos_base!$F$19+IF(parametros_manuales!$H$26="Todos",datos_base!$F$10+datos_base!$F$24,0))*parametros_manuales!$C$100+parametros_manuales!$F$26*(datos_base!$F$4+datos_base!$F$20+IF(parametros_manuales!$H$26="Todos",datos_base!$F$11+datos_base!$F$25,0))*parametros_manuales!$C$105+parametros_manuales!$G$26*(datos_base!$F$5+datos_base!$F$21+IF(parametros_manuales!$H$26="Todos",datos_base!$F$12+datos_base!$F$26,0))*parametros_manuales!$C$110)*parametros_manuales!$I$26*parametros_manuales!$J$26</f>
        <v>2092.785025432</v>
      </c>
      <c r="D117" s="9" t="n">
        <f aca="false">(parametros_manuales!$D$26*(datos_base!$F$2+datos_base!$F$18+IF(parametros_manuales!$H$26="Todos",datos_base!$F$9+datos_base!$F$23,0))*parametros_manuales!$D$95+parametros_manuales!$E$26*(datos_base!$F$3+datos_base!$F$19+IF(parametros_manuales!$H$26="Todos",datos_base!$F$10+datos_base!$F$24,0))*parametros_manuales!$D$100+parametros_manuales!$F$26*(datos_base!$F$4+datos_base!$F$20+IF(parametros_manuales!$H$26="Todos",datos_base!$F$11+datos_base!$F$25,0))*parametros_manuales!$D$105+parametros_manuales!$G$26*(datos_base!$F$5+datos_base!$F$21+IF(parametros_manuales!$H$26="Todos",datos_base!$F$12+datos_base!$F$26,0))*parametros_manuales!$D$110)*parametros_manuales!$I$26*parametros_manuales!$J$26</f>
        <v>2223.5840895215</v>
      </c>
      <c r="E117" s="9" t="n">
        <f aca="false">(parametros_manuales!$D$26*(datos_base!$F$2+datos_base!$F$18+IF(parametros_manuales!$H$26="Todos",datos_base!$F$9+datos_base!$F$23,0))*parametros_manuales!$E$95+parametros_manuales!$E$26*(datos_base!$F$3+datos_base!$F$19+IF(parametros_manuales!$H$26="Todos",datos_base!$F$10+datos_base!$F$24,0))*parametros_manuales!$E$100+parametros_manuales!$F$26*(datos_base!$F$4+datos_base!$F$20+IF(parametros_manuales!$H$26="Todos",datos_base!$F$11+datos_base!$F$25,0))*parametros_manuales!$E$105+parametros_manuales!$G$26*(datos_base!$F$5+datos_base!$F$21+IF(parametros_manuales!$H$26="Todos",datos_base!$F$12+datos_base!$F$26,0))*parametros_manuales!$E$110)*parametros_manuales!$I$26*parametros_manuales!$J$26</f>
        <v>2223.5840895215</v>
      </c>
      <c r="F117" s="9" t="n">
        <f aca="false">(parametros_manuales!$D$26*(datos_base!$F$2+datos_base!$F$18+IF(parametros_manuales!$H$26="Todos",datos_base!$F$9+datos_base!$F$23,0))*parametros_manuales!$F$95+parametros_manuales!$E$26*(datos_base!$F$3+datos_base!$F$19+IF(parametros_manuales!$H$26="Todos",datos_base!$F$10+datos_base!$F$24,0))*parametros_manuales!$F$100+parametros_manuales!$F$26*(datos_base!$F$4+datos_base!$F$20+IF(parametros_manuales!$H$26="Todos",datos_base!$F$11+datos_base!$F$25,0))*parametros_manuales!$F$105+parametros_manuales!$G$26*(datos_base!$F$5+datos_base!$F$21+IF(parametros_manuales!$H$26="Todos",datos_base!$F$12+datos_base!$F$26,0))*parametros_manuales!$F$110)*parametros_manuales!$I$26*parametros_manuales!$J$26</f>
        <v>2092.785025432</v>
      </c>
      <c r="G117" s="9" t="n">
        <f aca="false">(parametros_manuales!$D$26*(datos_base!$F$2+datos_base!$F$18+IF(parametros_manuales!$H$26="Todos",datos_base!$F$9+datos_base!$F$23,0))*parametros_manuales!$G$95+parametros_manuales!$E$26*(datos_base!$F$3+datos_base!$F$19+IF(parametros_manuales!$H$26="Todos",datos_base!$F$10+datos_base!$F$24,0))*parametros_manuales!$G$100+parametros_manuales!$F$26*(datos_base!$F$4+datos_base!$F$20+IF(parametros_manuales!$H$26="Todos",datos_base!$F$11+datos_base!$F$25,0))*parametros_manuales!$G$105+parametros_manuales!$G$26*(datos_base!$F$5+datos_base!$F$21+IF(parametros_manuales!$H$26="Todos",datos_base!$F$12+datos_base!$F$26,0))*parametros_manuales!$G$110)*parametros_manuales!$I$26*parametros_manuales!$J$26</f>
        <v>1961.9859613425</v>
      </c>
      <c r="H117" s="9" t="n">
        <f aca="false">(parametros_manuales!$D$26*(datos_base!$F$2+datos_base!$F$18+IF(parametros_manuales!$H$26="Todos",datos_base!$F$9+datos_base!$F$23,0))*parametros_manuales!$H$95+parametros_manuales!$E$26*(datos_base!$F$3+datos_base!$F$19+IF(parametros_manuales!$H$26="Todos",datos_base!$F$10+datos_base!$F$24,0))*parametros_manuales!$H$100+parametros_manuales!$F$26*(datos_base!$F$4+datos_base!$F$20+IF(parametros_manuales!$H$26="Todos",datos_base!$F$11+datos_base!$F$25,0))*parametros_manuales!$H$105+parametros_manuales!$G$26*(datos_base!$F$5+datos_base!$F$21+IF(parametros_manuales!$H$26="Todos",datos_base!$F$12+datos_base!$F$26,0))*parametros_manuales!$H$110)*parametros_manuales!$I$26*parametros_manuales!$J$26</f>
        <v>2092.785025432</v>
      </c>
      <c r="I117" s="9" t="n">
        <f aca="false">(parametros_manuales!$D$26*(datos_base!$F$2+datos_base!$F$18+IF(parametros_manuales!$H$26="Todos",datos_base!$F$9+datos_base!$F$23,0))*parametros_manuales!$I$95+parametros_manuales!$E$26*(datos_base!$F$3+datos_base!$F$19+IF(parametros_manuales!$H$26="Todos",datos_base!$F$10+datos_base!$F$24,0))*parametros_manuales!$I$100+parametros_manuales!$F$26*(datos_base!$F$4+datos_base!$F$20+IF(parametros_manuales!$H$26="Todos",datos_base!$F$11+datos_base!$F$25,0))*parametros_manuales!$I$105+parametros_manuales!$G$26*(datos_base!$F$5+datos_base!$F$21+IF(parametros_manuales!$H$26="Todos",datos_base!$F$12+datos_base!$F$26,0))*parametros_manuales!$I$110)*parametros_manuales!$I$26*parametros_manuales!$J$26</f>
        <v>2092.785025432</v>
      </c>
      <c r="J117" s="9" t="n">
        <f aca="false">(parametros_manuales!$D$26*(datos_base!$F$2+datos_base!$F$18+IF(parametros_manuales!$H$26="Todos",datos_base!$F$9+datos_base!$F$23,0))*parametros_manuales!$J$95+parametros_manuales!$E$26*(datos_base!$F$3+datos_base!$F$19+IF(parametros_manuales!$H$26="Todos",datos_base!$F$10+datos_base!$F$24,0))*parametros_manuales!$J$100+parametros_manuales!$F$26*(datos_base!$F$4+datos_base!$F$20+IF(parametros_manuales!$H$26="Todos",datos_base!$F$11+datos_base!$F$25,0))*parametros_manuales!$J$105+parametros_manuales!$G$26*(datos_base!$F$5+datos_base!$F$21+IF(parametros_manuales!$H$26="Todos",datos_base!$F$12+datos_base!$F$26,0))*parametros_manuales!$J$110)*parametros_manuales!$I$26*parametros_manuales!$J$26</f>
        <v>2092.785025432</v>
      </c>
      <c r="K117" s="9" t="n">
        <f aca="false">(parametros_manuales!$D$26*(datos_base!$F$2+datos_base!$F$18+IF(parametros_manuales!$H$26="Todos",datos_base!$F$9+datos_base!$F$23,0))*parametros_manuales!$K$95+parametros_manuales!$E$26*(datos_base!$F$3+datos_base!$F$19+IF(parametros_manuales!$H$26="Todos",datos_base!$F$10+datos_base!$F$24,0))*parametros_manuales!$K$100+parametros_manuales!$F$26*(datos_base!$F$4+datos_base!$F$20+IF(parametros_manuales!$H$26="Todos",datos_base!$F$11+datos_base!$F$25,0))*parametros_manuales!$K$105+parametros_manuales!$G$26*(datos_base!$F$5+datos_base!$F$21+IF(parametros_manuales!$H$26="Todos",datos_base!$F$12+datos_base!$F$26,0))*parametros_manuales!$K$110)*parametros_manuales!$I$26*parametros_manuales!$J$26</f>
        <v>2223.5840895215</v>
      </c>
      <c r="L117" s="9" t="n">
        <f aca="false">(parametros_manuales!$D$26*(datos_base!$F$2+datos_base!$F$18+IF(parametros_manuales!$H$26="Todos",datos_base!$F$9+datos_base!$F$23,0))*parametros_manuales!$L$95+parametros_manuales!$E$26*(datos_base!$F$3+datos_base!$F$19+IF(parametros_manuales!$H$26="Todos",datos_base!$F$10+datos_base!$F$24,0))*parametros_manuales!$L$100+parametros_manuales!$F$26*(datos_base!$F$4+datos_base!$F$20+IF(parametros_manuales!$H$26="Todos",datos_base!$F$11+datos_base!$F$25,0))*parametros_manuales!$L$105+parametros_manuales!$G$26*(datos_base!$F$5+datos_base!$F$21+IF(parametros_manuales!$H$26="Todos",datos_base!$F$12+datos_base!$F$26,0))*parametros_manuales!$L$110)*parametros_manuales!$I$26*parametros_manuales!$J$26</f>
        <v>2354.383153611</v>
      </c>
      <c r="M117" s="9" t="n">
        <f aca="false">(parametros_manuales!$D$26*(datos_base!$F$2+datos_base!$F$18+IF(parametros_manuales!$H$26="Todos",datos_base!$F$9+datos_base!$F$23,0))*parametros_manuales!$M$95+parametros_manuales!$E$26*(datos_base!$F$3+datos_base!$F$19+IF(parametros_manuales!$H$26="Todos",datos_base!$F$10+datos_base!$F$24,0))*parametros_manuales!$M$100+parametros_manuales!$F$26*(datos_base!$F$4+datos_base!$F$20+IF(parametros_manuales!$H$26="Todos",datos_base!$F$11+datos_base!$F$25,0))*parametros_manuales!$M$105+parametros_manuales!$G$26*(datos_base!$F$5+datos_base!$F$21+IF(parametros_manuales!$H$26="Todos",datos_base!$F$12+datos_base!$F$26,0))*parametros_manuales!$M$110)*parametros_manuales!$I$26*parametros_manuales!$J$26</f>
        <v>2354.383153611</v>
      </c>
      <c r="N117" s="9" t="n">
        <f aca="false">SUM(B117:M117)</f>
        <v>26159.8128179</v>
      </c>
      <c r="O117" s="9" t="n">
        <f aca="false">MAX(B117:M117)</f>
        <v>2354.383153611</v>
      </c>
      <c r="P117" s="43" t="n">
        <f aca="false">O117/(parametros_manuales!$B$7)</f>
        <v>15.69588769074</v>
      </c>
      <c r="Q117" s="8" t="str">
        <f aca="false">IF(O117=0,"-",INDEX($B$109:$M$109,MATCH(O117,B117:M117,0)))</f>
        <v>Ene</v>
      </c>
    </row>
    <row r="118" customFormat="false" ht="14.25" hidden="false" customHeight="true" outlineLevel="0" collapsed="false">
      <c r="A118" s="8" t="str">
        <f aca="false">parametros_manuales!$B$27</f>
        <v>Soldadura longitudinal</v>
      </c>
      <c r="B118" s="9" t="n">
        <f aca="false">(parametros_manuales!$D$27*(datos_base!$F$2+datos_base!$F$18+IF(parametros_manuales!$H$27="Todos",datos_base!$F$9+datos_base!$F$23,0))*parametros_manuales!$B$95+parametros_manuales!$E$27*(datos_base!$F$3+datos_base!$F$19+IF(parametros_manuales!$H$27="Todos",datos_base!$F$10+datos_base!$F$24,0))*parametros_manuales!$B$100+parametros_manuales!$F$27*(datos_base!$F$4+datos_base!$F$20+IF(parametros_manuales!$H$27="Todos",datos_base!$F$11+datos_base!$F$25,0))*parametros_manuales!$B$105+parametros_manuales!$G$27*(datos_base!$F$5+datos_base!$F$21+IF(parametros_manuales!$H$27="Todos",datos_base!$F$12+datos_base!$F$26,0))*parametros_manuales!$B$110)*parametros_manuales!$I$27*parametros_manuales!$J$27</f>
        <v>2354.383153611</v>
      </c>
      <c r="C118" s="9" t="n">
        <f aca="false">(parametros_manuales!$D$27*(datos_base!$F$2+datos_base!$F$18+IF(parametros_manuales!$H$27="Todos",datos_base!$F$9+datos_base!$F$23,0))*parametros_manuales!$C$95+parametros_manuales!$E$27*(datos_base!$F$3+datos_base!$F$19+IF(parametros_manuales!$H$27="Todos",datos_base!$F$10+datos_base!$F$24,0))*parametros_manuales!$C$100+parametros_manuales!$F$27*(datos_base!$F$4+datos_base!$F$20+IF(parametros_manuales!$H$27="Todos",datos_base!$F$11+datos_base!$F$25,0))*parametros_manuales!$C$105+parametros_manuales!$G$27*(datos_base!$F$5+datos_base!$F$21+IF(parametros_manuales!$H$27="Todos",datos_base!$F$12+datos_base!$F$26,0))*parametros_manuales!$C$110)*parametros_manuales!$I$27*parametros_manuales!$J$27</f>
        <v>2092.785025432</v>
      </c>
      <c r="D118" s="9" t="n">
        <f aca="false">(parametros_manuales!$D$27*(datos_base!$F$2+datos_base!$F$18+IF(parametros_manuales!$H$27="Todos",datos_base!$F$9+datos_base!$F$23,0))*parametros_manuales!$D$95+parametros_manuales!$E$27*(datos_base!$F$3+datos_base!$F$19+IF(parametros_manuales!$H$27="Todos",datos_base!$F$10+datos_base!$F$24,0))*parametros_manuales!$D$100+parametros_manuales!$F$27*(datos_base!$F$4+datos_base!$F$20+IF(parametros_manuales!$H$27="Todos",datos_base!$F$11+datos_base!$F$25,0))*parametros_manuales!$D$105+parametros_manuales!$G$27*(datos_base!$F$5+datos_base!$F$21+IF(parametros_manuales!$H$27="Todos",datos_base!$F$12+datos_base!$F$26,0))*parametros_manuales!$D$110)*parametros_manuales!$I$27*parametros_manuales!$J$27</f>
        <v>2223.5840895215</v>
      </c>
      <c r="E118" s="9" t="n">
        <f aca="false">(parametros_manuales!$D$27*(datos_base!$F$2+datos_base!$F$18+IF(parametros_manuales!$H$27="Todos",datos_base!$F$9+datos_base!$F$23,0))*parametros_manuales!$E$95+parametros_manuales!$E$27*(datos_base!$F$3+datos_base!$F$19+IF(parametros_manuales!$H$27="Todos",datos_base!$F$10+datos_base!$F$24,0))*parametros_manuales!$E$100+parametros_manuales!$F$27*(datos_base!$F$4+datos_base!$F$20+IF(parametros_manuales!$H$27="Todos",datos_base!$F$11+datos_base!$F$25,0))*parametros_manuales!$E$105+parametros_manuales!$G$27*(datos_base!$F$5+datos_base!$F$21+IF(parametros_manuales!$H$27="Todos",datos_base!$F$12+datos_base!$F$26,0))*parametros_manuales!$E$110)*parametros_manuales!$I$27*parametros_manuales!$J$27</f>
        <v>2223.5840895215</v>
      </c>
      <c r="F118" s="9" t="n">
        <f aca="false">(parametros_manuales!$D$27*(datos_base!$F$2+datos_base!$F$18+IF(parametros_manuales!$H$27="Todos",datos_base!$F$9+datos_base!$F$23,0))*parametros_manuales!$F$95+parametros_manuales!$E$27*(datos_base!$F$3+datos_base!$F$19+IF(parametros_manuales!$H$27="Todos",datos_base!$F$10+datos_base!$F$24,0))*parametros_manuales!$F$100+parametros_manuales!$F$27*(datos_base!$F$4+datos_base!$F$20+IF(parametros_manuales!$H$27="Todos",datos_base!$F$11+datos_base!$F$25,0))*parametros_manuales!$F$105+parametros_manuales!$G$27*(datos_base!$F$5+datos_base!$F$21+IF(parametros_manuales!$H$27="Todos",datos_base!$F$12+datos_base!$F$26,0))*parametros_manuales!$F$110)*parametros_manuales!$I$27*parametros_manuales!$J$27</f>
        <v>2092.785025432</v>
      </c>
      <c r="G118" s="9" t="n">
        <f aca="false">(parametros_manuales!$D$27*(datos_base!$F$2+datos_base!$F$18+IF(parametros_manuales!$H$27="Todos",datos_base!$F$9+datos_base!$F$23,0))*parametros_manuales!$G$95+parametros_manuales!$E$27*(datos_base!$F$3+datos_base!$F$19+IF(parametros_manuales!$H$27="Todos",datos_base!$F$10+datos_base!$F$24,0))*parametros_manuales!$G$100+parametros_manuales!$F$27*(datos_base!$F$4+datos_base!$F$20+IF(parametros_manuales!$H$27="Todos",datos_base!$F$11+datos_base!$F$25,0))*parametros_manuales!$G$105+parametros_manuales!$G$27*(datos_base!$F$5+datos_base!$F$21+IF(parametros_manuales!$H$27="Todos",datos_base!$F$12+datos_base!$F$26,0))*parametros_manuales!$G$110)*parametros_manuales!$I$27*parametros_manuales!$J$27</f>
        <v>1961.9859613425</v>
      </c>
      <c r="H118" s="9" t="n">
        <f aca="false">(parametros_manuales!$D$27*(datos_base!$F$2+datos_base!$F$18+IF(parametros_manuales!$H$27="Todos",datos_base!$F$9+datos_base!$F$23,0))*parametros_manuales!$H$95+parametros_manuales!$E$27*(datos_base!$F$3+datos_base!$F$19+IF(parametros_manuales!$H$27="Todos",datos_base!$F$10+datos_base!$F$24,0))*parametros_manuales!$H$100+parametros_manuales!$F$27*(datos_base!$F$4+datos_base!$F$20+IF(parametros_manuales!$H$27="Todos",datos_base!$F$11+datos_base!$F$25,0))*parametros_manuales!$H$105+parametros_manuales!$G$27*(datos_base!$F$5+datos_base!$F$21+IF(parametros_manuales!$H$27="Todos",datos_base!$F$12+datos_base!$F$26,0))*parametros_manuales!$H$110)*parametros_manuales!$I$27*parametros_manuales!$J$27</f>
        <v>2092.785025432</v>
      </c>
      <c r="I118" s="9" t="n">
        <f aca="false">(parametros_manuales!$D$27*(datos_base!$F$2+datos_base!$F$18+IF(parametros_manuales!$H$27="Todos",datos_base!$F$9+datos_base!$F$23,0))*parametros_manuales!$I$95+parametros_manuales!$E$27*(datos_base!$F$3+datos_base!$F$19+IF(parametros_manuales!$H$27="Todos",datos_base!$F$10+datos_base!$F$24,0))*parametros_manuales!$I$100+parametros_manuales!$F$27*(datos_base!$F$4+datos_base!$F$20+IF(parametros_manuales!$H$27="Todos",datos_base!$F$11+datos_base!$F$25,0))*parametros_manuales!$I$105+parametros_manuales!$G$27*(datos_base!$F$5+datos_base!$F$21+IF(parametros_manuales!$H$27="Todos",datos_base!$F$12+datos_base!$F$26,0))*parametros_manuales!$I$110)*parametros_manuales!$I$27*parametros_manuales!$J$27</f>
        <v>2092.785025432</v>
      </c>
      <c r="J118" s="9" t="n">
        <f aca="false">(parametros_manuales!$D$27*(datos_base!$F$2+datos_base!$F$18+IF(parametros_manuales!$H$27="Todos",datos_base!$F$9+datos_base!$F$23,0))*parametros_manuales!$J$95+parametros_manuales!$E$27*(datos_base!$F$3+datos_base!$F$19+IF(parametros_manuales!$H$27="Todos",datos_base!$F$10+datos_base!$F$24,0))*parametros_manuales!$J$100+parametros_manuales!$F$27*(datos_base!$F$4+datos_base!$F$20+IF(parametros_manuales!$H$27="Todos",datos_base!$F$11+datos_base!$F$25,0))*parametros_manuales!$J$105+parametros_manuales!$G$27*(datos_base!$F$5+datos_base!$F$21+IF(parametros_manuales!$H$27="Todos",datos_base!$F$12+datos_base!$F$26,0))*parametros_manuales!$J$110)*parametros_manuales!$I$27*parametros_manuales!$J$27</f>
        <v>2092.785025432</v>
      </c>
      <c r="K118" s="9" t="n">
        <f aca="false">(parametros_manuales!$D$27*(datos_base!$F$2+datos_base!$F$18+IF(parametros_manuales!$H$27="Todos",datos_base!$F$9+datos_base!$F$23,0))*parametros_manuales!$K$95+parametros_manuales!$E$27*(datos_base!$F$3+datos_base!$F$19+IF(parametros_manuales!$H$27="Todos",datos_base!$F$10+datos_base!$F$24,0))*parametros_manuales!$K$100+parametros_manuales!$F$27*(datos_base!$F$4+datos_base!$F$20+IF(parametros_manuales!$H$27="Todos",datos_base!$F$11+datos_base!$F$25,0))*parametros_manuales!$K$105+parametros_manuales!$G$27*(datos_base!$F$5+datos_base!$F$21+IF(parametros_manuales!$H$27="Todos",datos_base!$F$12+datos_base!$F$26,0))*parametros_manuales!$K$110)*parametros_manuales!$I$27*parametros_manuales!$J$27</f>
        <v>2223.5840895215</v>
      </c>
      <c r="L118" s="9" t="n">
        <f aca="false">(parametros_manuales!$D$27*(datos_base!$F$2+datos_base!$F$18+IF(parametros_manuales!$H$27="Todos",datos_base!$F$9+datos_base!$F$23,0))*parametros_manuales!$L$95+parametros_manuales!$E$27*(datos_base!$F$3+datos_base!$F$19+IF(parametros_manuales!$H$27="Todos",datos_base!$F$10+datos_base!$F$24,0))*parametros_manuales!$L$100+parametros_manuales!$F$27*(datos_base!$F$4+datos_base!$F$20+IF(parametros_manuales!$H$27="Todos",datos_base!$F$11+datos_base!$F$25,0))*parametros_manuales!$L$105+parametros_manuales!$G$27*(datos_base!$F$5+datos_base!$F$21+IF(parametros_manuales!$H$27="Todos",datos_base!$F$12+datos_base!$F$26,0))*parametros_manuales!$L$110)*parametros_manuales!$I$27*parametros_manuales!$J$27</f>
        <v>2354.383153611</v>
      </c>
      <c r="M118" s="9" t="n">
        <f aca="false">(parametros_manuales!$D$27*(datos_base!$F$2+datos_base!$F$18+IF(parametros_manuales!$H$27="Todos",datos_base!$F$9+datos_base!$F$23,0))*parametros_manuales!$M$95+parametros_manuales!$E$27*(datos_base!$F$3+datos_base!$F$19+IF(parametros_manuales!$H$27="Todos",datos_base!$F$10+datos_base!$F$24,0))*parametros_manuales!$M$100+parametros_manuales!$F$27*(datos_base!$F$4+datos_base!$F$20+IF(parametros_manuales!$H$27="Todos",datos_base!$F$11+datos_base!$F$25,0))*parametros_manuales!$M$105+parametros_manuales!$G$27*(datos_base!$F$5+datos_base!$F$21+IF(parametros_manuales!$H$27="Todos",datos_base!$F$12+datos_base!$F$26,0))*parametros_manuales!$M$110)*parametros_manuales!$I$27*parametros_manuales!$J$27</f>
        <v>2354.383153611</v>
      </c>
      <c r="N118" s="9" t="n">
        <f aca="false">SUM(B118:M118)</f>
        <v>26159.8128179</v>
      </c>
      <c r="O118" s="9" t="n">
        <f aca="false">MAX(B118:M118)</f>
        <v>2354.383153611</v>
      </c>
      <c r="P118" s="43" t="n">
        <f aca="false">O118/(parametros_manuales!$B$7)</f>
        <v>15.69588769074</v>
      </c>
      <c r="Q118" s="8" t="str">
        <f aca="false">IF(O118=0,"-",INDEX($B$109:$M$109,MATCH(O118,B118:M118,0)))</f>
        <v>Ene</v>
      </c>
    </row>
    <row r="119" customFormat="false" ht="14.25" hidden="false" customHeight="true" outlineLevel="0" collapsed="false">
      <c r="A119" s="8" t="str">
        <f aca="false">parametros_manuales!$B$28</f>
        <v>Encastre de fondo</v>
      </c>
      <c r="B119" s="9" t="n">
        <f aca="false">(parametros_manuales!$D$28*(datos_base!$F$2+datos_base!$F$18+IF(parametros_manuales!$H$28="Todos",datos_base!$F$9+datos_base!$F$23,0))*parametros_manuales!$B$95+parametros_manuales!$E$28*(datos_base!$F$3+datos_base!$F$19+IF(parametros_manuales!$H$28="Todos",datos_base!$F$10+datos_base!$F$24,0))*parametros_manuales!$B$100+parametros_manuales!$F$28*(datos_base!$F$4+datos_base!$F$20+IF(parametros_manuales!$H$28="Todos",datos_base!$F$11+datos_base!$F$25,0))*parametros_manuales!$B$105+parametros_manuales!$G$28*(datos_base!$F$5+datos_base!$F$21+IF(parametros_manuales!$H$28="Todos",datos_base!$F$12+datos_base!$F$26,0))*parametros_manuales!$B$110)*parametros_manuales!$I$28*parametros_manuales!$J$28</f>
        <v>7944.772097511</v>
      </c>
      <c r="C119" s="9" t="n">
        <f aca="false">(parametros_manuales!$D$28*(datos_base!$F$2+datos_base!$F$18+IF(parametros_manuales!$H$28="Todos",datos_base!$F$9+datos_base!$F$23,0))*parametros_manuales!$C$95+parametros_manuales!$E$28*(datos_base!$F$3+datos_base!$F$19+IF(parametros_manuales!$H$28="Todos",datos_base!$F$10+datos_base!$F$24,0))*parametros_manuales!$C$100+parametros_manuales!$F$28*(datos_base!$F$4+datos_base!$F$20+IF(parametros_manuales!$H$28="Todos",datos_base!$F$11+datos_base!$F$25,0))*parametros_manuales!$C$105+parametros_manuales!$G$28*(datos_base!$F$5+datos_base!$F$21+IF(parametros_manuales!$H$28="Todos",datos_base!$F$12+datos_base!$F$26,0))*parametros_manuales!$C$110)*parametros_manuales!$I$28*parametros_manuales!$J$28</f>
        <v>7683.173969332</v>
      </c>
      <c r="D119" s="9" t="n">
        <f aca="false">(parametros_manuales!$D$28*(datos_base!$F$2+datos_base!$F$18+IF(parametros_manuales!$H$28="Todos",datos_base!$F$9+datos_base!$F$23,0))*parametros_manuales!$D$95+parametros_manuales!$E$28*(datos_base!$F$3+datos_base!$F$19+IF(parametros_manuales!$H$28="Todos",datos_base!$F$10+datos_base!$F$24,0))*parametros_manuales!$D$100+parametros_manuales!$F$28*(datos_base!$F$4+datos_base!$F$20+IF(parametros_manuales!$H$28="Todos",datos_base!$F$11+datos_base!$F$25,0))*parametros_manuales!$D$105+parametros_manuales!$G$28*(datos_base!$F$5+datos_base!$F$21+IF(parametros_manuales!$H$28="Todos",datos_base!$F$12+datos_base!$F$26,0))*parametros_manuales!$D$110)*parametros_manuales!$I$28*parametros_manuales!$J$28</f>
        <v>7192.8187063215</v>
      </c>
      <c r="E119" s="9" t="n">
        <f aca="false">(parametros_manuales!$D$28*(datos_base!$F$2+datos_base!$F$18+IF(parametros_manuales!$H$28="Todos",datos_base!$F$9+datos_base!$F$23,0))*parametros_manuales!$E$95+parametros_manuales!$E$28*(datos_base!$F$3+datos_base!$F$19+IF(parametros_manuales!$H$28="Todos",datos_base!$F$10+datos_base!$F$24,0))*parametros_manuales!$E$100+parametros_manuales!$F$28*(datos_base!$F$4+datos_base!$F$20+IF(parametros_manuales!$H$28="Todos",datos_base!$F$11+datos_base!$F$25,0))*parametros_manuales!$E$105+parametros_manuales!$G$28*(datos_base!$F$5+datos_base!$F$21+IF(parametros_manuales!$H$28="Todos",datos_base!$F$12+datos_base!$F$26,0))*parametros_manuales!$E$110)*parametros_manuales!$I$28*parametros_manuales!$J$28</f>
        <v>6882.2415427715</v>
      </c>
      <c r="F119" s="9" t="n">
        <f aca="false">(parametros_manuales!$D$28*(datos_base!$F$2+datos_base!$F$18+IF(parametros_manuales!$H$28="Todos",datos_base!$F$9+datos_base!$F$23,0))*parametros_manuales!$F$95+parametros_manuales!$E$28*(datos_base!$F$3+datos_base!$F$19+IF(parametros_manuales!$H$28="Todos",datos_base!$F$10+datos_base!$F$24,0))*parametros_manuales!$F$100+parametros_manuales!$F$28*(datos_base!$F$4+datos_base!$F$20+IF(parametros_manuales!$H$28="Todos",datos_base!$F$11+datos_base!$F$25,0))*parametros_manuales!$F$105+parametros_manuales!$G$28*(datos_base!$F$5+datos_base!$F$21+IF(parametros_manuales!$H$28="Todos",datos_base!$F$12+datos_base!$F$26,0))*parametros_manuales!$F$110)*parametros_manuales!$I$28*parametros_manuales!$J$28</f>
        <v>6440.865315132</v>
      </c>
      <c r="G119" s="9" t="n">
        <f aca="false">(parametros_manuales!$D$28*(datos_base!$F$2+datos_base!$F$18+IF(parametros_manuales!$H$28="Todos",datos_base!$F$9+datos_base!$F$23,0))*parametros_manuales!$G$95+parametros_manuales!$E$28*(datos_base!$F$3+datos_base!$F$19+IF(parametros_manuales!$H$28="Todos",datos_base!$F$10+datos_base!$F$24,0))*parametros_manuales!$G$100+parametros_manuales!$F$28*(datos_base!$F$4+datos_base!$F$20+IF(parametros_manuales!$H$28="Todos",datos_base!$F$11+datos_base!$F$25,0))*parametros_manuales!$G$105+parametros_manuales!$G$28*(datos_base!$F$5+datos_base!$F$21+IF(parametros_manuales!$H$28="Todos",datos_base!$F$12+datos_base!$F$26,0))*parametros_manuales!$G$110)*parametros_manuales!$I$28*parametros_manuales!$J$28</f>
        <v>6310.0662510425</v>
      </c>
      <c r="H119" s="9" t="n">
        <f aca="false">(parametros_manuales!$D$28*(datos_base!$F$2+datos_base!$F$18+IF(parametros_manuales!$H$28="Todos",datos_base!$F$9+datos_base!$F$23,0))*parametros_manuales!$H$95+parametros_manuales!$E$28*(datos_base!$F$3+datos_base!$F$19+IF(parametros_manuales!$H$28="Todos",datos_base!$F$10+datos_base!$F$24,0))*parametros_manuales!$H$100+parametros_manuales!$F$28*(datos_base!$F$4+datos_base!$F$20+IF(parametros_manuales!$H$28="Todos",datos_base!$F$11+datos_base!$F$25,0))*parametros_manuales!$H$105+parametros_manuales!$G$28*(datos_base!$F$5+datos_base!$F$21+IF(parametros_manuales!$H$28="Todos",datos_base!$F$12+datos_base!$F$26,0))*parametros_manuales!$H$110)*parametros_manuales!$I$28*parametros_manuales!$J$28</f>
        <v>6751.442478682</v>
      </c>
      <c r="I119" s="9" t="n">
        <f aca="false">(parametros_manuales!$D$28*(datos_base!$F$2+datos_base!$F$18+IF(parametros_manuales!$H$28="Todos",datos_base!$F$9+datos_base!$F$23,0))*parametros_manuales!$I$95+parametros_manuales!$E$28*(datos_base!$F$3+datos_base!$F$19+IF(parametros_manuales!$H$28="Todos",datos_base!$F$10+datos_base!$F$24,0))*parametros_manuales!$I$100+parametros_manuales!$F$28*(datos_base!$F$4+datos_base!$F$20+IF(parametros_manuales!$H$28="Todos",datos_base!$F$11+datos_base!$F$25,0))*parametros_manuales!$I$105+parametros_manuales!$G$28*(datos_base!$F$5+datos_base!$F$21+IF(parametros_manuales!$H$28="Todos",datos_base!$F$12+datos_base!$F$26,0))*parametros_manuales!$I$110)*parametros_manuales!$I$28*parametros_manuales!$J$28</f>
        <v>7683.173969332</v>
      </c>
      <c r="J119" s="9" t="n">
        <f aca="false">(parametros_manuales!$D$28*(datos_base!$F$2+datos_base!$F$18+IF(parametros_manuales!$H$28="Todos",datos_base!$F$9+datos_base!$F$23,0))*parametros_manuales!$J$95+parametros_manuales!$E$28*(datos_base!$F$3+datos_base!$F$19+IF(parametros_manuales!$H$28="Todos",datos_base!$F$10+datos_base!$F$24,0))*parametros_manuales!$J$100+parametros_manuales!$F$28*(datos_base!$F$4+datos_base!$F$20+IF(parametros_manuales!$H$28="Todos",datos_base!$F$11+datos_base!$F$25,0))*parametros_manuales!$J$105+parametros_manuales!$G$28*(datos_base!$F$5+datos_base!$F$21+IF(parametros_manuales!$H$28="Todos",datos_base!$F$12+datos_base!$F$26,0))*parametros_manuales!$J$110)*parametros_manuales!$I$28*parametros_manuales!$J$28</f>
        <v>7683.173969332</v>
      </c>
      <c r="K119" s="9" t="n">
        <f aca="false">(parametros_manuales!$D$28*(datos_base!$F$2+datos_base!$F$18+IF(parametros_manuales!$H$28="Todos",datos_base!$F$9+datos_base!$F$23,0))*parametros_manuales!$K$95+parametros_manuales!$E$28*(datos_base!$F$3+datos_base!$F$19+IF(parametros_manuales!$H$28="Todos",datos_base!$F$10+datos_base!$F$24,0))*parametros_manuales!$K$100+parametros_manuales!$F$28*(datos_base!$F$4+datos_base!$F$20+IF(parametros_manuales!$H$28="Todos",datos_base!$F$11+datos_base!$F$25,0))*parametros_manuales!$K$105+parametros_manuales!$G$28*(datos_base!$F$5+datos_base!$F$21+IF(parametros_manuales!$H$28="Todos",datos_base!$F$12+datos_base!$F$26,0))*parametros_manuales!$K$110)*parametros_manuales!$I$28*parametros_manuales!$J$28</f>
        <v>7813.9730334215</v>
      </c>
      <c r="L119" s="9" t="n">
        <f aca="false">(parametros_manuales!$D$28*(datos_base!$F$2+datos_base!$F$18+IF(parametros_manuales!$H$28="Todos",datos_base!$F$9+datos_base!$F$23,0))*parametros_manuales!$L$95+parametros_manuales!$E$28*(datos_base!$F$3+datos_base!$F$19+IF(parametros_manuales!$H$28="Todos",datos_base!$F$10+datos_base!$F$24,0))*parametros_manuales!$L$100+parametros_manuales!$F$28*(datos_base!$F$4+datos_base!$F$20+IF(parametros_manuales!$H$28="Todos",datos_base!$F$11+datos_base!$F$25,0))*parametros_manuales!$L$105+parametros_manuales!$G$28*(datos_base!$F$5+datos_base!$F$21+IF(parametros_manuales!$H$28="Todos",datos_base!$F$12+datos_base!$F$26,0))*parametros_manuales!$L$110)*parametros_manuales!$I$28*parametros_manuales!$J$28</f>
        <v>7944.772097511</v>
      </c>
      <c r="M119" s="9" t="n">
        <f aca="false">(parametros_manuales!$D$28*(datos_base!$F$2+datos_base!$F$18+IF(parametros_manuales!$H$28="Todos",datos_base!$F$9+datos_base!$F$23,0))*parametros_manuales!$M$95+parametros_manuales!$E$28*(datos_base!$F$3+datos_base!$F$19+IF(parametros_manuales!$H$28="Todos",datos_base!$F$10+datos_base!$F$24,0))*parametros_manuales!$M$100+parametros_manuales!$F$28*(datos_base!$F$4+datos_base!$F$20+IF(parametros_manuales!$H$28="Todos",datos_base!$F$11+datos_base!$F$25,0))*parametros_manuales!$M$105+parametros_manuales!$G$28*(datos_base!$F$5+datos_base!$F$21+IF(parametros_manuales!$H$28="Todos",datos_base!$F$12+datos_base!$F$26,0))*parametros_manuales!$M$110)*parametros_manuales!$I$28*parametros_manuales!$J$28</f>
        <v>7944.772097511</v>
      </c>
      <c r="N119" s="9" t="n">
        <f aca="false">SUM(B119:M119)</f>
        <v>88275.2455279</v>
      </c>
      <c r="O119" s="9" t="n">
        <f aca="false">MAX(B119:M119)</f>
        <v>7944.772097511</v>
      </c>
      <c r="P119" s="43" t="n">
        <f aca="false">O119/(parametros_manuales!$B$7)</f>
        <v>52.96514731674</v>
      </c>
      <c r="Q119" s="8" t="str">
        <f aca="false">IF(O119=0,"-",INDEX($B$109:$M$109,MATCH(O119,B119:M119,0)))</f>
        <v>Ene</v>
      </c>
    </row>
    <row r="120" customFormat="false" ht="14.25" hidden="false" customHeight="true" outlineLevel="0" collapsed="false">
      <c r="A120" s="8" t="str">
        <f aca="false">parametros_manuales!$B$29</f>
        <v>Bordoneado</v>
      </c>
      <c r="B120" s="9" t="n">
        <f aca="false">(parametros_manuales!$D$29*(datos_base!$F$2+datos_base!$F$18+IF(parametros_manuales!$H$29="Todos",datos_base!$F$9+datos_base!$F$23,0))*parametros_manuales!$B$95+parametros_manuales!$E$29*(datos_base!$F$3+datos_base!$F$19+IF(parametros_manuales!$H$29="Todos",datos_base!$F$10+datos_base!$F$24,0))*parametros_manuales!$B$100+parametros_manuales!$F$29*(datos_base!$F$4+datos_base!$F$20+IF(parametros_manuales!$H$29="Todos",datos_base!$F$11+datos_base!$F$25,0))*parametros_manuales!$B$105+parametros_manuales!$G$29*(datos_base!$F$5+datos_base!$F$21+IF(parametros_manuales!$H$29="Todos",datos_base!$F$12+datos_base!$F$26,0))*parametros_manuales!$B$110)*parametros_manuales!$I$29*parametros_manuales!$J$29</f>
        <v>7944.772097511</v>
      </c>
      <c r="C120" s="9" t="n">
        <f aca="false">(parametros_manuales!$D$29*(datos_base!$F$2+datos_base!$F$18+IF(parametros_manuales!$H$29="Todos",datos_base!$F$9+datos_base!$F$23,0))*parametros_manuales!$C$95+parametros_manuales!$E$29*(datos_base!$F$3+datos_base!$F$19+IF(parametros_manuales!$H$29="Todos",datos_base!$F$10+datos_base!$F$24,0))*parametros_manuales!$C$100+parametros_manuales!$F$29*(datos_base!$F$4+datos_base!$F$20+IF(parametros_manuales!$H$29="Todos",datos_base!$F$11+datos_base!$F$25,0))*parametros_manuales!$C$105+parametros_manuales!$G$29*(datos_base!$F$5+datos_base!$F$21+IF(parametros_manuales!$H$29="Todos",datos_base!$F$12+datos_base!$F$26,0))*parametros_manuales!$C$110)*parametros_manuales!$I$29*parametros_manuales!$J$29</f>
        <v>7683.173969332</v>
      </c>
      <c r="D120" s="9" t="n">
        <f aca="false">(parametros_manuales!$D$29*(datos_base!$F$2+datos_base!$F$18+IF(parametros_manuales!$H$29="Todos",datos_base!$F$9+datos_base!$F$23,0))*parametros_manuales!$D$95+parametros_manuales!$E$29*(datos_base!$F$3+datos_base!$F$19+IF(parametros_manuales!$H$29="Todos",datos_base!$F$10+datos_base!$F$24,0))*parametros_manuales!$D$100+parametros_manuales!$F$29*(datos_base!$F$4+datos_base!$F$20+IF(parametros_manuales!$H$29="Todos",datos_base!$F$11+datos_base!$F$25,0))*parametros_manuales!$D$105+parametros_manuales!$G$29*(datos_base!$F$5+datos_base!$F$21+IF(parametros_manuales!$H$29="Todos",datos_base!$F$12+datos_base!$F$26,0))*parametros_manuales!$D$110)*parametros_manuales!$I$29*parametros_manuales!$J$29</f>
        <v>7192.8187063215</v>
      </c>
      <c r="E120" s="9" t="n">
        <f aca="false">(parametros_manuales!$D$29*(datos_base!$F$2+datos_base!$F$18+IF(parametros_manuales!$H$29="Todos",datos_base!$F$9+datos_base!$F$23,0))*parametros_manuales!$E$95+parametros_manuales!$E$29*(datos_base!$F$3+datos_base!$F$19+IF(parametros_manuales!$H$29="Todos",datos_base!$F$10+datos_base!$F$24,0))*parametros_manuales!$E$100+parametros_manuales!$F$29*(datos_base!$F$4+datos_base!$F$20+IF(parametros_manuales!$H$29="Todos",datos_base!$F$11+datos_base!$F$25,0))*parametros_manuales!$E$105+parametros_manuales!$G$29*(datos_base!$F$5+datos_base!$F$21+IF(parametros_manuales!$H$29="Todos",datos_base!$F$12+datos_base!$F$26,0))*parametros_manuales!$E$110)*parametros_manuales!$I$29*parametros_manuales!$J$29</f>
        <v>6882.2415427715</v>
      </c>
      <c r="F120" s="9" t="n">
        <f aca="false">(parametros_manuales!$D$29*(datos_base!$F$2+datos_base!$F$18+IF(parametros_manuales!$H$29="Todos",datos_base!$F$9+datos_base!$F$23,0))*parametros_manuales!$F$95+parametros_manuales!$E$29*(datos_base!$F$3+datos_base!$F$19+IF(parametros_manuales!$H$29="Todos",datos_base!$F$10+datos_base!$F$24,0))*parametros_manuales!$F$100+parametros_manuales!$F$29*(datos_base!$F$4+datos_base!$F$20+IF(parametros_manuales!$H$29="Todos",datos_base!$F$11+datos_base!$F$25,0))*parametros_manuales!$F$105+parametros_manuales!$G$29*(datos_base!$F$5+datos_base!$F$21+IF(parametros_manuales!$H$29="Todos",datos_base!$F$12+datos_base!$F$26,0))*parametros_manuales!$F$110)*parametros_manuales!$I$29*parametros_manuales!$J$29</f>
        <v>6440.865315132</v>
      </c>
      <c r="G120" s="9" t="n">
        <f aca="false">(parametros_manuales!$D$29*(datos_base!$F$2+datos_base!$F$18+IF(parametros_manuales!$H$29="Todos",datos_base!$F$9+datos_base!$F$23,0))*parametros_manuales!$G$95+parametros_manuales!$E$29*(datos_base!$F$3+datos_base!$F$19+IF(parametros_manuales!$H$29="Todos",datos_base!$F$10+datos_base!$F$24,0))*parametros_manuales!$G$100+parametros_manuales!$F$29*(datos_base!$F$4+datos_base!$F$20+IF(parametros_manuales!$H$29="Todos",datos_base!$F$11+datos_base!$F$25,0))*parametros_manuales!$G$105+parametros_manuales!$G$29*(datos_base!$F$5+datos_base!$F$21+IF(parametros_manuales!$H$29="Todos",datos_base!$F$12+datos_base!$F$26,0))*parametros_manuales!$G$110)*parametros_manuales!$I$29*parametros_manuales!$J$29</f>
        <v>6310.0662510425</v>
      </c>
      <c r="H120" s="9" t="n">
        <f aca="false">(parametros_manuales!$D$29*(datos_base!$F$2+datos_base!$F$18+IF(parametros_manuales!$H$29="Todos",datos_base!$F$9+datos_base!$F$23,0))*parametros_manuales!$H$95+parametros_manuales!$E$29*(datos_base!$F$3+datos_base!$F$19+IF(parametros_manuales!$H$29="Todos",datos_base!$F$10+datos_base!$F$24,0))*parametros_manuales!$H$100+parametros_manuales!$F$29*(datos_base!$F$4+datos_base!$F$20+IF(parametros_manuales!$H$29="Todos",datos_base!$F$11+datos_base!$F$25,0))*parametros_manuales!$H$105+parametros_manuales!$G$29*(datos_base!$F$5+datos_base!$F$21+IF(parametros_manuales!$H$29="Todos",datos_base!$F$12+datos_base!$F$26,0))*parametros_manuales!$H$110)*parametros_manuales!$I$29*parametros_manuales!$J$29</f>
        <v>6751.442478682</v>
      </c>
      <c r="I120" s="9" t="n">
        <f aca="false">(parametros_manuales!$D$29*(datos_base!$F$2+datos_base!$F$18+IF(parametros_manuales!$H$29="Todos",datos_base!$F$9+datos_base!$F$23,0))*parametros_manuales!$I$95+parametros_manuales!$E$29*(datos_base!$F$3+datos_base!$F$19+IF(parametros_manuales!$H$29="Todos",datos_base!$F$10+datos_base!$F$24,0))*parametros_manuales!$I$100+parametros_manuales!$F$29*(datos_base!$F$4+datos_base!$F$20+IF(parametros_manuales!$H$29="Todos",datos_base!$F$11+datos_base!$F$25,0))*parametros_manuales!$I$105+parametros_manuales!$G$29*(datos_base!$F$5+datos_base!$F$21+IF(parametros_manuales!$H$29="Todos",datos_base!$F$12+datos_base!$F$26,0))*parametros_manuales!$I$110)*parametros_manuales!$I$29*parametros_manuales!$J$29</f>
        <v>7683.173969332</v>
      </c>
      <c r="J120" s="9" t="n">
        <f aca="false">(parametros_manuales!$D$29*(datos_base!$F$2+datos_base!$F$18+IF(parametros_manuales!$H$29="Todos",datos_base!$F$9+datos_base!$F$23,0))*parametros_manuales!$J$95+parametros_manuales!$E$29*(datos_base!$F$3+datos_base!$F$19+IF(parametros_manuales!$H$29="Todos",datos_base!$F$10+datos_base!$F$24,0))*parametros_manuales!$J$100+parametros_manuales!$F$29*(datos_base!$F$4+datos_base!$F$20+IF(parametros_manuales!$H$29="Todos",datos_base!$F$11+datos_base!$F$25,0))*parametros_manuales!$J$105+parametros_manuales!$G$29*(datos_base!$F$5+datos_base!$F$21+IF(parametros_manuales!$H$29="Todos",datos_base!$F$12+datos_base!$F$26,0))*parametros_manuales!$J$110)*parametros_manuales!$I$29*parametros_manuales!$J$29</f>
        <v>7683.173969332</v>
      </c>
      <c r="K120" s="9" t="n">
        <f aca="false">(parametros_manuales!$D$29*(datos_base!$F$2+datos_base!$F$18+IF(parametros_manuales!$H$29="Todos",datos_base!$F$9+datos_base!$F$23,0))*parametros_manuales!$K$95+parametros_manuales!$E$29*(datos_base!$F$3+datos_base!$F$19+IF(parametros_manuales!$H$29="Todos",datos_base!$F$10+datos_base!$F$24,0))*parametros_manuales!$K$100+parametros_manuales!$F$29*(datos_base!$F$4+datos_base!$F$20+IF(parametros_manuales!$H$29="Todos",datos_base!$F$11+datos_base!$F$25,0))*parametros_manuales!$K$105+parametros_manuales!$G$29*(datos_base!$F$5+datos_base!$F$21+IF(parametros_manuales!$H$29="Todos",datos_base!$F$12+datos_base!$F$26,0))*parametros_manuales!$K$110)*parametros_manuales!$I$29*parametros_manuales!$J$29</f>
        <v>7813.9730334215</v>
      </c>
      <c r="L120" s="9" t="n">
        <f aca="false">(parametros_manuales!$D$29*(datos_base!$F$2+datos_base!$F$18+IF(parametros_manuales!$H$29="Todos",datos_base!$F$9+datos_base!$F$23,0))*parametros_manuales!$L$95+parametros_manuales!$E$29*(datos_base!$F$3+datos_base!$F$19+IF(parametros_manuales!$H$29="Todos",datos_base!$F$10+datos_base!$F$24,0))*parametros_manuales!$L$100+parametros_manuales!$F$29*(datos_base!$F$4+datos_base!$F$20+IF(parametros_manuales!$H$29="Todos",datos_base!$F$11+datos_base!$F$25,0))*parametros_manuales!$L$105+parametros_manuales!$G$29*(datos_base!$F$5+datos_base!$F$21+IF(parametros_manuales!$H$29="Todos",datos_base!$F$12+datos_base!$F$26,0))*parametros_manuales!$L$110)*parametros_manuales!$I$29*parametros_manuales!$J$29</f>
        <v>7944.772097511</v>
      </c>
      <c r="M120" s="9" t="n">
        <f aca="false">(parametros_manuales!$D$29*(datos_base!$F$2+datos_base!$F$18+IF(parametros_manuales!$H$29="Todos",datos_base!$F$9+datos_base!$F$23,0))*parametros_manuales!$M$95+parametros_manuales!$E$29*(datos_base!$F$3+datos_base!$F$19+IF(parametros_manuales!$H$29="Todos",datos_base!$F$10+datos_base!$F$24,0))*parametros_manuales!$M$100+parametros_manuales!$F$29*(datos_base!$F$4+datos_base!$F$20+IF(parametros_manuales!$H$29="Todos",datos_base!$F$11+datos_base!$F$25,0))*parametros_manuales!$M$105+parametros_manuales!$G$29*(datos_base!$F$5+datos_base!$F$21+IF(parametros_manuales!$H$29="Todos",datos_base!$F$12+datos_base!$F$26,0))*parametros_manuales!$M$110)*parametros_manuales!$I$29*parametros_manuales!$J$29</f>
        <v>7944.772097511</v>
      </c>
      <c r="N120" s="9" t="n">
        <f aca="false">SUM(B120:M120)</f>
        <v>88275.2455279</v>
      </c>
      <c r="O120" s="9" t="n">
        <f aca="false">MAX(B120:M120)</f>
        <v>7944.772097511</v>
      </c>
      <c r="P120" s="43" t="n">
        <f aca="false">O120/(parametros_manuales!$B$7)</f>
        <v>52.96514731674</v>
      </c>
      <c r="Q120" s="8" t="str">
        <f aca="false">IF(O120=0,"-",INDEX($B$109:$M$109,MATCH(O120,B120:M120,0)))</f>
        <v>Ene</v>
      </c>
    </row>
    <row r="121" customFormat="false" ht="14.25" hidden="false" customHeight="true" outlineLevel="0" collapsed="false">
      <c r="A121" s="8" t="str">
        <f aca="false">parametros_manuales!$B$30</f>
        <v>Soldadura circunferencial de cúpula y fondo</v>
      </c>
      <c r="B121" s="9" t="n">
        <f aca="false">(parametros_manuales!$D$30*(datos_base!$F$2+datos_base!$F$18+IF(parametros_manuales!$H$30="Todos",datos_base!$F$9+datos_base!$F$23,0))*parametros_manuales!$B$95+parametros_manuales!$E$30*(datos_base!$F$3+datos_base!$F$19+IF(parametros_manuales!$H$30="Todos",datos_base!$F$10+datos_base!$F$24,0))*parametros_manuales!$B$100+parametros_manuales!$F$30*(datos_base!$F$4+datos_base!$F$20+IF(parametros_manuales!$H$30="Todos",datos_base!$F$11+datos_base!$F$25,0))*parametros_manuales!$B$105+parametros_manuales!$G$30*(datos_base!$F$5+datos_base!$F$21+IF(parametros_manuales!$H$30="Todos",datos_base!$F$12+datos_base!$F$26,0))*parametros_manuales!$B$110)*parametros_manuales!$I$30*parametros_manuales!$J$30</f>
        <v>7944.772097511</v>
      </c>
      <c r="C121" s="9" t="n">
        <f aca="false">(parametros_manuales!$D$30*(datos_base!$F$2+datos_base!$F$18+IF(parametros_manuales!$H$30="Todos",datos_base!$F$9+datos_base!$F$23,0))*parametros_manuales!$C$95+parametros_manuales!$E$30*(datos_base!$F$3+datos_base!$F$19+IF(parametros_manuales!$H$30="Todos",datos_base!$F$10+datos_base!$F$24,0))*parametros_manuales!$C$100+parametros_manuales!$F$30*(datos_base!$F$4+datos_base!$F$20+IF(parametros_manuales!$H$30="Todos",datos_base!$F$11+datos_base!$F$25,0))*parametros_manuales!$C$105+parametros_manuales!$G$30*(datos_base!$F$5+datos_base!$F$21+IF(parametros_manuales!$H$30="Todos",datos_base!$F$12+datos_base!$F$26,0))*parametros_manuales!$C$110)*parametros_manuales!$I$30*parametros_manuales!$J$30</f>
        <v>7683.173969332</v>
      </c>
      <c r="D121" s="9" t="n">
        <f aca="false">(parametros_manuales!$D$30*(datos_base!$F$2+datos_base!$F$18+IF(parametros_manuales!$H$30="Todos",datos_base!$F$9+datos_base!$F$23,0))*parametros_manuales!$D$95+parametros_manuales!$E$30*(datos_base!$F$3+datos_base!$F$19+IF(parametros_manuales!$H$30="Todos",datos_base!$F$10+datos_base!$F$24,0))*parametros_manuales!$D$100+parametros_manuales!$F$30*(datos_base!$F$4+datos_base!$F$20+IF(parametros_manuales!$H$30="Todos",datos_base!$F$11+datos_base!$F$25,0))*parametros_manuales!$D$105+parametros_manuales!$G$30*(datos_base!$F$5+datos_base!$F$21+IF(parametros_manuales!$H$30="Todos",datos_base!$F$12+datos_base!$F$26,0))*parametros_manuales!$D$110)*parametros_manuales!$I$30*parametros_manuales!$J$30</f>
        <v>7192.8187063215</v>
      </c>
      <c r="E121" s="9" t="n">
        <f aca="false">(parametros_manuales!$D$30*(datos_base!$F$2+datos_base!$F$18+IF(parametros_manuales!$H$30="Todos",datos_base!$F$9+datos_base!$F$23,0))*parametros_manuales!$E$95+parametros_manuales!$E$30*(datos_base!$F$3+datos_base!$F$19+IF(parametros_manuales!$H$30="Todos",datos_base!$F$10+datos_base!$F$24,0))*parametros_manuales!$E$100+parametros_manuales!$F$30*(datos_base!$F$4+datos_base!$F$20+IF(parametros_manuales!$H$30="Todos",datos_base!$F$11+datos_base!$F$25,0))*parametros_manuales!$E$105+parametros_manuales!$G$30*(datos_base!$F$5+datos_base!$F$21+IF(parametros_manuales!$H$30="Todos",datos_base!$F$12+datos_base!$F$26,0))*parametros_manuales!$E$110)*parametros_manuales!$I$30*parametros_manuales!$J$30</f>
        <v>6882.2415427715</v>
      </c>
      <c r="F121" s="9" t="n">
        <f aca="false">(parametros_manuales!$D$30*(datos_base!$F$2+datos_base!$F$18+IF(parametros_manuales!$H$30="Todos",datos_base!$F$9+datos_base!$F$23,0))*parametros_manuales!$F$95+parametros_manuales!$E$30*(datos_base!$F$3+datos_base!$F$19+IF(parametros_manuales!$H$30="Todos",datos_base!$F$10+datos_base!$F$24,0))*parametros_manuales!$F$100+parametros_manuales!$F$30*(datos_base!$F$4+datos_base!$F$20+IF(parametros_manuales!$H$30="Todos",datos_base!$F$11+datos_base!$F$25,0))*parametros_manuales!$F$105+parametros_manuales!$G$30*(datos_base!$F$5+datos_base!$F$21+IF(parametros_manuales!$H$30="Todos",datos_base!$F$12+datos_base!$F$26,0))*parametros_manuales!$F$110)*parametros_manuales!$I$30*parametros_manuales!$J$30</f>
        <v>6440.865315132</v>
      </c>
      <c r="G121" s="9" t="n">
        <f aca="false">(parametros_manuales!$D$30*(datos_base!$F$2+datos_base!$F$18+IF(parametros_manuales!$H$30="Todos",datos_base!$F$9+datos_base!$F$23,0))*parametros_manuales!$G$95+parametros_manuales!$E$30*(datos_base!$F$3+datos_base!$F$19+IF(parametros_manuales!$H$30="Todos",datos_base!$F$10+datos_base!$F$24,0))*parametros_manuales!$G$100+parametros_manuales!$F$30*(datos_base!$F$4+datos_base!$F$20+IF(parametros_manuales!$H$30="Todos",datos_base!$F$11+datos_base!$F$25,0))*parametros_manuales!$G$105+parametros_manuales!$G$30*(datos_base!$F$5+datos_base!$F$21+IF(parametros_manuales!$H$30="Todos",datos_base!$F$12+datos_base!$F$26,0))*parametros_manuales!$G$110)*parametros_manuales!$I$30*parametros_manuales!$J$30</f>
        <v>6310.0662510425</v>
      </c>
      <c r="H121" s="9" t="n">
        <f aca="false">(parametros_manuales!$D$30*(datos_base!$F$2+datos_base!$F$18+IF(parametros_manuales!$H$30="Todos",datos_base!$F$9+datos_base!$F$23,0))*parametros_manuales!$H$95+parametros_manuales!$E$30*(datos_base!$F$3+datos_base!$F$19+IF(parametros_manuales!$H$30="Todos",datos_base!$F$10+datos_base!$F$24,0))*parametros_manuales!$H$100+parametros_manuales!$F$30*(datos_base!$F$4+datos_base!$F$20+IF(parametros_manuales!$H$30="Todos",datos_base!$F$11+datos_base!$F$25,0))*parametros_manuales!$H$105+parametros_manuales!$G$30*(datos_base!$F$5+datos_base!$F$21+IF(parametros_manuales!$H$30="Todos",datos_base!$F$12+datos_base!$F$26,0))*parametros_manuales!$H$110)*parametros_manuales!$I$30*parametros_manuales!$J$30</f>
        <v>6751.442478682</v>
      </c>
      <c r="I121" s="9" t="n">
        <f aca="false">(parametros_manuales!$D$30*(datos_base!$F$2+datos_base!$F$18+IF(parametros_manuales!$H$30="Todos",datos_base!$F$9+datos_base!$F$23,0))*parametros_manuales!$I$95+parametros_manuales!$E$30*(datos_base!$F$3+datos_base!$F$19+IF(parametros_manuales!$H$30="Todos",datos_base!$F$10+datos_base!$F$24,0))*parametros_manuales!$I$100+parametros_manuales!$F$30*(datos_base!$F$4+datos_base!$F$20+IF(parametros_manuales!$H$30="Todos",datos_base!$F$11+datos_base!$F$25,0))*parametros_manuales!$I$105+parametros_manuales!$G$30*(datos_base!$F$5+datos_base!$F$21+IF(parametros_manuales!$H$30="Todos",datos_base!$F$12+datos_base!$F$26,0))*parametros_manuales!$I$110)*parametros_manuales!$I$30*parametros_manuales!$J$30</f>
        <v>7683.173969332</v>
      </c>
      <c r="J121" s="9" t="n">
        <f aca="false">(parametros_manuales!$D$30*(datos_base!$F$2+datos_base!$F$18+IF(parametros_manuales!$H$30="Todos",datos_base!$F$9+datos_base!$F$23,0))*parametros_manuales!$J$95+parametros_manuales!$E$30*(datos_base!$F$3+datos_base!$F$19+IF(parametros_manuales!$H$30="Todos",datos_base!$F$10+datos_base!$F$24,0))*parametros_manuales!$J$100+parametros_manuales!$F$30*(datos_base!$F$4+datos_base!$F$20+IF(parametros_manuales!$H$30="Todos",datos_base!$F$11+datos_base!$F$25,0))*parametros_manuales!$J$105+parametros_manuales!$G$30*(datos_base!$F$5+datos_base!$F$21+IF(parametros_manuales!$H$30="Todos",datos_base!$F$12+datos_base!$F$26,0))*parametros_manuales!$J$110)*parametros_manuales!$I$30*parametros_manuales!$J$30</f>
        <v>7683.173969332</v>
      </c>
      <c r="K121" s="9" t="n">
        <f aca="false">(parametros_manuales!$D$30*(datos_base!$F$2+datos_base!$F$18+IF(parametros_manuales!$H$30="Todos",datos_base!$F$9+datos_base!$F$23,0))*parametros_manuales!$K$95+parametros_manuales!$E$30*(datos_base!$F$3+datos_base!$F$19+IF(parametros_manuales!$H$30="Todos",datos_base!$F$10+datos_base!$F$24,0))*parametros_manuales!$K$100+parametros_manuales!$F$30*(datos_base!$F$4+datos_base!$F$20+IF(parametros_manuales!$H$30="Todos",datos_base!$F$11+datos_base!$F$25,0))*parametros_manuales!$K$105+parametros_manuales!$G$30*(datos_base!$F$5+datos_base!$F$21+IF(parametros_manuales!$H$30="Todos",datos_base!$F$12+datos_base!$F$26,0))*parametros_manuales!$K$110)*parametros_manuales!$I$30*parametros_manuales!$J$30</f>
        <v>7813.9730334215</v>
      </c>
      <c r="L121" s="9" t="n">
        <f aca="false">(parametros_manuales!$D$30*(datos_base!$F$2+datos_base!$F$18+IF(parametros_manuales!$H$30="Todos",datos_base!$F$9+datos_base!$F$23,0))*parametros_manuales!$L$95+parametros_manuales!$E$30*(datos_base!$F$3+datos_base!$F$19+IF(parametros_manuales!$H$30="Todos",datos_base!$F$10+datos_base!$F$24,0))*parametros_manuales!$L$100+parametros_manuales!$F$30*(datos_base!$F$4+datos_base!$F$20+IF(parametros_manuales!$H$30="Todos",datos_base!$F$11+datos_base!$F$25,0))*parametros_manuales!$L$105+parametros_manuales!$G$30*(datos_base!$F$5+datos_base!$F$21+IF(parametros_manuales!$H$30="Todos",datos_base!$F$12+datos_base!$F$26,0))*parametros_manuales!$L$110)*parametros_manuales!$I$30*parametros_manuales!$J$30</f>
        <v>7944.772097511</v>
      </c>
      <c r="M121" s="9" t="n">
        <f aca="false">(parametros_manuales!$D$30*(datos_base!$F$2+datos_base!$F$18+IF(parametros_manuales!$H$30="Todos",datos_base!$F$9+datos_base!$F$23,0))*parametros_manuales!$M$95+parametros_manuales!$E$30*(datos_base!$F$3+datos_base!$F$19+IF(parametros_manuales!$H$30="Todos",datos_base!$F$10+datos_base!$F$24,0))*parametros_manuales!$M$100+parametros_manuales!$F$30*(datos_base!$F$4+datos_base!$F$20+IF(parametros_manuales!$H$30="Todos",datos_base!$F$11+datos_base!$F$25,0))*parametros_manuales!$M$105+parametros_manuales!$G$30*(datos_base!$F$5+datos_base!$F$21+IF(parametros_manuales!$H$30="Todos",datos_base!$F$12+datos_base!$F$26,0))*parametros_manuales!$M$110)*parametros_manuales!$I$30*parametros_manuales!$J$30</f>
        <v>7944.772097511</v>
      </c>
      <c r="N121" s="9" t="n">
        <f aca="false">SUM(B121:M121)</f>
        <v>88275.2455279</v>
      </c>
      <c r="O121" s="9" t="n">
        <f aca="false">MAX(B121:M121)</f>
        <v>7944.772097511</v>
      </c>
      <c r="P121" s="43" t="n">
        <f aca="false">O121/(parametros_manuales!$B$7)</f>
        <v>52.96514731674</v>
      </c>
      <c r="Q121" s="8" t="str">
        <f aca="false">IF(O121=0,"-",INDEX($B$109:$M$109,MATCH(O121,B121:M121,0)))</f>
        <v>Ene</v>
      </c>
    </row>
    <row r="122" customFormat="false" ht="14.25" hidden="false" customHeight="true" outlineLevel="0" collapsed="false">
      <c r="A122" s="8" t="str">
        <f aca="false">parametros_manuales!$B$31</f>
        <v>Control de calidad — Espesor</v>
      </c>
      <c r="B122" s="9" t="n">
        <f aca="false">(parametros_manuales!$D$31*(datos_base!$F$2+datos_base!$F$18+IF(parametros_manuales!$H$31="Todos",datos_base!$F$9+datos_base!$F$23,0))*parametros_manuales!$B$95+parametros_manuales!$E$31*(datos_base!$F$3+datos_base!$F$19+IF(parametros_manuales!$H$31="Todos",datos_base!$F$10+datos_base!$F$24,0))*parametros_manuales!$B$100+parametros_manuales!$F$31*(datos_base!$F$4+datos_base!$F$20+IF(parametros_manuales!$H$31="Todos",datos_base!$F$11+datos_base!$F$25,0))*parametros_manuales!$B$105+parametros_manuales!$G$31*(datos_base!$F$5+datos_base!$F$21+IF(parametros_manuales!$H$31="Todos",datos_base!$F$12+datos_base!$F$26,0))*parametros_manuales!$B$110)*parametros_manuales!$I$31*parametros_manuales!$J$31</f>
        <v>158.89544195022</v>
      </c>
      <c r="C122" s="9" t="n">
        <f aca="false">(parametros_manuales!$D$31*(datos_base!$F$2+datos_base!$F$18+IF(parametros_manuales!$H$31="Todos",datos_base!$F$9+datos_base!$F$23,0))*parametros_manuales!$C$95+parametros_manuales!$E$31*(datos_base!$F$3+datos_base!$F$19+IF(parametros_manuales!$H$31="Todos",datos_base!$F$10+datos_base!$F$24,0))*parametros_manuales!$C$100+parametros_manuales!$F$31*(datos_base!$F$4+datos_base!$F$20+IF(parametros_manuales!$H$31="Todos",datos_base!$F$11+datos_base!$F$25,0))*parametros_manuales!$C$105+parametros_manuales!$G$31*(datos_base!$F$5+datos_base!$F$21+IF(parametros_manuales!$H$31="Todos",datos_base!$F$12+datos_base!$F$26,0))*parametros_manuales!$C$110)*parametros_manuales!$I$31*parametros_manuales!$J$31</f>
        <v>153.66347938664</v>
      </c>
      <c r="D122" s="9" t="n">
        <f aca="false">(parametros_manuales!$D$31*(datos_base!$F$2+datos_base!$F$18+IF(parametros_manuales!$H$31="Todos",datos_base!$F$9+datos_base!$F$23,0))*parametros_manuales!$D$95+parametros_manuales!$E$31*(datos_base!$F$3+datos_base!$F$19+IF(parametros_manuales!$H$31="Todos",datos_base!$F$10+datos_base!$F$24,0))*parametros_manuales!$D$100+parametros_manuales!$F$31*(datos_base!$F$4+datos_base!$F$20+IF(parametros_manuales!$H$31="Todos",datos_base!$F$11+datos_base!$F$25,0))*parametros_manuales!$D$105+parametros_manuales!$G$31*(datos_base!$F$5+datos_base!$F$21+IF(parametros_manuales!$H$31="Todos",datos_base!$F$12+datos_base!$F$26,0))*parametros_manuales!$D$110)*parametros_manuales!$I$31*parametros_manuales!$J$31</f>
        <v>143.85637412643</v>
      </c>
      <c r="E122" s="9" t="n">
        <f aca="false">(parametros_manuales!$D$31*(datos_base!$F$2+datos_base!$F$18+IF(parametros_manuales!$H$31="Todos",datos_base!$F$9+datos_base!$F$23,0))*parametros_manuales!$E$95+parametros_manuales!$E$31*(datos_base!$F$3+datos_base!$F$19+IF(parametros_manuales!$H$31="Todos",datos_base!$F$10+datos_base!$F$24,0))*parametros_manuales!$E$100+parametros_manuales!$F$31*(datos_base!$F$4+datos_base!$F$20+IF(parametros_manuales!$H$31="Todos",datos_base!$F$11+datos_base!$F$25,0))*parametros_manuales!$E$105+parametros_manuales!$G$31*(datos_base!$F$5+datos_base!$F$21+IF(parametros_manuales!$H$31="Todos",datos_base!$F$12+datos_base!$F$26,0))*parametros_manuales!$E$110)*parametros_manuales!$I$31*parametros_manuales!$J$31</f>
        <v>137.64483085543</v>
      </c>
      <c r="F122" s="9" t="n">
        <f aca="false">(parametros_manuales!$D$31*(datos_base!$F$2+datos_base!$F$18+IF(parametros_manuales!$H$31="Todos",datos_base!$F$9+datos_base!$F$23,0))*parametros_manuales!$F$95+parametros_manuales!$E$31*(datos_base!$F$3+datos_base!$F$19+IF(parametros_manuales!$H$31="Todos",datos_base!$F$10+datos_base!$F$24,0))*parametros_manuales!$F$100+parametros_manuales!$F$31*(datos_base!$F$4+datos_base!$F$20+IF(parametros_manuales!$H$31="Todos",datos_base!$F$11+datos_base!$F$25,0))*parametros_manuales!$F$105+parametros_manuales!$G$31*(datos_base!$F$5+datos_base!$F$21+IF(parametros_manuales!$H$31="Todos",datos_base!$F$12+datos_base!$F$26,0))*parametros_manuales!$F$110)*parametros_manuales!$I$31*parametros_manuales!$J$31</f>
        <v>128.81730630264</v>
      </c>
      <c r="G122" s="9" t="n">
        <f aca="false">(parametros_manuales!$D$31*(datos_base!$F$2+datos_base!$F$18+IF(parametros_manuales!$H$31="Todos",datos_base!$F$9+datos_base!$F$23,0))*parametros_manuales!$G$95+parametros_manuales!$E$31*(datos_base!$F$3+datos_base!$F$19+IF(parametros_manuales!$H$31="Todos",datos_base!$F$10+datos_base!$F$24,0))*parametros_manuales!$G$100+parametros_manuales!$F$31*(datos_base!$F$4+datos_base!$F$20+IF(parametros_manuales!$H$31="Todos",datos_base!$F$11+datos_base!$F$25,0))*parametros_manuales!$G$105+parametros_manuales!$G$31*(datos_base!$F$5+datos_base!$F$21+IF(parametros_manuales!$H$31="Todos",datos_base!$F$12+datos_base!$F$26,0))*parametros_manuales!$G$110)*parametros_manuales!$I$31*parametros_manuales!$J$31</f>
        <v>126.20132502085</v>
      </c>
      <c r="H122" s="9" t="n">
        <f aca="false">(parametros_manuales!$D$31*(datos_base!$F$2+datos_base!$F$18+IF(parametros_manuales!$H$31="Todos",datos_base!$F$9+datos_base!$F$23,0))*parametros_manuales!$H$95+parametros_manuales!$E$31*(datos_base!$F$3+datos_base!$F$19+IF(parametros_manuales!$H$31="Todos",datos_base!$F$10+datos_base!$F$24,0))*parametros_manuales!$H$100+parametros_manuales!$F$31*(datos_base!$F$4+datos_base!$F$20+IF(parametros_manuales!$H$31="Todos",datos_base!$F$11+datos_base!$F$25,0))*parametros_manuales!$H$105+parametros_manuales!$G$31*(datos_base!$F$5+datos_base!$F$21+IF(parametros_manuales!$H$31="Todos",datos_base!$F$12+datos_base!$F$26,0))*parametros_manuales!$H$110)*parametros_manuales!$I$31*parametros_manuales!$J$31</f>
        <v>135.02884957364</v>
      </c>
      <c r="I122" s="9" t="n">
        <f aca="false">(parametros_manuales!$D$31*(datos_base!$F$2+datos_base!$F$18+IF(parametros_manuales!$H$31="Todos",datos_base!$F$9+datos_base!$F$23,0))*parametros_manuales!$I$95+parametros_manuales!$E$31*(datos_base!$F$3+datos_base!$F$19+IF(parametros_manuales!$H$31="Todos",datos_base!$F$10+datos_base!$F$24,0))*parametros_manuales!$I$100+parametros_manuales!$F$31*(datos_base!$F$4+datos_base!$F$20+IF(parametros_manuales!$H$31="Todos",datos_base!$F$11+datos_base!$F$25,0))*parametros_manuales!$I$105+parametros_manuales!$G$31*(datos_base!$F$5+datos_base!$F$21+IF(parametros_manuales!$H$31="Todos",datos_base!$F$12+datos_base!$F$26,0))*parametros_manuales!$I$110)*parametros_manuales!$I$31*parametros_manuales!$J$31</f>
        <v>153.66347938664</v>
      </c>
      <c r="J122" s="9" t="n">
        <f aca="false">(parametros_manuales!$D$31*(datos_base!$F$2+datos_base!$F$18+IF(parametros_manuales!$H$31="Todos",datos_base!$F$9+datos_base!$F$23,0))*parametros_manuales!$J$95+parametros_manuales!$E$31*(datos_base!$F$3+datos_base!$F$19+IF(parametros_manuales!$H$31="Todos",datos_base!$F$10+datos_base!$F$24,0))*parametros_manuales!$J$100+parametros_manuales!$F$31*(datos_base!$F$4+datos_base!$F$20+IF(parametros_manuales!$H$31="Todos",datos_base!$F$11+datos_base!$F$25,0))*parametros_manuales!$J$105+parametros_manuales!$G$31*(datos_base!$F$5+datos_base!$F$21+IF(parametros_manuales!$H$31="Todos",datos_base!$F$12+datos_base!$F$26,0))*parametros_manuales!$J$110)*parametros_manuales!$I$31*parametros_manuales!$J$31</f>
        <v>153.66347938664</v>
      </c>
      <c r="K122" s="9" t="n">
        <f aca="false">(parametros_manuales!$D$31*(datos_base!$F$2+datos_base!$F$18+IF(parametros_manuales!$H$31="Todos",datos_base!$F$9+datos_base!$F$23,0))*parametros_manuales!$K$95+parametros_manuales!$E$31*(datos_base!$F$3+datos_base!$F$19+IF(parametros_manuales!$H$31="Todos",datos_base!$F$10+datos_base!$F$24,0))*parametros_manuales!$K$100+parametros_manuales!$F$31*(datos_base!$F$4+datos_base!$F$20+IF(parametros_manuales!$H$31="Todos",datos_base!$F$11+datos_base!$F$25,0))*parametros_manuales!$K$105+parametros_manuales!$G$31*(datos_base!$F$5+datos_base!$F$21+IF(parametros_manuales!$H$31="Todos",datos_base!$F$12+datos_base!$F$26,0))*parametros_manuales!$K$110)*parametros_manuales!$I$31*parametros_manuales!$J$31</f>
        <v>156.27946066843</v>
      </c>
      <c r="L122" s="9" t="n">
        <f aca="false">(parametros_manuales!$D$31*(datos_base!$F$2+datos_base!$F$18+IF(parametros_manuales!$H$31="Todos",datos_base!$F$9+datos_base!$F$23,0))*parametros_manuales!$L$95+parametros_manuales!$E$31*(datos_base!$F$3+datos_base!$F$19+IF(parametros_manuales!$H$31="Todos",datos_base!$F$10+datos_base!$F$24,0))*parametros_manuales!$L$100+parametros_manuales!$F$31*(datos_base!$F$4+datos_base!$F$20+IF(parametros_manuales!$H$31="Todos",datos_base!$F$11+datos_base!$F$25,0))*parametros_manuales!$L$105+parametros_manuales!$G$31*(datos_base!$F$5+datos_base!$F$21+IF(parametros_manuales!$H$31="Todos",datos_base!$F$12+datos_base!$F$26,0))*parametros_manuales!$L$110)*parametros_manuales!$I$31*parametros_manuales!$J$31</f>
        <v>158.89544195022</v>
      </c>
      <c r="M122" s="9" t="n">
        <f aca="false">(parametros_manuales!$D$31*(datos_base!$F$2+datos_base!$F$18+IF(parametros_manuales!$H$31="Todos",datos_base!$F$9+datos_base!$F$23,0))*parametros_manuales!$M$95+parametros_manuales!$E$31*(datos_base!$F$3+datos_base!$F$19+IF(parametros_manuales!$H$31="Todos",datos_base!$F$10+datos_base!$F$24,0))*parametros_manuales!$M$100+parametros_manuales!$F$31*(datos_base!$F$4+datos_base!$F$20+IF(parametros_manuales!$H$31="Todos",datos_base!$F$11+datos_base!$F$25,0))*parametros_manuales!$M$105+parametros_manuales!$G$31*(datos_base!$F$5+datos_base!$F$21+IF(parametros_manuales!$H$31="Todos",datos_base!$F$12+datos_base!$F$26,0))*parametros_manuales!$M$110)*parametros_manuales!$I$31*parametros_manuales!$J$31</f>
        <v>158.89544195022</v>
      </c>
      <c r="N122" s="9" t="n">
        <f aca="false">SUM(B122:M122)</f>
        <v>1765.504910558</v>
      </c>
      <c r="O122" s="9" t="n">
        <f aca="false">MAX(B122:M122)</f>
        <v>158.89544195022</v>
      </c>
      <c r="P122" s="43" t="n">
        <f aca="false">O122/(parametros_manuales!$B$7)</f>
        <v>1.0593029463348</v>
      </c>
      <c r="Q122" s="8" t="str">
        <f aca="false">IF(O122=0,"-",INDEX($B$109:$M$109,MATCH(O122,B122:M122,0)))</f>
        <v>Ene</v>
      </c>
    </row>
    <row r="123" customFormat="false" ht="14.25" hidden="false" customHeight="true" outlineLevel="0" collapsed="false">
      <c r="A123" s="8" t="str">
        <f aca="false">parametros_manuales!$B$32</f>
        <v>Prueba hidráulica</v>
      </c>
      <c r="B123" s="9" t="n">
        <f aca="false">(parametros_manuales!$D$32*(datos_base!$F$2+datos_base!$F$18+IF(parametros_manuales!$H$32="Todos",datos_base!$F$9+datos_base!$F$23,0))*parametros_manuales!$B$95+parametros_manuales!$E$32*(datos_base!$F$3+datos_base!$F$19+IF(parametros_manuales!$H$32="Todos",datos_base!$F$10+datos_base!$F$24,0))*parametros_manuales!$B$100+parametros_manuales!$F$32*(datos_base!$F$4+datos_base!$F$20+IF(parametros_manuales!$H$32="Todos",datos_base!$F$11+datos_base!$F$25,0))*parametros_manuales!$B$105+parametros_manuales!$G$32*(datos_base!$F$5+datos_base!$F$21+IF(parametros_manuales!$H$32="Todos",datos_base!$F$12+datos_base!$F$26,0))*parametros_manuales!$B$110)*parametros_manuales!$I$32*parametros_manuales!$J$32</f>
        <v>7944.772097511</v>
      </c>
      <c r="C123" s="9" t="n">
        <f aca="false">(parametros_manuales!$D$32*(datos_base!$F$2+datos_base!$F$18+IF(parametros_manuales!$H$32="Todos",datos_base!$F$9+datos_base!$F$23,0))*parametros_manuales!$C$95+parametros_manuales!$E$32*(datos_base!$F$3+datos_base!$F$19+IF(parametros_manuales!$H$32="Todos",datos_base!$F$10+datos_base!$F$24,0))*parametros_manuales!$C$100+parametros_manuales!$F$32*(datos_base!$F$4+datos_base!$F$20+IF(parametros_manuales!$H$32="Todos",datos_base!$F$11+datos_base!$F$25,0))*parametros_manuales!$C$105+parametros_manuales!$G$32*(datos_base!$F$5+datos_base!$F$21+IF(parametros_manuales!$H$32="Todos",datos_base!$F$12+datos_base!$F$26,0))*parametros_manuales!$C$110)*parametros_manuales!$I$32*parametros_manuales!$J$32</f>
        <v>7683.173969332</v>
      </c>
      <c r="D123" s="9" t="n">
        <f aca="false">(parametros_manuales!$D$32*(datos_base!$F$2+datos_base!$F$18+IF(parametros_manuales!$H$32="Todos",datos_base!$F$9+datos_base!$F$23,0))*parametros_manuales!$D$95+parametros_manuales!$E$32*(datos_base!$F$3+datos_base!$F$19+IF(parametros_manuales!$H$32="Todos",datos_base!$F$10+datos_base!$F$24,0))*parametros_manuales!$D$100+parametros_manuales!$F$32*(datos_base!$F$4+datos_base!$F$20+IF(parametros_manuales!$H$32="Todos",datos_base!$F$11+datos_base!$F$25,0))*parametros_manuales!$D$105+parametros_manuales!$G$32*(datos_base!$F$5+datos_base!$F$21+IF(parametros_manuales!$H$32="Todos",datos_base!$F$12+datos_base!$F$26,0))*parametros_manuales!$D$110)*parametros_manuales!$I$32*parametros_manuales!$J$32</f>
        <v>7192.8187063215</v>
      </c>
      <c r="E123" s="9" t="n">
        <f aca="false">(parametros_manuales!$D$32*(datos_base!$F$2+datos_base!$F$18+IF(parametros_manuales!$H$32="Todos",datos_base!$F$9+datos_base!$F$23,0))*parametros_manuales!$E$95+parametros_manuales!$E$32*(datos_base!$F$3+datos_base!$F$19+IF(parametros_manuales!$H$32="Todos",datos_base!$F$10+datos_base!$F$24,0))*parametros_manuales!$E$100+parametros_manuales!$F$32*(datos_base!$F$4+datos_base!$F$20+IF(parametros_manuales!$H$32="Todos",datos_base!$F$11+datos_base!$F$25,0))*parametros_manuales!$E$105+parametros_manuales!$G$32*(datos_base!$F$5+datos_base!$F$21+IF(parametros_manuales!$H$32="Todos",datos_base!$F$12+datos_base!$F$26,0))*parametros_manuales!$E$110)*parametros_manuales!$I$32*parametros_manuales!$J$32</f>
        <v>6882.2415427715</v>
      </c>
      <c r="F123" s="9" t="n">
        <f aca="false">(parametros_manuales!$D$32*(datos_base!$F$2+datos_base!$F$18+IF(parametros_manuales!$H$32="Todos",datos_base!$F$9+datos_base!$F$23,0))*parametros_manuales!$F$95+parametros_manuales!$E$32*(datos_base!$F$3+datos_base!$F$19+IF(parametros_manuales!$H$32="Todos",datos_base!$F$10+datos_base!$F$24,0))*parametros_manuales!$F$100+parametros_manuales!$F$32*(datos_base!$F$4+datos_base!$F$20+IF(parametros_manuales!$H$32="Todos",datos_base!$F$11+datos_base!$F$25,0))*parametros_manuales!$F$105+parametros_manuales!$G$32*(datos_base!$F$5+datos_base!$F$21+IF(parametros_manuales!$H$32="Todos",datos_base!$F$12+datos_base!$F$26,0))*parametros_manuales!$F$110)*parametros_manuales!$I$32*parametros_manuales!$J$32</f>
        <v>6440.865315132</v>
      </c>
      <c r="G123" s="9" t="n">
        <f aca="false">(parametros_manuales!$D$32*(datos_base!$F$2+datos_base!$F$18+IF(parametros_manuales!$H$32="Todos",datos_base!$F$9+datos_base!$F$23,0))*parametros_manuales!$G$95+parametros_manuales!$E$32*(datos_base!$F$3+datos_base!$F$19+IF(parametros_manuales!$H$32="Todos",datos_base!$F$10+datos_base!$F$24,0))*parametros_manuales!$G$100+parametros_manuales!$F$32*(datos_base!$F$4+datos_base!$F$20+IF(parametros_manuales!$H$32="Todos",datos_base!$F$11+datos_base!$F$25,0))*parametros_manuales!$G$105+parametros_manuales!$G$32*(datos_base!$F$5+datos_base!$F$21+IF(parametros_manuales!$H$32="Todos",datos_base!$F$12+datos_base!$F$26,0))*parametros_manuales!$G$110)*parametros_manuales!$I$32*parametros_manuales!$J$32</f>
        <v>6310.0662510425</v>
      </c>
      <c r="H123" s="9" t="n">
        <f aca="false">(parametros_manuales!$D$32*(datos_base!$F$2+datos_base!$F$18+IF(parametros_manuales!$H$32="Todos",datos_base!$F$9+datos_base!$F$23,0))*parametros_manuales!$H$95+parametros_manuales!$E$32*(datos_base!$F$3+datos_base!$F$19+IF(parametros_manuales!$H$32="Todos",datos_base!$F$10+datos_base!$F$24,0))*parametros_manuales!$H$100+parametros_manuales!$F$32*(datos_base!$F$4+datos_base!$F$20+IF(parametros_manuales!$H$32="Todos",datos_base!$F$11+datos_base!$F$25,0))*parametros_manuales!$H$105+parametros_manuales!$G$32*(datos_base!$F$5+datos_base!$F$21+IF(parametros_manuales!$H$32="Todos",datos_base!$F$12+datos_base!$F$26,0))*parametros_manuales!$H$110)*parametros_manuales!$I$32*parametros_manuales!$J$32</f>
        <v>6751.442478682</v>
      </c>
      <c r="I123" s="9" t="n">
        <f aca="false">(parametros_manuales!$D$32*(datos_base!$F$2+datos_base!$F$18+IF(parametros_manuales!$H$32="Todos",datos_base!$F$9+datos_base!$F$23,0))*parametros_manuales!$I$95+parametros_manuales!$E$32*(datos_base!$F$3+datos_base!$F$19+IF(parametros_manuales!$H$32="Todos",datos_base!$F$10+datos_base!$F$24,0))*parametros_manuales!$I$100+parametros_manuales!$F$32*(datos_base!$F$4+datos_base!$F$20+IF(parametros_manuales!$H$32="Todos",datos_base!$F$11+datos_base!$F$25,0))*parametros_manuales!$I$105+parametros_manuales!$G$32*(datos_base!$F$5+datos_base!$F$21+IF(parametros_manuales!$H$32="Todos",datos_base!$F$12+datos_base!$F$26,0))*parametros_manuales!$I$110)*parametros_manuales!$I$32*parametros_manuales!$J$32</f>
        <v>7683.173969332</v>
      </c>
      <c r="J123" s="9" t="n">
        <f aca="false">(parametros_manuales!$D$32*(datos_base!$F$2+datos_base!$F$18+IF(parametros_manuales!$H$32="Todos",datos_base!$F$9+datos_base!$F$23,0))*parametros_manuales!$J$95+parametros_manuales!$E$32*(datos_base!$F$3+datos_base!$F$19+IF(parametros_manuales!$H$32="Todos",datos_base!$F$10+datos_base!$F$24,0))*parametros_manuales!$J$100+parametros_manuales!$F$32*(datos_base!$F$4+datos_base!$F$20+IF(parametros_manuales!$H$32="Todos",datos_base!$F$11+datos_base!$F$25,0))*parametros_manuales!$J$105+parametros_manuales!$G$32*(datos_base!$F$5+datos_base!$F$21+IF(parametros_manuales!$H$32="Todos",datos_base!$F$12+datos_base!$F$26,0))*parametros_manuales!$J$110)*parametros_manuales!$I$32*parametros_manuales!$J$32</f>
        <v>7683.173969332</v>
      </c>
      <c r="K123" s="9" t="n">
        <f aca="false">(parametros_manuales!$D$32*(datos_base!$F$2+datos_base!$F$18+IF(parametros_manuales!$H$32="Todos",datos_base!$F$9+datos_base!$F$23,0))*parametros_manuales!$K$95+parametros_manuales!$E$32*(datos_base!$F$3+datos_base!$F$19+IF(parametros_manuales!$H$32="Todos",datos_base!$F$10+datos_base!$F$24,0))*parametros_manuales!$K$100+parametros_manuales!$F$32*(datos_base!$F$4+datos_base!$F$20+IF(parametros_manuales!$H$32="Todos",datos_base!$F$11+datos_base!$F$25,0))*parametros_manuales!$K$105+parametros_manuales!$G$32*(datos_base!$F$5+datos_base!$F$21+IF(parametros_manuales!$H$32="Todos",datos_base!$F$12+datos_base!$F$26,0))*parametros_manuales!$K$110)*parametros_manuales!$I$32*parametros_manuales!$J$32</f>
        <v>7813.9730334215</v>
      </c>
      <c r="L123" s="9" t="n">
        <f aca="false">(parametros_manuales!$D$32*(datos_base!$F$2+datos_base!$F$18+IF(parametros_manuales!$H$32="Todos",datos_base!$F$9+datos_base!$F$23,0))*parametros_manuales!$L$95+parametros_manuales!$E$32*(datos_base!$F$3+datos_base!$F$19+IF(parametros_manuales!$H$32="Todos",datos_base!$F$10+datos_base!$F$24,0))*parametros_manuales!$L$100+parametros_manuales!$F$32*(datos_base!$F$4+datos_base!$F$20+IF(parametros_manuales!$H$32="Todos",datos_base!$F$11+datos_base!$F$25,0))*parametros_manuales!$L$105+parametros_manuales!$G$32*(datos_base!$F$5+datos_base!$F$21+IF(parametros_manuales!$H$32="Todos",datos_base!$F$12+datos_base!$F$26,0))*parametros_manuales!$L$110)*parametros_manuales!$I$32*parametros_manuales!$J$32</f>
        <v>7944.772097511</v>
      </c>
      <c r="M123" s="9" t="n">
        <f aca="false">(parametros_manuales!$D$32*(datos_base!$F$2+datos_base!$F$18+IF(parametros_manuales!$H$32="Todos",datos_base!$F$9+datos_base!$F$23,0))*parametros_manuales!$M$95+parametros_manuales!$E$32*(datos_base!$F$3+datos_base!$F$19+IF(parametros_manuales!$H$32="Todos",datos_base!$F$10+datos_base!$F$24,0))*parametros_manuales!$M$100+parametros_manuales!$F$32*(datos_base!$F$4+datos_base!$F$20+IF(parametros_manuales!$H$32="Todos",datos_base!$F$11+datos_base!$F$25,0))*parametros_manuales!$M$105+parametros_manuales!$G$32*(datos_base!$F$5+datos_base!$F$21+IF(parametros_manuales!$H$32="Todos",datos_base!$F$12+datos_base!$F$26,0))*parametros_manuales!$M$110)*parametros_manuales!$I$32*parametros_manuales!$J$32</f>
        <v>7944.772097511</v>
      </c>
      <c r="N123" s="9" t="n">
        <f aca="false">SUM(B123:M123)</f>
        <v>88275.2455279</v>
      </c>
      <c r="O123" s="9" t="n">
        <f aca="false">MAX(B123:M123)</f>
        <v>7944.772097511</v>
      </c>
      <c r="P123" s="43" t="n">
        <f aca="false">O123/(parametros_manuales!$B$7)</f>
        <v>52.96514731674</v>
      </c>
      <c r="Q123" s="8" t="str">
        <f aca="false">IF(O123=0,"-",INDEX($B$109:$M$109,MATCH(O123,B123:M123,0)))</f>
        <v>Ene</v>
      </c>
    </row>
    <row r="124" customFormat="false" ht="14.25" hidden="false" customHeight="true" outlineLevel="0" collapsed="false">
      <c r="A124" s="8" t="str">
        <f aca="false">parametros_manuales!$B$33</f>
        <v>Secado</v>
      </c>
      <c r="B124" s="9" t="n">
        <f aca="false">(parametros_manuales!$D$33*(datos_base!$F$2+datos_base!$F$18+IF(parametros_manuales!$H$33="Todos",datos_base!$F$9+datos_base!$F$23,0))*parametros_manuales!$B$95+parametros_manuales!$E$33*(datos_base!$F$3+datos_base!$F$19+IF(parametros_manuales!$H$33="Todos",datos_base!$F$10+datos_base!$F$24,0))*parametros_manuales!$B$100+parametros_manuales!$F$33*(datos_base!$F$4+datos_base!$F$20+IF(parametros_manuales!$H$33="Todos",datos_base!$F$11+datos_base!$F$25,0))*parametros_manuales!$B$105+parametros_manuales!$G$33*(datos_base!$F$5+datos_base!$F$21+IF(parametros_manuales!$H$33="Todos",datos_base!$F$12+datos_base!$F$26,0))*parametros_manuales!$B$110)*parametros_manuales!$I$33*parametros_manuales!$J$33</f>
        <v>7944.772097511</v>
      </c>
      <c r="C124" s="9" t="n">
        <f aca="false">(parametros_manuales!$D$33*(datos_base!$F$2+datos_base!$F$18+IF(parametros_manuales!$H$33="Todos",datos_base!$F$9+datos_base!$F$23,0))*parametros_manuales!$C$95+parametros_manuales!$E$33*(datos_base!$F$3+datos_base!$F$19+IF(parametros_manuales!$H$33="Todos",datos_base!$F$10+datos_base!$F$24,0))*parametros_manuales!$C$100+parametros_manuales!$F$33*(datos_base!$F$4+datos_base!$F$20+IF(parametros_manuales!$H$33="Todos",datos_base!$F$11+datos_base!$F$25,0))*parametros_manuales!$C$105+parametros_manuales!$G$33*(datos_base!$F$5+datos_base!$F$21+IF(parametros_manuales!$H$33="Todos",datos_base!$F$12+datos_base!$F$26,0))*parametros_manuales!$C$110)*parametros_manuales!$I$33*parametros_manuales!$J$33</f>
        <v>7683.173969332</v>
      </c>
      <c r="D124" s="9" t="n">
        <f aca="false">(parametros_manuales!$D$33*(datos_base!$F$2+datos_base!$F$18+IF(parametros_manuales!$H$33="Todos",datos_base!$F$9+datos_base!$F$23,0))*parametros_manuales!$D$95+parametros_manuales!$E$33*(datos_base!$F$3+datos_base!$F$19+IF(parametros_manuales!$H$33="Todos",datos_base!$F$10+datos_base!$F$24,0))*parametros_manuales!$D$100+parametros_manuales!$F$33*(datos_base!$F$4+datos_base!$F$20+IF(parametros_manuales!$H$33="Todos",datos_base!$F$11+datos_base!$F$25,0))*parametros_manuales!$D$105+parametros_manuales!$G$33*(datos_base!$F$5+datos_base!$F$21+IF(parametros_manuales!$H$33="Todos",datos_base!$F$12+datos_base!$F$26,0))*parametros_manuales!$D$110)*parametros_manuales!$I$33*parametros_manuales!$J$33</f>
        <v>7192.8187063215</v>
      </c>
      <c r="E124" s="9" t="n">
        <f aca="false">(parametros_manuales!$D$33*(datos_base!$F$2+datos_base!$F$18+IF(parametros_manuales!$H$33="Todos",datos_base!$F$9+datos_base!$F$23,0))*parametros_manuales!$E$95+parametros_manuales!$E$33*(datos_base!$F$3+datos_base!$F$19+IF(parametros_manuales!$H$33="Todos",datos_base!$F$10+datos_base!$F$24,0))*parametros_manuales!$E$100+parametros_manuales!$F$33*(datos_base!$F$4+datos_base!$F$20+IF(parametros_manuales!$H$33="Todos",datos_base!$F$11+datos_base!$F$25,0))*parametros_manuales!$E$105+parametros_manuales!$G$33*(datos_base!$F$5+datos_base!$F$21+IF(parametros_manuales!$H$33="Todos",datos_base!$F$12+datos_base!$F$26,0))*parametros_manuales!$E$110)*parametros_manuales!$I$33*parametros_manuales!$J$33</f>
        <v>6882.2415427715</v>
      </c>
      <c r="F124" s="9" t="n">
        <f aca="false">(parametros_manuales!$D$33*(datos_base!$F$2+datos_base!$F$18+IF(parametros_manuales!$H$33="Todos",datos_base!$F$9+datos_base!$F$23,0))*parametros_manuales!$F$95+parametros_manuales!$E$33*(datos_base!$F$3+datos_base!$F$19+IF(parametros_manuales!$H$33="Todos",datos_base!$F$10+datos_base!$F$24,0))*parametros_manuales!$F$100+parametros_manuales!$F$33*(datos_base!$F$4+datos_base!$F$20+IF(parametros_manuales!$H$33="Todos",datos_base!$F$11+datos_base!$F$25,0))*parametros_manuales!$F$105+parametros_manuales!$G$33*(datos_base!$F$5+datos_base!$F$21+IF(parametros_manuales!$H$33="Todos",datos_base!$F$12+datos_base!$F$26,0))*parametros_manuales!$F$110)*parametros_manuales!$I$33*parametros_manuales!$J$33</f>
        <v>6440.865315132</v>
      </c>
      <c r="G124" s="9" t="n">
        <f aca="false">(parametros_manuales!$D$33*(datos_base!$F$2+datos_base!$F$18+IF(parametros_manuales!$H$33="Todos",datos_base!$F$9+datos_base!$F$23,0))*parametros_manuales!$G$95+parametros_manuales!$E$33*(datos_base!$F$3+datos_base!$F$19+IF(parametros_manuales!$H$33="Todos",datos_base!$F$10+datos_base!$F$24,0))*parametros_manuales!$G$100+parametros_manuales!$F$33*(datos_base!$F$4+datos_base!$F$20+IF(parametros_manuales!$H$33="Todos",datos_base!$F$11+datos_base!$F$25,0))*parametros_manuales!$G$105+parametros_manuales!$G$33*(datos_base!$F$5+datos_base!$F$21+IF(parametros_manuales!$H$33="Todos",datos_base!$F$12+datos_base!$F$26,0))*parametros_manuales!$G$110)*parametros_manuales!$I$33*parametros_manuales!$J$33</f>
        <v>6310.0662510425</v>
      </c>
      <c r="H124" s="9" t="n">
        <f aca="false">(parametros_manuales!$D$33*(datos_base!$F$2+datos_base!$F$18+IF(parametros_manuales!$H$33="Todos",datos_base!$F$9+datos_base!$F$23,0))*parametros_manuales!$H$95+parametros_manuales!$E$33*(datos_base!$F$3+datos_base!$F$19+IF(parametros_manuales!$H$33="Todos",datos_base!$F$10+datos_base!$F$24,0))*parametros_manuales!$H$100+parametros_manuales!$F$33*(datos_base!$F$4+datos_base!$F$20+IF(parametros_manuales!$H$33="Todos",datos_base!$F$11+datos_base!$F$25,0))*parametros_manuales!$H$105+parametros_manuales!$G$33*(datos_base!$F$5+datos_base!$F$21+IF(parametros_manuales!$H$33="Todos",datos_base!$F$12+datos_base!$F$26,0))*parametros_manuales!$H$110)*parametros_manuales!$I$33*parametros_manuales!$J$33</f>
        <v>6751.442478682</v>
      </c>
      <c r="I124" s="9" t="n">
        <f aca="false">(parametros_manuales!$D$33*(datos_base!$F$2+datos_base!$F$18+IF(parametros_manuales!$H$33="Todos",datos_base!$F$9+datos_base!$F$23,0))*parametros_manuales!$I$95+parametros_manuales!$E$33*(datos_base!$F$3+datos_base!$F$19+IF(parametros_manuales!$H$33="Todos",datos_base!$F$10+datos_base!$F$24,0))*parametros_manuales!$I$100+parametros_manuales!$F$33*(datos_base!$F$4+datos_base!$F$20+IF(parametros_manuales!$H$33="Todos",datos_base!$F$11+datos_base!$F$25,0))*parametros_manuales!$I$105+parametros_manuales!$G$33*(datos_base!$F$5+datos_base!$F$21+IF(parametros_manuales!$H$33="Todos",datos_base!$F$12+datos_base!$F$26,0))*parametros_manuales!$I$110)*parametros_manuales!$I$33*parametros_manuales!$J$33</f>
        <v>7683.173969332</v>
      </c>
      <c r="J124" s="9" t="n">
        <f aca="false">(parametros_manuales!$D$33*(datos_base!$F$2+datos_base!$F$18+IF(parametros_manuales!$H$33="Todos",datos_base!$F$9+datos_base!$F$23,0))*parametros_manuales!$J$95+parametros_manuales!$E$33*(datos_base!$F$3+datos_base!$F$19+IF(parametros_manuales!$H$33="Todos",datos_base!$F$10+datos_base!$F$24,0))*parametros_manuales!$J$100+parametros_manuales!$F$33*(datos_base!$F$4+datos_base!$F$20+IF(parametros_manuales!$H$33="Todos",datos_base!$F$11+datos_base!$F$25,0))*parametros_manuales!$J$105+parametros_manuales!$G$33*(datos_base!$F$5+datos_base!$F$21+IF(parametros_manuales!$H$33="Todos",datos_base!$F$12+datos_base!$F$26,0))*parametros_manuales!$J$110)*parametros_manuales!$I$33*parametros_manuales!$J$33</f>
        <v>7683.173969332</v>
      </c>
      <c r="K124" s="9" t="n">
        <f aca="false">(parametros_manuales!$D$33*(datos_base!$F$2+datos_base!$F$18+IF(parametros_manuales!$H$33="Todos",datos_base!$F$9+datos_base!$F$23,0))*parametros_manuales!$K$95+parametros_manuales!$E$33*(datos_base!$F$3+datos_base!$F$19+IF(parametros_manuales!$H$33="Todos",datos_base!$F$10+datos_base!$F$24,0))*parametros_manuales!$K$100+parametros_manuales!$F$33*(datos_base!$F$4+datos_base!$F$20+IF(parametros_manuales!$H$33="Todos",datos_base!$F$11+datos_base!$F$25,0))*parametros_manuales!$K$105+parametros_manuales!$G$33*(datos_base!$F$5+datos_base!$F$21+IF(parametros_manuales!$H$33="Todos",datos_base!$F$12+datos_base!$F$26,0))*parametros_manuales!$K$110)*parametros_manuales!$I$33*parametros_manuales!$J$33</f>
        <v>7813.9730334215</v>
      </c>
      <c r="L124" s="9" t="n">
        <f aca="false">(parametros_manuales!$D$33*(datos_base!$F$2+datos_base!$F$18+IF(parametros_manuales!$H$33="Todos",datos_base!$F$9+datos_base!$F$23,0))*parametros_manuales!$L$95+parametros_manuales!$E$33*(datos_base!$F$3+datos_base!$F$19+IF(parametros_manuales!$H$33="Todos",datos_base!$F$10+datos_base!$F$24,0))*parametros_manuales!$L$100+parametros_manuales!$F$33*(datos_base!$F$4+datos_base!$F$20+IF(parametros_manuales!$H$33="Todos",datos_base!$F$11+datos_base!$F$25,0))*parametros_manuales!$L$105+parametros_manuales!$G$33*(datos_base!$F$5+datos_base!$F$21+IF(parametros_manuales!$H$33="Todos",datos_base!$F$12+datos_base!$F$26,0))*parametros_manuales!$L$110)*parametros_manuales!$I$33*parametros_manuales!$J$33</f>
        <v>7944.772097511</v>
      </c>
      <c r="M124" s="9" t="n">
        <f aca="false">(parametros_manuales!$D$33*(datos_base!$F$2+datos_base!$F$18+IF(parametros_manuales!$H$33="Todos",datos_base!$F$9+datos_base!$F$23,0))*parametros_manuales!$M$95+parametros_manuales!$E$33*(datos_base!$F$3+datos_base!$F$19+IF(parametros_manuales!$H$33="Todos",datos_base!$F$10+datos_base!$F$24,0))*parametros_manuales!$M$100+parametros_manuales!$F$33*(datos_base!$F$4+datos_base!$F$20+IF(parametros_manuales!$H$33="Todos",datos_base!$F$11+datos_base!$F$25,0))*parametros_manuales!$M$105+parametros_manuales!$G$33*(datos_base!$F$5+datos_base!$F$21+IF(parametros_manuales!$H$33="Todos",datos_base!$F$12+datos_base!$F$26,0))*parametros_manuales!$M$110)*parametros_manuales!$I$33*parametros_manuales!$J$33</f>
        <v>7944.772097511</v>
      </c>
      <c r="N124" s="9" t="n">
        <f aca="false">SUM(B124:M124)</f>
        <v>88275.2455279</v>
      </c>
      <c r="O124" s="9" t="n">
        <f aca="false">MAX(B124:M124)</f>
        <v>7944.772097511</v>
      </c>
      <c r="P124" s="43" t="n">
        <f aca="false">O124/(parametros_manuales!$B$7)</f>
        <v>52.96514731674</v>
      </c>
      <c r="Q124" s="8" t="str">
        <f aca="false">IF(O124=0,"-",INDEX($B$109:$M$109,MATCH(O124,B124:M124,0)))</f>
        <v>Ene</v>
      </c>
    </row>
    <row r="125" customFormat="false" ht="14.25" hidden="false" customHeight="true" outlineLevel="0" collapsed="false">
      <c r="A125" s="8" t="str">
        <f aca="false">parametros_manuales!$B$34</f>
        <v>Granallado</v>
      </c>
      <c r="B125" s="9" t="n">
        <f aca="false">(parametros_manuales!$D$34*(datos_base!$F$2+datos_base!$F$18+IF(parametros_manuales!$H$34="Todos",datos_base!$F$9+datos_base!$F$23,0))*parametros_manuales!$B$95+parametros_manuales!$E$34*(datos_base!$F$3+datos_base!$F$19+IF(parametros_manuales!$H$34="Todos",datos_base!$F$10+datos_base!$F$24,0))*parametros_manuales!$B$100+parametros_manuales!$F$34*(datos_base!$F$4+datos_base!$F$20+IF(parametros_manuales!$H$34="Todos",datos_base!$F$11+datos_base!$F$25,0))*parametros_manuales!$B$105+parametros_manuales!$G$34*(datos_base!$F$5+datos_base!$F$21+IF(parametros_manuales!$H$34="Todos",datos_base!$F$12+datos_base!$F$26,0))*parametros_manuales!$B$110)*parametros_manuales!$I$34*parametros_manuales!$J$34</f>
        <v>7944.772097511</v>
      </c>
      <c r="C125" s="9" t="n">
        <f aca="false">(parametros_manuales!$D$34*(datos_base!$F$2+datos_base!$F$18+IF(parametros_manuales!$H$34="Todos",datos_base!$F$9+datos_base!$F$23,0))*parametros_manuales!$C$95+parametros_manuales!$E$34*(datos_base!$F$3+datos_base!$F$19+IF(parametros_manuales!$H$34="Todos",datos_base!$F$10+datos_base!$F$24,0))*parametros_manuales!$C$100+parametros_manuales!$F$34*(datos_base!$F$4+datos_base!$F$20+IF(parametros_manuales!$H$34="Todos",datos_base!$F$11+datos_base!$F$25,0))*parametros_manuales!$C$105+parametros_manuales!$G$34*(datos_base!$F$5+datos_base!$F$21+IF(parametros_manuales!$H$34="Todos",datos_base!$F$12+datos_base!$F$26,0))*parametros_manuales!$C$110)*parametros_manuales!$I$34*parametros_manuales!$J$34</f>
        <v>7683.173969332</v>
      </c>
      <c r="D125" s="9" t="n">
        <f aca="false">(parametros_manuales!$D$34*(datos_base!$F$2+datos_base!$F$18+IF(parametros_manuales!$H$34="Todos",datos_base!$F$9+datos_base!$F$23,0))*parametros_manuales!$D$95+parametros_manuales!$E$34*(datos_base!$F$3+datos_base!$F$19+IF(parametros_manuales!$H$34="Todos",datos_base!$F$10+datos_base!$F$24,0))*parametros_manuales!$D$100+parametros_manuales!$F$34*(datos_base!$F$4+datos_base!$F$20+IF(parametros_manuales!$H$34="Todos",datos_base!$F$11+datos_base!$F$25,0))*parametros_manuales!$D$105+parametros_manuales!$G$34*(datos_base!$F$5+datos_base!$F$21+IF(parametros_manuales!$H$34="Todos",datos_base!$F$12+datos_base!$F$26,0))*parametros_manuales!$D$110)*parametros_manuales!$I$34*parametros_manuales!$J$34</f>
        <v>7192.8187063215</v>
      </c>
      <c r="E125" s="9" t="n">
        <f aca="false">(parametros_manuales!$D$34*(datos_base!$F$2+datos_base!$F$18+IF(parametros_manuales!$H$34="Todos",datos_base!$F$9+datos_base!$F$23,0))*parametros_manuales!$E$95+parametros_manuales!$E$34*(datos_base!$F$3+datos_base!$F$19+IF(parametros_manuales!$H$34="Todos",datos_base!$F$10+datos_base!$F$24,0))*parametros_manuales!$E$100+parametros_manuales!$F$34*(datos_base!$F$4+datos_base!$F$20+IF(parametros_manuales!$H$34="Todos",datos_base!$F$11+datos_base!$F$25,0))*parametros_manuales!$E$105+parametros_manuales!$G$34*(datos_base!$F$5+datos_base!$F$21+IF(parametros_manuales!$H$34="Todos",datos_base!$F$12+datos_base!$F$26,0))*parametros_manuales!$E$110)*parametros_manuales!$I$34*parametros_manuales!$J$34</f>
        <v>6882.2415427715</v>
      </c>
      <c r="F125" s="9" t="n">
        <f aca="false">(parametros_manuales!$D$34*(datos_base!$F$2+datos_base!$F$18+IF(parametros_manuales!$H$34="Todos",datos_base!$F$9+datos_base!$F$23,0))*parametros_manuales!$F$95+parametros_manuales!$E$34*(datos_base!$F$3+datos_base!$F$19+IF(parametros_manuales!$H$34="Todos",datos_base!$F$10+datos_base!$F$24,0))*parametros_manuales!$F$100+parametros_manuales!$F$34*(datos_base!$F$4+datos_base!$F$20+IF(parametros_manuales!$H$34="Todos",datos_base!$F$11+datos_base!$F$25,0))*parametros_manuales!$F$105+parametros_manuales!$G$34*(datos_base!$F$5+datos_base!$F$21+IF(parametros_manuales!$H$34="Todos",datos_base!$F$12+datos_base!$F$26,0))*parametros_manuales!$F$110)*parametros_manuales!$I$34*parametros_manuales!$J$34</f>
        <v>6440.865315132</v>
      </c>
      <c r="G125" s="9" t="n">
        <f aca="false">(parametros_manuales!$D$34*(datos_base!$F$2+datos_base!$F$18+IF(parametros_manuales!$H$34="Todos",datos_base!$F$9+datos_base!$F$23,0))*parametros_manuales!$G$95+parametros_manuales!$E$34*(datos_base!$F$3+datos_base!$F$19+IF(parametros_manuales!$H$34="Todos",datos_base!$F$10+datos_base!$F$24,0))*parametros_manuales!$G$100+parametros_manuales!$F$34*(datos_base!$F$4+datos_base!$F$20+IF(parametros_manuales!$H$34="Todos",datos_base!$F$11+datos_base!$F$25,0))*parametros_manuales!$G$105+parametros_manuales!$G$34*(datos_base!$F$5+datos_base!$F$21+IF(parametros_manuales!$H$34="Todos",datos_base!$F$12+datos_base!$F$26,0))*parametros_manuales!$G$110)*parametros_manuales!$I$34*parametros_manuales!$J$34</f>
        <v>6310.0662510425</v>
      </c>
      <c r="H125" s="9" t="n">
        <f aca="false">(parametros_manuales!$D$34*(datos_base!$F$2+datos_base!$F$18+IF(parametros_manuales!$H$34="Todos",datos_base!$F$9+datos_base!$F$23,0))*parametros_manuales!$H$95+parametros_manuales!$E$34*(datos_base!$F$3+datos_base!$F$19+IF(parametros_manuales!$H$34="Todos",datos_base!$F$10+datos_base!$F$24,0))*parametros_manuales!$H$100+parametros_manuales!$F$34*(datos_base!$F$4+datos_base!$F$20+IF(parametros_manuales!$H$34="Todos",datos_base!$F$11+datos_base!$F$25,0))*parametros_manuales!$H$105+parametros_manuales!$G$34*(datos_base!$F$5+datos_base!$F$21+IF(parametros_manuales!$H$34="Todos",datos_base!$F$12+datos_base!$F$26,0))*parametros_manuales!$H$110)*parametros_manuales!$I$34*parametros_manuales!$J$34</f>
        <v>6751.442478682</v>
      </c>
      <c r="I125" s="9" t="n">
        <f aca="false">(parametros_manuales!$D$34*(datos_base!$F$2+datos_base!$F$18+IF(parametros_manuales!$H$34="Todos",datos_base!$F$9+datos_base!$F$23,0))*parametros_manuales!$I$95+parametros_manuales!$E$34*(datos_base!$F$3+datos_base!$F$19+IF(parametros_manuales!$H$34="Todos",datos_base!$F$10+datos_base!$F$24,0))*parametros_manuales!$I$100+parametros_manuales!$F$34*(datos_base!$F$4+datos_base!$F$20+IF(parametros_manuales!$H$34="Todos",datos_base!$F$11+datos_base!$F$25,0))*parametros_manuales!$I$105+parametros_manuales!$G$34*(datos_base!$F$5+datos_base!$F$21+IF(parametros_manuales!$H$34="Todos",datos_base!$F$12+datos_base!$F$26,0))*parametros_manuales!$I$110)*parametros_manuales!$I$34*parametros_manuales!$J$34</f>
        <v>7683.173969332</v>
      </c>
      <c r="J125" s="9" t="n">
        <f aca="false">(parametros_manuales!$D$34*(datos_base!$F$2+datos_base!$F$18+IF(parametros_manuales!$H$34="Todos",datos_base!$F$9+datos_base!$F$23,0))*parametros_manuales!$J$95+parametros_manuales!$E$34*(datos_base!$F$3+datos_base!$F$19+IF(parametros_manuales!$H$34="Todos",datos_base!$F$10+datos_base!$F$24,0))*parametros_manuales!$J$100+parametros_manuales!$F$34*(datos_base!$F$4+datos_base!$F$20+IF(parametros_manuales!$H$34="Todos",datos_base!$F$11+datos_base!$F$25,0))*parametros_manuales!$J$105+parametros_manuales!$G$34*(datos_base!$F$5+datos_base!$F$21+IF(parametros_manuales!$H$34="Todos",datos_base!$F$12+datos_base!$F$26,0))*parametros_manuales!$J$110)*parametros_manuales!$I$34*parametros_manuales!$J$34</f>
        <v>7683.173969332</v>
      </c>
      <c r="K125" s="9" t="n">
        <f aca="false">(parametros_manuales!$D$34*(datos_base!$F$2+datos_base!$F$18+IF(parametros_manuales!$H$34="Todos",datos_base!$F$9+datos_base!$F$23,0))*parametros_manuales!$K$95+parametros_manuales!$E$34*(datos_base!$F$3+datos_base!$F$19+IF(parametros_manuales!$H$34="Todos",datos_base!$F$10+datos_base!$F$24,0))*parametros_manuales!$K$100+parametros_manuales!$F$34*(datos_base!$F$4+datos_base!$F$20+IF(parametros_manuales!$H$34="Todos",datos_base!$F$11+datos_base!$F$25,0))*parametros_manuales!$K$105+parametros_manuales!$G$34*(datos_base!$F$5+datos_base!$F$21+IF(parametros_manuales!$H$34="Todos",datos_base!$F$12+datos_base!$F$26,0))*parametros_manuales!$K$110)*parametros_manuales!$I$34*parametros_manuales!$J$34</f>
        <v>7813.9730334215</v>
      </c>
      <c r="L125" s="9" t="n">
        <f aca="false">(parametros_manuales!$D$34*(datos_base!$F$2+datos_base!$F$18+IF(parametros_manuales!$H$34="Todos",datos_base!$F$9+datos_base!$F$23,0))*parametros_manuales!$L$95+parametros_manuales!$E$34*(datos_base!$F$3+datos_base!$F$19+IF(parametros_manuales!$H$34="Todos",datos_base!$F$10+datos_base!$F$24,0))*parametros_manuales!$L$100+parametros_manuales!$F$34*(datos_base!$F$4+datos_base!$F$20+IF(parametros_manuales!$H$34="Todos",datos_base!$F$11+datos_base!$F$25,0))*parametros_manuales!$L$105+parametros_manuales!$G$34*(datos_base!$F$5+datos_base!$F$21+IF(parametros_manuales!$H$34="Todos",datos_base!$F$12+datos_base!$F$26,0))*parametros_manuales!$L$110)*parametros_manuales!$I$34*parametros_manuales!$J$34</f>
        <v>7944.772097511</v>
      </c>
      <c r="M125" s="9" t="n">
        <f aca="false">(parametros_manuales!$D$34*(datos_base!$F$2+datos_base!$F$18+IF(parametros_manuales!$H$34="Todos",datos_base!$F$9+datos_base!$F$23,0))*parametros_manuales!$M$95+parametros_manuales!$E$34*(datos_base!$F$3+datos_base!$F$19+IF(parametros_manuales!$H$34="Todos",datos_base!$F$10+datos_base!$F$24,0))*parametros_manuales!$M$100+parametros_manuales!$F$34*(datos_base!$F$4+datos_base!$F$20+IF(parametros_manuales!$H$34="Todos",datos_base!$F$11+datos_base!$F$25,0))*parametros_manuales!$M$105+parametros_manuales!$G$34*(datos_base!$F$5+datos_base!$F$21+IF(parametros_manuales!$H$34="Todos",datos_base!$F$12+datos_base!$F$26,0))*parametros_manuales!$M$110)*parametros_manuales!$I$34*parametros_manuales!$J$34</f>
        <v>7944.772097511</v>
      </c>
      <c r="N125" s="9" t="n">
        <f aca="false">SUM(B125:M125)</f>
        <v>88275.2455279</v>
      </c>
      <c r="O125" s="9" t="n">
        <f aca="false">MAX(B125:M125)</f>
        <v>7944.772097511</v>
      </c>
      <c r="P125" s="43" t="n">
        <f aca="false">O125/(parametros_manuales!$B$7)</f>
        <v>52.96514731674</v>
      </c>
      <c r="Q125" s="8" t="str">
        <f aca="false">IF(O125=0,"-",INDEX($B$109:$M$109,MATCH(O125,B125:M125,0)))</f>
        <v>Ene</v>
      </c>
    </row>
    <row r="126" customFormat="false" ht="14.25" hidden="false" customHeight="true" outlineLevel="0" collapsed="false">
      <c r="A126" s="8" t="str">
        <f aca="false">parametros_manuales!$B$35</f>
        <v>Detección de defectos</v>
      </c>
      <c r="B126" s="9" t="n">
        <f aca="false">(parametros_manuales!$D$35*(datos_base!$F$2+datos_base!$F$18+IF(parametros_manuales!$H$35="Todos",datos_base!$F$9+datos_base!$F$23,0))*parametros_manuales!$B$95+parametros_manuales!$E$35*(datos_base!$F$3+datos_base!$F$19+IF(parametros_manuales!$H$35="Todos",datos_base!$F$10+datos_base!$F$24,0))*parametros_manuales!$B$100+parametros_manuales!$F$35*(datos_base!$F$4+datos_base!$F$20+IF(parametros_manuales!$H$35="Todos",datos_base!$F$11+datos_base!$F$25,0))*parametros_manuales!$B$105+parametros_manuales!$G$35*(datos_base!$F$5+datos_base!$F$21+IF(parametros_manuales!$H$35="Todos",datos_base!$F$12+datos_base!$F$26,0))*parametros_manuales!$B$110)*parametros_manuales!$I$35*parametros_manuales!$J$35</f>
        <v>7944.772097511</v>
      </c>
      <c r="C126" s="9" t="n">
        <f aca="false">(parametros_manuales!$D$35*(datos_base!$F$2+datos_base!$F$18+IF(parametros_manuales!$H$35="Todos",datos_base!$F$9+datos_base!$F$23,0))*parametros_manuales!$C$95+parametros_manuales!$E$35*(datos_base!$F$3+datos_base!$F$19+IF(parametros_manuales!$H$35="Todos",datos_base!$F$10+datos_base!$F$24,0))*parametros_manuales!$C$100+parametros_manuales!$F$35*(datos_base!$F$4+datos_base!$F$20+IF(parametros_manuales!$H$35="Todos",datos_base!$F$11+datos_base!$F$25,0))*parametros_manuales!$C$105+parametros_manuales!$G$35*(datos_base!$F$5+datos_base!$F$21+IF(parametros_manuales!$H$35="Todos",datos_base!$F$12+datos_base!$F$26,0))*parametros_manuales!$C$110)*parametros_manuales!$I$35*parametros_manuales!$J$35</f>
        <v>7683.173969332</v>
      </c>
      <c r="D126" s="9" t="n">
        <f aca="false">(parametros_manuales!$D$35*(datos_base!$F$2+datos_base!$F$18+IF(parametros_manuales!$H$35="Todos",datos_base!$F$9+datos_base!$F$23,0))*parametros_manuales!$D$95+parametros_manuales!$E$35*(datos_base!$F$3+datos_base!$F$19+IF(parametros_manuales!$H$35="Todos",datos_base!$F$10+datos_base!$F$24,0))*parametros_manuales!$D$100+parametros_manuales!$F$35*(datos_base!$F$4+datos_base!$F$20+IF(parametros_manuales!$H$35="Todos",datos_base!$F$11+datos_base!$F$25,0))*parametros_manuales!$D$105+parametros_manuales!$G$35*(datos_base!$F$5+datos_base!$F$21+IF(parametros_manuales!$H$35="Todos",datos_base!$F$12+datos_base!$F$26,0))*parametros_manuales!$D$110)*parametros_manuales!$I$35*parametros_manuales!$J$35</f>
        <v>7192.8187063215</v>
      </c>
      <c r="E126" s="9" t="n">
        <f aca="false">(parametros_manuales!$D$35*(datos_base!$F$2+datos_base!$F$18+IF(parametros_manuales!$H$35="Todos",datos_base!$F$9+datos_base!$F$23,0))*parametros_manuales!$E$95+parametros_manuales!$E$35*(datos_base!$F$3+datos_base!$F$19+IF(parametros_manuales!$H$35="Todos",datos_base!$F$10+datos_base!$F$24,0))*parametros_manuales!$E$100+parametros_manuales!$F$35*(datos_base!$F$4+datos_base!$F$20+IF(parametros_manuales!$H$35="Todos",datos_base!$F$11+datos_base!$F$25,0))*parametros_manuales!$E$105+parametros_manuales!$G$35*(datos_base!$F$5+datos_base!$F$21+IF(parametros_manuales!$H$35="Todos",datos_base!$F$12+datos_base!$F$26,0))*parametros_manuales!$E$110)*parametros_manuales!$I$35*parametros_manuales!$J$35</f>
        <v>6882.2415427715</v>
      </c>
      <c r="F126" s="9" t="n">
        <f aca="false">(parametros_manuales!$D$35*(datos_base!$F$2+datos_base!$F$18+IF(parametros_manuales!$H$35="Todos",datos_base!$F$9+datos_base!$F$23,0))*parametros_manuales!$F$95+parametros_manuales!$E$35*(datos_base!$F$3+datos_base!$F$19+IF(parametros_manuales!$H$35="Todos",datos_base!$F$10+datos_base!$F$24,0))*parametros_manuales!$F$100+parametros_manuales!$F$35*(datos_base!$F$4+datos_base!$F$20+IF(parametros_manuales!$H$35="Todos",datos_base!$F$11+datos_base!$F$25,0))*parametros_manuales!$F$105+parametros_manuales!$G$35*(datos_base!$F$5+datos_base!$F$21+IF(parametros_manuales!$H$35="Todos",datos_base!$F$12+datos_base!$F$26,0))*parametros_manuales!$F$110)*parametros_manuales!$I$35*parametros_manuales!$J$35</f>
        <v>6440.865315132</v>
      </c>
      <c r="G126" s="9" t="n">
        <f aca="false">(parametros_manuales!$D$35*(datos_base!$F$2+datos_base!$F$18+IF(parametros_manuales!$H$35="Todos",datos_base!$F$9+datos_base!$F$23,0))*parametros_manuales!$G$95+parametros_manuales!$E$35*(datos_base!$F$3+datos_base!$F$19+IF(parametros_manuales!$H$35="Todos",datos_base!$F$10+datos_base!$F$24,0))*parametros_manuales!$G$100+parametros_manuales!$F$35*(datos_base!$F$4+datos_base!$F$20+IF(parametros_manuales!$H$35="Todos",datos_base!$F$11+datos_base!$F$25,0))*parametros_manuales!$G$105+parametros_manuales!$G$35*(datos_base!$F$5+datos_base!$F$21+IF(parametros_manuales!$H$35="Todos",datos_base!$F$12+datos_base!$F$26,0))*parametros_manuales!$G$110)*parametros_manuales!$I$35*parametros_manuales!$J$35</f>
        <v>6310.0662510425</v>
      </c>
      <c r="H126" s="9" t="n">
        <f aca="false">(parametros_manuales!$D$35*(datos_base!$F$2+datos_base!$F$18+IF(parametros_manuales!$H$35="Todos",datos_base!$F$9+datos_base!$F$23,0))*parametros_manuales!$H$95+parametros_manuales!$E$35*(datos_base!$F$3+datos_base!$F$19+IF(parametros_manuales!$H$35="Todos",datos_base!$F$10+datos_base!$F$24,0))*parametros_manuales!$H$100+parametros_manuales!$F$35*(datos_base!$F$4+datos_base!$F$20+IF(parametros_manuales!$H$35="Todos",datos_base!$F$11+datos_base!$F$25,0))*parametros_manuales!$H$105+parametros_manuales!$G$35*(datos_base!$F$5+datos_base!$F$21+IF(parametros_manuales!$H$35="Todos",datos_base!$F$12+datos_base!$F$26,0))*parametros_manuales!$H$110)*parametros_manuales!$I$35*parametros_manuales!$J$35</f>
        <v>6751.442478682</v>
      </c>
      <c r="I126" s="9" t="n">
        <f aca="false">(parametros_manuales!$D$35*(datos_base!$F$2+datos_base!$F$18+IF(parametros_manuales!$H$35="Todos",datos_base!$F$9+datos_base!$F$23,0))*parametros_manuales!$I$95+parametros_manuales!$E$35*(datos_base!$F$3+datos_base!$F$19+IF(parametros_manuales!$H$35="Todos",datos_base!$F$10+datos_base!$F$24,0))*parametros_manuales!$I$100+parametros_manuales!$F$35*(datos_base!$F$4+datos_base!$F$20+IF(parametros_manuales!$H$35="Todos",datos_base!$F$11+datos_base!$F$25,0))*parametros_manuales!$I$105+parametros_manuales!$G$35*(datos_base!$F$5+datos_base!$F$21+IF(parametros_manuales!$H$35="Todos",datos_base!$F$12+datos_base!$F$26,0))*parametros_manuales!$I$110)*parametros_manuales!$I$35*parametros_manuales!$J$35</f>
        <v>7683.173969332</v>
      </c>
      <c r="J126" s="9" t="n">
        <f aca="false">(parametros_manuales!$D$35*(datos_base!$F$2+datos_base!$F$18+IF(parametros_manuales!$H$35="Todos",datos_base!$F$9+datos_base!$F$23,0))*parametros_manuales!$J$95+parametros_manuales!$E$35*(datos_base!$F$3+datos_base!$F$19+IF(parametros_manuales!$H$35="Todos",datos_base!$F$10+datos_base!$F$24,0))*parametros_manuales!$J$100+parametros_manuales!$F$35*(datos_base!$F$4+datos_base!$F$20+IF(parametros_manuales!$H$35="Todos",datos_base!$F$11+datos_base!$F$25,0))*parametros_manuales!$J$105+parametros_manuales!$G$35*(datos_base!$F$5+datos_base!$F$21+IF(parametros_manuales!$H$35="Todos",datos_base!$F$12+datos_base!$F$26,0))*parametros_manuales!$J$110)*parametros_manuales!$I$35*parametros_manuales!$J$35</f>
        <v>7683.173969332</v>
      </c>
      <c r="K126" s="9" t="n">
        <f aca="false">(parametros_manuales!$D$35*(datos_base!$F$2+datos_base!$F$18+IF(parametros_manuales!$H$35="Todos",datos_base!$F$9+datos_base!$F$23,0))*parametros_manuales!$K$95+parametros_manuales!$E$35*(datos_base!$F$3+datos_base!$F$19+IF(parametros_manuales!$H$35="Todos",datos_base!$F$10+datos_base!$F$24,0))*parametros_manuales!$K$100+parametros_manuales!$F$35*(datos_base!$F$4+datos_base!$F$20+IF(parametros_manuales!$H$35="Todos",datos_base!$F$11+datos_base!$F$25,0))*parametros_manuales!$K$105+parametros_manuales!$G$35*(datos_base!$F$5+datos_base!$F$21+IF(parametros_manuales!$H$35="Todos",datos_base!$F$12+datos_base!$F$26,0))*parametros_manuales!$K$110)*parametros_manuales!$I$35*parametros_manuales!$J$35</f>
        <v>7813.9730334215</v>
      </c>
      <c r="L126" s="9" t="n">
        <f aca="false">(parametros_manuales!$D$35*(datos_base!$F$2+datos_base!$F$18+IF(parametros_manuales!$H$35="Todos",datos_base!$F$9+datos_base!$F$23,0))*parametros_manuales!$L$95+parametros_manuales!$E$35*(datos_base!$F$3+datos_base!$F$19+IF(parametros_manuales!$H$35="Todos",datos_base!$F$10+datos_base!$F$24,0))*parametros_manuales!$L$100+parametros_manuales!$F$35*(datos_base!$F$4+datos_base!$F$20+IF(parametros_manuales!$H$35="Todos",datos_base!$F$11+datos_base!$F$25,0))*parametros_manuales!$L$105+parametros_manuales!$G$35*(datos_base!$F$5+datos_base!$F$21+IF(parametros_manuales!$H$35="Todos",datos_base!$F$12+datos_base!$F$26,0))*parametros_manuales!$L$110)*parametros_manuales!$I$35*parametros_manuales!$J$35</f>
        <v>7944.772097511</v>
      </c>
      <c r="M126" s="9" t="n">
        <f aca="false">(parametros_manuales!$D$35*(datos_base!$F$2+datos_base!$F$18+IF(parametros_manuales!$H$35="Todos",datos_base!$F$9+datos_base!$F$23,0))*parametros_manuales!$M$95+parametros_manuales!$E$35*(datos_base!$F$3+datos_base!$F$19+IF(parametros_manuales!$H$35="Todos",datos_base!$F$10+datos_base!$F$24,0))*parametros_manuales!$M$100+parametros_manuales!$F$35*(datos_base!$F$4+datos_base!$F$20+IF(parametros_manuales!$H$35="Todos",datos_base!$F$11+datos_base!$F$25,0))*parametros_manuales!$M$105+parametros_manuales!$G$35*(datos_base!$F$5+datos_base!$F$21+IF(parametros_manuales!$H$35="Todos",datos_base!$F$12+datos_base!$F$26,0))*parametros_manuales!$M$110)*parametros_manuales!$I$35*parametros_manuales!$J$35</f>
        <v>7944.772097511</v>
      </c>
      <c r="N126" s="9" t="n">
        <f aca="false">SUM(B126:M126)</f>
        <v>88275.2455279</v>
      </c>
      <c r="O126" s="9" t="n">
        <f aca="false">MAX(B126:M126)</f>
        <v>7944.772097511</v>
      </c>
      <c r="P126" s="43" t="n">
        <f aca="false">O126/(parametros_manuales!$B$7)</f>
        <v>52.96514731674</v>
      </c>
      <c r="Q126" s="8" t="str">
        <f aca="false">IF(O126=0,"-",INDEX($B$109:$M$109,MATCH(O126,B126:M126,0)))</f>
        <v>Ene</v>
      </c>
    </row>
    <row r="127" customFormat="false" ht="14.25" hidden="false" customHeight="true" outlineLevel="0" collapsed="false">
      <c r="A127" s="8" t="str">
        <f aca="false">parametros_manuales!$B$36</f>
        <v>Corrección de defectos</v>
      </c>
      <c r="B127" s="9" t="n">
        <f aca="false">(parametros_manuales!$D$36*(datos_base!$F$2+datos_base!$F$18+IF(parametros_manuales!$H$36="Todos",datos_base!$F$9+datos_base!$F$23,0))*parametros_manuales!$B$95+parametros_manuales!$E$36*(datos_base!$F$3+datos_base!$F$19+IF(parametros_manuales!$H$36="Todos",datos_base!$F$10+datos_base!$F$24,0))*parametros_manuales!$B$100+parametros_manuales!$F$36*(datos_base!$F$4+datos_base!$F$20+IF(parametros_manuales!$H$36="Todos",datos_base!$F$11+datos_base!$F$25,0))*parametros_manuales!$B$105+parametros_manuales!$G$36*(datos_base!$F$5+datos_base!$F$21+IF(parametros_manuales!$H$36="Todos",datos_base!$F$12+datos_base!$F$26,0))*parametros_manuales!$B$110)*parametros_manuales!$I$36*parametros_manuales!$J$36</f>
        <v>397.23860487555</v>
      </c>
      <c r="C127" s="9" t="n">
        <f aca="false">(parametros_manuales!$D$36*(datos_base!$F$2+datos_base!$F$18+IF(parametros_manuales!$H$36="Todos",datos_base!$F$9+datos_base!$F$23,0))*parametros_manuales!$C$95+parametros_manuales!$E$36*(datos_base!$F$3+datos_base!$F$19+IF(parametros_manuales!$H$36="Todos",datos_base!$F$10+datos_base!$F$24,0))*parametros_manuales!$C$100+parametros_manuales!$F$36*(datos_base!$F$4+datos_base!$F$20+IF(parametros_manuales!$H$36="Todos",datos_base!$F$11+datos_base!$F$25,0))*parametros_manuales!$C$105+parametros_manuales!$G$36*(datos_base!$F$5+datos_base!$F$21+IF(parametros_manuales!$H$36="Todos",datos_base!$F$12+datos_base!$F$26,0))*parametros_manuales!$C$110)*parametros_manuales!$I$36*parametros_manuales!$J$36</f>
        <v>384.1586984666</v>
      </c>
      <c r="D127" s="9" t="n">
        <f aca="false">(parametros_manuales!$D$36*(datos_base!$F$2+datos_base!$F$18+IF(parametros_manuales!$H$36="Todos",datos_base!$F$9+datos_base!$F$23,0))*parametros_manuales!$D$95+parametros_manuales!$E$36*(datos_base!$F$3+datos_base!$F$19+IF(parametros_manuales!$H$36="Todos",datos_base!$F$10+datos_base!$F$24,0))*parametros_manuales!$D$100+parametros_manuales!$F$36*(datos_base!$F$4+datos_base!$F$20+IF(parametros_manuales!$H$36="Todos",datos_base!$F$11+datos_base!$F$25,0))*parametros_manuales!$D$105+parametros_manuales!$G$36*(datos_base!$F$5+datos_base!$F$21+IF(parametros_manuales!$H$36="Todos",datos_base!$F$12+datos_base!$F$26,0))*parametros_manuales!$D$110)*parametros_manuales!$I$36*parametros_manuales!$J$36</f>
        <v>359.640935316075</v>
      </c>
      <c r="E127" s="9" t="n">
        <f aca="false">(parametros_manuales!$D$36*(datos_base!$F$2+datos_base!$F$18+IF(parametros_manuales!$H$36="Todos",datos_base!$F$9+datos_base!$F$23,0))*parametros_manuales!$E$95+parametros_manuales!$E$36*(datos_base!$F$3+datos_base!$F$19+IF(parametros_manuales!$H$36="Todos",datos_base!$F$10+datos_base!$F$24,0))*parametros_manuales!$E$100+parametros_manuales!$F$36*(datos_base!$F$4+datos_base!$F$20+IF(parametros_manuales!$H$36="Todos",datos_base!$F$11+datos_base!$F$25,0))*parametros_manuales!$E$105+parametros_manuales!$G$36*(datos_base!$F$5+datos_base!$F$21+IF(parametros_manuales!$H$36="Todos",datos_base!$F$12+datos_base!$F$26,0))*parametros_manuales!$E$110)*parametros_manuales!$I$36*parametros_manuales!$J$36</f>
        <v>344.112077138575</v>
      </c>
      <c r="F127" s="9" t="n">
        <f aca="false">(parametros_manuales!$D$36*(datos_base!$F$2+datos_base!$F$18+IF(parametros_manuales!$H$36="Todos",datos_base!$F$9+datos_base!$F$23,0))*parametros_manuales!$F$95+parametros_manuales!$E$36*(datos_base!$F$3+datos_base!$F$19+IF(parametros_manuales!$H$36="Todos",datos_base!$F$10+datos_base!$F$24,0))*parametros_manuales!$F$100+parametros_manuales!$F$36*(datos_base!$F$4+datos_base!$F$20+IF(parametros_manuales!$H$36="Todos",datos_base!$F$11+datos_base!$F$25,0))*parametros_manuales!$F$105+parametros_manuales!$G$36*(datos_base!$F$5+datos_base!$F$21+IF(parametros_manuales!$H$36="Todos",datos_base!$F$12+datos_base!$F$26,0))*parametros_manuales!$F$110)*parametros_manuales!$I$36*parametros_manuales!$J$36</f>
        <v>322.0432657566</v>
      </c>
      <c r="G127" s="9" t="n">
        <f aca="false">(parametros_manuales!$D$36*(datos_base!$F$2+datos_base!$F$18+IF(parametros_manuales!$H$36="Todos",datos_base!$F$9+datos_base!$F$23,0))*parametros_manuales!$G$95+parametros_manuales!$E$36*(datos_base!$F$3+datos_base!$F$19+IF(parametros_manuales!$H$36="Todos",datos_base!$F$10+datos_base!$F$24,0))*parametros_manuales!$G$100+parametros_manuales!$F$36*(datos_base!$F$4+datos_base!$F$20+IF(parametros_manuales!$H$36="Todos",datos_base!$F$11+datos_base!$F$25,0))*parametros_manuales!$G$105+parametros_manuales!$G$36*(datos_base!$F$5+datos_base!$F$21+IF(parametros_manuales!$H$36="Todos",datos_base!$F$12+datos_base!$F$26,0))*parametros_manuales!$G$110)*parametros_manuales!$I$36*parametros_manuales!$J$36</f>
        <v>315.503312552125</v>
      </c>
      <c r="H127" s="9" t="n">
        <f aca="false">(parametros_manuales!$D$36*(datos_base!$F$2+datos_base!$F$18+IF(parametros_manuales!$H$36="Todos",datos_base!$F$9+datos_base!$F$23,0))*parametros_manuales!$H$95+parametros_manuales!$E$36*(datos_base!$F$3+datos_base!$F$19+IF(parametros_manuales!$H$36="Todos",datos_base!$F$10+datos_base!$F$24,0))*parametros_manuales!$H$100+parametros_manuales!$F$36*(datos_base!$F$4+datos_base!$F$20+IF(parametros_manuales!$H$36="Todos",datos_base!$F$11+datos_base!$F$25,0))*parametros_manuales!$H$105+parametros_manuales!$G$36*(datos_base!$F$5+datos_base!$F$21+IF(parametros_manuales!$H$36="Todos",datos_base!$F$12+datos_base!$F$26,0))*parametros_manuales!$H$110)*parametros_manuales!$I$36*parametros_manuales!$J$36</f>
        <v>337.5721239341</v>
      </c>
      <c r="I127" s="9" t="n">
        <f aca="false">(parametros_manuales!$D$36*(datos_base!$F$2+datos_base!$F$18+IF(parametros_manuales!$H$36="Todos",datos_base!$F$9+datos_base!$F$23,0))*parametros_manuales!$I$95+parametros_manuales!$E$36*(datos_base!$F$3+datos_base!$F$19+IF(parametros_manuales!$H$36="Todos",datos_base!$F$10+datos_base!$F$24,0))*parametros_manuales!$I$100+parametros_manuales!$F$36*(datos_base!$F$4+datos_base!$F$20+IF(parametros_manuales!$H$36="Todos",datos_base!$F$11+datos_base!$F$25,0))*parametros_manuales!$I$105+parametros_manuales!$G$36*(datos_base!$F$5+datos_base!$F$21+IF(parametros_manuales!$H$36="Todos",datos_base!$F$12+datos_base!$F$26,0))*parametros_manuales!$I$110)*parametros_manuales!$I$36*parametros_manuales!$J$36</f>
        <v>384.1586984666</v>
      </c>
      <c r="J127" s="9" t="n">
        <f aca="false">(parametros_manuales!$D$36*(datos_base!$F$2+datos_base!$F$18+IF(parametros_manuales!$H$36="Todos",datos_base!$F$9+datos_base!$F$23,0))*parametros_manuales!$J$95+parametros_manuales!$E$36*(datos_base!$F$3+datos_base!$F$19+IF(parametros_manuales!$H$36="Todos",datos_base!$F$10+datos_base!$F$24,0))*parametros_manuales!$J$100+parametros_manuales!$F$36*(datos_base!$F$4+datos_base!$F$20+IF(parametros_manuales!$H$36="Todos",datos_base!$F$11+datos_base!$F$25,0))*parametros_manuales!$J$105+parametros_manuales!$G$36*(datos_base!$F$5+datos_base!$F$21+IF(parametros_manuales!$H$36="Todos",datos_base!$F$12+datos_base!$F$26,0))*parametros_manuales!$J$110)*parametros_manuales!$I$36*parametros_manuales!$J$36</f>
        <v>384.1586984666</v>
      </c>
      <c r="K127" s="9" t="n">
        <f aca="false">(parametros_manuales!$D$36*(datos_base!$F$2+datos_base!$F$18+IF(parametros_manuales!$H$36="Todos",datos_base!$F$9+datos_base!$F$23,0))*parametros_manuales!$K$95+parametros_manuales!$E$36*(datos_base!$F$3+datos_base!$F$19+IF(parametros_manuales!$H$36="Todos",datos_base!$F$10+datos_base!$F$24,0))*parametros_manuales!$K$100+parametros_manuales!$F$36*(datos_base!$F$4+datos_base!$F$20+IF(parametros_manuales!$H$36="Todos",datos_base!$F$11+datos_base!$F$25,0))*parametros_manuales!$K$105+parametros_manuales!$G$36*(datos_base!$F$5+datos_base!$F$21+IF(parametros_manuales!$H$36="Todos",datos_base!$F$12+datos_base!$F$26,0))*parametros_manuales!$K$110)*parametros_manuales!$I$36*parametros_manuales!$J$36</f>
        <v>390.698651671075</v>
      </c>
      <c r="L127" s="9" t="n">
        <f aca="false">(parametros_manuales!$D$36*(datos_base!$F$2+datos_base!$F$18+IF(parametros_manuales!$H$36="Todos",datos_base!$F$9+datos_base!$F$23,0))*parametros_manuales!$L$95+parametros_manuales!$E$36*(datos_base!$F$3+datos_base!$F$19+IF(parametros_manuales!$H$36="Todos",datos_base!$F$10+datos_base!$F$24,0))*parametros_manuales!$L$100+parametros_manuales!$F$36*(datos_base!$F$4+datos_base!$F$20+IF(parametros_manuales!$H$36="Todos",datos_base!$F$11+datos_base!$F$25,0))*parametros_manuales!$L$105+parametros_manuales!$G$36*(datos_base!$F$5+datos_base!$F$21+IF(parametros_manuales!$H$36="Todos",datos_base!$F$12+datos_base!$F$26,0))*parametros_manuales!$L$110)*parametros_manuales!$I$36*parametros_manuales!$J$36</f>
        <v>397.23860487555</v>
      </c>
      <c r="M127" s="9" t="n">
        <f aca="false">(parametros_manuales!$D$36*(datos_base!$F$2+datos_base!$F$18+IF(parametros_manuales!$H$36="Todos",datos_base!$F$9+datos_base!$F$23,0))*parametros_manuales!$M$95+parametros_manuales!$E$36*(datos_base!$F$3+datos_base!$F$19+IF(parametros_manuales!$H$36="Todos",datos_base!$F$10+datos_base!$F$24,0))*parametros_manuales!$M$100+parametros_manuales!$F$36*(datos_base!$F$4+datos_base!$F$20+IF(parametros_manuales!$H$36="Todos",datos_base!$F$11+datos_base!$F$25,0))*parametros_manuales!$M$105+parametros_manuales!$G$36*(datos_base!$F$5+datos_base!$F$21+IF(parametros_manuales!$H$36="Todos",datos_base!$F$12+datos_base!$F$26,0))*parametros_manuales!$M$110)*parametros_manuales!$I$36*parametros_manuales!$J$36</f>
        <v>397.23860487555</v>
      </c>
      <c r="N127" s="9" t="n">
        <f aca="false">SUM(B127:M127)</f>
        <v>4413.762276395</v>
      </c>
      <c r="O127" s="9" t="n">
        <f aca="false">MAX(B127:M127)</f>
        <v>397.23860487555</v>
      </c>
      <c r="P127" s="43" t="n">
        <f aca="false">O127/(parametros_manuales!$B$7)</f>
        <v>2.648257365837</v>
      </c>
      <c r="Q127" s="8" t="str">
        <f aca="false">IF(O127=0,"-",INDEX($B$109:$M$109,MATCH(O127,B127:M127,0)))</f>
        <v>Ene</v>
      </c>
    </row>
    <row r="128" customFormat="false" ht="14.25" hidden="false" customHeight="true" outlineLevel="0" collapsed="false">
      <c r="A128" s="8" t="str">
        <f aca="false">parametros_manuales!$B$37</f>
        <v>Pintura en polvo + horno</v>
      </c>
      <c r="B128" s="9" t="n">
        <f aca="false">(parametros_manuales!$D$37*(datos_base!$F$2+datos_base!$F$18+IF(parametros_manuales!$H$37="Todos",datos_base!$F$9+datos_base!$F$23,0))*parametros_manuales!$B$95+parametros_manuales!$E$37*(datos_base!$F$3+datos_base!$F$19+IF(parametros_manuales!$H$37="Todos",datos_base!$F$10+datos_base!$F$24,0))*parametros_manuales!$B$100+parametros_manuales!$F$37*(datos_base!$F$4+datos_base!$F$20+IF(parametros_manuales!$H$37="Todos",datos_base!$F$11+datos_base!$F$25,0))*parametros_manuales!$B$105+parametros_manuales!$G$37*(datos_base!$F$5+datos_base!$F$21+IF(parametros_manuales!$H$37="Todos",datos_base!$F$12+datos_base!$F$26,0))*parametros_manuales!$B$110)*parametros_manuales!$I$37*parametros_manuales!$J$37</f>
        <v>7944.772097511</v>
      </c>
      <c r="C128" s="9" t="n">
        <f aca="false">(parametros_manuales!$D$37*(datos_base!$F$2+datos_base!$F$18+IF(parametros_manuales!$H$37="Todos",datos_base!$F$9+datos_base!$F$23,0))*parametros_manuales!$C$95+parametros_manuales!$E$37*(datos_base!$F$3+datos_base!$F$19+IF(parametros_manuales!$H$37="Todos",datos_base!$F$10+datos_base!$F$24,0))*parametros_manuales!$C$100+parametros_manuales!$F$37*(datos_base!$F$4+datos_base!$F$20+IF(parametros_manuales!$H$37="Todos",datos_base!$F$11+datos_base!$F$25,0))*parametros_manuales!$C$105+parametros_manuales!$G$37*(datos_base!$F$5+datos_base!$F$21+IF(parametros_manuales!$H$37="Todos",datos_base!$F$12+datos_base!$F$26,0))*parametros_manuales!$C$110)*parametros_manuales!$I$37*parametros_manuales!$J$37</f>
        <v>7683.173969332</v>
      </c>
      <c r="D128" s="9" t="n">
        <f aca="false">(parametros_manuales!$D$37*(datos_base!$F$2+datos_base!$F$18+IF(parametros_manuales!$H$37="Todos",datos_base!$F$9+datos_base!$F$23,0))*parametros_manuales!$D$95+parametros_manuales!$E$37*(datos_base!$F$3+datos_base!$F$19+IF(parametros_manuales!$H$37="Todos",datos_base!$F$10+datos_base!$F$24,0))*parametros_manuales!$D$100+parametros_manuales!$F$37*(datos_base!$F$4+datos_base!$F$20+IF(parametros_manuales!$H$37="Todos",datos_base!$F$11+datos_base!$F$25,0))*parametros_manuales!$D$105+parametros_manuales!$G$37*(datos_base!$F$5+datos_base!$F$21+IF(parametros_manuales!$H$37="Todos",datos_base!$F$12+datos_base!$F$26,0))*parametros_manuales!$D$110)*parametros_manuales!$I$37*parametros_manuales!$J$37</f>
        <v>7192.8187063215</v>
      </c>
      <c r="E128" s="9" t="n">
        <f aca="false">(parametros_manuales!$D$37*(datos_base!$F$2+datos_base!$F$18+IF(parametros_manuales!$H$37="Todos",datos_base!$F$9+datos_base!$F$23,0))*parametros_manuales!$E$95+parametros_manuales!$E$37*(datos_base!$F$3+datos_base!$F$19+IF(parametros_manuales!$H$37="Todos",datos_base!$F$10+datos_base!$F$24,0))*parametros_manuales!$E$100+parametros_manuales!$F$37*(datos_base!$F$4+datos_base!$F$20+IF(parametros_manuales!$H$37="Todos",datos_base!$F$11+datos_base!$F$25,0))*parametros_manuales!$E$105+parametros_manuales!$G$37*(datos_base!$F$5+datos_base!$F$21+IF(parametros_manuales!$H$37="Todos",datos_base!$F$12+datos_base!$F$26,0))*parametros_manuales!$E$110)*parametros_manuales!$I$37*parametros_manuales!$J$37</f>
        <v>6882.2415427715</v>
      </c>
      <c r="F128" s="9" t="n">
        <f aca="false">(parametros_manuales!$D$37*(datos_base!$F$2+datos_base!$F$18+IF(parametros_manuales!$H$37="Todos",datos_base!$F$9+datos_base!$F$23,0))*parametros_manuales!$F$95+parametros_manuales!$E$37*(datos_base!$F$3+datos_base!$F$19+IF(parametros_manuales!$H$37="Todos",datos_base!$F$10+datos_base!$F$24,0))*parametros_manuales!$F$100+parametros_manuales!$F$37*(datos_base!$F$4+datos_base!$F$20+IF(parametros_manuales!$H$37="Todos",datos_base!$F$11+datos_base!$F$25,0))*parametros_manuales!$F$105+parametros_manuales!$G$37*(datos_base!$F$5+datos_base!$F$21+IF(parametros_manuales!$H$37="Todos",datos_base!$F$12+datos_base!$F$26,0))*parametros_manuales!$F$110)*parametros_manuales!$I$37*parametros_manuales!$J$37</f>
        <v>6440.865315132</v>
      </c>
      <c r="G128" s="9" t="n">
        <f aca="false">(parametros_manuales!$D$37*(datos_base!$F$2+datos_base!$F$18+IF(parametros_manuales!$H$37="Todos",datos_base!$F$9+datos_base!$F$23,0))*parametros_manuales!$G$95+parametros_manuales!$E$37*(datos_base!$F$3+datos_base!$F$19+IF(parametros_manuales!$H$37="Todos",datos_base!$F$10+datos_base!$F$24,0))*parametros_manuales!$G$100+parametros_manuales!$F$37*(datos_base!$F$4+datos_base!$F$20+IF(parametros_manuales!$H$37="Todos",datos_base!$F$11+datos_base!$F$25,0))*parametros_manuales!$G$105+parametros_manuales!$G$37*(datos_base!$F$5+datos_base!$F$21+IF(parametros_manuales!$H$37="Todos",datos_base!$F$12+datos_base!$F$26,0))*parametros_manuales!$G$110)*parametros_manuales!$I$37*parametros_manuales!$J$37</f>
        <v>6310.0662510425</v>
      </c>
      <c r="H128" s="9" t="n">
        <f aca="false">(parametros_manuales!$D$37*(datos_base!$F$2+datos_base!$F$18+IF(parametros_manuales!$H$37="Todos",datos_base!$F$9+datos_base!$F$23,0))*parametros_manuales!$H$95+parametros_manuales!$E$37*(datos_base!$F$3+datos_base!$F$19+IF(parametros_manuales!$H$37="Todos",datos_base!$F$10+datos_base!$F$24,0))*parametros_manuales!$H$100+parametros_manuales!$F$37*(datos_base!$F$4+datos_base!$F$20+IF(parametros_manuales!$H$37="Todos",datos_base!$F$11+datos_base!$F$25,0))*parametros_manuales!$H$105+parametros_manuales!$G$37*(datos_base!$F$5+datos_base!$F$21+IF(parametros_manuales!$H$37="Todos",datos_base!$F$12+datos_base!$F$26,0))*parametros_manuales!$H$110)*parametros_manuales!$I$37*parametros_manuales!$J$37</f>
        <v>6751.442478682</v>
      </c>
      <c r="I128" s="9" t="n">
        <f aca="false">(parametros_manuales!$D$37*(datos_base!$F$2+datos_base!$F$18+IF(parametros_manuales!$H$37="Todos",datos_base!$F$9+datos_base!$F$23,0))*parametros_manuales!$I$95+parametros_manuales!$E$37*(datos_base!$F$3+datos_base!$F$19+IF(parametros_manuales!$H$37="Todos",datos_base!$F$10+datos_base!$F$24,0))*parametros_manuales!$I$100+parametros_manuales!$F$37*(datos_base!$F$4+datos_base!$F$20+IF(parametros_manuales!$H$37="Todos",datos_base!$F$11+datos_base!$F$25,0))*parametros_manuales!$I$105+parametros_manuales!$G$37*(datos_base!$F$5+datos_base!$F$21+IF(parametros_manuales!$H$37="Todos",datos_base!$F$12+datos_base!$F$26,0))*parametros_manuales!$I$110)*parametros_manuales!$I$37*parametros_manuales!$J$37</f>
        <v>7683.173969332</v>
      </c>
      <c r="J128" s="9" t="n">
        <f aca="false">(parametros_manuales!$D$37*(datos_base!$F$2+datos_base!$F$18+IF(parametros_manuales!$H$37="Todos",datos_base!$F$9+datos_base!$F$23,0))*parametros_manuales!$J$95+parametros_manuales!$E$37*(datos_base!$F$3+datos_base!$F$19+IF(parametros_manuales!$H$37="Todos",datos_base!$F$10+datos_base!$F$24,0))*parametros_manuales!$J$100+parametros_manuales!$F$37*(datos_base!$F$4+datos_base!$F$20+IF(parametros_manuales!$H$37="Todos",datos_base!$F$11+datos_base!$F$25,0))*parametros_manuales!$J$105+parametros_manuales!$G$37*(datos_base!$F$5+datos_base!$F$21+IF(parametros_manuales!$H$37="Todos",datos_base!$F$12+datos_base!$F$26,0))*parametros_manuales!$J$110)*parametros_manuales!$I$37*parametros_manuales!$J$37</f>
        <v>7683.173969332</v>
      </c>
      <c r="K128" s="9" t="n">
        <f aca="false">(parametros_manuales!$D$37*(datos_base!$F$2+datos_base!$F$18+IF(parametros_manuales!$H$37="Todos",datos_base!$F$9+datos_base!$F$23,0))*parametros_manuales!$K$95+parametros_manuales!$E$37*(datos_base!$F$3+datos_base!$F$19+IF(parametros_manuales!$H$37="Todos",datos_base!$F$10+datos_base!$F$24,0))*parametros_manuales!$K$100+parametros_manuales!$F$37*(datos_base!$F$4+datos_base!$F$20+IF(parametros_manuales!$H$37="Todos",datos_base!$F$11+datos_base!$F$25,0))*parametros_manuales!$K$105+parametros_manuales!$G$37*(datos_base!$F$5+datos_base!$F$21+IF(parametros_manuales!$H$37="Todos",datos_base!$F$12+datos_base!$F$26,0))*parametros_manuales!$K$110)*parametros_manuales!$I$37*parametros_manuales!$J$37</f>
        <v>7813.9730334215</v>
      </c>
      <c r="L128" s="9" t="n">
        <f aca="false">(parametros_manuales!$D$37*(datos_base!$F$2+datos_base!$F$18+IF(parametros_manuales!$H$37="Todos",datos_base!$F$9+datos_base!$F$23,0))*parametros_manuales!$L$95+parametros_manuales!$E$37*(datos_base!$F$3+datos_base!$F$19+IF(parametros_manuales!$H$37="Todos",datos_base!$F$10+datos_base!$F$24,0))*parametros_manuales!$L$100+parametros_manuales!$F$37*(datos_base!$F$4+datos_base!$F$20+IF(parametros_manuales!$H$37="Todos",datos_base!$F$11+datos_base!$F$25,0))*parametros_manuales!$L$105+parametros_manuales!$G$37*(datos_base!$F$5+datos_base!$F$21+IF(parametros_manuales!$H$37="Todos",datos_base!$F$12+datos_base!$F$26,0))*parametros_manuales!$L$110)*parametros_manuales!$I$37*parametros_manuales!$J$37</f>
        <v>7944.772097511</v>
      </c>
      <c r="M128" s="9" t="n">
        <f aca="false">(parametros_manuales!$D$37*(datos_base!$F$2+datos_base!$F$18+IF(parametros_manuales!$H$37="Todos",datos_base!$F$9+datos_base!$F$23,0))*parametros_manuales!$M$95+parametros_manuales!$E$37*(datos_base!$F$3+datos_base!$F$19+IF(parametros_manuales!$H$37="Todos",datos_base!$F$10+datos_base!$F$24,0))*parametros_manuales!$M$100+parametros_manuales!$F$37*(datos_base!$F$4+datos_base!$F$20+IF(parametros_manuales!$H$37="Todos",datos_base!$F$11+datos_base!$F$25,0))*parametros_manuales!$M$105+parametros_manuales!$G$37*(datos_base!$F$5+datos_base!$F$21+IF(parametros_manuales!$H$37="Todos",datos_base!$F$12+datos_base!$F$26,0))*parametros_manuales!$M$110)*parametros_manuales!$I$37*parametros_manuales!$J$37</f>
        <v>7944.772097511</v>
      </c>
      <c r="N128" s="9" t="n">
        <f aca="false">SUM(B128:M128)</f>
        <v>88275.2455279</v>
      </c>
      <c r="O128" s="9" t="n">
        <f aca="false">MAX(B128:M128)</f>
        <v>7944.772097511</v>
      </c>
      <c r="P128" s="43" t="n">
        <f aca="false">O128/(parametros_manuales!$B$7)</f>
        <v>52.96514731674</v>
      </c>
      <c r="Q128" s="8" t="str">
        <f aca="false">IF(O128=0,"-",INDEX($B$109:$M$109,MATCH(O128,B128:M128,0)))</f>
        <v>Ene</v>
      </c>
    </row>
    <row r="129" customFormat="false" ht="14.25" hidden="false" customHeight="true" outlineLevel="0" collapsed="false">
      <c r="A129" s="8" t="str">
        <f aca="false">parametros_manuales!$B$38</f>
        <v>Carga de polvo</v>
      </c>
      <c r="B129" s="9" t="n">
        <f aca="false">(parametros_manuales!$D$38*(datos_base!$F$2+datos_base!$F$18+IF(parametros_manuales!$H$38="Todos",datos_base!$F$9+datos_base!$F$23,0))*parametros_manuales!$B$95+parametros_manuales!$E$38*(datos_base!$F$3+datos_base!$F$19+IF(parametros_manuales!$H$38="Todos",datos_base!$F$10+datos_base!$F$24,0))*parametros_manuales!$B$100+parametros_manuales!$F$38*(datos_base!$F$4+datos_base!$F$20+IF(parametros_manuales!$H$38="Todos",datos_base!$F$11+datos_base!$F$25,0))*parametros_manuales!$B$105+parametros_manuales!$G$38*(datos_base!$F$5+datos_base!$F$21+IF(parametros_manuales!$H$38="Todos",datos_base!$F$12+datos_base!$F$26,0))*parametros_manuales!$B$110)*parametros_manuales!$I$38*parametros_manuales!$J$38</f>
        <v>2388.992897511</v>
      </c>
      <c r="C129" s="9" t="n">
        <f aca="false">(parametros_manuales!$D$38*(datos_base!$F$2+datos_base!$F$18+IF(parametros_manuales!$H$38="Todos",datos_base!$F$9+datos_base!$F$23,0))*parametros_manuales!$C$95+parametros_manuales!$E$38*(datos_base!$F$3+datos_base!$F$19+IF(parametros_manuales!$H$38="Todos",datos_base!$F$10+datos_base!$F$24,0))*parametros_manuales!$C$100+parametros_manuales!$F$38*(datos_base!$F$4+datos_base!$F$20+IF(parametros_manuales!$H$38="Todos",datos_base!$F$11+datos_base!$F$25,0))*parametros_manuales!$C$105+parametros_manuales!$G$38*(datos_base!$F$5+datos_base!$F$21+IF(parametros_manuales!$H$38="Todos",datos_base!$F$12+datos_base!$F$26,0))*parametros_manuales!$C$110)*parametros_manuales!$I$38*parametros_manuales!$J$38</f>
        <v>2250.355569332</v>
      </c>
      <c r="D129" s="9" t="n">
        <f aca="false">(parametros_manuales!$D$38*(datos_base!$F$2+datos_base!$F$18+IF(parametros_manuales!$H$38="Todos",datos_base!$F$9+datos_base!$F$23,0))*parametros_manuales!$D$95+parametros_manuales!$E$38*(datos_base!$F$3+datos_base!$F$19+IF(parametros_manuales!$H$38="Todos",datos_base!$F$10+datos_base!$F$24,0))*parametros_manuales!$D$100+parametros_manuales!$F$38*(datos_base!$F$4+datos_base!$F$20+IF(parametros_manuales!$H$38="Todos",datos_base!$F$11+datos_base!$F$25,0))*parametros_manuales!$D$105+parametros_manuales!$G$38*(datos_base!$F$5+datos_base!$F$21+IF(parametros_manuales!$H$38="Todos",datos_base!$F$12+datos_base!$F$26,0))*parametros_manuales!$D$110)*parametros_manuales!$I$38*parametros_manuales!$J$38</f>
        <v>2192.8679063215</v>
      </c>
      <c r="E129" s="9" t="n">
        <f aca="false">(parametros_manuales!$D$38*(datos_base!$F$2+datos_base!$F$18+IF(parametros_manuales!$H$38="Todos",datos_base!$F$9+datos_base!$F$23,0))*parametros_manuales!$E$95+parametros_manuales!$E$38*(datos_base!$F$3+datos_base!$F$19+IF(parametros_manuales!$H$38="Todos",datos_base!$F$10+datos_base!$F$24,0))*parametros_manuales!$E$100+parametros_manuales!$F$38*(datos_base!$F$4+datos_base!$F$20+IF(parametros_manuales!$H$38="Todos",datos_base!$F$11+datos_base!$F$25,0))*parametros_manuales!$E$105+parametros_manuales!$G$38*(datos_base!$F$5+datos_base!$F$21+IF(parametros_manuales!$H$38="Todos",datos_base!$F$12+datos_base!$F$26,0))*parametros_manuales!$E$110)*parametros_manuales!$I$38*parametros_manuales!$J$38</f>
        <v>2129.4647427715</v>
      </c>
      <c r="F129" s="9" t="n">
        <f aca="false">(parametros_manuales!$D$38*(datos_base!$F$2+datos_base!$F$18+IF(parametros_manuales!$H$38="Todos",datos_base!$F$9+datos_base!$F$23,0))*parametros_manuales!$F$95+parametros_manuales!$E$38*(datos_base!$F$3+datos_base!$F$19+IF(parametros_manuales!$H$38="Todos",datos_base!$F$10+datos_base!$F$24,0))*parametros_manuales!$F$100+parametros_manuales!$F$38*(datos_base!$F$4+datos_base!$F$20+IF(parametros_manuales!$H$38="Todos",datos_base!$F$11+datos_base!$F$25,0))*parametros_manuales!$F$105+parametros_manuales!$G$38*(datos_base!$F$5+datos_base!$F$21+IF(parametros_manuales!$H$38="Todos",datos_base!$F$12+datos_base!$F$26,0))*parametros_manuales!$F$110)*parametros_manuales!$I$38*parametros_manuales!$J$38</f>
        <v>1996.742915132</v>
      </c>
      <c r="G129" s="9" t="n">
        <f aca="false">(parametros_manuales!$D$38*(datos_base!$F$2+datos_base!$F$18+IF(parametros_manuales!$H$38="Todos",datos_base!$F$9+datos_base!$F$23,0))*parametros_manuales!$G$95+parametros_manuales!$E$38*(datos_base!$F$3+datos_base!$F$19+IF(parametros_manuales!$H$38="Todos",datos_base!$F$10+datos_base!$F$24,0))*parametros_manuales!$G$100+parametros_manuales!$F$38*(datos_base!$F$4+datos_base!$F$20+IF(parametros_manuales!$H$38="Todos",datos_base!$F$11+datos_base!$F$25,0))*parametros_manuales!$G$105+parametros_manuales!$G$38*(datos_base!$F$5+datos_base!$F$21+IF(parametros_manuales!$H$38="Todos",datos_base!$F$12+datos_base!$F$26,0))*parametros_manuales!$G$110)*parametros_manuales!$I$38*parametros_manuales!$J$38</f>
        <v>1927.4242510425</v>
      </c>
      <c r="H129" s="9" t="n">
        <f aca="false">(parametros_manuales!$D$38*(datos_base!$F$2+datos_base!$F$18+IF(parametros_manuales!$H$38="Todos",datos_base!$F$9+datos_base!$F$23,0))*parametros_manuales!$H$95+parametros_manuales!$E$38*(datos_base!$F$3+datos_base!$F$19+IF(parametros_manuales!$H$38="Todos",datos_base!$F$10+datos_base!$F$24,0))*parametros_manuales!$H$100+parametros_manuales!$F$38*(datos_base!$F$4+datos_base!$F$20+IF(parametros_manuales!$H$38="Todos",datos_base!$F$11+datos_base!$F$25,0))*parametros_manuales!$H$105+parametros_manuales!$G$38*(datos_base!$F$5+datos_base!$F$21+IF(parametros_manuales!$H$38="Todos",datos_base!$F$12+datos_base!$F$26,0))*parametros_manuales!$H$110)*parametros_manuales!$I$38*parametros_manuales!$J$38</f>
        <v>2060.146078682</v>
      </c>
      <c r="I129" s="9" t="n">
        <f aca="false">(parametros_manuales!$D$38*(datos_base!$F$2+datos_base!$F$18+IF(parametros_manuales!$H$38="Todos",datos_base!$F$9+datos_base!$F$23,0))*parametros_manuales!$I$95+parametros_manuales!$E$38*(datos_base!$F$3+datos_base!$F$19+IF(parametros_manuales!$H$38="Todos",datos_base!$F$10+datos_base!$F$24,0))*parametros_manuales!$I$100+parametros_manuales!$F$38*(datos_base!$F$4+datos_base!$F$20+IF(parametros_manuales!$H$38="Todos",datos_base!$F$11+datos_base!$F$25,0))*parametros_manuales!$I$105+parametros_manuales!$G$38*(datos_base!$F$5+datos_base!$F$21+IF(parametros_manuales!$H$38="Todos",datos_base!$F$12+datos_base!$F$26,0))*parametros_manuales!$I$110)*parametros_manuales!$I$38*parametros_manuales!$J$38</f>
        <v>2250.355569332</v>
      </c>
      <c r="J129" s="9" t="n">
        <f aca="false">(parametros_manuales!$D$38*(datos_base!$F$2+datos_base!$F$18+IF(parametros_manuales!$H$38="Todos",datos_base!$F$9+datos_base!$F$23,0))*parametros_manuales!$J$95+parametros_manuales!$E$38*(datos_base!$F$3+datos_base!$F$19+IF(parametros_manuales!$H$38="Todos",datos_base!$F$10+datos_base!$F$24,0))*parametros_manuales!$J$100+parametros_manuales!$F$38*(datos_base!$F$4+datos_base!$F$20+IF(parametros_manuales!$H$38="Todos",datos_base!$F$11+datos_base!$F$25,0))*parametros_manuales!$J$105+parametros_manuales!$G$38*(datos_base!$F$5+datos_base!$F$21+IF(parametros_manuales!$H$38="Todos",datos_base!$F$12+datos_base!$F$26,0))*parametros_manuales!$J$110)*parametros_manuales!$I$38*parametros_manuales!$J$38</f>
        <v>2250.355569332</v>
      </c>
      <c r="K129" s="9" t="n">
        <f aca="false">(parametros_manuales!$D$38*(datos_base!$F$2+datos_base!$F$18+IF(parametros_manuales!$H$38="Todos",datos_base!$F$9+datos_base!$F$23,0))*parametros_manuales!$K$95+parametros_manuales!$E$38*(datos_base!$F$3+datos_base!$F$19+IF(parametros_manuales!$H$38="Todos",datos_base!$F$10+datos_base!$F$24,0))*parametros_manuales!$K$100+parametros_manuales!$F$38*(datos_base!$F$4+datos_base!$F$20+IF(parametros_manuales!$H$38="Todos",datos_base!$F$11+datos_base!$F$25,0))*parametros_manuales!$K$105+parametros_manuales!$G$38*(datos_base!$F$5+datos_base!$F$21+IF(parametros_manuales!$H$38="Todos",datos_base!$F$12+datos_base!$F$26,0))*parametros_manuales!$K$110)*parametros_manuales!$I$38*parametros_manuales!$J$38</f>
        <v>2319.6742334215</v>
      </c>
      <c r="L129" s="9" t="n">
        <f aca="false">(parametros_manuales!$D$38*(datos_base!$F$2+datos_base!$F$18+IF(parametros_manuales!$H$38="Todos",datos_base!$F$9+datos_base!$F$23,0))*parametros_manuales!$L$95+parametros_manuales!$E$38*(datos_base!$F$3+datos_base!$F$19+IF(parametros_manuales!$H$38="Todos",datos_base!$F$10+datos_base!$F$24,0))*parametros_manuales!$L$100+parametros_manuales!$F$38*(datos_base!$F$4+datos_base!$F$20+IF(parametros_manuales!$H$38="Todos",datos_base!$F$11+datos_base!$F$25,0))*parametros_manuales!$L$105+parametros_manuales!$G$38*(datos_base!$F$5+datos_base!$F$21+IF(parametros_manuales!$H$38="Todos",datos_base!$F$12+datos_base!$F$26,0))*parametros_manuales!$L$110)*parametros_manuales!$I$38*parametros_manuales!$J$38</f>
        <v>2388.992897511</v>
      </c>
      <c r="M129" s="9" t="n">
        <f aca="false">(parametros_manuales!$D$38*(datos_base!$F$2+datos_base!$F$18+IF(parametros_manuales!$H$38="Todos",datos_base!$F$9+datos_base!$F$23,0))*parametros_manuales!$M$95+parametros_manuales!$E$38*(datos_base!$F$3+datos_base!$F$19+IF(parametros_manuales!$H$38="Todos",datos_base!$F$10+datos_base!$F$24,0))*parametros_manuales!$M$100+parametros_manuales!$F$38*(datos_base!$F$4+datos_base!$F$20+IF(parametros_manuales!$H$38="Todos",datos_base!$F$11+datos_base!$F$25,0))*parametros_manuales!$M$105+parametros_manuales!$G$38*(datos_base!$F$5+datos_base!$F$21+IF(parametros_manuales!$H$38="Todos",datos_base!$F$12+datos_base!$F$26,0))*parametros_manuales!$M$110)*parametros_manuales!$I$38*parametros_manuales!$J$38</f>
        <v>2388.992897511</v>
      </c>
      <c r="N129" s="9" t="n">
        <f aca="false">SUM(B129:M129)</f>
        <v>26544.3655279</v>
      </c>
      <c r="O129" s="9" t="n">
        <f aca="false">MAX(B129:M129)</f>
        <v>2388.992897511</v>
      </c>
      <c r="P129" s="43" t="n">
        <f aca="false">O129/(parametros_manuales!$B$7)</f>
        <v>15.92661931674</v>
      </c>
      <c r="Q129" s="8" t="str">
        <f aca="false">IF(O129=0,"-",INDEX($B$109:$M$109,MATCH(O129,B129:M129,0)))</f>
        <v>Ene</v>
      </c>
    </row>
    <row r="130" customFormat="false" ht="14.25" hidden="false" customHeight="true" outlineLevel="0" collapsed="false">
      <c r="A130" s="8" t="str">
        <f aca="false">parametros_manuales!$B$39</f>
        <v>Ensamblaje</v>
      </c>
      <c r="B130" s="9" t="n">
        <f aca="false">(parametros_manuales!$D$39*(datos_base!$F$2+datos_base!$F$18+IF(parametros_manuales!$H$39="Todos",datos_base!$F$9+datos_base!$F$23,0))*parametros_manuales!$B$95+parametros_manuales!$E$39*(datos_base!$F$3+datos_base!$F$19+IF(parametros_manuales!$H$39="Todos",datos_base!$F$10+datos_base!$F$24,0))*parametros_manuales!$B$100+parametros_manuales!$F$39*(datos_base!$F$4+datos_base!$F$20+IF(parametros_manuales!$H$39="Todos",datos_base!$F$11+datos_base!$F$25,0))*parametros_manuales!$B$105+parametros_manuales!$G$39*(datos_base!$F$5+datos_base!$F$21+IF(parametros_manuales!$H$39="Todos",datos_base!$F$12+datos_base!$F$26,0))*parametros_manuales!$B$110)*parametros_manuales!$I$39*parametros_manuales!$J$39</f>
        <v>2388.992897511</v>
      </c>
      <c r="C130" s="9" t="n">
        <f aca="false">(parametros_manuales!$D$39*(datos_base!$F$2+datos_base!$F$18+IF(parametros_manuales!$H$39="Todos",datos_base!$F$9+datos_base!$F$23,0))*parametros_manuales!$C$95+parametros_manuales!$E$39*(datos_base!$F$3+datos_base!$F$19+IF(parametros_manuales!$H$39="Todos",datos_base!$F$10+datos_base!$F$24,0))*parametros_manuales!$C$100+parametros_manuales!$F$39*(datos_base!$F$4+datos_base!$F$20+IF(parametros_manuales!$H$39="Todos",datos_base!$F$11+datos_base!$F$25,0))*parametros_manuales!$C$105+parametros_manuales!$G$39*(datos_base!$F$5+datos_base!$F$21+IF(parametros_manuales!$H$39="Todos",datos_base!$F$12+datos_base!$F$26,0))*parametros_manuales!$C$110)*parametros_manuales!$I$39*parametros_manuales!$J$39</f>
        <v>2250.355569332</v>
      </c>
      <c r="D130" s="9" t="n">
        <f aca="false">(parametros_manuales!$D$39*(datos_base!$F$2+datos_base!$F$18+IF(parametros_manuales!$H$39="Todos",datos_base!$F$9+datos_base!$F$23,0))*parametros_manuales!$D$95+parametros_manuales!$E$39*(datos_base!$F$3+datos_base!$F$19+IF(parametros_manuales!$H$39="Todos",datos_base!$F$10+datos_base!$F$24,0))*parametros_manuales!$D$100+parametros_manuales!$F$39*(datos_base!$F$4+datos_base!$F$20+IF(parametros_manuales!$H$39="Todos",datos_base!$F$11+datos_base!$F$25,0))*parametros_manuales!$D$105+parametros_manuales!$G$39*(datos_base!$F$5+datos_base!$F$21+IF(parametros_manuales!$H$39="Todos",datos_base!$F$12+datos_base!$F$26,0))*parametros_manuales!$D$110)*parametros_manuales!$I$39*parametros_manuales!$J$39</f>
        <v>2192.8679063215</v>
      </c>
      <c r="E130" s="9" t="n">
        <f aca="false">(parametros_manuales!$D$39*(datos_base!$F$2+datos_base!$F$18+IF(parametros_manuales!$H$39="Todos",datos_base!$F$9+datos_base!$F$23,0))*parametros_manuales!$E$95+parametros_manuales!$E$39*(datos_base!$F$3+datos_base!$F$19+IF(parametros_manuales!$H$39="Todos",datos_base!$F$10+datos_base!$F$24,0))*parametros_manuales!$E$100+parametros_manuales!$F$39*(datos_base!$F$4+datos_base!$F$20+IF(parametros_manuales!$H$39="Todos",datos_base!$F$11+datos_base!$F$25,0))*parametros_manuales!$E$105+parametros_manuales!$G$39*(datos_base!$F$5+datos_base!$F$21+IF(parametros_manuales!$H$39="Todos",datos_base!$F$12+datos_base!$F$26,0))*parametros_manuales!$E$110)*parametros_manuales!$I$39*parametros_manuales!$J$39</f>
        <v>2129.4647427715</v>
      </c>
      <c r="F130" s="9" t="n">
        <f aca="false">(parametros_manuales!$D$39*(datos_base!$F$2+datos_base!$F$18+IF(parametros_manuales!$H$39="Todos",datos_base!$F$9+datos_base!$F$23,0))*parametros_manuales!$F$95+parametros_manuales!$E$39*(datos_base!$F$3+datos_base!$F$19+IF(parametros_manuales!$H$39="Todos",datos_base!$F$10+datos_base!$F$24,0))*parametros_manuales!$F$100+parametros_manuales!$F$39*(datos_base!$F$4+datos_base!$F$20+IF(parametros_manuales!$H$39="Todos",datos_base!$F$11+datos_base!$F$25,0))*parametros_manuales!$F$105+parametros_manuales!$G$39*(datos_base!$F$5+datos_base!$F$21+IF(parametros_manuales!$H$39="Todos",datos_base!$F$12+datos_base!$F$26,0))*parametros_manuales!$F$110)*parametros_manuales!$I$39*parametros_manuales!$J$39</f>
        <v>1996.742915132</v>
      </c>
      <c r="G130" s="9" t="n">
        <f aca="false">(parametros_manuales!$D$39*(datos_base!$F$2+datos_base!$F$18+IF(parametros_manuales!$H$39="Todos",datos_base!$F$9+datos_base!$F$23,0))*parametros_manuales!$G$95+parametros_manuales!$E$39*(datos_base!$F$3+datos_base!$F$19+IF(parametros_manuales!$H$39="Todos",datos_base!$F$10+datos_base!$F$24,0))*parametros_manuales!$G$100+parametros_manuales!$F$39*(datos_base!$F$4+datos_base!$F$20+IF(parametros_manuales!$H$39="Todos",datos_base!$F$11+datos_base!$F$25,0))*parametros_manuales!$G$105+parametros_manuales!$G$39*(datos_base!$F$5+datos_base!$F$21+IF(parametros_manuales!$H$39="Todos",datos_base!$F$12+datos_base!$F$26,0))*parametros_manuales!$G$110)*parametros_manuales!$I$39*parametros_manuales!$J$39</f>
        <v>1927.4242510425</v>
      </c>
      <c r="H130" s="9" t="n">
        <f aca="false">(parametros_manuales!$D$39*(datos_base!$F$2+datos_base!$F$18+IF(parametros_manuales!$H$39="Todos",datos_base!$F$9+datos_base!$F$23,0))*parametros_manuales!$H$95+parametros_manuales!$E$39*(datos_base!$F$3+datos_base!$F$19+IF(parametros_manuales!$H$39="Todos",datos_base!$F$10+datos_base!$F$24,0))*parametros_manuales!$H$100+parametros_manuales!$F$39*(datos_base!$F$4+datos_base!$F$20+IF(parametros_manuales!$H$39="Todos",datos_base!$F$11+datos_base!$F$25,0))*parametros_manuales!$H$105+parametros_manuales!$G$39*(datos_base!$F$5+datos_base!$F$21+IF(parametros_manuales!$H$39="Todos",datos_base!$F$12+datos_base!$F$26,0))*parametros_manuales!$H$110)*parametros_manuales!$I$39*parametros_manuales!$J$39</f>
        <v>2060.146078682</v>
      </c>
      <c r="I130" s="9" t="n">
        <f aca="false">(parametros_manuales!$D$39*(datos_base!$F$2+datos_base!$F$18+IF(parametros_manuales!$H$39="Todos",datos_base!$F$9+datos_base!$F$23,0))*parametros_manuales!$I$95+parametros_manuales!$E$39*(datos_base!$F$3+datos_base!$F$19+IF(parametros_manuales!$H$39="Todos",datos_base!$F$10+datos_base!$F$24,0))*parametros_manuales!$I$100+parametros_manuales!$F$39*(datos_base!$F$4+datos_base!$F$20+IF(parametros_manuales!$H$39="Todos",datos_base!$F$11+datos_base!$F$25,0))*parametros_manuales!$I$105+parametros_manuales!$G$39*(datos_base!$F$5+datos_base!$F$21+IF(parametros_manuales!$H$39="Todos",datos_base!$F$12+datos_base!$F$26,0))*parametros_manuales!$I$110)*parametros_manuales!$I$39*parametros_manuales!$J$39</f>
        <v>2250.355569332</v>
      </c>
      <c r="J130" s="9" t="n">
        <f aca="false">(parametros_manuales!$D$39*(datos_base!$F$2+datos_base!$F$18+IF(parametros_manuales!$H$39="Todos",datos_base!$F$9+datos_base!$F$23,0))*parametros_manuales!$J$95+parametros_manuales!$E$39*(datos_base!$F$3+datos_base!$F$19+IF(parametros_manuales!$H$39="Todos",datos_base!$F$10+datos_base!$F$24,0))*parametros_manuales!$J$100+parametros_manuales!$F$39*(datos_base!$F$4+datos_base!$F$20+IF(parametros_manuales!$H$39="Todos",datos_base!$F$11+datos_base!$F$25,0))*parametros_manuales!$J$105+parametros_manuales!$G$39*(datos_base!$F$5+datos_base!$F$21+IF(parametros_manuales!$H$39="Todos",datos_base!$F$12+datos_base!$F$26,0))*parametros_manuales!$J$110)*parametros_manuales!$I$39*parametros_manuales!$J$39</f>
        <v>2250.355569332</v>
      </c>
      <c r="K130" s="9" t="n">
        <f aca="false">(parametros_manuales!$D$39*(datos_base!$F$2+datos_base!$F$18+IF(parametros_manuales!$H$39="Todos",datos_base!$F$9+datos_base!$F$23,0))*parametros_manuales!$K$95+parametros_manuales!$E$39*(datos_base!$F$3+datos_base!$F$19+IF(parametros_manuales!$H$39="Todos",datos_base!$F$10+datos_base!$F$24,0))*parametros_manuales!$K$100+parametros_manuales!$F$39*(datos_base!$F$4+datos_base!$F$20+IF(parametros_manuales!$H$39="Todos",datos_base!$F$11+datos_base!$F$25,0))*parametros_manuales!$K$105+parametros_manuales!$G$39*(datos_base!$F$5+datos_base!$F$21+IF(parametros_manuales!$H$39="Todos",datos_base!$F$12+datos_base!$F$26,0))*parametros_manuales!$K$110)*parametros_manuales!$I$39*parametros_manuales!$J$39</f>
        <v>2319.6742334215</v>
      </c>
      <c r="L130" s="9" t="n">
        <f aca="false">(parametros_manuales!$D$39*(datos_base!$F$2+datos_base!$F$18+IF(parametros_manuales!$H$39="Todos",datos_base!$F$9+datos_base!$F$23,0))*parametros_manuales!$L$95+parametros_manuales!$E$39*(datos_base!$F$3+datos_base!$F$19+IF(parametros_manuales!$H$39="Todos",datos_base!$F$10+datos_base!$F$24,0))*parametros_manuales!$L$100+parametros_manuales!$F$39*(datos_base!$F$4+datos_base!$F$20+IF(parametros_manuales!$H$39="Todos",datos_base!$F$11+datos_base!$F$25,0))*parametros_manuales!$L$105+parametros_manuales!$G$39*(datos_base!$F$5+datos_base!$F$21+IF(parametros_manuales!$H$39="Todos",datos_base!$F$12+datos_base!$F$26,0))*parametros_manuales!$L$110)*parametros_manuales!$I$39*parametros_manuales!$J$39</f>
        <v>2388.992897511</v>
      </c>
      <c r="M130" s="9" t="n">
        <f aca="false">(parametros_manuales!$D$39*(datos_base!$F$2+datos_base!$F$18+IF(parametros_manuales!$H$39="Todos",datos_base!$F$9+datos_base!$F$23,0))*parametros_manuales!$M$95+parametros_manuales!$E$39*(datos_base!$F$3+datos_base!$F$19+IF(parametros_manuales!$H$39="Todos",datos_base!$F$10+datos_base!$F$24,0))*parametros_manuales!$M$100+parametros_manuales!$F$39*(datos_base!$F$4+datos_base!$F$20+IF(parametros_manuales!$H$39="Todos",datos_base!$F$11+datos_base!$F$25,0))*parametros_manuales!$M$105+parametros_manuales!$G$39*(datos_base!$F$5+datos_base!$F$21+IF(parametros_manuales!$H$39="Todos",datos_base!$F$12+datos_base!$F$26,0))*parametros_manuales!$M$110)*parametros_manuales!$I$39*parametros_manuales!$J$39</f>
        <v>2388.992897511</v>
      </c>
      <c r="N130" s="9" t="n">
        <f aca="false">SUM(B130:M130)</f>
        <v>26544.3655279</v>
      </c>
      <c r="O130" s="9" t="n">
        <f aca="false">MAX(B130:M130)</f>
        <v>2388.992897511</v>
      </c>
      <c r="P130" s="43" t="n">
        <f aca="false">O130/(parametros_manuales!$B$7)</f>
        <v>15.92661931674</v>
      </c>
      <c r="Q130" s="8" t="str">
        <f aca="false">IF(O130=0,"-",INDEX($B$109:$M$109,MATCH(O130,B130:M130,0)))</f>
        <v>Ene</v>
      </c>
    </row>
    <row r="131" customFormat="false" ht="14.25" hidden="false" customHeight="true" outlineLevel="0" collapsed="false">
      <c r="A131" s="8" t="str">
        <f aca="false">parametros_manuales!$B$40</f>
        <v>Presurización</v>
      </c>
      <c r="B131" s="9" t="n">
        <f aca="false">(parametros_manuales!$D$40*(datos_base!$F$2+datos_base!$F$18+IF(parametros_manuales!$H$40="Todos",datos_base!$F$9+datos_base!$F$23,0))*parametros_manuales!$B$95+parametros_manuales!$E$40*(datos_base!$F$3+datos_base!$F$19+IF(parametros_manuales!$H$40="Todos",datos_base!$F$10+datos_base!$F$24,0))*parametros_manuales!$B$100+parametros_manuales!$F$40*(datos_base!$F$4+datos_base!$F$20+IF(parametros_manuales!$H$40="Todos",datos_base!$F$11+datos_base!$F$25,0))*parametros_manuales!$B$105+parametros_manuales!$G$40*(datos_base!$F$5+datos_base!$F$21+IF(parametros_manuales!$H$40="Todos",datos_base!$F$12+datos_base!$F$26,0))*parametros_manuales!$B$110)*parametros_manuales!$I$40*parametros_manuales!$J$40</f>
        <v>2388.992897511</v>
      </c>
      <c r="C131" s="9" t="n">
        <f aca="false">(parametros_manuales!$D$40*(datos_base!$F$2+datos_base!$F$18+IF(parametros_manuales!$H$40="Todos",datos_base!$F$9+datos_base!$F$23,0))*parametros_manuales!$C$95+parametros_manuales!$E$40*(datos_base!$F$3+datos_base!$F$19+IF(parametros_manuales!$H$40="Todos",datos_base!$F$10+datos_base!$F$24,0))*parametros_manuales!$C$100+parametros_manuales!$F$40*(datos_base!$F$4+datos_base!$F$20+IF(parametros_manuales!$H$40="Todos",datos_base!$F$11+datos_base!$F$25,0))*parametros_manuales!$C$105+parametros_manuales!$G$40*(datos_base!$F$5+datos_base!$F$21+IF(parametros_manuales!$H$40="Todos",datos_base!$F$12+datos_base!$F$26,0))*parametros_manuales!$C$110)*parametros_manuales!$I$40*parametros_manuales!$J$40</f>
        <v>2250.355569332</v>
      </c>
      <c r="D131" s="9" t="n">
        <f aca="false">(parametros_manuales!$D$40*(datos_base!$F$2+datos_base!$F$18+IF(parametros_manuales!$H$40="Todos",datos_base!$F$9+datos_base!$F$23,0))*parametros_manuales!$D$95+parametros_manuales!$E$40*(datos_base!$F$3+datos_base!$F$19+IF(parametros_manuales!$H$40="Todos",datos_base!$F$10+datos_base!$F$24,0))*parametros_manuales!$D$100+parametros_manuales!$F$40*(datos_base!$F$4+datos_base!$F$20+IF(parametros_manuales!$H$40="Todos",datos_base!$F$11+datos_base!$F$25,0))*parametros_manuales!$D$105+parametros_manuales!$G$40*(datos_base!$F$5+datos_base!$F$21+IF(parametros_manuales!$H$40="Todos",datos_base!$F$12+datos_base!$F$26,0))*parametros_manuales!$D$110)*parametros_manuales!$I$40*parametros_manuales!$J$40</f>
        <v>2192.8679063215</v>
      </c>
      <c r="E131" s="9" t="n">
        <f aca="false">(parametros_manuales!$D$40*(datos_base!$F$2+datos_base!$F$18+IF(parametros_manuales!$H$40="Todos",datos_base!$F$9+datos_base!$F$23,0))*parametros_manuales!$E$95+parametros_manuales!$E$40*(datos_base!$F$3+datos_base!$F$19+IF(parametros_manuales!$H$40="Todos",datos_base!$F$10+datos_base!$F$24,0))*parametros_manuales!$E$100+parametros_manuales!$F$40*(datos_base!$F$4+datos_base!$F$20+IF(parametros_manuales!$H$40="Todos",datos_base!$F$11+datos_base!$F$25,0))*parametros_manuales!$E$105+parametros_manuales!$G$40*(datos_base!$F$5+datos_base!$F$21+IF(parametros_manuales!$H$40="Todos",datos_base!$F$12+datos_base!$F$26,0))*parametros_manuales!$E$110)*parametros_manuales!$I$40*parametros_manuales!$J$40</f>
        <v>2129.4647427715</v>
      </c>
      <c r="F131" s="9" t="n">
        <f aca="false">(parametros_manuales!$D$40*(datos_base!$F$2+datos_base!$F$18+IF(parametros_manuales!$H$40="Todos",datos_base!$F$9+datos_base!$F$23,0))*parametros_manuales!$F$95+parametros_manuales!$E$40*(datos_base!$F$3+datos_base!$F$19+IF(parametros_manuales!$H$40="Todos",datos_base!$F$10+datos_base!$F$24,0))*parametros_manuales!$F$100+parametros_manuales!$F$40*(datos_base!$F$4+datos_base!$F$20+IF(parametros_manuales!$H$40="Todos",datos_base!$F$11+datos_base!$F$25,0))*parametros_manuales!$F$105+parametros_manuales!$G$40*(datos_base!$F$5+datos_base!$F$21+IF(parametros_manuales!$H$40="Todos",datos_base!$F$12+datos_base!$F$26,0))*parametros_manuales!$F$110)*parametros_manuales!$I$40*parametros_manuales!$J$40</f>
        <v>1996.742915132</v>
      </c>
      <c r="G131" s="9" t="n">
        <f aca="false">(parametros_manuales!$D$40*(datos_base!$F$2+datos_base!$F$18+IF(parametros_manuales!$H$40="Todos",datos_base!$F$9+datos_base!$F$23,0))*parametros_manuales!$G$95+parametros_manuales!$E$40*(datos_base!$F$3+datos_base!$F$19+IF(parametros_manuales!$H$40="Todos",datos_base!$F$10+datos_base!$F$24,0))*parametros_manuales!$G$100+parametros_manuales!$F$40*(datos_base!$F$4+datos_base!$F$20+IF(parametros_manuales!$H$40="Todos",datos_base!$F$11+datos_base!$F$25,0))*parametros_manuales!$G$105+parametros_manuales!$G$40*(datos_base!$F$5+datos_base!$F$21+IF(parametros_manuales!$H$40="Todos",datos_base!$F$12+datos_base!$F$26,0))*parametros_manuales!$G$110)*parametros_manuales!$I$40*parametros_manuales!$J$40</f>
        <v>1927.4242510425</v>
      </c>
      <c r="H131" s="9" t="n">
        <f aca="false">(parametros_manuales!$D$40*(datos_base!$F$2+datos_base!$F$18+IF(parametros_manuales!$H$40="Todos",datos_base!$F$9+datos_base!$F$23,0))*parametros_manuales!$H$95+parametros_manuales!$E$40*(datos_base!$F$3+datos_base!$F$19+IF(parametros_manuales!$H$40="Todos",datos_base!$F$10+datos_base!$F$24,0))*parametros_manuales!$H$100+parametros_manuales!$F$40*(datos_base!$F$4+datos_base!$F$20+IF(parametros_manuales!$H$40="Todos",datos_base!$F$11+datos_base!$F$25,0))*parametros_manuales!$H$105+parametros_manuales!$G$40*(datos_base!$F$5+datos_base!$F$21+IF(parametros_manuales!$H$40="Todos",datos_base!$F$12+datos_base!$F$26,0))*parametros_manuales!$H$110)*parametros_manuales!$I$40*parametros_manuales!$J$40</f>
        <v>2060.146078682</v>
      </c>
      <c r="I131" s="9" t="n">
        <f aca="false">(parametros_manuales!$D$40*(datos_base!$F$2+datos_base!$F$18+IF(parametros_manuales!$H$40="Todos",datos_base!$F$9+datos_base!$F$23,0))*parametros_manuales!$I$95+parametros_manuales!$E$40*(datos_base!$F$3+datos_base!$F$19+IF(parametros_manuales!$H$40="Todos",datos_base!$F$10+datos_base!$F$24,0))*parametros_manuales!$I$100+parametros_manuales!$F$40*(datos_base!$F$4+datos_base!$F$20+IF(parametros_manuales!$H$40="Todos",datos_base!$F$11+datos_base!$F$25,0))*parametros_manuales!$I$105+parametros_manuales!$G$40*(datos_base!$F$5+datos_base!$F$21+IF(parametros_manuales!$H$40="Todos",datos_base!$F$12+datos_base!$F$26,0))*parametros_manuales!$I$110)*parametros_manuales!$I$40*parametros_manuales!$J$40</f>
        <v>2250.355569332</v>
      </c>
      <c r="J131" s="9" t="n">
        <f aca="false">(parametros_manuales!$D$40*(datos_base!$F$2+datos_base!$F$18+IF(parametros_manuales!$H$40="Todos",datos_base!$F$9+datos_base!$F$23,0))*parametros_manuales!$J$95+parametros_manuales!$E$40*(datos_base!$F$3+datos_base!$F$19+IF(parametros_manuales!$H$40="Todos",datos_base!$F$10+datos_base!$F$24,0))*parametros_manuales!$J$100+parametros_manuales!$F$40*(datos_base!$F$4+datos_base!$F$20+IF(parametros_manuales!$H$40="Todos",datos_base!$F$11+datos_base!$F$25,0))*parametros_manuales!$J$105+parametros_manuales!$G$40*(datos_base!$F$5+datos_base!$F$21+IF(parametros_manuales!$H$40="Todos",datos_base!$F$12+datos_base!$F$26,0))*parametros_manuales!$J$110)*parametros_manuales!$I$40*parametros_manuales!$J$40</f>
        <v>2250.355569332</v>
      </c>
      <c r="K131" s="9" t="n">
        <f aca="false">(parametros_manuales!$D$40*(datos_base!$F$2+datos_base!$F$18+IF(parametros_manuales!$H$40="Todos",datos_base!$F$9+datos_base!$F$23,0))*parametros_manuales!$K$95+parametros_manuales!$E$40*(datos_base!$F$3+datos_base!$F$19+IF(parametros_manuales!$H$40="Todos",datos_base!$F$10+datos_base!$F$24,0))*parametros_manuales!$K$100+parametros_manuales!$F$40*(datos_base!$F$4+datos_base!$F$20+IF(parametros_manuales!$H$40="Todos",datos_base!$F$11+datos_base!$F$25,0))*parametros_manuales!$K$105+parametros_manuales!$G$40*(datos_base!$F$5+datos_base!$F$21+IF(parametros_manuales!$H$40="Todos",datos_base!$F$12+datos_base!$F$26,0))*parametros_manuales!$K$110)*parametros_manuales!$I$40*parametros_manuales!$J$40</f>
        <v>2319.6742334215</v>
      </c>
      <c r="L131" s="9" t="n">
        <f aca="false">(parametros_manuales!$D$40*(datos_base!$F$2+datos_base!$F$18+IF(parametros_manuales!$H$40="Todos",datos_base!$F$9+datos_base!$F$23,0))*parametros_manuales!$L$95+parametros_manuales!$E$40*(datos_base!$F$3+datos_base!$F$19+IF(parametros_manuales!$H$40="Todos",datos_base!$F$10+datos_base!$F$24,0))*parametros_manuales!$L$100+parametros_manuales!$F$40*(datos_base!$F$4+datos_base!$F$20+IF(parametros_manuales!$H$40="Todos",datos_base!$F$11+datos_base!$F$25,0))*parametros_manuales!$L$105+parametros_manuales!$G$40*(datos_base!$F$5+datos_base!$F$21+IF(parametros_manuales!$H$40="Todos",datos_base!$F$12+datos_base!$F$26,0))*parametros_manuales!$L$110)*parametros_manuales!$I$40*parametros_manuales!$J$40</f>
        <v>2388.992897511</v>
      </c>
      <c r="M131" s="9" t="n">
        <f aca="false">(parametros_manuales!$D$40*(datos_base!$F$2+datos_base!$F$18+IF(parametros_manuales!$H$40="Todos",datos_base!$F$9+datos_base!$F$23,0))*parametros_manuales!$M$95+parametros_manuales!$E$40*(datos_base!$F$3+datos_base!$F$19+IF(parametros_manuales!$H$40="Todos",datos_base!$F$10+datos_base!$F$24,0))*parametros_manuales!$M$100+parametros_manuales!$F$40*(datos_base!$F$4+datos_base!$F$20+IF(parametros_manuales!$H$40="Todos",datos_base!$F$11+datos_base!$F$25,0))*parametros_manuales!$M$105+parametros_manuales!$G$40*(datos_base!$F$5+datos_base!$F$21+IF(parametros_manuales!$H$40="Todos",datos_base!$F$12+datos_base!$F$26,0))*parametros_manuales!$M$110)*parametros_manuales!$I$40*parametros_manuales!$J$40</f>
        <v>2388.992897511</v>
      </c>
      <c r="N131" s="9" t="n">
        <f aca="false">SUM(B131:M131)</f>
        <v>26544.3655279</v>
      </c>
      <c r="O131" s="9" t="n">
        <f aca="false">MAX(B131:M131)</f>
        <v>2388.992897511</v>
      </c>
      <c r="P131" s="43" t="n">
        <f aca="false">O131/(parametros_manuales!$B$7)</f>
        <v>15.92661931674</v>
      </c>
      <c r="Q131" s="8" t="str">
        <f aca="false">IF(O131=0,"-",INDEX($B$109:$M$109,MATCH(O131,B131:M131,0)))</f>
        <v>Ene</v>
      </c>
    </row>
    <row r="132" customFormat="false" ht="14.25" hidden="false" customHeight="true" outlineLevel="0" collapsed="false">
      <c r="A132" s="8" t="str">
        <f aca="false">parametros_manuales!$B$41</f>
        <v>Control de calidad — Ensayo de pérdidas</v>
      </c>
      <c r="B132" s="9" t="n">
        <f aca="false">(parametros_manuales!$D$41*(datos_base!$F$2+datos_base!$F$18+IF(parametros_manuales!$H$41="Todos",datos_base!$F$9+datos_base!$F$23,0))*parametros_manuales!$B$95+parametros_manuales!$E$41*(datos_base!$F$3+datos_base!$F$19+IF(parametros_manuales!$H$41="Todos",datos_base!$F$10+datos_base!$F$24,0))*parametros_manuales!$B$100+parametros_manuales!$F$41*(datos_base!$F$4+datos_base!$F$20+IF(parametros_manuales!$H$41="Todos",datos_base!$F$11+datos_base!$F$25,0))*parametros_manuales!$B$105+parametros_manuales!$G$41*(datos_base!$F$5+datos_base!$F$21+IF(parametros_manuales!$H$41="Todos",datos_base!$F$12+datos_base!$F$26,0))*parametros_manuales!$B$110)*parametros_manuales!$I$41*parametros_manuales!$J$41</f>
        <v>2388.992897511</v>
      </c>
      <c r="C132" s="9" t="n">
        <f aca="false">(parametros_manuales!$D$41*(datos_base!$F$2+datos_base!$F$18+IF(parametros_manuales!$H$41="Todos",datos_base!$F$9+datos_base!$F$23,0))*parametros_manuales!$C$95+parametros_manuales!$E$41*(datos_base!$F$3+datos_base!$F$19+IF(parametros_manuales!$H$41="Todos",datos_base!$F$10+datos_base!$F$24,0))*parametros_manuales!$C$100+parametros_manuales!$F$41*(datos_base!$F$4+datos_base!$F$20+IF(parametros_manuales!$H$41="Todos",datos_base!$F$11+datos_base!$F$25,0))*parametros_manuales!$C$105+parametros_manuales!$G$41*(datos_base!$F$5+datos_base!$F$21+IF(parametros_manuales!$H$41="Todos",datos_base!$F$12+datos_base!$F$26,0))*parametros_manuales!$C$110)*parametros_manuales!$I$41*parametros_manuales!$J$41</f>
        <v>2250.355569332</v>
      </c>
      <c r="D132" s="9" t="n">
        <f aca="false">(parametros_manuales!$D$41*(datos_base!$F$2+datos_base!$F$18+IF(parametros_manuales!$H$41="Todos",datos_base!$F$9+datos_base!$F$23,0))*parametros_manuales!$D$95+parametros_manuales!$E$41*(datos_base!$F$3+datos_base!$F$19+IF(parametros_manuales!$H$41="Todos",datos_base!$F$10+datos_base!$F$24,0))*parametros_manuales!$D$100+parametros_manuales!$F$41*(datos_base!$F$4+datos_base!$F$20+IF(parametros_manuales!$H$41="Todos",datos_base!$F$11+datos_base!$F$25,0))*parametros_manuales!$D$105+parametros_manuales!$G$41*(datos_base!$F$5+datos_base!$F$21+IF(parametros_manuales!$H$41="Todos",datos_base!$F$12+datos_base!$F$26,0))*parametros_manuales!$D$110)*parametros_manuales!$I$41*parametros_manuales!$J$41</f>
        <v>2192.8679063215</v>
      </c>
      <c r="E132" s="9" t="n">
        <f aca="false">(parametros_manuales!$D$41*(datos_base!$F$2+datos_base!$F$18+IF(parametros_manuales!$H$41="Todos",datos_base!$F$9+datos_base!$F$23,0))*parametros_manuales!$E$95+parametros_manuales!$E$41*(datos_base!$F$3+datos_base!$F$19+IF(parametros_manuales!$H$41="Todos",datos_base!$F$10+datos_base!$F$24,0))*parametros_manuales!$E$100+parametros_manuales!$F$41*(datos_base!$F$4+datos_base!$F$20+IF(parametros_manuales!$H$41="Todos",datos_base!$F$11+datos_base!$F$25,0))*parametros_manuales!$E$105+parametros_manuales!$G$41*(datos_base!$F$5+datos_base!$F$21+IF(parametros_manuales!$H$41="Todos",datos_base!$F$12+datos_base!$F$26,0))*parametros_manuales!$E$110)*parametros_manuales!$I$41*parametros_manuales!$J$41</f>
        <v>2129.4647427715</v>
      </c>
      <c r="F132" s="9" t="n">
        <f aca="false">(parametros_manuales!$D$41*(datos_base!$F$2+datos_base!$F$18+IF(parametros_manuales!$H$41="Todos",datos_base!$F$9+datos_base!$F$23,0))*parametros_manuales!$F$95+parametros_manuales!$E$41*(datos_base!$F$3+datos_base!$F$19+IF(parametros_manuales!$H$41="Todos",datos_base!$F$10+datos_base!$F$24,0))*parametros_manuales!$F$100+parametros_manuales!$F$41*(datos_base!$F$4+datos_base!$F$20+IF(parametros_manuales!$H$41="Todos",datos_base!$F$11+datos_base!$F$25,0))*parametros_manuales!$F$105+parametros_manuales!$G$41*(datos_base!$F$5+datos_base!$F$21+IF(parametros_manuales!$H$41="Todos",datos_base!$F$12+datos_base!$F$26,0))*parametros_manuales!$F$110)*parametros_manuales!$I$41*parametros_manuales!$J$41</f>
        <v>1996.742915132</v>
      </c>
      <c r="G132" s="9" t="n">
        <f aca="false">(parametros_manuales!$D$41*(datos_base!$F$2+datos_base!$F$18+IF(parametros_manuales!$H$41="Todos",datos_base!$F$9+datos_base!$F$23,0))*parametros_manuales!$G$95+parametros_manuales!$E$41*(datos_base!$F$3+datos_base!$F$19+IF(parametros_manuales!$H$41="Todos",datos_base!$F$10+datos_base!$F$24,0))*parametros_manuales!$G$100+parametros_manuales!$F$41*(datos_base!$F$4+datos_base!$F$20+IF(parametros_manuales!$H$41="Todos",datos_base!$F$11+datos_base!$F$25,0))*parametros_manuales!$G$105+parametros_manuales!$G$41*(datos_base!$F$5+datos_base!$F$21+IF(parametros_manuales!$H$41="Todos",datos_base!$F$12+datos_base!$F$26,0))*parametros_manuales!$G$110)*parametros_manuales!$I$41*parametros_manuales!$J$41</f>
        <v>1927.4242510425</v>
      </c>
      <c r="H132" s="9" t="n">
        <f aca="false">(parametros_manuales!$D$41*(datos_base!$F$2+datos_base!$F$18+IF(parametros_manuales!$H$41="Todos",datos_base!$F$9+datos_base!$F$23,0))*parametros_manuales!$H$95+parametros_manuales!$E$41*(datos_base!$F$3+datos_base!$F$19+IF(parametros_manuales!$H$41="Todos",datos_base!$F$10+datos_base!$F$24,0))*parametros_manuales!$H$100+parametros_manuales!$F$41*(datos_base!$F$4+datos_base!$F$20+IF(parametros_manuales!$H$41="Todos",datos_base!$F$11+datos_base!$F$25,0))*parametros_manuales!$H$105+parametros_manuales!$G$41*(datos_base!$F$5+datos_base!$F$21+IF(parametros_manuales!$H$41="Todos",datos_base!$F$12+datos_base!$F$26,0))*parametros_manuales!$H$110)*parametros_manuales!$I$41*parametros_manuales!$J$41</f>
        <v>2060.146078682</v>
      </c>
      <c r="I132" s="9" t="n">
        <f aca="false">(parametros_manuales!$D$41*(datos_base!$F$2+datos_base!$F$18+IF(parametros_manuales!$H$41="Todos",datos_base!$F$9+datos_base!$F$23,0))*parametros_manuales!$I$95+parametros_manuales!$E$41*(datos_base!$F$3+datos_base!$F$19+IF(parametros_manuales!$H$41="Todos",datos_base!$F$10+datos_base!$F$24,0))*parametros_manuales!$I$100+parametros_manuales!$F$41*(datos_base!$F$4+datos_base!$F$20+IF(parametros_manuales!$H$41="Todos",datos_base!$F$11+datos_base!$F$25,0))*parametros_manuales!$I$105+parametros_manuales!$G$41*(datos_base!$F$5+datos_base!$F$21+IF(parametros_manuales!$H$41="Todos",datos_base!$F$12+datos_base!$F$26,0))*parametros_manuales!$I$110)*parametros_manuales!$I$41*parametros_manuales!$J$41</f>
        <v>2250.355569332</v>
      </c>
      <c r="J132" s="9" t="n">
        <f aca="false">(parametros_manuales!$D$41*(datos_base!$F$2+datos_base!$F$18+IF(parametros_manuales!$H$41="Todos",datos_base!$F$9+datos_base!$F$23,0))*parametros_manuales!$J$95+parametros_manuales!$E$41*(datos_base!$F$3+datos_base!$F$19+IF(parametros_manuales!$H$41="Todos",datos_base!$F$10+datos_base!$F$24,0))*parametros_manuales!$J$100+parametros_manuales!$F$41*(datos_base!$F$4+datos_base!$F$20+IF(parametros_manuales!$H$41="Todos",datos_base!$F$11+datos_base!$F$25,0))*parametros_manuales!$J$105+parametros_manuales!$G$41*(datos_base!$F$5+datos_base!$F$21+IF(parametros_manuales!$H$41="Todos",datos_base!$F$12+datos_base!$F$26,0))*parametros_manuales!$J$110)*parametros_manuales!$I$41*parametros_manuales!$J$41</f>
        <v>2250.355569332</v>
      </c>
      <c r="K132" s="9" t="n">
        <f aca="false">(parametros_manuales!$D$41*(datos_base!$F$2+datos_base!$F$18+IF(parametros_manuales!$H$41="Todos",datos_base!$F$9+datos_base!$F$23,0))*parametros_manuales!$K$95+parametros_manuales!$E$41*(datos_base!$F$3+datos_base!$F$19+IF(parametros_manuales!$H$41="Todos",datos_base!$F$10+datos_base!$F$24,0))*parametros_manuales!$K$100+parametros_manuales!$F$41*(datos_base!$F$4+datos_base!$F$20+IF(parametros_manuales!$H$41="Todos",datos_base!$F$11+datos_base!$F$25,0))*parametros_manuales!$K$105+parametros_manuales!$G$41*(datos_base!$F$5+datos_base!$F$21+IF(parametros_manuales!$H$41="Todos",datos_base!$F$12+datos_base!$F$26,0))*parametros_manuales!$K$110)*parametros_manuales!$I$41*parametros_manuales!$J$41</f>
        <v>2319.6742334215</v>
      </c>
      <c r="L132" s="9" t="n">
        <f aca="false">(parametros_manuales!$D$41*(datos_base!$F$2+datos_base!$F$18+IF(parametros_manuales!$H$41="Todos",datos_base!$F$9+datos_base!$F$23,0))*parametros_manuales!$L$95+parametros_manuales!$E$41*(datos_base!$F$3+datos_base!$F$19+IF(parametros_manuales!$H$41="Todos",datos_base!$F$10+datos_base!$F$24,0))*parametros_manuales!$L$100+parametros_manuales!$F$41*(datos_base!$F$4+datos_base!$F$20+IF(parametros_manuales!$H$41="Todos",datos_base!$F$11+datos_base!$F$25,0))*parametros_manuales!$L$105+parametros_manuales!$G$41*(datos_base!$F$5+datos_base!$F$21+IF(parametros_manuales!$H$41="Todos",datos_base!$F$12+datos_base!$F$26,0))*parametros_manuales!$L$110)*parametros_manuales!$I$41*parametros_manuales!$J$41</f>
        <v>2388.992897511</v>
      </c>
      <c r="M132" s="9" t="n">
        <f aca="false">(parametros_manuales!$D$41*(datos_base!$F$2+datos_base!$F$18+IF(parametros_manuales!$H$41="Todos",datos_base!$F$9+datos_base!$F$23,0))*parametros_manuales!$M$95+parametros_manuales!$E$41*(datos_base!$F$3+datos_base!$F$19+IF(parametros_manuales!$H$41="Todos",datos_base!$F$10+datos_base!$F$24,0))*parametros_manuales!$M$100+parametros_manuales!$F$41*(datos_base!$F$4+datos_base!$F$20+IF(parametros_manuales!$H$41="Todos",datos_base!$F$11+datos_base!$F$25,0))*parametros_manuales!$M$105+parametros_manuales!$G$41*(datos_base!$F$5+datos_base!$F$21+IF(parametros_manuales!$H$41="Todos",datos_base!$F$12+datos_base!$F$26,0))*parametros_manuales!$M$110)*parametros_manuales!$I$41*parametros_manuales!$J$41</f>
        <v>2388.992897511</v>
      </c>
      <c r="N132" s="9" t="n">
        <f aca="false">SUM(B132:M132)</f>
        <v>26544.3655279</v>
      </c>
      <c r="O132" s="9" t="n">
        <f aca="false">MAX(B132:M132)</f>
        <v>2388.992897511</v>
      </c>
      <c r="P132" s="43" t="n">
        <f aca="false">O132/(parametros_manuales!$B$7)</f>
        <v>15.92661931674</v>
      </c>
      <c r="Q132" s="8" t="str">
        <f aca="false">IF(O132=0,"-",INDEX($B$109:$M$109,MATCH(O132,B132:M132,0)))</f>
        <v>Ene</v>
      </c>
    </row>
    <row r="133" customFormat="false" ht="14.25" hidden="false" customHeight="true" outlineLevel="0" collapsed="false">
      <c r="A133" s="8" t="str">
        <f aca="false">parametros_manuales!$B$42</f>
        <v>Etiquetado</v>
      </c>
      <c r="B133" s="9" t="n">
        <f aca="false">(parametros_manuales!$D$42*(datos_base!$F$2+datos_base!$F$18+IF(parametros_manuales!$H$42="Todos",datos_base!$F$9+datos_base!$F$23,0))*parametros_manuales!$B$95+parametros_manuales!$E$42*(datos_base!$F$3+datos_base!$F$19+IF(parametros_manuales!$H$42="Todos",datos_base!$F$10+datos_base!$F$24,0))*parametros_manuales!$B$100+parametros_manuales!$F$42*(datos_base!$F$4+datos_base!$F$20+IF(parametros_manuales!$H$42="Todos",datos_base!$F$11+datos_base!$F$25,0))*parametros_manuales!$B$105+parametros_manuales!$G$42*(datos_base!$F$5+datos_base!$F$21+IF(parametros_manuales!$H$42="Todos",datos_base!$F$12+datos_base!$F$26,0))*parametros_manuales!$B$110)*parametros_manuales!$I$42*parametros_manuales!$J$42</f>
        <v>2388.992897511</v>
      </c>
      <c r="C133" s="9" t="n">
        <f aca="false">(parametros_manuales!$D$42*(datos_base!$F$2+datos_base!$F$18+IF(parametros_manuales!$H$42="Todos",datos_base!$F$9+datos_base!$F$23,0))*parametros_manuales!$C$95+parametros_manuales!$E$42*(datos_base!$F$3+datos_base!$F$19+IF(parametros_manuales!$H$42="Todos",datos_base!$F$10+datos_base!$F$24,0))*parametros_manuales!$C$100+parametros_manuales!$F$42*(datos_base!$F$4+datos_base!$F$20+IF(parametros_manuales!$H$42="Todos",datos_base!$F$11+datos_base!$F$25,0))*parametros_manuales!$C$105+parametros_manuales!$G$42*(datos_base!$F$5+datos_base!$F$21+IF(parametros_manuales!$H$42="Todos",datos_base!$F$12+datos_base!$F$26,0))*parametros_manuales!$C$110)*parametros_manuales!$I$42*parametros_manuales!$J$42</f>
        <v>2250.355569332</v>
      </c>
      <c r="D133" s="9" t="n">
        <f aca="false">(parametros_manuales!$D$42*(datos_base!$F$2+datos_base!$F$18+IF(parametros_manuales!$H$42="Todos",datos_base!$F$9+datos_base!$F$23,0))*parametros_manuales!$D$95+parametros_manuales!$E$42*(datos_base!$F$3+datos_base!$F$19+IF(parametros_manuales!$H$42="Todos",datos_base!$F$10+datos_base!$F$24,0))*parametros_manuales!$D$100+parametros_manuales!$F$42*(datos_base!$F$4+datos_base!$F$20+IF(parametros_manuales!$H$42="Todos",datos_base!$F$11+datos_base!$F$25,0))*parametros_manuales!$D$105+parametros_manuales!$G$42*(datos_base!$F$5+datos_base!$F$21+IF(parametros_manuales!$H$42="Todos",datos_base!$F$12+datos_base!$F$26,0))*parametros_manuales!$D$110)*parametros_manuales!$I$42*parametros_manuales!$J$42</f>
        <v>2192.8679063215</v>
      </c>
      <c r="E133" s="9" t="n">
        <f aca="false">(parametros_manuales!$D$42*(datos_base!$F$2+datos_base!$F$18+IF(parametros_manuales!$H$42="Todos",datos_base!$F$9+datos_base!$F$23,0))*parametros_manuales!$E$95+parametros_manuales!$E$42*(datos_base!$F$3+datos_base!$F$19+IF(parametros_manuales!$H$42="Todos",datos_base!$F$10+datos_base!$F$24,0))*parametros_manuales!$E$100+parametros_manuales!$F$42*(datos_base!$F$4+datos_base!$F$20+IF(parametros_manuales!$H$42="Todos",datos_base!$F$11+datos_base!$F$25,0))*parametros_manuales!$E$105+parametros_manuales!$G$42*(datos_base!$F$5+datos_base!$F$21+IF(parametros_manuales!$H$42="Todos",datos_base!$F$12+datos_base!$F$26,0))*parametros_manuales!$E$110)*parametros_manuales!$I$42*parametros_manuales!$J$42</f>
        <v>2129.4647427715</v>
      </c>
      <c r="F133" s="9" t="n">
        <f aca="false">(parametros_manuales!$D$42*(datos_base!$F$2+datos_base!$F$18+IF(parametros_manuales!$H$42="Todos",datos_base!$F$9+datos_base!$F$23,0))*parametros_manuales!$F$95+parametros_manuales!$E$42*(datos_base!$F$3+datos_base!$F$19+IF(parametros_manuales!$H$42="Todos",datos_base!$F$10+datos_base!$F$24,0))*parametros_manuales!$F$100+parametros_manuales!$F$42*(datos_base!$F$4+datos_base!$F$20+IF(parametros_manuales!$H$42="Todos",datos_base!$F$11+datos_base!$F$25,0))*parametros_manuales!$F$105+parametros_manuales!$G$42*(datos_base!$F$5+datos_base!$F$21+IF(parametros_manuales!$H$42="Todos",datos_base!$F$12+datos_base!$F$26,0))*parametros_manuales!$F$110)*parametros_manuales!$I$42*parametros_manuales!$J$42</f>
        <v>1996.742915132</v>
      </c>
      <c r="G133" s="9" t="n">
        <f aca="false">(parametros_manuales!$D$42*(datos_base!$F$2+datos_base!$F$18+IF(parametros_manuales!$H$42="Todos",datos_base!$F$9+datos_base!$F$23,0))*parametros_manuales!$G$95+parametros_manuales!$E$42*(datos_base!$F$3+datos_base!$F$19+IF(parametros_manuales!$H$42="Todos",datos_base!$F$10+datos_base!$F$24,0))*parametros_manuales!$G$100+parametros_manuales!$F$42*(datos_base!$F$4+datos_base!$F$20+IF(parametros_manuales!$H$42="Todos",datos_base!$F$11+datos_base!$F$25,0))*parametros_manuales!$G$105+parametros_manuales!$G$42*(datos_base!$F$5+datos_base!$F$21+IF(parametros_manuales!$H$42="Todos",datos_base!$F$12+datos_base!$F$26,0))*parametros_manuales!$G$110)*parametros_manuales!$I$42*parametros_manuales!$J$42</f>
        <v>1927.4242510425</v>
      </c>
      <c r="H133" s="9" t="n">
        <f aca="false">(parametros_manuales!$D$42*(datos_base!$F$2+datos_base!$F$18+IF(parametros_manuales!$H$42="Todos",datos_base!$F$9+datos_base!$F$23,0))*parametros_manuales!$H$95+parametros_manuales!$E$42*(datos_base!$F$3+datos_base!$F$19+IF(parametros_manuales!$H$42="Todos",datos_base!$F$10+datos_base!$F$24,0))*parametros_manuales!$H$100+parametros_manuales!$F$42*(datos_base!$F$4+datos_base!$F$20+IF(parametros_manuales!$H$42="Todos",datos_base!$F$11+datos_base!$F$25,0))*parametros_manuales!$H$105+parametros_manuales!$G$42*(datos_base!$F$5+datos_base!$F$21+IF(parametros_manuales!$H$42="Todos",datos_base!$F$12+datos_base!$F$26,0))*parametros_manuales!$H$110)*parametros_manuales!$I$42*parametros_manuales!$J$42</f>
        <v>2060.146078682</v>
      </c>
      <c r="I133" s="9" t="n">
        <f aca="false">(parametros_manuales!$D$42*(datos_base!$F$2+datos_base!$F$18+IF(parametros_manuales!$H$42="Todos",datos_base!$F$9+datos_base!$F$23,0))*parametros_manuales!$I$95+parametros_manuales!$E$42*(datos_base!$F$3+datos_base!$F$19+IF(parametros_manuales!$H$42="Todos",datos_base!$F$10+datos_base!$F$24,0))*parametros_manuales!$I$100+parametros_manuales!$F$42*(datos_base!$F$4+datos_base!$F$20+IF(parametros_manuales!$H$42="Todos",datos_base!$F$11+datos_base!$F$25,0))*parametros_manuales!$I$105+parametros_manuales!$G$42*(datos_base!$F$5+datos_base!$F$21+IF(parametros_manuales!$H$42="Todos",datos_base!$F$12+datos_base!$F$26,0))*parametros_manuales!$I$110)*parametros_manuales!$I$42*parametros_manuales!$J$42</f>
        <v>2250.355569332</v>
      </c>
      <c r="J133" s="9" t="n">
        <f aca="false">(parametros_manuales!$D$42*(datos_base!$F$2+datos_base!$F$18+IF(parametros_manuales!$H$42="Todos",datos_base!$F$9+datos_base!$F$23,0))*parametros_manuales!$J$95+parametros_manuales!$E$42*(datos_base!$F$3+datos_base!$F$19+IF(parametros_manuales!$H$42="Todos",datos_base!$F$10+datos_base!$F$24,0))*parametros_manuales!$J$100+parametros_manuales!$F$42*(datos_base!$F$4+datos_base!$F$20+IF(parametros_manuales!$H$42="Todos",datos_base!$F$11+datos_base!$F$25,0))*parametros_manuales!$J$105+parametros_manuales!$G$42*(datos_base!$F$5+datos_base!$F$21+IF(parametros_manuales!$H$42="Todos",datos_base!$F$12+datos_base!$F$26,0))*parametros_manuales!$J$110)*parametros_manuales!$I$42*parametros_manuales!$J$42</f>
        <v>2250.355569332</v>
      </c>
      <c r="K133" s="9" t="n">
        <f aca="false">(parametros_manuales!$D$42*(datos_base!$F$2+datos_base!$F$18+IF(parametros_manuales!$H$42="Todos",datos_base!$F$9+datos_base!$F$23,0))*parametros_manuales!$K$95+parametros_manuales!$E$42*(datos_base!$F$3+datos_base!$F$19+IF(parametros_manuales!$H$42="Todos",datos_base!$F$10+datos_base!$F$24,0))*parametros_manuales!$K$100+parametros_manuales!$F$42*(datos_base!$F$4+datos_base!$F$20+IF(parametros_manuales!$H$42="Todos",datos_base!$F$11+datos_base!$F$25,0))*parametros_manuales!$K$105+parametros_manuales!$G$42*(datos_base!$F$5+datos_base!$F$21+IF(parametros_manuales!$H$42="Todos",datos_base!$F$12+datos_base!$F$26,0))*parametros_manuales!$K$110)*parametros_manuales!$I$42*parametros_manuales!$J$42</f>
        <v>2319.6742334215</v>
      </c>
      <c r="L133" s="9" t="n">
        <f aca="false">(parametros_manuales!$D$42*(datos_base!$F$2+datos_base!$F$18+IF(parametros_manuales!$H$42="Todos",datos_base!$F$9+datos_base!$F$23,0))*parametros_manuales!$L$95+parametros_manuales!$E$42*(datos_base!$F$3+datos_base!$F$19+IF(parametros_manuales!$H$42="Todos",datos_base!$F$10+datos_base!$F$24,0))*parametros_manuales!$L$100+parametros_manuales!$F$42*(datos_base!$F$4+datos_base!$F$20+IF(parametros_manuales!$H$42="Todos",datos_base!$F$11+datos_base!$F$25,0))*parametros_manuales!$L$105+parametros_manuales!$G$42*(datos_base!$F$5+datos_base!$F$21+IF(parametros_manuales!$H$42="Todos",datos_base!$F$12+datos_base!$F$26,0))*parametros_manuales!$L$110)*parametros_manuales!$I$42*parametros_manuales!$J$42</f>
        <v>2388.992897511</v>
      </c>
      <c r="M133" s="9" t="n">
        <f aca="false">(parametros_manuales!$D$42*(datos_base!$F$2+datos_base!$F$18+IF(parametros_manuales!$H$42="Todos",datos_base!$F$9+datos_base!$F$23,0))*parametros_manuales!$M$95+parametros_manuales!$E$42*(datos_base!$F$3+datos_base!$F$19+IF(parametros_manuales!$H$42="Todos",datos_base!$F$10+datos_base!$F$24,0))*parametros_manuales!$M$100+parametros_manuales!$F$42*(datos_base!$F$4+datos_base!$F$20+IF(parametros_manuales!$H$42="Todos",datos_base!$F$11+datos_base!$F$25,0))*parametros_manuales!$M$105+parametros_manuales!$G$42*(datos_base!$F$5+datos_base!$F$21+IF(parametros_manuales!$H$42="Todos",datos_base!$F$12+datos_base!$F$26,0))*parametros_manuales!$M$110)*parametros_manuales!$I$42*parametros_manuales!$J$42</f>
        <v>2388.992897511</v>
      </c>
      <c r="N133" s="9" t="n">
        <f aca="false">SUM(B133:M133)</f>
        <v>26544.3655279</v>
      </c>
      <c r="O133" s="9" t="n">
        <f aca="false">MAX(B133:M133)</f>
        <v>2388.992897511</v>
      </c>
      <c r="P133" s="43" t="n">
        <f aca="false">O133/(parametros_manuales!$B$7)</f>
        <v>15.92661931674</v>
      </c>
      <c r="Q133" s="8" t="str">
        <f aca="false">IF(O133=0,"-",INDEX($B$109:$M$109,MATCH(O133,B133:M133,0)))</f>
        <v>Ene</v>
      </c>
    </row>
    <row r="134" customFormat="false" ht="14.25" hidden="false" customHeight="true" outlineLevel="0" collapsed="false">
      <c r="A134" s="8" t="str">
        <f aca="false">parametros_manuales!$B$43</f>
        <v>Embalaje y paletizado</v>
      </c>
      <c r="B134" s="9" t="n">
        <f aca="false">(parametros_manuales!$D$43*(datos_base!$F$2+datos_base!$F$18+IF(parametros_manuales!$H$43="Todos",datos_base!$F$9+datos_base!$F$23,0))*parametros_manuales!$B$95+parametros_manuales!$E$43*(datos_base!$F$3+datos_base!$F$19+IF(parametros_manuales!$H$43="Todos",datos_base!$F$10+datos_base!$F$24,0))*parametros_manuales!$B$100+parametros_manuales!$F$43*(datos_base!$F$4+datos_base!$F$20+IF(parametros_manuales!$H$43="Todos",datos_base!$F$11+datos_base!$F$25,0))*parametros_manuales!$B$105+parametros_manuales!$G$43*(datos_base!$F$5+datos_base!$F$21+IF(parametros_manuales!$H$43="Todos",datos_base!$F$12+datos_base!$F$26,0))*parametros_manuales!$B$110)*parametros_manuales!$I$43*parametros_manuales!$J$43</f>
        <v>7944.772097511</v>
      </c>
      <c r="C134" s="9" t="n">
        <f aca="false">(parametros_manuales!$D$43*(datos_base!$F$2+datos_base!$F$18+IF(parametros_manuales!$H$43="Todos",datos_base!$F$9+datos_base!$F$23,0))*parametros_manuales!$C$95+parametros_manuales!$E$43*(datos_base!$F$3+datos_base!$F$19+IF(parametros_manuales!$H$43="Todos",datos_base!$F$10+datos_base!$F$24,0))*parametros_manuales!$C$100+parametros_manuales!$F$43*(datos_base!$F$4+datos_base!$F$20+IF(parametros_manuales!$H$43="Todos",datos_base!$F$11+datos_base!$F$25,0))*parametros_manuales!$C$105+parametros_manuales!$G$43*(datos_base!$F$5+datos_base!$F$21+IF(parametros_manuales!$H$43="Todos",datos_base!$F$12+datos_base!$F$26,0))*parametros_manuales!$C$110)*parametros_manuales!$I$43*parametros_manuales!$J$43</f>
        <v>7683.173969332</v>
      </c>
      <c r="D134" s="9" t="n">
        <f aca="false">(parametros_manuales!$D$43*(datos_base!$F$2+datos_base!$F$18+IF(parametros_manuales!$H$43="Todos",datos_base!$F$9+datos_base!$F$23,0))*parametros_manuales!$D$95+parametros_manuales!$E$43*(datos_base!$F$3+datos_base!$F$19+IF(parametros_manuales!$H$43="Todos",datos_base!$F$10+datos_base!$F$24,0))*parametros_manuales!$D$100+parametros_manuales!$F$43*(datos_base!$F$4+datos_base!$F$20+IF(parametros_manuales!$H$43="Todos",datos_base!$F$11+datos_base!$F$25,0))*parametros_manuales!$D$105+parametros_manuales!$G$43*(datos_base!$F$5+datos_base!$F$21+IF(parametros_manuales!$H$43="Todos",datos_base!$F$12+datos_base!$F$26,0))*parametros_manuales!$D$110)*parametros_manuales!$I$43*parametros_manuales!$J$43</f>
        <v>7192.8187063215</v>
      </c>
      <c r="E134" s="9" t="n">
        <f aca="false">(parametros_manuales!$D$43*(datos_base!$F$2+datos_base!$F$18+IF(parametros_manuales!$H$43="Todos",datos_base!$F$9+datos_base!$F$23,0))*parametros_manuales!$E$95+parametros_manuales!$E$43*(datos_base!$F$3+datos_base!$F$19+IF(parametros_manuales!$H$43="Todos",datos_base!$F$10+datos_base!$F$24,0))*parametros_manuales!$E$100+parametros_manuales!$F$43*(datos_base!$F$4+datos_base!$F$20+IF(parametros_manuales!$H$43="Todos",datos_base!$F$11+datos_base!$F$25,0))*parametros_manuales!$E$105+parametros_manuales!$G$43*(datos_base!$F$5+datos_base!$F$21+IF(parametros_manuales!$H$43="Todos",datos_base!$F$12+datos_base!$F$26,0))*parametros_manuales!$E$110)*parametros_manuales!$I$43*parametros_manuales!$J$43</f>
        <v>6882.2415427715</v>
      </c>
      <c r="F134" s="9" t="n">
        <f aca="false">(parametros_manuales!$D$43*(datos_base!$F$2+datos_base!$F$18+IF(parametros_manuales!$H$43="Todos",datos_base!$F$9+datos_base!$F$23,0))*parametros_manuales!$F$95+parametros_manuales!$E$43*(datos_base!$F$3+datos_base!$F$19+IF(parametros_manuales!$H$43="Todos",datos_base!$F$10+datos_base!$F$24,0))*parametros_manuales!$F$100+parametros_manuales!$F$43*(datos_base!$F$4+datos_base!$F$20+IF(parametros_manuales!$H$43="Todos",datos_base!$F$11+datos_base!$F$25,0))*parametros_manuales!$F$105+parametros_manuales!$G$43*(datos_base!$F$5+datos_base!$F$21+IF(parametros_manuales!$H$43="Todos",datos_base!$F$12+datos_base!$F$26,0))*parametros_manuales!$F$110)*parametros_manuales!$I$43*parametros_manuales!$J$43</f>
        <v>6440.865315132</v>
      </c>
      <c r="G134" s="9" t="n">
        <f aca="false">(parametros_manuales!$D$43*(datos_base!$F$2+datos_base!$F$18+IF(parametros_manuales!$H$43="Todos",datos_base!$F$9+datos_base!$F$23,0))*parametros_manuales!$G$95+parametros_manuales!$E$43*(datos_base!$F$3+datos_base!$F$19+IF(parametros_manuales!$H$43="Todos",datos_base!$F$10+datos_base!$F$24,0))*parametros_manuales!$G$100+parametros_manuales!$F$43*(datos_base!$F$4+datos_base!$F$20+IF(parametros_manuales!$H$43="Todos",datos_base!$F$11+datos_base!$F$25,0))*parametros_manuales!$G$105+parametros_manuales!$G$43*(datos_base!$F$5+datos_base!$F$21+IF(parametros_manuales!$H$43="Todos",datos_base!$F$12+datos_base!$F$26,0))*parametros_manuales!$G$110)*parametros_manuales!$I$43*parametros_manuales!$J$43</f>
        <v>6310.0662510425</v>
      </c>
      <c r="H134" s="9" t="n">
        <f aca="false">(parametros_manuales!$D$43*(datos_base!$F$2+datos_base!$F$18+IF(parametros_manuales!$H$43="Todos",datos_base!$F$9+datos_base!$F$23,0))*parametros_manuales!$H$95+parametros_manuales!$E$43*(datos_base!$F$3+datos_base!$F$19+IF(parametros_manuales!$H$43="Todos",datos_base!$F$10+datos_base!$F$24,0))*parametros_manuales!$H$100+parametros_manuales!$F$43*(datos_base!$F$4+datos_base!$F$20+IF(parametros_manuales!$H$43="Todos",datos_base!$F$11+datos_base!$F$25,0))*parametros_manuales!$H$105+parametros_manuales!$G$43*(datos_base!$F$5+datos_base!$F$21+IF(parametros_manuales!$H$43="Todos",datos_base!$F$12+datos_base!$F$26,0))*parametros_manuales!$H$110)*parametros_manuales!$I$43*parametros_manuales!$J$43</f>
        <v>6751.442478682</v>
      </c>
      <c r="I134" s="9" t="n">
        <f aca="false">(parametros_manuales!$D$43*(datos_base!$F$2+datos_base!$F$18+IF(parametros_manuales!$H$43="Todos",datos_base!$F$9+datos_base!$F$23,0))*parametros_manuales!$I$95+parametros_manuales!$E$43*(datos_base!$F$3+datos_base!$F$19+IF(parametros_manuales!$H$43="Todos",datos_base!$F$10+datos_base!$F$24,0))*parametros_manuales!$I$100+parametros_manuales!$F$43*(datos_base!$F$4+datos_base!$F$20+IF(parametros_manuales!$H$43="Todos",datos_base!$F$11+datos_base!$F$25,0))*parametros_manuales!$I$105+parametros_manuales!$G$43*(datos_base!$F$5+datos_base!$F$21+IF(parametros_manuales!$H$43="Todos",datos_base!$F$12+datos_base!$F$26,0))*parametros_manuales!$I$110)*parametros_manuales!$I$43*parametros_manuales!$J$43</f>
        <v>7683.173969332</v>
      </c>
      <c r="J134" s="9" t="n">
        <f aca="false">(parametros_manuales!$D$43*(datos_base!$F$2+datos_base!$F$18+IF(parametros_manuales!$H$43="Todos",datos_base!$F$9+datos_base!$F$23,0))*parametros_manuales!$J$95+parametros_manuales!$E$43*(datos_base!$F$3+datos_base!$F$19+IF(parametros_manuales!$H$43="Todos",datos_base!$F$10+datos_base!$F$24,0))*parametros_manuales!$J$100+parametros_manuales!$F$43*(datos_base!$F$4+datos_base!$F$20+IF(parametros_manuales!$H$43="Todos",datos_base!$F$11+datos_base!$F$25,0))*parametros_manuales!$J$105+parametros_manuales!$G$43*(datos_base!$F$5+datos_base!$F$21+IF(parametros_manuales!$H$43="Todos",datos_base!$F$12+datos_base!$F$26,0))*parametros_manuales!$J$110)*parametros_manuales!$I$43*parametros_manuales!$J$43</f>
        <v>7683.173969332</v>
      </c>
      <c r="K134" s="9" t="n">
        <f aca="false">(parametros_manuales!$D$43*(datos_base!$F$2+datos_base!$F$18+IF(parametros_manuales!$H$43="Todos",datos_base!$F$9+datos_base!$F$23,0))*parametros_manuales!$K$95+parametros_manuales!$E$43*(datos_base!$F$3+datos_base!$F$19+IF(parametros_manuales!$H$43="Todos",datos_base!$F$10+datos_base!$F$24,0))*parametros_manuales!$K$100+parametros_manuales!$F$43*(datos_base!$F$4+datos_base!$F$20+IF(parametros_manuales!$H$43="Todos",datos_base!$F$11+datos_base!$F$25,0))*parametros_manuales!$K$105+parametros_manuales!$G$43*(datos_base!$F$5+datos_base!$F$21+IF(parametros_manuales!$H$43="Todos",datos_base!$F$12+datos_base!$F$26,0))*parametros_manuales!$K$110)*parametros_manuales!$I$43*parametros_manuales!$J$43</f>
        <v>7813.9730334215</v>
      </c>
      <c r="L134" s="9" t="n">
        <f aca="false">(parametros_manuales!$D$43*(datos_base!$F$2+datos_base!$F$18+IF(parametros_manuales!$H$43="Todos",datos_base!$F$9+datos_base!$F$23,0))*parametros_manuales!$L$95+parametros_manuales!$E$43*(datos_base!$F$3+datos_base!$F$19+IF(parametros_manuales!$H$43="Todos",datos_base!$F$10+datos_base!$F$24,0))*parametros_manuales!$L$100+parametros_manuales!$F$43*(datos_base!$F$4+datos_base!$F$20+IF(parametros_manuales!$H$43="Todos",datos_base!$F$11+datos_base!$F$25,0))*parametros_manuales!$L$105+parametros_manuales!$G$43*(datos_base!$F$5+datos_base!$F$21+IF(parametros_manuales!$H$43="Todos",datos_base!$F$12+datos_base!$F$26,0))*parametros_manuales!$L$110)*parametros_manuales!$I$43*parametros_manuales!$J$43</f>
        <v>7944.772097511</v>
      </c>
      <c r="M134" s="9" t="n">
        <f aca="false">(parametros_manuales!$D$43*(datos_base!$F$2+datos_base!$F$18+IF(parametros_manuales!$H$43="Todos",datos_base!$F$9+datos_base!$F$23,0))*parametros_manuales!$M$95+parametros_manuales!$E$43*(datos_base!$F$3+datos_base!$F$19+IF(parametros_manuales!$H$43="Todos",datos_base!$F$10+datos_base!$F$24,0))*parametros_manuales!$M$100+parametros_manuales!$F$43*(datos_base!$F$4+datos_base!$F$20+IF(parametros_manuales!$H$43="Todos",datos_base!$F$11+datos_base!$F$25,0))*parametros_manuales!$M$105+parametros_manuales!$G$43*(datos_base!$F$5+datos_base!$F$21+IF(parametros_manuales!$H$43="Todos",datos_base!$F$12+datos_base!$F$26,0))*parametros_manuales!$M$110)*parametros_manuales!$I$43*parametros_manuales!$J$43</f>
        <v>7944.772097511</v>
      </c>
      <c r="N134" s="9" t="n">
        <f aca="false">SUM(B134:M134)</f>
        <v>88275.2455279</v>
      </c>
      <c r="O134" s="9" t="n">
        <f aca="false">MAX(B134:M134)</f>
        <v>7944.772097511</v>
      </c>
      <c r="P134" s="43" t="n">
        <f aca="false">O134/(parametros_manuales!$B$7)</f>
        <v>52.96514731674</v>
      </c>
      <c r="Q134" s="8" t="str">
        <f aca="false">IF(O134=0,"-",INDEX($B$109:$M$109,MATCH(O134,B134:M134,0)))</f>
        <v>Ene</v>
      </c>
    </row>
    <row r="135" customFormat="false" ht="14.25" hidden="false" customHeight="true" outlineLevel="0" collapsed="false"/>
    <row r="136" customFormat="false" ht="14.25" hidden="false" customHeight="true" outlineLevel="0" collapsed="false">
      <c r="A136" s="7" t="s">
        <v>195</v>
      </c>
      <c r="B136" s="7" t="s">
        <v>61</v>
      </c>
      <c r="C136" s="7" t="s">
        <v>62</v>
      </c>
      <c r="D136" s="7" t="s">
        <v>63</v>
      </c>
      <c r="E136" s="7" t="s">
        <v>64</v>
      </c>
      <c r="F136" s="7" t="s">
        <v>65</v>
      </c>
      <c r="G136" s="7" t="s">
        <v>66</v>
      </c>
      <c r="H136" s="7" t="s">
        <v>67</v>
      </c>
      <c r="I136" s="7" t="s">
        <v>68</v>
      </c>
      <c r="J136" s="7" t="s">
        <v>69</v>
      </c>
      <c r="K136" s="7" t="s">
        <v>70</v>
      </c>
      <c r="L136" s="7" t="s">
        <v>71</v>
      </c>
      <c r="M136" s="7" t="s">
        <v>72</v>
      </c>
      <c r="N136" s="7" t="s">
        <v>183</v>
      </c>
      <c r="O136" s="7" t="s">
        <v>188</v>
      </c>
      <c r="P136" s="7" t="s">
        <v>189</v>
      </c>
      <c r="Q136" s="7" t="s">
        <v>190</v>
      </c>
    </row>
    <row r="137" customFormat="false" ht="14.25" hidden="false" customHeight="true" outlineLevel="0" collapsed="false">
      <c r="A137" s="8" t="str">
        <f aca="false">parametros_manuales!$B$19</f>
        <v>Recepción de materia prima</v>
      </c>
      <c r="B137" s="9" t="n">
        <f aca="false">(parametros_manuales!$D$19*(datos_base!$G$2+datos_base!$G$18+IF(parametros_manuales!$H$19="Todos",datos_base!$G$9+datos_base!$G$23,0))*parametros_manuales!$B$95+parametros_manuales!$E$19*(datos_base!$G$3+datos_base!$G$19+IF(parametros_manuales!$H$19="Todos",datos_base!$G$10+datos_base!$G$24,0))*parametros_manuales!$B$100+parametros_manuales!$F$19*(datos_base!$G$4+datos_base!$G$20+IF(parametros_manuales!$H$19="Todos",datos_base!$G$11+datos_base!$G$25,0))*parametros_manuales!$B$105+parametros_manuales!$G$19*(datos_base!$G$5+datos_base!$G$21+IF(parametros_manuales!$H$19="Todos",datos_base!$G$12+datos_base!$G$26,0))*parametros_manuales!$B$110)*parametros_manuales!$I$19*parametros_manuales!$J$19</f>
        <v>11154.12588891</v>
      </c>
      <c r="C137" s="9" t="n">
        <f aca="false">(parametros_manuales!$D$19*(datos_base!$G$2+datos_base!$G$18+IF(parametros_manuales!$H$19="Todos",datos_base!$G$9+datos_base!$G$23,0))*parametros_manuales!$C$95+parametros_manuales!$E$19*(datos_base!$G$3+datos_base!$G$19+IF(parametros_manuales!$H$19="Todos",datos_base!$G$10+datos_base!$G$24,0))*parametros_manuales!$C$100+parametros_manuales!$F$19*(datos_base!$G$4+datos_base!$G$20+IF(parametros_manuales!$H$19="Todos",datos_base!$G$11+datos_base!$G$25,0))*parametros_manuales!$C$105+parametros_manuales!$G$19*(datos_base!$G$5+datos_base!$G$21+IF(parametros_manuales!$H$19="Todos",datos_base!$G$12+datos_base!$G$26,0))*parametros_manuales!$C$110)*parametros_manuales!$I$19*parametros_manuales!$J$19</f>
        <v>10787.78309862</v>
      </c>
      <c r="D137" s="9" t="n">
        <f aca="false">(parametros_manuales!$D$19*(datos_base!$G$2+datos_base!$G$18+IF(parametros_manuales!$H$19="Todos",datos_base!$G$9+datos_base!$G$23,0))*parametros_manuales!$D$95+parametros_manuales!$E$19*(datos_base!$G$3+datos_base!$G$19+IF(parametros_manuales!$H$19="Todos",datos_base!$G$10+datos_base!$G$24,0))*parametros_manuales!$D$100+parametros_manuales!$F$19*(datos_base!$G$4+datos_base!$G$20+IF(parametros_manuales!$H$19="Todos",datos_base!$G$11+datos_base!$G$25,0))*parametros_manuales!$D$105+parametros_manuales!$G$19*(datos_base!$G$5+datos_base!$G$21+IF(parametros_manuales!$H$19="Todos",datos_base!$G$12+datos_base!$G$26,0))*parametros_manuales!$D$110)*parametros_manuales!$I$19*parametros_manuales!$J$19</f>
        <v>10097.949963065</v>
      </c>
      <c r="E137" s="9" t="n">
        <f aca="false">(parametros_manuales!$D$19*(datos_base!$G$2+datos_base!$G$18+IF(parametros_manuales!$H$19="Todos",datos_base!$G$9+datos_base!$G$23,0))*parametros_manuales!$E$95+parametros_manuales!$E$19*(datos_base!$G$3+datos_base!$G$19+IF(parametros_manuales!$H$19="Todos",datos_base!$G$10+datos_base!$G$24,0))*parametros_manuales!$E$100+parametros_manuales!$F$19*(datos_base!$G$4+datos_base!$G$20+IF(parametros_manuales!$H$19="Todos",datos_base!$G$11+datos_base!$G$25,0))*parametros_manuales!$E$105+parametros_manuales!$G$19*(datos_base!$G$5+datos_base!$G$21+IF(parametros_manuales!$H$19="Todos",datos_base!$G$12+datos_base!$G$26,0))*parametros_manuales!$E$110)*parametros_manuales!$I$19*parametros_manuales!$J$19</f>
        <v>9661.447697715</v>
      </c>
      <c r="F137" s="9" t="n">
        <f aca="false">(parametros_manuales!$D$19*(datos_base!$G$2+datos_base!$G$18+IF(parametros_manuales!$H$19="Todos",datos_base!$G$9+datos_base!$G$23,0))*parametros_manuales!$F$95+parametros_manuales!$E$19*(datos_base!$G$3+datos_base!$G$19+IF(parametros_manuales!$H$19="Todos",datos_base!$G$10+datos_base!$G$24,0))*parametros_manuales!$F$100+parametros_manuales!$F$19*(datos_base!$G$4+datos_base!$G$20+IF(parametros_manuales!$H$19="Todos",datos_base!$G$11+datos_base!$G$25,0))*parametros_manuales!$F$105+parametros_manuales!$G$19*(datos_base!$G$5+datos_base!$G$21+IF(parametros_manuales!$H$19="Todos",datos_base!$G$12+datos_base!$G$26,0))*parametros_manuales!$F$110)*parametros_manuales!$I$19*parametros_manuales!$J$19</f>
        <v>9041.77403722</v>
      </c>
      <c r="G137" s="9" t="n">
        <f aca="false">(parametros_manuales!$D$19*(datos_base!$G$2+datos_base!$G$18+IF(parametros_manuales!$H$19="Todos",datos_base!$G$9+datos_base!$G$23,0))*parametros_manuales!$G$95+parametros_manuales!$E$19*(datos_base!$G$3+datos_base!$G$19+IF(parametros_manuales!$H$19="Todos",datos_base!$G$10+datos_base!$G$24,0))*parametros_manuales!$G$100+parametros_manuales!$F$19*(datos_base!$G$4+datos_base!$G$20+IF(parametros_manuales!$H$19="Todos",datos_base!$G$11+datos_base!$G$25,0))*parametros_manuales!$G$105+parametros_manuales!$G$19*(datos_base!$G$5+datos_base!$G$21+IF(parametros_manuales!$H$19="Todos",datos_base!$G$12+datos_base!$G$26,0))*parametros_manuales!$G$110)*parametros_manuales!$I$19*parametros_manuales!$J$19</f>
        <v>8858.602642075</v>
      </c>
      <c r="H137" s="9" t="n">
        <f aca="false">(parametros_manuales!$D$19*(datos_base!$G$2+datos_base!$G$18+IF(parametros_manuales!$H$19="Todos",datos_base!$G$9+datos_base!$G$23,0))*parametros_manuales!$H$95+parametros_manuales!$E$19*(datos_base!$G$3+datos_base!$G$19+IF(parametros_manuales!$H$19="Todos",datos_base!$G$10+datos_base!$G$24,0))*parametros_manuales!$H$100+parametros_manuales!$F$19*(datos_base!$G$4+datos_base!$G$20+IF(parametros_manuales!$H$19="Todos",datos_base!$G$11+datos_base!$G$25,0))*parametros_manuales!$H$105+parametros_manuales!$G$19*(datos_base!$G$5+datos_base!$G$21+IF(parametros_manuales!$H$19="Todos",datos_base!$G$12+datos_base!$G$26,0))*parametros_manuales!$H$110)*parametros_manuales!$I$19*parametros_manuales!$J$19</f>
        <v>9478.27630257</v>
      </c>
      <c r="I137" s="9" t="n">
        <f aca="false">(parametros_manuales!$D$19*(datos_base!$G$2+datos_base!$G$18+IF(parametros_manuales!$H$19="Todos",datos_base!$G$9+datos_base!$G$23,0))*parametros_manuales!$I$95+parametros_manuales!$E$19*(datos_base!$G$3+datos_base!$G$19+IF(parametros_manuales!$H$19="Todos",datos_base!$G$10+datos_base!$G$24,0))*parametros_manuales!$I$100+parametros_manuales!$F$19*(datos_base!$G$4+datos_base!$G$20+IF(parametros_manuales!$H$19="Todos",datos_base!$G$11+datos_base!$G$25,0))*parametros_manuales!$I$105+parametros_manuales!$G$19*(datos_base!$G$5+datos_base!$G$21+IF(parametros_manuales!$H$19="Todos",datos_base!$G$12+datos_base!$G$26,0))*parametros_manuales!$I$110)*parametros_manuales!$I$19*parametros_manuales!$J$19</f>
        <v>10787.78309862</v>
      </c>
      <c r="J137" s="9" t="n">
        <f aca="false">(parametros_manuales!$D$19*(datos_base!$G$2+datos_base!$G$18+IF(parametros_manuales!$H$19="Todos",datos_base!$G$9+datos_base!$G$23,0))*parametros_manuales!$J$95+parametros_manuales!$E$19*(datos_base!$G$3+datos_base!$G$19+IF(parametros_manuales!$H$19="Todos",datos_base!$G$10+datos_base!$G$24,0))*parametros_manuales!$J$100+parametros_manuales!$F$19*(datos_base!$G$4+datos_base!$G$20+IF(parametros_manuales!$H$19="Todos",datos_base!$G$11+datos_base!$G$25,0))*parametros_manuales!$J$105+parametros_manuales!$G$19*(datos_base!$G$5+datos_base!$G$21+IF(parametros_manuales!$H$19="Todos",datos_base!$G$12+datos_base!$G$26,0))*parametros_manuales!$J$110)*parametros_manuales!$I$19*parametros_manuales!$J$19</f>
        <v>10787.78309862</v>
      </c>
      <c r="K137" s="9" t="n">
        <f aca="false">(parametros_manuales!$D$19*(datos_base!$G$2+datos_base!$G$18+IF(parametros_manuales!$H$19="Todos",datos_base!$G$9+datos_base!$G$23,0))*parametros_manuales!$K$95+parametros_manuales!$E$19*(datos_base!$G$3+datos_base!$G$19+IF(parametros_manuales!$H$19="Todos",datos_base!$G$10+datos_base!$G$24,0))*parametros_manuales!$K$100+parametros_manuales!$F$19*(datos_base!$G$4+datos_base!$G$20+IF(parametros_manuales!$H$19="Todos",datos_base!$G$11+datos_base!$G$25,0))*parametros_manuales!$K$105+parametros_manuales!$G$19*(datos_base!$G$5+datos_base!$G$21+IF(parametros_manuales!$H$19="Todos",datos_base!$G$12+datos_base!$G$26,0))*parametros_manuales!$K$110)*parametros_manuales!$I$19*parametros_manuales!$J$19</f>
        <v>10970.954493765</v>
      </c>
      <c r="L137" s="9" t="n">
        <f aca="false">(parametros_manuales!$D$19*(datos_base!$G$2+datos_base!$G$18+IF(parametros_manuales!$H$19="Todos",datos_base!$G$9+datos_base!$G$23,0))*parametros_manuales!$L$95+parametros_manuales!$E$19*(datos_base!$G$3+datos_base!$G$19+IF(parametros_manuales!$H$19="Todos",datos_base!$G$10+datos_base!$G$24,0))*parametros_manuales!$L$100+parametros_manuales!$F$19*(datos_base!$G$4+datos_base!$G$20+IF(parametros_manuales!$H$19="Todos",datos_base!$G$11+datos_base!$G$25,0))*parametros_manuales!$L$105+parametros_manuales!$G$19*(datos_base!$G$5+datos_base!$G$21+IF(parametros_manuales!$H$19="Todos",datos_base!$G$12+datos_base!$G$26,0))*parametros_manuales!$L$110)*parametros_manuales!$I$19*parametros_manuales!$J$19</f>
        <v>11154.12588891</v>
      </c>
      <c r="M137" s="9" t="n">
        <f aca="false">(parametros_manuales!$D$19*(datos_base!$G$2+datos_base!$G$18+IF(parametros_manuales!$H$19="Todos",datos_base!$G$9+datos_base!$G$23,0))*parametros_manuales!$M$95+parametros_manuales!$E$19*(datos_base!$G$3+datos_base!$G$19+IF(parametros_manuales!$H$19="Todos",datos_base!$G$10+datos_base!$G$24,0))*parametros_manuales!$M$100+parametros_manuales!$F$19*(datos_base!$G$4+datos_base!$G$20+IF(parametros_manuales!$H$19="Todos",datos_base!$G$11+datos_base!$G$25,0))*parametros_manuales!$M$105+parametros_manuales!$G$19*(datos_base!$G$5+datos_base!$G$21+IF(parametros_manuales!$H$19="Todos",datos_base!$G$12+datos_base!$G$26,0))*parametros_manuales!$M$110)*parametros_manuales!$I$19*parametros_manuales!$J$19</f>
        <v>11154.12588891</v>
      </c>
      <c r="N137" s="9" t="n">
        <f aca="false">SUM(B137:M137)</f>
        <v>123934.732099</v>
      </c>
      <c r="O137" s="9" t="n">
        <f aca="false">MAX(B137:M137)</f>
        <v>11154.12588891</v>
      </c>
      <c r="P137" s="43" t="n">
        <f aca="false">O137/(parametros_manuales!$B$7)</f>
        <v>74.3608392594</v>
      </c>
      <c r="Q137" s="8" t="str">
        <f aca="false">IF(O137=0,"-",INDEX($B$136:$M$136,MATCH(O137,B137:M137,0)))</f>
        <v>Ene</v>
      </c>
    </row>
    <row r="138" customFormat="false" ht="14.25" hidden="false" customHeight="true" outlineLevel="0" collapsed="false">
      <c r="A138" s="8" t="str">
        <f aca="false">parametros_manuales!$B$20</f>
        <v>Corte de chapa (guillotina) — 2,5 a 10 kg</v>
      </c>
      <c r="B138" s="9" t="n">
        <f aca="false">(parametros_manuales!$D$20*(datos_base!$G$2+datos_base!$G$18+IF(parametros_manuales!$H$20="Todos",datos_base!$G$9+datos_base!$G$23,0))*parametros_manuales!$B$95+parametros_manuales!$E$20*(datos_base!$G$3+datos_base!$G$19+IF(parametros_manuales!$H$20="Todos",datos_base!$G$10+datos_base!$G$24,0))*parametros_manuales!$B$100+parametros_manuales!$F$20*(datos_base!$G$4+datos_base!$G$20+IF(parametros_manuales!$H$20="Todos",datos_base!$G$11+datos_base!$G$25,0))*parametros_manuales!$B$105+parametros_manuales!$G$20*(datos_base!$G$5+datos_base!$G$21+IF(parametros_manuales!$H$20="Todos",datos_base!$G$12+datos_base!$G$26,0))*parametros_manuales!$B$110)*parametros_manuales!$I$20*parametros_manuales!$J$20</f>
        <v>3297.08511261</v>
      </c>
      <c r="C138" s="9" t="n">
        <f aca="false">(parametros_manuales!$D$20*(datos_base!$G$2+datos_base!$G$18+IF(parametros_manuales!$H$20="Todos",datos_base!$G$9+datos_base!$G$23,0))*parametros_manuales!$C$95+parametros_manuales!$E$20*(datos_base!$G$3+datos_base!$G$19+IF(parametros_manuales!$H$20="Todos",datos_base!$G$10+datos_base!$G$24,0))*parametros_manuales!$C$100+parametros_manuales!$F$20*(datos_base!$G$4+datos_base!$G$20+IF(parametros_manuales!$H$20="Todos",datos_base!$G$11+datos_base!$G$25,0))*parametros_manuales!$C$105+parametros_manuales!$G$20*(datos_base!$G$5+datos_base!$G$21+IF(parametros_manuales!$H$20="Todos",datos_base!$G$12+datos_base!$G$26,0))*parametros_manuales!$C$110)*parametros_manuales!$I$20*parametros_manuales!$J$20</f>
        <v>2930.74232232</v>
      </c>
      <c r="D138" s="9" t="n">
        <f aca="false">(parametros_manuales!$D$20*(datos_base!$G$2+datos_base!$G$18+IF(parametros_manuales!$H$20="Todos",datos_base!$G$9+datos_base!$G$23,0))*parametros_manuales!$D$95+parametros_manuales!$E$20*(datos_base!$G$3+datos_base!$G$19+IF(parametros_manuales!$H$20="Todos",datos_base!$G$10+datos_base!$G$24,0))*parametros_manuales!$D$100+parametros_manuales!$F$20*(datos_base!$G$4+datos_base!$G$20+IF(parametros_manuales!$H$20="Todos",datos_base!$G$11+datos_base!$G$25,0))*parametros_manuales!$D$105+parametros_manuales!$G$20*(datos_base!$G$5+datos_base!$G$21+IF(parametros_manuales!$H$20="Todos",datos_base!$G$12+datos_base!$G$26,0))*parametros_manuales!$D$110)*parametros_manuales!$I$20*parametros_manuales!$J$20</f>
        <v>3113.913717465</v>
      </c>
      <c r="E138" s="9" t="n">
        <f aca="false">(parametros_manuales!$D$20*(datos_base!$G$2+datos_base!$G$18+IF(parametros_manuales!$H$20="Todos",datos_base!$G$9+datos_base!$G$23,0))*parametros_manuales!$E$95+parametros_manuales!$E$20*(datos_base!$G$3+datos_base!$G$19+IF(parametros_manuales!$H$20="Todos",datos_base!$G$10+datos_base!$G$24,0))*parametros_manuales!$E$100+parametros_manuales!$F$20*(datos_base!$G$4+datos_base!$G$20+IF(parametros_manuales!$H$20="Todos",datos_base!$G$11+datos_base!$G$25,0))*parametros_manuales!$E$105+parametros_manuales!$G$20*(datos_base!$G$5+datos_base!$G$21+IF(parametros_manuales!$H$20="Todos",datos_base!$G$12+datos_base!$G$26,0))*parametros_manuales!$E$110)*parametros_manuales!$I$20*parametros_manuales!$J$20</f>
        <v>3113.913717465</v>
      </c>
      <c r="F138" s="9" t="n">
        <f aca="false">(parametros_manuales!$D$20*(datos_base!$G$2+datos_base!$G$18+IF(parametros_manuales!$H$20="Todos",datos_base!$G$9+datos_base!$G$23,0))*parametros_manuales!$F$95+parametros_manuales!$E$20*(datos_base!$G$3+datos_base!$G$19+IF(parametros_manuales!$H$20="Todos",datos_base!$G$10+datos_base!$G$24,0))*parametros_manuales!$F$100+parametros_manuales!$F$20*(datos_base!$G$4+datos_base!$G$20+IF(parametros_manuales!$H$20="Todos",datos_base!$G$11+datos_base!$G$25,0))*parametros_manuales!$F$105+parametros_manuales!$G$20*(datos_base!$G$5+datos_base!$G$21+IF(parametros_manuales!$H$20="Todos",datos_base!$G$12+datos_base!$G$26,0))*parametros_manuales!$F$110)*parametros_manuales!$I$20*parametros_manuales!$J$20</f>
        <v>2930.74232232</v>
      </c>
      <c r="G138" s="9" t="n">
        <f aca="false">(parametros_manuales!$D$20*(datos_base!$G$2+datos_base!$G$18+IF(parametros_manuales!$H$20="Todos",datos_base!$G$9+datos_base!$G$23,0))*parametros_manuales!$G$95+parametros_manuales!$E$20*(datos_base!$G$3+datos_base!$G$19+IF(parametros_manuales!$H$20="Todos",datos_base!$G$10+datos_base!$G$24,0))*parametros_manuales!$G$100+parametros_manuales!$F$20*(datos_base!$G$4+datos_base!$G$20+IF(parametros_manuales!$H$20="Todos",datos_base!$G$11+datos_base!$G$25,0))*parametros_manuales!$G$105+parametros_manuales!$G$20*(datos_base!$G$5+datos_base!$G$21+IF(parametros_manuales!$H$20="Todos",datos_base!$G$12+datos_base!$G$26,0))*parametros_manuales!$G$110)*parametros_manuales!$I$20*parametros_manuales!$J$20</f>
        <v>2747.570927175</v>
      </c>
      <c r="H138" s="9" t="n">
        <f aca="false">(parametros_manuales!$D$20*(datos_base!$G$2+datos_base!$G$18+IF(parametros_manuales!$H$20="Todos",datos_base!$G$9+datos_base!$G$23,0))*parametros_manuales!$H$95+parametros_manuales!$E$20*(datos_base!$G$3+datos_base!$G$19+IF(parametros_manuales!$H$20="Todos",datos_base!$G$10+datos_base!$G$24,0))*parametros_manuales!$H$100+parametros_manuales!$F$20*(datos_base!$G$4+datos_base!$G$20+IF(parametros_manuales!$H$20="Todos",datos_base!$G$11+datos_base!$G$25,0))*parametros_manuales!$H$105+parametros_manuales!$G$20*(datos_base!$G$5+datos_base!$G$21+IF(parametros_manuales!$H$20="Todos",datos_base!$G$12+datos_base!$G$26,0))*parametros_manuales!$H$110)*parametros_manuales!$I$20*parametros_manuales!$J$20</f>
        <v>2930.74232232</v>
      </c>
      <c r="I138" s="9" t="n">
        <f aca="false">(parametros_manuales!$D$20*(datos_base!$G$2+datos_base!$G$18+IF(parametros_manuales!$H$20="Todos",datos_base!$G$9+datos_base!$G$23,0))*parametros_manuales!$I$95+parametros_manuales!$E$20*(datos_base!$G$3+datos_base!$G$19+IF(parametros_manuales!$H$20="Todos",datos_base!$G$10+datos_base!$G$24,0))*parametros_manuales!$I$100+parametros_manuales!$F$20*(datos_base!$G$4+datos_base!$G$20+IF(parametros_manuales!$H$20="Todos",datos_base!$G$11+datos_base!$G$25,0))*parametros_manuales!$I$105+parametros_manuales!$G$20*(datos_base!$G$5+datos_base!$G$21+IF(parametros_manuales!$H$20="Todos",datos_base!$G$12+datos_base!$G$26,0))*parametros_manuales!$I$110)*parametros_manuales!$I$20*parametros_manuales!$J$20</f>
        <v>2930.74232232</v>
      </c>
      <c r="J138" s="9" t="n">
        <f aca="false">(parametros_manuales!$D$20*(datos_base!$G$2+datos_base!$G$18+IF(parametros_manuales!$H$20="Todos",datos_base!$G$9+datos_base!$G$23,0))*parametros_manuales!$J$95+parametros_manuales!$E$20*(datos_base!$G$3+datos_base!$G$19+IF(parametros_manuales!$H$20="Todos",datos_base!$G$10+datos_base!$G$24,0))*parametros_manuales!$J$100+parametros_manuales!$F$20*(datos_base!$G$4+datos_base!$G$20+IF(parametros_manuales!$H$20="Todos",datos_base!$G$11+datos_base!$G$25,0))*parametros_manuales!$J$105+parametros_manuales!$G$20*(datos_base!$G$5+datos_base!$G$21+IF(parametros_manuales!$H$20="Todos",datos_base!$G$12+datos_base!$G$26,0))*parametros_manuales!$J$110)*parametros_manuales!$I$20*parametros_manuales!$J$20</f>
        <v>2930.74232232</v>
      </c>
      <c r="K138" s="9" t="n">
        <f aca="false">(parametros_manuales!$D$20*(datos_base!$G$2+datos_base!$G$18+IF(parametros_manuales!$H$20="Todos",datos_base!$G$9+datos_base!$G$23,0))*parametros_manuales!$K$95+parametros_manuales!$E$20*(datos_base!$G$3+datos_base!$G$19+IF(parametros_manuales!$H$20="Todos",datos_base!$G$10+datos_base!$G$24,0))*parametros_manuales!$K$100+parametros_manuales!$F$20*(datos_base!$G$4+datos_base!$G$20+IF(parametros_manuales!$H$20="Todos",datos_base!$G$11+datos_base!$G$25,0))*parametros_manuales!$K$105+parametros_manuales!$G$20*(datos_base!$G$5+datos_base!$G$21+IF(parametros_manuales!$H$20="Todos",datos_base!$G$12+datos_base!$G$26,0))*parametros_manuales!$K$110)*parametros_manuales!$I$20*parametros_manuales!$J$20</f>
        <v>3113.913717465</v>
      </c>
      <c r="L138" s="9" t="n">
        <f aca="false">(parametros_manuales!$D$20*(datos_base!$G$2+datos_base!$G$18+IF(parametros_manuales!$H$20="Todos",datos_base!$G$9+datos_base!$G$23,0))*parametros_manuales!$L$95+parametros_manuales!$E$20*(datos_base!$G$3+datos_base!$G$19+IF(parametros_manuales!$H$20="Todos",datos_base!$G$10+datos_base!$G$24,0))*parametros_manuales!$L$100+parametros_manuales!$F$20*(datos_base!$G$4+datos_base!$G$20+IF(parametros_manuales!$H$20="Todos",datos_base!$G$11+datos_base!$G$25,0))*parametros_manuales!$L$105+parametros_manuales!$G$20*(datos_base!$G$5+datos_base!$G$21+IF(parametros_manuales!$H$20="Todos",datos_base!$G$12+datos_base!$G$26,0))*parametros_manuales!$L$110)*parametros_manuales!$I$20*parametros_manuales!$J$20</f>
        <v>3297.08511261</v>
      </c>
      <c r="M138" s="9" t="n">
        <f aca="false">(parametros_manuales!$D$20*(datos_base!$G$2+datos_base!$G$18+IF(parametros_manuales!$H$20="Todos",datos_base!$G$9+datos_base!$G$23,0))*parametros_manuales!$M$95+parametros_manuales!$E$20*(datos_base!$G$3+datos_base!$G$19+IF(parametros_manuales!$H$20="Todos",datos_base!$G$10+datos_base!$G$24,0))*parametros_manuales!$M$100+parametros_manuales!$F$20*(datos_base!$G$4+datos_base!$G$20+IF(parametros_manuales!$H$20="Todos",datos_base!$G$11+datos_base!$G$25,0))*parametros_manuales!$M$105+parametros_manuales!$G$20*(datos_base!$G$5+datos_base!$G$21+IF(parametros_manuales!$H$20="Todos",datos_base!$G$12+datos_base!$G$26,0))*parametros_manuales!$M$110)*parametros_manuales!$I$20*parametros_manuales!$J$20</f>
        <v>3297.08511261</v>
      </c>
      <c r="N138" s="9" t="n">
        <f aca="false">SUM(B138:M138)</f>
        <v>36634.279029</v>
      </c>
      <c r="O138" s="9" t="n">
        <f aca="false">MAX(B138:M138)</f>
        <v>3297.08511261</v>
      </c>
      <c r="P138" s="43" t="n">
        <f aca="false">O138/(parametros_manuales!$B$7)</f>
        <v>21.9805674174</v>
      </c>
      <c r="Q138" s="8" t="str">
        <f aca="false">IF(O138=0,"-",INDEX($B$136:$M$136,MATCH(O138,B138:M138,0)))</f>
        <v>Ene</v>
      </c>
    </row>
    <row r="139" customFormat="false" ht="14.25" hidden="false" customHeight="true" outlineLevel="0" collapsed="false">
      <c r="A139" s="8" t="str">
        <f aca="false">parametros_manuales!$B$21</f>
        <v>Corte de tubo — 1 kg</v>
      </c>
      <c r="B139" s="9" t="n">
        <f aca="false">(parametros_manuales!$D$21*(datos_base!$G$2+datos_base!$G$18+IF(parametros_manuales!$H$21="Todos",datos_base!$G$9+datos_base!$G$23,0))*parametros_manuales!$B$95+parametros_manuales!$E$21*(datos_base!$G$3+datos_base!$G$19+IF(parametros_manuales!$H$21="Todos",datos_base!$G$10+datos_base!$G$24,0))*parametros_manuales!$B$100+parametros_manuales!$F$21*(datos_base!$G$4+datos_base!$G$20+IF(parametros_manuales!$H$21="Todos",datos_base!$G$11+datos_base!$G$25,0))*parametros_manuales!$B$105+parametros_manuales!$G$21*(datos_base!$G$5+datos_base!$G$21+IF(parametros_manuales!$H$21="Todos",datos_base!$G$12+datos_base!$G$26,0))*parametros_manuales!$B$110)*parametros_manuales!$I$21*parametros_manuales!$J$21</f>
        <v>7857.0407763</v>
      </c>
      <c r="C139" s="9" t="n">
        <f aca="false">(parametros_manuales!$D$21*(datos_base!$G$2+datos_base!$G$18+IF(parametros_manuales!$H$21="Todos",datos_base!$G$9+datos_base!$G$23,0))*parametros_manuales!$C$95+parametros_manuales!$E$21*(datos_base!$G$3+datos_base!$G$19+IF(parametros_manuales!$H$21="Todos",datos_base!$G$10+datos_base!$G$24,0))*parametros_manuales!$C$100+parametros_manuales!$F$21*(datos_base!$G$4+datos_base!$G$20+IF(parametros_manuales!$H$21="Todos",datos_base!$G$11+datos_base!$G$25,0))*parametros_manuales!$C$105+parametros_manuales!$G$21*(datos_base!$G$5+datos_base!$G$21+IF(parametros_manuales!$H$21="Todos",datos_base!$G$12+datos_base!$G$26,0))*parametros_manuales!$C$110)*parametros_manuales!$I$21*parametros_manuales!$J$21</f>
        <v>7857.0407763</v>
      </c>
      <c r="D139" s="9" t="n">
        <f aca="false">(parametros_manuales!$D$21*(datos_base!$G$2+datos_base!$G$18+IF(parametros_manuales!$H$21="Todos",datos_base!$G$9+datos_base!$G$23,0))*parametros_manuales!$D$95+parametros_manuales!$E$21*(datos_base!$G$3+datos_base!$G$19+IF(parametros_manuales!$H$21="Todos",datos_base!$G$10+datos_base!$G$24,0))*parametros_manuales!$D$100+parametros_manuales!$F$21*(datos_base!$G$4+datos_base!$G$20+IF(parametros_manuales!$H$21="Todos",datos_base!$G$11+datos_base!$G$25,0))*parametros_manuales!$D$105+parametros_manuales!$G$21*(datos_base!$G$5+datos_base!$G$21+IF(parametros_manuales!$H$21="Todos",datos_base!$G$12+datos_base!$G$26,0))*parametros_manuales!$D$110)*parametros_manuales!$I$21*parametros_manuales!$J$21</f>
        <v>6984.0362456</v>
      </c>
      <c r="E139" s="9" t="n">
        <f aca="false">(parametros_manuales!$D$21*(datos_base!$G$2+datos_base!$G$18+IF(parametros_manuales!$H$21="Todos",datos_base!$G$9+datos_base!$G$23,0))*parametros_manuales!$E$95+parametros_manuales!$E$21*(datos_base!$G$3+datos_base!$G$19+IF(parametros_manuales!$H$21="Todos",datos_base!$G$10+datos_base!$G$24,0))*parametros_manuales!$E$100+parametros_manuales!$F$21*(datos_base!$G$4+datos_base!$G$20+IF(parametros_manuales!$H$21="Todos",datos_base!$G$11+datos_base!$G$25,0))*parametros_manuales!$E$105+parametros_manuales!$G$21*(datos_base!$G$5+datos_base!$G$21+IF(parametros_manuales!$H$21="Todos",datos_base!$G$12+datos_base!$G$26,0))*parametros_manuales!$E$110)*parametros_manuales!$I$21*parametros_manuales!$J$21</f>
        <v>6547.53398025</v>
      </c>
      <c r="F139" s="9" t="n">
        <f aca="false">(parametros_manuales!$D$21*(datos_base!$G$2+datos_base!$G$18+IF(parametros_manuales!$H$21="Todos",datos_base!$G$9+datos_base!$G$23,0))*parametros_manuales!$F$95+parametros_manuales!$E$21*(datos_base!$G$3+datos_base!$G$19+IF(parametros_manuales!$H$21="Todos",datos_base!$G$10+datos_base!$G$24,0))*parametros_manuales!$F$100+parametros_manuales!$F$21*(datos_base!$G$4+datos_base!$G$20+IF(parametros_manuales!$H$21="Todos",datos_base!$G$11+datos_base!$G$25,0))*parametros_manuales!$F$105+parametros_manuales!$G$21*(datos_base!$G$5+datos_base!$G$21+IF(parametros_manuales!$H$21="Todos",datos_base!$G$12+datos_base!$G$26,0))*parametros_manuales!$F$110)*parametros_manuales!$I$21*parametros_manuales!$J$21</f>
        <v>6111.0317149</v>
      </c>
      <c r="G139" s="9" t="n">
        <f aca="false">(parametros_manuales!$D$21*(datos_base!$G$2+datos_base!$G$18+IF(parametros_manuales!$H$21="Todos",datos_base!$G$9+datos_base!$G$23,0))*parametros_manuales!$G$95+parametros_manuales!$E$21*(datos_base!$G$3+datos_base!$G$19+IF(parametros_manuales!$H$21="Todos",datos_base!$G$10+datos_base!$G$24,0))*parametros_manuales!$G$100+parametros_manuales!$F$21*(datos_base!$G$4+datos_base!$G$20+IF(parametros_manuales!$H$21="Todos",datos_base!$G$11+datos_base!$G$25,0))*parametros_manuales!$G$105+parametros_manuales!$G$21*(datos_base!$G$5+datos_base!$G$21+IF(parametros_manuales!$H$21="Todos",datos_base!$G$12+datos_base!$G$26,0))*parametros_manuales!$G$110)*parametros_manuales!$I$21*parametros_manuales!$J$21</f>
        <v>6111.0317149</v>
      </c>
      <c r="H139" s="9" t="n">
        <f aca="false">(parametros_manuales!$D$21*(datos_base!$G$2+datos_base!$G$18+IF(parametros_manuales!$H$21="Todos",datos_base!$G$9+datos_base!$G$23,0))*parametros_manuales!$H$95+parametros_manuales!$E$21*(datos_base!$G$3+datos_base!$G$19+IF(parametros_manuales!$H$21="Todos",datos_base!$G$10+datos_base!$G$24,0))*parametros_manuales!$H$100+parametros_manuales!$F$21*(datos_base!$G$4+datos_base!$G$20+IF(parametros_manuales!$H$21="Todos",datos_base!$G$11+datos_base!$G$25,0))*parametros_manuales!$H$105+parametros_manuales!$G$21*(datos_base!$G$5+datos_base!$G$21+IF(parametros_manuales!$H$21="Todos",datos_base!$G$12+datos_base!$G$26,0))*parametros_manuales!$H$110)*parametros_manuales!$I$21*parametros_manuales!$J$21</f>
        <v>6547.53398025</v>
      </c>
      <c r="I139" s="9" t="n">
        <f aca="false">(parametros_manuales!$D$21*(datos_base!$G$2+datos_base!$G$18+IF(parametros_manuales!$H$21="Todos",datos_base!$G$9+datos_base!$G$23,0))*parametros_manuales!$I$95+parametros_manuales!$E$21*(datos_base!$G$3+datos_base!$G$19+IF(parametros_manuales!$H$21="Todos",datos_base!$G$10+datos_base!$G$24,0))*parametros_manuales!$I$100+parametros_manuales!$F$21*(datos_base!$G$4+datos_base!$G$20+IF(parametros_manuales!$H$21="Todos",datos_base!$G$11+datos_base!$G$25,0))*parametros_manuales!$I$105+parametros_manuales!$G$21*(datos_base!$G$5+datos_base!$G$21+IF(parametros_manuales!$H$21="Todos",datos_base!$G$12+datos_base!$G$26,0))*parametros_manuales!$I$110)*parametros_manuales!$I$21*parametros_manuales!$J$21</f>
        <v>7857.04077629999</v>
      </c>
      <c r="J139" s="9" t="n">
        <f aca="false">(parametros_manuales!$D$21*(datos_base!$G$2+datos_base!$G$18+IF(parametros_manuales!$H$21="Todos",datos_base!$G$9+datos_base!$G$23,0))*parametros_manuales!$J$95+parametros_manuales!$E$21*(datos_base!$G$3+datos_base!$G$19+IF(parametros_manuales!$H$21="Todos",datos_base!$G$10+datos_base!$G$24,0))*parametros_manuales!$J$100+parametros_manuales!$F$21*(datos_base!$G$4+datos_base!$G$20+IF(parametros_manuales!$H$21="Todos",datos_base!$G$11+datos_base!$G$25,0))*parametros_manuales!$J$105+parametros_manuales!$G$21*(datos_base!$G$5+datos_base!$G$21+IF(parametros_manuales!$H$21="Todos",datos_base!$G$12+datos_base!$G$26,0))*parametros_manuales!$J$110)*parametros_manuales!$I$21*parametros_manuales!$J$21</f>
        <v>7857.0407763</v>
      </c>
      <c r="K139" s="9" t="n">
        <f aca="false">(parametros_manuales!$D$21*(datos_base!$G$2+datos_base!$G$18+IF(parametros_manuales!$H$21="Todos",datos_base!$G$9+datos_base!$G$23,0))*parametros_manuales!$K$95+parametros_manuales!$E$21*(datos_base!$G$3+datos_base!$G$19+IF(parametros_manuales!$H$21="Todos",datos_base!$G$10+datos_base!$G$24,0))*parametros_manuales!$K$100+parametros_manuales!$F$21*(datos_base!$G$4+datos_base!$G$20+IF(parametros_manuales!$H$21="Todos",datos_base!$G$11+datos_base!$G$25,0))*parametros_manuales!$K$105+parametros_manuales!$G$21*(datos_base!$G$5+datos_base!$G$21+IF(parametros_manuales!$H$21="Todos",datos_base!$G$12+datos_base!$G$26,0))*parametros_manuales!$K$110)*parametros_manuales!$I$21*parametros_manuales!$J$21</f>
        <v>7857.0407763</v>
      </c>
      <c r="L139" s="9" t="n">
        <f aca="false">(parametros_manuales!$D$21*(datos_base!$G$2+datos_base!$G$18+IF(parametros_manuales!$H$21="Todos",datos_base!$G$9+datos_base!$G$23,0))*parametros_manuales!$L$95+parametros_manuales!$E$21*(datos_base!$G$3+datos_base!$G$19+IF(parametros_manuales!$H$21="Todos",datos_base!$G$10+datos_base!$G$24,0))*parametros_manuales!$L$100+parametros_manuales!$F$21*(datos_base!$G$4+datos_base!$G$20+IF(parametros_manuales!$H$21="Todos",datos_base!$G$11+datos_base!$G$25,0))*parametros_manuales!$L$105+parametros_manuales!$G$21*(datos_base!$G$5+datos_base!$G$21+IF(parametros_manuales!$H$21="Todos",datos_base!$G$12+datos_base!$G$26,0))*parametros_manuales!$L$110)*parametros_manuales!$I$21*parametros_manuales!$J$21</f>
        <v>7857.0407763</v>
      </c>
      <c r="M139" s="9" t="n">
        <f aca="false">(parametros_manuales!$D$21*(datos_base!$G$2+datos_base!$G$18+IF(parametros_manuales!$H$21="Todos",datos_base!$G$9+datos_base!$G$23,0))*parametros_manuales!$M$95+parametros_manuales!$E$21*(datos_base!$G$3+datos_base!$G$19+IF(parametros_manuales!$H$21="Todos",datos_base!$G$10+datos_base!$G$24,0))*parametros_manuales!$M$100+parametros_manuales!$F$21*(datos_base!$G$4+datos_base!$G$20+IF(parametros_manuales!$H$21="Todos",datos_base!$G$11+datos_base!$G$25,0))*parametros_manuales!$M$105+parametros_manuales!$G$21*(datos_base!$G$5+datos_base!$G$21+IF(parametros_manuales!$H$21="Todos",datos_base!$G$12+datos_base!$G$26,0))*parametros_manuales!$M$110)*parametros_manuales!$I$21*parametros_manuales!$J$21</f>
        <v>7857.0407763</v>
      </c>
      <c r="N139" s="9" t="n">
        <f aca="false">SUM(B139:M139)</f>
        <v>87300.45307</v>
      </c>
      <c r="O139" s="9" t="n">
        <f aca="false">MAX(B139:M139)</f>
        <v>7857.0407763</v>
      </c>
      <c r="P139" s="43" t="n">
        <f aca="false">O139/(parametros_manuales!$B$7)</f>
        <v>52.380271842</v>
      </c>
      <c r="Q139" s="8" t="str">
        <f aca="false">IF(O139=0,"-",INDEX($B$136:$M$136,MATCH(O139,B139:M139,0)))</f>
        <v>Ene</v>
      </c>
    </row>
    <row r="140" customFormat="false" ht="14.25" hidden="false" customHeight="true" outlineLevel="0" collapsed="false">
      <c r="A140" s="8" t="str">
        <f aca="false">parametros_manuales!$B$22</f>
        <v>Corte de disco y embutido (cúpula y fondo)</v>
      </c>
      <c r="B140" s="9" t="n">
        <f aca="false">(parametros_manuales!$D$22*(datos_base!$G$2+datos_base!$G$18+IF(parametros_manuales!$H$22="Todos",datos_base!$G$9+datos_base!$G$23,0))*parametros_manuales!$B$95+parametros_manuales!$E$22*(datos_base!$G$3+datos_base!$G$19+IF(parametros_manuales!$H$22="Todos",datos_base!$G$10+datos_base!$G$24,0))*parametros_manuales!$B$100+parametros_manuales!$F$22*(datos_base!$G$4+datos_base!$G$20+IF(parametros_manuales!$H$22="Todos",datos_base!$G$11+datos_base!$G$25,0))*parametros_manuales!$B$105+parametros_manuales!$G$22*(datos_base!$G$5+datos_base!$G$21+IF(parametros_manuales!$H$22="Todos",datos_base!$G$12+datos_base!$G$26,0))*parametros_manuales!$B$110)*parametros_manuales!$I$22*parametros_manuales!$J$22</f>
        <v>22308.25177782</v>
      </c>
      <c r="C140" s="9" t="n">
        <f aca="false">(parametros_manuales!$D$22*(datos_base!$G$2+datos_base!$G$18+IF(parametros_manuales!$H$22="Todos",datos_base!$G$9+datos_base!$G$23,0))*parametros_manuales!$C$95+parametros_manuales!$E$22*(datos_base!$G$3+datos_base!$G$19+IF(parametros_manuales!$H$22="Todos",datos_base!$G$10+datos_base!$G$24,0))*parametros_manuales!$C$100+parametros_manuales!$F$22*(datos_base!$G$4+datos_base!$G$20+IF(parametros_manuales!$H$22="Todos",datos_base!$G$11+datos_base!$G$25,0))*parametros_manuales!$C$105+parametros_manuales!$G$22*(datos_base!$G$5+datos_base!$G$21+IF(parametros_manuales!$H$22="Todos",datos_base!$G$12+datos_base!$G$26,0))*parametros_manuales!$C$110)*parametros_manuales!$I$22*parametros_manuales!$J$22</f>
        <v>21575.56619724</v>
      </c>
      <c r="D140" s="9" t="n">
        <f aca="false">(parametros_manuales!$D$22*(datos_base!$G$2+datos_base!$G$18+IF(parametros_manuales!$H$22="Todos",datos_base!$G$9+datos_base!$G$23,0))*parametros_manuales!$D$95+parametros_manuales!$E$22*(datos_base!$G$3+datos_base!$G$19+IF(parametros_manuales!$H$22="Todos",datos_base!$G$10+datos_base!$G$24,0))*parametros_manuales!$D$100+parametros_manuales!$F$22*(datos_base!$G$4+datos_base!$G$20+IF(parametros_manuales!$H$22="Todos",datos_base!$G$11+datos_base!$G$25,0))*parametros_manuales!$D$105+parametros_manuales!$G$22*(datos_base!$G$5+datos_base!$G$21+IF(parametros_manuales!$H$22="Todos",datos_base!$G$12+datos_base!$G$26,0))*parametros_manuales!$D$110)*parametros_manuales!$I$22*parametros_manuales!$J$22</f>
        <v>20195.89992613</v>
      </c>
      <c r="E140" s="9" t="n">
        <f aca="false">(parametros_manuales!$D$22*(datos_base!$G$2+datos_base!$G$18+IF(parametros_manuales!$H$22="Todos",datos_base!$G$9+datos_base!$G$23,0))*parametros_manuales!$E$95+parametros_manuales!$E$22*(datos_base!$G$3+datos_base!$G$19+IF(parametros_manuales!$H$22="Todos",datos_base!$G$10+datos_base!$G$24,0))*parametros_manuales!$E$100+parametros_manuales!$F$22*(datos_base!$G$4+datos_base!$G$20+IF(parametros_manuales!$H$22="Todos",datos_base!$G$11+datos_base!$G$25,0))*parametros_manuales!$E$105+parametros_manuales!$G$22*(datos_base!$G$5+datos_base!$G$21+IF(parametros_manuales!$H$22="Todos",datos_base!$G$12+datos_base!$G$26,0))*parametros_manuales!$E$110)*parametros_manuales!$I$22*parametros_manuales!$J$22</f>
        <v>19322.89539543</v>
      </c>
      <c r="F140" s="9" t="n">
        <f aca="false">(parametros_manuales!$D$22*(datos_base!$G$2+datos_base!$G$18+IF(parametros_manuales!$H$22="Todos",datos_base!$G$9+datos_base!$G$23,0))*parametros_manuales!$F$95+parametros_manuales!$E$22*(datos_base!$G$3+datos_base!$G$19+IF(parametros_manuales!$H$22="Todos",datos_base!$G$10+datos_base!$G$24,0))*parametros_manuales!$F$100+parametros_manuales!$F$22*(datos_base!$G$4+datos_base!$G$20+IF(parametros_manuales!$H$22="Todos",datos_base!$G$11+datos_base!$G$25,0))*parametros_manuales!$F$105+parametros_manuales!$G$22*(datos_base!$G$5+datos_base!$G$21+IF(parametros_manuales!$H$22="Todos",datos_base!$G$12+datos_base!$G$26,0))*parametros_manuales!$F$110)*parametros_manuales!$I$22*parametros_manuales!$J$22</f>
        <v>18083.54807444</v>
      </c>
      <c r="G140" s="9" t="n">
        <f aca="false">(parametros_manuales!$D$22*(datos_base!$G$2+datos_base!$G$18+IF(parametros_manuales!$H$22="Todos",datos_base!$G$9+datos_base!$G$23,0))*parametros_manuales!$G$95+parametros_manuales!$E$22*(datos_base!$G$3+datos_base!$G$19+IF(parametros_manuales!$H$22="Todos",datos_base!$G$10+datos_base!$G$24,0))*parametros_manuales!$G$100+parametros_manuales!$F$22*(datos_base!$G$4+datos_base!$G$20+IF(parametros_manuales!$H$22="Todos",datos_base!$G$11+datos_base!$G$25,0))*parametros_manuales!$G$105+parametros_manuales!$G$22*(datos_base!$G$5+datos_base!$G$21+IF(parametros_manuales!$H$22="Todos",datos_base!$G$12+datos_base!$G$26,0))*parametros_manuales!$G$110)*parametros_manuales!$I$22*parametros_manuales!$J$22</f>
        <v>17717.20528415</v>
      </c>
      <c r="H140" s="9" t="n">
        <f aca="false">(parametros_manuales!$D$22*(datos_base!$G$2+datos_base!$G$18+IF(parametros_manuales!$H$22="Todos",datos_base!$G$9+datos_base!$G$23,0))*parametros_manuales!$H$95+parametros_manuales!$E$22*(datos_base!$G$3+datos_base!$G$19+IF(parametros_manuales!$H$22="Todos",datos_base!$G$10+datos_base!$G$24,0))*parametros_manuales!$H$100+parametros_manuales!$F$22*(datos_base!$G$4+datos_base!$G$20+IF(parametros_manuales!$H$22="Todos",datos_base!$G$11+datos_base!$G$25,0))*parametros_manuales!$H$105+parametros_manuales!$G$22*(datos_base!$G$5+datos_base!$G$21+IF(parametros_manuales!$H$22="Todos",datos_base!$G$12+datos_base!$G$26,0))*parametros_manuales!$H$110)*parametros_manuales!$I$22*parametros_manuales!$J$22</f>
        <v>18956.55260514</v>
      </c>
      <c r="I140" s="9" t="n">
        <f aca="false">(parametros_manuales!$D$22*(datos_base!$G$2+datos_base!$G$18+IF(parametros_manuales!$H$22="Todos",datos_base!$G$9+datos_base!$G$23,0))*parametros_manuales!$I$95+parametros_manuales!$E$22*(datos_base!$G$3+datos_base!$G$19+IF(parametros_manuales!$H$22="Todos",datos_base!$G$10+datos_base!$G$24,0))*parametros_manuales!$I$100+parametros_manuales!$F$22*(datos_base!$G$4+datos_base!$G$20+IF(parametros_manuales!$H$22="Todos",datos_base!$G$11+datos_base!$G$25,0))*parametros_manuales!$I$105+parametros_manuales!$G$22*(datos_base!$G$5+datos_base!$G$21+IF(parametros_manuales!$H$22="Todos",datos_base!$G$12+datos_base!$G$26,0))*parametros_manuales!$I$110)*parametros_manuales!$I$22*parametros_manuales!$J$22</f>
        <v>21575.56619724</v>
      </c>
      <c r="J140" s="9" t="n">
        <f aca="false">(parametros_manuales!$D$22*(datos_base!$G$2+datos_base!$G$18+IF(parametros_manuales!$H$22="Todos",datos_base!$G$9+datos_base!$G$23,0))*parametros_manuales!$J$95+parametros_manuales!$E$22*(datos_base!$G$3+datos_base!$G$19+IF(parametros_manuales!$H$22="Todos",datos_base!$G$10+datos_base!$G$24,0))*parametros_manuales!$J$100+parametros_manuales!$F$22*(datos_base!$G$4+datos_base!$G$20+IF(parametros_manuales!$H$22="Todos",datos_base!$G$11+datos_base!$G$25,0))*parametros_manuales!$J$105+parametros_manuales!$G$22*(datos_base!$G$5+datos_base!$G$21+IF(parametros_manuales!$H$22="Todos",datos_base!$G$12+datos_base!$G$26,0))*parametros_manuales!$J$110)*parametros_manuales!$I$22*parametros_manuales!$J$22</f>
        <v>21575.56619724</v>
      </c>
      <c r="K140" s="9" t="n">
        <f aca="false">(parametros_manuales!$D$22*(datos_base!$G$2+datos_base!$G$18+IF(parametros_manuales!$H$22="Todos",datos_base!$G$9+datos_base!$G$23,0))*parametros_manuales!$K$95+parametros_manuales!$E$22*(datos_base!$G$3+datos_base!$G$19+IF(parametros_manuales!$H$22="Todos",datos_base!$G$10+datos_base!$G$24,0))*parametros_manuales!$K$100+parametros_manuales!$F$22*(datos_base!$G$4+datos_base!$G$20+IF(parametros_manuales!$H$22="Todos",datos_base!$G$11+datos_base!$G$25,0))*parametros_manuales!$K$105+parametros_manuales!$G$22*(datos_base!$G$5+datos_base!$G$21+IF(parametros_manuales!$H$22="Todos",datos_base!$G$12+datos_base!$G$26,0))*parametros_manuales!$K$110)*parametros_manuales!$I$22*parametros_manuales!$J$22</f>
        <v>21941.90898753</v>
      </c>
      <c r="L140" s="9" t="n">
        <f aca="false">(parametros_manuales!$D$22*(datos_base!$G$2+datos_base!$G$18+IF(parametros_manuales!$H$22="Todos",datos_base!$G$9+datos_base!$G$23,0))*parametros_manuales!$L$95+parametros_manuales!$E$22*(datos_base!$G$3+datos_base!$G$19+IF(parametros_manuales!$H$22="Todos",datos_base!$G$10+datos_base!$G$24,0))*parametros_manuales!$L$100+parametros_manuales!$F$22*(datos_base!$G$4+datos_base!$G$20+IF(parametros_manuales!$H$22="Todos",datos_base!$G$11+datos_base!$G$25,0))*parametros_manuales!$L$105+parametros_manuales!$G$22*(datos_base!$G$5+datos_base!$G$21+IF(parametros_manuales!$H$22="Todos",datos_base!$G$12+datos_base!$G$26,0))*parametros_manuales!$L$110)*parametros_manuales!$I$22*parametros_manuales!$J$22</f>
        <v>22308.25177782</v>
      </c>
      <c r="M140" s="9" t="n">
        <f aca="false">(parametros_manuales!$D$22*(datos_base!$G$2+datos_base!$G$18+IF(parametros_manuales!$H$22="Todos",datos_base!$G$9+datos_base!$G$23,0))*parametros_manuales!$M$95+parametros_manuales!$E$22*(datos_base!$G$3+datos_base!$G$19+IF(parametros_manuales!$H$22="Todos",datos_base!$G$10+datos_base!$G$24,0))*parametros_manuales!$M$100+parametros_manuales!$F$22*(datos_base!$G$4+datos_base!$G$20+IF(parametros_manuales!$H$22="Todos",datos_base!$G$11+datos_base!$G$25,0))*parametros_manuales!$M$105+parametros_manuales!$G$22*(datos_base!$G$5+datos_base!$G$21+IF(parametros_manuales!$H$22="Todos",datos_base!$G$12+datos_base!$G$26,0))*parametros_manuales!$M$110)*parametros_manuales!$I$22*parametros_manuales!$J$22</f>
        <v>22308.25177782</v>
      </c>
      <c r="N140" s="9" t="n">
        <f aca="false">SUM(B140:M140)</f>
        <v>247869.464198</v>
      </c>
      <c r="O140" s="9" t="n">
        <f aca="false">MAX(B140:M140)</f>
        <v>22308.25177782</v>
      </c>
      <c r="P140" s="43" t="n">
        <f aca="false">O140/(parametros_manuales!$B$7)</f>
        <v>148.7216785188</v>
      </c>
      <c r="Q140" s="8" t="str">
        <f aca="false">IF(O140=0,"-",INDEX($B$136:$M$136,MATCH(O140,B140:M140,0)))</f>
        <v>Ene</v>
      </c>
    </row>
    <row r="141" customFormat="false" ht="14.25" hidden="false" customHeight="true" outlineLevel="0" collapsed="false">
      <c r="A141" s="8" t="str">
        <f aca="false">parametros_manuales!$B$23</f>
        <v>Preparación de cuello</v>
      </c>
      <c r="B141" s="9" t="n">
        <f aca="false">(parametros_manuales!$D$23*(datos_base!$G$2+datos_base!$G$18+IF(parametros_manuales!$H$23="Todos",datos_base!$G$9+datos_base!$G$23,0))*parametros_manuales!$B$95+parametros_manuales!$E$23*(datos_base!$G$3+datos_base!$G$19+IF(parametros_manuales!$H$23="Todos",datos_base!$G$10+datos_base!$G$24,0))*parametros_manuales!$B$100+parametros_manuales!$F$23*(datos_base!$G$4+datos_base!$G$20+IF(parametros_manuales!$H$23="Todos",datos_base!$G$11+datos_base!$G$25,0))*parametros_manuales!$B$105+parametros_manuales!$G$23*(datos_base!$G$5+datos_base!$G$21+IF(parametros_manuales!$H$23="Todos",datos_base!$G$12+datos_base!$G$26,0))*parametros_manuales!$B$110)*parametros_manuales!$I$23*parametros_manuales!$J$23</f>
        <v>11154.12588891</v>
      </c>
      <c r="C141" s="9" t="n">
        <f aca="false">(parametros_manuales!$D$23*(datos_base!$G$2+datos_base!$G$18+IF(parametros_manuales!$H$23="Todos",datos_base!$G$9+datos_base!$G$23,0))*parametros_manuales!$C$95+parametros_manuales!$E$23*(datos_base!$G$3+datos_base!$G$19+IF(parametros_manuales!$H$23="Todos",datos_base!$G$10+datos_base!$G$24,0))*parametros_manuales!$C$100+parametros_manuales!$F$23*(datos_base!$G$4+datos_base!$G$20+IF(parametros_manuales!$H$23="Todos",datos_base!$G$11+datos_base!$G$25,0))*parametros_manuales!$C$105+parametros_manuales!$G$23*(datos_base!$G$5+datos_base!$G$21+IF(parametros_manuales!$H$23="Todos",datos_base!$G$12+datos_base!$G$26,0))*parametros_manuales!$C$110)*parametros_manuales!$I$23*parametros_manuales!$J$23</f>
        <v>10787.78309862</v>
      </c>
      <c r="D141" s="9" t="n">
        <f aca="false">(parametros_manuales!$D$23*(datos_base!$G$2+datos_base!$G$18+IF(parametros_manuales!$H$23="Todos",datos_base!$G$9+datos_base!$G$23,0))*parametros_manuales!$D$95+parametros_manuales!$E$23*(datos_base!$G$3+datos_base!$G$19+IF(parametros_manuales!$H$23="Todos",datos_base!$G$10+datos_base!$G$24,0))*parametros_manuales!$D$100+parametros_manuales!$F$23*(datos_base!$G$4+datos_base!$G$20+IF(parametros_manuales!$H$23="Todos",datos_base!$G$11+datos_base!$G$25,0))*parametros_manuales!$D$105+parametros_manuales!$G$23*(datos_base!$G$5+datos_base!$G$21+IF(parametros_manuales!$H$23="Todos",datos_base!$G$12+datos_base!$G$26,0))*parametros_manuales!$D$110)*parametros_manuales!$I$23*parametros_manuales!$J$23</f>
        <v>10097.949963065</v>
      </c>
      <c r="E141" s="9" t="n">
        <f aca="false">(parametros_manuales!$D$23*(datos_base!$G$2+datos_base!$G$18+IF(parametros_manuales!$H$23="Todos",datos_base!$G$9+datos_base!$G$23,0))*parametros_manuales!$E$95+parametros_manuales!$E$23*(datos_base!$G$3+datos_base!$G$19+IF(parametros_manuales!$H$23="Todos",datos_base!$G$10+datos_base!$G$24,0))*parametros_manuales!$E$100+parametros_manuales!$F$23*(datos_base!$G$4+datos_base!$G$20+IF(parametros_manuales!$H$23="Todos",datos_base!$G$11+datos_base!$G$25,0))*parametros_manuales!$E$105+parametros_manuales!$G$23*(datos_base!$G$5+datos_base!$G$21+IF(parametros_manuales!$H$23="Todos",datos_base!$G$12+datos_base!$G$26,0))*parametros_manuales!$E$110)*parametros_manuales!$I$23*parametros_manuales!$J$23</f>
        <v>9661.447697715</v>
      </c>
      <c r="F141" s="9" t="n">
        <f aca="false">(parametros_manuales!$D$23*(datos_base!$G$2+datos_base!$G$18+IF(parametros_manuales!$H$23="Todos",datos_base!$G$9+datos_base!$G$23,0))*parametros_manuales!$F$95+parametros_manuales!$E$23*(datos_base!$G$3+datos_base!$G$19+IF(parametros_manuales!$H$23="Todos",datos_base!$G$10+datos_base!$G$24,0))*parametros_manuales!$F$100+parametros_manuales!$F$23*(datos_base!$G$4+datos_base!$G$20+IF(parametros_manuales!$H$23="Todos",datos_base!$G$11+datos_base!$G$25,0))*parametros_manuales!$F$105+parametros_manuales!$G$23*(datos_base!$G$5+datos_base!$G$21+IF(parametros_manuales!$H$23="Todos",datos_base!$G$12+datos_base!$G$26,0))*parametros_manuales!$F$110)*parametros_manuales!$I$23*parametros_manuales!$J$23</f>
        <v>9041.77403722</v>
      </c>
      <c r="G141" s="9" t="n">
        <f aca="false">(parametros_manuales!$D$23*(datos_base!$G$2+datos_base!$G$18+IF(parametros_manuales!$H$23="Todos",datos_base!$G$9+datos_base!$G$23,0))*parametros_manuales!$G$95+parametros_manuales!$E$23*(datos_base!$G$3+datos_base!$G$19+IF(parametros_manuales!$H$23="Todos",datos_base!$G$10+datos_base!$G$24,0))*parametros_manuales!$G$100+parametros_manuales!$F$23*(datos_base!$G$4+datos_base!$G$20+IF(parametros_manuales!$H$23="Todos",datos_base!$G$11+datos_base!$G$25,0))*parametros_manuales!$G$105+parametros_manuales!$G$23*(datos_base!$G$5+datos_base!$G$21+IF(parametros_manuales!$H$23="Todos",datos_base!$G$12+datos_base!$G$26,0))*parametros_manuales!$G$110)*parametros_manuales!$I$23*parametros_manuales!$J$23</f>
        <v>8858.602642075</v>
      </c>
      <c r="H141" s="9" t="n">
        <f aca="false">(parametros_manuales!$D$23*(datos_base!$G$2+datos_base!$G$18+IF(parametros_manuales!$H$23="Todos",datos_base!$G$9+datos_base!$G$23,0))*parametros_manuales!$H$95+parametros_manuales!$E$23*(datos_base!$G$3+datos_base!$G$19+IF(parametros_manuales!$H$23="Todos",datos_base!$G$10+datos_base!$G$24,0))*parametros_manuales!$H$100+parametros_manuales!$F$23*(datos_base!$G$4+datos_base!$G$20+IF(parametros_manuales!$H$23="Todos",datos_base!$G$11+datos_base!$G$25,0))*parametros_manuales!$H$105+parametros_manuales!$G$23*(datos_base!$G$5+datos_base!$G$21+IF(parametros_manuales!$H$23="Todos",datos_base!$G$12+datos_base!$G$26,0))*parametros_manuales!$H$110)*parametros_manuales!$I$23*parametros_manuales!$J$23</f>
        <v>9478.27630257</v>
      </c>
      <c r="I141" s="9" t="n">
        <f aca="false">(parametros_manuales!$D$23*(datos_base!$G$2+datos_base!$G$18+IF(parametros_manuales!$H$23="Todos",datos_base!$G$9+datos_base!$G$23,0))*parametros_manuales!$I$95+parametros_manuales!$E$23*(datos_base!$G$3+datos_base!$G$19+IF(parametros_manuales!$H$23="Todos",datos_base!$G$10+datos_base!$G$24,0))*parametros_manuales!$I$100+parametros_manuales!$F$23*(datos_base!$G$4+datos_base!$G$20+IF(parametros_manuales!$H$23="Todos",datos_base!$G$11+datos_base!$G$25,0))*parametros_manuales!$I$105+parametros_manuales!$G$23*(datos_base!$G$5+datos_base!$G$21+IF(parametros_manuales!$H$23="Todos",datos_base!$G$12+datos_base!$G$26,0))*parametros_manuales!$I$110)*parametros_manuales!$I$23*parametros_manuales!$J$23</f>
        <v>10787.78309862</v>
      </c>
      <c r="J141" s="9" t="n">
        <f aca="false">(parametros_manuales!$D$23*(datos_base!$G$2+datos_base!$G$18+IF(parametros_manuales!$H$23="Todos",datos_base!$G$9+datos_base!$G$23,0))*parametros_manuales!$J$95+parametros_manuales!$E$23*(datos_base!$G$3+datos_base!$G$19+IF(parametros_manuales!$H$23="Todos",datos_base!$G$10+datos_base!$G$24,0))*parametros_manuales!$J$100+parametros_manuales!$F$23*(datos_base!$G$4+datos_base!$G$20+IF(parametros_manuales!$H$23="Todos",datos_base!$G$11+datos_base!$G$25,0))*parametros_manuales!$J$105+parametros_manuales!$G$23*(datos_base!$G$5+datos_base!$G$21+IF(parametros_manuales!$H$23="Todos",datos_base!$G$12+datos_base!$G$26,0))*parametros_manuales!$J$110)*parametros_manuales!$I$23*parametros_manuales!$J$23</f>
        <v>10787.78309862</v>
      </c>
      <c r="K141" s="9" t="n">
        <f aca="false">(parametros_manuales!$D$23*(datos_base!$G$2+datos_base!$G$18+IF(parametros_manuales!$H$23="Todos",datos_base!$G$9+datos_base!$G$23,0))*parametros_manuales!$K$95+parametros_manuales!$E$23*(datos_base!$G$3+datos_base!$G$19+IF(parametros_manuales!$H$23="Todos",datos_base!$G$10+datos_base!$G$24,0))*parametros_manuales!$K$100+parametros_manuales!$F$23*(datos_base!$G$4+datos_base!$G$20+IF(parametros_manuales!$H$23="Todos",datos_base!$G$11+datos_base!$G$25,0))*parametros_manuales!$K$105+parametros_manuales!$G$23*(datos_base!$G$5+datos_base!$G$21+IF(parametros_manuales!$H$23="Todos",datos_base!$G$12+datos_base!$G$26,0))*parametros_manuales!$K$110)*parametros_manuales!$I$23*parametros_manuales!$J$23</f>
        <v>10970.954493765</v>
      </c>
      <c r="L141" s="9" t="n">
        <f aca="false">(parametros_manuales!$D$23*(datos_base!$G$2+datos_base!$G$18+IF(parametros_manuales!$H$23="Todos",datos_base!$G$9+datos_base!$G$23,0))*parametros_manuales!$L$95+parametros_manuales!$E$23*(datos_base!$G$3+datos_base!$G$19+IF(parametros_manuales!$H$23="Todos",datos_base!$G$10+datos_base!$G$24,0))*parametros_manuales!$L$100+parametros_manuales!$F$23*(datos_base!$G$4+datos_base!$G$20+IF(parametros_manuales!$H$23="Todos",datos_base!$G$11+datos_base!$G$25,0))*parametros_manuales!$L$105+parametros_manuales!$G$23*(datos_base!$G$5+datos_base!$G$21+IF(parametros_manuales!$H$23="Todos",datos_base!$G$12+datos_base!$G$26,0))*parametros_manuales!$L$110)*parametros_manuales!$I$23*parametros_manuales!$J$23</f>
        <v>11154.12588891</v>
      </c>
      <c r="M141" s="9" t="n">
        <f aca="false">(parametros_manuales!$D$23*(datos_base!$G$2+datos_base!$G$18+IF(parametros_manuales!$H$23="Todos",datos_base!$G$9+datos_base!$G$23,0))*parametros_manuales!$M$95+parametros_manuales!$E$23*(datos_base!$G$3+datos_base!$G$19+IF(parametros_manuales!$H$23="Todos",datos_base!$G$10+datos_base!$G$24,0))*parametros_manuales!$M$100+parametros_manuales!$F$23*(datos_base!$G$4+datos_base!$G$20+IF(parametros_manuales!$H$23="Todos",datos_base!$G$11+datos_base!$G$25,0))*parametros_manuales!$M$105+parametros_manuales!$G$23*(datos_base!$G$5+datos_base!$G$21+IF(parametros_manuales!$H$23="Todos",datos_base!$G$12+datos_base!$G$26,0))*parametros_manuales!$M$110)*parametros_manuales!$I$23*parametros_manuales!$J$23</f>
        <v>11154.12588891</v>
      </c>
      <c r="N141" s="9" t="n">
        <f aca="false">SUM(B141:M141)</f>
        <v>123934.732099</v>
      </c>
      <c r="O141" s="9" t="n">
        <f aca="false">MAX(B141:M141)</f>
        <v>11154.12588891</v>
      </c>
      <c r="P141" s="43" t="n">
        <f aca="false">O141/(parametros_manuales!$B$7)</f>
        <v>74.3608392594</v>
      </c>
      <c r="Q141" s="8" t="str">
        <f aca="false">IF(O141=0,"-",INDEX($B$136:$M$136,MATCH(O141,B141:M141,0)))</f>
        <v>Ene</v>
      </c>
    </row>
    <row r="142" customFormat="false" ht="14.25" hidden="false" customHeight="true" outlineLevel="0" collapsed="false">
      <c r="A142" s="8" t="str">
        <f aca="false">parametros_manuales!$B$24</f>
        <v>Numerado de cúpula</v>
      </c>
      <c r="B142" s="9" t="n">
        <f aca="false">(parametros_manuales!$D$24*(datos_base!$G$2+datos_base!$G$18+IF(parametros_manuales!$H$24="Todos",datos_base!$G$9+datos_base!$G$23,0))*parametros_manuales!$B$95+parametros_manuales!$E$24*(datos_base!$G$3+datos_base!$G$19+IF(parametros_manuales!$H$24="Todos",datos_base!$G$10+datos_base!$G$24,0))*parametros_manuales!$B$100+parametros_manuales!$F$24*(datos_base!$G$4+datos_base!$G$20+IF(parametros_manuales!$H$24="Todos",datos_base!$G$11+datos_base!$G$25,0))*parametros_manuales!$B$105+parametros_manuales!$G$24*(datos_base!$G$5+datos_base!$G$21+IF(parametros_manuales!$H$24="Todos",datos_base!$G$12+datos_base!$G$26,0))*parametros_manuales!$B$110)*parametros_manuales!$I$24*parametros_manuales!$J$24</f>
        <v>11154.12588891</v>
      </c>
      <c r="C142" s="9" t="n">
        <f aca="false">(parametros_manuales!$D$24*(datos_base!$G$2+datos_base!$G$18+IF(parametros_manuales!$H$24="Todos",datos_base!$G$9+datos_base!$G$23,0))*parametros_manuales!$C$95+parametros_manuales!$E$24*(datos_base!$G$3+datos_base!$G$19+IF(parametros_manuales!$H$24="Todos",datos_base!$G$10+datos_base!$G$24,0))*parametros_manuales!$C$100+parametros_manuales!$F$24*(datos_base!$G$4+datos_base!$G$20+IF(parametros_manuales!$H$24="Todos",datos_base!$G$11+datos_base!$G$25,0))*parametros_manuales!$C$105+parametros_manuales!$G$24*(datos_base!$G$5+datos_base!$G$21+IF(parametros_manuales!$H$24="Todos",datos_base!$G$12+datos_base!$G$26,0))*parametros_manuales!$C$110)*parametros_manuales!$I$24*parametros_manuales!$J$24</f>
        <v>10787.78309862</v>
      </c>
      <c r="D142" s="9" t="n">
        <f aca="false">(parametros_manuales!$D$24*(datos_base!$G$2+datos_base!$G$18+IF(parametros_manuales!$H$24="Todos",datos_base!$G$9+datos_base!$G$23,0))*parametros_manuales!$D$95+parametros_manuales!$E$24*(datos_base!$G$3+datos_base!$G$19+IF(parametros_manuales!$H$24="Todos",datos_base!$G$10+datos_base!$G$24,0))*parametros_manuales!$D$100+parametros_manuales!$F$24*(datos_base!$G$4+datos_base!$G$20+IF(parametros_manuales!$H$24="Todos",datos_base!$G$11+datos_base!$G$25,0))*parametros_manuales!$D$105+parametros_manuales!$G$24*(datos_base!$G$5+datos_base!$G$21+IF(parametros_manuales!$H$24="Todos",datos_base!$G$12+datos_base!$G$26,0))*parametros_manuales!$D$110)*parametros_manuales!$I$24*parametros_manuales!$J$24</f>
        <v>10097.949963065</v>
      </c>
      <c r="E142" s="9" t="n">
        <f aca="false">(parametros_manuales!$D$24*(datos_base!$G$2+datos_base!$G$18+IF(parametros_manuales!$H$24="Todos",datos_base!$G$9+datos_base!$G$23,0))*parametros_manuales!$E$95+parametros_manuales!$E$24*(datos_base!$G$3+datos_base!$G$19+IF(parametros_manuales!$H$24="Todos",datos_base!$G$10+datos_base!$G$24,0))*parametros_manuales!$E$100+parametros_manuales!$F$24*(datos_base!$G$4+datos_base!$G$20+IF(parametros_manuales!$H$24="Todos",datos_base!$G$11+datos_base!$G$25,0))*parametros_manuales!$E$105+parametros_manuales!$G$24*(datos_base!$G$5+datos_base!$G$21+IF(parametros_manuales!$H$24="Todos",datos_base!$G$12+datos_base!$G$26,0))*parametros_manuales!$E$110)*parametros_manuales!$I$24*parametros_manuales!$J$24</f>
        <v>9661.447697715</v>
      </c>
      <c r="F142" s="9" t="n">
        <f aca="false">(parametros_manuales!$D$24*(datos_base!$G$2+datos_base!$G$18+IF(parametros_manuales!$H$24="Todos",datos_base!$G$9+datos_base!$G$23,0))*parametros_manuales!$F$95+parametros_manuales!$E$24*(datos_base!$G$3+datos_base!$G$19+IF(parametros_manuales!$H$24="Todos",datos_base!$G$10+datos_base!$G$24,0))*parametros_manuales!$F$100+parametros_manuales!$F$24*(datos_base!$G$4+datos_base!$G$20+IF(parametros_manuales!$H$24="Todos",datos_base!$G$11+datos_base!$G$25,0))*parametros_manuales!$F$105+parametros_manuales!$G$24*(datos_base!$G$5+datos_base!$G$21+IF(parametros_manuales!$H$24="Todos",datos_base!$G$12+datos_base!$G$26,0))*parametros_manuales!$F$110)*parametros_manuales!$I$24*parametros_manuales!$J$24</f>
        <v>9041.77403722</v>
      </c>
      <c r="G142" s="9" t="n">
        <f aca="false">(parametros_manuales!$D$24*(datos_base!$G$2+datos_base!$G$18+IF(parametros_manuales!$H$24="Todos",datos_base!$G$9+datos_base!$G$23,0))*parametros_manuales!$G$95+parametros_manuales!$E$24*(datos_base!$G$3+datos_base!$G$19+IF(parametros_manuales!$H$24="Todos",datos_base!$G$10+datos_base!$G$24,0))*parametros_manuales!$G$100+parametros_manuales!$F$24*(datos_base!$G$4+datos_base!$G$20+IF(parametros_manuales!$H$24="Todos",datos_base!$G$11+datos_base!$G$25,0))*parametros_manuales!$G$105+parametros_manuales!$G$24*(datos_base!$G$5+datos_base!$G$21+IF(parametros_manuales!$H$24="Todos",datos_base!$G$12+datos_base!$G$26,0))*parametros_manuales!$G$110)*parametros_manuales!$I$24*parametros_manuales!$J$24</f>
        <v>8858.602642075</v>
      </c>
      <c r="H142" s="9" t="n">
        <f aca="false">(parametros_manuales!$D$24*(datos_base!$G$2+datos_base!$G$18+IF(parametros_manuales!$H$24="Todos",datos_base!$G$9+datos_base!$G$23,0))*parametros_manuales!$H$95+parametros_manuales!$E$24*(datos_base!$G$3+datos_base!$G$19+IF(parametros_manuales!$H$24="Todos",datos_base!$G$10+datos_base!$G$24,0))*parametros_manuales!$H$100+parametros_manuales!$F$24*(datos_base!$G$4+datos_base!$G$20+IF(parametros_manuales!$H$24="Todos",datos_base!$G$11+datos_base!$G$25,0))*parametros_manuales!$H$105+parametros_manuales!$G$24*(datos_base!$G$5+datos_base!$G$21+IF(parametros_manuales!$H$24="Todos",datos_base!$G$12+datos_base!$G$26,0))*parametros_manuales!$H$110)*parametros_manuales!$I$24*parametros_manuales!$J$24</f>
        <v>9478.27630257</v>
      </c>
      <c r="I142" s="9" t="n">
        <f aca="false">(parametros_manuales!$D$24*(datos_base!$G$2+datos_base!$G$18+IF(parametros_manuales!$H$24="Todos",datos_base!$G$9+datos_base!$G$23,0))*parametros_manuales!$I$95+parametros_manuales!$E$24*(datos_base!$G$3+datos_base!$G$19+IF(parametros_manuales!$H$24="Todos",datos_base!$G$10+datos_base!$G$24,0))*parametros_manuales!$I$100+parametros_manuales!$F$24*(datos_base!$G$4+datos_base!$G$20+IF(parametros_manuales!$H$24="Todos",datos_base!$G$11+datos_base!$G$25,0))*parametros_manuales!$I$105+parametros_manuales!$G$24*(datos_base!$G$5+datos_base!$G$21+IF(parametros_manuales!$H$24="Todos",datos_base!$G$12+datos_base!$G$26,0))*parametros_manuales!$I$110)*parametros_manuales!$I$24*parametros_manuales!$J$24</f>
        <v>10787.78309862</v>
      </c>
      <c r="J142" s="9" t="n">
        <f aca="false">(parametros_manuales!$D$24*(datos_base!$G$2+datos_base!$G$18+IF(parametros_manuales!$H$24="Todos",datos_base!$G$9+datos_base!$G$23,0))*parametros_manuales!$J$95+parametros_manuales!$E$24*(datos_base!$G$3+datos_base!$G$19+IF(parametros_manuales!$H$24="Todos",datos_base!$G$10+datos_base!$G$24,0))*parametros_manuales!$J$100+parametros_manuales!$F$24*(datos_base!$G$4+datos_base!$G$20+IF(parametros_manuales!$H$24="Todos",datos_base!$G$11+datos_base!$G$25,0))*parametros_manuales!$J$105+parametros_manuales!$G$24*(datos_base!$G$5+datos_base!$G$21+IF(parametros_manuales!$H$24="Todos",datos_base!$G$12+datos_base!$G$26,0))*parametros_manuales!$J$110)*parametros_manuales!$I$24*parametros_manuales!$J$24</f>
        <v>10787.78309862</v>
      </c>
      <c r="K142" s="9" t="n">
        <f aca="false">(parametros_manuales!$D$24*(datos_base!$G$2+datos_base!$G$18+IF(parametros_manuales!$H$24="Todos",datos_base!$G$9+datos_base!$G$23,0))*parametros_manuales!$K$95+parametros_manuales!$E$24*(datos_base!$G$3+datos_base!$G$19+IF(parametros_manuales!$H$24="Todos",datos_base!$G$10+datos_base!$G$24,0))*parametros_manuales!$K$100+parametros_manuales!$F$24*(datos_base!$G$4+datos_base!$G$20+IF(parametros_manuales!$H$24="Todos",datos_base!$G$11+datos_base!$G$25,0))*parametros_manuales!$K$105+parametros_manuales!$G$24*(datos_base!$G$5+datos_base!$G$21+IF(parametros_manuales!$H$24="Todos",datos_base!$G$12+datos_base!$G$26,0))*parametros_manuales!$K$110)*parametros_manuales!$I$24*parametros_manuales!$J$24</f>
        <v>10970.954493765</v>
      </c>
      <c r="L142" s="9" t="n">
        <f aca="false">(parametros_manuales!$D$24*(datos_base!$G$2+datos_base!$G$18+IF(parametros_manuales!$H$24="Todos",datos_base!$G$9+datos_base!$G$23,0))*parametros_manuales!$L$95+parametros_manuales!$E$24*(datos_base!$G$3+datos_base!$G$19+IF(parametros_manuales!$H$24="Todos",datos_base!$G$10+datos_base!$G$24,0))*parametros_manuales!$L$100+parametros_manuales!$F$24*(datos_base!$G$4+datos_base!$G$20+IF(parametros_manuales!$H$24="Todos",datos_base!$G$11+datos_base!$G$25,0))*parametros_manuales!$L$105+parametros_manuales!$G$24*(datos_base!$G$5+datos_base!$G$21+IF(parametros_manuales!$H$24="Todos",datos_base!$G$12+datos_base!$G$26,0))*parametros_manuales!$L$110)*parametros_manuales!$I$24*parametros_manuales!$J$24</f>
        <v>11154.12588891</v>
      </c>
      <c r="M142" s="9" t="n">
        <f aca="false">(parametros_manuales!$D$24*(datos_base!$G$2+datos_base!$G$18+IF(parametros_manuales!$H$24="Todos",datos_base!$G$9+datos_base!$G$23,0))*parametros_manuales!$M$95+parametros_manuales!$E$24*(datos_base!$G$3+datos_base!$G$19+IF(parametros_manuales!$H$24="Todos",datos_base!$G$10+datos_base!$G$24,0))*parametros_manuales!$M$100+parametros_manuales!$F$24*(datos_base!$G$4+datos_base!$G$20+IF(parametros_manuales!$H$24="Todos",datos_base!$G$11+datos_base!$G$25,0))*parametros_manuales!$M$105+parametros_manuales!$G$24*(datos_base!$G$5+datos_base!$G$21+IF(parametros_manuales!$H$24="Todos",datos_base!$G$12+datos_base!$G$26,0))*parametros_manuales!$M$110)*parametros_manuales!$I$24*parametros_manuales!$J$24</f>
        <v>11154.12588891</v>
      </c>
      <c r="N142" s="9" t="n">
        <f aca="false">SUM(B142:M142)</f>
        <v>123934.732099</v>
      </c>
      <c r="O142" s="9" t="n">
        <f aca="false">MAX(B142:M142)</f>
        <v>11154.12588891</v>
      </c>
      <c r="P142" s="43" t="n">
        <f aca="false">O142/(parametros_manuales!$B$7)</f>
        <v>74.3608392594</v>
      </c>
      <c r="Q142" s="8" t="str">
        <f aca="false">IF(O142=0,"-",INDEX($B$136:$M$136,MATCH(O142,B142:M142,0)))</f>
        <v>Ene</v>
      </c>
    </row>
    <row r="143" customFormat="false" ht="14.25" hidden="false" customHeight="true" outlineLevel="0" collapsed="false">
      <c r="A143" s="8" t="str">
        <f aca="false">parametros_manuales!$B$25</f>
        <v>Soldadura del cuello a la cúpula</v>
      </c>
      <c r="B143" s="9" t="n">
        <f aca="false">(parametros_manuales!$D$25*(datos_base!$G$2+datos_base!$G$18+IF(parametros_manuales!$H$25="Todos",datos_base!$G$9+datos_base!$G$23,0))*parametros_manuales!$B$95+parametros_manuales!$E$25*(datos_base!$G$3+datos_base!$G$19+IF(parametros_manuales!$H$25="Todos",datos_base!$G$10+datos_base!$G$24,0))*parametros_manuales!$B$100+parametros_manuales!$F$25*(datos_base!$G$4+datos_base!$G$20+IF(parametros_manuales!$H$25="Todos",datos_base!$G$11+datos_base!$G$25,0))*parametros_manuales!$B$105+parametros_manuales!$G$25*(datos_base!$G$5+datos_base!$G$21+IF(parametros_manuales!$H$25="Todos",datos_base!$G$12+datos_base!$G$26,0))*parametros_manuales!$B$110)*parametros_manuales!$I$25*parametros_manuales!$J$25</f>
        <v>11154.12588891</v>
      </c>
      <c r="C143" s="9" t="n">
        <f aca="false">(parametros_manuales!$D$25*(datos_base!$G$2+datos_base!$G$18+IF(parametros_manuales!$H$25="Todos",datos_base!$G$9+datos_base!$G$23,0))*parametros_manuales!$C$95+parametros_manuales!$E$25*(datos_base!$G$3+datos_base!$G$19+IF(parametros_manuales!$H$25="Todos",datos_base!$G$10+datos_base!$G$24,0))*parametros_manuales!$C$100+parametros_manuales!$F$25*(datos_base!$G$4+datos_base!$G$20+IF(parametros_manuales!$H$25="Todos",datos_base!$G$11+datos_base!$G$25,0))*parametros_manuales!$C$105+parametros_manuales!$G$25*(datos_base!$G$5+datos_base!$G$21+IF(parametros_manuales!$H$25="Todos",datos_base!$G$12+datos_base!$G$26,0))*parametros_manuales!$C$110)*parametros_manuales!$I$25*parametros_manuales!$J$25</f>
        <v>10787.78309862</v>
      </c>
      <c r="D143" s="9" t="n">
        <f aca="false">(parametros_manuales!$D$25*(datos_base!$G$2+datos_base!$G$18+IF(parametros_manuales!$H$25="Todos",datos_base!$G$9+datos_base!$G$23,0))*parametros_manuales!$D$95+parametros_manuales!$E$25*(datos_base!$G$3+datos_base!$G$19+IF(parametros_manuales!$H$25="Todos",datos_base!$G$10+datos_base!$G$24,0))*parametros_manuales!$D$100+parametros_manuales!$F$25*(datos_base!$G$4+datos_base!$G$20+IF(parametros_manuales!$H$25="Todos",datos_base!$G$11+datos_base!$G$25,0))*parametros_manuales!$D$105+parametros_manuales!$G$25*(datos_base!$G$5+datos_base!$G$21+IF(parametros_manuales!$H$25="Todos",datos_base!$G$12+datos_base!$G$26,0))*parametros_manuales!$D$110)*parametros_manuales!$I$25*parametros_manuales!$J$25</f>
        <v>10097.949963065</v>
      </c>
      <c r="E143" s="9" t="n">
        <f aca="false">(parametros_manuales!$D$25*(datos_base!$G$2+datos_base!$G$18+IF(parametros_manuales!$H$25="Todos",datos_base!$G$9+datos_base!$G$23,0))*parametros_manuales!$E$95+parametros_manuales!$E$25*(datos_base!$G$3+datos_base!$G$19+IF(parametros_manuales!$H$25="Todos",datos_base!$G$10+datos_base!$G$24,0))*parametros_manuales!$E$100+parametros_manuales!$F$25*(datos_base!$G$4+datos_base!$G$20+IF(parametros_manuales!$H$25="Todos",datos_base!$G$11+datos_base!$G$25,0))*parametros_manuales!$E$105+parametros_manuales!$G$25*(datos_base!$G$5+datos_base!$G$21+IF(parametros_manuales!$H$25="Todos",datos_base!$G$12+datos_base!$G$26,0))*parametros_manuales!$E$110)*parametros_manuales!$I$25*parametros_manuales!$J$25</f>
        <v>9661.447697715</v>
      </c>
      <c r="F143" s="9" t="n">
        <f aca="false">(parametros_manuales!$D$25*(datos_base!$G$2+datos_base!$G$18+IF(parametros_manuales!$H$25="Todos",datos_base!$G$9+datos_base!$G$23,0))*parametros_manuales!$F$95+parametros_manuales!$E$25*(datos_base!$G$3+datos_base!$G$19+IF(parametros_manuales!$H$25="Todos",datos_base!$G$10+datos_base!$G$24,0))*parametros_manuales!$F$100+parametros_manuales!$F$25*(datos_base!$G$4+datos_base!$G$20+IF(parametros_manuales!$H$25="Todos",datos_base!$G$11+datos_base!$G$25,0))*parametros_manuales!$F$105+parametros_manuales!$G$25*(datos_base!$G$5+datos_base!$G$21+IF(parametros_manuales!$H$25="Todos",datos_base!$G$12+datos_base!$G$26,0))*parametros_manuales!$F$110)*parametros_manuales!$I$25*parametros_manuales!$J$25</f>
        <v>9041.77403722</v>
      </c>
      <c r="G143" s="9" t="n">
        <f aca="false">(parametros_manuales!$D$25*(datos_base!$G$2+datos_base!$G$18+IF(parametros_manuales!$H$25="Todos",datos_base!$G$9+datos_base!$G$23,0))*parametros_manuales!$G$95+parametros_manuales!$E$25*(datos_base!$G$3+datos_base!$G$19+IF(parametros_manuales!$H$25="Todos",datos_base!$G$10+datos_base!$G$24,0))*parametros_manuales!$G$100+parametros_manuales!$F$25*(datos_base!$G$4+datos_base!$G$20+IF(parametros_manuales!$H$25="Todos",datos_base!$G$11+datos_base!$G$25,0))*parametros_manuales!$G$105+parametros_manuales!$G$25*(datos_base!$G$5+datos_base!$G$21+IF(parametros_manuales!$H$25="Todos",datos_base!$G$12+datos_base!$G$26,0))*parametros_manuales!$G$110)*parametros_manuales!$I$25*parametros_manuales!$J$25</f>
        <v>8858.602642075</v>
      </c>
      <c r="H143" s="9" t="n">
        <f aca="false">(parametros_manuales!$D$25*(datos_base!$G$2+datos_base!$G$18+IF(parametros_manuales!$H$25="Todos",datos_base!$G$9+datos_base!$G$23,0))*parametros_manuales!$H$95+parametros_manuales!$E$25*(datos_base!$G$3+datos_base!$G$19+IF(parametros_manuales!$H$25="Todos",datos_base!$G$10+datos_base!$G$24,0))*parametros_manuales!$H$100+parametros_manuales!$F$25*(datos_base!$G$4+datos_base!$G$20+IF(parametros_manuales!$H$25="Todos",datos_base!$G$11+datos_base!$G$25,0))*parametros_manuales!$H$105+parametros_manuales!$G$25*(datos_base!$G$5+datos_base!$G$21+IF(parametros_manuales!$H$25="Todos",datos_base!$G$12+datos_base!$G$26,0))*parametros_manuales!$H$110)*parametros_manuales!$I$25*parametros_manuales!$J$25</f>
        <v>9478.27630257</v>
      </c>
      <c r="I143" s="9" t="n">
        <f aca="false">(parametros_manuales!$D$25*(datos_base!$G$2+datos_base!$G$18+IF(parametros_manuales!$H$25="Todos",datos_base!$G$9+datos_base!$G$23,0))*parametros_manuales!$I$95+parametros_manuales!$E$25*(datos_base!$G$3+datos_base!$G$19+IF(parametros_manuales!$H$25="Todos",datos_base!$G$10+datos_base!$G$24,0))*parametros_manuales!$I$100+parametros_manuales!$F$25*(datos_base!$G$4+datos_base!$G$20+IF(parametros_manuales!$H$25="Todos",datos_base!$G$11+datos_base!$G$25,0))*parametros_manuales!$I$105+parametros_manuales!$G$25*(datos_base!$G$5+datos_base!$G$21+IF(parametros_manuales!$H$25="Todos",datos_base!$G$12+datos_base!$G$26,0))*parametros_manuales!$I$110)*parametros_manuales!$I$25*parametros_manuales!$J$25</f>
        <v>10787.78309862</v>
      </c>
      <c r="J143" s="9" t="n">
        <f aca="false">(parametros_manuales!$D$25*(datos_base!$G$2+datos_base!$G$18+IF(parametros_manuales!$H$25="Todos",datos_base!$G$9+datos_base!$G$23,0))*parametros_manuales!$J$95+parametros_manuales!$E$25*(datos_base!$G$3+datos_base!$G$19+IF(parametros_manuales!$H$25="Todos",datos_base!$G$10+datos_base!$G$24,0))*parametros_manuales!$J$100+parametros_manuales!$F$25*(datos_base!$G$4+datos_base!$G$20+IF(parametros_manuales!$H$25="Todos",datos_base!$G$11+datos_base!$G$25,0))*parametros_manuales!$J$105+parametros_manuales!$G$25*(datos_base!$G$5+datos_base!$G$21+IF(parametros_manuales!$H$25="Todos",datos_base!$G$12+datos_base!$G$26,0))*parametros_manuales!$J$110)*parametros_manuales!$I$25*parametros_manuales!$J$25</f>
        <v>10787.78309862</v>
      </c>
      <c r="K143" s="9" t="n">
        <f aca="false">(parametros_manuales!$D$25*(datos_base!$G$2+datos_base!$G$18+IF(parametros_manuales!$H$25="Todos",datos_base!$G$9+datos_base!$G$23,0))*parametros_manuales!$K$95+parametros_manuales!$E$25*(datos_base!$G$3+datos_base!$G$19+IF(parametros_manuales!$H$25="Todos",datos_base!$G$10+datos_base!$G$24,0))*parametros_manuales!$K$100+parametros_manuales!$F$25*(datos_base!$G$4+datos_base!$G$20+IF(parametros_manuales!$H$25="Todos",datos_base!$G$11+datos_base!$G$25,0))*parametros_manuales!$K$105+parametros_manuales!$G$25*(datos_base!$G$5+datos_base!$G$21+IF(parametros_manuales!$H$25="Todos",datos_base!$G$12+datos_base!$G$26,0))*parametros_manuales!$K$110)*parametros_manuales!$I$25*parametros_manuales!$J$25</f>
        <v>10970.954493765</v>
      </c>
      <c r="L143" s="9" t="n">
        <f aca="false">(parametros_manuales!$D$25*(datos_base!$G$2+datos_base!$G$18+IF(parametros_manuales!$H$25="Todos",datos_base!$G$9+datos_base!$G$23,0))*parametros_manuales!$L$95+parametros_manuales!$E$25*(datos_base!$G$3+datos_base!$G$19+IF(parametros_manuales!$H$25="Todos",datos_base!$G$10+datos_base!$G$24,0))*parametros_manuales!$L$100+parametros_manuales!$F$25*(datos_base!$G$4+datos_base!$G$20+IF(parametros_manuales!$H$25="Todos",datos_base!$G$11+datos_base!$G$25,0))*parametros_manuales!$L$105+parametros_manuales!$G$25*(datos_base!$G$5+datos_base!$G$21+IF(parametros_manuales!$H$25="Todos",datos_base!$G$12+datos_base!$G$26,0))*parametros_manuales!$L$110)*parametros_manuales!$I$25*parametros_manuales!$J$25</f>
        <v>11154.12588891</v>
      </c>
      <c r="M143" s="9" t="n">
        <f aca="false">(parametros_manuales!$D$25*(datos_base!$G$2+datos_base!$G$18+IF(parametros_manuales!$H$25="Todos",datos_base!$G$9+datos_base!$G$23,0))*parametros_manuales!$M$95+parametros_manuales!$E$25*(datos_base!$G$3+datos_base!$G$19+IF(parametros_manuales!$H$25="Todos",datos_base!$G$10+datos_base!$G$24,0))*parametros_manuales!$M$100+parametros_manuales!$F$25*(datos_base!$G$4+datos_base!$G$20+IF(parametros_manuales!$H$25="Todos",datos_base!$G$11+datos_base!$G$25,0))*parametros_manuales!$M$105+parametros_manuales!$G$25*(datos_base!$G$5+datos_base!$G$21+IF(parametros_manuales!$H$25="Todos",datos_base!$G$12+datos_base!$G$26,0))*parametros_manuales!$M$110)*parametros_manuales!$I$25*parametros_manuales!$J$25</f>
        <v>11154.12588891</v>
      </c>
      <c r="N143" s="9" t="n">
        <f aca="false">SUM(B143:M143)</f>
        <v>123934.732099</v>
      </c>
      <c r="O143" s="9" t="n">
        <f aca="false">MAX(B143:M143)</f>
        <v>11154.12588891</v>
      </c>
      <c r="P143" s="43" t="n">
        <f aca="false">O143/(parametros_manuales!$B$7)</f>
        <v>74.3608392594</v>
      </c>
      <c r="Q143" s="8" t="str">
        <f aca="false">IF(O143=0,"-",INDEX($B$136:$M$136,MATCH(O143,B143:M143,0)))</f>
        <v>Ene</v>
      </c>
    </row>
    <row r="144" customFormat="false" ht="14.25" hidden="false" customHeight="true" outlineLevel="0" collapsed="false">
      <c r="A144" s="8" t="str">
        <f aca="false">parametros_manuales!$B$26</f>
        <v>Cilindrado</v>
      </c>
      <c r="B144" s="9" t="n">
        <f aca="false">(parametros_manuales!$D$26*(datos_base!$G$2+datos_base!$G$18+IF(parametros_manuales!$H$26="Todos",datos_base!$G$9+datos_base!$G$23,0))*parametros_manuales!$B$95+parametros_manuales!$E$26*(datos_base!$G$3+datos_base!$G$19+IF(parametros_manuales!$H$26="Todos",datos_base!$G$10+datos_base!$G$24,0))*parametros_manuales!$B$100+parametros_manuales!$F$26*(datos_base!$G$4+datos_base!$G$20+IF(parametros_manuales!$H$26="Todos",datos_base!$G$11+datos_base!$G$25,0))*parametros_manuales!$B$105+parametros_manuales!$G$26*(datos_base!$G$5+datos_base!$G$21+IF(parametros_manuales!$H$26="Todos",datos_base!$G$12+datos_base!$G$26,0))*parametros_manuales!$B$110)*parametros_manuales!$I$26*parametros_manuales!$J$26</f>
        <v>3297.08511261</v>
      </c>
      <c r="C144" s="9" t="n">
        <f aca="false">(parametros_manuales!$D$26*(datos_base!$G$2+datos_base!$G$18+IF(parametros_manuales!$H$26="Todos",datos_base!$G$9+datos_base!$G$23,0))*parametros_manuales!$C$95+parametros_manuales!$E$26*(datos_base!$G$3+datos_base!$G$19+IF(parametros_manuales!$H$26="Todos",datos_base!$G$10+datos_base!$G$24,0))*parametros_manuales!$C$100+parametros_manuales!$F$26*(datos_base!$G$4+datos_base!$G$20+IF(parametros_manuales!$H$26="Todos",datos_base!$G$11+datos_base!$G$25,0))*parametros_manuales!$C$105+parametros_manuales!$G$26*(datos_base!$G$5+datos_base!$G$21+IF(parametros_manuales!$H$26="Todos",datos_base!$G$12+datos_base!$G$26,0))*parametros_manuales!$C$110)*parametros_manuales!$I$26*parametros_manuales!$J$26</f>
        <v>2930.74232232</v>
      </c>
      <c r="D144" s="9" t="n">
        <f aca="false">(parametros_manuales!$D$26*(datos_base!$G$2+datos_base!$G$18+IF(parametros_manuales!$H$26="Todos",datos_base!$G$9+datos_base!$G$23,0))*parametros_manuales!$D$95+parametros_manuales!$E$26*(datos_base!$G$3+datos_base!$G$19+IF(parametros_manuales!$H$26="Todos",datos_base!$G$10+datos_base!$G$24,0))*parametros_manuales!$D$100+parametros_manuales!$F$26*(datos_base!$G$4+datos_base!$G$20+IF(parametros_manuales!$H$26="Todos",datos_base!$G$11+datos_base!$G$25,0))*parametros_manuales!$D$105+parametros_manuales!$G$26*(datos_base!$G$5+datos_base!$G$21+IF(parametros_manuales!$H$26="Todos",datos_base!$G$12+datos_base!$G$26,0))*parametros_manuales!$D$110)*parametros_manuales!$I$26*parametros_manuales!$J$26</f>
        <v>3113.913717465</v>
      </c>
      <c r="E144" s="9" t="n">
        <f aca="false">(parametros_manuales!$D$26*(datos_base!$G$2+datos_base!$G$18+IF(parametros_manuales!$H$26="Todos",datos_base!$G$9+datos_base!$G$23,0))*parametros_manuales!$E$95+parametros_manuales!$E$26*(datos_base!$G$3+datos_base!$G$19+IF(parametros_manuales!$H$26="Todos",datos_base!$G$10+datos_base!$G$24,0))*parametros_manuales!$E$100+parametros_manuales!$F$26*(datos_base!$G$4+datos_base!$G$20+IF(parametros_manuales!$H$26="Todos",datos_base!$G$11+datos_base!$G$25,0))*parametros_manuales!$E$105+parametros_manuales!$G$26*(datos_base!$G$5+datos_base!$G$21+IF(parametros_manuales!$H$26="Todos",datos_base!$G$12+datos_base!$G$26,0))*parametros_manuales!$E$110)*parametros_manuales!$I$26*parametros_manuales!$J$26</f>
        <v>3113.913717465</v>
      </c>
      <c r="F144" s="9" t="n">
        <f aca="false">(parametros_manuales!$D$26*(datos_base!$G$2+datos_base!$G$18+IF(parametros_manuales!$H$26="Todos",datos_base!$G$9+datos_base!$G$23,0))*parametros_manuales!$F$95+parametros_manuales!$E$26*(datos_base!$G$3+datos_base!$G$19+IF(parametros_manuales!$H$26="Todos",datos_base!$G$10+datos_base!$G$24,0))*parametros_manuales!$F$100+parametros_manuales!$F$26*(datos_base!$G$4+datos_base!$G$20+IF(parametros_manuales!$H$26="Todos",datos_base!$G$11+datos_base!$G$25,0))*parametros_manuales!$F$105+parametros_manuales!$G$26*(datos_base!$G$5+datos_base!$G$21+IF(parametros_manuales!$H$26="Todos",datos_base!$G$12+datos_base!$G$26,0))*parametros_manuales!$F$110)*parametros_manuales!$I$26*parametros_manuales!$J$26</f>
        <v>2930.74232232</v>
      </c>
      <c r="G144" s="9" t="n">
        <f aca="false">(parametros_manuales!$D$26*(datos_base!$G$2+datos_base!$G$18+IF(parametros_manuales!$H$26="Todos",datos_base!$G$9+datos_base!$G$23,0))*parametros_manuales!$G$95+parametros_manuales!$E$26*(datos_base!$G$3+datos_base!$G$19+IF(parametros_manuales!$H$26="Todos",datos_base!$G$10+datos_base!$G$24,0))*parametros_manuales!$G$100+parametros_manuales!$F$26*(datos_base!$G$4+datos_base!$G$20+IF(parametros_manuales!$H$26="Todos",datos_base!$G$11+datos_base!$G$25,0))*parametros_manuales!$G$105+parametros_manuales!$G$26*(datos_base!$G$5+datos_base!$G$21+IF(parametros_manuales!$H$26="Todos",datos_base!$G$12+datos_base!$G$26,0))*parametros_manuales!$G$110)*parametros_manuales!$I$26*parametros_manuales!$J$26</f>
        <v>2747.570927175</v>
      </c>
      <c r="H144" s="9" t="n">
        <f aca="false">(parametros_manuales!$D$26*(datos_base!$G$2+datos_base!$G$18+IF(parametros_manuales!$H$26="Todos",datos_base!$G$9+datos_base!$G$23,0))*parametros_manuales!$H$95+parametros_manuales!$E$26*(datos_base!$G$3+datos_base!$G$19+IF(parametros_manuales!$H$26="Todos",datos_base!$G$10+datos_base!$G$24,0))*parametros_manuales!$H$100+parametros_manuales!$F$26*(datos_base!$G$4+datos_base!$G$20+IF(parametros_manuales!$H$26="Todos",datos_base!$G$11+datos_base!$G$25,0))*parametros_manuales!$H$105+parametros_manuales!$G$26*(datos_base!$G$5+datos_base!$G$21+IF(parametros_manuales!$H$26="Todos",datos_base!$G$12+datos_base!$G$26,0))*parametros_manuales!$H$110)*parametros_manuales!$I$26*parametros_manuales!$J$26</f>
        <v>2930.74232232</v>
      </c>
      <c r="I144" s="9" t="n">
        <f aca="false">(parametros_manuales!$D$26*(datos_base!$G$2+datos_base!$G$18+IF(parametros_manuales!$H$26="Todos",datos_base!$G$9+datos_base!$G$23,0))*parametros_manuales!$I$95+parametros_manuales!$E$26*(datos_base!$G$3+datos_base!$G$19+IF(parametros_manuales!$H$26="Todos",datos_base!$G$10+datos_base!$G$24,0))*parametros_manuales!$I$100+parametros_manuales!$F$26*(datos_base!$G$4+datos_base!$G$20+IF(parametros_manuales!$H$26="Todos",datos_base!$G$11+datos_base!$G$25,0))*parametros_manuales!$I$105+parametros_manuales!$G$26*(datos_base!$G$5+datos_base!$G$21+IF(parametros_manuales!$H$26="Todos",datos_base!$G$12+datos_base!$G$26,0))*parametros_manuales!$I$110)*parametros_manuales!$I$26*parametros_manuales!$J$26</f>
        <v>2930.74232232</v>
      </c>
      <c r="J144" s="9" t="n">
        <f aca="false">(parametros_manuales!$D$26*(datos_base!$G$2+datos_base!$G$18+IF(parametros_manuales!$H$26="Todos",datos_base!$G$9+datos_base!$G$23,0))*parametros_manuales!$J$95+parametros_manuales!$E$26*(datos_base!$G$3+datos_base!$G$19+IF(parametros_manuales!$H$26="Todos",datos_base!$G$10+datos_base!$G$24,0))*parametros_manuales!$J$100+parametros_manuales!$F$26*(datos_base!$G$4+datos_base!$G$20+IF(parametros_manuales!$H$26="Todos",datos_base!$G$11+datos_base!$G$25,0))*parametros_manuales!$J$105+parametros_manuales!$G$26*(datos_base!$G$5+datos_base!$G$21+IF(parametros_manuales!$H$26="Todos",datos_base!$G$12+datos_base!$G$26,0))*parametros_manuales!$J$110)*parametros_manuales!$I$26*parametros_manuales!$J$26</f>
        <v>2930.74232232</v>
      </c>
      <c r="K144" s="9" t="n">
        <f aca="false">(parametros_manuales!$D$26*(datos_base!$G$2+datos_base!$G$18+IF(parametros_manuales!$H$26="Todos",datos_base!$G$9+datos_base!$G$23,0))*parametros_manuales!$K$95+parametros_manuales!$E$26*(datos_base!$G$3+datos_base!$G$19+IF(parametros_manuales!$H$26="Todos",datos_base!$G$10+datos_base!$G$24,0))*parametros_manuales!$K$100+parametros_manuales!$F$26*(datos_base!$G$4+datos_base!$G$20+IF(parametros_manuales!$H$26="Todos",datos_base!$G$11+datos_base!$G$25,0))*parametros_manuales!$K$105+parametros_manuales!$G$26*(datos_base!$G$5+datos_base!$G$21+IF(parametros_manuales!$H$26="Todos",datos_base!$G$12+datos_base!$G$26,0))*parametros_manuales!$K$110)*parametros_manuales!$I$26*parametros_manuales!$J$26</f>
        <v>3113.913717465</v>
      </c>
      <c r="L144" s="9" t="n">
        <f aca="false">(parametros_manuales!$D$26*(datos_base!$G$2+datos_base!$G$18+IF(parametros_manuales!$H$26="Todos",datos_base!$G$9+datos_base!$G$23,0))*parametros_manuales!$L$95+parametros_manuales!$E$26*(datos_base!$G$3+datos_base!$G$19+IF(parametros_manuales!$H$26="Todos",datos_base!$G$10+datos_base!$G$24,0))*parametros_manuales!$L$100+parametros_manuales!$F$26*(datos_base!$G$4+datos_base!$G$20+IF(parametros_manuales!$H$26="Todos",datos_base!$G$11+datos_base!$G$25,0))*parametros_manuales!$L$105+parametros_manuales!$G$26*(datos_base!$G$5+datos_base!$G$21+IF(parametros_manuales!$H$26="Todos",datos_base!$G$12+datos_base!$G$26,0))*parametros_manuales!$L$110)*parametros_manuales!$I$26*parametros_manuales!$J$26</f>
        <v>3297.08511261</v>
      </c>
      <c r="M144" s="9" t="n">
        <f aca="false">(parametros_manuales!$D$26*(datos_base!$G$2+datos_base!$G$18+IF(parametros_manuales!$H$26="Todos",datos_base!$G$9+datos_base!$G$23,0))*parametros_manuales!$M$95+parametros_manuales!$E$26*(datos_base!$G$3+datos_base!$G$19+IF(parametros_manuales!$H$26="Todos",datos_base!$G$10+datos_base!$G$24,0))*parametros_manuales!$M$100+parametros_manuales!$F$26*(datos_base!$G$4+datos_base!$G$20+IF(parametros_manuales!$H$26="Todos",datos_base!$G$11+datos_base!$G$25,0))*parametros_manuales!$M$105+parametros_manuales!$G$26*(datos_base!$G$5+datos_base!$G$21+IF(parametros_manuales!$H$26="Todos",datos_base!$G$12+datos_base!$G$26,0))*parametros_manuales!$M$110)*parametros_manuales!$I$26*parametros_manuales!$J$26</f>
        <v>3297.08511261</v>
      </c>
      <c r="N144" s="9" t="n">
        <f aca="false">SUM(B144:M144)</f>
        <v>36634.279029</v>
      </c>
      <c r="O144" s="9" t="n">
        <f aca="false">MAX(B144:M144)</f>
        <v>3297.08511261</v>
      </c>
      <c r="P144" s="43" t="n">
        <f aca="false">O144/(parametros_manuales!$B$7)</f>
        <v>21.9805674174</v>
      </c>
      <c r="Q144" s="8" t="str">
        <f aca="false">IF(O144=0,"-",INDEX($B$136:$M$136,MATCH(O144,B144:M144,0)))</f>
        <v>Ene</v>
      </c>
    </row>
    <row r="145" customFormat="false" ht="14.25" hidden="false" customHeight="true" outlineLevel="0" collapsed="false">
      <c r="A145" s="8" t="str">
        <f aca="false">parametros_manuales!$B$27</f>
        <v>Soldadura longitudinal</v>
      </c>
      <c r="B145" s="9" t="n">
        <f aca="false">(parametros_manuales!$D$27*(datos_base!$G$2+datos_base!$G$18+IF(parametros_manuales!$H$27="Todos",datos_base!$G$9+datos_base!$G$23,0))*parametros_manuales!$B$95+parametros_manuales!$E$27*(datos_base!$G$3+datos_base!$G$19+IF(parametros_manuales!$H$27="Todos",datos_base!$G$10+datos_base!$G$24,0))*parametros_manuales!$B$100+parametros_manuales!$F$27*(datos_base!$G$4+datos_base!$G$20+IF(parametros_manuales!$H$27="Todos",datos_base!$G$11+datos_base!$G$25,0))*parametros_manuales!$B$105+parametros_manuales!$G$27*(datos_base!$G$5+datos_base!$G$21+IF(parametros_manuales!$H$27="Todos",datos_base!$G$12+datos_base!$G$26,0))*parametros_manuales!$B$110)*parametros_manuales!$I$27*parametros_manuales!$J$27</f>
        <v>3297.08511261</v>
      </c>
      <c r="C145" s="9" t="n">
        <f aca="false">(parametros_manuales!$D$27*(datos_base!$G$2+datos_base!$G$18+IF(parametros_manuales!$H$27="Todos",datos_base!$G$9+datos_base!$G$23,0))*parametros_manuales!$C$95+parametros_manuales!$E$27*(datos_base!$G$3+datos_base!$G$19+IF(parametros_manuales!$H$27="Todos",datos_base!$G$10+datos_base!$G$24,0))*parametros_manuales!$C$100+parametros_manuales!$F$27*(datos_base!$G$4+datos_base!$G$20+IF(parametros_manuales!$H$27="Todos",datos_base!$G$11+datos_base!$G$25,0))*parametros_manuales!$C$105+parametros_manuales!$G$27*(datos_base!$G$5+datos_base!$G$21+IF(parametros_manuales!$H$27="Todos",datos_base!$G$12+datos_base!$G$26,0))*parametros_manuales!$C$110)*parametros_manuales!$I$27*parametros_manuales!$J$27</f>
        <v>2930.74232232</v>
      </c>
      <c r="D145" s="9" t="n">
        <f aca="false">(parametros_manuales!$D$27*(datos_base!$G$2+datos_base!$G$18+IF(parametros_manuales!$H$27="Todos",datos_base!$G$9+datos_base!$G$23,0))*parametros_manuales!$D$95+parametros_manuales!$E$27*(datos_base!$G$3+datos_base!$G$19+IF(parametros_manuales!$H$27="Todos",datos_base!$G$10+datos_base!$G$24,0))*parametros_manuales!$D$100+parametros_manuales!$F$27*(datos_base!$G$4+datos_base!$G$20+IF(parametros_manuales!$H$27="Todos",datos_base!$G$11+datos_base!$G$25,0))*parametros_manuales!$D$105+parametros_manuales!$G$27*(datos_base!$G$5+datos_base!$G$21+IF(parametros_manuales!$H$27="Todos",datos_base!$G$12+datos_base!$G$26,0))*parametros_manuales!$D$110)*parametros_manuales!$I$27*parametros_manuales!$J$27</f>
        <v>3113.913717465</v>
      </c>
      <c r="E145" s="9" t="n">
        <f aca="false">(parametros_manuales!$D$27*(datos_base!$G$2+datos_base!$G$18+IF(parametros_manuales!$H$27="Todos",datos_base!$G$9+datos_base!$G$23,0))*parametros_manuales!$E$95+parametros_manuales!$E$27*(datos_base!$G$3+datos_base!$G$19+IF(parametros_manuales!$H$27="Todos",datos_base!$G$10+datos_base!$G$24,0))*parametros_manuales!$E$100+parametros_manuales!$F$27*(datos_base!$G$4+datos_base!$G$20+IF(parametros_manuales!$H$27="Todos",datos_base!$G$11+datos_base!$G$25,0))*parametros_manuales!$E$105+parametros_manuales!$G$27*(datos_base!$G$5+datos_base!$G$21+IF(parametros_manuales!$H$27="Todos",datos_base!$G$12+datos_base!$G$26,0))*parametros_manuales!$E$110)*parametros_manuales!$I$27*parametros_manuales!$J$27</f>
        <v>3113.913717465</v>
      </c>
      <c r="F145" s="9" t="n">
        <f aca="false">(parametros_manuales!$D$27*(datos_base!$G$2+datos_base!$G$18+IF(parametros_manuales!$H$27="Todos",datos_base!$G$9+datos_base!$G$23,0))*parametros_manuales!$F$95+parametros_manuales!$E$27*(datos_base!$G$3+datos_base!$G$19+IF(parametros_manuales!$H$27="Todos",datos_base!$G$10+datos_base!$G$24,0))*parametros_manuales!$F$100+parametros_manuales!$F$27*(datos_base!$G$4+datos_base!$G$20+IF(parametros_manuales!$H$27="Todos",datos_base!$G$11+datos_base!$G$25,0))*parametros_manuales!$F$105+parametros_manuales!$G$27*(datos_base!$G$5+datos_base!$G$21+IF(parametros_manuales!$H$27="Todos",datos_base!$G$12+datos_base!$G$26,0))*parametros_manuales!$F$110)*parametros_manuales!$I$27*parametros_manuales!$J$27</f>
        <v>2930.74232232</v>
      </c>
      <c r="G145" s="9" t="n">
        <f aca="false">(parametros_manuales!$D$27*(datos_base!$G$2+datos_base!$G$18+IF(parametros_manuales!$H$27="Todos",datos_base!$G$9+datos_base!$G$23,0))*parametros_manuales!$G$95+parametros_manuales!$E$27*(datos_base!$G$3+datos_base!$G$19+IF(parametros_manuales!$H$27="Todos",datos_base!$G$10+datos_base!$G$24,0))*parametros_manuales!$G$100+parametros_manuales!$F$27*(datos_base!$G$4+datos_base!$G$20+IF(parametros_manuales!$H$27="Todos",datos_base!$G$11+datos_base!$G$25,0))*parametros_manuales!$G$105+parametros_manuales!$G$27*(datos_base!$G$5+datos_base!$G$21+IF(parametros_manuales!$H$27="Todos",datos_base!$G$12+datos_base!$G$26,0))*parametros_manuales!$G$110)*parametros_manuales!$I$27*parametros_manuales!$J$27</f>
        <v>2747.570927175</v>
      </c>
      <c r="H145" s="9" t="n">
        <f aca="false">(parametros_manuales!$D$27*(datos_base!$G$2+datos_base!$G$18+IF(parametros_manuales!$H$27="Todos",datos_base!$G$9+datos_base!$G$23,0))*parametros_manuales!$H$95+parametros_manuales!$E$27*(datos_base!$G$3+datos_base!$G$19+IF(parametros_manuales!$H$27="Todos",datos_base!$G$10+datos_base!$G$24,0))*parametros_manuales!$H$100+parametros_manuales!$F$27*(datos_base!$G$4+datos_base!$G$20+IF(parametros_manuales!$H$27="Todos",datos_base!$G$11+datos_base!$G$25,0))*parametros_manuales!$H$105+parametros_manuales!$G$27*(datos_base!$G$5+datos_base!$G$21+IF(parametros_manuales!$H$27="Todos",datos_base!$G$12+datos_base!$G$26,0))*parametros_manuales!$H$110)*parametros_manuales!$I$27*parametros_manuales!$J$27</f>
        <v>2930.74232232</v>
      </c>
      <c r="I145" s="9" t="n">
        <f aca="false">(parametros_manuales!$D$27*(datos_base!$G$2+datos_base!$G$18+IF(parametros_manuales!$H$27="Todos",datos_base!$G$9+datos_base!$G$23,0))*parametros_manuales!$I$95+parametros_manuales!$E$27*(datos_base!$G$3+datos_base!$G$19+IF(parametros_manuales!$H$27="Todos",datos_base!$G$10+datos_base!$G$24,0))*parametros_manuales!$I$100+parametros_manuales!$F$27*(datos_base!$G$4+datos_base!$G$20+IF(parametros_manuales!$H$27="Todos",datos_base!$G$11+datos_base!$G$25,0))*parametros_manuales!$I$105+parametros_manuales!$G$27*(datos_base!$G$5+datos_base!$G$21+IF(parametros_manuales!$H$27="Todos",datos_base!$G$12+datos_base!$G$26,0))*parametros_manuales!$I$110)*parametros_manuales!$I$27*parametros_manuales!$J$27</f>
        <v>2930.74232232</v>
      </c>
      <c r="J145" s="9" t="n">
        <f aca="false">(parametros_manuales!$D$27*(datos_base!$G$2+datos_base!$G$18+IF(parametros_manuales!$H$27="Todos",datos_base!$G$9+datos_base!$G$23,0))*parametros_manuales!$J$95+parametros_manuales!$E$27*(datos_base!$G$3+datos_base!$G$19+IF(parametros_manuales!$H$27="Todos",datos_base!$G$10+datos_base!$G$24,0))*parametros_manuales!$J$100+parametros_manuales!$F$27*(datos_base!$G$4+datos_base!$G$20+IF(parametros_manuales!$H$27="Todos",datos_base!$G$11+datos_base!$G$25,0))*parametros_manuales!$J$105+parametros_manuales!$G$27*(datos_base!$G$5+datos_base!$G$21+IF(parametros_manuales!$H$27="Todos",datos_base!$G$12+datos_base!$G$26,0))*parametros_manuales!$J$110)*parametros_manuales!$I$27*parametros_manuales!$J$27</f>
        <v>2930.74232232</v>
      </c>
      <c r="K145" s="9" t="n">
        <f aca="false">(parametros_manuales!$D$27*(datos_base!$G$2+datos_base!$G$18+IF(parametros_manuales!$H$27="Todos",datos_base!$G$9+datos_base!$G$23,0))*parametros_manuales!$K$95+parametros_manuales!$E$27*(datos_base!$G$3+datos_base!$G$19+IF(parametros_manuales!$H$27="Todos",datos_base!$G$10+datos_base!$G$24,0))*parametros_manuales!$K$100+parametros_manuales!$F$27*(datos_base!$G$4+datos_base!$G$20+IF(parametros_manuales!$H$27="Todos",datos_base!$G$11+datos_base!$G$25,0))*parametros_manuales!$K$105+parametros_manuales!$G$27*(datos_base!$G$5+datos_base!$G$21+IF(parametros_manuales!$H$27="Todos",datos_base!$G$12+datos_base!$G$26,0))*parametros_manuales!$K$110)*parametros_manuales!$I$27*parametros_manuales!$J$27</f>
        <v>3113.913717465</v>
      </c>
      <c r="L145" s="9" t="n">
        <f aca="false">(parametros_manuales!$D$27*(datos_base!$G$2+datos_base!$G$18+IF(parametros_manuales!$H$27="Todos",datos_base!$G$9+datos_base!$G$23,0))*parametros_manuales!$L$95+parametros_manuales!$E$27*(datos_base!$G$3+datos_base!$G$19+IF(parametros_manuales!$H$27="Todos",datos_base!$G$10+datos_base!$G$24,0))*parametros_manuales!$L$100+parametros_manuales!$F$27*(datos_base!$G$4+datos_base!$G$20+IF(parametros_manuales!$H$27="Todos",datos_base!$G$11+datos_base!$G$25,0))*parametros_manuales!$L$105+parametros_manuales!$G$27*(datos_base!$G$5+datos_base!$G$21+IF(parametros_manuales!$H$27="Todos",datos_base!$G$12+datos_base!$G$26,0))*parametros_manuales!$L$110)*parametros_manuales!$I$27*parametros_manuales!$J$27</f>
        <v>3297.08511261</v>
      </c>
      <c r="M145" s="9" t="n">
        <f aca="false">(parametros_manuales!$D$27*(datos_base!$G$2+datos_base!$G$18+IF(parametros_manuales!$H$27="Todos",datos_base!$G$9+datos_base!$G$23,0))*parametros_manuales!$M$95+parametros_manuales!$E$27*(datos_base!$G$3+datos_base!$G$19+IF(parametros_manuales!$H$27="Todos",datos_base!$G$10+datos_base!$G$24,0))*parametros_manuales!$M$100+parametros_manuales!$F$27*(datos_base!$G$4+datos_base!$G$20+IF(parametros_manuales!$H$27="Todos",datos_base!$G$11+datos_base!$G$25,0))*parametros_manuales!$M$105+parametros_manuales!$G$27*(datos_base!$G$5+datos_base!$G$21+IF(parametros_manuales!$H$27="Todos",datos_base!$G$12+datos_base!$G$26,0))*parametros_manuales!$M$110)*parametros_manuales!$I$27*parametros_manuales!$J$27</f>
        <v>3297.08511261</v>
      </c>
      <c r="N145" s="9" t="n">
        <f aca="false">SUM(B145:M145)</f>
        <v>36634.279029</v>
      </c>
      <c r="O145" s="9" t="n">
        <f aca="false">MAX(B145:M145)</f>
        <v>3297.08511261</v>
      </c>
      <c r="P145" s="43" t="n">
        <f aca="false">O145/(parametros_manuales!$B$7)</f>
        <v>21.9805674174</v>
      </c>
      <c r="Q145" s="8" t="str">
        <f aca="false">IF(O145=0,"-",INDEX($B$136:$M$136,MATCH(O145,B145:M145,0)))</f>
        <v>Ene</v>
      </c>
    </row>
    <row r="146" customFormat="false" ht="14.25" hidden="false" customHeight="true" outlineLevel="0" collapsed="false">
      <c r="A146" s="8" t="str">
        <f aca="false">parametros_manuales!$B$28</f>
        <v>Encastre de fondo</v>
      </c>
      <c r="B146" s="9" t="n">
        <f aca="false">(parametros_manuales!$D$28*(datos_base!$G$2+datos_base!$G$18+IF(parametros_manuales!$H$28="Todos",datos_base!$G$9+datos_base!$G$23,0))*parametros_manuales!$B$95+parametros_manuales!$E$28*(datos_base!$G$3+datos_base!$G$19+IF(parametros_manuales!$H$28="Todos",datos_base!$G$10+datos_base!$G$24,0))*parametros_manuales!$B$100+parametros_manuales!$F$28*(datos_base!$G$4+datos_base!$G$20+IF(parametros_manuales!$H$28="Todos",datos_base!$G$11+datos_base!$G$25,0))*parametros_manuales!$B$105+parametros_manuales!$G$28*(datos_base!$G$5+datos_base!$G$21+IF(parametros_manuales!$H$28="Todos",datos_base!$G$12+datos_base!$G$26,0))*parametros_manuales!$B$110)*parametros_manuales!$I$28*parametros_manuales!$J$28</f>
        <v>11154.12588891</v>
      </c>
      <c r="C146" s="9" t="n">
        <f aca="false">(parametros_manuales!$D$28*(datos_base!$G$2+datos_base!$G$18+IF(parametros_manuales!$H$28="Todos",datos_base!$G$9+datos_base!$G$23,0))*parametros_manuales!$C$95+parametros_manuales!$E$28*(datos_base!$G$3+datos_base!$G$19+IF(parametros_manuales!$H$28="Todos",datos_base!$G$10+datos_base!$G$24,0))*parametros_manuales!$C$100+parametros_manuales!$F$28*(datos_base!$G$4+datos_base!$G$20+IF(parametros_manuales!$H$28="Todos",datos_base!$G$11+datos_base!$G$25,0))*parametros_manuales!$C$105+parametros_manuales!$G$28*(datos_base!$G$5+datos_base!$G$21+IF(parametros_manuales!$H$28="Todos",datos_base!$G$12+datos_base!$G$26,0))*parametros_manuales!$C$110)*parametros_manuales!$I$28*parametros_manuales!$J$28</f>
        <v>10787.78309862</v>
      </c>
      <c r="D146" s="9" t="n">
        <f aca="false">(parametros_manuales!$D$28*(datos_base!$G$2+datos_base!$G$18+IF(parametros_manuales!$H$28="Todos",datos_base!$G$9+datos_base!$G$23,0))*parametros_manuales!$D$95+parametros_manuales!$E$28*(datos_base!$G$3+datos_base!$G$19+IF(parametros_manuales!$H$28="Todos",datos_base!$G$10+datos_base!$G$24,0))*parametros_manuales!$D$100+parametros_manuales!$F$28*(datos_base!$G$4+datos_base!$G$20+IF(parametros_manuales!$H$28="Todos",datos_base!$G$11+datos_base!$G$25,0))*parametros_manuales!$D$105+parametros_manuales!$G$28*(datos_base!$G$5+datos_base!$G$21+IF(parametros_manuales!$H$28="Todos",datos_base!$G$12+datos_base!$G$26,0))*parametros_manuales!$D$110)*parametros_manuales!$I$28*parametros_manuales!$J$28</f>
        <v>10097.949963065</v>
      </c>
      <c r="E146" s="9" t="n">
        <f aca="false">(parametros_manuales!$D$28*(datos_base!$G$2+datos_base!$G$18+IF(parametros_manuales!$H$28="Todos",datos_base!$G$9+datos_base!$G$23,0))*parametros_manuales!$E$95+parametros_manuales!$E$28*(datos_base!$G$3+datos_base!$G$19+IF(parametros_manuales!$H$28="Todos",datos_base!$G$10+datos_base!$G$24,0))*parametros_manuales!$E$100+parametros_manuales!$F$28*(datos_base!$G$4+datos_base!$G$20+IF(parametros_manuales!$H$28="Todos",datos_base!$G$11+datos_base!$G$25,0))*parametros_manuales!$E$105+parametros_manuales!$G$28*(datos_base!$G$5+datos_base!$G$21+IF(parametros_manuales!$H$28="Todos",datos_base!$G$12+datos_base!$G$26,0))*parametros_manuales!$E$110)*parametros_manuales!$I$28*parametros_manuales!$J$28</f>
        <v>9661.447697715</v>
      </c>
      <c r="F146" s="9" t="n">
        <f aca="false">(parametros_manuales!$D$28*(datos_base!$G$2+datos_base!$G$18+IF(parametros_manuales!$H$28="Todos",datos_base!$G$9+datos_base!$G$23,0))*parametros_manuales!$F$95+parametros_manuales!$E$28*(datos_base!$G$3+datos_base!$G$19+IF(parametros_manuales!$H$28="Todos",datos_base!$G$10+datos_base!$G$24,0))*parametros_manuales!$F$100+parametros_manuales!$F$28*(datos_base!$G$4+datos_base!$G$20+IF(parametros_manuales!$H$28="Todos",datos_base!$G$11+datos_base!$G$25,0))*parametros_manuales!$F$105+parametros_manuales!$G$28*(datos_base!$G$5+datos_base!$G$21+IF(parametros_manuales!$H$28="Todos",datos_base!$G$12+datos_base!$G$26,0))*parametros_manuales!$F$110)*parametros_manuales!$I$28*parametros_manuales!$J$28</f>
        <v>9041.77403722</v>
      </c>
      <c r="G146" s="9" t="n">
        <f aca="false">(parametros_manuales!$D$28*(datos_base!$G$2+datos_base!$G$18+IF(parametros_manuales!$H$28="Todos",datos_base!$G$9+datos_base!$G$23,0))*parametros_manuales!$G$95+parametros_manuales!$E$28*(datos_base!$G$3+datos_base!$G$19+IF(parametros_manuales!$H$28="Todos",datos_base!$G$10+datos_base!$G$24,0))*parametros_manuales!$G$100+parametros_manuales!$F$28*(datos_base!$G$4+datos_base!$G$20+IF(parametros_manuales!$H$28="Todos",datos_base!$G$11+datos_base!$G$25,0))*parametros_manuales!$G$105+parametros_manuales!$G$28*(datos_base!$G$5+datos_base!$G$21+IF(parametros_manuales!$H$28="Todos",datos_base!$G$12+datos_base!$G$26,0))*parametros_manuales!$G$110)*parametros_manuales!$I$28*parametros_manuales!$J$28</f>
        <v>8858.602642075</v>
      </c>
      <c r="H146" s="9" t="n">
        <f aca="false">(parametros_manuales!$D$28*(datos_base!$G$2+datos_base!$G$18+IF(parametros_manuales!$H$28="Todos",datos_base!$G$9+datos_base!$G$23,0))*parametros_manuales!$H$95+parametros_manuales!$E$28*(datos_base!$G$3+datos_base!$G$19+IF(parametros_manuales!$H$28="Todos",datos_base!$G$10+datos_base!$G$24,0))*parametros_manuales!$H$100+parametros_manuales!$F$28*(datos_base!$G$4+datos_base!$G$20+IF(parametros_manuales!$H$28="Todos",datos_base!$G$11+datos_base!$G$25,0))*parametros_manuales!$H$105+parametros_manuales!$G$28*(datos_base!$G$5+datos_base!$G$21+IF(parametros_manuales!$H$28="Todos",datos_base!$G$12+datos_base!$G$26,0))*parametros_manuales!$H$110)*parametros_manuales!$I$28*parametros_manuales!$J$28</f>
        <v>9478.27630257</v>
      </c>
      <c r="I146" s="9" t="n">
        <f aca="false">(parametros_manuales!$D$28*(datos_base!$G$2+datos_base!$G$18+IF(parametros_manuales!$H$28="Todos",datos_base!$G$9+datos_base!$G$23,0))*parametros_manuales!$I$95+parametros_manuales!$E$28*(datos_base!$G$3+datos_base!$G$19+IF(parametros_manuales!$H$28="Todos",datos_base!$G$10+datos_base!$G$24,0))*parametros_manuales!$I$100+parametros_manuales!$F$28*(datos_base!$G$4+datos_base!$G$20+IF(parametros_manuales!$H$28="Todos",datos_base!$G$11+datos_base!$G$25,0))*parametros_manuales!$I$105+parametros_manuales!$G$28*(datos_base!$G$5+datos_base!$G$21+IF(parametros_manuales!$H$28="Todos",datos_base!$G$12+datos_base!$G$26,0))*parametros_manuales!$I$110)*parametros_manuales!$I$28*parametros_manuales!$J$28</f>
        <v>10787.78309862</v>
      </c>
      <c r="J146" s="9" t="n">
        <f aca="false">(parametros_manuales!$D$28*(datos_base!$G$2+datos_base!$G$18+IF(parametros_manuales!$H$28="Todos",datos_base!$G$9+datos_base!$G$23,0))*parametros_manuales!$J$95+parametros_manuales!$E$28*(datos_base!$G$3+datos_base!$G$19+IF(parametros_manuales!$H$28="Todos",datos_base!$G$10+datos_base!$G$24,0))*parametros_manuales!$J$100+parametros_manuales!$F$28*(datos_base!$G$4+datos_base!$G$20+IF(parametros_manuales!$H$28="Todos",datos_base!$G$11+datos_base!$G$25,0))*parametros_manuales!$J$105+parametros_manuales!$G$28*(datos_base!$G$5+datos_base!$G$21+IF(parametros_manuales!$H$28="Todos",datos_base!$G$12+datos_base!$G$26,0))*parametros_manuales!$J$110)*parametros_manuales!$I$28*parametros_manuales!$J$28</f>
        <v>10787.78309862</v>
      </c>
      <c r="K146" s="9" t="n">
        <f aca="false">(parametros_manuales!$D$28*(datos_base!$G$2+datos_base!$G$18+IF(parametros_manuales!$H$28="Todos",datos_base!$G$9+datos_base!$G$23,0))*parametros_manuales!$K$95+parametros_manuales!$E$28*(datos_base!$G$3+datos_base!$G$19+IF(parametros_manuales!$H$28="Todos",datos_base!$G$10+datos_base!$G$24,0))*parametros_manuales!$K$100+parametros_manuales!$F$28*(datos_base!$G$4+datos_base!$G$20+IF(parametros_manuales!$H$28="Todos",datos_base!$G$11+datos_base!$G$25,0))*parametros_manuales!$K$105+parametros_manuales!$G$28*(datos_base!$G$5+datos_base!$G$21+IF(parametros_manuales!$H$28="Todos",datos_base!$G$12+datos_base!$G$26,0))*parametros_manuales!$K$110)*parametros_manuales!$I$28*parametros_manuales!$J$28</f>
        <v>10970.954493765</v>
      </c>
      <c r="L146" s="9" t="n">
        <f aca="false">(parametros_manuales!$D$28*(datos_base!$G$2+datos_base!$G$18+IF(parametros_manuales!$H$28="Todos",datos_base!$G$9+datos_base!$G$23,0))*parametros_manuales!$L$95+parametros_manuales!$E$28*(datos_base!$G$3+datos_base!$G$19+IF(parametros_manuales!$H$28="Todos",datos_base!$G$10+datos_base!$G$24,0))*parametros_manuales!$L$100+parametros_manuales!$F$28*(datos_base!$G$4+datos_base!$G$20+IF(parametros_manuales!$H$28="Todos",datos_base!$G$11+datos_base!$G$25,0))*parametros_manuales!$L$105+parametros_manuales!$G$28*(datos_base!$G$5+datos_base!$G$21+IF(parametros_manuales!$H$28="Todos",datos_base!$G$12+datos_base!$G$26,0))*parametros_manuales!$L$110)*parametros_manuales!$I$28*parametros_manuales!$J$28</f>
        <v>11154.12588891</v>
      </c>
      <c r="M146" s="9" t="n">
        <f aca="false">(parametros_manuales!$D$28*(datos_base!$G$2+datos_base!$G$18+IF(parametros_manuales!$H$28="Todos",datos_base!$G$9+datos_base!$G$23,0))*parametros_manuales!$M$95+parametros_manuales!$E$28*(datos_base!$G$3+datos_base!$G$19+IF(parametros_manuales!$H$28="Todos",datos_base!$G$10+datos_base!$G$24,0))*parametros_manuales!$M$100+parametros_manuales!$F$28*(datos_base!$G$4+datos_base!$G$20+IF(parametros_manuales!$H$28="Todos",datos_base!$G$11+datos_base!$G$25,0))*parametros_manuales!$M$105+parametros_manuales!$G$28*(datos_base!$G$5+datos_base!$G$21+IF(parametros_manuales!$H$28="Todos",datos_base!$G$12+datos_base!$G$26,0))*parametros_manuales!$M$110)*parametros_manuales!$I$28*parametros_manuales!$J$28</f>
        <v>11154.12588891</v>
      </c>
      <c r="N146" s="9" t="n">
        <f aca="false">SUM(B146:M146)</f>
        <v>123934.732099</v>
      </c>
      <c r="O146" s="9" t="n">
        <f aca="false">MAX(B146:M146)</f>
        <v>11154.12588891</v>
      </c>
      <c r="P146" s="43" t="n">
        <f aca="false">O146/(parametros_manuales!$B$7)</f>
        <v>74.3608392594</v>
      </c>
      <c r="Q146" s="8" t="str">
        <f aca="false">IF(O146=0,"-",INDEX($B$136:$M$136,MATCH(O146,B146:M146,0)))</f>
        <v>Ene</v>
      </c>
    </row>
    <row r="147" customFormat="false" ht="14.25" hidden="false" customHeight="true" outlineLevel="0" collapsed="false">
      <c r="A147" s="8" t="str">
        <f aca="false">parametros_manuales!$B$29</f>
        <v>Bordoneado</v>
      </c>
      <c r="B147" s="9" t="n">
        <f aca="false">(parametros_manuales!$D$29*(datos_base!$G$2+datos_base!$G$18+IF(parametros_manuales!$H$29="Todos",datos_base!$G$9+datos_base!$G$23,0))*parametros_manuales!$B$95+parametros_manuales!$E$29*(datos_base!$G$3+datos_base!$G$19+IF(parametros_manuales!$H$29="Todos",datos_base!$G$10+datos_base!$G$24,0))*parametros_manuales!$B$100+parametros_manuales!$F$29*(datos_base!$G$4+datos_base!$G$20+IF(parametros_manuales!$H$29="Todos",datos_base!$G$11+datos_base!$G$25,0))*parametros_manuales!$B$105+parametros_manuales!$G$29*(datos_base!$G$5+datos_base!$G$21+IF(parametros_manuales!$H$29="Todos",datos_base!$G$12+datos_base!$G$26,0))*parametros_manuales!$B$110)*parametros_manuales!$I$29*parametros_manuales!$J$29</f>
        <v>11154.12588891</v>
      </c>
      <c r="C147" s="9" t="n">
        <f aca="false">(parametros_manuales!$D$29*(datos_base!$G$2+datos_base!$G$18+IF(parametros_manuales!$H$29="Todos",datos_base!$G$9+datos_base!$G$23,0))*parametros_manuales!$C$95+parametros_manuales!$E$29*(datos_base!$G$3+datos_base!$G$19+IF(parametros_manuales!$H$29="Todos",datos_base!$G$10+datos_base!$G$24,0))*parametros_manuales!$C$100+parametros_manuales!$F$29*(datos_base!$G$4+datos_base!$G$20+IF(parametros_manuales!$H$29="Todos",datos_base!$G$11+datos_base!$G$25,0))*parametros_manuales!$C$105+parametros_manuales!$G$29*(datos_base!$G$5+datos_base!$G$21+IF(parametros_manuales!$H$29="Todos",datos_base!$G$12+datos_base!$G$26,0))*parametros_manuales!$C$110)*parametros_manuales!$I$29*parametros_manuales!$J$29</f>
        <v>10787.78309862</v>
      </c>
      <c r="D147" s="9" t="n">
        <f aca="false">(parametros_manuales!$D$29*(datos_base!$G$2+datos_base!$G$18+IF(parametros_manuales!$H$29="Todos",datos_base!$G$9+datos_base!$G$23,0))*parametros_manuales!$D$95+parametros_manuales!$E$29*(datos_base!$G$3+datos_base!$G$19+IF(parametros_manuales!$H$29="Todos",datos_base!$G$10+datos_base!$G$24,0))*parametros_manuales!$D$100+parametros_manuales!$F$29*(datos_base!$G$4+datos_base!$G$20+IF(parametros_manuales!$H$29="Todos",datos_base!$G$11+datos_base!$G$25,0))*parametros_manuales!$D$105+parametros_manuales!$G$29*(datos_base!$G$5+datos_base!$G$21+IF(parametros_manuales!$H$29="Todos",datos_base!$G$12+datos_base!$G$26,0))*parametros_manuales!$D$110)*parametros_manuales!$I$29*parametros_manuales!$J$29</f>
        <v>10097.949963065</v>
      </c>
      <c r="E147" s="9" t="n">
        <f aca="false">(parametros_manuales!$D$29*(datos_base!$G$2+datos_base!$G$18+IF(parametros_manuales!$H$29="Todos",datos_base!$G$9+datos_base!$G$23,0))*parametros_manuales!$E$95+parametros_manuales!$E$29*(datos_base!$G$3+datos_base!$G$19+IF(parametros_manuales!$H$29="Todos",datos_base!$G$10+datos_base!$G$24,0))*parametros_manuales!$E$100+parametros_manuales!$F$29*(datos_base!$G$4+datos_base!$G$20+IF(parametros_manuales!$H$29="Todos",datos_base!$G$11+datos_base!$G$25,0))*parametros_manuales!$E$105+parametros_manuales!$G$29*(datos_base!$G$5+datos_base!$G$21+IF(parametros_manuales!$H$29="Todos",datos_base!$G$12+datos_base!$G$26,0))*parametros_manuales!$E$110)*parametros_manuales!$I$29*parametros_manuales!$J$29</f>
        <v>9661.447697715</v>
      </c>
      <c r="F147" s="9" t="n">
        <f aca="false">(parametros_manuales!$D$29*(datos_base!$G$2+datos_base!$G$18+IF(parametros_manuales!$H$29="Todos",datos_base!$G$9+datos_base!$G$23,0))*parametros_manuales!$F$95+parametros_manuales!$E$29*(datos_base!$G$3+datos_base!$G$19+IF(parametros_manuales!$H$29="Todos",datos_base!$G$10+datos_base!$G$24,0))*parametros_manuales!$F$100+parametros_manuales!$F$29*(datos_base!$G$4+datos_base!$G$20+IF(parametros_manuales!$H$29="Todos",datos_base!$G$11+datos_base!$G$25,0))*parametros_manuales!$F$105+parametros_manuales!$G$29*(datos_base!$G$5+datos_base!$G$21+IF(parametros_manuales!$H$29="Todos",datos_base!$G$12+datos_base!$G$26,0))*parametros_manuales!$F$110)*parametros_manuales!$I$29*parametros_manuales!$J$29</f>
        <v>9041.77403722</v>
      </c>
      <c r="G147" s="9" t="n">
        <f aca="false">(parametros_manuales!$D$29*(datos_base!$G$2+datos_base!$G$18+IF(parametros_manuales!$H$29="Todos",datos_base!$G$9+datos_base!$G$23,0))*parametros_manuales!$G$95+parametros_manuales!$E$29*(datos_base!$G$3+datos_base!$G$19+IF(parametros_manuales!$H$29="Todos",datos_base!$G$10+datos_base!$G$24,0))*parametros_manuales!$G$100+parametros_manuales!$F$29*(datos_base!$G$4+datos_base!$G$20+IF(parametros_manuales!$H$29="Todos",datos_base!$G$11+datos_base!$G$25,0))*parametros_manuales!$G$105+parametros_manuales!$G$29*(datos_base!$G$5+datos_base!$G$21+IF(parametros_manuales!$H$29="Todos",datos_base!$G$12+datos_base!$G$26,0))*parametros_manuales!$G$110)*parametros_manuales!$I$29*parametros_manuales!$J$29</f>
        <v>8858.602642075</v>
      </c>
      <c r="H147" s="9" t="n">
        <f aca="false">(parametros_manuales!$D$29*(datos_base!$G$2+datos_base!$G$18+IF(parametros_manuales!$H$29="Todos",datos_base!$G$9+datos_base!$G$23,0))*parametros_manuales!$H$95+parametros_manuales!$E$29*(datos_base!$G$3+datos_base!$G$19+IF(parametros_manuales!$H$29="Todos",datos_base!$G$10+datos_base!$G$24,0))*parametros_manuales!$H$100+parametros_manuales!$F$29*(datos_base!$G$4+datos_base!$G$20+IF(parametros_manuales!$H$29="Todos",datos_base!$G$11+datos_base!$G$25,0))*parametros_manuales!$H$105+parametros_manuales!$G$29*(datos_base!$G$5+datos_base!$G$21+IF(parametros_manuales!$H$29="Todos",datos_base!$G$12+datos_base!$G$26,0))*parametros_manuales!$H$110)*parametros_manuales!$I$29*parametros_manuales!$J$29</f>
        <v>9478.27630257</v>
      </c>
      <c r="I147" s="9" t="n">
        <f aca="false">(parametros_manuales!$D$29*(datos_base!$G$2+datos_base!$G$18+IF(parametros_manuales!$H$29="Todos",datos_base!$G$9+datos_base!$G$23,0))*parametros_manuales!$I$95+parametros_manuales!$E$29*(datos_base!$G$3+datos_base!$G$19+IF(parametros_manuales!$H$29="Todos",datos_base!$G$10+datos_base!$G$24,0))*parametros_manuales!$I$100+parametros_manuales!$F$29*(datos_base!$G$4+datos_base!$G$20+IF(parametros_manuales!$H$29="Todos",datos_base!$G$11+datos_base!$G$25,0))*parametros_manuales!$I$105+parametros_manuales!$G$29*(datos_base!$G$5+datos_base!$G$21+IF(parametros_manuales!$H$29="Todos",datos_base!$G$12+datos_base!$G$26,0))*parametros_manuales!$I$110)*parametros_manuales!$I$29*parametros_manuales!$J$29</f>
        <v>10787.78309862</v>
      </c>
      <c r="J147" s="9" t="n">
        <f aca="false">(parametros_manuales!$D$29*(datos_base!$G$2+datos_base!$G$18+IF(parametros_manuales!$H$29="Todos",datos_base!$G$9+datos_base!$G$23,0))*parametros_manuales!$J$95+parametros_manuales!$E$29*(datos_base!$G$3+datos_base!$G$19+IF(parametros_manuales!$H$29="Todos",datos_base!$G$10+datos_base!$G$24,0))*parametros_manuales!$J$100+parametros_manuales!$F$29*(datos_base!$G$4+datos_base!$G$20+IF(parametros_manuales!$H$29="Todos",datos_base!$G$11+datos_base!$G$25,0))*parametros_manuales!$J$105+parametros_manuales!$G$29*(datos_base!$G$5+datos_base!$G$21+IF(parametros_manuales!$H$29="Todos",datos_base!$G$12+datos_base!$G$26,0))*parametros_manuales!$J$110)*parametros_manuales!$I$29*parametros_manuales!$J$29</f>
        <v>10787.78309862</v>
      </c>
      <c r="K147" s="9" t="n">
        <f aca="false">(parametros_manuales!$D$29*(datos_base!$G$2+datos_base!$G$18+IF(parametros_manuales!$H$29="Todos",datos_base!$G$9+datos_base!$G$23,0))*parametros_manuales!$K$95+parametros_manuales!$E$29*(datos_base!$G$3+datos_base!$G$19+IF(parametros_manuales!$H$29="Todos",datos_base!$G$10+datos_base!$G$24,0))*parametros_manuales!$K$100+parametros_manuales!$F$29*(datos_base!$G$4+datos_base!$G$20+IF(parametros_manuales!$H$29="Todos",datos_base!$G$11+datos_base!$G$25,0))*parametros_manuales!$K$105+parametros_manuales!$G$29*(datos_base!$G$5+datos_base!$G$21+IF(parametros_manuales!$H$29="Todos",datos_base!$G$12+datos_base!$G$26,0))*parametros_manuales!$K$110)*parametros_manuales!$I$29*parametros_manuales!$J$29</f>
        <v>10970.954493765</v>
      </c>
      <c r="L147" s="9" t="n">
        <f aca="false">(parametros_manuales!$D$29*(datos_base!$G$2+datos_base!$G$18+IF(parametros_manuales!$H$29="Todos",datos_base!$G$9+datos_base!$G$23,0))*parametros_manuales!$L$95+parametros_manuales!$E$29*(datos_base!$G$3+datos_base!$G$19+IF(parametros_manuales!$H$29="Todos",datos_base!$G$10+datos_base!$G$24,0))*parametros_manuales!$L$100+parametros_manuales!$F$29*(datos_base!$G$4+datos_base!$G$20+IF(parametros_manuales!$H$29="Todos",datos_base!$G$11+datos_base!$G$25,0))*parametros_manuales!$L$105+parametros_manuales!$G$29*(datos_base!$G$5+datos_base!$G$21+IF(parametros_manuales!$H$29="Todos",datos_base!$G$12+datos_base!$G$26,0))*parametros_manuales!$L$110)*parametros_manuales!$I$29*parametros_manuales!$J$29</f>
        <v>11154.12588891</v>
      </c>
      <c r="M147" s="9" t="n">
        <f aca="false">(parametros_manuales!$D$29*(datos_base!$G$2+datos_base!$G$18+IF(parametros_manuales!$H$29="Todos",datos_base!$G$9+datos_base!$G$23,0))*parametros_manuales!$M$95+parametros_manuales!$E$29*(datos_base!$G$3+datos_base!$G$19+IF(parametros_manuales!$H$29="Todos",datos_base!$G$10+datos_base!$G$24,0))*parametros_manuales!$M$100+parametros_manuales!$F$29*(datos_base!$G$4+datos_base!$G$20+IF(parametros_manuales!$H$29="Todos",datos_base!$G$11+datos_base!$G$25,0))*parametros_manuales!$M$105+parametros_manuales!$G$29*(datos_base!$G$5+datos_base!$G$21+IF(parametros_manuales!$H$29="Todos",datos_base!$G$12+datos_base!$G$26,0))*parametros_manuales!$M$110)*parametros_manuales!$I$29*parametros_manuales!$J$29</f>
        <v>11154.12588891</v>
      </c>
      <c r="N147" s="9" t="n">
        <f aca="false">SUM(B147:M147)</f>
        <v>123934.732099</v>
      </c>
      <c r="O147" s="9" t="n">
        <f aca="false">MAX(B147:M147)</f>
        <v>11154.12588891</v>
      </c>
      <c r="P147" s="43" t="n">
        <f aca="false">O147/(parametros_manuales!$B$7)</f>
        <v>74.3608392594</v>
      </c>
      <c r="Q147" s="8" t="str">
        <f aca="false">IF(O147=0,"-",INDEX($B$136:$M$136,MATCH(O147,B147:M147,0)))</f>
        <v>Ene</v>
      </c>
    </row>
    <row r="148" customFormat="false" ht="14.25" hidden="false" customHeight="true" outlineLevel="0" collapsed="false">
      <c r="A148" s="8" t="str">
        <f aca="false">parametros_manuales!$B$30</f>
        <v>Soldadura circunferencial de cúpula y fondo</v>
      </c>
      <c r="B148" s="9" t="n">
        <f aca="false">(parametros_manuales!$D$30*(datos_base!$G$2+datos_base!$G$18+IF(parametros_manuales!$H$30="Todos",datos_base!$G$9+datos_base!$G$23,0))*parametros_manuales!$B$95+parametros_manuales!$E$30*(datos_base!$G$3+datos_base!$G$19+IF(parametros_manuales!$H$30="Todos",datos_base!$G$10+datos_base!$G$24,0))*parametros_manuales!$B$100+parametros_manuales!$F$30*(datos_base!$G$4+datos_base!$G$20+IF(parametros_manuales!$H$30="Todos",datos_base!$G$11+datos_base!$G$25,0))*parametros_manuales!$B$105+parametros_manuales!$G$30*(datos_base!$G$5+datos_base!$G$21+IF(parametros_manuales!$H$30="Todos",datos_base!$G$12+datos_base!$G$26,0))*parametros_manuales!$B$110)*parametros_manuales!$I$30*parametros_manuales!$J$30</f>
        <v>11154.12588891</v>
      </c>
      <c r="C148" s="9" t="n">
        <f aca="false">(parametros_manuales!$D$30*(datos_base!$G$2+datos_base!$G$18+IF(parametros_manuales!$H$30="Todos",datos_base!$G$9+datos_base!$G$23,0))*parametros_manuales!$C$95+parametros_manuales!$E$30*(datos_base!$G$3+datos_base!$G$19+IF(parametros_manuales!$H$30="Todos",datos_base!$G$10+datos_base!$G$24,0))*parametros_manuales!$C$100+parametros_manuales!$F$30*(datos_base!$G$4+datos_base!$G$20+IF(parametros_manuales!$H$30="Todos",datos_base!$G$11+datos_base!$G$25,0))*parametros_manuales!$C$105+parametros_manuales!$G$30*(datos_base!$G$5+datos_base!$G$21+IF(parametros_manuales!$H$30="Todos",datos_base!$G$12+datos_base!$G$26,0))*parametros_manuales!$C$110)*parametros_manuales!$I$30*parametros_manuales!$J$30</f>
        <v>10787.78309862</v>
      </c>
      <c r="D148" s="9" t="n">
        <f aca="false">(parametros_manuales!$D$30*(datos_base!$G$2+datos_base!$G$18+IF(parametros_manuales!$H$30="Todos",datos_base!$G$9+datos_base!$G$23,0))*parametros_manuales!$D$95+parametros_manuales!$E$30*(datos_base!$G$3+datos_base!$G$19+IF(parametros_manuales!$H$30="Todos",datos_base!$G$10+datos_base!$G$24,0))*parametros_manuales!$D$100+parametros_manuales!$F$30*(datos_base!$G$4+datos_base!$G$20+IF(parametros_manuales!$H$30="Todos",datos_base!$G$11+datos_base!$G$25,0))*parametros_manuales!$D$105+parametros_manuales!$G$30*(datos_base!$G$5+datos_base!$G$21+IF(parametros_manuales!$H$30="Todos",datos_base!$G$12+datos_base!$G$26,0))*parametros_manuales!$D$110)*parametros_manuales!$I$30*parametros_manuales!$J$30</f>
        <v>10097.949963065</v>
      </c>
      <c r="E148" s="9" t="n">
        <f aca="false">(parametros_manuales!$D$30*(datos_base!$G$2+datos_base!$G$18+IF(parametros_manuales!$H$30="Todos",datos_base!$G$9+datos_base!$G$23,0))*parametros_manuales!$E$95+parametros_manuales!$E$30*(datos_base!$G$3+datos_base!$G$19+IF(parametros_manuales!$H$30="Todos",datos_base!$G$10+datos_base!$G$24,0))*parametros_manuales!$E$100+parametros_manuales!$F$30*(datos_base!$G$4+datos_base!$G$20+IF(parametros_manuales!$H$30="Todos",datos_base!$G$11+datos_base!$G$25,0))*parametros_manuales!$E$105+parametros_manuales!$G$30*(datos_base!$G$5+datos_base!$G$21+IF(parametros_manuales!$H$30="Todos",datos_base!$G$12+datos_base!$G$26,0))*parametros_manuales!$E$110)*parametros_manuales!$I$30*parametros_manuales!$J$30</f>
        <v>9661.447697715</v>
      </c>
      <c r="F148" s="9" t="n">
        <f aca="false">(parametros_manuales!$D$30*(datos_base!$G$2+datos_base!$G$18+IF(parametros_manuales!$H$30="Todos",datos_base!$G$9+datos_base!$G$23,0))*parametros_manuales!$F$95+parametros_manuales!$E$30*(datos_base!$G$3+datos_base!$G$19+IF(parametros_manuales!$H$30="Todos",datos_base!$G$10+datos_base!$G$24,0))*parametros_manuales!$F$100+parametros_manuales!$F$30*(datos_base!$G$4+datos_base!$G$20+IF(parametros_manuales!$H$30="Todos",datos_base!$G$11+datos_base!$G$25,0))*parametros_manuales!$F$105+parametros_manuales!$G$30*(datos_base!$G$5+datos_base!$G$21+IF(parametros_manuales!$H$30="Todos",datos_base!$G$12+datos_base!$G$26,0))*parametros_manuales!$F$110)*parametros_manuales!$I$30*parametros_manuales!$J$30</f>
        <v>9041.77403722</v>
      </c>
      <c r="G148" s="9" t="n">
        <f aca="false">(parametros_manuales!$D$30*(datos_base!$G$2+datos_base!$G$18+IF(parametros_manuales!$H$30="Todos",datos_base!$G$9+datos_base!$G$23,0))*parametros_manuales!$G$95+parametros_manuales!$E$30*(datos_base!$G$3+datos_base!$G$19+IF(parametros_manuales!$H$30="Todos",datos_base!$G$10+datos_base!$G$24,0))*parametros_manuales!$G$100+parametros_manuales!$F$30*(datos_base!$G$4+datos_base!$G$20+IF(parametros_manuales!$H$30="Todos",datos_base!$G$11+datos_base!$G$25,0))*parametros_manuales!$G$105+parametros_manuales!$G$30*(datos_base!$G$5+datos_base!$G$21+IF(parametros_manuales!$H$30="Todos",datos_base!$G$12+datos_base!$G$26,0))*parametros_manuales!$G$110)*parametros_manuales!$I$30*parametros_manuales!$J$30</f>
        <v>8858.602642075</v>
      </c>
      <c r="H148" s="9" t="n">
        <f aca="false">(parametros_manuales!$D$30*(datos_base!$G$2+datos_base!$G$18+IF(parametros_manuales!$H$30="Todos",datos_base!$G$9+datos_base!$G$23,0))*parametros_manuales!$H$95+parametros_manuales!$E$30*(datos_base!$G$3+datos_base!$G$19+IF(parametros_manuales!$H$30="Todos",datos_base!$G$10+datos_base!$G$24,0))*parametros_manuales!$H$100+parametros_manuales!$F$30*(datos_base!$G$4+datos_base!$G$20+IF(parametros_manuales!$H$30="Todos",datos_base!$G$11+datos_base!$G$25,0))*parametros_manuales!$H$105+parametros_manuales!$G$30*(datos_base!$G$5+datos_base!$G$21+IF(parametros_manuales!$H$30="Todos",datos_base!$G$12+datos_base!$G$26,0))*parametros_manuales!$H$110)*parametros_manuales!$I$30*parametros_manuales!$J$30</f>
        <v>9478.27630257</v>
      </c>
      <c r="I148" s="9" t="n">
        <f aca="false">(parametros_manuales!$D$30*(datos_base!$G$2+datos_base!$G$18+IF(parametros_manuales!$H$30="Todos",datos_base!$G$9+datos_base!$G$23,0))*parametros_manuales!$I$95+parametros_manuales!$E$30*(datos_base!$G$3+datos_base!$G$19+IF(parametros_manuales!$H$30="Todos",datos_base!$G$10+datos_base!$G$24,0))*parametros_manuales!$I$100+parametros_manuales!$F$30*(datos_base!$G$4+datos_base!$G$20+IF(parametros_manuales!$H$30="Todos",datos_base!$G$11+datos_base!$G$25,0))*parametros_manuales!$I$105+parametros_manuales!$G$30*(datos_base!$G$5+datos_base!$G$21+IF(parametros_manuales!$H$30="Todos",datos_base!$G$12+datos_base!$G$26,0))*parametros_manuales!$I$110)*parametros_manuales!$I$30*parametros_manuales!$J$30</f>
        <v>10787.78309862</v>
      </c>
      <c r="J148" s="9" t="n">
        <f aca="false">(parametros_manuales!$D$30*(datos_base!$G$2+datos_base!$G$18+IF(parametros_manuales!$H$30="Todos",datos_base!$G$9+datos_base!$G$23,0))*parametros_manuales!$J$95+parametros_manuales!$E$30*(datos_base!$G$3+datos_base!$G$19+IF(parametros_manuales!$H$30="Todos",datos_base!$G$10+datos_base!$G$24,0))*parametros_manuales!$J$100+parametros_manuales!$F$30*(datos_base!$G$4+datos_base!$G$20+IF(parametros_manuales!$H$30="Todos",datos_base!$G$11+datos_base!$G$25,0))*parametros_manuales!$J$105+parametros_manuales!$G$30*(datos_base!$G$5+datos_base!$G$21+IF(parametros_manuales!$H$30="Todos",datos_base!$G$12+datos_base!$G$26,0))*parametros_manuales!$J$110)*parametros_manuales!$I$30*parametros_manuales!$J$30</f>
        <v>10787.78309862</v>
      </c>
      <c r="K148" s="9" t="n">
        <f aca="false">(parametros_manuales!$D$30*(datos_base!$G$2+datos_base!$G$18+IF(parametros_manuales!$H$30="Todos",datos_base!$G$9+datos_base!$G$23,0))*parametros_manuales!$K$95+parametros_manuales!$E$30*(datos_base!$G$3+datos_base!$G$19+IF(parametros_manuales!$H$30="Todos",datos_base!$G$10+datos_base!$G$24,0))*parametros_manuales!$K$100+parametros_manuales!$F$30*(datos_base!$G$4+datos_base!$G$20+IF(parametros_manuales!$H$30="Todos",datos_base!$G$11+datos_base!$G$25,0))*parametros_manuales!$K$105+parametros_manuales!$G$30*(datos_base!$G$5+datos_base!$G$21+IF(parametros_manuales!$H$30="Todos",datos_base!$G$12+datos_base!$G$26,0))*parametros_manuales!$K$110)*parametros_manuales!$I$30*parametros_manuales!$J$30</f>
        <v>10970.954493765</v>
      </c>
      <c r="L148" s="9" t="n">
        <f aca="false">(parametros_manuales!$D$30*(datos_base!$G$2+datos_base!$G$18+IF(parametros_manuales!$H$30="Todos",datos_base!$G$9+datos_base!$G$23,0))*parametros_manuales!$L$95+parametros_manuales!$E$30*(datos_base!$G$3+datos_base!$G$19+IF(parametros_manuales!$H$30="Todos",datos_base!$G$10+datos_base!$G$24,0))*parametros_manuales!$L$100+parametros_manuales!$F$30*(datos_base!$G$4+datos_base!$G$20+IF(parametros_manuales!$H$30="Todos",datos_base!$G$11+datos_base!$G$25,0))*parametros_manuales!$L$105+parametros_manuales!$G$30*(datos_base!$G$5+datos_base!$G$21+IF(parametros_manuales!$H$30="Todos",datos_base!$G$12+datos_base!$G$26,0))*parametros_manuales!$L$110)*parametros_manuales!$I$30*parametros_manuales!$J$30</f>
        <v>11154.12588891</v>
      </c>
      <c r="M148" s="9" t="n">
        <f aca="false">(parametros_manuales!$D$30*(datos_base!$G$2+datos_base!$G$18+IF(parametros_manuales!$H$30="Todos",datos_base!$G$9+datos_base!$G$23,0))*parametros_manuales!$M$95+parametros_manuales!$E$30*(datos_base!$G$3+datos_base!$G$19+IF(parametros_manuales!$H$30="Todos",datos_base!$G$10+datos_base!$G$24,0))*parametros_manuales!$M$100+parametros_manuales!$F$30*(datos_base!$G$4+datos_base!$G$20+IF(parametros_manuales!$H$30="Todos",datos_base!$G$11+datos_base!$G$25,0))*parametros_manuales!$M$105+parametros_manuales!$G$30*(datos_base!$G$5+datos_base!$G$21+IF(parametros_manuales!$H$30="Todos",datos_base!$G$12+datos_base!$G$26,0))*parametros_manuales!$M$110)*parametros_manuales!$I$30*parametros_manuales!$J$30</f>
        <v>11154.12588891</v>
      </c>
      <c r="N148" s="9" t="n">
        <f aca="false">SUM(B148:M148)</f>
        <v>123934.732099</v>
      </c>
      <c r="O148" s="9" t="n">
        <f aca="false">MAX(B148:M148)</f>
        <v>11154.12588891</v>
      </c>
      <c r="P148" s="43" t="n">
        <f aca="false">O148/(parametros_manuales!$B$7)</f>
        <v>74.3608392594</v>
      </c>
      <c r="Q148" s="8" t="str">
        <f aca="false">IF(O148=0,"-",INDEX($B$136:$M$136,MATCH(O148,B148:M148,0)))</f>
        <v>Ene</v>
      </c>
    </row>
    <row r="149" customFormat="false" ht="14.25" hidden="false" customHeight="true" outlineLevel="0" collapsed="false">
      <c r="A149" s="8" t="str">
        <f aca="false">parametros_manuales!$B$31</f>
        <v>Control de calidad — Espesor</v>
      </c>
      <c r="B149" s="9" t="n">
        <f aca="false">(parametros_manuales!$D$31*(datos_base!$G$2+datos_base!$G$18+IF(parametros_manuales!$H$31="Todos",datos_base!$G$9+datos_base!$G$23,0))*parametros_manuales!$B$95+parametros_manuales!$E$31*(datos_base!$G$3+datos_base!$G$19+IF(parametros_manuales!$H$31="Todos",datos_base!$G$10+datos_base!$G$24,0))*parametros_manuales!$B$100+parametros_manuales!$F$31*(datos_base!$G$4+datos_base!$G$20+IF(parametros_manuales!$H$31="Todos",datos_base!$G$11+datos_base!$G$25,0))*parametros_manuales!$B$105+parametros_manuales!$G$31*(datos_base!$G$5+datos_base!$G$21+IF(parametros_manuales!$H$31="Todos",datos_base!$G$12+datos_base!$G$26,0))*parametros_manuales!$B$110)*parametros_manuales!$I$31*parametros_manuales!$J$31</f>
        <v>223.0825177782</v>
      </c>
      <c r="C149" s="9" t="n">
        <f aca="false">(parametros_manuales!$D$31*(datos_base!$G$2+datos_base!$G$18+IF(parametros_manuales!$H$31="Todos",datos_base!$G$9+datos_base!$G$23,0))*parametros_manuales!$C$95+parametros_manuales!$E$31*(datos_base!$G$3+datos_base!$G$19+IF(parametros_manuales!$H$31="Todos",datos_base!$G$10+datos_base!$G$24,0))*parametros_manuales!$C$100+parametros_manuales!$F$31*(datos_base!$G$4+datos_base!$G$20+IF(parametros_manuales!$H$31="Todos",datos_base!$G$11+datos_base!$G$25,0))*parametros_manuales!$C$105+parametros_manuales!$G$31*(datos_base!$G$5+datos_base!$G$21+IF(parametros_manuales!$H$31="Todos",datos_base!$G$12+datos_base!$G$26,0))*parametros_manuales!$C$110)*parametros_manuales!$I$31*parametros_manuales!$J$31</f>
        <v>215.7556619724</v>
      </c>
      <c r="D149" s="9" t="n">
        <f aca="false">(parametros_manuales!$D$31*(datos_base!$G$2+datos_base!$G$18+IF(parametros_manuales!$H$31="Todos",datos_base!$G$9+datos_base!$G$23,0))*parametros_manuales!$D$95+parametros_manuales!$E$31*(datos_base!$G$3+datos_base!$G$19+IF(parametros_manuales!$H$31="Todos",datos_base!$G$10+datos_base!$G$24,0))*parametros_manuales!$D$100+parametros_manuales!$F$31*(datos_base!$G$4+datos_base!$G$20+IF(parametros_manuales!$H$31="Todos",datos_base!$G$11+datos_base!$G$25,0))*parametros_manuales!$D$105+parametros_manuales!$G$31*(datos_base!$G$5+datos_base!$G$21+IF(parametros_manuales!$H$31="Todos",datos_base!$G$12+datos_base!$G$26,0))*parametros_manuales!$D$110)*parametros_manuales!$I$31*parametros_manuales!$J$31</f>
        <v>201.9589992613</v>
      </c>
      <c r="E149" s="9" t="n">
        <f aca="false">(parametros_manuales!$D$31*(datos_base!$G$2+datos_base!$G$18+IF(parametros_manuales!$H$31="Todos",datos_base!$G$9+datos_base!$G$23,0))*parametros_manuales!$E$95+parametros_manuales!$E$31*(datos_base!$G$3+datos_base!$G$19+IF(parametros_manuales!$H$31="Todos",datos_base!$G$10+datos_base!$G$24,0))*parametros_manuales!$E$100+parametros_manuales!$F$31*(datos_base!$G$4+datos_base!$G$20+IF(parametros_manuales!$H$31="Todos",datos_base!$G$11+datos_base!$G$25,0))*parametros_manuales!$E$105+parametros_manuales!$G$31*(datos_base!$G$5+datos_base!$G$21+IF(parametros_manuales!$H$31="Todos",datos_base!$G$12+datos_base!$G$26,0))*parametros_manuales!$E$110)*parametros_manuales!$I$31*parametros_manuales!$J$31</f>
        <v>193.2289539543</v>
      </c>
      <c r="F149" s="9" t="n">
        <f aca="false">(parametros_manuales!$D$31*(datos_base!$G$2+datos_base!$G$18+IF(parametros_manuales!$H$31="Todos",datos_base!$G$9+datos_base!$G$23,0))*parametros_manuales!$F$95+parametros_manuales!$E$31*(datos_base!$G$3+datos_base!$G$19+IF(parametros_manuales!$H$31="Todos",datos_base!$G$10+datos_base!$G$24,0))*parametros_manuales!$F$100+parametros_manuales!$F$31*(datos_base!$G$4+datos_base!$G$20+IF(parametros_manuales!$H$31="Todos",datos_base!$G$11+datos_base!$G$25,0))*parametros_manuales!$F$105+parametros_manuales!$G$31*(datos_base!$G$5+datos_base!$G$21+IF(parametros_manuales!$H$31="Todos",datos_base!$G$12+datos_base!$G$26,0))*parametros_manuales!$F$110)*parametros_manuales!$I$31*parametros_manuales!$J$31</f>
        <v>180.8354807444</v>
      </c>
      <c r="G149" s="9" t="n">
        <f aca="false">(parametros_manuales!$D$31*(datos_base!$G$2+datos_base!$G$18+IF(parametros_manuales!$H$31="Todos",datos_base!$G$9+datos_base!$G$23,0))*parametros_manuales!$G$95+parametros_manuales!$E$31*(datos_base!$G$3+datos_base!$G$19+IF(parametros_manuales!$H$31="Todos",datos_base!$G$10+datos_base!$G$24,0))*parametros_manuales!$G$100+parametros_manuales!$F$31*(datos_base!$G$4+datos_base!$G$20+IF(parametros_manuales!$H$31="Todos",datos_base!$G$11+datos_base!$G$25,0))*parametros_manuales!$G$105+parametros_manuales!$G$31*(datos_base!$G$5+datos_base!$G$21+IF(parametros_manuales!$H$31="Todos",datos_base!$G$12+datos_base!$G$26,0))*parametros_manuales!$G$110)*parametros_manuales!$I$31*parametros_manuales!$J$31</f>
        <v>177.1720528415</v>
      </c>
      <c r="H149" s="9" t="n">
        <f aca="false">(parametros_manuales!$D$31*(datos_base!$G$2+datos_base!$G$18+IF(parametros_manuales!$H$31="Todos",datos_base!$G$9+datos_base!$G$23,0))*parametros_manuales!$H$95+parametros_manuales!$E$31*(datos_base!$G$3+datos_base!$G$19+IF(parametros_manuales!$H$31="Todos",datos_base!$G$10+datos_base!$G$24,0))*parametros_manuales!$H$100+parametros_manuales!$F$31*(datos_base!$G$4+datos_base!$G$20+IF(parametros_manuales!$H$31="Todos",datos_base!$G$11+datos_base!$G$25,0))*parametros_manuales!$H$105+parametros_manuales!$G$31*(datos_base!$G$5+datos_base!$G$21+IF(parametros_manuales!$H$31="Todos",datos_base!$G$12+datos_base!$G$26,0))*parametros_manuales!$H$110)*parametros_manuales!$I$31*parametros_manuales!$J$31</f>
        <v>189.5655260514</v>
      </c>
      <c r="I149" s="9" t="n">
        <f aca="false">(parametros_manuales!$D$31*(datos_base!$G$2+datos_base!$G$18+IF(parametros_manuales!$H$31="Todos",datos_base!$G$9+datos_base!$G$23,0))*parametros_manuales!$I$95+parametros_manuales!$E$31*(datos_base!$G$3+datos_base!$G$19+IF(parametros_manuales!$H$31="Todos",datos_base!$G$10+datos_base!$G$24,0))*parametros_manuales!$I$100+parametros_manuales!$F$31*(datos_base!$G$4+datos_base!$G$20+IF(parametros_manuales!$H$31="Todos",datos_base!$G$11+datos_base!$G$25,0))*parametros_manuales!$I$105+parametros_manuales!$G$31*(datos_base!$G$5+datos_base!$G$21+IF(parametros_manuales!$H$31="Todos",datos_base!$G$12+datos_base!$G$26,0))*parametros_manuales!$I$110)*parametros_manuales!$I$31*parametros_manuales!$J$31</f>
        <v>215.7556619724</v>
      </c>
      <c r="J149" s="9" t="n">
        <f aca="false">(parametros_manuales!$D$31*(datos_base!$G$2+datos_base!$G$18+IF(parametros_manuales!$H$31="Todos",datos_base!$G$9+datos_base!$G$23,0))*parametros_manuales!$J$95+parametros_manuales!$E$31*(datos_base!$G$3+datos_base!$G$19+IF(parametros_manuales!$H$31="Todos",datos_base!$G$10+datos_base!$G$24,0))*parametros_manuales!$J$100+parametros_manuales!$F$31*(datos_base!$G$4+datos_base!$G$20+IF(parametros_manuales!$H$31="Todos",datos_base!$G$11+datos_base!$G$25,0))*parametros_manuales!$J$105+parametros_manuales!$G$31*(datos_base!$G$5+datos_base!$G$21+IF(parametros_manuales!$H$31="Todos",datos_base!$G$12+datos_base!$G$26,0))*parametros_manuales!$J$110)*parametros_manuales!$I$31*parametros_manuales!$J$31</f>
        <v>215.7556619724</v>
      </c>
      <c r="K149" s="9" t="n">
        <f aca="false">(parametros_manuales!$D$31*(datos_base!$G$2+datos_base!$G$18+IF(parametros_manuales!$H$31="Todos",datos_base!$G$9+datos_base!$G$23,0))*parametros_manuales!$K$95+parametros_manuales!$E$31*(datos_base!$G$3+datos_base!$G$19+IF(parametros_manuales!$H$31="Todos",datos_base!$G$10+datos_base!$G$24,0))*parametros_manuales!$K$100+parametros_manuales!$F$31*(datos_base!$G$4+datos_base!$G$20+IF(parametros_manuales!$H$31="Todos",datos_base!$G$11+datos_base!$G$25,0))*parametros_manuales!$K$105+parametros_manuales!$G$31*(datos_base!$G$5+datos_base!$G$21+IF(parametros_manuales!$H$31="Todos",datos_base!$G$12+datos_base!$G$26,0))*parametros_manuales!$K$110)*parametros_manuales!$I$31*parametros_manuales!$J$31</f>
        <v>219.4190898753</v>
      </c>
      <c r="L149" s="9" t="n">
        <f aca="false">(parametros_manuales!$D$31*(datos_base!$G$2+datos_base!$G$18+IF(parametros_manuales!$H$31="Todos",datos_base!$G$9+datos_base!$G$23,0))*parametros_manuales!$L$95+parametros_manuales!$E$31*(datos_base!$G$3+datos_base!$G$19+IF(parametros_manuales!$H$31="Todos",datos_base!$G$10+datos_base!$G$24,0))*parametros_manuales!$L$100+parametros_manuales!$F$31*(datos_base!$G$4+datos_base!$G$20+IF(parametros_manuales!$H$31="Todos",datos_base!$G$11+datos_base!$G$25,0))*parametros_manuales!$L$105+parametros_manuales!$G$31*(datos_base!$G$5+datos_base!$G$21+IF(parametros_manuales!$H$31="Todos",datos_base!$G$12+datos_base!$G$26,0))*parametros_manuales!$L$110)*parametros_manuales!$I$31*parametros_manuales!$J$31</f>
        <v>223.0825177782</v>
      </c>
      <c r="M149" s="9" t="n">
        <f aca="false">(parametros_manuales!$D$31*(datos_base!$G$2+datos_base!$G$18+IF(parametros_manuales!$H$31="Todos",datos_base!$G$9+datos_base!$G$23,0))*parametros_manuales!$M$95+parametros_manuales!$E$31*(datos_base!$G$3+datos_base!$G$19+IF(parametros_manuales!$H$31="Todos",datos_base!$G$10+datos_base!$G$24,0))*parametros_manuales!$M$100+parametros_manuales!$F$31*(datos_base!$G$4+datos_base!$G$20+IF(parametros_manuales!$H$31="Todos",datos_base!$G$11+datos_base!$G$25,0))*parametros_manuales!$M$105+parametros_manuales!$G$31*(datos_base!$G$5+datos_base!$G$21+IF(parametros_manuales!$H$31="Todos",datos_base!$G$12+datos_base!$G$26,0))*parametros_manuales!$M$110)*parametros_manuales!$I$31*parametros_manuales!$J$31</f>
        <v>223.0825177782</v>
      </c>
      <c r="N149" s="9" t="n">
        <f aca="false">SUM(B149:M149)</f>
        <v>2478.69464198</v>
      </c>
      <c r="O149" s="9" t="n">
        <f aca="false">MAX(B149:M149)</f>
        <v>223.0825177782</v>
      </c>
      <c r="P149" s="43" t="n">
        <f aca="false">O149/(parametros_manuales!$B$7)</f>
        <v>1.487216785188</v>
      </c>
      <c r="Q149" s="8" t="str">
        <f aca="false">IF(O149=0,"-",INDEX($B$136:$M$136,MATCH(O149,B149:M149,0)))</f>
        <v>Ene</v>
      </c>
    </row>
    <row r="150" customFormat="false" ht="14.25" hidden="false" customHeight="true" outlineLevel="0" collapsed="false">
      <c r="A150" s="8" t="str">
        <f aca="false">parametros_manuales!$B$32</f>
        <v>Prueba hidráulica</v>
      </c>
      <c r="B150" s="9" t="n">
        <f aca="false">(parametros_manuales!$D$32*(datos_base!$G$2+datos_base!$G$18+IF(parametros_manuales!$H$32="Todos",datos_base!$G$9+datos_base!$G$23,0))*parametros_manuales!$B$95+parametros_manuales!$E$32*(datos_base!$G$3+datos_base!$G$19+IF(parametros_manuales!$H$32="Todos",datos_base!$G$10+datos_base!$G$24,0))*parametros_manuales!$B$100+parametros_manuales!$F$32*(datos_base!$G$4+datos_base!$G$20+IF(parametros_manuales!$H$32="Todos",datos_base!$G$11+datos_base!$G$25,0))*parametros_manuales!$B$105+parametros_manuales!$G$32*(datos_base!$G$5+datos_base!$G$21+IF(parametros_manuales!$H$32="Todos",datos_base!$G$12+datos_base!$G$26,0))*parametros_manuales!$B$110)*parametros_manuales!$I$32*parametros_manuales!$J$32</f>
        <v>11154.12588891</v>
      </c>
      <c r="C150" s="9" t="n">
        <f aca="false">(parametros_manuales!$D$32*(datos_base!$G$2+datos_base!$G$18+IF(parametros_manuales!$H$32="Todos",datos_base!$G$9+datos_base!$G$23,0))*parametros_manuales!$C$95+parametros_manuales!$E$32*(datos_base!$G$3+datos_base!$G$19+IF(parametros_manuales!$H$32="Todos",datos_base!$G$10+datos_base!$G$24,0))*parametros_manuales!$C$100+parametros_manuales!$F$32*(datos_base!$G$4+datos_base!$G$20+IF(parametros_manuales!$H$32="Todos",datos_base!$G$11+datos_base!$G$25,0))*parametros_manuales!$C$105+parametros_manuales!$G$32*(datos_base!$G$5+datos_base!$G$21+IF(parametros_manuales!$H$32="Todos",datos_base!$G$12+datos_base!$G$26,0))*parametros_manuales!$C$110)*parametros_manuales!$I$32*parametros_manuales!$J$32</f>
        <v>10787.78309862</v>
      </c>
      <c r="D150" s="9" t="n">
        <f aca="false">(parametros_manuales!$D$32*(datos_base!$G$2+datos_base!$G$18+IF(parametros_manuales!$H$32="Todos",datos_base!$G$9+datos_base!$G$23,0))*parametros_manuales!$D$95+parametros_manuales!$E$32*(datos_base!$G$3+datos_base!$G$19+IF(parametros_manuales!$H$32="Todos",datos_base!$G$10+datos_base!$G$24,0))*parametros_manuales!$D$100+parametros_manuales!$F$32*(datos_base!$G$4+datos_base!$G$20+IF(parametros_manuales!$H$32="Todos",datos_base!$G$11+datos_base!$G$25,0))*parametros_manuales!$D$105+parametros_manuales!$G$32*(datos_base!$G$5+datos_base!$G$21+IF(parametros_manuales!$H$32="Todos",datos_base!$G$12+datos_base!$G$26,0))*parametros_manuales!$D$110)*parametros_manuales!$I$32*parametros_manuales!$J$32</f>
        <v>10097.949963065</v>
      </c>
      <c r="E150" s="9" t="n">
        <f aca="false">(parametros_manuales!$D$32*(datos_base!$G$2+datos_base!$G$18+IF(parametros_manuales!$H$32="Todos",datos_base!$G$9+datos_base!$G$23,0))*parametros_manuales!$E$95+parametros_manuales!$E$32*(datos_base!$G$3+datos_base!$G$19+IF(parametros_manuales!$H$32="Todos",datos_base!$G$10+datos_base!$G$24,0))*parametros_manuales!$E$100+parametros_manuales!$F$32*(datos_base!$G$4+datos_base!$G$20+IF(parametros_manuales!$H$32="Todos",datos_base!$G$11+datos_base!$G$25,0))*parametros_manuales!$E$105+parametros_manuales!$G$32*(datos_base!$G$5+datos_base!$G$21+IF(parametros_manuales!$H$32="Todos",datos_base!$G$12+datos_base!$G$26,0))*parametros_manuales!$E$110)*parametros_manuales!$I$32*parametros_manuales!$J$32</f>
        <v>9661.447697715</v>
      </c>
      <c r="F150" s="9" t="n">
        <f aca="false">(parametros_manuales!$D$32*(datos_base!$G$2+datos_base!$G$18+IF(parametros_manuales!$H$32="Todos",datos_base!$G$9+datos_base!$G$23,0))*parametros_manuales!$F$95+parametros_manuales!$E$32*(datos_base!$G$3+datos_base!$G$19+IF(parametros_manuales!$H$32="Todos",datos_base!$G$10+datos_base!$G$24,0))*parametros_manuales!$F$100+parametros_manuales!$F$32*(datos_base!$G$4+datos_base!$G$20+IF(parametros_manuales!$H$32="Todos",datos_base!$G$11+datos_base!$G$25,0))*parametros_manuales!$F$105+parametros_manuales!$G$32*(datos_base!$G$5+datos_base!$G$21+IF(parametros_manuales!$H$32="Todos",datos_base!$G$12+datos_base!$G$26,0))*parametros_manuales!$F$110)*parametros_manuales!$I$32*parametros_manuales!$J$32</f>
        <v>9041.77403722</v>
      </c>
      <c r="G150" s="9" t="n">
        <f aca="false">(parametros_manuales!$D$32*(datos_base!$G$2+datos_base!$G$18+IF(parametros_manuales!$H$32="Todos",datos_base!$G$9+datos_base!$G$23,0))*parametros_manuales!$G$95+parametros_manuales!$E$32*(datos_base!$G$3+datos_base!$G$19+IF(parametros_manuales!$H$32="Todos",datos_base!$G$10+datos_base!$G$24,0))*parametros_manuales!$G$100+parametros_manuales!$F$32*(datos_base!$G$4+datos_base!$G$20+IF(parametros_manuales!$H$32="Todos",datos_base!$G$11+datos_base!$G$25,0))*parametros_manuales!$G$105+parametros_manuales!$G$32*(datos_base!$G$5+datos_base!$G$21+IF(parametros_manuales!$H$32="Todos",datos_base!$G$12+datos_base!$G$26,0))*parametros_manuales!$G$110)*parametros_manuales!$I$32*parametros_manuales!$J$32</f>
        <v>8858.602642075</v>
      </c>
      <c r="H150" s="9" t="n">
        <f aca="false">(parametros_manuales!$D$32*(datos_base!$G$2+datos_base!$G$18+IF(parametros_manuales!$H$32="Todos",datos_base!$G$9+datos_base!$G$23,0))*parametros_manuales!$H$95+parametros_manuales!$E$32*(datos_base!$G$3+datos_base!$G$19+IF(parametros_manuales!$H$32="Todos",datos_base!$G$10+datos_base!$G$24,0))*parametros_manuales!$H$100+parametros_manuales!$F$32*(datos_base!$G$4+datos_base!$G$20+IF(parametros_manuales!$H$32="Todos",datos_base!$G$11+datos_base!$G$25,0))*parametros_manuales!$H$105+parametros_manuales!$G$32*(datos_base!$G$5+datos_base!$G$21+IF(parametros_manuales!$H$32="Todos",datos_base!$G$12+datos_base!$G$26,0))*parametros_manuales!$H$110)*parametros_manuales!$I$32*parametros_manuales!$J$32</f>
        <v>9478.27630257</v>
      </c>
      <c r="I150" s="9" t="n">
        <f aca="false">(parametros_manuales!$D$32*(datos_base!$G$2+datos_base!$G$18+IF(parametros_manuales!$H$32="Todos",datos_base!$G$9+datos_base!$G$23,0))*parametros_manuales!$I$95+parametros_manuales!$E$32*(datos_base!$G$3+datos_base!$G$19+IF(parametros_manuales!$H$32="Todos",datos_base!$G$10+datos_base!$G$24,0))*parametros_manuales!$I$100+parametros_manuales!$F$32*(datos_base!$G$4+datos_base!$G$20+IF(parametros_manuales!$H$32="Todos",datos_base!$G$11+datos_base!$G$25,0))*parametros_manuales!$I$105+parametros_manuales!$G$32*(datos_base!$G$5+datos_base!$G$21+IF(parametros_manuales!$H$32="Todos",datos_base!$G$12+datos_base!$G$26,0))*parametros_manuales!$I$110)*parametros_manuales!$I$32*parametros_manuales!$J$32</f>
        <v>10787.78309862</v>
      </c>
      <c r="J150" s="9" t="n">
        <f aca="false">(parametros_manuales!$D$32*(datos_base!$G$2+datos_base!$G$18+IF(parametros_manuales!$H$32="Todos",datos_base!$G$9+datos_base!$G$23,0))*parametros_manuales!$J$95+parametros_manuales!$E$32*(datos_base!$G$3+datos_base!$G$19+IF(parametros_manuales!$H$32="Todos",datos_base!$G$10+datos_base!$G$24,0))*parametros_manuales!$J$100+parametros_manuales!$F$32*(datos_base!$G$4+datos_base!$G$20+IF(parametros_manuales!$H$32="Todos",datos_base!$G$11+datos_base!$G$25,0))*parametros_manuales!$J$105+parametros_manuales!$G$32*(datos_base!$G$5+datos_base!$G$21+IF(parametros_manuales!$H$32="Todos",datos_base!$G$12+datos_base!$G$26,0))*parametros_manuales!$J$110)*parametros_manuales!$I$32*parametros_manuales!$J$32</f>
        <v>10787.78309862</v>
      </c>
      <c r="K150" s="9" t="n">
        <f aca="false">(parametros_manuales!$D$32*(datos_base!$G$2+datos_base!$G$18+IF(parametros_manuales!$H$32="Todos",datos_base!$G$9+datos_base!$G$23,0))*parametros_manuales!$K$95+parametros_manuales!$E$32*(datos_base!$G$3+datos_base!$G$19+IF(parametros_manuales!$H$32="Todos",datos_base!$G$10+datos_base!$G$24,0))*parametros_manuales!$K$100+parametros_manuales!$F$32*(datos_base!$G$4+datos_base!$G$20+IF(parametros_manuales!$H$32="Todos",datos_base!$G$11+datos_base!$G$25,0))*parametros_manuales!$K$105+parametros_manuales!$G$32*(datos_base!$G$5+datos_base!$G$21+IF(parametros_manuales!$H$32="Todos",datos_base!$G$12+datos_base!$G$26,0))*parametros_manuales!$K$110)*parametros_manuales!$I$32*parametros_manuales!$J$32</f>
        <v>10970.954493765</v>
      </c>
      <c r="L150" s="9" t="n">
        <f aca="false">(parametros_manuales!$D$32*(datos_base!$G$2+datos_base!$G$18+IF(parametros_manuales!$H$32="Todos",datos_base!$G$9+datos_base!$G$23,0))*parametros_manuales!$L$95+parametros_manuales!$E$32*(datos_base!$G$3+datos_base!$G$19+IF(parametros_manuales!$H$32="Todos",datos_base!$G$10+datos_base!$G$24,0))*parametros_manuales!$L$100+parametros_manuales!$F$32*(datos_base!$G$4+datos_base!$G$20+IF(parametros_manuales!$H$32="Todos",datos_base!$G$11+datos_base!$G$25,0))*parametros_manuales!$L$105+parametros_manuales!$G$32*(datos_base!$G$5+datos_base!$G$21+IF(parametros_manuales!$H$32="Todos",datos_base!$G$12+datos_base!$G$26,0))*parametros_manuales!$L$110)*parametros_manuales!$I$32*parametros_manuales!$J$32</f>
        <v>11154.12588891</v>
      </c>
      <c r="M150" s="9" t="n">
        <f aca="false">(parametros_manuales!$D$32*(datos_base!$G$2+datos_base!$G$18+IF(parametros_manuales!$H$32="Todos",datos_base!$G$9+datos_base!$G$23,0))*parametros_manuales!$M$95+parametros_manuales!$E$32*(datos_base!$G$3+datos_base!$G$19+IF(parametros_manuales!$H$32="Todos",datos_base!$G$10+datos_base!$G$24,0))*parametros_manuales!$M$100+parametros_manuales!$F$32*(datos_base!$G$4+datos_base!$G$20+IF(parametros_manuales!$H$32="Todos",datos_base!$G$11+datos_base!$G$25,0))*parametros_manuales!$M$105+parametros_manuales!$G$32*(datos_base!$G$5+datos_base!$G$21+IF(parametros_manuales!$H$32="Todos",datos_base!$G$12+datos_base!$G$26,0))*parametros_manuales!$M$110)*parametros_manuales!$I$32*parametros_manuales!$J$32</f>
        <v>11154.12588891</v>
      </c>
      <c r="N150" s="9" t="n">
        <f aca="false">SUM(B150:M150)</f>
        <v>123934.732099</v>
      </c>
      <c r="O150" s="9" t="n">
        <f aca="false">MAX(B150:M150)</f>
        <v>11154.12588891</v>
      </c>
      <c r="P150" s="43" t="n">
        <f aca="false">O150/(parametros_manuales!$B$7)</f>
        <v>74.3608392594</v>
      </c>
      <c r="Q150" s="8" t="str">
        <f aca="false">IF(O150=0,"-",INDEX($B$136:$M$136,MATCH(O150,B150:M150,0)))</f>
        <v>Ene</v>
      </c>
    </row>
    <row r="151" customFormat="false" ht="14.25" hidden="false" customHeight="true" outlineLevel="0" collapsed="false">
      <c r="A151" s="8" t="str">
        <f aca="false">parametros_manuales!$B$33</f>
        <v>Secado</v>
      </c>
      <c r="B151" s="9" t="n">
        <f aca="false">(parametros_manuales!$D$33*(datos_base!$G$2+datos_base!$G$18+IF(parametros_manuales!$H$33="Todos",datos_base!$G$9+datos_base!$G$23,0))*parametros_manuales!$B$95+parametros_manuales!$E$33*(datos_base!$G$3+datos_base!$G$19+IF(parametros_manuales!$H$33="Todos",datos_base!$G$10+datos_base!$G$24,0))*parametros_manuales!$B$100+parametros_manuales!$F$33*(datos_base!$G$4+datos_base!$G$20+IF(parametros_manuales!$H$33="Todos",datos_base!$G$11+datos_base!$G$25,0))*parametros_manuales!$B$105+parametros_manuales!$G$33*(datos_base!$G$5+datos_base!$G$21+IF(parametros_manuales!$H$33="Todos",datos_base!$G$12+datos_base!$G$26,0))*parametros_manuales!$B$110)*parametros_manuales!$I$33*parametros_manuales!$J$33</f>
        <v>11154.12588891</v>
      </c>
      <c r="C151" s="9" t="n">
        <f aca="false">(parametros_manuales!$D$33*(datos_base!$G$2+datos_base!$G$18+IF(parametros_manuales!$H$33="Todos",datos_base!$G$9+datos_base!$G$23,0))*parametros_manuales!$C$95+parametros_manuales!$E$33*(datos_base!$G$3+datos_base!$G$19+IF(parametros_manuales!$H$33="Todos",datos_base!$G$10+datos_base!$G$24,0))*parametros_manuales!$C$100+parametros_manuales!$F$33*(datos_base!$G$4+datos_base!$G$20+IF(parametros_manuales!$H$33="Todos",datos_base!$G$11+datos_base!$G$25,0))*parametros_manuales!$C$105+parametros_manuales!$G$33*(datos_base!$G$5+datos_base!$G$21+IF(parametros_manuales!$H$33="Todos",datos_base!$G$12+datos_base!$G$26,0))*parametros_manuales!$C$110)*parametros_manuales!$I$33*parametros_manuales!$J$33</f>
        <v>10787.78309862</v>
      </c>
      <c r="D151" s="9" t="n">
        <f aca="false">(parametros_manuales!$D$33*(datos_base!$G$2+datos_base!$G$18+IF(parametros_manuales!$H$33="Todos",datos_base!$G$9+datos_base!$G$23,0))*parametros_manuales!$D$95+parametros_manuales!$E$33*(datos_base!$G$3+datos_base!$G$19+IF(parametros_manuales!$H$33="Todos",datos_base!$G$10+datos_base!$G$24,0))*parametros_manuales!$D$100+parametros_manuales!$F$33*(datos_base!$G$4+datos_base!$G$20+IF(parametros_manuales!$H$33="Todos",datos_base!$G$11+datos_base!$G$25,0))*parametros_manuales!$D$105+parametros_manuales!$G$33*(datos_base!$G$5+datos_base!$G$21+IF(parametros_manuales!$H$33="Todos",datos_base!$G$12+datos_base!$G$26,0))*parametros_manuales!$D$110)*parametros_manuales!$I$33*parametros_manuales!$J$33</f>
        <v>10097.949963065</v>
      </c>
      <c r="E151" s="9" t="n">
        <f aca="false">(parametros_manuales!$D$33*(datos_base!$G$2+datos_base!$G$18+IF(parametros_manuales!$H$33="Todos",datos_base!$G$9+datos_base!$G$23,0))*parametros_manuales!$E$95+parametros_manuales!$E$33*(datos_base!$G$3+datos_base!$G$19+IF(parametros_manuales!$H$33="Todos",datos_base!$G$10+datos_base!$G$24,0))*parametros_manuales!$E$100+parametros_manuales!$F$33*(datos_base!$G$4+datos_base!$G$20+IF(parametros_manuales!$H$33="Todos",datos_base!$G$11+datos_base!$G$25,0))*parametros_manuales!$E$105+parametros_manuales!$G$33*(datos_base!$G$5+datos_base!$G$21+IF(parametros_manuales!$H$33="Todos",datos_base!$G$12+datos_base!$G$26,0))*parametros_manuales!$E$110)*parametros_manuales!$I$33*parametros_manuales!$J$33</f>
        <v>9661.447697715</v>
      </c>
      <c r="F151" s="9" t="n">
        <f aca="false">(parametros_manuales!$D$33*(datos_base!$G$2+datos_base!$G$18+IF(parametros_manuales!$H$33="Todos",datos_base!$G$9+datos_base!$G$23,0))*parametros_manuales!$F$95+parametros_manuales!$E$33*(datos_base!$G$3+datos_base!$G$19+IF(parametros_manuales!$H$33="Todos",datos_base!$G$10+datos_base!$G$24,0))*parametros_manuales!$F$100+parametros_manuales!$F$33*(datos_base!$G$4+datos_base!$G$20+IF(parametros_manuales!$H$33="Todos",datos_base!$G$11+datos_base!$G$25,0))*parametros_manuales!$F$105+parametros_manuales!$G$33*(datos_base!$G$5+datos_base!$G$21+IF(parametros_manuales!$H$33="Todos",datos_base!$G$12+datos_base!$G$26,0))*parametros_manuales!$F$110)*parametros_manuales!$I$33*parametros_manuales!$J$33</f>
        <v>9041.77403722</v>
      </c>
      <c r="G151" s="9" t="n">
        <f aca="false">(parametros_manuales!$D$33*(datos_base!$G$2+datos_base!$G$18+IF(parametros_manuales!$H$33="Todos",datos_base!$G$9+datos_base!$G$23,0))*parametros_manuales!$G$95+parametros_manuales!$E$33*(datos_base!$G$3+datos_base!$G$19+IF(parametros_manuales!$H$33="Todos",datos_base!$G$10+datos_base!$G$24,0))*parametros_manuales!$G$100+parametros_manuales!$F$33*(datos_base!$G$4+datos_base!$G$20+IF(parametros_manuales!$H$33="Todos",datos_base!$G$11+datos_base!$G$25,0))*parametros_manuales!$G$105+parametros_manuales!$G$33*(datos_base!$G$5+datos_base!$G$21+IF(parametros_manuales!$H$33="Todos",datos_base!$G$12+datos_base!$G$26,0))*parametros_manuales!$G$110)*parametros_manuales!$I$33*parametros_manuales!$J$33</f>
        <v>8858.602642075</v>
      </c>
      <c r="H151" s="9" t="n">
        <f aca="false">(parametros_manuales!$D$33*(datos_base!$G$2+datos_base!$G$18+IF(parametros_manuales!$H$33="Todos",datos_base!$G$9+datos_base!$G$23,0))*parametros_manuales!$H$95+parametros_manuales!$E$33*(datos_base!$G$3+datos_base!$G$19+IF(parametros_manuales!$H$33="Todos",datos_base!$G$10+datos_base!$G$24,0))*parametros_manuales!$H$100+parametros_manuales!$F$33*(datos_base!$G$4+datos_base!$G$20+IF(parametros_manuales!$H$33="Todos",datos_base!$G$11+datos_base!$G$25,0))*parametros_manuales!$H$105+parametros_manuales!$G$33*(datos_base!$G$5+datos_base!$G$21+IF(parametros_manuales!$H$33="Todos",datos_base!$G$12+datos_base!$G$26,0))*parametros_manuales!$H$110)*parametros_manuales!$I$33*parametros_manuales!$J$33</f>
        <v>9478.27630257</v>
      </c>
      <c r="I151" s="9" t="n">
        <f aca="false">(parametros_manuales!$D$33*(datos_base!$G$2+datos_base!$G$18+IF(parametros_manuales!$H$33="Todos",datos_base!$G$9+datos_base!$G$23,0))*parametros_manuales!$I$95+parametros_manuales!$E$33*(datos_base!$G$3+datos_base!$G$19+IF(parametros_manuales!$H$33="Todos",datos_base!$G$10+datos_base!$G$24,0))*parametros_manuales!$I$100+parametros_manuales!$F$33*(datos_base!$G$4+datos_base!$G$20+IF(parametros_manuales!$H$33="Todos",datos_base!$G$11+datos_base!$G$25,0))*parametros_manuales!$I$105+parametros_manuales!$G$33*(datos_base!$G$5+datos_base!$G$21+IF(parametros_manuales!$H$33="Todos",datos_base!$G$12+datos_base!$G$26,0))*parametros_manuales!$I$110)*parametros_manuales!$I$33*parametros_manuales!$J$33</f>
        <v>10787.78309862</v>
      </c>
      <c r="J151" s="9" t="n">
        <f aca="false">(parametros_manuales!$D$33*(datos_base!$G$2+datos_base!$G$18+IF(parametros_manuales!$H$33="Todos",datos_base!$G$9+datos_base!$G$23,0))*parametros_manuales!$J$95+parametros_manuales!$E$33*(datos_base!$G$3+datos_base!$G$19+IF(parametros_manuales!$H$33="Todos",datos_base!$G$10+datos_base!$G$24,0))*parametros_manuales!$J$100+parametros_manuales!$F$33*(datos_base!$G$4+datos_base!$G$20+IF(parametros_manuales!$H$33="Todos",datos_base!$G$11+datos_base!$G$25,0))*parametros_manuales!$J$105+parametros_manuales!$G$33*(datos_base!$G$5+datos_base!$G$21+IF(parametros_manuales!$H$33="Todos",datos_base!$G$12+datos_base!$G$26,0))*parametros_manuales!$J$110)*parametros_manuales!$I$33*parametros_manuales!$J$33</f>
        <v>10787.78309862</v>
      </c>
      <c r="K151" s="9" t="n">
        <f aca="false">(parametros_manuales!$D$33*(datos_base!$G$2+datos_base!$G$18+IF(parametros_manuales!$H$33="Todos",datos_base!$G$9+datos_base!$G$23,0))*parametros_manuales!$K$95+parametros_manuales!$E$33*(datos_base!$G$3+datos_base!$G$19+IF(parametros_manuales!$H$33="Todos",datos_base!$G$10+datos_base!$G$24,0))*parametros_manuales!$K$100+parametros_manuales!$F$33*(datos_base!$G$4+datos_base!$G$20+IF(parametros_manuales!$H$33="Todos",datos_base!$G$11+datos_base!$G$25,0))*parametros_manuales!$K$105+parametros_manuales!$G$33*(datos_base!$G$5+datos_base!$G$21+IF(parametros_manuales!$H$33="Todos",datos_base!$G$12+datos_base!$G$26,0))*parametros_manuales!$K$110)*parametros_manuales!$I$33*parametros_manuales!$J$33</f>
        <v>10970.954493765</v>
      </c>
      <c r="L151" s="9" t="n">
        <f aca="false">(parametros_manuales!$D$33*(datos_base!$G$2+datos_base!$G$18+IF(parametros_manuales!$H$33="Todos",datos_base!$G$9+datos_base!$G$23,0))*parametros_manuales!$L$95+parametros_manuales!$E$33*(datos_base!$G$3+datos_base!$G$19+IF(parametros_manuales!$H$33="Todos",datos_base!$G$10+datos_base!$G$24,0))*parametros_manuales!$L$100+parametros_manuales!$F$33*(datos_base!$G$4+datos_base!$G$20+IF(parametros_manuales!$H$33="Todos",datos_base!$G$11+datos_base!$G$25,0))*parametros_manuales!$L$105+parametros_manuales!$G$33*(datos_base!$G$5+datos_base!$G$21+IF(parametros_manuales!$H$33="Todos",datos_base!$G$12+datos_base!$G$26,0))*parametros_manuales!$L$110)*parametros_manuales!$I$33*parametros_manuales!$J$33</f>
        <v>11154.12588891</v>
      </c>
      <c r="M151" s="9" t="n">
        <f aca="false">(parametros_manuales!$D$33*(datos_base!$G$2+datos_base!$G$18+IF(parametros_manuales!$H$33="Todos",datos_base!$G$9+datos_base!$G$23,0))*parametros_manuales!$M$95+parametros_manuales!$E$33*(datos_base!$G$3+datos_base!$G$19+IF(parametros_manuales!$H$33="Todos",datos_base!$G$10+datos_base!$G$24,0))*parametros_manuales!$M$100+parametros_manuales!$F$33*(datos_base!$G$4+datos_base!$G$20+IF(parametros_manuales!$H$33="Todos",datos_base!$G$11+datos_base!$G$25,0))*parametros_manuales!$M$105+parametros_manuales!$G$33*(datos_base!$G$5+datos_base!$G$21+IF(parametros_manuales!$H$33="Todos",datos_base!$G$12+datos_base!$G$26,0))*parametros_manuales!$M$110)*parametros_manuales!$I$33*parametros_manuales!$J$33</f>
        <v>11154.12588891</v>
      </c>
      <c r="N151" s="9" t="n">
        <f aca="false">SUM(B151:M151)</f>
        <v>123934.732099</v>
      </c>
      <c r="O151" s="9" t="n">
        <f aca="false">MAX(B151:M151)</f>
        <v>11154.12588891</v>
      </c>
      <c r="P151" s="43" t="n">
        <f aca="false">O151/(parametros_manuales!$B$7)</f>
        <v>74.3608392594</v>
      </c>
      <c r="Q151" s="8" t="str">
        <f aca="false">IF(O151=0,"-",INDEX($B$136:$M$136,MATCH(O151,B151:M151,0)))</f>
        <v>Ene</v>
      </c>
    </row>
    <row r="152" customFormat="false" ht="14.25" hidden="false" customHeight="true" outlineLevel="0" collapsed="false">
      <c r="A152" s="8" t="str">
        <f aca="false">parametros_manuales!$B$34</f>
        <v>Granallado</v>
      </c>
      <c r="B152" s="9" t="n">
        <f aca="false">(parametros_manuales!$D$34*(datos_base!$G$2+datos_base!$G$18+IF(parametros_manuales!$H$34="Todos",datos_base!$G$9+datos_base!$G$23,0))*parametros_manuales!$B$95+parametros_manuales!$E$34*(datos_base!$G$3+datos_base!$G$19+IF(parametros_manuales!$H$34="Todos",datos_base!$G$10+datos_base!$G$24,0))*parametros_manuales!$B$100+parametros_manuales!$F$34*(datos_base!$G$4+datos_base!$G$20+IF(parametros_manuales!$H$34="Todos",datos_base!$G$11+datos_base!$G$25,0))*parametros_manuales!$B$105+parametros_manuales!$G$34*(datos_base!$G$5+datos_base!$G$21+IF(parametros_manuales!$H$34="Todos",datos_base!$G$12+datos_base!$G$26,0))*parametros_manuales!$B$110)*parametros_manuales!$I$34*parametros_manuales!$J$34</f>
        <v>11154.12588891</v>
      </c>
      <c r="C152" s="9" t="n">
        <f aca="false">(parametros_manuales!$D$34*(datos_base!$G$2+datos_base!$G$18+IF(parametros_manuales!$H$34="Todos",datos_base!$G$9+datos_base!$G$23,0))*parametros_manuales!$C$95+parametros_manuales!$E$34*(datos_base!$G$3+datos_base!$G$19+IF(parametros_manuales!$H$34="Todos",datos_base!$G$10+datos_base!$G$24,0))*parametros_manuales!$C$100+parametros_manuales!$F$34*(datos_base!$G$4+datos_base!$G$20+IF(parametros_manuales!$H$34="Todos",datos_base!$G$11+datos_base!$G$25,0))*parametros_manuales!$C$105+parametros_manuales!$G$34*(datos_base!$G$5+datos_base!$G$21+IF(parametros_manuales!$H$34="Todos",datos_base!$G$12+datos_base!$G$26,0))*parametros_manuales!$C$110)*parametros_manuales!$I$34*parametros_manuales!$J$34</f>
        <v>10787.78309862</v>
      </c>
      <c r="D152" s="9" t="n">
        <f aca="false">(parametros_manuales!$D$34*(datos_base!$G$2+datos_base!$G$18+IF(parametros_manuales!$H$34="Todos",datos_base!$G$9+datos_base!$G$23,0))*parametros_manuales!$D$95+parametros_manuales!$E$34*(datos_base!$G$3+datos_base!$G$19+IF(parametros_manuales!$H$34="Todos",datos_base!$G$10+datos_base!$G$24,0))*parametros_manuales!$D$100+parametros_manuales!$F$34*(datos_base!$G$4+datos_base!$G$20+IF(parametros_manuales!$H$34="Todos",datos_base!$G$11+datos_base!$G$25,0))*parametros_manuales!$D$105+parametros_manuales!$G$34*(datos_base!$G$5+datos_base!$G$21+IF(parametros_manuales!$H$34="Todos",datos_base!$G$12+datos_base!$G$26,0))*parametros_manuales!$D$110)*parametros_manuales!$I$34*parametros_manuales!$J$34</f>
        <v>10097.949963065</v>
      </c>
      <c r="E152" s="9" t="n">
        <f aca="false">(parametros_manuales!$D$34*(datos_base!$G$2+datos_base!$G$18+IF(parametros_manuales!$H$34="Todos",datos_base!$G$9+datos_base!$G$23,0))*parametros_manuales!$E$95+parametros_manuales!$E$34*(datos_base!$G$3+datos_base!$G$19+IF(parametros_manuales!$H$34="Todos",datos_base!$G$10+datos_base!$G$24,0))*parametros_manuales!$E$100+parametros_manuales!$F$34*(datos_base!$G$4+datos_base!$G$20+IF(parametros_manuales!$H$34="Todos",datos_base!$G$11+datos_base!$G$25,0))*parametros_manuales!$E$105+parametros_manuales!$G$34*(datos_base!$G$5+datos_base!$G$21+IF(parametros_manuales!$H$34="Todos",datos_base!$G$12+datos_base!$G$26,0))*parametros_manuales!$E$110)*parametros_manuales!$I$34*parametros_manuales!$J$34</f>
        <v>9661.447697715</v>
      </c>
      <c r="F152" s="9" t="n">
        <f aca="false">(parametros_manuales!$D$34*(datos_base!$G$2+datos_base!$G$18+IF(parametros_manuales!$H$34="Todos",datos_base!$G$9+datos_base!$G$23,0))*parametros_manuales!$F$95+parametros_manuales!$E$34*(datos_base!$G$3+datos_base!$G$19+IF(parametros_manuales!$H$34="Todos",datos_base!$G$10+datos_base!$G$24,0))*parametros_manuales!$F$100+parametros_manuales!$F$34*(datos_base!$G$4+datos_base!$G$20+IF(parametros_manuales!$H$34="Todos",datos_base!$G$11+datos_base!$G$25,0))*parametros_manuales!$F$105+parametros_manuales!$G$34*(datos_base!$G$5+datos_base!$G$21+IF(parametros_manuales!$H$34="Todos",datos_base!$G$12+datos_base!$G$26,0))*parametros_manuales!$F$110)*parametros_manuales!$I$34*parametros_manuales!$J$34</f>
        <v>9041.77403722</v>
      </c>
      <c r="G152" s="9" t="n">
        <f aca="false">(parametros_manuales!$D$34*(datos_base!$G$2+datos_base!$G$18+IF(parametros_manuales!$H$34="Todos",datos_base!$G$9+datos_base!$G$23,0))*parametros_manuales!$G$95+parametros_manuales!$E$34*(datos_base!$G$3+datos_base!$G$19+IF(parametros_manuales!$H$34="Todos",datos_base!$G$10+datos_base!$G$24,0))*parametros_manuales!$G$100+parametros_manuales!$F$34*(datos_base!$G$4+datos_base!$G$20+IF(parametros_manuales!$H$34="Todos",datos_base!$G$11+datos_base!$G$25,0))*parametros_manuales!$G$105+parametros_manuales!$G$34*(datos_base!$G$5+datos_base!$G$21+IF(parametros_manuales!$H$34="Todos",datos_base!$G$12+datos_base!$G$26,0))*parametros_manuales!$G$110)*parametros_manuales!$I$34*parametros_manuales!$J$34</f>
        <v>8858.602642075</v>
      </c>
      <c r="H152" s="9" t="n">
        <f aca="false">(parametros_manuales!$D$34*(datos_base!$G$2+datos_base!$G$18+IF(parametros_manuales!$H$34="Todos",datos_base!$G$9+datos_base!$G$23,0))*parametros_manuales!$H$95+parametros_manuales!$E$34*(datos_base!$G$3+datos_base!$G$19+IF(parametros_manuales!$H$34="Todos",datos_base!$G$10+datos_base!$G$24,0))*parametros_manuales!$H$100+parametros_manuales!$F$34*(datos_base!$G$4+datos_base!$G$20+IF(parametros_manuales!$H$34="Todos",datos_base!$G$11+datos_base!$G$25,0))*parametros_manuales!$H$105+parametros_manuales!$G$34*(datos_base!$G$5+datos_base!$G$21+IF(parametros_manuales!$H$34="Todos",datos_base!$G$12+datos_base!$G$26,0))*parametros_manuales!$H$110)*parametros_manuales!$I$34*parametros_manuales!$J$34</f>
        <v>9478.27630257</v>
      </c>
      <c r="I152" s="9" t="n">
        <f aca="false">(parametros_manuales!$D$34*(datos_base!$G$2+datos_base!$G$18+IF(parametros_manuales!$H$34="Todos",datos_base!$G$9+datos_base!$G$23,0))*parametros_manuales!$I$95+parametros_manuales!$E$34*(datos_base!$G$3+datos_base!$G$19+IF(parametros_manuales!$H$34="Todos",datos_base!$G$10+datos_base!$G$24,0))*parametros_manuales!$I$100+parametros_manuales!$F$34*(datos_base!$G$4+datos_base!$G$20+IF(parametros_manuales!$H$34="Todos",datos_base!$G$11+datos_base!$G$25,0))*parametros_manuales!$I$105+parametros_manuales!$G$34*(datos_base!$G$5+datos_base!$G$21+IF(parametros_manuales!$H$34="Todos",datos_base!$G$12+datos_base!$G$26,0))*parametros_manuales!$I$110)*parametros_manuales!$I$34*parametros_manuales!$J$34</f>
        <v>10787.78309862</v>
      </c>
      <c r="J152" s="9" t="n">
        <f aca="false">(parametros_manuales!$D$34*(datos_base!$G$2+datos_base!$G$18+IF(parametros_manuales!$H$34="Todos",datos_base!$G$9+datos_base!$G$23,0))*parametros_manuales!$J$95+parametros_manuales!$E$34*(datos_base!$G$3+datos_base!$G$19+IF(parametros_manuales!$H$34="Todos",datos_base!$G$10+datos_base!$G$24,0))*parametros_manuales!$J$100+parametros_manuales!$F$34*(datos_base!$G$4+datos_base!$G$20+IF(parametros_manuales!$H$34="Todos",datos_base!$G$11+datos_base!$G$25,0))*parametros_manuales!$J$105+parametros_manuales!$G$34*(datos_base!$G$5+datos_base!$G$21+IF(parametros_manuales!$H$34="Todos",datos_base!$G$12+datos_base!$G$26,0))*parametros_manuales!$J$110)*parametros_manuales!$I$34*parametros_manuales!$J$34</f>
        <v>10787.78309862</v>
      </c>
      <c r="K152" s="9" t="n">
        <f aca="false">(parametros_manuales!$D$34*(datos_base!$G$2+datos_base!$G$18+IF(parametros_manuales!$H$34="Todos",datos_base!$G$9+datos_base!$G$23,0))*parametros_manuales!$K$95+parametros_manuales!$E$34*(datos_base!$G$3+datos_base!$G$19+IF(parametros_manuales!$H$34="Todos",datos_base!$G$10+datos_base!$G$24,0))*parametros_manuales!$K$100+parametros_manuales!$F$34*(datos_base!$G$4+datos_base!$G$20+IF(parametros_manuales!$H$34="Todos",datos_base!$G$11+datos_base!$G$25,0))*parametros_manuales!$K$105+parametros_manuales!$G$34*(datos_base!$G$5+datos_base!$G$21+IF(parametros_manuales!$H$34="Todos",datos_base!$G$12+datos_base!$G$26,0))*parametros_manuales!$K$110)*parametros_manuales!$I$34*parametros_manuales!$J$34</f>
        <v>10970.954493765</v>
      </c>
      <c r="L152" s="9" t="n">
        <f aca="false">(parametros_manuales!$D$34*(datos_base!$G$2+datos_base!$G$18+IF(parametros_manuales!$H$34="Todos",datos_base!$G$9+datos_base!$G$23,0))*parametros_manuales!$L$95+parametros_manuales!$E$34*(datos_base!$G$3+datos_base!$G$19+IF(parametros_manuales!$H$34="Todos",datos_base!$G$10+datos_base!$G$24,0))*parametros_manuales!$L$100+parametros_manuales!$F$34*(datos_base!$G$4+datos_base!$G$20+IF(parametros_manuales!$H$34="Todos",datos_base!$G$11+datos_base!$G$25,0))*parametros_manuales!$L$105+parametros_manuales!$G$34*(datos_base!$G$5+datos_base!$G$21+IF(parametros_manuales!$H$34="Todos",datos_base!$G$12+datos_base!$G$26,0))*parametros_manuales!$L$110)*parametros_manuales!$I$34*parametros_manuales!$J$34</f>
        <v>11154.12588891</v>
      </c>
      <c r="M152" s="9" t="n">
        <f aca="false">(parametros_manuales!$D$34*(datos_base!$G$2+datos_base!$G$18+IF(parametros_manuales!$H$34="Todos",datos_base!$G$9+datos_base!$G$23,0))*parametros_manuales!$M$95+parametros_manuales!$E$34*(datos_base!$G$3+datos_base!$G$19+IF(parametros_manuales!$H$34="Todos",datos_base!$G$10+datos_base!$G$24,0))*parametros_manuales!$M$100+parametros_manuales!$F$34*(datos_base!$G$4+datos_base!$G$20+IF(parametros_manuales!$H$34="Todos",datos_base!$G$11+datos_base!$G$25,0))*parametros_manuales!$M$105+parametros_manuales!$G$34*(datos_base!$G$5+datos_base!$G$21+IF(parametros_manuales!$H$34="Todos",datos_base!$G$12+datos_base!$G$26,0))*parametros_manuales!$M$110)*parametros_manuales!$I$34*parametros_manuales!$J$34</f>
        <v>11154.12588891</v>
      </c>
      <c r="N152" s="9" t="n">
        <f aca="false">SUM(B152:M152)</f>
        <v>123934.732099</v>
      </c>
      <c r="O152" s="9" t="n">
        <f aca="false">MAX(B152:M152)</f>
        <v>11154.12588891</v>
      </c>
      <c r="P152" s="43" t="n">
        <f aca="false">O152/(parametros_manuales!$B$7)</f>
        <v>74.3608392594</v>
      </c>
      <c r="Q152" s="8" t="str">
        <f aca="false">IF(O152=0,"-",INDEX($B$136:$M$136,MATCH(O152,B152:M152,0)))</f>
        <v>Ene</v>
      </c>
    </row>
    <row r="153" customFormat="false" ht="14.25" hidden="false" customHeight="true" outlineLevel="0" collapsed="false">
      <c r="A153" s="8" t="str">
        <f aca="false">parametros_manuales!$B$35</f>
        <v>Detección de defectos</v>
      </c>
      <c r="B153" s="9" t="n">
        <f aca="false">(parametros_manuales!$D$35*(datos_base!$G$2+datos_base!$G$18+IF(parametros_manuales!$H$35="Todos",datos_base!$G$9+datos_base!$G$23,0))*parametros_manuales!$B$95+parametros_manuales!$E$35*(datos_base!$G$3+datos_base!$G$19+IF(parametros_manuales!$H$35="Todos",datos_base!$G$10+datos_base!$G$24,0))*parametros_manuales!$B$100+parametros_manuales!$F$35*(datos_base!$G$4+datos_base!$G$20+IF(parametros_manuales!$H$35="Todos",datos_base!$G$11+datos_base!$G$25,0))*parametros_manuales!$B$105+parametros_manuales!$G$35*(datos_base!$G$5+datos_base!$G$21+IF(parametros_manuales!$H$35="Todos",datos_base!$G$12+datos_base!$G$26,0))*parametros_manuales!$B$110)*parametros_manuales!$I$35*parametros_manuales!$J$35</f>
        <v>11154.12588891</v>
      </c>
      <c r="C153" s="9" t="n">
        <f aca="false">(parametros_manuales!$D$35*(datos_base!$G$2+datos_base!$G$18+IF(parametros_manuales!$H$35="Todos",datos_base!$G$9+datos_base!$G$23,0))*parametros_manuales!$C$95+parametros_manuales!$E$35*(datos_base!$G$3+datos_base!$G$19+IF(parametros_manuales!$H$35="Todos",datos_base!$G$10+datos_base!$G$24,0))*parametros_manuales!$C$100+parametros_manuales!$F$35*(datos_base!$G$4+datos_base!$G$20+IF(parametros_manuales!$H$35="Todos",datos_base!$G$11+datos_base!$G$25,0))*parametros_manuales!$C$105+parametros_manuales!$G$35*(datos_base!$G$5+datos_base!$G$21+IF(parametros_manuales!$H$35="Todos",datos_base!$G$12+datos_base!$G$26,0))*parametros_manuales!$C$110)*parametros_manuales!$I$35*parametros_manuales!$J$35</f>
        <v>10787.78309862</v>
      </c>
      <c r="D153" s="9" t="n">
        <f aca="false">(parametros_manuales!$D$35*(datos_base!$G$2+datos_base!$G$18+IF(parametros_manuales!$H$35="Todos",datos_base!$G$9+datos_base!$G$23,0))*parametros_manuales!$D$95+parametros_manuales!$E$35*(datos_base!$G$3+datos_base!$G$19+IF(parametros_manuales!$H$35="Todos",datos_base!$G$10+datos_base!$G$24,0))*parametros_manuales!$D$100+parametros_manuales!$F$35*(datos_base!$G$4+datos_base!$G$20+IF(parametros_manuales!$H$35="Todos",datos_base!$G$11+datos_base!$G$25,0))*parametros_manuales!$D$105+parametros_manuales!$G$35*(datos_base!$G$5+datos_base!$G$21+IF(parametros_manuales!$H$35="Todos",datos_base!$G$12+datos_base!$G$26,0))*parametros_manuales!$D$110)*parametros_manuales!$I$35*parametros_manuales!$J$35</f>
        <v>10097.949963065</v>
      </c>
      <c r="E153" s="9" t="n">
        <f aca="false">(parametros_manuales!$D$35*(datos_base!$G$2+datos_base!$G$18+IF(parametros_manuales!$H$35="Todos",datos_base!$G$9+datos_base!$G$23,0))*parametros_manuales!$E$95+parametros_manuales!$E$35*(datos_base!$G$3+datos_base!$G$19+IF(parametros_manuales!$H$35="Todos",datos_base!$G$10+datos_base!$G$24,0))*parametros_manuales!$E$100+parametros_manuales!$F$35*(datos_base!$G$4+datos_base!$G$20+IF(parametros_manuales!$H$35="Todos",datos_base!$G$11+datos_base!$G$25,0))*parametros_manuales!$E$105+parametros_manuales!$G$35*(datos_base!$G$5+datos_base!$G$21+IF(parametros_manuales!$H$35="Todos",datos_base!$G$12+datos_base!$G$26,0))*parametros_manuales!$E$110)*parametros_manuales!$I$35*parametros_manuales!$J$35</f>
        <v>9661.447697715</v>
      </c>
      <c r="F153" s="9" t="n">
        <f aca="false">(parametros_manuales!$D$35*(datos_base!$G$2+datos_base!$G$18+IF(parametros_manuales!$H$35="Todos",datos_base!$G$9+datos_base!$G$23,0))*parametros_manuales!$F$95+parametros_manuales!$E$35*(datos_base!$G$3+datos_base!$G$19+IF(parametros_manuales!$H$35="Todos",datos_base!$G$10+datos_base!$G$24,0))*parametros_manuales!$F$100+parametros_manuales!$F$35*(datos_base!$G$4+datos_base!$G$20+IF(parametros_manuales!$H$35="Todos",datos_base!$G$11+datos_base!$G$25,0))*parametros_manuales!$F$105+parametros_manuales!$G$35*(datos_base!$G$5+datos_base!$G$21+IF(parametros_manuales!$H$35="Todos",datos_base!$G$12+datos_base!$G$26,0))*parametros_manuales!$F$110)*parametros_manuales!$I$35*parametros_manuales!$J$35</f>
        <v>9041.77403722</v>
      </c>
      <c r="G153" s="9" t="n">
        <f aca="false">(parametros_manuales!$D$35*(datos_base!$G$2+datos_base!$G$18+IF(parametros_manuales!$H$35="Todos",datos_base!$G$9+datos_base!$G$23,0))*parametros_manuales!$G$95+parametros_manuales!$E$35*(datos_base!$G$3+datos_base!$G$19+IF(parametros_manuales!$H$35="Todos",datos_base!$G$10+datos_base!$G$24,0))*parametros_manuales!$G$100+parametros_manuales!$F$35*(datos_base!$G$4+datos_base!$G$20+IF(parametros_manuales!$H$35="Todos",datos_base!$G$11+datos_base!$G$25,0))*parametros_manuales!$G$105+parametros_manuales!$G$35*(datos_base!$G$5+datos_base!$G$21+IF(parametros_manuales!$H$35="Todos",datos_base!$G$12+datos_base!$G$26,0))*parametros_manuales!$G$110)*parametros_manuales!$I$35*parametros_manuales!$J$35</f>
        <v>8858.602642075</v>
      </c>
      <c r="H153" s="9" t="n">
        <f aca="false">(parametros_manuales!$D$35*(datos_base!$G$2+datos_base!$G$18+IF(parametros_manuales!$H$35="Todos",datos_base!$G$9+datos_base!$G$23,0))*parametros_manuales!$H$95+parametros_manuales!$E$35*(datos_base!$G$3+datos_base!$G$19+IF(parametros_manuales!$H$35="Todos",datos_base!$G$10+datos_base!$G$24,0))*parametros_manuales!$H$100+parametros_manuales!$F$35*(datos_base!$G$4+datos_base!$G$20+IF(parametros_manuales!$H$35="Todos",datos_base!$G$11+datos_base!$G$25,0))*parametros_manuales!$H$105+parametros_manuales!$G$35*(datos_base!$G$5+datos_base!$G$21+IF(parametros_manuales!$H$35="Todos",datos_base!$G$12+datos_base!$G$26,0))*parametros_manuales!$H$110)*parametros_manuales!$I$35*parametros_manuales!$J$35</f>
        <v>9478.27630257</v>
      </c>
      <c r="I153" s="9" t="n">
        <f aca="false">(parametros_manuales!$D$35*(datos_base!$G$2+datos_base!$G$18+IF(parametros_manuales!$H$35="Todos",datos_base!$G$9+datos_base!$G$23,0))*parametros_manuales!$I$95+parametros_manuales!$E$35*(datos_base!$G$3+datos_base!$G$19+IF(parametros_manuales!$H$35="Todos",datos_base!$G$10+datos_base!$G$24,0))*parametros_manuales!$I$100+parametros_manuales!$F$35*(datos_base!$G$4+datos_base!$G$20+IF(parametros_manuales!$H$35="Todos",datos_base!$G$11+datos_base!$G$25,0))*parametros_manuales!$I$105+parametros_manuales!$G$35*(datos_base!$G$5+datos_base!$G$21+IF(parametros_manuales!$H$35="Todos",datos_base!$G$12+datos_base!$G$26,0))*parametros_manuales!$I$110)*parametros_manuales!$I$35*parametros_manuales!$J$35</f>
        <v>10787.78309862</v>
      </c>
      <c r="J153" s="9" t="n">
        <f aca="false">(parametros_manuales!$D$35*(datos_base!$G$2+datos_base!$G$18+IF(parametros_manuales!$H$35="Todos",datos_base!$G$9+datos_base!$G$23,0))*parametros_manuales!$J$95+parametros_manuales!$E$35*(datos_base!$G$3+datos_base!$G$19+IF(parametros_manuales!$H$35="Todos",datos_base!$G$10+datos_base!$G$24,0))*parametros_manuales!$J$100+parametros_manuales!$F$35*(datos_base!$G$4+datos_base!$G$20+IF(parametros_manuales!$H$35="Todos",datos_base!$G$11+datos_base!$G$25,0))*parametros_manuales!$J$105+parametros_manuales!$G$35*(datos_base!$G$5+datos_base!$G$21+IF(parametros_manuales!$H$35="Todos",datos_base!$G$12+datos_base!$G$26,0))*parametros_manuales!$J$110)*parametros_manuales!$I$35*parametros_manuales!$J$35</f>
        <v>10787.78309862</v>
      </c>
      <c r="K153" s="9" t="n">
        <f aca="false">(parametros_manuales!$D$35*(datos_base!$G$2+datos_base!$G$18+IF(parametros_manuales!$H$35="Todos",datos_base!$G$9+datos_base!$G$23,0))*parametros_manuales!$K$95+parametros_manuales!$E$35*(datos_base!$G$3+datos_base!$G$19+IF(parametros_manuales!$H$35="Todos",datos_base!$G$10+datos_base!$G$24,0))*parametros_manuales!$K$100+parametros_manuales!$F$35*(datos_base!$G$4+datos_base!$G$20+IF(parametros_manuales!$H$35="Todos",datos_base!$G$11+datos_base!$G$25,0))*parametros_manuales!$K$105+parametros_manuales!$G$35*(datos_base!$G$5+datos_base!$G$21+IF(parametros_manuales!$H$35="Todos",datos_base!$G$12+datos_base!$G$26,0))*parametros_manuales!$K$110)*parametros_manuales!$I$35*parametros_manuales!$J$35</f>
        <v>10970.954493765</v>
      </c>
      <c r="L153" s="9" t="n">
        <f aca="false">(parametros_manuales!$D$35*(datos_base!$G$2+datos_base!$G$18+IF(parametros_manuales!$H$35="Todos",datos_base!$G$9+datos_base!$G$23,0))*parametros_manuales!$L$95+parametros_manuales!$E$35*(datos_base!$G$3+datos_base!$G$19+IF(parametros_manuales!$H$35="Todos",datos_base!$G$10+datos_base!$G$24,0))*parametros_manuales!$L$100+parametros_manuales!$F$35*(datos_base!$G$4+datos_base!$G$20+IF(parametros_manuales!$H$35="Todos",datos_base!$G$11+datos_base!$G$25,0))*parametros_manuales!$L$105+parametros_manuales!$G$35*(datos_base!$G$5+datos_base!$G$21+IF(parametros_manuales!$H$35="Todos",datos_base!$G$12+datos_base!$G$26,0))*parametros_manuales!$L$110)*parametros_manuales!$I$35*parametros_manuales!$J$35</f>
        <v>11154.12588891</v>
      </c>
      <c r="M153" s="9" t="n">
        <f aca="false">(parametros_manuales!$D$35*(datos_base!$G$2+datos_base!$G$18+IF(parametros_manuales!$H$35="Todos",datos_base!$G$9+datos_base!$G$23,0))*parametros_manuales!$M$95+parametros_manuales!$E$35*(datos_base!$G$3+datos_base!$G$19+IF(parametros_manuales!$H$35="Todos",datos_base!$G$10+datos_base!$G$24,0))*parametros_manuales!$M$100+parametros_manuales!$F$35*(datos_base!$G$4+datos_base!$G$20+IF(parametros_manuales!$H$35="Todos",datos_base!$G$11+datos_base!$G$25,0))*parametros_manuales!$M$105+parametros_manuales!$G$35*(datos_base!$G$5+datos_base!$G$21+IF(parametros_manuales!$H$35="Todos",datos_base!$G$12+datos_base!$G$26,0))*parametros_manuales!$M$110)*parametros_manuales!$I$35*parametros_manuales!$J$35</f>
        <v>11154.12588891</v>
      </c>
      <c r="N153" s="9" t="n">
        <f aca="false">SUM(B153:M153)</f>
        <v>123934.732099</v>
      </c>
      <c r="O153" s="9" t="n">
        <f aca="false">MAX(B153:M153)</f>
        <v>11154.12588891</v>
      </c>
      <c r="P153" s="43" t="n">
        <f aca="false">O153/(parametros_manuales!$B$7)</f>
        <v>74.3608392594</v>
      </c>
      <c r="Q153" s="8" t="str">
        <f aca="false">IF(O153=0,"-",INDEX($B$136:$M$136,MATCH(O153,B153:M153,0)))</f>
        <v>Ene</v>
      </c>
    </row>
    <row r="154" customFormat="false" ht="14.25" hidden="false" customHeight="true" outlineLevel="0" collapsed="false">
      <c r="A154" s="8" t="str">
        <f aca="false">parametros_manuales!$B$36</f>
        <v>Corrección de defectos</v>
      </c>
      <c r="B154" s="9" t="n">
        <f aca="false">(parametros_manuales!$D$36*(datos_base!$G$2+datos_base!$G$18+IF(parametros_manuales!$H$36="Todos",datos_base!$G$9+datos_base!$G$23,0))*parametros_manuales!$B$95+parametros_manuales!$E$36*(datos_base!$G$3+datos_base!$G$19+IF(parametros_manuales!$H$36="Todos",datos_base!$G$10+datos_base!$G$24,0))*parametros_manuales!$B$100+parametros_manuales!$F$36*(datos_base!$G$4+datos_base!$G$20+IF(parametros_manuales!$H$36="Todos",datos_base!$G$11+datos_base!$G$25,0))*parametros_manuales!$B$105+parametros_manuales!$G$36*(datos_base!$G$5+datos_base!$G$21+IF(parametros_manuales!$H$36="Todos",datos_base!$G$12+datos_base!$G$26,0))*parametros_manuales!$B$110)*parametros_manuales!$I$36*parametros_manuales!$J$36</f>
        <v>557.7062944455</v>
      </c>
      <c r="C154" s="9" t="n">
        <f aca="false">(parametros_manuales!$D$36*(datos_base!$G$2+datos_base!$G$18+IF(parametros_manuales!$H$36="Todos",datos_base!$G$9+datos_base!$G$23,0))*parametros_manuales!$C$95+parametros_manuales!$E$36*(datos_base!$G$3+datos_base!$G$19+IF(parametros_manuales!$H$36="Todos",datos_base!$G$10+datos_base!$G$24,0))*parametros_manuales!$C$100+parametros_manuales!$F$36*(datos_base!$G$4+datos_base!$G$20+IF(parametros_manuales!$H$36="Todos",datos_base!$G$11+datos_base!$G$25,0))*parametros_manuales!$C$105+parametros_manuales!$G$36*(datos_base!$G$5+datos_base!$G$21+IF(parametros_manuales!$H$36="Todos",datos_base!$G$12+datos_base!$G$26,0))*parametros_manuales!$C$110)*parametros_manuales!$I$36*parametros_manuales!$J$36</f>
        <v>539.389154931</v>
      </c>
      <c r="D154" s="9" t="n">
        <f aca="false">(parametros_manuales!$D$36*(datos_base!$G$2+datos_base!$G$18+IF(parametros_manuales!$H$36="Todos",datos_base!$G$9+datos_base!$G$23,0))*parametros_manuales!$D$95+parametros_manuales!$E$36*(datos_base!$G$3+datos_base!$G$19+IF(parametros_manuales!$H$36="Todos",datos_base!$G$10+datos_base!$G$24,0))*parametros_manuales!$D$100+parametros_manuales!$F$36*(datos_base!$G$4+datos_base!$G$20+IF(parametros_manuales!$H$36="Todos",datos_base!$G$11+datos_base!$G$25,0))*parametros_manuales!$D$105+parametros_manuales!$G$36*(datos_base!$G$5+datos_base!$G$21+IF(parametros_manuales!$H$36="Todos",datos_base!$G$12+datos_base!$G$26,0))*parametros_manuales!$D$110)*parametros_manuales!$I$36*parametros_manuales!$J$36</f>
        <v>504.89749815325</v>
      </c>
      <c r="E154" s="9" t="n">
        <f aca="false">(parametros_manuales!$D$36*(datos_base!$G$2+datos_base!$G$18+IF(parametros_manuales!$H$36="Todos",datos_base!$G$9+datos_base!$G$23,0))*parametros_manuales!$E$95+parametros_manuales!$E$36*(datos_base!$G$3+datos_base!$G$19+IF(parametros_manuales!$H$36="Todos",datos_base!$G$10+datos_base!$G$24,0))*parametros_manuales!$E$100+parametros_manuales!$F$36*(datos_base!$G$4+datos_base!$G$20+IF(parametros_manuales!$H$36="Todos",datos_base!$G$11+datos_base!$G$25,0))*parametros_manuales!$E$105+parametros_manuales!$G$36*(datos_base!$G$5+datos_base!$G$21+IF(parametros_manuales!$H$36="Todos",datos_base!$G$12+datos_base!$G$26,0))*parametros_manuales!$E$110)*parametros_manuales!$I$36*parametros_manuales!$J$36</f>
        <v>483.07238488575</v>
      </c>
      <c r="F154" s="9" t="n">
        <f aca="false">(parametros_manuales!$D$36*(datos_base!$G$2+datos_base!$G$18+IF(parametros_manuales!$H$36="Todos",datos_base!$G$9+datos_base!$G$23,0))*parametros_manuales!$F$95+parametros_manuales!$E$36*(datos_base!$G$3+datos_base!$G$19+IF(parametros_manuales!$H$36="Todos",datos_base!$G$10+datos_base!$G$24,0))*parametros_manuales!$F$100+parametros_manuales!$F$36*(datos_base!$G$4+datos_base!$G$20+IF(parametros_manuales!$H$36="Todos",datos_base!$G$11+datos_base!$G$25,0))*parametros_manuales!$F$105+parametros_manuales!$G$36*(datos_base!$G$5+datos_base!$G$21+IF(parametros_manuales!$H$36="Todos",datos_base!$G$12+datos_base!$G$26,0))*parametros_manuales!$F$110)*parametros_manuales!$I$36*parametros_manuales!$J$36</f>
        <v>452.088701861</v>
      </c>
      <c r="G154" s="9" t="n">
        <f aca="false">(parametros_manuales!$D$36*(datos_base!$G$2+datos_base!$G$18+IF(parametros_manuales!$H$36="Todos",datos_base!$G$9+datos_base!$G$23,0))*parametros_manuales!$G$95+parametros_manuales!$E$36*(datos_base!$G$3+datos_base!$G$19+IF(parametros_manuales!$H$36="Todos",datos_base!$G$10+datos_base!$G$24,0))*parametros_manuales!$G$100+parametros_manuales!$F$36*(datos_base!$G$4+datos_base!$G$20+IF(parametros_manuales!$H$36="Todos",datos_base!$G$11+datos_base!$G$25,0))*parametros_manuales!$G$105+parametros_manuales!$G$36*(datos_base!$G$5+datos_base!$G$21+IF(parametros_manuales!$H$36="Todos",datos_base!$G$12+datos_base!$G$26,0))*parametros_manuales!$G$110)*parametros_manuales!$I$36*parametros_manuales!$J$36</f>
        <v>442.93013210375</v>
      </c>
      <c r="H154" s="9" t="n">
        <f aca="false">(parametros_manuales!$D$36*(datos_base!$G$2+datos_base!$G$18+IF(parametros_manuales!$H$36="Todos",datos_base!$G$9+datos_base!$G$23,0))*parametros_manuales!$H$95+parametros_manuales!$E$36*(datos_base!$G$3+datos_base!$G$19+IF(parametros_manuales!$H$36="Todos",datos_base!$G$10+datos_base!$G$24,0))*parametros_manuales!$H$100+parametros_manuales!$F$36*(datos_base!$G$4+datos_base!$G$20+IF(parametros_manuales!$H$36="Todos",datos_base!$G$11+datos_base!$G$25,0))*parametros_manuales!$H$105+parametros_manuales!$G$36*(datos_base!$G$5+datos_base!$G$21+IF(parametros_manuales!$H$36="Todos",datos_base!$G$12+datos_base!$G$26,0))*parametros_manuales!$H$110)*parametros_manuales!$I$36*parametros_manuales!$J$36</f>
        <v>473.9138151285</v>
      </c>
      <c r="I154" s="9" t="n">
        <f aca="false">(parametros_manuales!$D$36*(datos_base!$G$2+datos_base!$G$18+IF(parametros_manuales!$H$36="Todos",datos_base!$G$9+datos_base!$G$23,0))*parametros_manuales!$I$95+parametros_manuales!$E$36*(datos_base!$G$3+datos_base!$G$19+IF(parametros_manuales!$H$36="Todos",datos_base!$G$10+datos_base!$G$24,0))*parametros_manuales!$I$100+parametros_manuales!$F$36*(datos_base!$G$4+datos_base!$G$20+IF(parametros_manuales!$H$36="Todos",datos_base!$G$11+datos_base!$G$25,0))*parametros_manuales!$I$105+parametros_manuales!$G$36*(datos_base!$G$5+datos_base!$G$21+IF(parametros_manuales!$H$36="Todos",datos_base!$G$12+datos_base!$G$26,0))*parametros_manuales!$I$110)*parametros_manuales!$I$36*parametros_manuales!$J$36</f>
        <v>539.389154931</v>
      </c>
      <c r="J154" s="9" t="n">
        <f aca="false">(parametros_manuales!$D$36*(datos_base!$G$2+datos_base!$G$18+IF(parametros_manuales!$H$36="Todos",datos_base!$G$9+datos_base!$G$23,0))*parametros_manuales!$J$95+parametros_manuales!$E$36*(datos_base!$G$3+datos_base!$G$19+IF(parametros_manuales!$H$36="Todos",datos_base!$G$10+datos_base!$G$24,0))*parametros_manuales!$J$100+parametros_manuales!$F$36*(datos_base!$G$4+datos_base!$G$20+IF(parametros_manuales!$H$36="Todos",datos_base!$G$11+datos_base!$G$25,0))*parametros_manuales!$J$105+parametros_manuales!$G$36*(datos_base!$G$5+datos_base!$G$21+IF(parametros_manuales!$H$36="Todos",datos_base!$G$12+datos_base!$G$26,0))*parametros_manuales!$J$110)*parametros_manuales!$I$36*parametros_manuales!$J$36</f>
        <v>539.389154931</v>
      </c>
      <c r="K154" s="9" t="n">
        <f aca="false">(parametros_manuales!$D$36*(datos_base!$G$2+datos_base!$G$18+IF(parametros_manuales!$H$36="Todos",datos_base!$G$9+datos_base!$G$23,0))*parametros_manuales!$K$95+parametros_manuales!$E$36*(datos_base!$G$3+datos_base!$G$19+IF(parametros_manuales!$H$36="Todos",datos_base!$G$10+datos_base!$G$24,0))*parametros_manuales!$K$100+parametros_manuales!$F$36*(datos_base!$G$4+datos_base!$G$20+IF(parametros_manuales!$H$36="Todos",datos_base!$G$11+datos_base!$G$25,0))*parametros_manuales!$K$105+parametros_manuales!$G$36*(datos_base!$G$5+datos_base!$G$21+IF(parametros_manuales!$H$36="Todos",datos_base!$G$12+datos_base!$G$26,0))*parametros_manuales!$K$110)*parametros_manuales!$I$36*parametros_manuales!$J$36</f>
        <v>548.54772468825</v>
      </c>
      <c r="L154" s="9" t="n">
        <f aca="false">(parametros_manuales!$D$36*(datos_base!$G$2+datos_base!$G$18+IF(parametros_manuales!$H$36="Todos",datos_base!$G$9+datos_base!$G$23,0))*parametros_manuales!$L$95+parametros_manuales!$E$36*(datos_base!$G$3+datos_base!$G$19+IF(parametros_manuales!$H$36="Todos",datos_base!$G$10+datos_base!$G$24,0))*parametros_manuales!$L$100+parametros_manuales!$F$36*(datos_base!$G$4+datos_base!$G$20+IF(parametros_manuales!$H$36="Todos",datos_base!$G$11+datos_base!$G$25,0))*parametros_manuales!$L$105+parametros_manuales!$G$36*(datos_base!$G$5+datos_base!$G$21+IF(parametros_manuales!$H$36="Todos",datos_base!$G$12+datos_base!$G$26,0))*parametros_manuales!$L$110)*parametros_manuales!$I$36*parametros_manuales!$J$36</f>
        <v>557.7062944455</v>
      </c>
      <c r="M154" s="9" t="n">
        <f aca="false">(parametros_manuales!$D$36*(datos_base!$G$2+datos_base!$G$18+IF(parametros_manuales!$H$36="Todos",datos_base!$G$9+datos_base!$G$23,0))*parametros_manuales!$M$95+parametros_manuales!$E$36*(datos_base!$G$3+datos_base!$G$19+IF(parametros_manuales!$H$36="Todos",datos_base!$G$10+datos_base!$G$24,0))*parametros_manuales!$M$100+parametros_manuales!$F$36*(datos_base!$G$4+datos_base!$G$20+IF(parametros_manuales!$H$36="Todos",datos_base!$G$11+datos_base!$G$25,0))*parametros_manuales!$M$105+parametros_manuales!$G$36*(datos_base!$G$5+datos_base!$G$21+IF(parametros_manuales!$H$36="Todos",datos_base!$G$12+datos_base!$G$26,0))*parametros_manuales!$M$110)*parametros_manuales!$I$36*parametros_manuales!$J$36</f>
        <v>557.7062944455</v>
      </c>
      <c r="N154" s="9" t="n">
        <f aca="false">SUM(B154:M154)</f>
        <v>6196.73660495</v>
      </c>
      <c r="O154" s="9" t="n">
        <f aca="false">MAX(B154:M154)</f>
        <v>557.7062944455</v>
      </c>
      <c r="P154" s="43" t="n">
        <f aca="false">O154/(parametros_manuales!$B$7)</f>
        <v>3.71804196297</v>
      </c>
      <c r="Q154" s="8" t="str">
        <f aca="false">IF(O154=0,"-",INDEX($B$136:$M$136,MATCH(O154,B154:M154,0)))</f>
        <v>Ene</v>
      </c>
    </row>
    <row r="155" customFormat="false" ht="14.25" hidden="false" customHeight="true" outlineLevel="0" collapsed="false">
      <c r="A155" s="8" t="str">
        <f aca="false">parametros_manuales!$B$37</f>
        <v>Pintura en polvo + horno</v>
      </c>
      <c r="B155" s="9" t="n">
        <f aca="false">(parametros_manuales!$D$37*(datos_base!$G$2+datos_base!$G$18+IF(parametros_manuales!$H$37="Todos",datos_base!$G$9+datos_base!$G$23,0))*parametros_manuales!$B$95+parametros_manuales!$E$37*(datos_base!$G$3+datos_base!$G$19+IF(parametros_manuales!$H$37="Todos",datos_base!$G$10+datos_base!$G$24,0))*parametros_manuales!$B$100+parametros_manuales!$F$37*(datos_base!$G$4+datos_base!$G$20+IF(parametros_manuales!$H$37="Todos",datos_base!$G$11+datos_base!$G$25,0))*parametros_manuales!$B$105+parametros_manuales!$G$37*(datos_base!$G$5+datos_base!$G$21+IF(parametros_manuales!$H$37="Todos",datos_base!$G$12+datos_base!$G$26,0))*parametros_manuales!$B$110)*parametros_manuales!$I$37*parametros_manuales!$J$37</f>
        <v>11154.12588891</v>
      </c>
      <c r="C155" s="9" t="n">
        <f aca="false">(parametros_manuales!$D$37*(datos_base!$G$2+datos_base!$G$18+IF(parametros_manuales!$H$37="Todos",datos_base!$G$9+datos_base!$G$23,0))*parametros_manuales!$C$95+parametros_manuales!$E$37*(datos_base!$G$3+datos_base!$G$19+IF(parametros_manuales!$H$37="Todos",datos_base!$G$10+datos_base!$G$24,0))*parametros_manuales!$C$100+parametros_manuales!$F$37*(datos_base!$G$4+datos_base!$G$20+IF(parametros_manuales!$H$37="Todos",datos_base!$G$11+datos_base!$G$25,0))*parametros_manuales!$C$105+parametros_manuales!$G$37*(datos_base!$G$5+datos_base!$G$21+IF(parametros_manuales!$H$37="Todos",datos_base!$G$12+datos_base!$G$26,0))*parametros_manuales!$C$110)*parametros_manuales!$I$37*parametros_manuales!$J$37</f>
        <v>10787.78309862</v>
      </c>
      <c r="D155" s="9" t="n">
        <f aca="false">(parametros_manuales!$D$37*(datos_base!$G$2+datos_base!$G$18+IF(parametros_manuales!$H$37="Todos",datos_base!$G$9+datos_base!$G$23,0))*parametros_manuales!$D$95+parametros_manuales!$E$37*(datos_base!$G$3+datos_base!$G$19+IF(parametros_manuales!$H$37="Todos",datos_base!$G$10+datos_base!$G$24,0))*parametros_manuales!$D$100+parametros_manuales!$F$37*(datos_base!$G$4+datos_base!$G$20+IF(parametros_manuales!$H$37="Todos",datos_base!$G$11+datos_base!$G$25,0))*parametros_manuales!$D$105+parametros_manuales!$G$37*(datos_base!$G$5+datos_base!$G$21+IF(parametros_manuales!$H$37="Todos",datos_base!$G$12+datos_base!$G$26,0))*parametros_manuales!$D$110)*parametros_manuales!$I$37*parametros_manuales!$J$37</f>
        <v>10097.949963065</v>
      </c>
      <c r="E155" s="9" t="n">
        <f aca="false">(parametros_manuales!$D$37*(datos_base!$G$2+datos_base!$G$18+IF(parametros_manuales!$H$37="Todos",datos_base!$G$9+datos_base!$G$23,0))*parametros_manuales!$E$95+parametros_manuales!$E$37*(datos_base!$G$3+datos_base!$G$19+IF(parametros_manuales!$H$37="Todos",datos_base!$G$10+datos_base!$G$24,0))*parametros_manuales!$E$100+parametros_manuales!$F$37*(datos_base!$G$4+datos_base!$G$20+IF(parametros_manuales!$H$37="Todos",datos_base!$G$11+datos_base!$G$25,0))*parametros_manuales!$E$105+parametros_manuales!$G$37*(datos_base!$G$5+datos_base!$G$21+IF(parametros_manuales!$H$37="Todos",datos_base!$G$12+datos_base!$G$26,0))*parametros_manuales!$E$110)*parametros_manuales!$I$37*parametros_manuales!$J$37</f>
        <v>9661.447697715</v>
      </c>
      <c r="F155" s="9" t="n">
        <f aca="false">(parametros_manuales!$D$37*(datos_base!$G$2+datos_base!$G$18+IF(parametros_manuales!$H$37="Todos",datos_base!$G$9+datos_base!$G$23,0))*parametros_manuales!$F$95+parametros_manuales!$E$37*(datos_base!$G$3+datos_base!$G$19+IF(parametros_manuales!$H$37="Todos",datos_base!$G$10+datos_base!$G$24,0))*parametros_manuales!$F$100+parametros_manuales!$F$37*(datos_base!$G$4+datos_base!$G$20+IF(parametros_manuales!$H$37="Todos",datos_base!$G$11+datos_base!$G$25,0))*parametros_manuales!$F$105+parametros_manuales!$G$37*(datos_base!$G$5+datos_base!$G$21+IF(parametros_manuales!$H$37="Todos",datos_base!$G$12+datos_base!$G$26,0))*parametros_manuales!$F$110)*parametros_manuales!$I$37*parametros_manuales!$J$37</f>
        <v>9041.77403722</v>
      </c>
      <c r="G155" s="9" t="n">
        <f aca="false">(parametros_manuales!$D$37*(datos_base!$G$2+datos_base!$G$18+IF(parametros_manuales!$H$37="Todos",datos_base!$G$9+datos_base!$G$23,0))*parametros_manuales!$G$95+parametros_manuales!$E$37*(datos_base!$G$3+datos_base!$G$19+IF(parametros_manuales!$H$37="Todos",datos_base!$G$10+datos_base!$G$24,0))*parametros_manuales!$G$100+parametros_manuales!$F$37*(datos_base!$G$4+datos_base!$G$20+IF(parametros_manuales!$H$37="Todos",datos_base!$G$11+datos_base!$G$25,0))*parametros_manuales!$G$105+parametros_manuales!$G$37*(datos_base!$G$5+datos_base!$G$21+IF(parametros_manuales!$H$37="Todos",datos_base!$G$12+datos_base!$G$26,0))*parametros_manuales!$G$110)*parametros_manuales!$I$37*parametros_manuales!$J$37</f>
        <v>8858.602642075</v>
      </c>
      <c r="H155" s="9" t="n">
        <f aca="false">(parametros_manuales!$D$37*(datos_base!$G$2+datos_base!$G$18+IF(parametros_manuales!$H$37="Todos",datos_base!$G$9+datos_base!$G$23,0))*parametros_manuales!$H$95+parametros_manuales!$E$37*(datos_base!$G$3+datos_base!$G$19+IF(parametros_manuales!$H$37="Todos",datos_base!$G$10+datos_base!$G$24,0))*parametros_manuales!$H$100+parametros_manuales!$F$37*(datos_base!$G$4+datos_base!$G$20+IF(parametros_manuales!$H$37="Todos",datos_base!$G$11+datos_base!$G$25,0))*parametros_manuales!$H$105+parametros_manuales!$G$37*(datos_base!$G$5+datos_base!$G$21+IF(parametros_manuales!$H$37="Todos",datos_base!$G$12+datos_base!$G$26,0))*parametros_manuales!$H$110)*parametros_manuales!$I$37*parametros_manuales!$J$37</f>
        <v>9478.27630257</v>
      </c>
      <c r="I155" s="9" t="n">
        <f aca="false">(parametros_manuales!$D$37*(datos_base!$G$2+datos_base!$G$18+IF(parametros_manuales!$H$37="Todos",datos_base!$G$9+datos_base!$G$23,0))*parametros_manuales!$I$95+parametros_manuales!$E$37*(datos_base!$G$3+datos_base!$G$19+IF(parametros_manuales!$H$37="Todos",datos_base!$G$10+datos_base!$G$24,0))*parametros_manuales!$I$100+parametros_manuales!$F$37*(datos_base!$G$4+datos_base!$G$20+IF(parametros_manuales!$H$37="Todos",datos_base!$G$11+datos_base!$G$25,0))*parametros_manuales!$I$105+parametros_manuales!$G$37*(datos_base!$G$5+datos_base!$G$21+IF(parametros_manuales!$H$37="Todos",datos_base!$G$12+datos_base!$G$26,0))*parametros_manuales!$I$110)*parametros_manuales!$I$37*parametros_manuales!$J$37</f>
        <v>10787.78309862</v>
      </c>
      <c r="J155" s="9" t="n">
        <f aca="false">(parametros_manuales!$D$37*(datos_base!$G$2+datos_base!$G$18+IF(parametros_manuales!$H$37="Todos",datos_base!$G$9+datos_base!$G$23,0))*parametros_manuales!$J$95+parametros_manuales!$E$37*(datos_base!$G$3+datos_base!$G$19+IF(parametros_manuales!$H$37="Todos",datos_base!$G$10+datos_base!$G$24,0))*parametros_manuales!$J$100+parametros_manuales!$F$37*(datos_base!$G$4+datos_base!$G$20+IF(parametros_manuales!$H$37="Todos",datos_base!$G$11+datos_base!$G$25,0))*parametros_manuales!$J$105+parametros_manuales!$G$37*(datos_base!$G$5+datos_base!$G$21+IF(parametros_manuales!$H$37="Todos",datos_base!$G$12+datos_base!$G$26,0))*parametros_manuales!$J$110)*parametros_manuales!$I$37*parametros_manuales!$J$37</f>
        <v>10787.78309862</v>
      </c>
      <c r="K155" s="9" t="n">
        <f aca="false">(parametros_manuales!$D$37*(datos_base!$G$2+datos_base!$G$18+IF(parametros_manuales!$H$37="Todos",datos_base!$G$9+datos_base!$G$23,0))*parametros_manuales!$K$95+parametros_manuales!$E$37*(datos_base!$G$3+datos_base!$G$19+IF(parametros_manuales!$H$37="Todos",datos_base!$G$10+datos_base!$G$24,0))*parametros_manuales!$K$100+parametros_manuales!$F$37*(datos_base!$G$4+datos_base!$G$20+IF(parametros_manuales!$H$37="Todos",datos_base!$G$11+datos_base!$G$25,0))*parametros_manuales!$K$105+parametros_manuales!$G$37*(datos_base!$G$5+datos_base!$G$21+IF(parametros_manuales!$H$37="Todos",datos_base!$G$12+datos_base!$G$26,0))*parametros_manuales!$K$110)*parametros_manuales!$I$37*parametros_manuales!$J$37</f>
        <v>10970.954493765</v>
      </c>
      <c r="L155" s="9" t="n">
        <f aca="false">(parametros_manuales!$D$37*(datos_base!$G$2+datos_base!$G$18+IF(parametros_manuales!$H$37="Todos",datos_base!$G$9+datos_base!$G$23,0))*parametros_manuales!$L$95+parametros_manuales!$E$37*(datos_base!$G$3+datos_base!$G$19+IF(parametros_manuales!$H$37="Todos",datos_base!$G$10+datos_base!$G$24,0))*parametros_manuales!$L$100+parametros_manuales!$F$37*(datos_base!$G$4+datos_base!$G$20+IF(parametros_manuales!$H$37="Todos",datos_base!$G$11+datos_base!$G$25,0))*parametros_manuales!$L$105+parametros_manuales!$G$37*(datos_base!$G$5+datos_base!$G$21+IF(parametros_manuales!$H$37="Todos",datos_base!$G$12+datos_base!$G$26,0))*parametros_manuales!$L$110)*parametros_manuales!$I$37*parametros_manuales!$J$37</f>
        <v>11154.12588891</v>
      </c>
      <c r="M155" s="9" t="n">
        <f aca="false">(parametros_manuales!$D$37*(datos_base!$G$2+datos_base!$G$18+IF(parametros_manuales!$H$37="Todos",datos_base!$G$9+datos_base!$G$23,0))*parametros_manuales!$M$95+parametros_manuales!$E$37*(datos_base!$G$3+datos_base!$G$19+IF(parametros_manuales!$H$37="Todos",datos_base!$G$10+datos_base!$G$24,0))*parametros_manuales!$M$100+parametros_manuales!$F$37*(datos_base!$G$4+datos_base!$G$20+IF(parametros_manuales!$H$37="Todos",datos_base!$G$11+datos_base!$G$25,0))*parametros_manuales!$M$105+parametros_manuales!$G$37*(datos_base!$G$5+datos_base!$G$21+IF(parametros_manuales!$H$37="Todos",datos_base!$G$12+datos_base!$G$26,0))*parametros_manuales!$M$110)*parametros_manuales!$I$37*parametros_manuales!$J$37</f>
        <v>11154.12588891</v>
      </c>
      <c r="N155" s="9" t="n">
        <f aca="false">SUM(B155:M155)</f>
        <v>123934.732099</v>
      </c>
      <c r="O155" s="9" t="n">
        <f aca="false">MAX(B155:M155)</f>
        <v>11154.12588891</v>
      </c>
      <c r="P155" s="43" t="n">
        <f aca="false">O155/(parametros_manuales!$B$7)</f>
        <v>74.3608392594</v>
      </c>
      <c r="Q155" s="8" t="str">
        <f aca="false">IF(O155=0,"-",INDEX($B$136:$M$136,MATCH(O155,B155:M155,0)))</f>
        <v>Ene</v>
      </c>
    </row>
    <row r="156" customFormat="false" ht="14.25" hidden="false" customHeight="true" outlineLevel="0" collapsed="false">
      <c r="A156" s="8" t="str">
        <f aca="false">parametros_manuales!$B$38</f>
        <v>Carga de polvo</v>
      </c>
      <c r="B156" s="9" t="n">
        <f aca="false">(parametros_manuales!$D$38*(datos_base!$G$2+datos_base!$G$18+IF(parametros_manuales!$H$38="Todos",datos_base!$G$9+datos_base!$G$23,0))*parametros_manuales!$B$95+parametros_manuales!$E$38*(datos_base!$G$3+datos_base!$G$19+IF(parametros_manuales!$H$38="Todos",datos_base!$G$10+datos_base!$G$24,0))*parametros_manuales!$B$100+parametros_manuales!$F$38*(datos_base!$G$4+datos_base!$G$20+IF(parametros_manuales!$H$38="Todos",datos_base!$G$11+datos_base!$G$25,0))*parametros_manuales!$B$105+parametros_manuales!$G$38*(datos_base!$G$5+datos_base!$G$21+IF(parametros_manuales!$H$38="Todos",datos_base!$G$12+datos_base!$G$26,0))*parametros_manuales!$B$110)*parametros_manuales!$I$38*parametros_manuales!$J$38</f>
        <v>3104.95428891</v>
      </c>
      <c r="C156" s="9" t="n">
        <f aca="false">(parametros_manuales!$D$38*(datos_base!$G$2+datos_base!$G$18+IF(parametros_manuales!$H$38="Todos",datos_base!$G$9+datos_base!$G$23,0))*parametros_manuales!$C$95+parametros_manuales!$E$38*(datos_base!$G$3+datos_base!$G$19+IF(parametros_manuales!$H$38="Todos",datos_base!$G$10+datos_base!$G$24,0))*parametros_manuales!$C$100+parametros_manuales!$F$38*(datos_base!$G$4+datos_base!$G$20+IF(parametros_manuales!$H$38="Todos",datos_base!$G$11+datos_base!$G$25,0))*parametros_manuales!$C$105+parametros_manuales!$G$38*(datos_base!$G$5+datos_base!$G$21+IF(parametros_manuales!$H$38="Todos",datos_base!$G$12+datos_base!$G$26,0))*parametros_manuales!$C$110)*parametros_manuales!$I$38*parametros_manuales!$J$38</f>
        <v>2916.16189862</v>
      </c>
      <c r="D156" s="9" t="n">
        <f aca="false">(parametros_manuales!$D$38*(datos_base!$G$2+datos_base!$G$18+IF(parametros_manuales!$H$38="Todos",datos_base!$G$9+datos_base!$G$23,0))*parametros_manuales!$D$95+parametros_manuales!$E$38*(datos_base!$G$3+datos_base!$G$19+IF(parametros_manuales!$H$38="Todos",datos_base!$G$10+datos_base!$G$24,0))*parametros_manuales!$D$100+parametros_manuales!$F$38*(datos_base!$G$4+datos_base!$G$20+IF(parametros_manuales!$H$38="Todos",datos_base!$G$11+datos_base!$G$25,0))*parametros_manuales!$D$105+parametros_manuales!$G$38*(datos_base!$G$5+datos_base!$G$21+IF(parametros_manuales!$H$38="Todos",datos_base!$G$12+datos_base!$G$26,0))*parametros_manuales!$D$110)*parametros_manuales!$I$38*parametros_manuales!$J$38</f>
        <v>2854.355563065</v>
      </c>
      <c r="E156" s="9" t="n">
        <f aca="false">(parametros_manuales!$D$38*(datos_base!$G$2+datos_base!$G$18+IF(parametros_manuales!$H$38="Todos",datos_base!$G$9+datos_base!$G$23,0))*parametros_manuales!$E$95+parametros_manuales!$E$38*(datos_base!$G$3+datos_base!$G$19+IF(parametros_manuales!$H$38="Todos",datos_base!$G$10+datos_base!$G$24,0))*parametros_manuales!$E$100+parametros_manuales!$F$38*(datos_base!$G$4+datos_base!$G$20+IF(parametros_manuales!$H$38="Todos",datos_base!$G$11+datos_base!$G$25,0))*parametros_manuales!$E$105+parametros_manuales!$G$38*(datos_base!$G$5+datos_base!$G$21+IF(parametros_manuales!$H$38="Todos",datos_base!$G$12+datos_base!$G$26,0))*parametros_manuales!$E$110)*parametros_manuales!$I$38*parametros_manuales!$J$38</f>
        <v>2776.254297715</v>
      </c>
      <c r="F156" s="9" t="n">
        <f aca="false">(parametros_manuales!$D$38*(datos_base!$G$2+datos_base!$G$18+IF(parametros_manuales!$H$38="Todos",datos_base!$G$9+datos_base!$G$23,0))*parametros_manuales!$F$95+parametros_manuales!$E$38*(datos_base!$G$3+datos_base!$G$19+IF(parametros_manuales!$H$38="Todos",datos_base!$G$10+datos_base!$G$24,0))*parametros_manuales!$F$100+parametros_manuales!$F$38*(datos_base!$G$4+datos_base!$G$20+IF(parametros_manuales!$H$38="Todos",datos_base!$G$11+datos_base!$G$25,0))*parametros_manuales!$F$105+parametros_manuales!$G$38*(datos_base!$G$5+datos_base!$G$21+IF(parametros_manuales!$H$38="Todos",datos_base!$G$12+datos_base!$G$26,0))*parametros_manuales!$F$110)*parametros_manuales!$I$38*parametros_manuales!$J$38</f>
        <v>2603.75683722</v>
      </c>
      <c r="G156" s="9" t="n">
        <f aca="false">(parametros_manuales!$D$38*(datos_base!$G$2+datos_base!$G$18+IF(parametros_manuales!$H$38="Todos",datos_base!$G$9+datos_base!$G$23,0))*parametros_manuales!$G$95+parametros_manuales!$E$38*(datos_base!$G$3+datos_base!$G$19+IF(parametros_manuales!$H$38="Todos",datos_base!$G$10+datos_base!$G$24,0))*parametros_manuales!$G$100+parametros_manuales!$F$38*(datos_base!$G$4+datos_base!$G$20+IF(parametros_manuales!$H$38="Todos",datos_base!$G$11+datos_base!$G$25,0))*parametros_manuales!$G$105+parametros_manuales!$G$38*(datos_base!$G$5+datos_base!$G$21+IF(parametros_manuales!$H$38="Todos",datos_base!$G$12+datos_base!$G$26,0))*parametros_manuales!$G$110)*parametros_manuales!$I$38*parametros_manuales!$J$38</f>
        <v>2509.360642075</v>
      </c>
      <c r="H156" s="9" t="n">
        <f aca="false">(parametros_manuales!$D$38*(datos_base!$G$2+datos_base!$G$18+IF(parametros_manuales!$H$38="Todos",datos_base!$G$9+datos_base!$G$23,0))*parametros_manuales!$H$95+parametros_manuales!$E$38*(datos_base!$G$3+datos_base!$G$19+IF(parametros_manuales!$H$38="Todos",datos_base!$G$10+datos_base!$G$24,0))*parametros_manuales!$H$100+parametros_manuales!$F$38*(datos_base!$G$4+datos_base!$G$20+IF(parametros_manuales!$H$38="Todos",datos_base!$G$11+datos_base!$G$25,0))*parametros_manuales!$H$105+parametros_manuales!$G$38*(datos_base!$G$5+datos_base!$G$21+IF(parametros_manuales!$H$38="Todos",datos_base!$G$12+datos_base!$G$26,0))*parametros_manuales!$H$110)*parametros_manuales!$I$38*parametros_manuales!$J$38</f>
        <v>2681.85810257</v>
      </c>
      <c r="I156" s="9" t="n">
        <f aca="false">(parametros_manuales!$D$38*(datos_base!$G$2+datos_base!$G$18+IF(parametros_manuales!$H$38="Todos",datos_base!$G$9+datos_base!$G$23,0))*parametros_manuales!$I$95+parametros_manuales!$E$38*(datos_base!$G$3+datos_base!$G$19+IF(parametros_manuales!$H$38="Todos",datos_base!$G$10+datos_base!$G$24,0))*parametros_manuales!$I$100+parametros_manuales!$F$38*(datos_base!$G$4+datos_base!$G$20+IF(parametros_manuales!$H$38="Todos",datos_base!$G$11+datos_base!$G$25,0))*parametros_manuales!$I$105+parametros_manuales!$G$38*(datos_base!$G$5+datos_base!$G$21+IF(parametros_manuales!$H$38="Todos",datos_base!$G$12+datos_base!$G$26,0))*parametros_manuales!$I$110)*parametros_manuales!$I$38*parametros_manuales!$J$38</f>
        <v>2916.16189862</v>
      </c>
      <c r="J156" s="9" t="n">
        <f aca="false">(parametros_manuales!$D$38*(datos_base!$G$2+datos_base!$G$18+IF(parametros_manuales!$H$38="Todos",datos_base!$G$9+datos_base!$G$23,0))*parametros_manuales!$J$95+parametros_manuales!$E$38*(datos_base!$G$3+datos_base!$G$19+IF(parametros_manuales!$H$38="Todos",datos_base!$G$10+datos_base!$G$24,0))*parametros_manuales!$J$100+parametros_manuales!$F$38*(datos_base!$G$4+datos_base!$G$20+IF(parametros_manuales!$H$38="Todos",datos_base!$G$11+datos_base!$G$25,0))*parametros_manuales!$J$105+parametros_manuales!$G$38*(datos_base!$G$5+datos_base!$G$21+IF(parametros_manuales!$H$38="Todos",datos_base!$G$12+datos_base!$G$26,0))*parametros_manuales!$J$110)*parametros_manuales!$I$38*parametros_manuales!$J$38</f>
        <v>2916.16189862</v>
      </c>
      <c r="K156" s="9" t="n">
        <f aca="false">(parametros_manuales!$D$38*(datos_base!$G$2+datos_base!$G$18+IF(parametros_manuales!$H$38="Todos",datos_base!$G$9+datos_base!$G$23,0))*parametros_manuales!$K$95+parametros_manuales!$E$38*(datos_base!$G$3+datos_base!$G$19+IF(parametros_manuales!$H$38="Todos",datos_base!$G$10+datos_base!$G$24,0))*parametros_manuales!$K$100+parametros_manuales!$F$38*(datos_base!$G$4+datos_base!$G$20+IF(parametros_manuales!$H$38="Todos",datos_base!$G$11+datos_base!$G$25,0))*parametros_manuales!$K$105+parametros_manuales!$G$38*(datos_base!$G$5+datos_base!$G$21+IF(parametros_manuales!$H$38="Todos",datos_base!$G$12+datos_base!$G$26,0))*parametros_manuales!$K$110)*parametros_manuales!$I$38*parametros_manuales!$J$38</f>
        <v>3010.558093765</v>
      </c>
      <c r="L156" s="9" t="n">
        <f aca="false">(parametros_manuales!$D$38*(datos_base!$G$2+datos_base!$G$18+IF(parametros_manuales!$H$38="Todos",datos_base!$G$9+datos_base!$G$23,0))*parametros_manuales!$L$95+parametros_manuales!$E$38*(datos_base!$G$3+datos_base!$G$19+IF(parametros_manuales!$H$38="Todos",datos_base!$G$10+datos_base!$G$24,0))*parametros_manuales!$L$100+parametros_manuales!$F$38*(datos_base!$G$4+datos_base!$G$20+IF(parametros_manuales!$H$38="Todos",datos_base!$G$11+datos_base!$G$25,0))*parametros_manuales!$L$105+parametros_manuales!$G$38*(datos_base!$G$5+datos_base!$G$21+IF(parametros_manuales!$H$38="Todos",datos_base!$G$12+datos_base!$G$26,0))*parametros_manuales!$L$110)*parametros_manuales!$I$38*parametros_manuales!$J$38</f>
        <v>3104.95428891</v>
      </c>
      <c r="M156" s="9" t="n">
        <f aca="false">(parametros_manuales!$D$38*(datos_base!$G$2+datos_base!$G$18+IF(parametros_manuales!$H$38="Todos",datos_base!$G$9+datos_base!$G$23,0))*parametros_manuales!$M$95+parametros_manuales!$E$38*(datos_base!$G$3+datos_base!$G$19+IF(parametros_manuales!$H$38="Todos",datos_base!$G$10+datos_base!$G$24,0))*parametros_manuales!$M$100+parametros_manuales!$F$38*(datos_base!$G$4+datos_base!$G$20+IF(parametros_manuales!$H$38="Todos",datos_base!$G$11+datos_base!$G$25,0))*parametros_manuales!$M$105+parametros_manuales!$G$38*(datos_base!$G$5+datos_base!$G$21+IF(parametros_manuales!$H$38="Todos",datos_base!$G$12+datos_base!$G$26,0))*parametros_manuales!$M$110)*parametros_manuales!$I$38*parametros_manuales!$J$38</f>
        <v>3104.95428891</v>
      </c>
      <c r="N156" s="9" t="n">
        <f aca="false">SUM(B156:M156)</f>
        <v>34499.492099</v>
      </c>
      <c r="O156" s="9" t="n">
        <f aca="false">MAX(B156:M156)</f>
        <v>3104.95428891</v>
      </c>
      <c r="P156" s="43" t="n">
        <f aca="false">O156/(parametros_manuales!$B$7)</f>
        <v>20.6996952594</v>
      </c>
      <c r="Q156" s="8" t="str">
        <f aca="false">IF(O156=0,"-",INDEX($B$136:$M$136,MATCH(O156,B156:M156,0)))</f>
        <v>Ene</v>
      </c>
    </row>
    <row r="157" customFormat="false" ht="14.25" hidden="false" customHeight="true" outlineLevel="0" collapsed="false">
      <c r="A157" s="8" t="str">
        <f aca="false">parametros_manuales!$B$39</f>
        <v>Ensamblaje</v>
      </c>
      <c r="B157" s="9" t="n">
        <f aca="false">(parametros_manuales!$D$39*(datos_base!$G$2+datos_base!$G$18+IF(parametros_manuales!$H$39="Todos",datos_base!$G$9+datos_base!$G$23,0))*parametros_manuales!$B$95+parametros_manuales!$E$39*(datos_base!$G$3+datos_base!$G$19+IF(parametros_manuales!$H$39="Todos",datos_base!$G$10+datos_base!$G$24,0))*parametros_manuales!$B$100+parametros_manuales!$F$39*(datos_base!$G$4+datos_base!$G$20+IF(parametros_manuales!$H$39="Todos",datos_base!$G$11+datos_base!$G$25,0))*parametros_manuales!$B$105+parametros_manuales!$G$39*(datos_base!$G$5+datos_base!$G$21+IF(parametros_manuales!$H$39="Todos",datos_base!$G$12+datos_base!$G$26,0))*parametros_manuales!$B$110)*parametros_manuales!$I$39*parametros_manuales!$J$39</f>
        <v>3104.95428891</v>
      </c>
      <c r="C157" s="9" t="n">
        <f aca="false">(parametros_manuales!$D$39*(datos_base!$G$2+datos_base!$G$18+IF(parametros_manuales!$H$39="Todos",datos_base!$G$9+datos_base!$G$23,0))*parametros_manuales!$C$95+parametros_manuales!$E$39*(datos_base!$G$3+datos_base!$G$19+IF(parametros_manuales!$H$39="Todos",datos_base!$G$10+datos_base!$G$24,0))*parametros_manuales!$C$100+parametros_manuales!$F$39*(datos_base!$G$4+datos_base!$G$20+IF(parametros_manuales!$H$39="Todos",datos_base!$G$11+datos_base!$G$25,0))*parametros_manuales!$C$105+parametros_manuales!$G$39*(datos_base!$G$5+datos_base!$G$21+IF(parametros_manuales!$H$39="Todos",datos_base!$G$12+datos_base!$G$26,0))*parametros_manuales!$C$110)*parametros_manuales!$I$39*parametros_manuales!$J$39</f>
        <v>2916.16189862</v>
      </c>
      <c r="D157" s="9" t="n">
        <f aca="false">(parametros_manuales!$D$39*(datos_base!$G$2+datos_base!$G$18+IF(parametros_manuales!$H$39="Todos",datos_base!$G$9+datos_base!$G$23,0))*parametros_manuales!$D$95+parametros_manuales!$E$39*(datos_base!$G$3+datos_base!$G$19+IF(parametros_manuales!$H$39="Todos",datos_base!$G$10+datos_base!$G$24,0))*parametros_manuales!$D$100+parametros_manuales!$F$39*(datos_base!$G$4+datos_base!$G$20+IF(parametros_manuales!$H$39="Todos",datos_base!$G$11+datos_base!$G$25,0))*parametros_manuales!$D$105+parametros_manuales!$G$39*(datos_base!$G$5+datos_base!$G$21+IF(parametros_manuales!$H$39="Todos",datos_base!$G$12+datos_base!$G$26,0))*parametros_manuales!$D$110)*parametros_manuales!$I$39*parametros_manuales!$J$39</f>
        <v>2854.355563065</v>
      </c>
      <c r="E157" s="9" t="n">
        <f aca="false">(parametros_manuales!$D$39*(datos_base!$G$2+datos_base!$G$18+IF(parametros_manuales!$H$39="Todos",datos_base!$G$9+datos_base!$G$23,0))*parametros_manuales!$E$95+parametros_manuales!$E$39*(datos_base!$G$3+datos_base!$G$19+IF(parametros_manuales!$H$39="Todos",datos_base!$G$10+datos_base!$G$24,0))*parametros_manuales!$E$100+parametros_manuales!$F$39*(datos_base!$G$4+datos_base!$G$20+IF(parametros_manuales!$H$39="Todos",datos_base!$G$11+datos_base!$G$25,0))*parametros_manuales!$E$105+parametros_manuales!$G$39*(datos_base!$G$5+datos_base!$G$21+IF(parametros_manuales!$H$39="Todos",datos_base!$G$12+datos_base!$G$26,0))*parametros_manuales!$E$110)*parametros_manuales!$I$39*parametros_manuales!$J$39</f>
        <v>2776.254297715</v>
      </c>
      <c r="F157" s="9" t="n">
        <f aca="false">(parametros_manuales!$D$39*(datos_base!$G$2+datos_base!$G$18+IF(parametros_manuales!$H$39="Todos",datos_base!$G$9+datos_base!$G$23,0))*parametros_manuales!$F$95+parametros_manuales!$E$39*(datos_base!$G$3+datos_base!$G$19+IF(parametros_manuales!$H$39="Todos",datos_base!$G$10+datos_base!$G$24,0))*parametros_manuales!$F$100+parametros_manuales!$F$39*(datos_base!$G$4+datos_base!$G$20+IF(parametros_manuales!$H$39="Todos",datos_base!$G$11+datos_base!$G$25,0))*parametros_manuales!$F$105+parametros_manuales!$G$39*(datos_base!$G$5+datos_base!$G$21+IF(parametros_manuales!$H$39="Todos",datos_base!$G$12+datos_base!$G$26,0))*parametros_manuales!$F$110)*parametros_manuales!$I$39*parametros_manuales!$J$39</f>
        <v>2603.75683722</v>
      </c>
      <c r="G157" s="9" t="n">
        <f aca="false">(parametros_manuales!$D$39*(datos_base!$G$2+datos_base!$G$18+IF(parametros_manuales!$H$39="Todos",datos_base!$G$9+datos_base!$G$23,0))*parametros_manuales!$G$95+parametros_manuales!$E$39*(datos_base!$G$3+datos_base!$G$19+IF(parametros_manuales!$H$39="Todos",datos_base!$G$10+datos_base!$G$24,0))*parametros_manuales!$G$100+parametros_manuales!$F$39*(datos_base!$G$4+datos_base!$G$20+IF(parametros_manuales!$H$39="Todos",datos_base!$G$11+datos_base!$G$25,0))*parametros_manuales!$G$105+parametros_manuales!$G$39*(datos_base!$G$5+datos_base!$G$21+IF(parametros_manuales!$H$39="Todos",datos_base!$G$12+datos_base!$G$26,0))*parametros_manuales!$G$110)*parametros_manuales!$I$39*parametros_manuales!$J$39</f>
        <v>2509.360642075</v>
      </c>
      <c r="H157" s="9" t="n">
        <f aca="false">(parametros_manuales!$D$39*(datos_base!$G$2+datos_base!$G$18+IF(parametros_manuales!$H$39="Todos",datos_base!$G$9+datos_base!$G$23,0))*parametros_manuales!$H$95+parametros_manuales!$E$39*(datos_base!$G$3+datos_base!$G$19+IF(parametros_manuales!$H$39="Todos",datos_base!$G$10+datos_base!$G$24,0))*parametros_manuales!$H$100+parametros_manuales!$F$39*(datos_base!$G$4+datos_base!$G$20+IF(parametros_manuales!$H$39="Todos",datos_base!$G$11+datos_base!$G$25,0))*parametros_manuales!$H$105+parametros_manuales!$G$39*(datos_base!$G$5+datos_base!$G$21+IF(parametros_manuales!$H$39="Todos",datos_base!$G$12+datos_base!$G$26,0))*parametros_manuales!$H$110)*parametros_manuales!$I$39*parametros_manuales!$J$39</f>
        <v>2681.85810257</v>
      </c>
      <c r="I157" s="9" t="n">
        <f aca="false">(parametros_manuales!$D$39*(datos_base!$G$2+datos_base!$G$18+IF(parametros_manuales!$H$39="Todos",datos_base!$G$9+datos_base!$G$23,0))*parametros_manuales!$I$95+parametros_manuales!$E$39*(datos_base!$G$3+datos_base!$G$19+IF(parametros_manuales!$H$39="Todos",datos_base!$G$10+datos_base!$G$24,0))*parametros_manuales!$I$100+parametros_manuales!$F$39*(datos_base!$G$4+datos_base!$G$20+IF(parametros_manuales!$H$39="Todos",datos_base!$G$11+datos_base!$G$25,0))*parametros_manuales!$I$105+parametros_manuales!$G$39*(datos_base!$G$5+datos_base!$G$21+IF(parametros_manuales!$H$39="Todos",datos_base!$G$12+datos_base!$G$26,0))*parametros_manuales!$I$110)*parametros_manuales!$I$39*parametros_manuales!$J$39</f>
        <v>2916.16189862</v>
      </c>
      <c r="J157" s="9" t="n">
        <f aca="false">(parametros_manuales!$D$39*(datos_base!$G$2+datos_base!$G$18+IF(parametros_manuales!$H$39="Todos",datos_base!$G$9+datos_base!$G$23,0))*parametros_manuales!$J$95+parametros_manuales!$E$39*(datos_base!$G$3+datos_base!$G$19+IF(parametros_manuales!$H$39="Todos",datos_base!$G$10+datos_base!$G$24,0))*parametros_manuales!$J$100+parametros_manuales!$F$39*(datos_base!$G$4+datos_base!$G$20+IF(parametros_manuales!$H$39="Todos",datos_base!$G$11+datos_base!$G$25,0))*parametros_manuales!$J$105+parametros_manuales!$G$39*(datos_base!$G$5+datos_base!$G$21+IF(parametros_manuales!$H$39="Todos",datos_base!$G$12+datos_base!$G$26,0))*parametros_manuales!$J$110)*parametros_manuales!$I$39*parametros_manuales!$J$39</f>
        <v>2916.16189862</v>
      </c>
      <c r="K157" s="9" t="n">
        <f aca="false">(parametros_manuales!$D$39*(datos_base!$G$2+datos_base!$G$18+IF(parametros_manuales!$H$39="Todos",datos_base!$G$9+datos_base!$G$23,0))*parametros_manuales!$K$95+parametros_manuales!$E$39*(datos_base!$G$3+datos_base!$G$19+IF(parametros_manuales!$H$39="Todos",datos_base!$G$10+datos_base!$G$24,0))*parametros_manuales!$K$100+parametros_manuales!$F$39*(datos_base!$G$4+datos_base!$G$20+IF(parametros_manuales!$H$39="Todos",datos_base!$G$11+datos_base!$G$25,0))*parametros_manuales!$K$105+parametros_manuales!$G$39*(datos_base!$G$5+datos_base!$G$21+IF(parametros_manuales!$H$39="Todos",datos_base!$G$12+datos_base!$G$26,0))*parametros_manuales!$K$110)*parametros_manuales!$I$39*parametros_manuales!$J$39</f>
        <v>3010.558093765</v>
      </c>
      <c r="L157" s="9" t="n">
        <f aca="false">(parametros_manuales!$D$39*(datos_base!$G$2+datos_base!$G$18+IF(parametros_manuales!$H$39="Todos",datos_base!$G$9+datos_base!$G$23,0))*parametros_manuales!$L$95+parametros_manuales!$E$39*(datos_base!$G$3+datos_base!$G$19+IF(parametros_manuales!$H$39="Todos",datos_base!$G$10+datos_base!$G$24,0))*parametros_manuales!$L$100+parametros_manuales!$F$39*(datos_base!$G$4+datos_base!$G$20+IF(parametros_manuales!$H$39="Todos",datos_base!$G$11+datos_base!$G$25,0))*parametros_manuales!$L$105+parametros_manuales!$G$39*(datos_base!$G$5+datos_base!$G$21+IF(parametros_manuales!$H$39="Todos",datos_base!$G$12+datos_base!$G$26,0))*parametros_manuales!$L$110)*parametros_manuales!$I$39*parametros_manuales!$J$39</f>
        <v>3104.95428891</v>
      </c>
      <c r="M157" s="9" t="n">
        <f aca="false">(parametros_manuales!$D$39*(datos_base!$G$2+datos_base!$G$18+IF(parametros_manuales!$H$39="Todos",datos_base!$G$9+datos_base!$G$23,0))*parametros_manuales!$M$95+parametros_manuales!$E$39*(datos_base!$G$3+datos_base!$G$19+IF(parametros_manuales!$H$39="Todos",datos_base!$G$10+datos_base!$G$24,0))*parametros_manuales!$M$100+parametros_manuales!$F$39*(datos_base!$G$4+datos_base!$G$20+IF(parametros_manuales!$H$39="Todos",datos_base!$G$11+datos_base!$G$25,0))*parametros_manuales!$M$105+parametros_manuales!$G$39*(datos_base!$G$5+datos_base!$G$21+IF(parametros_manuales!$H$39="Todos",datos_base!$G$12+datos_base!$G$26,0))*parametros_manuales!$M$110)*parametros_manuales!$I$39*parametros_manuales!$J$39</f>
        <v>3104.95428891</v>
      </c>
      <c r="N157" s="9" t="n">
        <f aca="false">SUM(B157:M157)</f>
        <v>34499.492099</v>
      </c>
      <c r="O157" s="9" t="n">
        <f aca="false">MAX(B157:M157)</f>
        <v>3104.95428891</v>
      </c>
      <c r="P157" s="43" t="n">
        <f aca="false">O157/(parametros_manuales!$B$7)</f>
        <v>20.6996952594</v>
      </c>
      <c r="Q157" s="8" t="str">
        <f aca="false">IF(O157=0,"-",INDEX($B$136:$M$136,MATCH(O157,B157:M157,0)))</f>
        <v>Ene</v>
      </c>
    </row>
    <row r="158" customFormat="false" ht="14.25" hidden="false" customHeight="true" outlineLevel="0" collapsed="false">
      <c r="A158" s="8" t="str">
        <f aca="false">parametros_manuales!$B$40</f>
        <v>Presurización</v>
      </c>
      <c r="B158" s="9" t="n">
        <f aca="false">(parametros_manuales!$D$40*(datos_base!$G$2+datos_base!$G$18+IF(parametros_manuales!$H$40="Todos",datos_base!$G$9+datos_base!$G$23,0))*parametros_manuales!$B$95+parametros_manuales!$E$40*(datos_base!$G$3+datos_base!$G$19+IF(parametros_manuales!$H$40="Todos",datos_base!$G$10+datos_base!$G$24,0))*parametros_manuales!$B$100+parametros_manuales!$F$40*(datos_base!$G$4+datos_base!$G$20+IF(parametros_manuales!$H$40="Todos",datos_base!$G$11+datos_base!$G$25,0))*parametros_manuales!$B$105+parametros_manuales!$G$40*(datos_base!$G$5+datos_base!$G$21+IF(parametros_manuales!$H$40="Todos",datos_base!$G$12+datos_base!$G$26,0))*parametros_manuales!$B$110)*parametros_manuales!$I$40*parametros_manuales!$J$40</f>
        <v>3104.95428891</v>
      </c>
      <c r="C158" s="9" t="n">
        <f aca="false">(parametros_manuales!$D$40*(datos_base!$G$2+datos_base!$G$18+IF(parametros_manuales!$H$40="Todos",datos_base!$G$9+datos_base!$G$23,0))*parametros_manuales!$C$95+parametros_manuales!$E$40*(datos_base!$G$3+datos_base!$G$19+IF(parametros_manuales!$H$40="Todos",datos_base!$G$10+datos_base!$G$24,0))*parametros_manuales!$C$100+parametros_manuales!$F$40*(datos_base!$G$4+datos_base!$G$20+IF(parametros_manuales!$H$40="Todos",datos_base!$G$11+datos_base!$G$25,0))*parametros_manuales!$C$105+parametros_manuales!$G$40*(datos_base!$G$5+datos_base!$G$21+IF(parametros_manuales!$H$40="Todos",datos_base!$G$12+datos_base!$G$26,0))*parametros_manuales!$C$110)*parametros_manuales!$I$40*parametros_manuales!$J$40</f>
        <v>2916.16189862</v>
      </c>
      <c r="D158" s="9" t="n">
        <f aca="false">(parametros_manuales!$D$40*(datos_base!$G$2+datos_base!$G$18+IF(parametros_manuales!$H$40="Todos",datos_base!$G$9+datos_base!$G$23,0))*parametros_manuales!$D$95+parametros_manuales!$E$40*(datos_base!$G$3+datos_base!$G$19+IF(parametros_manuales!$H$40="Todos",datos_base!$G$10+datos_base!$G$24,0))*parametros_manuales!$D$100+parametros_manuales!$F$40*(datos_base!$G$4+datos_base!$G$20+IF(parametros_manuales!$H$40="Todos",datos_base!$G$11+datos_base!$G$25,0))*parametros_manuales!$D$105+parametros_manuales!$G$40*(datos_base!$G$5+datos_base!$G$21+IF(parametros_manuales!$H$40="Todos",datos_base!$G$12+datos_base!$G$26,0))*parametros_manuales!$D$110)*parametros_manuales!$I$40*parametros_manuales!$J$40</f>
        <v>2854.355563065</v>
      </c>
      <c r="E158" s="9" t="n">
        <f aca="false">(parametros_manuales!$D$40*(datos_base!$G$2+datos_base!$G$18+IF(parametros_manuales!$H$40="Todos",datos_base!$G$9+datos_base!$G$23,0))*parametros_manuales!$E$95+parametros_manuales!$E$40*(datos_base!$G$3+datos_base!$G$19+IF(parametros_manuales!$H$40="Todos",datos_base!$G$10+datos_base!$G$24,0))*parametros_manuales!$E$100+parametros_manuales!$F$40*(datos_base!$G$4+datos_base!$G$20+IF(parametros_manuales!$H$40="Todos",datos_base!$G$11+datos_base!$G$25,0))*parametros_manuales!$E$105+parametros_manuales!$G$40*(datos_base!$G$5+datos_base!$G$21+IF(parametros_manuales!$H$40="Todos",datos_base!$G$12+datos_base!$G$26,0))*parametros_manuales!$E$110)*parametros_manuales!$I$40*parametros_manuales!$J$40</f>
        <v>2776.254297715</v>
      </c>
      <c r="F158" s="9" t="n">
        <f aca="false">(parametros_manuales!$D$40*(datos_base!$G$2+datos_base!$G$18+IF(parametros_manuales!$H$40="Todos",datos_base!$G$9+datos_base!$G$23,0))*parametros_manuales!$F$95+parametros_manuales!$E$40*(datos_base!$G$3+datos_base!$G$19+IF(parametros_manuales!$H$40="Todos",datos_base!$G$10+datos_base!$G$24,0))*parametros_manuales!$F$100+parametros_manuales!$F$40*(datos_base!$G$4+datos_base!$G$20+IF(parametros_manuales!$H$40="Todos",datos_base!$G$11+datos_base!$G$25,0))*parametros_manuales!$F$105+parametros_manuales!$G$40*(datos_base!$G$5+datos_base!$G$21+IF(parametros_manuales!$H$40="Todos",datos_base!$G$12+datos_base!$G$26,0))*parametros_manuales!$F$110)*parametros_manuales!$I$40*parametros_manuales!$J$40</f>
        <v>2603.75683722</v>
      </c>
      <c r="G158" s="9" t="n">
        <f aca="false">(parametros_manuales!$D$40*(datos_base!$G$2+datos_base!$G$18+IF(parametros_manuales!$H$40="Todos",datos_base!$G$9+datos_base!$G$23,0))*parametros_manuales!$G$95+parametros_manuales!$E$40*(datos_base!$G$3+datos_base!$G$19+IF(parametros_manuales!$H$40="Todos",datos_base!$G$10+datos_base!$G$24,0))*parametros_manuales!$G$100+parametros_manuales!$F$40*(datos_base!$G$4+datos_base!$G$20+IF(parametros_manuales!$H$40="Todos",datos_base!$G$11+datos_base!$G$25,0))*parametros_manuales!$G$105+parametros_manuales!$G$40*(datos_base!$G$5+datos_base!$G$21+IF(parametros_manuales!$H$40="Todos",datos_base!$G$12+datos_base!$G$26,0))*parametros_manuales!$G$110)*parametros_manuales!$I$40*parametros_manuales!$J$40</f>
        <v>2509.360642075</v>
      </c>
      <c r="H158" s="9" t="n">
        <f aca="false">(parametros_manuales!$D$40*(datos_base!$G$2+datos_base!$G$18+IF(parametros_manuales!$H$40="Todos",datos_base!$G$9+datos_base!$G$23,0))*parametros_manuales!$H$95+parametros_manuales!$E$40*(datos_base!$G$3+datos_base!$G$19+IF(parametros_manuales!$H$40="Todos",datos_base!$G$10+datos_base!$G$24,0))*parametros_manuales!$H$100+parametros_manuales!$F$40*(datos_base!$G$4+datos_base!$G$20+IF(parametros_manuales!$H$40="Todos",datos_base!$G$11+datos_base!$G$25,0))*parametros_manuales!$H$105+parametros_manuales!$G$40*(datos_base!$G$5+datos_base!$G$21+IF(parametros_manuales!$H$40="Todos",datos_base!$G$12+datos_base!$G$26,0))*parametros_manuales!$H$110)*parametros_manuales!$I$40*parametros_manuales!$J$40</f>
        <v>2681.85810257</v>
      </c>
      <c r="I158" s="9" t="n">
        <f aca="false">(parametros_manuales!$D$40*(datos_base!$G$2+datos_base!$G$18+IF(parametros_manuales!$H$40="Todos",datos_base!$G$9+datos_base!$G$23,0))*parametros_manuales!$I$95+parametros_manuales!$E$40*(datos_base!$G$3+datos_base!$G$19+IF(parametros_manuales!$H$40="Todos",datos_base!$G$10+datos_base!$G$24,0))*parametros_manuales!$I$100+parametros_manuales!$F$40*(datos_base!$G$4+datos_base!$G$20+IF(parametros_manuales!$H$40="Todos",datos_base!$G$11+datos_base!$G$25,0))*parametros_manuales!$I$105+parametros_manuales!$G$40*(datos_base!$G$5+datos_base!$G$21+IF(parametros_manuales!$H$40="Todos",datos_base!$G$12+datos_base!$G$26,0))*parametros_manuales!$I$110)*parametros_manuales!$I$40*parametros_manuales!$J$40</f>
        <v>2916.16189862</v>
      </c>
      <c r="J158" s="9" t="n">
        <f aca="false">(parametros_manuales!$D$40*(datos_base!$G$2+datos_base!$G$18+IF(parametros_manuales!$H$40="Todos",datos_base!$G$9+datos_base!$G$23,0))*parametros_manuales!$J$95+parametros_manuales!$E$40*(datos_base!$G$3+datos_base!$G$19+IF(parametros_manuales!$H$40="Todos",datos_base!$G$10+datos_base!$G$24,0))*parametros_manuales!$J$100+parametros_manuales!$F$40*(datos_base!$G$4+datos_base!$G$20+IF(parametros_manuales!$H$40="Todos",datos_base!$G$11+datos_base!$G$25,0))*parametros_manuales!$J$105+parametros_manuales!$G$40*(datos_base!$G$5+datos_base!$G$21+IF(parametros_manuales!$H$40="Todos",datos_base!$G$12+datos_base!$G$26,0))*parametros_manuales!$J$110)*parametros_manuales!$I$40*parametros_manuales!$J$40</f>
        <v>2916.16189862</v>
      </c>
      <c r="K158" s="9" t="n">
        <f aca="false">(parametros_manuales!$D$40*(datos_base!$G$2+datos_base!$G$18+IF(parametros_manuales!$H$40="Todos",datos_base!$G$9+datos_base!$G$23,0))*parametros_manuales!$K$95+parametros_manuales!$E$40*(datos_base!$G$3+datos_base!$G$19+IF(parametros_manuales!$H$40="Todos",datos_base!$G$10+datos_base!$G$24,0))*parametros_manuales!$K$100+parametros_manuales!$F$40*(datos_base!$G$4+datos_base!$G$20+IF(parametros_manuales!$H$40="Todos",datos_base!$G$11+datos_base!$G$25,0))*parametros_manuales!$K$105+parametros_manuales!$G$40*(datos_base!$G$5+datos_base!$G$21+IF(parametros_manuales!$H$40="Todos",datos_base!$G$12+datos_base!$G$26,0))*parametros_manuales!$K$110)*parametros_manuales!$I$40*parametros_manuales!$J$40</f>
        <v>3010.558093765</v>
      </c>
      <c r="L158" s="9" t="n">
        <f aca="false">(parametros_manuales!$D$40*(datos_base!$G$2+datos_base!$G$18+IF(parametros_manuales!$H$40="Todos",datos_base!$G$9+datos_base!$G$23,0))*parametros_manuales!$L$95+parametros_manuales!$E$40*(datos_base!$G$3+datos_base!$G$19+IF(parametros_manuales!$H$40="Todos",datos_base!$G$10+datos_base!$G$24,0))*parametros_manuales!$L$100+parametros_manuales!$F$40*(datos_base!$G$4+datos_base!$G$20+IF(parametros_manuales!$H$40="Todos",datos_base!$G$11+datos_base!$G$25,0))*parametros_manuales!$L$105+parametros_manuales!$G$40*(datos_base!$G$5+datos_base!$G$21+IF(parametros_manuales!$H$40="Todos",datos_base!$G$12+datos_base!$G$26,0))*parametros_manuales!$L$110)*parametros_manuales!$I$40*parametros_manuales!$J$40</f>
        <v>3104.95428891</v>
      </c>
      <c r="M158" s="9" t="n">
        <f aca="false">(parametros_manuales!$D$40*(datos_base!$G$2+datos_base!$G$18+IF(parametros_manuales!$H$40="Todos",datos_base!$G$9+datos_base!$G$23,0))*parametros_manuales!$M$95+parametros_manuales!$E$40*(datos_base!$G$3+datos_base!$G$19+IF(parametros_manuales!$H$40="Todos",datos_base!$G$10+datos_base!$G$24,0))*parametros_manuales!$M$100+parametros_manuales!$F$40*(datos_base!$G$4+datos_base!$G$20+IF(parametros_manuales!$H$40="Todos",datos_base!$G$11+datos_base!$G$25,0))*parametros_manuales!$M$105+parametros_manuales!$G$40*(datos_base!$G$5+datos_base!$G$21+IF(parametros_manuales!$H$40="Todos",datos_base!$G$12+datos_base!$G$26,0))*parametros_manuales!$M$110)*parametros_manuales!$I$40*parametros_manuales!$J$40</f>
        <v>3104.95428891</v>
      </c>
      <c r="N158" s="9" t="n">
        <f aca="false">SUM(B158:M158)</f>
        <v>34499.492099</v>
      </c>
      <c r="O158" s="9" t="n">
        <f aca="false">MAX(B158:M158)</f>
        <v>3104.95428891</v>
      </c>
      <c r="P158" s="43" t="n">
        <f aca="false">O158/(parametros_manuales!$B$7)</f>
        <v>20.6996952594</v>
      </c>
      <c r="Q158" s="8" t="str">
        <f aca="false">IF(O158=0,"-",INDEX($B$136:$M$136,MATCH(O158,B158:M158,0)))</f>
        <v>Ene</v>
      </c>
    </row>
    <row r="159" customFormat="false" ht="14.25" hidden="false" customHeight="true" outlineLevel="0" collapsed="false">
      <c r="A159" s="8" t="str">
        <f aca="false">parametros_manuales!$B$41</f>
        <v>Control de calidad — Ensayo de pérdidas</v>
      </c>
      <c r="B159" s="9" t="n">
        <f aca="false">(parametros_manuales!$D$41*(datos_base!$G$2+datos_base!$G$18+IF(parametros_manuales!$H$41="Todos",datos_base!$G$9+datos_base!$G$23,0))*parametros_manuales!$B$95+parametros_manuales!$E$41*(datos_base!$G$3+datos_base!$G$19+IF(parametros_manuales!$H$41="Todos",datos_base!$G$10+datos_base!$G$24,0))*parametros_manuales!$B$100+parametros_manuales!$F$41*(datos_base!$G$4+datos_base!$G$20+IF(parametros_manuales!$H$41="Todos",datos_base!$G$11+datos_base!$G$25,0))*parametros_manuales!$B$105+parametros_manuales!$G$41*(datos_base!$G$5+datos_base!$G$21+IF(parametros_manuales!$H$41="Todos",datos_base!$G$12+datos_base!$G$26,0))*parametros_manuales!$B$110)*parametros_manuales!$I$41*parametros_manuales!$J$41</f>
        <v>3104.95428891</v>
      </c>
      <c r="C159" s="9" t="n">
        <f aca="false">(parametros_manuales!$D$41*(datos_base!$G$2+datos_base!$G$18+IF(parametros_manuales!$H$41="Todos",datos_base!$G$9+datos_base!$G$23,0))*parametros_manuales!$C$95+parametros_manuales!$E$41*(datos_base!$G$3+datos_base!$G$19+IF(parametros_manuales!$H$41="Todos",datos_base!$G$10+datos_base!$G$24,0))*parametros_manuales!$C$100+parametros_manuales!$F$41*(datos_base!$G$4+datos_base!$G$20+IF(parametros_manuales!$H$41="Todos",datos_base!$G$11+datos_base!$G$25,0))*parametros_manuales!$C$105+parametros_manuales!$G$41*(datos_base!$G$5+datos_base!$G$21+IF(parametros_manuales!$H$41="Todos",datos_base!$G$12+datos_base!$G$26,0))*parametros_manuales!$C$110)*parametros_manuales!$I$41*parametros_manuales!$J$41</f>
        <v>2916.16189862</v>
      </c>
      <c r="D159" s="9" t="n">
        <f aca="false">(parametros_manuales!$D$41*(datos_base!$G$2+datos_base!$G$18+IF(parametros_manuales!$H$41="Todos",datos_base!$G$9+datos_base!$G$23,0))*parametros_manuales!$D$95+parametros_manuales!$E$41*(datos_base!$G$3+datos_base!$G$19+IF(parametros_manuales!$H$41="Todos",datos_base!$G$10+datos_base!$G$24,0))*parametros_manuales!$D$100+parametros_manuales!$F$41*(datos_base!$G$4+datos_base!$G$20+IF(parametros_manuales!$H$41="Todos",datos_base!$G$11+datos_base!$G$25,0))*parametros_manuales!$D$105+parametros_manuales!$G$41*(datos_base!$G$5+datos_base!$G$21+IF(parametros_manuales!$H$41="Todos",datos_base!$G$12+datos_base!$G$26,0))*parametros_manuales!$D$110)*parametros_manuales!$I$41*parametros_manuales!$J$41</f>
        <v>2854.355563065</v>
      </c>
      <c r="E159" s="9" t="n">
        <f aca="false">(parametros_manuales!$D$41*(datos_base!$G$2+datos_base!$G$18+IF(parametros_manuales!$H$41="Todos",datos_base!$G$9+datos_base!$G$23,0))*parametros_manuales!$E$95+parametros_manuales!$E$41*(datos_base!$G$3+datos_base!$G$19+IF(parametros_manuales!$H$41="Todos",datos_base!$G$10+datos_base!$G$24,0))*parametros_manuales!$E$100+parametros_manuales!$F$41*(datos_base!$G$4+datos_base!$G$20+IF(parametros_manuales!$H$41="Todos",datos_base!$G$11+datos_base!$G$25,0))*parametros_manuales!$E$105+parametros_manuales!$G$41*(datos_base!$G$5+datos_base!$G$21+IF(parametros_manuales!$H$41="Todos",datos_base!$G$12+datos_base!$G$26,0))*parametros_manuales!$E$110)*parametros_manuales!$I$41*parametros_manuales!$J$41</f>
        <v>2776.254297715</v>
      </c>
      <c r="F159" s="9" t="n">
        <f aca="false">(parametros_manuales!$D$41*(datos_base!$G$2+datos_base!$G$18+IF(parametros_manuales!$H$41="Todos",datos_base!$G$9+datos_base!$G$23,0))*parametros_manuales!$F$95+parametros_manuales!$E$41*(datos_base!$G$3+datos_base!$G$19+IF(parametros_manuales!$H$41="Todos",datos_base!$G$10+datos_base!$G$24,0))*parametros_manuales!$F$100+parametros_manuales!$F$41*(datos_base!$G$4+datos_base!$G$20+IF(parametros_manuales!$H$41="Todos",datos_base!$G$11+datos_base!$G$25,0))*parametros_manuales!$F$105+parametros_manuales!$G$41*(datos_base!$G$5+datos_base!$G$21+IF(parametros_manuales!$H$41="Todos",datos_base!$G$12+datos_base!$G$26,0))*parametros_manuales!$F$110)*parametros_manuales!$I$41*parametros_manuales!$J$41</f>
        <v>2603.75683722</v>
      </c>
      <c r="G159" s="9" t="n">
        <f aca="false">(parametros_manuales!$D$41*(datos_base!$G$2+datos_base!$G$18+IF(parametros_manuales!$H$41="Todos",datos_base!$G$9+datos_base!$G$23,0))*parametros_manuales!$G$95+parametros_manuales!$E$41*(datos_base!$G$3+datos_base!$G$19+IF(parametros_manuales!$H$41="Todos",datos_base!$G$10+datos_base!$G$24,0))*parametros_manuales!$G$100+parametros_manuales!$F$41*(datos_base!$G$4+datos_base!$G$20+IF(parametros_manuales!$H$41="Todos",datos_base!$G$11+datos_base!$G$25,0))*parametros_manuales!$G$105+parametros_manuales!$G$41*(datos_base!$G$5+datos_base!$G$21+IF(parametros_manuales!$H$41="Todos",datos_base!$G$12+datos_base!$G$26,0))*parametros_manuales!$G$110)*parametros_manuales!$I$41*parametros_manuales!$J$41</f>
        <v>2509.360642075</v>
      </c>
      <c r="H159" s="9" t="n">
        <f aca="false">(parametros_manuales!$D$41*(datos_base!$G$2+datos_base!$G$18+IF(parametros_manuales!$H$41="Todos",datos_base!$G$9+datos_base!$G$23,0))*parametros_manuales!$H$95+parametros_manuales!$E$41*(datos_base!$G$3+datos_base!$G$19+IF(parametros_manuales!$H$41="Todos",datos_base!$G$10+datos_base!$G$24,0))*parametros_manuales!$H$100+parametros_manuales!$F$41*(datos_base!$G$4+datos_base!$G$20+IF(parametros_manuales!$H$41="Todos",datos_base!$G$11+datos_base!$G$25,0))*parametros_manuales!$H$105+parametros_manuales!$G$41*(datos_base!$G$5+datos_base!$G$21+IF(parametros_manuales!$H$41="Todos",datos_base!$G$12+datos_base!$G$26,0))*parametros_manuales!$H$110)*parametros_manuales!$I$41*parametros_manuales!$J$41</f>
        <v>2681.85810257</v>
      </c>
      <c r="I159" s="9" t="n">
        <f aca="false">(parametros_manuales!$D$41*(datos_base!$G$2+datos_base!$G$18+IF(parametros_manuales!$H$41="Todos",datos_base!$G$9+datos_base!$G$23,0))*parametros_manuales!$I$95+parametros_manuales!$E$41*(datos_base!$G$3+datos_base!$G$19+IF(parametros_manuales!$H$41="Todos",datos_base!$G$10+datos_base!$G$24,0))*parametros_manuales!$I$100+parametros_manuales!$F$41*(datos_base!$G$4+datos_base!$G$20+IF(parametros_manuales!$H$41="Todos",datos_base!$G$11+datos_base!$G$25,0))*parametros_manuales!$I$105+parametros_manuales!$G$41*(datos_base!$G$5+datos_base!$G$21+IF(parametros_manuales!$H$41="Todos",datos_base!$G$12+datos_base!$G$26,0))*parametros_manuales!$I$110)*parametros_manuales!$I$41*parametros_manuales!$J$41</f>
        <v>2916.16189862</v>
      </c>
      <c r="J159" s="9" t="n">
        <f aca="false">(parametros_manuales!$D$41*(datos_base!$G$2+datos_base!$G$18+IF(parametros_manuales!$H$41="Todos",datos_base!$G$9+datos_base!$G$23,0))*parametros_manuales!$J$95+parametros_manuales!$E$41*(datos_base!$G$3+datos_base!$G$19+IF(parametros_manuales!$H$41="Todos",datos_base!$G$10+datos_base!$G$24,0))*parametros_manuales!$J$100+parametros_manuales!$F$41*(datos_base!$G$4+datos_base!$G$20+IF(parametros_manuales!$H$41="Todos",datos_base!$G$11+datos_base!$G$25,0))*parametros_manuales!$J$105+parametros_manuales!$G$41*(datos_base!$G$5+datos_base!$G$21+IF(parametros_manuales!$H$41="Todos",datos_base!$G$12+datos_base!$G$26,0))*parametros_manuales!$J$110)*parametros_manuales!$I$41*parametros_manuales!$J$41</f>
        <v>2916.16189862</v>
      </c>
      <c r="K159" s="9" t="n">
        <f aca="false">(parametros_manuales!$D$41*(datos_base!$G$2+datos_base!$G$18+IF(parametros_manuales!$H$41="Todos",datos_base!$G$9+datos_base!$G$23,0))*parametros_manuales!$K$95+parametros_manuales!$E$41*(datos_base!$G$3+datos_base!$G$19+IF(parametros_manuales!$H$41="Todos",datos_base!$G$10+datos_base!$G$24,0))*parametros_manuales!$K$100+parametros_manuales!$F$41*(datos_base!$G$4+datos_base!$G$20+IF(parametros_manuales!$H$41="Todos",datos_base!$G$11+datos_base!$G$25,0))*parametros_manuales!$K$105+parametros_manuales!$G$41*(datos_base!$G$5+datos_base!$G$21+IF(parametros_manuales!$H$41="Todos",datos_base!$G$12+datos_base!$G$26,0))*parametros_manuales!$K$110)*parametros_manuales!$I$41*parametros_manuales!$J$41</f>
        <v>3010.558093765</v>
      </c>
      <c r="L159" s="9" t="n">
        <f aca="false">(parametros_manuales!$D$41*(datos_base!$G$2+datos_base!$G$18+IF(parametros_manuales!$H$41="Todos",datos_base!$G$9+datos_base!$G$23,0))*parametros_manuales!$L$95+parametros_manuales!$E$41*(datos_base!$G$3+datos_base!$G$19+IF(parametros_manuales!$H$41="Todos",datos_base!$G$10+datos_base!$G$24,0))*parametros_manuales!$L$100+parametros_manuales!$F$41*(datos_base!$G$4+datos_base!$G$20+IF(parametros_manuales!$H$41="Todos",datos_base!$G$11+datos_base!$G$25,0))*parametros_manuales!$L$105+parametros_manuales!$G$41*(datos_base!$G$5+datos_base!$G$21+IF(parametros_manuales!$H$41="Todos",datos_base!$G$12+datos_base!$G$26,0))*parametros_manuales!$L$110)*parametros_manuales!$I$41*parametros_manuales!$J$41</f>
        <v>3104.95428891</v>
      </c>
      <c r="M159" s="9" t="n">
        <f aca="false">(parametros_manuales!$D$41*(datos_base!$G$2+datos_base!$G$18+IF(parametros_manuales!$H$41="Todos",datos_base!$G$9+datos_base!$G$23,0))*parametros_manuales!$M$95+parametros_manuales!$E$41*(datos_base!$G$3+datos_base!$G$19+IF(parametros_manuales!$H$41="Todos",datos_base!$G$10+datos_base!$G$24,0))*parametros_manuales!$M$100+parametros_manuales!$F$41*(datos_base!$G$4+datos_base!$G$20+IF(parametros_manuales!$H$41="Todos",datos_base!$G$11+datos_base!$G$25,0))*parametros_manuales!$M$105+parametros_manuales!$G$41*(datos_base!$G$5+datos_base!$G$21+IF(parametros_manuales!$H$41="Todos",datos_base!$G$12+datos_base!$G$26,0))*parametros_manuales!$M$110)*parametros_manuales!$I$41*parametros_manuales!$J$41</f>
        <v>3104.95428891</v>
      </c>
      <c r="N159" s="9" t="n">
        <f aca="false">SUM(B159:M159)</f>
        <v>34499.492099</v>
      </c>
      <c r="O159" s="9" t="n">
        <f aca="false">MAX(B159:M159)</f>
        <v>3104.95428891</v>
      </c>
      <c r="P159" s="43" t="n">
        <f aca="false">O159/(parametros_manuales!$B$7)</f>
        <v>20.6996952594</v>
      </c>
      <c r="Q159" s="8" t="str">
        <f aca="false">IF(O159=0,"-",INDEX($B$136:$M$136,MATCH(O159,B159:M159,0)))</f>
        <v>Ene</v>
      </c>
    </row>
    <row r="160" customFormat="false" ht="14.25" hidden="false" customHeight="true" outlineLevel="0" collapsed="false">
      <c r="A160" s="8" t="str">
        <f aca="false">parametros_manuales!$B$42</f>
        <v>Etiquetado</v>
      </c>
      <c r="B160" s="9" t="n">
        <f aca="false">(parametros_manuales!$D$42*(datos_base!$G$2+datos_base!$G$18+IF(parametros_manuales!$H$42="Todos",datos_base!$G$9+datos_base!$G$23,0))*parametros_manuales!$B$95+parametros_manuales!$E$42*(datos_base!$G$3+datos_base!$G$19+IF(parametros_manuales!$H$42="Todos",datos_base!$G$10+datos_base!$G$24,0))*parametros_manuales!$B$100+parametros_manuales!$F$42*(datos_base!$G$4+datos_base!$G$20+IF(parametros_manuales!$H$42="Todos",datos_base!$G$11+datos_base!$G$25,0))*parametros_manuales!$B$105+parametros_manuales!$G$42*(datos_base!$G$5+datos_base!$G$21+IF(parametros_manuales!$H$42="Todos",datos_base!$G$12+datos_base!$G$26,0))*parametros_manuales!$B$110)*parametros_manuales!$I$42*parametros_manuales!$J$42</f>
        <v>3104.95428891</v>
      </c>
      <c r="C160" s="9" t="n">
        <f aca="false">(parametros_manuales!$D$42*(datos_base!$G$2+datos_base!$G$18+IF(parametros_manuales!$H$42="Todos",datos_base!$G$9+datos_base!$G$23,0))*parametros_manuales!$C$95+parametros_manuales!$E$42*(datos_base!$G$3+datos_base!$G$19+IF(parametros_manuales!$H$42="Todos",datos_base!$G$10+datos_base!$G$24,0))*parametros_manuales!$C$100+parametros_manuales!$F$42*(datos_base!$G$4+datos_base!$G$20+IF(parametros_manuales!$H$42="Todos",datos_base!$G$11+datos_base!$G$25,0))*parametros_manuales!$C$105+parametros_manuales!$G$42*(datos_base!$G$5+datos_base!$G$21+IF(parametros_manuales!$H$42="Todos",datos_base!$G$12+datos_base!$G$26,0))*parametros_manuales!$C$110)*parametros_manuales!$I$42*parametros_manuales!$J$42</f>
        <v>2916.16189862</v>
      </c>
      <c r="D160" s="9" t="n">
        <f aca="false">(parametros_manuales!$D$42*(datos_base!$G$2+datos_base!$G$18+IF(parametros_manuales!$H$42="Todos",datos_base!$G$9+datos_base!$G$23,0))*parametros_manuales!$D$95+parametros_manuales!$E$42*(datos_base!$G$3+datos_base!$G$19+IF(parametros_manuales!$H$42="Todos",datos_base!$G$10+datos_base!$G$24,0))*parametros_manuales!$D$100+parametros_manuales!$F$42*(datos_base!$G$4+datos_base!$G$20+IF(parametros_manuales!$H$42="Todos",datos_base!$G$11+datos_base!$G$25,0))*parametros_manuales!$D$105+parametros_manuales!$G$42*(datos_base!$G$5+datos_base!$G$21+IF(parametros_manuales!$H$42="Todos",datos_base!$G$12+datos_base!$G$26,0))*parametros_manuales!$D$110)*parametros_manuales!$I$42*parametros_manuales!$J$42</f>
        <v>2854.355563065</v>
      </c>
      <c r="E160" s="9" t="n">
        <f aca="false">(parametros_manuales!$D$42*(datos_base!$G$2+datos_base!$G$18+IF(parametros_manuales!$H$42="Todos",datos_base!$G$9+datos_base!$G$23,0))*parametros_manuales!$E$95+parametros_manuales!$E$42*(datos_base!$G$3+datos_base!$G$19+IF(parametros_manuales!$H$42="Todos",datos_base!$G$10+datos_base!$G$24,0))*parametros_manuales!$E$100+parametros_manuales!$F$42*(datos_base!$G$4+datos_base!$G$20+IF(parametros_manuales!$H$42="Todos",datos_base!$G$11+datos_base!$G$25,0))*parametros_manuales!$E$105+parametros_manuales!$G$42*(datos_base!$G$5+datos_base!$G$21+IF(parametros_manuales!$H$42="Todos",datos_base!$G$12+datos_base!$G$26,0))*parametros_manuales!$E$110)*parametros_manuales!$I$42*parametros_manuales!$J$42</f>
        <v>2776.254297715</v>
      </c>
      <c r="F160" s="9" t="n">
        <f aca="false">(parametros_manuales!$D$42*(datos_base!$G$2+datos_base!$G$18+IF(parametros_manuales!$H$42="Todos",datos_base!$G$9+datos_base!$G$23,0))*parametros_manuales!$F$95+parametros_manuales!$E$42*(datos_base!$G$3+datos_base!$G$19+IF(parametros_manuales!$H$42="Todos",datos_base!$G$10+datos_base!$G$24,0))*parametros_manuales!$F$100+parametros_manuales!$F$42*(datos_base!$G$4+datos_base!$G$20+IF(parametros_manuales!$H$42="Todos",datos_base!$G$11+datos_base!$G$25,0))*parametros_manuales!$F$105+parametros_manuales!$G$42*(datos_base!$G$5+datos_base!$G$21+IF(parametros_manuales!$H$42="Todos",datos_base!$G$12+datos_base!$G$26,0))*parametros_manuales!$F$110)*parametros_manuales!$I$42*parametros_manuales!$J$42</f>
        <v>2603.75683722</v>
      </c>
      <c r="G160" s="9" t="n">
        <f aca="false">(parametros_manuales!$D$42*(datos_base!$G$2+datos_base!$G$18+IF(parametros_manuales!$H$42="Todos",datos_base!$G$9+datos_base!$G$23,0))*parametros_manuales!$G$95+parametros_manuales!$E$42*(datos_base!$G$3+datos_base!$G$19+IF(parametros_manuales!$H$42="Todos",datos_base!$G$10+datos_base!$G$24,0))*parametros_manuales!$G$100+parametros_manuales!$F$42*(datos_base!$G$4+datos_base!$G$20+IF(parametros_manuales!$H$42="Todos",datos_base!$G$11+datos_base!$G$25,0))*parametros_manuales!$G$105+parametros_manuales!$G$42*(datos_base!$G$5+datos_base!$G$21+IF(parametros_manuales!$H$42="Todos",datos_base!$G$12+datos_base!$G$26,0))*parametros_manuales!$G$110)*parametros_manuales!$I$42*parametros_manuales!$J$42</f>
        <v>2509.360642075</v>
      </c>
      <c r="H160" s="9" t="n">
        <f aca="false">(parametros_manuales!$D$42*(datos_base!$G$2+datos_base!$G$18+IF(parametros_manuales!$H$42="Todos",datos_base!$G$9+datos_base!$G$23,0))*parametros_manuales!$H$95+parametros_manuales!$E$42*(datos_base!$G$3+datos_base!$G$19+IF(parametros_manuales!$H$42="Todos",datos_base!$G$10+datos_base!$G$24,0))*parametros_manuales!$H$100+parametros_manuales!$F$42*(datos_base!$G$4+datos_base!$G$20+IF(parametros_manuales!$H$42="Todos",datos_base!$G$11+datos_base!$G$25,0))*parametros_manuales!$H$105+parametros_manuales!$G$42*(datos_base!$G$5+datos_base!$G$21+IF(parametros_manuales!$H$42="Todos",datos_base!$G$12+datos_base!$G$26,0))*parametros_manuales!$H$110)*parametros_manuales!$I$42*parametros_manuales!$J$42</f>
        <v>2681.85810257</v>
      </c>
      <c r="I160" s="9" t="n">
        <f aca="false">(parametros_manuales!$D$42*(datos_base!$G$2+datos_base!$G$18+IF(parametros_manuales!$H$42="Todos",datos_base!$G$9+datos_base!$G$23,0))*parametros_manuales!$I$95+parametros_manuales!$E$42*(datos_base!$G$3+datos_base!$G$19+IF(parametros_manuales!$H$42="Todos",datos_base!$G$10+datos_base!$G$24,0))*parametros_manuales!$I$100+parametros_manuales!$F$42*(datos_base!$G$4+datos_base!$G$20+IF(parametros_manuales!$H$42="Todos",datos_base!$G$11+datos_base!$G$25,0))*parametros_manuales!$I$105+parametros_manuales!$G$42*(datos_base!$G$5+datos_base!$G$21+IF(parametros_manuales!$H$42="Todos",datos_base!$G$12+datos_base!$G$26,0))*parametros_manuales!$I$110)*parametros_manuales!$I$42*parametros_manuales!$J$42</f>
        <v>2916.16189862</v>
      </c>
      <c r="J160" s="9" t="n">
        <f aca="false">(parametros_manuales!$D$42*(datos_base!$G$2+datos_base!$G$18+IF(parametros_manuales!$H$42="Todos",datos_base!$G$9+datos_base!$G$23,0))*parametros_manuales!$J$95+parametros_manuales!$E$42*(datos_base!$G$3+datos_base!$G$19+IF(parametros_manuales!$H$42="Todos",datos_base!$G$10+datos_base!$G$24,0))*parametros_manuales!$J$100+parametros_manuales!$F$42*(datos_base!$G$4+datos_base!$G$20+IF(parametros_manuales!$H$42="Todos",datos_base!$G$11+datos_base!$G$25,0))*parametros_manuales!$J$105+parametros_manuales!$G$42*(datos_base!$G$5+datos_base!$G$21+IF(parametros_manuales!$H$42="Todos",datos_base!$G$12+datos_base!$G$26,0))*parametros_manuales!$J$110)*parametros_manuales!$I$42*parametros_manuales!$J$42</f>
        <v>2916.16189862</v>
      </c>
      <c r="K160" s="9" t="n">
        <f aca="false">(parametros_manuales!$D$42*(datos_base!$G$2+datos_base!$G$18+IF(parametros_manuales!$H$42="Todos",datos_base!$G$9+datos_base!$G$23,0))*parametros_manuales!$K$95+parametros_manuales!$E$42*(datos_base!$G$3+datos_base!$G$19+IF(parametros_manuales!$H$42="Todos",datos_base!$G$10+datos_base!$G$24,0))*parametros_manuales!$K$100+parametros_manuales!$F$42*(datos_base!$G$4+datos_base!$G$20+IF(parametros_manuales!$H$42="Todos",datos_base!$G$11+datos_base!$G$25,0))*parametros_manuales!$K$105+parametros_manuales!$G$42*(datos_base!$G$5+datos_base!$G$21+IF(parametros_manuales!$H$42="Todos",datos_base!$G$12+datos_base!$G$26,0))*parametros_manuales!$K$110)*parametros_manuales!$I$42*parametros_manuales!$J$42</f>
        <v>3010.558093765</v>
      </c>
      <c r="L160" s="9" t="n">
        <f aca="false">(parametros_manuales!$D$42*(datos_base!$G$2+datos_base!$G$18+IF(parametros_manuales!$H$42="Todos",datos_base!$G$9+datos_base!$G$23,0))*parametros_manuales!$L$95+parametros_manuales!$E$42*(datos_base!$G$3+datos_base!$G$19+IF(parametros_manuales!$H$42="Todos",datos_base!$G$10+datos_base!$G$24,0))*parametros_manuales!$L$100+parametros_manuales!$F$42*(datos_base!$G$4+datos_base!$G$20+IF(parametros_manuales!$H$42="Todos",datos_base!$G$11+datos_base!$G$25,0))*parametros_manuales!$L$105+parametros_manuales!$G$42*(datos_base!$G$5+datos_base!$G$21+IF(parametros_manuales!$H$42="Todos",datos_base!$G$12+datos_base!$G$26,0))*parametros_manuales!$L$110)*parametros_manuales!$I$42*parametros_manuales!$J$42</f>
        <v>3104.95428891</v>
      </c>
      <c r="M160" s="9" t="n">
        <f aca="false">(parametros_manuales!$D$42*(datos_base!$G$2+datos_base!$G$18+IF(parametros_manuales!$H$42="Todos",datos_base!$G$9+datos_base!$G$23,0))*parametros_manuales!$M$95+parametros_manuales!$E$42*(datos_base!$G$3+datos_base!$G$19+IF(parametros_manuales!$H$42="Todos",datos_base!$G$10+datos_base!$G$24,0))*parametros_manuales!$M$100+parametros_manuales!$F$42*(datos_base!$G$4+datos_base!$G$20+IF(parametros_manuales!$H$42="Todos",datos_base!$G$11+datos_base!$G$25,0))*parametros_manuales!$M$105+parametros_manuales!$G$42*(datos_base!$G$5+datos_base!$G$21+IF(parametros_manuales!$H$42="Todos",datos_base!$G$12+datos_base!$G$26,0))*parametros_manuales!$M$110)*parametros_manuales!$I$42*parametros_manuales!$J$42</f>
        <v>3104.95428891</v>
      </c>
      <c r="N160" s="9" t="n">
        <f aca="false">SUM(B160:M160)</f>
        <v>34499.492099</v>
      </c>
      <c r="O160" s="9" t="n">
        <f aca="false">MAX(B160:M160)</f>
        <v>3104.95428891</v>
      </c>
      <c r="P160" s="43" t="n">
        <f aca="false">O160/(parametros_manuales!$B$7)</f>
        <v>20.6996952594</v>
      </c>
      <c r="Q160" s="8" t="str">
        <f aca="false">IF(O160=0,"-",INDEX($B$136:$M$136,MATCH(O160,B160:M160,0)))</f>
        <v>Ene</v>
      </c>
    </row>
    <row r="161" customFormat="false" ht="14.25" hidden="false" customHeight="true" outlineLevel="0" collapsed="false">
      <c r="A161" s="8" t="str">
        <f aca="false">parametros_manuales!$B$43</f>
        <v>Embalaje y paletizado</v>
      </c>
      <c r="B161" s="9" t="n">
        <f aca="false">(parametros_manuales!$D$43*(datos_base!$G$2+datos_base!$G$18+IF(parametros_manuales!$H$43="Todos",datos_base!$G$9+datos_base!$G$23,0))*parametros_manuales!$B$95+parametros_manuales!$E$43*(datos_base!$G$3+datos_base!$G$19+IF(parametros_manuales!$H$43="Todos",datos_base!$G$10+datos_base!$G$24,0))*parametros_manuales!$B$100+parametros_manuales!$F$43*(datos_base!$G$4+datos_base!$G$20+IF(parametros_manuales!$H$43="Todos",datos_base!$G$11+datos_base!$G$25,0))*parametros_manuales!$B$105+parametros_manuales!$G$43*(datos_base!$G$5+datos_base!$G$21+IF(parametros_manuales!$H$43="Todos",datos_base!$G$12+datos_base!$G$26,0))*parametros_manuales!$B$110)*parametros_manuales!$I$43*parametros_manuales!$J$43</f>
        <v>11154.12588891</v>
      </c>
      <c r="C161" s="9" t="n">
        <f aca="false">(parametros_manuales!$D$43*(datos_base!$G$2+datos_base!$G$18+IF(parametros_manuales!$H$43="Todos",datos_base!$G$9+datos_base!$G$23,0))*parametros_manuales!$C$95+parametros_manuales!$E$43*(datos_base!$G$3+datos_base!$G$19+IF(parametros_manuales!$H$43="Todos",datos_base!$G$10+datos_base!$G$24,0))*parametros_manuales!$C$100+parametros_manuales!$F$43*(datos_base!$G$4+datos_base!$G$20+IF(parametros_manuales!$H$43="Todos",datos_base!$G$11+datos_base!$G$25,0))*parametros_manuales!$C$105+parametros_manuales!$G$43*(datos_base!$G$5+datos_base!$G$21+IF(parametros_manuales!$H$43="Todos",datos_base!$G$12+datos_base!$G$26,0))*parametros_manuales!$C$110)*parametros_manuales!$I$43*parametros_manuales!$J$43</f>
        <v>10787.78309862</v>
      </c>
      <c r="D161" s="9" t="n">
        <f aca="false">(parametros_manuales!$D$43*(datos_base!$G$2+datos_base!$G$18+IF(parametros_manuales!$H$43="Todos",datos_base!$G$9+datos_base!$G$23,0))*parametros_manuales!$D$95+parametros_manuales!$E$43*(datos_base!$G$3+datos_base!$G$19+IF(parametros_manuales!$H$43="Todos",datos_base!$G$10+datos_base!$G$24,0))*parametros_manuales!$D$100+parametros_manuales!$F$43*(datos_base!$G$4+datos_base!$G$20+IF(parametros_manuales!$H$43="Todos",datos_base!$G$11+datos_base!$G$25,0))*parametros_manuales!$D$105+parametros_manuales!$G$43*(datos_base!$G$5+datos_base!$G$21+IF(parametros_manuales!$H$43="Todos",datos_base!$G$12+datos_base!$G$26,0))*parametros_manuales!$D$110)*parametros_manuales!$I$43*parametros_manuales!$J$43</f>
        <v>10097.949963065</v>
      </c>
      <c r="E161" s="9" t="n">
        <f aca="false">(parametros_manuales!$D$43*(datos_base!$G$2+datos_base!$G$18+IF(parametros_manuales!$H$43="Todos",datos_base!$G$9+datos_base!$G$23,0))*parametros_manuales!$E$95+parametros_manuales!$E$43*(datos_base!$G$3+datos_base!$G$19+IF(parametros_manuales!$H$43="Todos",datos_base!$G$10+datos_base!$G$24,0))*parametros_manuales!$E$100+parametros_manuales!$F$43*(datos_base!$G$4+datos_base!$G$20+IF(parametros_manuales!$H$43="Todos",datos_base!$G$11+datos_base!$G$25,0))*parametros_manuales!$E$105+parametros_manuales!$G$43*(datos_base!$G$5+datos_base!$G$21+IF(parametros_manuales!$H$43="Todos",datos_base!$G$12+datos_base!$G$26,0))*parametros_manuales!$E$110)*parametros_manuales!$I$43*parametros_manuales!$J$43</f>
        <v>9661.447697715</v>
      </c>
      <c r="F161" s="9" t="n">
        <f aca="false">(parametros_manuales!$D$43*(datos_base!$G$2+datos_base!$G$18+IF(parametros_manuales!$H$43="Todos",datos_base!$G$9+datos_base!$G$23,0))*parametros_manuales!$F$95+parametros_manuales!$E$43*(datos_base!$G$3+datos_base!$G$19+IF(parametros_manuales!$H$43="Todos",datos_base!$G$10+datos_base!$G$24,0))*parametros_manuales!$F$100+parametros_manuales!$F$43*(datos_base!$G$4+datos_base!$G$20+IF(parametros_manuales!$H$43="Todos",datos_base!$G$11+datos_base!$G$25,0))*parametros_manuales!$F$105+parametros_manuales!$G$43*(datos_base!$G$5+datos_base!$G$21+IF(parametros_manuales!$H$43="Todos",datos_base!$G$12+datos_base!$G$26,0))*parametros_manuales!$F$110)*parametros_manuales!$I$43*parametros_manuales!$J$43</f>
        <v>9041.77403722</v>
      </c>
      <c r="G161" s="9" t="n">
        <f aca="false">(parametros_manuales!$D$43*(datos_base!$G$2+datos_base!$G$18+IF(parametros_manuales!$H$43="Todos",datos_base!$G$9+datos_base!$G$23,0))*parametros_manuales!$G$95+parametros_manuales!$E$43*(datos_base!$G$3+datos_base!$G$19+IF(parametros_manuales!$H$43="Todos",datos_base!$G$10+datos_base!$G$24,0))*parametros_manuales!$G$100+parametros_manuales!$F$43*(datos_base!$G$4+datos_base!$G$20+IF(parametros_manuales!$H$43="Todos",datos_base!$G$11+datos_base!$G$25,0))*parametros_manuales!$G$105+parametros_manuales!$G$43*(datos_base!$G$5+datos_base!$G$21+IF(parametros_manuales!$H$43="Todos",datos_base!$G$12+datos_base!$G$26,0))*parametros_manuales!$G$110)*parametros_manuales!$I$43*parametros_manuales!$J$43</f>
        <v>8858.602642075</v>
      </c>
      <c r="H161" s="9" t="n">
        <f aca="false">(parametros_manuales!$D$43*(datos_base!$G$2+datos_base!$G$18+IF(parametros_manuales!$H$43="Todos",datos_base!$G$9+datos_base!$G$23,0))*parametros_manuales!$H$95+parametros_manuales!$E$43*(datos_base!$G$3+datos_base!$G$19+IF(parametros_manuales!$H$43="Todos",datos_base!$G$10+datos_base!$G$24,0))*parametros_manuales!$H$100+parametros_manuales!$F$43*(datos_base!$G$4+datos_base!$G$20+IF(parametros_manuales!$H$43="Todos",datos_base!$G$11+datos_base!$G$25,0))*parametros_manuales!$H$105+parametros_manuales!$G$43*(datos_base!$G$5+datos_base!$G$21+IF(parametros_manuales!$H$43="Todos",datos_base!$G$12+datos_base!$G$26,0))*parametros_manuales!$H$110)*parametros_manuales!$I$43*parametros_manuales!$J$43</f>
        <v>9478.27630257</v>
      </c>
      <c r="I161" s="9" t="n">
        <f aca="false">(parametros_manuales!$D$43*(datos_base!$G$2+datos_base!$G$18+IF(parametros_manuales!$H$43="Todos",datos_base!$G$9+datos_base!$G$23,0))*parametros_manuales!$I$95+parametros_manuales!$E$43*(datos_base!$G$3+datos_base!$G$19+IF(parametros_manuales!$H$43="Todos",datos_base!$G$10+datos_base!$G$24,0))*parametros_manuales!$I$100+parametros_manuales!$F$43*(datos_base!$G$4+datos_base!$G$20+IF(parametros_manuales!$H$43="Todos",datos_base!$G$11+datos_base!$G$25,0))*parametros_manuales!$I$105+parametros_manuales!$G$43*(datos_base!$G$5+datos_base!$G$21+IF(parametros_manuales!$H$43="Todos",datos_base!$G$12+datos_base!$G$26,0))*parametros_manuales!$I$110)*parametros_manuales!$I$43*parametros_manuales!$J$43</f>
        <v>10787.78309862</v>
      </c>
      <c r="J161" s="9" t="n">
        <f aca="false">(parametros_manuales!$D$43*(datos_base!$G$2+datos_base!$G$18+IF(parametros_manuales!$H$43="Todos",datos_base!$G$9+datos_base!$G$23,0))*parametros_manuales!$J$95+parametros_manuales!$E$43*(datos_base!$G$3+datos_base!$G$19+IF(parametros_manuales!$H$43="Todos",datos_base!$G$10+datos_base!$G$24,0))*parametros_manuales!$J$100+parametros_manuales!$F$43*(datos_base!$G$4+datos_base!$G$20+IF(parametros_manuales!$H$43="Todos",datos_base!$G$11+datos_base!$G$25,0))*parametros_manuales!$J$105+parametros_manuales!$G$43*(datos_base!$G$5+datos_base!$G$21+IF(parametros_manuales!$H$43="Todos",datos_base!$G$12+datos_base!$G$26,0))*parametros_manuales!$J$110)*parametros_manuales!$I$43*parametros_manuales!$J$43</f>
        <v>10787.78309862</v>
      </c>
      <c r="K161" s="9" t="n">
        <f aca="false">(parametros_manuales!$D$43*(datos_base!$G$2+datos_base!$G$18+IF(parametros_manuales!$H$43="Todos",datos_base!$G$9+datos_base!$G$23,0))*parametros_manuales!$K$95+parametros_manuales!$E$43*(datos_base!$G$3+datos_base!$G$19+IF(parametros_manuales!$H$43="Todos",datos_base!$G$10+datos_base!$G$24,0))*parametros_manuales!$K$100+parametros_manuales!$F$43*(datos_base!$G$4+datos_base!$G$20+IF(parametros_manuales!$H$43="Todos",datos_base!$G$11+datos_base!$G$25,0))*parametros_manuales!$K$105+parametros_manuales!$G$43*(datos_base!$G$5+datos_base!$G$21+IF(parametros_manuales!$H$43="Todos",datos_base!$G$12+datos_base!$G$26,0))*parametros_manuales!$K$110)*parametros_manuales!$I$43*parametros_manuales!$J$43</f>
        <v>10970.954493765</v>
      </c>
      <c r="L161" s="9" t="n">
        <f aca="false">(parametros_manuales!$D$43*(datos_base!$G$2+datos_base!$G$18+IF(parametros_manuales!$H$43="Todos",datos_base!$G$9+datos_base!$G$23,0))*parametros_manuales!$L$95+parametros_manuales!$E$43*(datos_base!$G$3+datos_base!$G$19+IF(parametros_manuales!$H$43="Todos",datos_base!$G$10+datos_base!$G$24,0))*parametros_manuales!$L$100+parametros_manuales!$F$43*(datos_base!$G$4+datos_base!$G$20+IF(parametros_manuales!$H$43="Todos",datos_base!$G$11+datos_base!$G$25,0))*parametros_manuales!$L$105+parametros_manuales!$G$43*(datos_base!$G$5+datos_base!$G$21+IF(parametros_manuales!$H$43="Todos",datos_base!$G$12+datos_base!$G$26,0))*parametros_manuales!$L$110)*parametros_manuales!$I$43*parametros_manuales!$J$43</f>
        <v>11154.12588891</v>
      </c>
      <c r="M161" s="9" t="n">
        <f aca="false">(parametros_manuales!$D$43*(datos_base!$G$2+datos_base!$G$18+IF(parametros_manuales!$H$43="Todos",datos_base!$G$9+datos_base!$G$23,0))*parametros_manuales!$M$95+parametros_manuales!$E$43*(datos_base!$G$3+datos_base!$G$19+IF(parametros_manuales!$H$43="Todos",datos_base!$G$10+datos_base!$G$24,0))*parametros_manuales!$M$100+parametros_manuales!$F$43*(datos_base!$G$4+datos_base!$G$20+IF(parametros_manuales!$H$43="Todos",datos_base!$G$11+datos_base!$G$25,0))*parametros_manuales!$M$105+parametros_manuales!$G$43*(datos_base!$G$5+datos_base!$G$21+IF(parametros_manuales!$H$43="Todos",datos_base!$G$12+datos_base!$G$26,0))*parametros_manuales!$M$110)*parametros_manuales!$I$43*parametros_manuales!$J$43</f>
        <v>11154.12588891</v>
      </c>
      <c r="N161" s="9" t="n">
        <f aca="false">SUM(B161:M161)</f>
        <v>123934.732099</v>
      </c>
      <c r="O161" s="9" t="n">
        <f aca="false">MAX(B161:M161)</f>
        <v>11154.12588891</v>
      </c>
      <c r="P161" s="43" t="n">
        <f aca="false">O161/(parametros_manuales!$B$7)</f>
        <v>74.3608392594</v>
      </c>
      <c r="Q161" s="8" t="str">
        <f aca="false">IF(O161=0,"-",INDEX($B$136:$M$136,MATCH(O161,B161:M161,0)))</f>
        <v>Ene</v>
      </c>
    </row>
    <row r="162" customFormat="false" ht="14.25" hidden="false" customHeight="true" outlineLevel="0" collapsed="false"/>
    <row r="163" customFormat="false" ht="14.25" hidden="false" customHeight="true" outlineLevel="0" collapsed="false">
      <c r="A163" s="7" t="s">
        <v>196</v>
      </c>
      <c r="B163" s="7" t="s">
        <v>61</v>
      </c>
      <c r="C163" s="7" t="s">
        <v>62</v>
      </c>
      <c r="D163" s="7" t="s">
        <v>63</v>
      </c>
      <c r="E163" s="7" t="s">
        <v>64</v>
      </c>
      <c r="F163" s="7" t="s">
        <v>65</v>
      </c>
      <c r="G163" s="7" t="s">
        <v>66</v>
      </c>
      <c r="H163" s="7" t="s">
        <v>67</v>
      </c>
      <c r="I163" s="7" t="s">
        <v>68</v>
      </c>
      <c r="J163" s="7" t="s">
        <v>69</v>
      </c>
      <c r="K163" s="7" t="s">
        <v>70</v>
      </c>
      <c r="L163" s="7" t="s">
        <v>71</v>
      </c>
      <c r="M163" s="7" t="s">
        <v>72</v>
      </c>
      <c r="N163" s="7" t="s">
        <v>183</v>
      </c>
      <c r="O163" s="7" t="s">
        <v>188</v>
      </c>
      <c r="P163" s="7" t="s">
        <v>189</v>
      </c>
      <c r="Q163" s="7" t="s">
        <v>190</v>
      </c>
    </row>
    <row r="164" customFormat="false" ht="14.25" hidden="false" customHeight="true" outlineLevel="0" collapsed="false">
      <c r="A164" s="8" t="str">
        <f aca="false">parametros_manuales!$B$19</f>
        <v>Recepción de materia prima</v>
      </c>
      <c r="B164" s="9" t="n">
        <f aca="false">(parametros_manuales!$D$19*(datos_base!$H$2+datos_base!$H$18+IF(parametros_manuales!$H$19="Todos",datos_base!$H$9+datos_base!$H$23,0))*parametros_manuales!$B$95+parametros_manuales!$E$19*(datos_base!$H$3+datos_base!$H$19+IF(parametros_manuales!$H$19="Todos",datos_base!$H$10+datos_base!$H$24,0))*parametros_manuales!$B$100+parametros_manuales!$F$19*(datos_base!$H$4+datos_base!$H$20+IF(parametros_manuales!$H$19="Todos",datos_base!$H$11+datos_base!$H$25,0))*parametros_manuales!$B$105+parametros_manuales!$G$19*(datos_base!$H$5+datos_base!$H$21+IF(parametros_manuales!$H$19="Todos",datos_base!$H$12+datos_base!$H$26,0))*parametros_manuales!$B$110)*parametros_manuales!$I$19*parametros_manuales!$J$19</f>
        <v>15370.04422521</v>
      </c>
      <c r="C164" s="9" t="n">
        <f aca="false">(parametros_manuales!$D$19*(datos_base!$H$2+datos_base!$H$18+IF(parametros_manuales!$H$19="Todos",datos_base!$H$9+datos_base!$H$23,0))*parametros_manuales!$C$95+parametros_manuales!$E$19*(datos_base!$H$3+datos_base!$H$19+IF(parametros_manuales!$H$19="Todos",datos_base!$H$10+datos_base!$H$24,0))*parametros_manuales!$C$100+parametros_manuales!$F$19*(datos_base!$H$4+datos_base!$H$20+IF(parametros_manuales!$H$19="Todos",datos_base!$H$11+datos_base!$H$25,0))*parametros_manuales!$C$105+parametros_manuales!$G$19*(datos_base!$H$5+datos_base!$H$21+IF(parametros_manuales!$H$19="Todos",datos_base!$H$12+datos_base!$H$26,0))*parametros_manuales!$C$110)*parametros_manuales!$I$19*parametros_manuales!$J$19</f>
        <v>14878.99306612</v>
      </c>
      <c r="D164" s="9" t="n">
        <f aca="false">(parametros_manuales!$D$19*(datos_base!$H$2+datos_base!$H$18+IF(parametros_manuales!$H$19="Todos",datos_base!$H$9+datos_base!$H$23,0))*parametros_manuales!$D$95+parametros_manuales!$E$19*(datos_base!$H$3+datos_base!$H$19+IF(parametros_manuales!$H$19="Todos",datos_base!$H$10+datos_base!$H$24,0))*parametros_manuales!$D$100+parametros_manuales!$F$19*(datos_base!$H$4+datos_base!$H$20+IF(parametros_manuales!$H$19="Todos",datos_base!$H$11+datos_base!$H$25,0))*parametros_manuales!$D$105+parametros_manuales!$G$19*(datos_base!$H$5+datos_base!$H$21+IF(parametros_manuales!$H$19="Todos",datos_base!$H$12+datos_base!$H$26,0))*parametros_manuales!$D$110)*parametros_manuales!$I$19*parametros_manuales!$J$19</f>
        <v>13907.787113065</v>
      </c>
      <c r="E164" s="9" t="n">
        <f aca="false">(parametros_manuales!$D$19*(datos_base!$H$2+datos_base!$H$18+IF(parametros_manuales!$H$19="Todos",datos_base!$H$9+datos_base!$H$23,0))*parametros_manuales!$E$95+parametros_manuales!$E$19*(datos_base!$H$3+datos_base!$H$19+IF(parametros_manuales!$H$19="Todos",datos_base!$H$10+datos_base!$H$24,0))*parametros_manuales!$E$100+parametros_manuales!$F$19*(datos_base!$H$4+datos_base!$H$20+IF(parametros_manuales!$H$19="Todos",datos_base!$H$11+datos_base!$H$25,0))*parametros_manuales!$E$105+parametros_manuales!$G$19*(datos_base!$H$5+datos_base!$H$21+IF(parametros_manuales!$H$19="Todos",datos_base!$H$12+datos_base!$H$26,0))*parametros_manuales!$E$110)*parametros_manuales!$I$19*parametros_manuales!$J$19</f>
        <v>13299.421346765</v>
      </c>
      <c r="F164" s="9" t="n">
        <f aca="false">(parametros_manuales!$D$19*(datos_base!$H$2+datos_base!$H$18+IF(parametros_manuales!$H$19="Todos",datos_base!$H$9+datos_base!$H$23,0))*parametros_manuales!$F$95+parametros_manuales!$E$19*(datos_base!$H$3+datos_base!$H$19+IF(parametros_manuales!$H$19="Todos",datos_base!$H$10+datos_base!$H$24,0))*parametros_manuales!$F$100+parametros_manuales!$F$19*(datos_base!$H$4+datos_base!$H$20+IF(parametros_manuales!$H$19="Todos",datos_base!$H$11+datos_base!$H$25,0))*parametros_manuales!$F$105+parametros_manuales!$G$19*(datos_base!$H$5+datos_base!$H$21+IF(parametros_manuales!$H$19="Todos",datos_base!$H$12+datos_base!$H$26,0))*parametros_manuales!$F$110)*parametros_manuales!$I$19*parametros_manuales!$J$19</f>
        <v>12445.53000092</v>
      </c>
      <c r="G164" s="9" t="n">
        <f aca="false">(parametros_manuales!$D$19*(datos_base!$H$2+datos_base!$H$18+IF(parametros_manuales!$H$19="Todos",datos_base!$H$9+datos_base!$H$23,0))*parametros_manuales!$G$95+parametros_manuales!$E$19*(datos_base!$H$3+datos_base!$H$19+IF(parametros_manuales!$H$19="Todos",datos_base!$H$10+datos_base!$H$24,0))*parametros_manuales!$G$100+parametros_manuales!$F$19*(datos_base!$H$4+datos_base!$H$20+IF(parametros_manuales!$H$19="Todos",datos_base!$H$11+datos_base!$H$25,0))*parametros_manuales!$G$105+parametros_manuales!$G$19*(datos_base!$H$5+datos_base!$H$21+IF(parametros_manuales!$H$19="Todos",datos_base!$H$12+datos_base!$H$26,0))*parametros_manuales!$G$110)*parametros_manuales!$I$19*parametros_manuales!$J$19</f>
        <v>12200.004421375</v>
      </c>
      <c r="H164" s="9" t="n">
        <f aca="false">(parametros_manuales!$D$19*(datos_base!$H$2+datos_base!$H$18+IF(parametros_manuales!$H$19="Todos",datos_base!$H$9+datos_base!$H$23,0))*parametros_manuales!$H$95+parametros_manuales!$E$19*(datos_base!$H$3+datos_base!$H$19+IF(parametros_manuales!$H$19="Todos",datos_base!$H$10+datos_base!$H$24,0))*parametros_manuales!$H$100+parametros_manuales!$F$19*(datos_base!$H$4+datos_base!$H$20+IF(parametros_manuales!$H$19="Todos",datos_base!$H$11+datos_base!$H$25,0))*parametros_manuales!$H$105+parametros_manuales!$G$19*(datos_base!$H$5+datos_base!$H$21+IF(parametros_manuales!$H$19="Todos",datos_base!$H$12+datos_base!$H$26,0))*parametros_manuales!$H$110)*parametros_manuales!$I$19*parametros_manuales!$J$19</f>
        <v>13053.89576722</v>
      </c>
      <c r="I164" s="9" t="n">
        <f aca="false">(parametros_manuales!$D$19*(datos_base!$H$2+datos_base!$H$18+IF(parametros_manuales!$H$19="Todos",datos_base!$H$9+datos_base!$H$23,0))*parametros_manuales!$I$95+parametros_manuales!$E$19*(datos_base!$H$3+datos_base!$H$19+IF(parametros_manuales!$H$19="Todos",datos_base!$H$10+datos_base!$H$24,0))*parametros_manuales!$I$100+parametros_manuales!$F$19*(datos_base!$H$4+datos_base!$H$20+IF(parametros_manuales!$H$19="Todos",datos_base!$H$11+datos_base!$H$25,0))*parametros_manuales!$I$105+parametros_manuales!$G$19*(datos_base!$H$5+datos_base!$H$21+IF(parametros_manuales!$H$19="Todos",datos_base!$H$12+datos_base!$H$26,0))*parametros_manuales!$I$110)*parametros_manuales!$I$19*parametros_manuales!$J$19</f>
        <v>14878.99306612</v>
      </c>
      <c r="J164" s="9" t="n">
        <f aca="false">(parametros_manuales!$D$19*(datos_base!$H$2+datos_base!$H$18+IF(parametros_manuales!$H$19="Todos",datos_base!$H$9+datos_base!$H$23,0))*parametros_manuales!$J$95+parametros_manuales!$E$19*(datos_base!$H$3+datos_base!$H$19+IF(parametros_manuales!$H$19="Todos",datos_base!$H$10+datos_base!$H$24,0))*parametros_manuales!$J$100+parametros_manuales!$F$19*(datos_base!$H$4+datos_base!$H$20+IF(parametros_manuales!$H$19="Todos",datos_base!$H$11+datos_base!$H$25,0))*parametros_manuales!$J$105+parametros_manuales!$G$19*(datos_base!$H$5+datos_base!$H$21+IF(parametros_manuales!$H$19="Todos",datos_base!$H$12+datos_base!$H$26,0))*parametros_manuales!$J$110)*parametros_manuales!$I$19*parametros_manuales!$J$19</f>
        <v>14878.99306612</v>
      </c>
      <c r="K164" s="9" t="n">
        <f aca="false">(parametros_manuales!$D$19*(datos_base!$H$2+datos_base!$H$18+IF(parametros_manuales!$H$19="Todos",datos_base!$H$9+datos_base!$H$23,0))*parametros_manuales!$K$95+parametros_manuales!$E$19*(datos_base!$H$3+datos_base!$H$19+IF(parametros_manuales!$H$19="Todos",datos_base!$H$10+datos_base!$H$24,0))*parametros_manuales!$K$100+parametros_manuales!$F$19*(datos_base!$H$4+datos_base!$H$20+IF(parametros_manuales!$H$19="Todos",datos_base!$H$11+datos_base!$H$25,0))*parametros_manuales!$K$105+parametros_manuales!$G$19*(datos_base!$H$5+datos_base!$H$21+IF(parametros_manuales!$H$19="Todos",datos_base!$H$12+datos_base!$H$26,0))*parametros_manuales!$K$110)*parametros_manuales!$I$19*parametros_manuales!$J$19</f>
        <v>15124.518645665</v>
      </c>
      <c r="L164" s="9" t="n">
        <f aca="false">(parametros_manuales!$D$19*(datos_base!$H$2+datos_base!$H$18+IF(parametros_manuales!$H$19="Todos",datos_base!$H$9+datos_base!$H$23,0))*parametros_manuales!$L$95+parametros_manuales!$E$19*(datos_base!$H$3+datos_base!$H$19+IF(parametros_manuales!$H$19="Todos",datos_base!$H$10+datos_base!$H$24,0))*parametros_manuales!$L$100+parametros_manuales!$F$19*(datos_base!$H$4+datos_base!$H$20+IF(parametros_manuales!$H$19="Todos",datos_base!$H$11+datos_base!$H$25,0))*parametros_manuales!$L$105+parametros_manuales!$G$19*(datos_base!$H$5+datos_base!$H$21+IF(parametros_manuales!$H$19="Todos",datos_base!$H$12+datos_base!$H$26,0))*parametros_manuales!$L$110)*parametros_manuales!$I$19*parametros_manuales!$J$19</f>
        <v>15370.04422521</v>
      </c>
      <c r="M164" s="9" t="n">
        <f aca="false">(parametros_manuales!$D$19*(datos_base!$H$2+datos_base!$H$18+IF(parametros_manuales!$H$19="Todos",datos_base!$H$9+datos_base!$H$23,0))*parametros_manuales!$M$95+parametros_manuales!$E$19*(datos_base!$H$3+datos_base!$H$19+IF(parametros_manuales!$H$19="Todos",datos_base!$H$10+datos_base!$H$24,0))*parametros_manuales!$M$100+parametros_manuales!$F$19*(datos_base!$H$4+datos_base!$H$20+IF(parametros_manuales!$H$19="Todos",datos_base!$H$11+datos_base!$H$25,0))*parametros_manuales!$M$105+parametros_manuales!$G$19*(datos_base!$H$5+datos_base!$H$21+IF(parametros_manuales!$H$19="Todos",datos_base!$H$12+datos_base!$H$26,0))*parametros_manuales!$M$110)*parametros_manuales!$I$19*parametros_manuales!$J$19</f>
        <v>15370.04422521</v>
      </c>
      <c r="N164" s="9" t="n">
        <f aca="false">SUM(B164:M164)</f>
        <v>170778.269169</v>
      </c>
      <c r="O164" s="9" t="n">
        <f aca="false">MAX(B164:M164)</f>
        <v>15370.04422521</v>
      </c>
      <c r="P164" s="43" t="n">
        <f aca="false">O164/(parametros_manuales!$B$7)</f>
        <v>102.4669615014</v>
      </c>
      <c r="Q164" s="8" t="str">
        <f aca="false">IF(O164=0,"-",INDEX($B$163:$M$163,MATCH(O164,B164:M164,0)))</f>
        <v>Ene</v>
      </c>
    </row>
    <row r="165" customFormat="false" ht="14.25" hidden="false" customHeight="true" outlineLevel="0" collapsed="false">
      <c r="A165" s="8" t="str">
        <f aca="false">parametros_manuales!$B$20</f>
        <v>Corte de chapa (guillotina) — 2,5 a 10 kg</v>
      </c>
      <c r="B165" s="9" t="n">
        <f aca="false">(parametros_manuales!$D$20*(datos_base!$H$2+datos_base!$H$18+IF(parametros_manuales!$H$20="Todos",datos_base!$H$9+datos_base!$H$23,0))*parametros_manuales!$B$95+parametros_manuales!$E$20*(datos_base!$H$3+datos_base!$H$19+IF(parametros_manuales!$H$20="Todos",datos_base!$H$10+datos_base!$H$24,0))*parametros_manuales!$B$100+parametros_manuales!$F$20*(datos_base!$H$4+datos_base!$H$20+IF(parametros_manuales!$H$20="Todos",datos_base!$H$11+datos_base!$H$25,0))*parametros_manuales!$B$105+parametros_manuales!$G$20*(datos_base!$H$5+datos_base!$H$21+IF(parametros_manuales!$H$20="Todos",datos_base!$H$12+datos_base!$H$26,0))*parametros_manuales!$B$110)*parametros_manuales!$I$20*parametros_manuales!$J$20</f>
        <v>4419.46043181</v>
      </c>
      <c r="C165" s="9" t="n">
        <f aca="false">(parametros_manuales!$D$20*(datos_base!$H$2+datos_base!$H$18+IF(parametros_manuales!$H$20="Todos",datos_base!$H$9+datos_base!$H$23,0))*parametros_manuales!$C$95+parametros_manuales!$E$20*(datos_base!$H$3+datos_base!$H$19+IF(parametros_manuales!$H$20="Todos",datos_base!$H$10+datos_base!$H$24,0))*parametros_manuales!$C$100+parametros_manuales!$F$20*(datos_base!$H$4+datos_base!$H$20+IF(parametros_manuales!$H$20="Todos",datos_base!$H$11+datos_base!$H$25,0))*parametros_manuales!$C$105+parametros_manuales!$G$20*(datos_base!$H$5+datos_base!$H$21+IF(parametros_manuales!$H$20="Todos",datos_base!$H$12+datos_base!$H$26,0))*parametros_manuales!$C$110)*parametros_manuales!$I$20*parametros_manuales!$J$20</f>
        <v>3928.40927272</v>
      </c>
      <c r="D165" s="9" t="n">
        <f aca="false">(parametros_manuales!$D$20*(datos_base!$H$2+datos_base!$H$18+IF(parametros_manuales!$H$20="Todos",datos_base!$H$9+datos_base!$H$23,0))*parametros_manuales!$D$95+parametros_manuales!$E$20*(datos_base!$H$3+datos_base!$H$19+IF(parametros_manuales!$H$20="Todos",datos_base!$H$10+datos_base!$H$24,0))*parametros_manuales!$D$100+parametros_manuales!$F$20*(datos_base!$H$4+datos_base!$H$20+IF(parametros_manuales!$H$20="Todos",datos_base!$H$11+datos_base!$H$25,0))*parametros_manuales!$D$105+parametros_manuales!$G$20*(datos_base!$H$5+datos_base!$H$21+IF(parametros_manuales!$H$20="Todos",datos_base!$H$12+datos_base!$H$26,0))*parametros_manuales!$D$110)*parametros_manuales!$I$20*parametros_manuales!$J$20</f>
        <v>4173.934852265</v>
      </c>
      <c r="E165" s="9" t="n">
        <f aca="false">(parametros_manuales!$D$20*(datos_base!$H$2+datos_base!$H$18+IF(parametros_manuales!$H$20="Todos",datos_base!$H$9+datos_base!$H$23,0))*parametros_manuales!$E$95+parametros_manuales!$E$20*(datos_base!$H$3+datos_base!$H$19+IF(parametros_manuales!$H$20="Todos",datos_base!$H$10+datos_base!$H$24,0))*parametros_manuales!$E$100+parametros_manuales!$F$20*(datos_base!$H$4+datos_base!$H$20+IF(parametros_manuales!$H$20="Todos",datos_base!$H$11+datos_base!$H$25,0))*parametros_manuales!$E$105+parametros_manuales!$G$20*(datos_base!$H$5+datos_base!$H$21+IF(parametros_manuales!$H$20="Todos",datos_base!$H$12+datos_base!$H$26,0))*parametros_manuales!$E$110)*parametros_manuales!$I$20*parametros_manuales!$J$20</f>
        <v>4173.934852265</v>
      </c>
      <c r="F165" s="9" t="n">
        <f aca="false">(parametros_manuales!$D$20*(datos_base!$H$2+datos_base!$H$18+IF(parametros_manuales!$H$20="Todos",datos_base!$H$9+datos_base!$H$23,0))*parametros_manuales!$F$95+parametros_manuales!$E$20*(datos_base!$H$3+datos_base!$H$19+IF(parametros_manuales!$H$20="Todos",datos_base!$H$10+datos_base!$H$24,0))*parametros_manuales!$F$100+parametros_manuales!$F$20*(datos_base!$H$4+datos_base!$H$20+IF(parametros_manuales!$H$20="Todos",datos_base!$H$11+datos_base!$H$25,0))*parametros_manuales!$F$105+parametros_manuales!$G$20*(datos_base!$H$5+datos_base!$H$21+IF(parametros_manuales!$H$20="Todos",datos_base!$H$12+datos_base!$H$26,0))*parametros_manuales!$F$110)*parametros_manuales!$I$20*parametros_manuales!$J$20</f>
        <v>3928.40927272</v>
      </c>
      <c r="G165" s="9" t="n">
        <f aca="false">(parametros_manuales!$D$20*(datos_base!$H$2+datos_base!$H$18+IF(parametros_manuales!$H$20="Todos",datos_base!$H$9+datos_base!$H$23,0))*parametros_manuales!$G$95+parametros_manuales!$E$20*(datos_base!$H$3+datos_base!$H$19+IF(parametros_manuales!$H$20="Todos",datos_base!$H$10+datos_base!$H$24,0))*parametros_manuales!$G$100+parametros_manuales!$F$20*(datos_base!$H$4+datos_base!$H$20+IF(parametros_manuales!$H$20="Todos",datos_base!$H$11+datos_base!$H$25,0))*parametros_manuales!$G$105+parametros_manuales!$G$20*(datos_base!$H$5+datos_base!$H$21+IF(parametros_manuales!$H$20="Todos",datos_base!$H$12+datos_base!$H$26,0))*parametros_manuales!$G$110)*parametros_manuales!$I$20*parametros_manuales!$J$20</f>
        <v>3682.883693175</v>
      </c>
      <c r="H165" s="9" t="n">
        <f aca="false">(parametros_manuales!$D$20*(datos_base!$H$2+datos_base!$H$18+IF(parametros_manuales!$H$20="Todos",datos_base!$H$9+datos_base!$H$23,0))*parametros_manuales!$H$95+parametros_manuales!$E$20*(datos_base!$H$3+datos_base!$H$19+IF(parametros_manuales!$H$20="Todos",datos_base!$H$10+datos_base!$H$24,0))*parametros_manuales!$H$100+parametros_manuales!$F$20*(datos_base!$H$4+datos_base!$H$20+IF(parametros_manuales!$H$20="Todos",datos_base!$H$11+datos_base!$H$25,0))*parametros_manuales!$H$105+parametros_manuales!$G$20*(datos_base!$H$5+datos_base!$H$21+IF(parametros_manuales!$H$20="Todos",datos_base!$H$12+datos_base!$H$26,0))*parametros_manuales!$H$110)*parametros_manuales!$I$20*parametros_manuales!$J$20</f>
        <v>3928.40927272</v>
      </c>
      <c r="I165" s="9" t="n">
        <f aca="false">(parametros_manuales!$D$20*(datos_base!$H$2+datos_base!$H$18+IF(parametros_manuales!$H$20="Todos",datos_base!$H$9+datos_base!$H$23,0))*parametros_manuales!$I$95+parametros_manuales!$E$20*(datos_base!$H$3+datos_base!$H$19+IF(parametros_manuales!$H$20="Todos",datos_base!$H$10+datos_base!$H$24,0))*parametros_manuales!$I$100+parametros_manuales!$F$20*(datos_base!$H$4+datos_base!$H$20+IF(parametros_manuales!$H$20="Todos",datos_base!$H$11+datos_base!$H$25,0))*parametros_manuales!$I$105+parametros_manuales!$G$20*(datos_base!$H$5+datos_base!$H$21+IF(parametros_manuales!$H$20="Todos",datos_base!$H$12+datos_base!$H$26,0))*parametros_manuales!$I$110)*parametros_manuales!$I$20*parametros_manuales!$J$20</f>
        <v>3928.40927272</v>
      </c>
      <c r="J165" s="9" t="n">
        <f aca="false">(parametros_manuales!$D$20*(datos_base!$H$2+datos_base!$H$18+IF(parametros_manuales!$H$20="Todos",datos_base!$H$9+datos_base!$H$23,0))*parametros_manuales!$J$95+parametros_manuales!$E$20*(datos_base!$H$3+datos_base!$H$19+IF(parametros_manuales!$H$20="Todos",datos_base!$H$10+datos_base!$H$24,0))*parametros_manuales!$J$100+parametros_manuales!$F$20*(datos_base!$H$4+datos_base!$H$20+IF(parametros_manuales!$H$20="Todos",datos_base!$H$11+datos_base!$H$25,0))*parametros_manuales!$J$105+parametros_manuales!$G$20*(datos_base!$H$5+datos_base!$H$21+IF(parametros_manuales!$H$20="Todos",datos_base!$H$12+datos_base!$H$26,0))*parametros_manuales!$J$110)*parametros_manuales!$I$20*parametros_manuales!$J$20</f>
        <v>3928.40927272</v>
      </c>
      <c r="K165" s="9" t="n">
        <f aca="false">(parametros_manuales!$D$20*(datos_base!$H$2+datos_base!$H$18+IF(parametros_manuales!$H$20="Todos",datos_base!$H$9+datos_base!$H$23,0))*parametros_manuales!$K$95+parametros_manuales!$E$20*(datos_base!$H$3+datos_base!$H$19+IF(parametros_manuales!$H$20="Todos",datos_base!$H$10+datos_base!$H$24,0))*parametros_manuales!$K$100+parametros_manuales!$F$20*(datos_base!$H$4+datos_base!$H$20+IF(parametros_manuales!$H$20="Todos",datos_base!$H$11+datos_base!$H$25,0))*parametros_manuales!$K$105+parametros_manuales!$G$20*(datos_base!$H$5+datos_base!$H$21+IF(parametros_manuales!$H$20="Todos",datos_base!$H$12+datos_base!$H$26,0))*parametros_manuales!$K$110)*parametros_manuales!$I$20*parametros_manuales!$J$20</f>
        <v>4173.934852265</v>
      </c>
      <c r="L165" s="9" t="n">
        <f aca="false">(parametros_manuales!$D$20*(datos_base!$H$2+datos_base!$H$18+IF(parametros_manuales!$H$20="Todos",datos_base!$H$9+datos_base!$H$23,0))*parametros_manuales!$L$95+parametros_manuales!$E$20*(datos_base!$H$3+datos_base!$H$19+IF(parametros_manuales!$H$20="Todos",datos_base!$H$10+datos_base!$H$24,0))*parametros_manuales!$L$100+parametros_manuales!$F$20*(datos_base!$H$4+datos_base!$H$20+IF(parametros_manuales!$H$20="Todos",datos_base!$H$11+datos_base!$H$25,0))*parametros_manuales!$L$105+parametros_manuales!$G$20*(datos_base!$H$5+datos_base!$H$21+IF(parametros_manuales!$H$20="Todos",datos_base!$H$12+datos_base!$H$26,0))*parametros_manuales!$L$110)*parametros_manuales!$I$20*parametros_manuales!$J$20</f>
        <v>4419.46043181</v>
      </c>
      <c r="M165" s="9" t="n">
        <f aca="false">(parametros_manuales!$D$20*(datos_base!$H$2+datos_base!$H$18+IF(parametros_manuales!$H$20="Todos",datos_base!$H$9+datos_base!$H$23,0))*parametros_manuales!$M$95+parametros_manuales!$E$20*(datos_base!$H$3+datos_base!$H$19+IF(parametros_manuales!$H$20="Todos",datos_base!$H$10+datos_base!$H$24,0))*parametros_manuales!$M$100+parametros_manuales!$F$20*(datos_base!$H$4+datos_base!$H$20+IF(parametros_manuales!$H$20="Todos",datos_base!$H$11+datos_base!$H$25,0))*parametros_manuales!$M$105+parametros_manuales!$G$20*(datos_base!$H$5+datos_base!$H$21+IF(parametros_manuales!$H$20="Todos",datos_base!$H$12+datos_base!$H$26,0))*parametros_manuales!$M$110)*parametros_manuales!$I$20*parametros_manuales!$J$20</f>
        <v>4419.46043181</v>
      </c>
      <c r="N165" s="9" t="n">
        <f aca="false">SUM(B165:M165)</f>
        <v>49105.115909</v>
      </c>
      <c r="O165" s="9" t="n">
        <f aca="false">MAX(B165:M165)</f>
        <v>4419.46043181</v>
      </c>
      <c r="P165" s="43" t="n">
        <f aca="false">O165/(parametros_manuales!$B$7)</f>
        <v>29.4630695454</v>
      </c>
      <c r="Q165" s="8" t="str">
        <f aca="false">IF(O165=0,"-",INDEX($B$163:$M$163,MATCH(O165,B165:M165,0)))</f>
        <v>Ene</v>
      </c>
    </row>
    <row r="166" customFormat="false" ht="14.25" hidden="false" customHeight="true" outlineLevel="0" collapsed="false">
      <c r="A166" s="8" t="str">
        <f aca="false">parametros_manuales!$B$21</f>
        <v>Corte de tubo — 1 kg</v>
      </c>
      <c r="B166" s="9" t="n">
        <f aca="false">(parametros_manuales!$D$21*(datos_base!$H$2+datos_base!$H$18+IF(parametros_manuales!$H$21="Todos",datos_base!$H$9+datos_base!$H$23,0))*parametros_manuales!$B$95+parametros_manuales!$E$21*(datos_base!$H$3+datos_base!$H$19+IF(parametros_manuales!$H$21="Todos",datos_base!$H$10+datos_base!$H$24,0))*parametros_manuales!$B$100+parametros_manuales!$F$21*(datos_base!$H$4+datos_base!$H$20+IF(parametros_manuales!$H$21="Todos",datos_base!$H$11+datos_base!$H$25,0))*parametros_manuales!$B$105+parametros_manuales!$G$21*(datos_base!$H$5+datos_base!$H$21+IF(parametros_manuales!$H$21="Todos",datos_base!$H$12+datos_base!$H$26,0))*parametros_manuales!$B$110)*parametros_manuales!$I$21*parametros_manuales!$J$21</f>
        <v>10950.5837934</v>
      </c>
      <c r="C166" s="9" t="n">
        <f aca="false">(parametros_manuales!$D$21*(datos_base!$H$2+datos_base!$H$18+IF(parametros_manuales!$H$21="Todos",datos_base!$H$9+datos_base!$H$23,0))*parametros_manuales!$C$95+parametros_manuales!$E$21*(datos_base!$H$3+datos_base!$H$19+IF(parametros_manuales!$H$21="Todos",datos_base!$H$10+datos_base!$H$24,0))*parametros_manuales!$C$100+parametros_manuales!$F$21*(datos_base!$H$4+datos_base!$H$20+IF(parametros_manuales!$H$21="Todos",datos_base!$H$11+datos_base!$H$25,0))*parametros_manuales!$C$105+parametros_manuales!$G$21*(datos_base!$H$5+datos_base!$H$21+IF(parametros_manuales!$H$21="Todos",datos_base!$H$12+datos_base!$H$26,0))*parametros_manuales!$C$110)*parametros_manuales!$I$21*parametros_manuales!$J$21</f>
        <v>10950.5837934</v>
      </c>
      <c r="D166" s="9" t="n">
        <f aca="false">(parametros_manuales!$D$21*(datos_base!$H$2+datos_base!$H$18+IF(parametros_manuales!$H$21="Todos",datos_base!$H$9+datos_base!$H$23,0))*parametros_manuales!$D$95+parametros_manuales!$E$21*(datos_base!$H$3+datos_base!$H$19+IF(parametros_manuales!$H$21="Todos",datos_base!$H$10+datos_base!$H$24,0))*parametros_manuales!$D$100+parametros_manuales!$F$21*(datos_base!$H$4+datos_base!$H$20+IF(parametros_manuales!$H$21="Todos",datos_base!$H$11+datos_base!$H$25,0))*parametros_manuales!$D$105+parametros_manuales!$G$21*(datos_base!$H$5+datos_base!$H$21+IF(parametros_manuales!$H$21="Todos",datos_base!$H$12+datos_base!$H$26,0))*parametros_manuales!$D$110)*parametros_manuales!$I$21*parametros_manuales!$J$21</f>
        <v>9733.8522608</v>
      </c>
      <c r="E166" s="9" t="n">
        <f aca="false">(parametros_manuales!$D$21*(datos_base!$H$2+datos_base!$H$18+IF(parametros_manuales!$H$21="Todos",datos_base!$H$9+datos_base!$H$23,0))*parametros_manuales!$E$95+parametros_manuales!$E$21*(datos_base!$H$3+datos_base!$H$19+IF(parametros_manuales!$H$21="Todos",datos_base!$H$10+datos_base!$H$24,0))*parametros_manuales!$E$100+parametros_manuales!$F$21*(datos_base!$H$4+datos_base!$H$20+IF(parametros_manuales!$H$21="Todos",datos_base!$H$11+datos_base!$H$25,0))*parametros_manuales!$E$105+parametros_manuales!$G$21*(datos_base!$H$5+datos_base!$H$21+IF(parametros_manuales!$H$21="Todos",datos_base!$H$12+datos_base!$H$26,0))*parametros_manuales!$E$110)*parametros_manuales!$I$21*parametros_manuales!$J$21</f>
        <v>9125.4864945</v>
      </c>
      <c r="F166" s="9" t="n">
        <f aca="false">(parametros_manuales!$D$21*(datos_base!$H$2+datos_base!$H$18+IF(parametros_manuales!$H$21="Todos",datos_base!$H$9+datos_base!$H$23,0))*parametros_manuales!$F$95+parametros_manuales!$E$21*(datos_base!$H$3+datos_base!$H$19+IF(parametros_manuales!$H$21="Todos",datos_base!$H$10+datos_base!$H$24,0))*parametros_manuales!$F$100+parametros_manuales!$F$21*(datos_base!$H$4+datos_base!$H$20+IF(parametros_manuales!$H$21="Todos",datos_base!$H$11+datos_base!$H$25,0))*parametros_manuales!$F$105+parametros_manuales!$G$21*(datos_base!$H$5+datos_base!$H$21+IF(parametros_manuales!$H$21="Todos",datos_base!$H$12+datos_base!$H$26,0))*parametros_manuales!$F$110)*parametros_manuales!$I$21*parametros_manuales!$J$21</f>
        <v>8517.1207282</v>
      </c>
      <c r="G166" s="9" t="n">
        <f aca="false">(parametros_manuales!$D$21*(datos_base!$H$2+datos_base!$H$18+IF(parametros_manuales!$H$21="Todos",datos_base!$H$9+datos_base!$H$23,0))*parametros_manuales!$G$95+parametros_manuales!$E$21*(datos_base!$H$3+datos_base!$H$19+IF(parametros_manuales!$H$21="Todos",datos_base!$H$10+datos_base!$H$24,0))*parametros_manuales!$G$100+parametros_manuales!$F$21*(datos_base!$H$4+datos_base!$H$20+IF(parametros_manuales!$H$21="Todos",datos_base!$H$11+datos_base!$H$25,0))*parametros_manuales!$G$105+parametros_manuales!$G$21*(datos_base!$H$5+datos_base!$H$21+IF(parametros_manuales!$H$21="Todos",datos_base!$H$12+datos_base!$H$26,0))*parametros_manuales!$G$110)*parametros_manuales!$I$21*parametros_manuales!$J$21</f>
        <v>8517.1207282</v>
      </c>
      <c r="H166" s="9" t="n">
        <f aca="false">(parametros_manuales!$D$21*(datos_base!$H$2+datos_base!$H$18+IF(parametros_manuales!$H$21="Todos",datos_base!$H$9+datos_base!$H$23,0))*parametros_manuales!$H$95+parametros_manuales!$E$21*(datos_base!$H$3+datos_base!$H$19+IF(parametros_manuales!$H$21="Todos",datos_base!$H$10+datos_base!$H$24,0))*parametros_manuales!$H$100+parametros_manuales!$F$21*(datos_base!$H$4+datos_base!$H$20+IF(parametros_manuales!$H$21="Todos",datos_base!$H$11+datos_base!$H$25,0))*parametros_manuales!$H$105+parametros_manuales!$G$21*(datos_base!$H$5+datos_base!$H$21+IF(parametros_manuales!$H$21="Todos",datos_base!$H$12+datos_base!$H$26,0))*parametros_manuales!$H$110)*parametros_manuales!$I$21*parametros_manuales!$J$21</f>
        <v>9125.4864945</v>
      </c>
      <c r="I166" s="9" t="n">
        <f aca="false">(parametros_manuales!$D$21*(datos_base!$H$2+datos_base!$H$18+IF(parametros_manuales!$H$21="Todos",datos_base!$H$9+datos_base!$H$23,0))*parametros_manuales!$I$95+parametros_manuales!$E$21*(datos_base!$H$3+datos_base!$H$19+IF(parametros_manuales!$H$21="Todos",datos_base!$H$10+datos_base!$H$24,0))*parametros_manuales!$I$100+parametros_manuales!$F$21*(datos_base!$H$4+datos_base!$H$20+IF(parametros_manuales!$H$21="Todos",datos_base!$H$11+datos_base!$H$25,0))*parametros_manuales!$I$105+parametros_manuales!$G$21*(datos_base!$H$5+datos_base!$H$21+IF(parametros_manuales!$H$21="Todos",datos_base!$H$12+datos_base!$H$26,0))*parametros_manuales!$I$110)*parametros_manuales!$I$21*parametros_manuales!$J$21</f>
        <v>10950.5837934</v>
      </c>
      <c r="J166" s="9" t="n">
        <f aca="false">(parametros_manuales!$D$21*(datos_base!$H$2+datos_base!$H$18+IF(parametros_manuales!$H$21="Todos",datos_base!$H$9+datos_base!$H$23,0))*parametros_manuales!$J$95+parametros_manuales!$E$21*(datos_base!$H$3+datos_base!$H$19+IF(parametros_manuales!$H$21="Todos",datos_base!$H$10+datos_base!$H$24,0))*parametros_manuales!$J$100+parametros_manuales!$F$21*(datos_base!$H$4+datos_base!$H$20+IF(parametros_manuales!$H$21="Todos",datos_base!$H$11+datos_base!$H$25,0))*parametros_manuales!$J$105+parametros_manuales!$G$21*(datos_base!$H$5+datos_base!$H$21+IF(parametros_manuales!$H$21="Todos",datos_base!$H$12+datos_base!$H$26,0))*parametros_manuales!$J$110)*parametros_manuales!$I$21*parametros_manuales!$J$21</f>
        <v>10950.5837934</v>
      </c>
      <c r="K166" s="9" t="n">
        <f aca="false">(parametros_manuales!$D$21*(datos_base!$H$2+datos_base!$H$18+IF(parametros_manuales!$H$21="Todos",datos_base!$H$9+datos_base!$H$23,0))*parametros_manuales!$K$95+parametros_manuales!$E$21*(datos_base!$H$3+datos_base!$H$19+IF(parametros_manuales!$H$21="Todos",datos_base!$H$10+datos_base!$H$24,0))*parametros_manuales!$K$100+parametros_manuales!$F$21*(datos_base!$H$4+datos_base!$H$20+IF(parametros_manuales!$H$21="Todos",datos_base!$H$11+datos_base!$H$25,0))*parametros_manuales!$K$105+parametros_manuales!$G$21*(datos_base!$H$5+datos_base!$H$21+IF(parametros_manuales!$H$21="Todos",datos_base!$H$12+datos_base!$H$26,0))*parametros_manuales!$K$110)*parametros_manuales!$I$21*parametros_manuales!$J$21</f>
        <v>10950.5837934</v>
      </c>
      <c r="L166" s="9" t="n">
        <f aca="false">(parametros_manuales!$D$21*(datos_base!$H$2+datos_base!$H$18+IF(parametros_manuales!$H$21="Todos",datos_base!$H$9+datos_base!$H$23,0))*parametros_manuales!$L$95+parametros_manuales!$E$21*(datos_base!$H$3+datos_base!$H$19+IF(parametros_manuales!$H$21="Todos",datos_base!$H$10+datos_base!$H$24,0))*parametros_manuales!$L$100+parametros_manuales!$F$21*(datos_base!$H$4+datos_base!$H$20+IF(parametros_manuales!$H$21="Todos",datos_base!$H$11+datos_base!$H$25,0))*parametros_manuales!$L$105+parametros_manuales!$G$21*(datos_base!$H$5+datos_base!$H$21+IF(parametros_manuales!$H$21="Todos",datos_base!$H$12+datos_base!$H$26,0))*parametros_manuales!$L$110)*parametros_manuales!$I$21*parametros_manuales!$J$21</f>
        <v>10950.5837934</v>
      </c>
      <c r="M166" s="9" t="n">
        <f aca="false">(parametros_manuales!$D$21*(datos_base!$H$2+datos_base!$H$18+IF(parametros_manuales!$H$21="Todos",datos_base!$H$9+datos_base!$H$23,0))*parametros_manuales!$M$95+parametros_manuales!$E$21*(datos_base!$H$3+datos_base!$H$19+IF(parametros_manuales!$H$21="Todos",datos_base!$H$10+datos_base!$H$24,0))*parametros_manuales!$M$100+parametros_manuales!$F$21*(datos_base!$H$4+datos_base!$H$20+IF(parametros_manuales!$H$21="Todos",datos_base!$H$11+datos_base!$H$25,0))*parametros_manuales!$M$105+parametros_manuales!$G$21*(datos_base!$H$5+datos_base!$H$21+IF(parametros_manuales!$H$21="Todos",datos_base!$H$12+datos_base!$H$26,0))*parametros_manuales!$M$110)*parametros_manuales!$I$21*parametros_manuales!$J$21</f>
        <v>10950.5837934</v>
      </c>
      <c r="N166" s="9" t="n">
        <f aca="false">SUM(B166:M166)</f>
        <v>121673.15326</v>
      </c>
      <c r="O166" s="9" t="n">
        <f aca="false">MAX(B166:M166)</f>
        <v>10950.5837934</v>
      </c>
      <c r="P166" s="43" t="n">
        <f aca="false">O166/(parametros_manuales!$B$7)</f>
        <v>73.003891956</v>
      </c>
      <c r="Q166" s="8" t="str">
        <f aca="false">IF(O166=0,"-",INDEX($B$163:$M$163,MATCH(O166,B166:M166,0)))</f>
        <v>Ene</v>
      </c>
    </row>
    <row r="167" customFormat="false" ht="14.25" hidden="false" customHeight="true" outlineLevel="0" collapsed="false">
      <c r="A167" s="8" t="str">
        <f aca="false">parametros_manuales!$B$22</f>
        <v>Corte de disco y embutido (cúpula y fondo)</v>
      </c>
      <c r="B167" s="9" t="n">
        <f aca="false">(parametros_manuales!$D$22*(datos_base!$H$2+datos_base!$H$18+IF(parametros_manuales!$H$22="Todos",datos_base!$H$9+datos_base!$H$23,0))*parametros_manuales!$B$95+parametros_manuales!$E$22*(datos_base!$H$3+datos_base!$H$19+IF(parametros_manuales!$H$22="Todos",datos_base!$H$10+datos_base!$H$24,0))*parametros_manuales!$B$100+parametros_manuales!$F$22*(datos_base!$H$4+datos_base!$H$20+IF(parametros_manuales!$H$22="Todos",datos_base!$H$11+datos_base!$H$25,0))*parametros_manuales!$B$105+parametros_manuales!$G$22*(datos_base!$H$5+datos_base!$H$21+IF(parametros_manuales!$H$22="Todos",datos_base!$H$12+datos_base!$H$26,0))*parametros_manuales!$B$110)*parametros_manuales!$I$22*parametros_manuales!$J$22</f>
        <v>30740.08845042</v>
      </c>
      <c r="C167" s="9" t="n">
        <f aca="false">(parametros_manuales!$D$22*(datos_base!$H$2+datos_base!$H$18+IF(parametros_manuales!$H$22="Todos",datos_base!$H$9+datos_base!$H$23,0))*parametros_manuales!$C$95+parametros_manuales!$E$22*(datos_base!$H$3+datos_base!$H$19+IF(parametros_manuales!$H$22="Todos",datos_base!$H$10+datos_base!$H$24,0))*parametros_manuales!$C$100+parametros_manuales!$F$22*(datos_base!$H$4+datos_base!$H$20+IF(parametros_manuales!$H$22="Todos",datos_base!$H$11+datos_base!$H$25,0))*parametros_manuales!$C$105+parametros_manuales!$G$22*(datos_base!$H$5+datos_base!$H$21+IF(parametros_manuales!$H$22="Todos",datos_base!$H$12+datos_base!$H$26,0))*parametros_manuales!$C$110)*parametros_manuales!$I$22*parametros_manuales!$J$22</f>
        <v>29757.98613224</v>
      </c>
      <c r="D167" s="9" t="n">
        <f aca="false">(parametros_manuales!$D$22*(datos_base!$H$2+datos_base!$H$18+IF(parametros_manuales!$H$22="Todos",datos_base!$H$9+datos_base!$H$23,0))*parametros_manuales!$D$95+parametros_manuales!$E$22*(datos_base!$H$3+datos_base!$H$19+IF(parametros_manuales!$H$22="Todos",datos_base!$H$10+datos_base!$H$24,0))*parametros_manuales!$D$100+parametros_manuales!$F$22*(datos_base!$H$4+datos_base!$H$20+IF(parametros_manuales!$H$22="Todos",datos_base!$H$11+datos_base!$H$25,0))*parametros_manuales!$D$105+parametros_manuales!$G$22*(datos_base!$H$5+datos_base!$H$21+IF(parametros_manuales!$H$22="Todos",datos_base!$H$12+datos_base!$H$26,0))*parametros_manuales!$D$110)*parametros_manuales!$I$22*parametros_manuales!$J$22</f>
        <v>27815.57422613</v>
      </c>
      <c r="E167" s="9" t="n">
        <f aca="false">(parametros_manuales!$D$22*(datos_base!$H$2+datos_base!$H$18+IF(parametros_manuales!$H$22="Todos",datos_base!$H$9+datos_base!$H$23,0))*parametros_manuales!$E$95+parametros_manuales!$E$22*(datos_base!$H$3+datos_base!$H$19+IF(parametros_manuales!$H$22="Todos",datos_base!$H$10+datos_base!$H$24,0))*parametros_manuales!$E$100+parametros_manuales!$F$22*(datos_base!$H$4+datos_base!$H$20+IF(parametros_manuales!$H$22="Todos",datos_base!$H$11+datos_base!$H$25,0))*parametros_manuales!$E$105+parametros_manuales!$G$22*(datos_base!$H$5+datos_base!$H$21+IF(parametros_manuales!$H$22="Todos",datos_base!$H$12+datos_base!$H$26,0))*parametros_manuales!$E$110)*parametros_manuales!$I$22*parametros_manuales!$J$22</f>
        <v>26598.84269353</v>
      </c>
      <c r="F167" s="9" t="n">
        <f aca="false">(parametros_manuales!$D$22*(datos_base!$H$2+datos_base!$H$18+IF(parametros_manuales!$H$22="Todos",datos_base!$H$9+datos_base!$H$23,0))*parametros_manuales!$F$95+parametros_manuales!$E$22*(datos_base!$H$3+datos_base!$H$19+IF(parametros_manuales!$H$22="Todos",datos_base!$H$10+datos_base!$H$24,0))*parametros_manuales!$F$100+parametros_manuales!$F$22*(datos_base!$H$4+datos_base!$H$20+IF(parametros_manuales!$H$22="Todos",datos_base!$H$11+datos_base!$H$25,0))*parametros_manuales!$F$105+parametros_manuales!$G$22*(datos_base!$H$5+datos_base!$H$21+IF(parametros_manuales!$H$22="Todos",datos_base!$H$12+datos_base!$H$26,0))*parametros_manuales!$F$110)*parametros_manuales!$I$22*parametros_manuales!$J$22</f>
        <v>24891.06000184</v>
      </c>
      <c r="G167" s="9" t="n">
        <f aca="false">(parametros_manuales!$D$22*(datos_base!$H$2+datos_base!$H$18+IF(parametros_manuales!$H$22="Todos",datos_base!$H$9+datos_base!$H$23,0))*parametros_manuales!$G$95+parametros_manuales!$E$22*(datos_base!$H$3+datos_base!$H$19+IF(parametros_manuales!$H$22="Todos",datos_base!$H$10+datos_base!$H$24,0))*parametros_manuales!$G$100+parametros_manuales!$F$22*(datos_base!$H$4+datos_base!$H$20+IF(parametros_manuales!$H$22="Todos",datos_base!$H$11+datos_base!$H$25,0))*parametros_manuales!$G$105+parametros_manuales!$G$22*(datos_base!$H$5+datos_base!$H$21+IF(parametros_manuales!$H$22="Todos",datos_base!$H$12+datos_base!$H$26,0))*parametros_manuales!$G$110)*parametros_manuales!$I$22*parametros_manuales!$J$22</f>
        <v>24400.00884275</v>
      </c>
      <c r="H167" s="9" t="n">
        <f aca="false">(parametros_manuales!$D$22*(datos_base!$H$2+datos_base!$H$18+IF(parametros_manuales!$H$22="Todos",datos_base!$H$9+datos_base!$H$23,0))*parametros_manuales!$H$95+parametros_manuales!$E$22*(datos_base!$H$3+datos_base!$H$19+IF(parametros_manuales!$H$22="Todos",datos_base!$H$10+datos_base!$H$24,0))*parametros_manuales!$H$100+parametros_manuales!$F$22*(datos_base!$H$4+datos_base!$H$20+IF(parametros_manuales!$H$22="Todos",datos_base!$H$11+datos_base!$H$25,0))*parametros_manuales!$H$105+parametros_manuales!$G$22*(datos_base!$H$5+datos_base!$H$21+IF(parametros_manuales!$H$22="Todos",datos_base!$H$12+datos_base!$H$26,0))*parametros_manuales!$H$110)*parametros_manuales!$I$22*parametros_manuales!$J$22</f>
        <v>26107.79153444</v>
      </c>
      <c r="I167" s="9" t="n">
        <f aca="false">(parametros_manuales!$D$22*(datos_base!$H$2+datos_base!$H$18+IF(parametros_manuales!$H$22="Todos",datos_base!$H$9+datos_base!$H$23,0))*parametros_manuales!$I$95+parametros_manuales!$E$22*(datos_base!$H$3+datos_base!$H$19+IF(parametros_manuales!$H$22="Todos",datos_base!$H$10+datos_base!$H$24,0))*parametros_manuales!$I$100+parametros_manuales!$F$22*(datos_base!$H$4+datos_base!$H$20+IF(parametros_manuales!$H$22="Todos",datos_base!$H$11+datos_base!$H$25,0))*parametros_manuales!$I$105+parametros_manuales!$G$22*(datos_base!$H$5+datos_base!$H$21+IF(parametros_manuales!$H$22="Todos",datos_base!$H$12+datos_base!$H$26,0))*parametros_manuales!$I$110)*parametros_manuales!$I$22*parametros_manuales!$J$22</f>
        <v>29757.98613224</v>
      </c>
      <c r="J167" s="9" t="n">
        <f aca="false">(parametros_manuales!$D$22*(datos_base!$H$2+datos_base!$H$18+IF(parametros_manuales!$H$22="Todos",datos_base!$H$9+datos_base!$H$23,0))*parametros_manuales!$J$95+parametros_manuales!$E$22*(datos_base!$H$3+datos_base!$H$19+IF(parametros_manuales!$H$22="Todos",datos_base!$H$10+datos_base!$H$24,0))*parametros_manuales!$J$100+parametros_manuales!$F$22*(datos_base!$H$4+datos_base!$H$20+IF(parametros_manuales!$H$22="Todos",datos_base!$H$11+datos_base!$H$25,0))*parametros_manuales!$J$105+parametros_manuales!$G$22*(datos_base!$H$5+datos_base!$H$21+IF(parametros_manuales!$H$22="Todos",datos_base!$H$12+datos_base!$H$26,0))*parametros_manuales!$J$110)*parametros_manuales!$I$22*parametros_manuales!$J$22</f>
        <v>29757.98613224</v>
      </c>
      <c r="K167" s="9" t="n">
        <f aca="false">(parametros_manuales!$D$22*(datos_base!$H$2+datos_base!$H$18+IF(parametros_manuales!$H$22="Todos",datos_base!$H$9+datos_base!$H$23,0))*parametros_manuales!$K$95+parametros_manuales!$E$22*(datos_base!$H$3+datos_base!$H$19+IF(parametros_manuales!$H$22="Todos",datos_base!$H$10+datos_base!$H$24,0))*parametros_manuales!$K$100+parametros_manuales!$F$22*(datos_base!$H$4+datos_base!$H$20+IF(parametros_manuales!$H$22="Todos",datos_base!$H$11+datos_base!$H$25,0))*parametros_manuales!$K$105+parametros_manuales!$G$22*(datos_base!$H$5+datos_base!$H$21+IF(parametros_manuales!$H$22="Todos",datos_base!$H$12+datos_base!$H$26,0))*parametros_manuales!$K$110)*parametros_manuales!$I$22*parametros_manuales!$J$22</f>
        <v>30249.03729133</v>
      </c>
      <c r="L167" s="9" t="n">
        <f aca="false">(parametros_manuales!$D$22*(datos_base!$H$2+datos_base!$H$18+IF(parametros_manuales!$H$22="Todos",datos_base!$H$9+datos_base!$H$23,0))*parametros_manuales!$L$95+parametros_manuales!$E$22*(datos_base!$H$3+datos_base!$H$19+IF(parametros_manuales!$H$22="Todos",datos_base!$H$10+datos_base!$H$24,0))*parametros_manuales!$L$100+parametros_manuales!$F$22*(datos_base!$H$4+datos_base!$H$20+IF(parametros_manuales!$H$22="Todos",datos_base!$H$11+datos_base!$H$25,0))*parametros_manuales!$L$105+parametros_manuales!$G$22*(datos_base!$H$5+datos_base!$H$21+IF(parametros_manuales!$H$22="Todos",datos_base!$H$12+datos_base!$H$26,0))*parametros_manuales!$L$110)*parametros_manuales!$I$22*parametros_manuales!$J$22</f>
        <v>30740.08845042</v>
      </c>
      <c r="M167" s="9" t="n">
        <f aca="false">(parametros_manuales!$D$22*(datos_base!$H$2+datos_base!$H$18+IF(parametros_manuales!$H$22="Todos",datos_base!$H$9+datos_base!$H$23,0))*parametros_manuales!$M$95+parametros_manuales!$E$22*(datos_base!$H$3+datos_base!$H$19+IF(parametros_manuales!$H$22="Todos",datos_base!$H$10+datos_base!$H$24,0))*parametros_manuales!$M$100+parametros_manuales!$F$22*(datos_base!$H$4+datos_base!$H$20+IF(parametros_manuales!$H$22="Todos",datos_base!$H$11+datos_base!$H$25,0))*parametros_manuales!$M$105+parametros_manuales!$G$22*(datos_base!$H$5+datos_base!$H$21+IF(parametros_manuales!$H$22="Todos",datos_base!$H$12+datos_base!$H$26,0))*parametros_manuales!$M$110)*parametros_manuales!$I$22*parametros_manuales!$J$22</f>
        <v>30740.08845042</v>
      </c>
      <c r="N167" s="9" t="n">
        <f aca="false">SUM(B167:M167)</f>
        <v>341556.538338</v>
      </c>
      <c r="O167" s="9" t="n">
        <f aca="false">MAX(B167:M167)</f>
        <v>30740.08845042</v>
      </c>
      <c r="P167" s="43" t="n">
        <f aca="false">O167/(parametros_manuales!$B$7)</f>
        <v>204.9339230028</v>
      </c>
      <c r="Q167" s="8" t="str">
        <f aca="false">IF(O167=0,"-",INDEX($B$163:$M$163,MATCH(O167,B167:M167,0)))</f>
        <v>Ene</v>
      </c>
    </row>
    <row r="168" customFormat="false" ht="14.25" hidden="false" customHeight="true" outlineLevel="0" collapsed="false">
      <c r="A168" s="8" t="str">
        <f aca="false">parametros_manuales!$B$23</f>
        <v>Preparación de cuello</v>
      </c>
      <c r="B168" s="9" t="n">
        <f aca="false">(parametros_manuales!$D$23*(datos_base!$H$2+datos_base!$H$18+IF(parametros_manuales!$H$23="Todos",datos_base!$H$9+datos_base!$H$23,0))*parametros_manuales!$B$95+parametros_manuales!$E$23*(datos_base!$H$3+datos_base!$H$19+IF(parametros_manuales!$H$23="Todos",datos_base!$H$10+datos_base!$H$24,0))*parametros_manuales!$B$100+parametros_manuales!$F$23*(datos_base!$H$4+datos_base!$H$20+IF(parametros_manuales!$H$23="Todos",datos_base!$H$11+datos_base!$H$25,0))*parametros_manuales!$B$105+parametros_manuales!$G$23*(datos_base!$H$5+datos_base!$H$21+IF(parametros_manuales!$H$23="Todos",datos_base!$H$12+datos_base!$H$26,0))*parametros_manuales!$B$110)*parametros_manuales!$I$23*parametros_manuales!$J$23</f>
        <v>15370.04422521</v>
      </c>
      <c r="C168" s="9" t="n">
        <f aca="false">(parametros_manuales!$D$23*(datos_base!$H$2+datos_base!$H$18+IF(parametros_manuales!$H$23="Todos",datos_base!$H$9+datos_base!$H$23,0))*parametros_manuales!$C$95+parametros_manuales!$E$23*(datos_base!$H$3+datos_base!$H$19+IF(parametros_manuales!$H$23="Todos",datos_base!$H$10+datos_base!$H$24,0))*parametros_manuales!$C$100+parametros_manuales!$F$23*(datos_base!$H$4+datos_base!$H$20+IF(parametros_manuales!$H$23="Todos",datos_base!$H$11+datos_base!$H$25,0))*parametros_manuales!$C$105+parametros_manuales!$G$23*(datos_base!$H$5+datos_base!$H$21+IF(parametros_manuales!$H$23="Todos",datos_base!$H$12+datos_base!$H$26,0))*parametros_manuales!$C$110)*parametros_manuales!$I$23*parametros_manuales!$J$23</f>
        <v>14878.99306612</v>
      </c>
      <c r="D168" s="9" t="n">
        <f aca="false">(parametros_manuales!$D$23*(datos_base!$H$2+datos_base!$H$18+IF(parametros_manuales!$H$23="Todos",datos_base!$H$9+datos_base!$H$23,0))*parametros_manuales!$D$95+parametros_manuales!$E$23*(datos_base!$H$3+datos_base!$H$19+IF(parametros_manuales!$H$23="Todos",datos_base!$H$10+datos_base!$H$24,0))*parametros_manuales!$D$100+parametros_manuales!$F$23*(datos_base!$H$4+datos_base!$H$20+IF(parametros_manuales!$H$23="Todos",datos_base!$H$11+datos_base!$H$25,0))*parametros_manuales!$D$105+parametros_manuales!$G$23*(datos_base!$H$5+datos_base!$H$21+IF(parametros_manuales!$H$23="Todos",datos_base!$H$12+datos_base!$H$26,0))*parametros_manuales!$D$110)*parametros_manuales!$I$23*parametros_manuales!$J$23</f>
        <v>13907.787113065</v>
      </c>
      <c r="E168" s="9" t="n">
        <f aca="false">(parametros_manuales!$D$23*(datos_base!$H$2+datos_base!$H$18+IF(parametros_manuales!$H$23="Todos",datos_base!$H$9+datos_base!$H$23,0))*parametros_manuales!$E$95+parametros_manuales!$E$23*(datos_base!$H$3+datos_base!$H$19+IF(parametros_manuales!$H$23="Todos",datos_base!$H$10+datos_base!$H$24,0))*parametros_manuales!$E$100+parametros_manuales!$F$23*(datos_base!$H$4+datos_base!$H$20+IF(parametros_manuales!$H$23="Todos",datos_base!$H$11+datos_base!$H$25,0))*parametros_manuales!$E$105+parametros_manuales!$G$23*(datos_base!$H$5+datos_base!$H$21+IF(parametros_manuales!$H$23="Todos",datos_base!$H$12+datos_base!$H$26,0))*parametros_manuales!$E$110)*parametros_manuales!$I$23*parametros_manuales!$J$23</f>
        <v>13299.421346765</v>
      </c>
      <c r="F168" s="9" t="n">
        <f aca="false">(parametros_manuales!$D$23*(datos_base!$H$2+datos_base!$H$18+IF(parametros_manuales!$H$23="Todos",datos_base!$H$9+datos_base!$H$23,0))*parametros_manuales!$F$95+parametros_manuales!$E$23*(datos_base!$H$3+datos_base!$H$19+IF(parametros_manuales!$H$23="Todos",datos_base!$H$10+datos_base!$H$24,0))*parametros_manuales!$F$100+parametros_manuales!$F$23*(datos_base!$H$4+datos_base!$H$20+IF(parametros_manuales!$H$23="Todos",datos_base!$H$11+datos_base!$H$25,0))*parametros_manuales!$F$105+parametros_manuales!$G$23*(datos_base!$H$5+datos_base!$H$21+IF(parametros_manuales!$H$23="Todos",datos_base!$H$12+datos_base!$H$26,0))*parametros_manuales!$F$110)*parametros_manuales!$I$23*parametros_manuales!$J$23</f>
        <v>12445.53000092</v>
      </c>
      <c r="G168" s="9" t="n">
        <f aca="false">(parametros_manuales!$D$23*(datos_base!$H$2+datos_base!$H$18+IF(parametros_manuales!$H$23="Todos",datos_base!$H$9+datos_base!$H$23,0))*parametros_manuales!$G$95+parametros_manuales!$E$23*(datos_base!$H$3+datos_base!$H$19+IF(parametros_manuales!$H$23="Todos",datos_base!$H$10+datos_base!$H$24,0))*parametros_manuales!$G$100+parametros_manuales!$F$23*(datos_base!$H$4+datos_base!$H$20+IF(parametros_manuales!$H$23="Todos",datos_base!$H$11+datos_base!$H$25,0))*parametros_manuales!$G$105+parametros_manuales!$G$23*(datos_base!$H$5+datos_base!$H$21+IF(parametros_manuales!$H$23="Todos",datos_base!$H$12+datos_base!$H$26,0))*parametros_manuales!$G$110)*parametros_manuales!$I$23*parametros_manuales!$J$23</f>
        <v>12200.004421375</v>
      </c>
      <c r="H168" s="9" t="n">
        <f aca="false">(parametros_manuales!$D$23*(datos_base!$H$2+datos_base!$H$18+IF(parametros_manuales!$H$23="Todos",datos_base!$H$9+datos_base!$H$23,0))*parametros_manuales!$H$95+parametros_manuales!$E$23*(datos_base!$H$3+datos_base!$H$19+IF(parametros_manuales!$H$23="Todos",datos_base!$H$10+datos_base!$H$24,0))*parametros_manuales!$H$100+parametros_manuales!$F$23*(datos_base!$H$4+datos_base!$H$20+IF(parametros_manuales!$H$23="Todos",datos_base!$H$11+datos_base!$H$25,0))*parametros_manuales!$H$105+parametros_manuales!$G$23*(datos_base!$H$5+datos_base!$H$21+IF(parametros_manuales!$H$23="Todos",datos_base!$H$12+datos_base!$H$26,0))*parametros_manuales!$H$110)*parametros_manuales!$I$23*parametros_manuales!$J$23</f>
        <v>13053.89576722</v>
      </c>
      <c r="I168" s="9" t="n">
        <f aca="false">(parametros_manuales!$D$23*(datos_base!$H$2+datos_base!$H$18+IF(parametros_manuales!$H$23="Todos",datos_base!$H$9+datos_base!$H$23,0))*parametros_manuales!$I$95+parametros_manuales!$E$23*(datos_base!$H$3+datos_base!$H$19+IF(parametros_manuales!$H$23="Todos",datos_base!$H$10+datos_base!$H$24,0))*parametros_manuales!$I$100+parametros_manuales!$F$23*(datos_base!$H$4+datos_base!$H$20+IF(parametros_manuales!$H$23="Todos",datos_base!$H$11+datos_base!$H$25,0))*parametros_manuales!$I$105+parametros_manuales!$G$23*(datos_base!$H$5+datos_base!$H$21+IF(parametros_manuales!$H$23="Todos",datos_base!$H$12+datos_base!$H$26,0))*parametros_manuales!$I$110)*parametros_manuales!$I$23*parametros_manuales!$J$23</f>
        <v>14878.99306612</v>
      </c>
      <c r="J168" s="9" t="n">
        <f aca="false">(parametros_manuales!$D$23*(datos_base!$H$2+datos_base!$H$18+IF(parametros_manuales!$H$23="Todos",datos_base!$H$9+datos_base!$H$23,0))*parametros_manuales!$J$95+parametros_manuales!$E$23*(datos_base!$H$3+datos_base!$H$19+IF(parametros_manuales!$H$23="Todos",datos_base!$H$10+datos_base!$H$24,0))*parametros_manuales!$J$100+parametros_manuales!$F$23*(datos_base!$H$4+datos_base!$H$20+IF(parametros_manuales!$H$23="Todos",datos_base!$H$11+datos_base!$H$25,0))*parametros_manuales!$J$105+parametros_manuales!$G$23*(datos_base!$H$5+datos_base!$H$21+IF(parametros_manuales!$H$23="Todos",datos_base!$H$12+datos_base!$H$26,0))*parametros_manuales!$J$110)*parametros_manuales!$I$23*parametros_manuales!$J$23</f>
        <v>14878.99306612</v>
      </c>
      <c r="K168" s="9" t="n">
        <f aca="false">(parametros_manuales!$D$23*(datos_base!$H$2+datos_base!$H$18+IF(parametros_manuales!$H$23="Todos",datos_base!$H$9+datos_base!$H$23,0))*parametros_manuales!$K$95+parametros_manuales!$E$23*(datos_base!$H$3+datos_base!$H$19+IF(parametros_manuales!$H$23="Todos",datos_base!$H$10+datos_base!$H$24,0))*parametros_manuales!$K$100+parametros_manuales!$F$23*(datos_base!$H$4+datos_base!$H$20+IF(parametros_manuales!$H$23="Todos",datos_base!$H$11+datos_base!$H$25,0))*parametros_manuales!$K$105+parametros_manuales!$G$23*(datos_base!$H$5+datos_base!$H$21+IF(parametros_manuales!$H$23="Todos",datos_base!$H$12+datos_base!$H$26,0))*parametros_manuales!$K$110)*parametros_manuales!$I$23*parametros_manuales!$J$23</f>
        <v>15124.518645665</v>
      </c>
      <c r="L168" s="9" t="n">
        <f aca="false">(parametros_manuales!$D$23*(datos_base!$H$2+datos_base!$H$18+IF(parametros_manuales!$H$23="Todos",datos_base!$H$9+datos_base!$H$23,0))*parametros_manuales!$L$95+parametros_manuales!$E$23*(datos_base!$H$3+datos_base!$H$19+IF(parametros_manuales!$H$23="Todos",datos_base!$H$10+datos_base!$H$24,0))*parametros_manuales!$L$100+parametros_manuales!$F$23*(datos_base!$H$4+datos_base!$H$20+IF(parametros_manuales!$H$23="Todos",datos_base!$H$11+datos_base!$H$25,0))*parametros_manuales!$L$105+parametros_manuales!$G$23*(datos_base!$H$5+datos_base!$H$21+IF(parametros_manuales!$H$23="Todos",datos_base!$H$12+datos_base!$H$26,0))*parametros_manuales!$L$110)*parametros_manuales!$I$23*parametros_manuales!$J$23</f>
        <v>15370.04422521</v>
      </c>
      <c r="M168" s="9" t="n">
        <f aca="false">(parametros_manuales!$D$23*(datos_base!$H$2+datos_base!$H$18+IF(parametros_manuales!$H$23="Todos",datos_base!$H$9+datos_base!$H$23,0))*parametros_manuales!$M$95+parametros_manuales!$E$23*(datos_base!$H$3+datos_base!$H$19+IF(parametros_manuales!$H$23="Todos",datos_base!$H$10+datos_base!$H$24,0))*parametros_manuales!$M$100+parametros_manuales!$F$23*(datos_base!$H$4+datos_base!$H$20+IF(parametros_manuales!$H$23="Todos",datos_base!$H$11+datos_base!$H$25,0))*parametros_manuales!$M$105+parametros_manuales!$G$23*(datos_base!$H$5+datos_base!$H$21+IF(parametros_manuales!$H$23="Todos",datos_base!$H$12+datos_base!$H$26,0))*parametros_manuales!$M$110)*parametros_manuales!$I$23*parametros_manuales!$J$23</f>
        <v>15370.04422521</v>
      </c>
      <c r="N168" s="9" t="n">
        <f aca="false">SUM(B168:M168)</f>
        <v>170778.269169</v>
      </c>
      <c r="O168" s="9" t="n">
        <f aca="false">MAX(B168:M168)</f>
        <v>15370.04422521</v>
      </c>
      <c r="P168" s="43" t="n">
        <f aca="false">O168/(parametros_manuales!$B$7)</f>
        <v>102.4669615014</v>
      </c>
      <c r="Q168" s="8" t="str">
        <f aca="false">IF(O168=0,"-",INDEX($B$163:$M$163,MATCH(O168,B168:M168,0)))</f>
        <v>Ene</v>
      </c>
    </row>
    <row r="169" customFormat="false" ht="14.25" hidden="false" customHeight="true" outlineLevel="0" collapsed="false">
      <c r="A169" s="8" t="str">
        <f aca="false">parametros_manuales!$B$24</f>
        <v>Numerado de cúpula</v>
      </c>
      <c r="B169" s="9" t="n">
        <f aca="false">(parametros_manuales!$D$24*(datos_base!$H$2+datos_base!$H$18+IF(parametros_manuales!$H$24="Todos",datos_base!$H$9+datos_base!$H$23,0))*parametros_manuales!$B$95+parametros_manuales!$E$24*(datos_base!$H$3+datos_base!$H$19+IF(parametros_manuales!$H$24="Todos",datos_base!$H$10+datos_base!$H$24,0))*parametros_manuales!$B$100+parametros_manuales!$F$24*(datos_base!$H$4+datos_base!$H$20+IF(parametros_manuales!$H$24="Todos",datos_base!$H$11+datos_base!$H$25,0))*parametros_manuales!$B$105+parametros_manuales!$G$24*(datos_base!$H$5+datos_base!$H$21+IF(parametros_manuales!$H$24="Todos",datos_base!$H$12+datos_base!$H$26,0))*parametros_manuales!$B$110)*parametros_manuales!$I$24*parametros_manuales!$J$24</f>
        <v>15370.04422521</v>
      </c>
      <c r="C169" s="9" t="n">
        <f aca="false">(parametros_manuales!$D$24*(datos_base!$H$2+datos_base!$H$18+IF(parametros_manuales!$H$24="Todos",datos_base!$H$9+datos_base!$H$23,0))*parametros_manuales!$C$95+parametros_manuales!$E$24*(datos_base!$H$3+datos_base!$H$19+IF(parametros_manuales!$H$24="Todos",datos_base!$H$10+datos_base!$H$24,0))*parametros_manuales!$C$100+parametros_manuales!$F$24*(datos_base!$H$4+datos_base!$H$20+IF(parametros_manuales!$H$24="Todos",datos_base!$H$11+datos_base!$H$25,0))*parametros_manuales!$C$105+parametros_manuales!$G$24*(datos_base!$H$5+datos_base!$H$21+IF(parametros_manuales!$H$24="Todos",datos_base!$H$12+datos_base!$H$26,0))*parametros_manuales!$C$110)*parametros_manuales!$I$24*parametros_manuales!$J$24</f>
        <v>14878.99306612</v>
      </c>
      <c r="D169" s="9" t="n">
        <f aca="false">(parametros_manuales!$D$24*(datos_base!$H$2+datos_base!$H$18+IF(parametros_manuales!$H$24="Todos",datos_base!$H$9+datos_base!$H$23,0))*parametros_manuales!$D$95+parametros_manuales!$E$24*(datos_base!$H$3+datos_base!$H$19+IF(parametros_manuales!$H$24="Todos",datos_base!$H$10+datos_base!$H$24,0))*parametros_manuales!$D$100+parametros_manuales!$F$24*(datos_base!$H$4+datos_base!$H$20+IF(parametros_manuales!$H$24="Todos",datos_base!$H$11+datos_base!$H$25,0))*parametros_manuales!$D$105+parametros_manuales!$G$24*(datos_base!$H$5+datos_base!$H$21+IF(parametros_manuales!$H$24="Todos",datos_base!$H$12+datos_base!$H$26,0))*parametros_manuales!$D$110)*parametros_manuales!$I$24*parametros_manuales!$J$24</f>
        <v>13907.787113065</v>
      </c>
      <c r="E169" s="9" t="n">
        <f aca="false">(parametros_manuales!$D$24*(datos_base!$H$2+datos_base!$H$18+IF(parametros_manuales!$H$24="Todos",datos_base!$H$9+datos_base!$H$23,0))*parametros_manuales!$E$95+parametros_manuales!$E$24*(datos_base!$H$3+datos_base!$H$19+IF(parametros_manuales!$H$24="Todos",datos_base!$H$10+datos_base!$H$24,0))*parametros_manuales!$E$100+parametros_manuales!$F$24*(datos_base!$H$4+datos_base!$H$20+IF(parametros_manuales!$H$24="Todos",datos_base!$H$11+datos_base!$H$25,0))*parametros_manuales!$E$105+parametros_manuales!$G$24*(datos_base!$H$5+datos_base!$H$21+IF(parametros_manuales!$H$24="Todos",datos_base!$H$12+datos_base!$H$26,0))*parametros_manuales!$E$110)*parametros_manuales!$I$24*parametros_manuales!$J$24</f>
        <v>13299.421346765</v>
      </c>
      <c r="F169" s="9" t="n">
        <f aca="false">(parametros_manuales!$D$24*(datos_base!$H$2+datos_base!$H$18+IF(parametros_manuales!$H$24="Todos",datos_base!$H$9+datos_base!$H$23,0))*parametros_manuales!$F$95+parametros_manuales!$E$24*(datos_base!$H$3+datos_base!$H$19+IF(parametros_manuales!$H$24="Todos",datos_base!$H$10+datos_base!$H$24,0))*parametros_manuales!$F$100+parametros_manuales!$F$24*(datos_base!$H$4+datos_base!$H$20+IF(parametros_manuales!$H$24="Todos",datos_base!$H$11+datos_base!$H$25,0))*parametros_manuales!$F$105+parametros_manuales!$G$24*(datos_base!$H$5+datos_base!$H$21+IF(parametros_manuales!$H$24="Todos",datos_base!$H$12+datos_base!$H$26,0))*parametros_manuales!$F$110)*parametros_manuales!$I$24*parametros_manuales!$J$24</f>
        <v>12445.53000092</v>
      </c>
      <c r="G169" s="9" t="n">
        <f aca="false">(parametros_manuales!$D$24*(datos_base!$H$2+datos_base!$H$18+IF(parametros_manuales!$H$24="Todos",datos_base!$H$9+datos_base!$H$23,0))*parametros_manuales!$G$95+parametros_manuales!$E$24*(datos_base!$H$3+datos_base!$H$19+IF(parametros_manuales!$H$24="Todos",datos_base!$H$10+datos_base!$H$24,0))*parametros_manuales!$G$100+parametros_manuales!$F$24*(datos_base!$H$4+datos_base!$H$20+IF(parametros_manuales!$H$24="Todos",datos_base!$H$11+datos_base!$H$25,0))*parametros_manuales!$G$105+parametros_manuales!$G$24*(datos_base!$H$5+datos_base!$H$21+IF(parametros_manuales!$H$24="Todos",datos_base!$H$12+datos_base!$H$26,0))*parametros_manuales!$G$110)*parametros_manuales!$I$24*parametros_manuales!$J$24</f>
        <v>12200.004421375</v>
      </c>
      <c r="H169" s="9" t="n">
        <f aca="false">(parametros_manuales!$D$24*(datos_base!$H$2+datos_base!$H$18+IF(parametros_manuales!$H$24="Todos",datos_base!$H$9+datos_base!$H$23,0))*parametros_manuales!$H$95+parametros_manuales!$E$24*(datos_base!$H$3+datos_base!$H$19+IF(parametros_manuales!$H$24="Todos",datos_base!$H$10+datos_base!$H$24,0))*parametros_manuales!$H$100+parametros_manuales!$F$24*(datos_base!$H$4+datos_base!$H$20+IF(parametros_manuales!$H$24="Todos",datos_base!$H$11+datos_base!$H$25,0))*parametros_manuales!$H$105+parametros_manuales!$G$24*(datos_base!$H$5+datos_base!$H$21+IF(parametros_manuales!$H$24="Todos",datos_base!$H$12+datos_base!$H$26,0))*parametros_manuales!$H$110)*parametros_manuales!$I$24*parametros_manuales!$J$24</f>
        <v>13053.89576722</v>
      </c>
      <c r="I169" s="9" t="n">
        <f aca="false">(parametros_manuales!$D$24*(datos_base!$H$2+datos_base!$H$18+IF(parametros_manuales!$H$24="Todos",datos_base!$H$9+datos_base!$H$23,0))*parametros_manuales!$I$95+parametros_manuales!$E$24*(datos_base!$H$3+datos_base!$H$19+IF(parametros_manuales!$H$24="Todos",datos_base!$H$10+datos_base!$H$24,0))*parametros_manuales!$I$100+parametros_manuales!$F$24*(datos_base!$H$4+datos_base!$H$20+IF(parametros_manuales!$H$24="Todos",datos_base!$H$11+datos_base!$H$25,0))*parametros_manuales!$I$105+parametros_manuales!$G$24*(datos_base!$H$5+datos_base!$H$21+IF(parametros_manuales!$H$24="Todos",datos_base!$H$12+datos_base!$H$26,0))*parametros_manuales!$I$110)*parametros_manuales!$I$24*parametros_manuales!$J$24</f>
        <v>14878.99306612</v>
      </c>
      <c r="J169" s="9" t="n">
        <f aca="false">(parametros_manuales!$D$24*(datos_base!$H$2+datos_base!$H$18+IF(parametros_manuales!$H$24="Todos",datos_base!$H$9+datos_base!$H$23,0))*parametros_manuales!$J$95+parametros_manuales!$E$24*(datos_base!$H$3+datos_base!$H$19+IF(parametros_manuales!$H$24="Todos",datos_base!$H$10+datos_base!$H$24,0))*parametros_manuales!$J$100+parametros_manuales!$F$24*(datos_base!$H$4+datos_base!$H$20+IF(parametros_manuales!$H$24="Todos",datos_base!$H$11+datos_base!$H$25,0))*parametros_manuales!$J$105+parametros_manuales!$G$24*(datos_base!$H$5+datos_base!$H$21+IF(parametros_manuales!$H$24="Todos",datos_base!$H$12+datos_base!$H$26,0))*parametros_manuales!$J$110)*parametros_manuales!$I$24*parametros_manuales!$J$24</f>
        <v>14878.99306612</v>
      </c>
      <c r="K169" s="9" t="n">
        <f aca="false">(parametros_manuales!$D$24*(datos_base!$H$2+datos_base!$H$18+IF(parametros_manuales!$H$24="Todos",datos_base!$H$9+datos_base!$H$23,0))*parametros_manuales!$K$95+parametros_manuales!$E$24*(datos_base!$H$3+datos_base!$H$19+IF(parametros_manuales!$H$24="Todos",datos_base!$H$10+datos_base!$H$24,0))*parametros_manuales!$K$100+parametros_manuales!$F$24*(datos_base!$H$4+datos_base!$H$20+IF(parametros_manuales!$H$24="Todos",datos_base!$H$11+datos_base!$H$25,0))*parametros_manuales!$K$105+parametros_manuales!$G$24*(datos_base!$H$5+datos_base!$H$21+IF(parametros_manuales!$H$24="Todos",datos_base!$H$12+datos_base!$H$26,0))*parametros_manuales!$K$110)*parametros_manuales!$I$24*parametros_manuales!$J$24</f>
        <v>15124.518645665</v>
      </c>
      <c r="L169" s="9" t="n">
        <f aca="false">(parametros_manuales!$D$24*(datos_base!$H$2+datos_base!$H$18+IF(parametros_manuales!$H$24="Todos",datos_base!$H$9+datos_base!$H$23,0))*parametros_manuales!$L$95+parametros_manuales!$E$24*(datos_base!$H$3+datos_base!$H$19+IF(parametros_manuales!$H$24="Todos",datos_base!$H$10+datos_base!$H$24,0))*parametros_manuales!$L$100+parametros_manuales!$F$24*(datos_base!$H$4+datos_base!$H$20+IF(parametros_manuales!$H$24="Todos",datos_base!$H$11+datos_base!$H$25,0))*parametros_manuales!$L$105+parametros_manuales!$G$24*(datos_base!$H$5+datos_base!$H$21+IF(parametros_manuales!$H$24="Todos",datos_base!$H$12+datos_base!$H$26,0))*parametros_manuales!$L$110)*parametros_manuales!$I$24*parametros_manuales!$J$24</f>
        <v>15370.04422521</v>
      </c>
      <c r="M169" s="9" t="n">
        <f aca="false">(parametros_manuales!$D$24*(datos_base!$H$2+datos_base!$H$18+IF(parametros_manuales!$H$24="Todos",datos_base!$H$9+datos_base!$H$23,0))*parametros_manuales!$M$95+parametros_manuales!$E$24*(datos_base!$H$3+datos_base!$H$19+IF(parametros_manuales!$H$24="Todos",datos_base!$H$10+datos_base!$H$24,0))*parametros_manuales!$M$100+parametros_manuales!$F$24*(datos_base!$H$4+datos_base!$H$20+IF(parametros_manuales!$H$24="Todos",datos_base!$H$11+datos_base!$H$25,0))*parametros_manuales!$M$105+parametros_manuales!$G$24*(datos_base!$H$5+datos_base!$H$21+IF(parametros_manuales!$H$24="Todos",datos_base!$H$12+datos_base!$H$26,0))*parametros_manuales!$M$110)*parametros_manuales!$I$24*parametros_manuales!$J$24</f>
        <v>15370.04422521</v>
      </c>
      <c r="N169" s="9" t="n">
        <f aca="false">SUM(B169:M169)</f>
        <v>170778.269169</v>
      </c>
      <c r="O169" s="9" t="n">
        <f aca="false">MAX(B169:M169)</f>
        <v>15370.04422521</v>
      </c>
      <c r="P169" s="43" t="n">
        <f aca="false">O169/(parametros_manuales!$B$7)</f>
        <v>102.4669615014</v>
      </c>
      <c r="Q169" s="8" t="str">
        <f aca="false">IF(O169=0,"-",INDEX($B$163:$M$163,MATCH(O169,B169:M169,0)))</f>
        <v>Ene</v>
      </c>
    </row>
    <row r="170" customFormat="false" ht="14.25" hidden="false" customHeight="true" outlineLevel="0" collapsed="false">
      <c r="A170" s="8" t="str">
        <f aca="false">parametros_manuales!$B$25</f>
        <v>Soldadura del cuello a la cúpula</v>
      </c>
      <c r="B170" s="9" t="n">
        <f aca="false">(parametros_manuales!$D$25*(datos_base!$H$2+datos_base!$H$18+IF(parametros_manuales!$H$25="Todos",datos_base!$H$9+datos_base!$H$23,0))*parametros_manuales!$B$95+parametros_manuales!$E$25*(datos_base!$H$3+datos_base!$H$19+IF(parametros_manuales!$H$25="Todos",datos_base!$H$10+datos_base!$H$24,0))*parametros_manuales!$B$100+parametros_manuales!$F$25*(datos_base!$H$4+datos_base!$H$20+IF(parametros_manuales!$H$25="Todos",datos_base!$H$11+datos_base!$H$25,0))*parametros_manuales!$B$105+parametros_manuales!$G$25*(datos_base!$H$5+datos_base!$H$21+IF(parametros_manuales!$H$25="Todos",datos_base!$H$12+datos_base!$H$26,0))*parametros_manuales!$B$110)*parametros_manuales!$I$25*parametros_manuales!$J$25</f>
        <v>15370.04422521</v>
      </c>
      <c r="C170" s="9" t="n">
        <f aca="false">(parametros_manuales!$D$25*(datos_base!$H$2+datos_base!$H$18+IF(parametros_manuales!$H$25="Todos",datos_base!$H$9+datos_base!$H$23,0))*parametros_manuales!$C$95+parametros_manuales!$E$25*(datos_base!$H$3+datos_base!$H$19+IF(parametros_manuales!$H$25="Todos",datos_base!$H$10+datos_base!$H$24,0))*parametros_manuales!$C$100+parametros_manuales!$F$25*(datos_base!$H$4+datos_base!$H$20+IF(parametros_manuales!$H$25="Todos",datos_base!$H$11+datos_base!$H$25,0))*parametros_manuales!$C$105+parametros_manuales!$G$25*(datos_base!$H$5+datos_base!$H$21+IF(parametros_manuales!$H$25="Todos",datos_base!$H$12+datos_base!$H$26,0))*parametros_manuales!$C$110)*parametros_manuales!$I$25*parametros_manuales!$J$25</f>
        <v>14878.99306612</v>
      </c>
      <c r="D170" s="9" t="n">
        <f aca="false">(parametros_manuales!$D$25*(datos_base!$H$2+datos_base!$H$18+IF(parametros_manuales!$H$25="Todos",datos_base!$H$9+datos_base!$H$23,0))*parametros_manuales!$D$95+parametros_manuales!$E$25*(datos_base!$H$3+datos_base!$H$19+IF(parametros_manuales!$H$25="Todos",datos_base!$H$10+datos_base!$H$24,0))*parametros_manuales!$D$100+parametros_manuales!$F$25*(datos_base!$H$4+datos_base!$H$20+IF(parametros_manuales!$H$25="Todos",datos_base!$H$11+datos_base!$H$25,0))*parametros_manuales!$D$105+parametros_manuales!$G$25*(datos_base!$H$5+datos_base!$H$21+IF(parametros_manuales!$H$25="Todos",datos_base!$H$12+datos_base!$H$26,0))*parametros_manuales!$D$110)*parametros_manuales!$I$25*parametros_manuales!$J$25</f>
        <v>13907.787113065</v>
      </c>
      <c r="E170" s="9" t="n">
        <f aca="false">(parametros_manuales!$D$25*(datos_base!$H$2+datos_base!$H$18+IF(parametros_manuales!$H$25="Todos",datos_base!$H$9+datos_base!$H$23,0))*parametros_manuales!$E$95+parametros_manuales!$E$25*(datos_base!$H$3+datos_base!$H$19+IF(parametros_manuales!$H$25="Todos",datos_base!$H$10+datos_base!$H$24,0))*parametros_manuales!$E$100+parametros_manuales!$F$25*(datos_base!$H$4+datos_base!$H$20+IF(parametros_manuales!$H$25="Todos",datos_base!$H$11+datos_base!$H$25,0))*parametros_manuales!$E$105+parametros_manuales!$G$25*(datos_base!$H$5+datos_base!$H$21+IF(parametros_manuales!$H$25="Todos",datos_base!$H$12+datos_base!$H$26,0))*parametros_manuales!$E$110)*parametros_manuales!$I$25*parametros_manuales!$J$25</f>
        <v>13299.421346765</v>
      </c>
      <c r="F170" s="9" t="n">
        <f aca="false">(parametros_manuales!$D$25*(datos_base!$H$2+datos_base!$H$18+IF(parametros_manuales!$H$25="Todos",datos_base!$H$9+datos_base!$H$23,0))*parametros_manuales!$F$95+parametros_manuales!$E$25*(datos_base!$H$3+datos_base!$H$19+IF(parametros_manuales!$H$25="Todos",datos_base!$H$10+datos_base!$H$24,0))*parametros_manuales!$F$100+parametros_manuales!$F$25*(datos_base!$H$4+datos_base!$H$20+IF(parametros_manuales!$H$25="Todos",datos_base!$H$11+datos_base!$H$25,0))*parametros_manuales!$F$105+parametros_manuales!$G$25*(datos_base!$H$5+datos_base!$H$21+IF(parametros_manuales!$H$25="Todos",datos_base!$H$12+datos_base!$H$26,0))*parametros_manuales!$F$110)*parametros_manuales!$I$25*parametros_manuales!$J$25</f>
        <v>12445.53000092</v>
      </c>
      <c r="G170" s="9" t="n">
        <f aca="false">(parametros_manuales!$D$25*(datos_base!$H$2+datos_base!$H$18+IF(parametros_manuales!$H$25="Todos",datos_base!$H$9+datos_base!$H$23,0))*parametros_manuales!$G$95+parametros_manuales!$E$25*(datos_base!$H$3+datos_base!$H$19+IF(parametros_manuales!$H$25="Todos",datos_base!$H$10+datos_base!$H$24,0))*parametros_manuales!$G$100+parametros_manuales!$F$25*(datos_base!$H$4+datos_base!$H$20+IF(parametros_manuales!$H$25="Todos",datos_base!$H$11+datos_base!$H$25,0))*parametros_manuales!$G$105+parametros_manuales!$G$25*(datos_base!$H$5+datos_base!$H$21+IF(parametros_manuales!$H$25="Todos",datos_base!$H$12+datos_base!$H$26,0))*parametros_manuales!$G$110)*parametros_manuales!$I$25*parametros_manuales!$J$25</f>
        <v>12200.004421375</v>
      </c>
      <c r="H170" s="9" t="n">
        <f aca="false">(parametros_manuales!$D$25*(datos_base!$H$2+datos_base!$H$18+IF(parametros_manuales!$H$25="Todos",datos_base!$H$9+datos_base!$H$23,0))*parametros_manuales!$H$95+parametros_manuales!$E$25*(datos_base!$H$3+datos_base!$H$19+IF(parametros_manuales!$H$25="Todos",datos_base!$H$10+datos_base!$H$24,0))*parametros_manuales!$H$100+parametros_manuales!$F$25*(datos_base!$H$4+datos_base!$H$20+IF(parametros_manuales!$H$25="Todos",datos_base!$H$11+datos_base!$H$25,0))*parametros_manuales!$H$105+parametros_manuales!$G$25*(datos_base!$H$5+datos_base!$H$21+IF(parametros_manuales!$H$25="Todos",datos_base!$H$12+datos_base!$H$26,0))*parametros_manuales!$H$110)*parametros_manuales!$I$25*parametros_manuales!$J$25</f>
        <v>13053.89576722</v>
      </c>
      <c r="I170" s="9" t="n">
        <f aca="false">(parametros_manuales!$D$25*(datos_base!$H$2+datos_base!$H$18+IF(parametros_manuales!$H$25="Todos",datos_base!$H$9+datos_base!$H$23,0))*parametros_manuales!$I$95+parametros_manuales!$E$25*(datos_base!$H$3+datos_base!$H$19+IF(parametros_manuales!$H$25="Todos",datos_base!$H$10+datos_base!$H$24,0))*parametros_manuales!$I$100+parametros_manuales!$F$25*(datos_base!$H$4+datos_base!$H$20+IF(parametros_manuales!$H$25="Todos",datos_base!$H$11+datos_base!$H$25,0))*parametros_manuales!$I$105+parametros_manuales!$G$25*(datos_base!$H$5+datos_base!$H$21+IF(parametros_manuales!$H$25="Todos",datos_base!$H$12+datos_base!$H$26,0))*parametros_manuales!$I$110)*parametros_manuales!$I$25*parametros_manuales!$J$25</f>
        <v>14878.99306612</v>
      </c>
      <c r="J170" s="9" t="n">
        <f aca="false">(parametros_manuales!$D$25*(datos_base!$H$2+datos_base!$H$18+IF(parametros_manuales!$H$25="Todos",datos_base!$H$9+datos_base!$H$23,0))*parametros_manuales!$J$95+parametros_manuales!$E$25*(datos_base!$H$3+datos_base!$H$19+IF(parametros_manuales!$H$25="Todos",datos_base!$H$10+datos_base!$H$24,0))*parametros_manuales!$J$100+parametros_manuales!$F$25*(datos_base!$H$4+datos_base!$H$20+IF(parametros_manuales!$H$25="Todos",datos_base!$H$11+datos_base!$H$25,0))*parametros_manuales!$J$105+parametros_manuales!$G$25*(datos_base!$H$5+datos_base!$H$21+IF(parametros_manuales!$H$25="Todos",datos_base!$H$12+datos_base!$H$26,0))*parametros_manuales!$J$110)*parametros_manuales!$I$25*parametros_manuales!$J$25</f>
        <v>14878.99306612</v>
      </c>
      <c r="K170" s="9" t="n">
        <f aca="false">(parametros_manuales!$D$25*(datos_base!$H$2+datos_base!$H$18+IF(parametros_manuales!$H$25="Todos",datos_base!$H$9+datos_base!$H$23,0))*parametros_manuales!$K$95+parametros_manuales!$E$25*(datos_base!$H$3+datos_base!$H$19+IF(parametros_manuales!$H$25="Todos",datos_base!$H$10+datos_base!$H$24,0))*parametros_manuales!$K$100+parametros_manuales!$F$25*(datos_base!$H$4+datos_base!$H$20+IF(parametros_manuales!$H$25="Todos",datos_base!$H$11+datos_base!$H$25,0))*parametros_manuales!$K$105+parametros_manuales!$G$25*(datos_base!$H$5+datos_base!$H$21+IF(parametros_manuales!$H$25="Todos",datos_base!$H$12+datos_base!$H$26,0))*parametros_manuales!$K$110)*parametros_manuales!$I$25*parametros_manuales!$J$25</f>
        <v>15124.518645665</v>
      </c>
      <c r="L170" s="9" t="n">
        <f aca="false">(parametros_manuales!$D$25*(datos_base!$H$2+datos_base!$H$18+IF(parametros_manuales!$H$25="Todos",datos_base!$H$9+datos_base!$H$23,0))*parametros_manuales!$L$95+parametros_manuales!$E$25*(datos_base!$H$3+datos_base!$H$19+IF(parametros_manuales!$H$25="Todos",datos_base!$H$10+datos_base!$H$24,0))*parametros_manuales!$L$100+parametros_manuales!$F$25*(datos_base!$H$4+datos_base!$H$20+IF(parametros_manuales!$H$25="Todos",datos_base!$H$11+datos_base!$H$25,0))*parametros_manuales!$L$105+parametros_manuales!$G$25*(datos_base!$H$5+datos_base!$H$21+IF(parametros_manuales!$H$25="Todos",datos_base!$H$12+datos_base!$H$26,0))*parametros_manuales!$L$110)*parametros_manuales!$I$25*parametros_manuales!$J$25</f>
        <v>15370.04422521</v>
      </c>
      <c r="M170" s="9" t="n">
        <f aca="false">(parametros_manuales!$D$25*(datos_base!$H$2+datos_base!$H$18+IF(parametros_manuales!$H$25="Todos",datos_base!$H$9+datos_base!$H$23,0))*parametros_manuales!$M$95+parametros_manuales!$E$25*(datos_base!$H$3+datos_base!$H$19+IF(parametros_manuales!$H$25="Todos",datos_base!$H$10+datos_base!$H$24,0))*parametros_manuales!$M$100+parametros_manuales!$F$25*(datos_base!$H$4+datos_base!$H$20+IF(parametros_manuales!$H$25="Todos",datos_base!$H$11+datos_base!$H$25,0))*parametros_manuales!$M$105+parametros_manuales!$G$25*(datos_base!$H$5+datos_base!$H$21+IF(parametros_manuales!$H$25="Todos",datos_base!$H$12+datos_base!$H$26,0))*parametros_manuales!$M$110)*parametros_manuales!$I$25*parametros_manuales!$J$25</f>
        <v>15370.04422521</v>
      </c>
      <c r="N170" s="9" t="n">
        <f aca="false">SUM(B170:M170)</f>
        <v>170778.269169</v>
      </c>
      <c r="O170" s="9" t="n">
        <f aca="false">MAX(B170:M170)</f>
        <v>15370.04422521</v>
      </c>
      <c r="P170" s="43" t="n">
        <f aca="false">O170/(parametros_manuales!$B$7)</f>
        <v>102.4669615014</v>
      </c>
      <c r="Q170" s="8" t="str">
        <f aca="false">IF(O170=0,"-",INDEX($B$163:$M$163,MATCH(O170,B170:M170,0)))</f>
        <v>Ene</v>
      </c>
    </row>
    <row r="171" customFormat="false" ht="14.25" hidden="false" customHeight="true" outlineLevel="0" collapsed="false">
      <c r="A171" s="8" t="str">
        <f aca="false">parametros_manuales!$B$26</f>
        <v>Cilindrado</v>
      </c>
      <c r="B171" s="9" t="n">
        <f aca="false">(parametros_manuales!$D$26*(datos_base!$H$2+datos_base!$H$18+IF(parametros_manuales!$H$26="Todos",datos_base!$H$9+datos_base!$H$23,0))*parametros_manuales!$B$95+parametros_manuales!$E$26*(datos_base!$H$3+datos_base!$H$19+IF(parametros_manuales!$H$26="Todos",datos_base!$H$10+datos_base!$H$24,0))*parametros_manuales!$B$100+parametros_manuales!$F$26*(datos_base!$H$4+datos_base!$H$20+IF(parametros_manuales!$H$26="Todos",datos_base!$H$11+datos_base!$H$25,0))*parametros_manuales!$B$105+parametros_manuales!$G$26*(datos_base!$H$5+datos_base!$H$21+IF(parametros_manuales!$H$26="Todos",datos_base!$H$12+datos_base!$H$26,0))*parametros_manuales!$B$110)*parametros_manuales!$I$26*parametros_manuales!$J$26</f>
        <v>4419.46043181</v>
      </c>
      <c r="C171" s="9" t="n">
        <f aca="false">(parametros_manuales!$D$26*(datos_base!$H$2+datos_base!$H$18+IF(parametros_manuales!$H$26="Todos",datos_base!$H$9+datos_base!$H$23,0))*parametros_manuales!$C$95+parametros_manuales!$E$26*(datos_base!$H$3+datos_base!$H$19+IF(parametros_manuales!$H$26="Todos",datos_base!$H$10+datos_base!$H$24,0))*parametros_manuales!$C$100+parametros_manuales!$F$26*(datos_base!$H$4+datos_base!$H$20+IF(parametros_manuales!$H$26="Todos",datos_base!$H$11+datos_base!$H$25,0))*parametros_manuales!$C$105+parametros_manuales!$G$26*(datos_base!$H$5+datos_base!$H$21+IF(parametros_manuales!$H$26="Todos",datos_base!$H$12+datos_base!$H$26,0))*parametros_manuales!$C$110)*parametros_manuales!$I$26*parametros_manuales!$J$26</f>
        <v>3928.40927272</v>
      </c>
      <c r="D171" s="9" t="n">
        <f aca="false">(parametros_manuales!$D$26*(datos_base!$H$2+datos_base!$H$18+IF(parametros_manuales!$H$26="Todos",datos_base!$H$9+datos_base!$H$23,0))*parametros_manuales!$D$95+parametros_manuales!$E$26*(datos_base!$H$3+datos_base!$H$19+IF(parametros_manuales!$H$26="Todos",datos_base!$H$10+datos_base!$H$24,0))*parametros_manuales!$D$100+parametros_manuales!$F$26*(datos_base!$H$4+datos_base!$H$20+IF(parametros_manuales!$H$26="Todos",datos_base!$H$11+datos_base!$H$25,0))*parametros_manuales!$D$105+parametros_manuales!$G$26*(datos_base!$H$5+datos_base!$H$21+IF(parametros_manuales!$H$26="Todos",datos_base!$H$12+datos_base!$H$26,0))*parametros_manuales!$D$110)*parametros_manuales!$I$26*parametros_manuales!$J$26</f>
        <v>4173.934852265</v>
      </c>
      <c r="E171" s="9" t="n">
        <f aca="false">(parametros_manuales!$D$26*(datos_base!$H$2+datos_base!$H$18+IF(parametros_manuales!$H$26="Todos",datos_base!$H$9+datos_base!$H$23,0))*parametros_manuales!$E$95+parametros_manuales!$E$26*(datos_base!$H$3+datos_base!$H$19+IF(parametros_manuales!$H$26="Todos",datos_base!$H$10+datos_base!$H$24,0))*parametros_manuales!$E$100+parametros_manuales!$F$26*(datos_base!$H$4+datos_base!$H$20+IF(parametros_manuales!$H$26="Todos",datos_base!$H$11+datos_base!$H$25,0))*parametros_manuales!$E$105+parametros_manuales!$G$26*(datos_base!$H$5+datos_base!$H$21+IF(parametros_manuales!$H$26="Todos",datos_base!$H$12+datos_base!$H$26,0))*parametros_manuales!$E$110)*parametros_manuales!$I$26*parametros_manuales!$J$26</f>
        <v>4173.934852265</v>
      </c>
      <c r="F171" s="9" t="n">
        <f aca="false">(parametros_manuales!$D$26*(datos_base!$H$2+datos_base!$H$18+IF(parametros_manuales!$H$26="Todos",datos_base!$H$9+datos_base!$H$23,0))*parametros_manuales!$F$95+parametros_manuales!$E$26*(datos_base!$H$3+datos_base!$H$19+IF(parametros_manuales!$H$26="Todos",datos_base!$H$10+datos_base!$H$24,0))*parametros_manuales!$F$100+parametros_manuales!$F$26*(datos_base!$H$4+datos_base!$H$20+IF(parametros_manuales!$H$26="Todos",datos_base!$H$11+datos_base!$H$25,0))*parametros_manuales!$F$105+parametros_manuales!$G$26*(datos_base!$H$5+datos_base!$H$21+IF(parametros_manuales!$H$26="Todos",datos_base!$H$12+datos_base!$H$26,0))*parametros_manuales!$F$110)*parametros_manuales!$I$26*parametros_manuales!$J$26</f>
        <v>3928.40927272</v>
      </c>
      <c r="G171" s="9" t="n">
        <f aca="false">(parametros_manuales!$D$26*(datos_base!$H$2+datos_base!$H$18+IF(parametros_manuales!$H$26="Todos",datos_base!$H$9+datos_base!$H$23,0))*parametros_manuales!$G$95+parametros_manuales!$E$26*(datos_base!$H$3+datos_base!$H$19+IF(parametros_manuales!$H$26="Todos",datos_base!$H$10+datos_base!$H$24,0))*parametros_manuales!$G$100+parametros_manuales!$F$26*(datos_base!$H$4+datos_base!$H$20+IF(parametros_manuales!$H$26="Todos",datos_base!$H$11+datos_base!$H$25,0))*parametros_manuales!$G$105+parametros_manuales!$G$26*(datos_base!$H$5+datos_base!$H$21+IF(parametros_manuales!$H$26="Todos",datos_base!$H$12+datos_base!$H$26,0))*parametros_manuales!$G$110)*parametros_manuales!$I$26*parametros_manuales!$J$26</f>
        <v>3682.883693175</v>
      </c>
      <c r="H171" s="9" t="n">
        <f aca="false">(parametros_manuales!$D$26*(datos_base!$H$2+datos_base!$H$18+IF(parametros_manuales!$H$26="Todos",datos_base!$H$9+datos_base!$H$23,0))*parametros_manuales!$H$95+parametros_manuales!$E$26*(datos_base!$H$3+datos_base!$H$19+IF(parametros_manuales!$H$26="Todos",datos_base!$H$10+datos_base!$H$24,0))*parametros_manuales!$H$100+parametros_manuales!$F$26*(datos_base!$H$4+datos_base!$H$20+IF(parametros_manuales!$H$26="Todos",datos_base!$H$11+datos_base!$H$25,0))*parametros_manuales!$H$105+parametros_manuales!$G$26*(datos_base!$H$5+datos_base!$H$21+IF(parametros_manuales!$H$26="Todos",datos_base!$H$12+datos_base!$H$26,0))*parametros_manuales!$H$110)*parametros_manuales!$I$26*parametros_manuales!$J$26</f>
        <v>3928.40927272</v>
      </c>
      <c r="I171" s="9" t="n">
        <f aca="false">(parametros_manuales!$D$26*(datos_base!$H$2+datos_base!$H$18+IF(parametros_manuales!$H$26="Todos",datos_base!$H$9+datos_base!$H$23,0))*parametros_manuales!$I$95+parametros_manuales!$E$26*(datos_base!$H$3+datos_base!$H$19+IF(parametros_manuales!$H$26="Todos",datos_base!$H$10+datos_base!$H$24,0))*parametros_manuales!$I$100+parametros_manuales!$F$26*(datos_base!$H$4+datos_base!$H$20+IF(parametros_manuales!$H$26="Todos",datos_base!$H$11+datos_base!$H$25,0))*parametros_manuales!$I$105+parametros_manuales!$G$26*(datos_base!$H$5+datos_base!$H$21+IF(parametros_manuales!$H$26="Todos",datos_base!$H$12+datos_base!$H$26,0))*parametros_manuales!$I$110)*parametros_manuales!$I$26*parametros_manuales!$J$26</f>
        <v>3928.40927272</v>
      </c>
      <c r="J171" s="9" t="n">
        <f aca="false">(parametros_manuales!$D$26*(datos_base!$H$2+datos_base!$H$18+IF(parametros_manuales!$H$26="Todos",datos_base!$H$9+datos_base!$H$23,0))*parametros_manuales!$J$95+parametros_manuales!$E$26*(datos_base!$H$3+datos_base!$H$19+IF(parametros_manuales!$H$26="Todos",datos_base!$H$10+datos_base!$H$24,0))*parametros_manuales!$J$100+parametros_manuales!$F$26*(datos_base!$H$4+datos_base!$H$20+IF(parametros_manuales!$H$26="Todos",datos_base!$H$11+datos_base!$H$25,0))*parametros_manuales!$J$105+parametros_manuales!$G$26*(datos_base!$H$5+datos_base!$H$21+IF(parametros_manuales!$H$26="Todos",datos_base!$H$12+datos_base!$H$26,0))*parametros_manuales!$J$110)*parametros_manuales!$I$26*parametros_manuales!$J$26</f>
        <v>3928.40927272</v>
      </c>
      <c r="K171" s="9" t="n">
        <f aca="false">(parametros_manuales!$D$26*(datos_base!$H$2+datos_base!$H$18+IF(parametros_manuales!$H$26="Todos",datos_base!$H$9+datos_base!$H$23,0))*parametros_manuales!$K$95+parametros_manuales!$E$26*(datos_base!$H$3+datos_base!$H$19+IF(parametros_manuales!$H$26="Todos",datos_base!$H$10+datos_base!$H$24,0))*parametros_manuales!$K$100+parametros_manuales!$F$26*(datos_base!$H$4+datos_base!$H$20+IF(parametros_manuales!$H$26="Todos",datos_base!$H$11+datos_base!$H$25,0))*parametros_manuales!$K$105+parametros_manuales!$G$26*(datos_base!$H$5+datos_base!$H$21+IF(parametros_manuales!$H$26="Todos",datos_base!$H$12+datos_base!$H$26,0))*parametros_manuales!$K$110)*parametros_manuales!$I$26*parametros_manuales!$J$26</f>
        <v>4173.934852265</v>
      </c>
      <c r="L171" s="9" t="n">
        <f aca="false">(parametros_manuales!$D$26*(datos_base!$H$2+datos_base!$H$18+IF(parametros_manuales!$H$26="Todos",datos_base!$H$9+datos_base!$H$23,0))*parametros_manuales!$L$95+parametros_manuales!$E$26*(datos_base!$H$3+datos_base!$H$19+IF(parametros_manuales!$H$26="Todos",datos_base!$H$10+datos_base!$H$24,0))*parametros_manuales!$L$100+parametros_manuales!$F$26*(datos_base!$H$4+datos_base!$H$20+IF(parametros_manuales!$H$26="Todos",datos_base!$H$11+datos_base!$H$25,0))*parametros_manuales!$L$105+parametros_manuales!$G$26*(datos_base!$H$5+datos_base!$H$21+IF(parametros_manuales!$H$26="Todos",datos_base!$H$12+datos_base!$H$26,0))*parametros_manuales!$L$110)*parametros_manuales!$I$26*parametros_manuales!$J$26</f>
        <v>4419.46043181</v>
      </c>
      <c r="M171" s="9" t="n">
        <f aca="false">(parametros_manuales!$D$26*(datos_base!$H$2+datos_base!$H$18+IF(parametros_manuales!$H$26="Todos",datos_base!$H$9+datos_base!$H$23,0))*parametros_manuales!$M$95+parametros_manuales!$E$26*(datos_base!$H$3+datos_base!$H$19+IF(parametros_manuales!$H$26="Todos",datos_base!$H$10+datos_base!$H$24,0))*parametros_manuales!$M$100+parametros_manuales!$F$26*(datos_base!$H$4+datos_base!$H$20+IF(parametros_manuales!$H$26="Todos",datos_base!$H$11+datos_base!$H$25,0))*parametros_manuales!$M$105+parametros_manuales!$G$26*(datos_base!$H$5+datos_base!$H$21+IF(parametros_manuales!$H$26="Todos",datos_base!$H$12+datos_base!$H$26,0))*parametros_manuales!$M$110)*parametros_manuales!$I$26*parametros_manuales!$J$26</f>
        <v>4419.46043181</v>
      </c>
      <c r="N171" s="9" t="n">
        <f aca="false">SUM(B171:M171)</f>
        <v>49105.115909</v>
      </c>
      <c r="O171" s="9" t="n">
        <f aca="false">MAX(B171:M171)</f>
        <v>4419.46043181</v>
      </c>
      <c r="P171" s="43" t="n">
        <f aca="false">O171/(parametros_manuales!$B$7)</f>
        <v>29.4630695454</v>
      </c>
      <c r="Q171" s="8" t="str">
        <f aca="false">IF(O171=0,"-",INDEX($B$163:$M$163,MATCH(O171,B171:M171,0)))</f>
        <v>Ene</v>
      </c>
    </row>
    <row r="172" customFormat="false" ht="14.25" hidden="false" customHeight="true" outlineLevel="0" collapsed="false">
      <c r="A172" s="8" t="str">
        <f aca="false">parametros_manuales!$B$27</f>
        <v>Soldadura longitudinal</v>
      </c>
      <c r="B172" s="9" t="n">
        <f aca="false">(parametros_manuales!$D$27*(datos_base!$H$2+datos_base!$H$18+IF(parametros_manuales!$H$27="Todos",datos_base!$H$9+datos_base!$H$23,0))*parametros_manuales!$B$95+parametros_manuales!$E$27*(datos_base!$H$3+datos_base!$H$19+IF(parametros_manuales!$H$27="Todos",datos_base!$H$10+datos_base!$H$24,0))*parametros_manuales!$B$100+parametros_manuales!$F$27*(datos_base!$H$4+datos_base!$H$20+IF(parametros_manuales!$H$27="Todos",datos_base!$H$11+datos_base!$H$25,0))*parametros_manuales!$B$105+parametros_manuales!$G$27*(datos_base!$H$5+datos_base!$H$21+IF(parametros_manuales!$H$27="Todos",datos_base!$H$12+datos_base!$H$26,0))*parametros_manuales!$B$110)*parametros_manuales!$I$27*parametros_manuales!$J$27</f>
        <v>4419.46043181</v>
      </c>
      <c r="C172" s="9" t="n">
        <f aca="false">(parametros_manuales!$D$27*(datos_base!$H$2+datos_base!$H$18+IF(parametros_manuales!$H$27="Todos",datos_base!$H$9+datos_base!$H$23,0))*parametros_manuales!$C$95+parametros_manuales!$E$27*(datos_base!$H$3+datos_base!$H$19+IF(parametros_manuales!$H$27="Todos",datos_base!$H$10+datos_base!$H$24,0))*parametros_manuales!$C$100+parametros_manuales!$F$27*(datos_base!$H$4+datos_base!$H$20+IF(parametros_manuales!$H$27="Todos",datos_base!$H$11+datos_base!$H$25,0))*parametros_manuales!$C$105+parametros_manuales!$G$27*(datos_base!$H$5+datos_base!$H$21+IF(parametros_manuales!$H$27="Todos",datos_base!$H$12+datos_base!$H$26,0))*parametros_manuales!$C$110)*parametros_manuales!$I$27*parametros_manuales!$J$27</f>
        <v>3928.40927272</v>
      </c>
      <c r="D172" s="9" t="n">
        <f aca="false">(parametros_manuales!$D$27*(datos_base!$H$2+datos_base!$H$18+IF(parametros_manuales!$H$27="Todos",datos_base!$H$9+datos_base!$H$23,0))*parametros_manuales!$D$95+parametros_manuales!$E$27*(datos_base!$H$3+datos_base!$H$19+IF(parametros_manuales!$H$27="Todos",datos_base!$H$10+datos_base!$H$24,0))*parametros_manuales!$D$100+parametros_manuales!$F$27*(datos_base!$H$4+datos_base!$H$20+IF(parametros_manuales!$H$27="Todos",datos_base!$H$11+datos_base!$H$25,0))*parametros_manuales!$D$105+parametros_manuales!$G$27*(datos_base!$H$5+datos_base!$H$21+IF(parametros_manuales!$H$27="Todos",datos_base!$H$12+datos_base!$H$26,0))*parametros_manuales!$D$110)*parametros_manuales!$I$27*parametros_manuales!$J$27</f>
        <v>4173.934852265</v>
      </c>
      <c r="E172" s="9" t="n">
        <f aca="false">(parametros_manuales!$D$27*(datos_base!$H$2+datos_base!$H$18+IF(parametros_manuales!$H$27="Todos",datos_base!$H$9+datos_base!$H$23,0))*parametros_manuales!$E$95+parametros_manuales!$E$27*(datos_base!$H$3+datos_base!$H$19+IF(parametros_manuales!$H$27="Todos",datos_base!$H$10+datos_base!$H$24,0))*parametros_manuales!$E$100+parametros_manuales!$F$27*(datos_base!$H$4+datos_base!$H$20+IF(parametros_manuales!$H$27="Todos",datos_base!$H$11+datos_base!$H$25,0))*parametros_manuales!$E$105+parametros_manuales!$G$27*(datos_base!$H$5+datos_base!$H$21+IF(parametros_manuales!$H$27="Todos",datos_base!$H$12+datos_base!$H$26,0))*parametros_manuales!$E$110)*parametros_manuales!$I$27*parametros_manuales!$J$27</f>
        <v>4173.934852265</v>
      </c>
      <c r="F172" s="9" t="n">
        <f aca="false">(parametros_manuales!$D$27*(datos_base!$H$2+datos_base!$H$18+IF(parametros_manuales!$H$27="Todos",datos_base!$H$9+datos_base!$H$23,0))*parametros_manuales!$F$95+parametros_manuales!$E$27*(datos_base!$H$3+datos_base!$H$19+IF(parametros_manuales!$H$27="Todos",datos_base!$H$10+datos_base!$H$24,0))*parametros_manuales!$F$100+parametros_manuales!$F$27*(datos_base!$H$4+datos_base!$H$20+IF(parametros_manuales!$H$27="Todos",datos_base!$H$11+datos_base!$H$25,0))*parametros_manuales!$F$105+parametros_manuales!$G$27*(datos_base!$H$5+datos_base!$H$21+IF(parametros_manuales!$H$27="Todos",datos_base!$H$12+datos_base!$H$26,0))*parametros_manuales!$F$110)*parametros_manuales!$I$27*parametros_manuales!$J$27</f>
        <v>3928.40927272</v>
      </c>
      <c r="G172" s="9" t="n">
        <f aca="false">(parametros_manuales!$D$27*(datos_base!$H$2+datos_base!$H$18+IF(parametros_manuales!$H$27="Todos",datos_base!$H$9+datos_base!$H$23,0))*parametros_manuales!$G$95+parametros_manuales!$E$27*(datos_base!$H$3+datos_base!$H$19+IF(parametros_manuales!$H$27="Todos",datos_base!$H$10+datos_base!$H$24,0))*parametros_manuales!$G$100+parametros_manuales!$F$27*(datos_base!$H$4+datos_base!$H$20+IF(parametros_manuales!$H$27="Todos",datos_base!$H$11+datos_base!$H$25,0))*parametros_manuales!$G$105+parametros_manuales!$G$27*(datos_base!$H$5+datos_base!$H$21+IF(parametros_manuales!$H$27="Todos",datos_base!$H$12+datos_base!$H$26,0))*parametros_manuales!$G$110)*parametros_manuales!$I$27*parametros_manuales!$J$27</f>
        <v>3682.883693175</v>
      </c>
      <c r="H172" s="9" t="n">
        <f aca="false">(parametros_manuales!$D$27*(datos_base!$H$2+datos_base!$H$18+IF(parametros_manuales!$H$27="Todos",datos_base!$H$9+datos_base!$H$23,0))*parametros_manuales!$H$95+parametros_manuales!$E$27*(datos_base!$H$3+datos_base!$H$19+IF(parametros_manuales!$H$27="Todos",datos_base!$H$10+datos_base!$H$24,0))*parametros_manuales!$H$100+parametros_manuales!$F$27*(datos_base!$H$4+datos_base!$H$20+IF(parametros_manuales!$H$27="Todos",datos_base!$H$11+datos_base!$H$25,0))*parametros_manuales!$H$105+parametros_manuales!$G$27*(datos_base!$H$5+datos_base!$H$21+IF(parametros_manuales!$H$27="Todos",datos_base!$H$12+datos_base!$H$26,0))*parametros_manuales!$H$110)*parametros_manuales!$I$27*parametros_manuales!$J$27</f>
        <v>3928.40927272</v>
      </c>
      <c r="I172" s="9" t="n">
        <f aca="false">(parametros_manuales!$D$27*(datos_base!$H$2+datos_base!$H$18+IF(parametros_manuales!$H$27="Todos",datos_base!$H$9+datos_base!$H$23,0))*parametros_manuales!$I$95+parametros_manuales!$E$27*(datos_base!$H$3+datos_base!$H$19+IF(parametros_manuales!$H$27="Todos",datos_base!$H$10+datos_base!$H$24,0))*parametros_manuales!$I$100+parametros_manuales!$F$27*(datos_base!$H$4+datos_base!$H$20+IF(parametros_manuales!$H$27="Todos",datos_base!$H$11+datos_base!$H$25,0))*parametros_manuales!$I$105+parametros_manuales!$G$27*(datos_base!$H$5+datos_base!$H$21+IF(parametros_manuales!$H$27="Todos",datos_base!$H$12+datos_base!$H$26,0))*parametros_manuales!$I$110)*parametros_manuales!$I$27*parametros_manuales!$J$27</f>
        <v>3928.40927272</v>
      </c>
      <c r="J172" s="9" t="n">
        <f aca="false">(parametros_manuales!$D$27*(datos_base!$H$2+datos_base!$H$18+IF(parametros_manuales!$H$27="Todos",datos_base!$H$9+datos_base!$H$23,0))*parametros_manuales!$J$95+parametros_manuales!$E$27*(datos_base!$H$3+datos_base!$H$19+IF(parametros_manuales!$H$27="Todos",datos_base!$H$10+datos_base!$H$24,0))*parametros_manuales!$J$100+parametros_manuales!$F$27*(datos_base!$H$4+datos_base!$H$20+IF(parametros_manuales!$H$27="Todos",datos_base!$H$11+datos_base!$H$25,0))*parametros_manuales!$J$105+parametros_manuales!$G$27*(datos_base!$H$5+datos_base!$H$21+IF(parametros_manuales!$H$27="Todos",datos_base!$H$12+datos_base!$H$26,0))*parametros_manuales!$J$110)*parametros_manuales!$I$27*parametros_manuales!$J$27</f>
        <v>3928.40927272</v>
      </c>
      <c r="K172" s="9" t="n">
        <f aca="false">(parametros_manuales!$D$27*(datos_base!$H$2+datos_base!$H$18+IF(parametros_manuales!$H$27="Todos",datos_base!$H$9+datos_base!$H$23,0))*parametros_manuales!$K$95+parametros_manuales!$E$27*(datos_base!$H$3+datos_base!$H$19+IF(parametros_manuales!$H$27="Todos",datos_base!$H$10+datos_base!$H$24,0))*parametros_manuales!$K$100+parametros_manuales!$F$27*(datos_base!$H$4+datos_base!$H$20+IF(parametros_manuales!$H$27="Todos",datos_base!$H$11+datos_base!$H$25,0))*parametros_manuales!$K$105+parametros_manuales!$G$27*(datos_base!$H$5+datos_base!$H$21+IF(parametros_manuales!$H$27="Todos",datos_base!$H$12+datos_base!$H$26,0))*parametros_manuales!$K$110)*parametros_manuales!$I$27*parametros_manuales!$J$27</f>
        <v>4173.934852265</v>
      </c>
      <c r="L172" s="9" t="n">
        <f aca="false">(parametros_manuales!$D$27*(datos_base!$H$2+datos_base!$H$18+IF(parametros_manuales!$H$27="Todos",datos_base!$H$9+datos_base!$H$23,0))*parametros_manuales!$L$95+parametros_manuales!$E$27*(datos_base!$H$3+datos_base!$H$19+IF(parametros_manuales!$H$27="Todos",datos_base!$H$10+datos_base!$H$24,0))*parametros_manuales!$L$100+parametros_manuales!$F$27*(datos_base!$H$4+datos_base!$H$20+IF(parametros_manuales!$H$27="Todos",datos_base!$H$11+datos_base!$H$25,0))*parametros_manuales!$L$105+parametros_manuales!$G$27*(datos_base!$H$5+datos_base!$H$21+IF(parametros_manuales!$H$27="Todos",datos_base!$H$12+datos_base!$H$26,0))*parametros_manuales!$L$110)*parametros_manuales!$I$27*parametros_manuales!$J$27</f>
        <v>4419.46043181</v>
      </c>
      <c r="M172" s="9" t="n">
        <f aca="false">(parametros_manuales!$D$27*(datos_base!$H$2+datos_base!$H$18+IF(parametros_manuales!$H$27="Todos",datos_base!$H$9+datos_base!$H$23,0))*parametros_manuales!$M$95+parametros_manuales!$E$27*(datos_base!$H$3+datos_base!$H$19+IF(parametros_manuales!$H$27="Todos",datos_base!$H$10+datos_base!$H$24,0))*parametros_manuales!$M$100+parametros_manuales!$F$27*(datos_base!$H$4+datos_base!$H$20+IF(parametros_manuales!$H$27="Todos",datos_base!$H$11+datos_base!$H$25,0))*parametros_manuales!$M$105+parametros_manuales!$G$27*(datos_base!$H$5+datos_base!$H$21+IF(parametros_manuales!$H$27="Todos",datos_base!$H$12+datos_base!$H$26,0))*parametros_manuales!$M$110)*parametros_manuales!$I$27*parametros_manuales!$J$27</f>
        <v>4419.46043181</v>
      </c>
      <c r="N172" s="9" t="n">
        <f aca="false">SUM(B172:M172)</f>
        <v>49105.115909</v>
      </c>
      <c r="O172" s="9" t="n">
        <f aca="false">MAX(B172:M172)</f>
        <v>4419.46043181</v>
      </c>
      <c r="P172" s="43" t="n">
        <f aca="false">O172/(parametros_manuales!$B$7)</f>
        <v>29.4630695454</v>
      </c>
      <c r="Q172" s="8" t="str">
        <f aca="false">IF(O172=0,"-",INDEX($B$163:$M$163,MATCH(O172,B172:M172,0)))</f>
        <v>Ene</v>
      </c>
    </row>
    <row r="173" customFormat="false" ht="14.25" hidden="false" customHeight="true" outlineLevel="0" collapsed="false">
      <c r="A173" s="8" t="str">
        <f aca="false">parametros_manuales!$B$28</f>
        <v>Encastre de fondo</v>
      </c>
      <c r="B173" s="9" t="n">
        <f aca="false">(parametros_manuales!$D$28*(datos_base!$H$2+datos_base!$H$18+IF(parametros_manuales!$H$28="Todos",datos_base!$H$9+datos_base!$H$23,0))*parametros_manuales!$B$95+parametros_manuales!$E$28*(datos_base!$H$3+datos_base!$H$19+IF(parametros_manuales!$H$28="Todos",datos_base!$H$10+datos_base!$H$24,0))*parametros_manuales!$B$100+parametros_manuales!$F$28*(datos_base!$H$4+datos_base!$H$20+IF(parametros_manuales!$H$28="Todos",datos_base!$H$11+datos_base!$H$25,0))*parametros_manuales!$B$105+parametros_manuales!$G$28*(datos_base!$H$5+datos_base!$H$21+IF(parametros_manuales!$H$28="Todos",datos_base!$H$12+datos_base!$H$26,0))*parametros_manuales!$B$110)*parametros_manuales!$I$28*parametros_manuales!$J$28</f>
        <v>15370.04422521</v>
      </c>
      <c r="C173" s="9" t="n">
        <f aca="false">(parametros_manuales!$D$28*(datos_base!$H$2+datos_base!$H$18+IF(parametros_manuales!$H$28="Todos",datos_base!$H$9+datos_base!$H$23,0))*parametros_manuales!$C$95+parametros_manuales!$E$28*(datos_base!$H$3+datos_base!$H$19+IF(parametros_manuales!$H$28="Todos",datos_base!$H$10+datos_base!$H$24,0))*parametros_manuales!$C$100+parametros_manuales!$F$28*(datos_base!$H$4+datos_base!$H$20+IF(parametros_manuales!$H$28="Todos",datos_base!$H$11+datos_base!$H$25,0))*parametros_manuales!$C$105+parametros_manuales!$G$28*(datos_base!$H$5+datos_base!$H$21+IF(parametros_manuales!$H$28="Todos",datos_base!$H$12+datos_base!$H$26,0))*parametros_manuales!$C$110)*parametros_manuales!$I$28*parametros_manuales!$J$28</f>
        <v>14878.99306612</v>
      </c>
      <c r="D173" s="9" t="n">
        <f aca="false">(parametros_manuales!$D$28*(datos_base!$H$2+datos_base!$H$18+IF(parametros_manuales!$H$28="Todos",datos_base!$H$9+datos_base!$H$23,0))*parametros_manuales!$D$95+parametros_manuales!$E$28*(datos_base!$H$3+datos_base!$H$19+IF(parametros_manuales!$H$28="Todos",datos_base!$H$10+datos_base!$H$24,0))*parametros_manuales!$D$100+parametros_manuales!$F$28*(datos_base!$H$4+datos_base!$H$20+IF(parametros_manuales!$H$28="Todos",datos_base!$H$11+datos_base!$H$25,0))*parametros_manuales!$D$105+parametros_manuales!$G$28*(datos_base!$H$5+datos_base!$H$21+IF(parametros_manuales!$H$28="Todos",datos_base!$H$12+datos_base!$H$26,0))*parametros_manuales!$D$110)*parametros_manuales!$I$28*parametros_manuales!$J$28</f>
        <v>13907.787113065</v>
      </c>
      <c r="E173" s="9" t="n">
        <f aca="false">(parametros_manuales!$D$28*(datos_base!$H$2+datos_base!$H$18+IF(parametros_manuales!$H$28="Todos",datos_base!$H$9+datos_base!$H$23,0))*parametros_manuales!$E$95+parametros_manuales!$E$28*(datos_base!$H$3+datos_base!$H$19+IF(parametros_manuales!$H$28="Todos",datos_base!$H$10+datos_base!$H$24,0))*parametros_manuales!$E$100+parametros_manuales!$F$28*(datos_base!$H$4+datos_base!$H$20+IF(parametros_manuales!$H$28="Todos",datos_base!$H$11+datos_base!$H$25,0))*parametros_manuales!$E$105+parametros_manuales!$G$28*(datos_base!$H$5+datos_base!$H$21+IF(parametros_manuales!$H$28="Todos",datos_base!$H$12+datos_base!$H$26,0))*parametros_manuales!$E$110)*parametros_manuales!$I$28*parametros_manuales!$J$28</f>
        <v>13299.421346765</v>
      </c>
      <c r="F173" s="9" t="n">
        <f aca="false">(parametros_manuales!$D$28*(datos_base!$H$2+datos_base!$H$18+IF(parametros_manuales!$H$28="Todos",datos_base!$H$9+datos_base!$H$23,0))*parametros_manuales!$F$95+parametros_manuales!$E$28*(datos_base!$H$3+datos_base!$H$19+IF(parametros_manuales!$H$28="Todos",datos_base!$H$10+datos_base!$H$24,0))*parametros_manuales!$F$100+parametros_manuales!$F$28*(datos_base!$H$4+datos_base!$H$20+IF(parametros_manuales!$H$28="Todos",datos_base!$H$11+datos_base!$H$25,0))*parametros_manuales!$F$105+parametros_manuales!$G$28*(datos_base!$H$5+datos_base!$H$21+IF(parametros_manuales!$H$28="Todos",datos_base!$H$12+datos_base!$H$26,0))*parametros_manuales!$F$110)*parametros_manuales!$I$28*parametros_manuales!$J$28</f>
        <v>12445.53000092</v>
      </c>
      <c r="G173" s="9" t="n">
        <f aca="false">(parametros_manuales!$D$28*(datos_base!$H$2+datos_base!$H$18+IF(parametros_manuales!$H$28="Todos",datos_base!$H$9+datos_base!$H$23,0))*parametros_manuales!$G$95+parametros_manuales!$E$28*(datos_base!$H$3+datos_base!$H$19+IF(parametros_manuales!$H$28="Todos",datos_base!$H$10+datos_base!$H$24,0))*parametros_manuales!$G$100+parametros_manuales!$F$28*(datos_base!$H$4+datos_base!$H$20+IF(parametros_manuales!$H$28="Todos",datos_base!$H$11+datos_base!$H$25,0))*parametros_manuales!$G$105+parametros_manuales!$G$28*(datos_base!$H$5+datos_base!$H$21+IF(parametros_manuales!$H$28="Todos",datos_base!$H$12+datos_base!$H$26,0))*parametros_manuales!$G$110)*parametros_manuales!$I$28*parametros_manuales!$J$28</f>
        <v>12200.004421375</v>
      </c>
      <c r="H173" s="9" t="n">
        <f aca="false">(parametros_manuales!$D$28*(datos_base!$H$2+datos_base!$H$18+IF(parametros_manuales!$H$28="Todos",datos_base!$H$9+datos_base!$H$23,0))*parametros_manuales!$H$95+parametros_manuales!$E$28*(datos_base!$H$3+datos_base!$H$19+IF(parametros_manuales!$H$28="Todos",datos_base!$H$10+datos_base!$H$24,0))*parametros_manuales!$H$100+parametros_manuales!$F$28*(datos_base!$H$4+datos_base!$H$20+IF(parametros_manuales!$H$28="Todos",datos_base!$H$11+datos_base!$H$25,0))*parametros_manuales!$H$105+parametros_manuales!$G$28*(datos_base!$H$5+datos_base!$H$21+IF(parametros_manuales!$H$28="Todos",datos_base!$H$12+datos_base!$H$26,0))*parametros_manuales!$H$110)*parametros_manuales!$I$28*parametros_manuales!$J$28</f>
        <v>13053.89576722</v>
      </c>
      <c r="I173" s="9" t="n">
        <f aca="false">(parametros_manuales!$D$28*(datos_base!$H$2+datos_base!$H$18+IF(parametros_manuales!$H$28="Todos",datos_base!$H$9+datos_base!$H$23,0))*parametros_manuales!$I$95+parametros_manuales!$E$28*(datos_base!$H$3+datos_base!$H$19+IF(parametros_manuales!$H$28="Todos",datos_base!$H$10+datos_base!$H$24,0))*parametros_manuales!$I$100+parametros_manuales!$F$28*(datos_base!$H$4+datos_base!$H$20+IF(parametros_manuales!$H$28="Todos",datos_base!$H$11+datos_base!$H$25,0))*parametros_manuales!$I$105+parametros_manuales!$G$28*(datos_base!$H$5+datos_base!$H$21+IF(parametros_manuales!$H$28="Todos",datos_base!$H$12+datos_base!$H$26,0))*parametros_manuales!$I$110)*parametros_manuales!$I$28*parametros_manuales!$J$28</f>
        <v>14878.99306612</v>
      </c>
      <c r="J173" s="9" t="n">
        <f aca="false">(parametros_manuales!$D$28*(datos_base!$H$2+datos_base!$H$18+IF(parametros_manuales!$H$28="Todos",datos_base!$H$9+datos_base!$H$23,0))*parametros_manuales!$J$95+parametros_manuales!$E$28*(datos_base!$H$3+datos_base!$H$19+IF(parametros_manuales!$H$28="Todos",datos_base!$H$10+datos_base!$H$24,0))*parametros_manuales!$J$100+parametros_manuales!$F$28*(datos_base!$H$4+datos_base!$H$20+IF(parametros_manuales!$H$28="Todos",datos_base!$H$11+datos_base!$H$25,0))*parametros_manuales!$J$105+parametros_manuales!$G$28*(datos_base!$H$5+datos_base!$H$21+IF(parametros_manuales!$H$28="Todos",datos_base!$H$12+datos_base!$H$26,0))*parametros_manuales!$J$110)*parametros_manuales!$I$28*parametros_manuales!$J$28</f>
        <v>14878.99306612</v>
      </c>
      <c r="K173" s="9" t="n">
        <f aca="false">(parametros_manuales!$D$28*(datos_base!$H$2+datos_base!$H$18+IF(parametros_manuales!$H$28="Todos",datos_base!$H$9+datos_base!$H$23,0))*parametros_manuales!$K$95+parametros_manuales!$E$28*(datos_base!$H$3+datos_base!$H$19+IF(parametros_manuales!$H$28="Todos",datos_base!$H$10+datos_base!$H$24,0))*parametros_manuales!$K$100+parametros_manuales!$F$28*(datos_base!$H$4+datos_base!$H$20+IF(parametros_manuales!$H$28="Todos",datos_base!$H$11+datos_base!$H$25,0))*parametros_manuales!$K$105+parametros_manuales!$G$28*(datos_base!$H$5+datos_base!$H$21+IF(parametros_manuales!$H$28="Todos",datos_base!$H$12+datos_base!$H$26,0))*parametros_manuales!$K$110)*parametros_manuales!$I$28*parametros_manuales!$J$28</f>
        <v>15124.518645665</v>
      </c>
      <c r="L173" s="9" t="n">
        <f aca="false">(parametros_manuales!$D$28*(datos_base!$H$2+datos_base!$H$18+IF(parametros_manuales!$H$28="Todos",datos_base!$H$9+datos_base!$H$23,0))*parametros_manuales!$L$95+parametros_manuales!$E$28*(datos_base!$H$3+datos_base!$H$19+IF(parametros_manuales!$H$28="Todos",datos_base!$H$10+datos_base!$H$24,0))*parametros_manuales!$L$100+parametros_manuales!$F$28*(datos_base!$H$4+datos_base!$H$20+IF(parametros_manuales!$H$28="Todos",datos_base!$H$11+datos_base!$H$25,0))*parametros_manuales!$L$105+parametros_manuales!$G$28*(datos_base!$H$5+datos_base!$H$21+IF(parametros_manuales!$H$28="Todos",datos_base!$H$12+datos_base!$H$26,0))*parametros_manuales!$L$110)*parametros_manuales!$I$28*parametros_manuales!$J$28</f>
        <v>15370.04422521</v>
      </c>
      <c r="M173" s="9" t="n">
        <f aca="false">(parametros_manuales!$D$28*(datos_base!$H$2+datos_base!$H$18+IF(parametros_manuales!$H$28="Todos",datos_base!$H$9+datos_base!$H$23,0))*parametros_manuales!$M$95+parametros_manuales!$E$28*(datos_base!$H$3+datos_base!$H$19+IF(parametros_manuales!$H$28="Todos",datos_base!$H$10+datos_base!$H$24,0))*parametros_manuales!$M$100+parametros_manuales!$F$28*(datos_base!$H$4+datos_base!$H$20+IF(parametros_manuales!$H$28="Todos",datos_base!$H$11+datos_base!$H$25,0))*parametros_manuales!$M$105+parametros_manuales!$G$28*(datos_base!$H$5+datos_base!$H$21+IF(parametros_manuales!$H$28="Todos",datos_base!$H$12+datos_base!$H$26,0))*parametros_manuales!$M$110)*parametros_manuales!$I$28*parametros_manuales!$J$28</f>
        <v>15370.04422521</v>
      </c>
      <c r="N173" s="9" t="n">
        <f aca="false">SUM(B173:M173)</f>
        <v>170778.269169</v>
      </c>
      <c r="O173" s="9" t="n">
        <f aca="false">MAX(B173:M173)</f>
        <v>15370.04422521</v>
      </c>
      <c r="P173" s="43" t="n">
        <f aca="false">O173/(parametros_manuales!$B$7)</f>
        <v>102.4669615014</v>
      </c>
      <c r="Q173" s="8" t="str">
        <f aca="false">IF(O173=0,"-",INDEX($B$163:$M$163,MATCH(O173,B173:M173,0)))</f>
        <v>Ene</v>
      </c>
    </row>
    <row r="174" customFormat="false" ht="14.25" hidden="false" customHeight="true" outlineLevel="0" collapsed="false">
      <c r="A174" s="8" t="str">
        <f aca="false">parametros_manuales!$B$29</f>
        <v>Bordoneado</v>
      </c>
      <c r="B174" s="9" t="n">
        <f aca="false">(parametros_manuales!$D$29*(datos_base!$H$2+datos_base!$H$18+IF(parametros_manuales!$H$29="Todos",datos_base!$H$9+datos_base!$H$23,0))*parametros_manuales!$B$95+parametros_manuales!$E$29*(datos_base!$H$3+datos_base!$H$19+IF(parametros_manuales!$H$29="Todos",datos_base!$H$10+datos_base!$H$24,0))*parametros_manuales!$B$100+parametros_manuales!$F$29*(datos_base!$H$4+datos_base!$H$20+IF(parametros_manuales!$H$29="Todos",datos_base!$H$11+datos_base!$H$25,0))*parametros_manuales!$B$105+parametros_manuales!$G$29*(datos_base!$H$5+datos_base!$H$21+IF(parametros_manuales!$H$29="Todos",datos_base!$H$12+datos_base!$H$26,0))*parametros_manuales!$B$110)*parametros_manuales!$I$29*parametros_manuales!$J$29</f>
        <v>15370.04422521</v>
      </c>
      <c r="C174" s="9" t="n">
        <f aca="false">(parametros_manuales!$D$29*(datos_base!$H$2+datos_base!$H$18+IF(parametros_manuales!$H$29="Todos",datos_base!$H$9+datos_base!$H$23,0))*parametros_manuales!$C$95+parametros_manuales!$E$29*(datos_base!$H$3+datos_base!$H$19+IF(parametros_manuales!$H$29="Todos",datos_base!$H$10+datos_base!$H$24,0))*parametros_manuales!$C$100+parametros_manuales!$F$29*(datos_base!$H$4+datos_base!$H$20+IF(parametros_manuales!$H$29="Todos",datos_base!$H$11+datos_base!$H$25,0))*parametros_manuales!$C$105+parametros_manuales!$G$29*(datos_base!$H$5+datos_base!$H$21+IF(parametros_manuales!$H$29="Todos",datos_base!$H$12+datos_base!$H$26,0))*parametros_manuales!$C$110)*parametros_manuales!$I$29*parametros_manuales!$J$29</f>
        <v>14878.99306612</v>
      </c>
      <c r="D174" s="9" t="n">
        <f aca="false">(parametros_manuales!$D$29*(datos_base!$H$2+datos_base!$H$18+IF(parametros_manuales!$H$29="Todos",datos_base!$H$9+datos_base!$H$23,0))*parametros_manuales!$D$95+parametros_manuales!$E$29*(datos_base!$H$3+datos_base!$H$19+IF(parametros_manuales!$H$29="Todos",datos_base!$H$10+datos_base!$H$24,0))*parametros_manuales!$D$100+parametros_manuales!$F$29*(datos_base!$H$4+datos_base!$H$20+IF(parametros_manuales!$H$29="Todos",datos_base!$H$11+datos_base!$H$25,0))*parametros_manuales!$D$105+parametros_manuales!$G$29*(datos_base!$H$5+datos_base!$H$21+IF(parametros_manuales!$H$29="Todos",datos_base!$H$12+datos_base!$H$26,0))*parametros_manuales!$D$110)*parametros_manuales!$I$29*parametros_manuales!$J$29</f>
        <v>13907.787113065</v>
      </c>
      <c r="E174" s="9" t="n">
        <f aca="false">(parametros_manuales!$D$29*(datos_base!$H$2+datos_base!$H$18+IF(parametros_manuales!$H$29="Todos",datos_base!$H$9+datos_base!$H$23,0))*parametros_manuales!$E$95+parametros_manuales!$E$29*(datos_base!$H$3+datos_base!$H$19+IF(parametros_manuales!$H$29="Todos",datos_base!$H$10+datos_base!$H$24,0))*parametros_manuales!$E$100+parametros_manuales!$F$29*(datos_base!$H$4+datos_base!$H$20+IF(parametros_manuales!$H$29="Todos",datos_base!$H$11+datos_base!$H$25,0))*parametros_manuales!$E$105+parametros_manuales!$G$29*(datos_base!$H$5+datos_base!$H$21+IF(parametros_manuales!$H$29="Todos",datos_base!$H$12+datos_base!$H$26,0))*parametros_manuales!$E$110)*parametros_manuales!$I$29*parametros_manuales!$J$29</f>
        <v>13299.421346765</v>
      </c>
      <c r="F174" s="9" t="n">
        <f aca="false">(parametros_manuales!$D$29*(datos_base!$H$2+datos_base!$H$18+IF(parametros_manuales!$H$29="Todos",datos_base!$H$9+datos_base!$H$23,0))*parametros_manuales!$F$95+parametros_manuales!$E$29*(datos_base!$H$3+datos_base!$H$19+IF(parametros_manuales!$H$29="Todos",datos_base!$H$10+datos_base!$H$24,0))*parametros_manuales!$F$100+parametros_manuales!$F$29*(datos_base!$H$4+datos_base!$H$20+IF(parametros_manuales!$H$29="Todos",datos_base!$H$11+datos_base!$H$25,0))*parametros_manuales!$F$105+parametros_manuales!$G$29*(datos_base!$H$5+datos_base!$H$21+IF(parametros_manuales!$H$29="Todos",datos_base!$H$12+datos_base!$H$26,0))*parametros_manuales!$F$110)*parametros_manuales!$I$29*parametros_manuales!$J$29</f>
        <v>12445.53000092</v>
      </c>
      <c r="G174" s="9" t="n">
        <f aca="false">(parametros_manuales!$D$29*(datos_base!$H$2+datos_base!$H$18+IF(parametros_manuales!$H$29="Todos",datos_base!$H$9+datos_base!$H$23,0))*parametros_manuales!$G$95+parametros_manuales!$E$29*(datos_base!$H$3+datos_base!$H$19+IF(parametros_manuales!$H$29="Todos",datos_base!$H$10+datos_base!$H$24,0))*parametros_manuales!$G$100+parametros_manuales!$F$29*(datos_base!$H$4+datos_base!$H$20+IF(parametros_manuales!$H$29="Todos",datos_base!$H$11+datos_base!$H$25,0))*parametros_manuales!$G$105+parametros_manuales!$G$29*(datos_base!$H$5+datos_base!$H$21+IF(parametros_manuales!$H$29="Todos",datos_base!$H$12+datos_base!$H$26,0))*parametros_manuales!$G$110)*parametros_manuales!$I$29*parametros_manuales!$J$29</f>
        <v>12200.004421375</v>
      </c>
      <c r="H174" s="9" t="n">
        <f aca="false">(parametros_manuales!$D$29*(datos_base!$H$2+datos_base!$H$18+IF(parametros_manuales!$H$29="Todos",datos_base!$H$9+datos_base!$H$23,0))*parametros_manuales!$H$95+parametros_manuales!$E$29*(datos_base!$H$3+datos_base!$H$19+IF(parametros_manuales!$H$29="Todos",datos_base!$H$10+datos_base!$H$24,0))*parametros_manuales!$H$100+parametros_manuales!$F$29*(datos_base!$H$4+datos_base!$H$20+IF(parametros_manuales!$H$29="Todos",datos_base!$H$11+datos_base!$H$25,0))*parametros_manuales!$H$105+parametros_manuales!$G$29*(datos_base!$H$5+datos_base!$H$21+IF(parametros_manuales!$H$29="Todos",datos_base!$H$12+datos_base!$H$26,0))*parametros_manuales!$H$110)*parametros_manuales!$I$29*parametros_manuales!$J$29</f>
        <v>13053.89576722</v>
      </c>
      <c r="I174" s="9" t="n">
        <f aca="false">(parametros_manuales!$D$29*(datos_base!$H$2+datos_base!$H$18+IF(parametros_manuales!$H$29="Todos",datos_base!$H$9+datos_base!$H$23,0))*parametros_manuales!$I$95+parametros_manuales!$E$29*(datos_base!$H$3+datos_base!$H$19+IF(parametros_manuales!$H$29="Todos",datos_base!$H$10+datos_base!$H$24,0))*parametros_manuales!$I$100+parametros_manuales!$F$29*(datos_base!$H$4+datos_base!$H$20+IF(parametros_manuales!$H$29="Todos",datos_base!$H$11+datos_base!$H$25,0))*parametros_manuales!$I$105+parametros_manuales!$G$29*(datos_base!$H$5+datos_base!$H$21+IF(parametros_manuales!$H$29="Todos",datos_base!$H$12+datos_base!$H$26,0))*parametros_manuales!$I$110)*parametros_manuales!$I$29*parametros_manuales!$J$29</f>
        <v>14878.99306612</v>
      </c>
      <c r="J174" s="9" t="n">
        <f aca="false">(parametros_manuales!$D$29*(datos_base!$H$2+datos_base!$H$18+IF(parametros_manuales!$H$29="Todos",datos_base!$H$9+datos_base!$H$23,0))*parametros_manuales!$J$95+parametros_manuales!$E$29*(datos_base!$H$3+datos_base!$H$19+IF(parametros_manuales!$H$29="Todos",datos_base!$H$10+datos_base!$H$24,0))*parametros_manuales!$J$100+parametros_manuales!$F$29*(datos_base!$H$4+datos_base!$H$20+IF(parametros_manuales!$H$29="Todos",datos_base!$H$11+datos_base!$H$25,0))*parametros_manuales!$J$105+parametros_manuales!$G$29*(datos_base!$H$5+datos_base!$H$21+IF(parametros_manuales!$H$29="Todos",datos_base!$H$12+datos_base!$H$26,0))*parametros_manuales!$J$110)*parametros_manuales!$I$29*parametros_manuales!$J$29</f>
        <v>14878.99306612</v>
      </c>
      <c r="K174" s="9" t="n">
        <f aca="false">(parametros_manuales!$D$29*(datos_base!$H$2+datos_base!$H$18+IF(parametros_manuales!$H$29="Todos",datos_base!$H$9+datos_base!$H$23,0))*parametros_manuales!$K$95+parametros_manuales!$E$29*(datos_base!$H$3+datos_base!$H$19+IF(parametros_manuales!$H$29="Todos",datos_base!$H$10+datos_base!$H$24,0))*parametros_manuales!$K$100+parametros_manuales!$F$29*(datos_base!$H$4+datos_base!$H$20+IF(parametros_manuales!$H$29="Todos",datos_base!$H$11+datos_base!$H$25,0))*parametros_manuales!$K$105+parametros_manuales!$G$29*(datos_base!$H$5+datos_base!$H$21+IF(parametros_manuales!$H$29="Todos",datos_base!$H$12+datos_base!$H$26,0))*parametros_manuales!$K$110)*parametros_manuales!$I$29*parametros_manuales!$J$29</f>
        <v>15124.518645665</v>
      </c>
      <c r="L174" s="9" t="n">
        <f aca="false">(parametros_manuales!$D$29*(datos_base!$H$2+datos_base!$H$18+IF(parametros_manuales!$H$29="Todos",datos_base!$H$9+datos_base!$H$23,0))*parametros_manuales!$L$95+parametros_manuales!$E$29*(datos_base!$H$3+datos_base!$H$19+IF(parametros_manuales!$H$29="Todos",datos_base!$H$10+datos_base!$H$24,0))*parametros_manuales!$L$100+parametros_manuales!$F$29*(datos_base!$H$4+datos_base!$H$20+IF(parametros_manuales!$H$29="Todos",datos_base!$H$11+datos_base!$H$25,0))*parametros_manuales!$L$105+parametros_manuales!$G$29*(datos_base!$H$5+datos_base!$H$21+IF(parametros_manuales!$H$29="Todos",datos_base!$H$12+datos_base!$H$26,0))*parametros_manuales!$L$110)*parametros_manuales!$I$29*parametros_manuales!$J$29</f>
        <v>15370.04422521</v>
      </c>
      <c r="M174" s="9" t="n">
        <f aca="false">(parametros_manuales!$D$29*(datos_base!$H$2+datos_base!$H$18+IF(parametros_manuales!$H$29="Todos",datos_base!$H$9+datos_base!$H$23,0))*parametros_manuales!$M$95+parametros_manuales!$E$29*(datos_base!$H$3+datos_base!$H$19+IF(parametros_manuales!$H$29="Todos",datos_base!$H$10+datos_base!$H$24,0))*parametros_manuales!$M$100+parametros_manuales!$F$29*(datos_base!$H$4+datos_base!$H$20+IF(parametros_manuales!$H$29="Todos",datos_base!$H$11+datos_base!$H$25,0))*parametros_manuales!$M$105+parametros_manuales!$G$29*(datos_base!$H$5+datos_base!$H$21+IF(parametros_manuales!$H$29="Todos",datos_base!$H$12+datos_base!$H$26,0))*parametros_manuales!$M$110)*parametros_manuales!$I$29*parametros_manuales!$J$29</f>
        <v>15370.04422521</v>
      </c>
      <c r="N174" s="9" t="n">
        <f aca="false">SUM(B174:M174)</f>
        <v>170778.269169</v>
      </c>
      <c r="O174" s="9" t="n">
        <f aca="false">MAX(B174:M174)</f>
        <v>15370.04422521</v>
      </c>
      <c r="P174" s="43" t="n">
        <f aca="false">O174/(parametros_manuales!$B$7)</f>
        <v>102.4669615014</v>
      </c>
      <c r="Q174" s="8" t="str">
        <f aca="false">IF(O174=0,"-",INDEX($B$163:$M$163,MATCH(O174,B174:M174,0)))</f>
        <v>Ene</v>
      </c>
    </row>
    <row r="175" customFormat="false" ht="14.25" hidden="false" customHeight="true" outlineLevel="0" collapsed="false">
      <c r="A175" s="8" t="str">
        <f aca="false">parametros_manuales!$B$30</f>
        <v>Soldadura circunferencial de cúpula y fondo</v>
      </c>
      <c r="B175" s="9" t="n">
        <f aca="false">(parametros_manuales!$D$30*(datos_base!$H$2+datos_base!$H$18+IF(parametros_manuales!$H$30="Todos",datos_base!$H$9+datos_base!$H$23,0))*parametros_manuales!$B$95+parametros_manuales!$E$30*(datos_base!$H$3+datos_base!$H$19+IF(parametros_manuales!$H$30="Todos",datos_base!$H$10+datos_base!$H$24,0))*parametros_manuales!$B$100+parametros_manuales!$F$30*(datos_base!$H$4+datos_base!$H$20+IF(parametros_manuales!$H$30="Todos",datos_base!$H$11+datos_base!$H$25,0))*parametros_manuales!$B$105+parametros_manuales!$G$30*(datos_base!$H$5+datos_base!$H$21+IF(parametros_manuales!$H$30="Todos",datos_base!$H$12+datos_base!$H$26,0))*parametros_manuales!$B$110)*parametros_manuales!$I$30*parametros_manuales!$J$30</f>
        <v>15370.04422521</v>
      </c>
      <c r="C175" s="9" t="n">
        <f aca="false">(parametros_manuales!$D$30*(datos_base!$H$2+datos_base!$H$18+IF(parametros_manuales!$H$30="Todos",datos_base!$H$9+datos_base!$H$23,0))*parametros_manuales!$C$95+parametros_manuales!$E$30*(datos_base!$H$3+datos_base!$H$19+IF(parametros_manuales!$H$30="Todos",datos_base!$H$10+datos_base!$H$24,0))*parametros_manuales!$C$100+parametros_manuales!$F$30*(datos_base!$H$4+datos_base!$H$20+IF(parametros_manuales!$H$30="Todos",datos_base!$H$11+datos_base!$H$25,0))*parametros_manuales!$C$105+parametros_manuales!$G$30*(datos_base!$H$5+datos_base!$H$21+IF(parametros_manuales!$H$30="Todos",datos_base!$H$12+datos_base!$H$26,0))*parametros_manuales!$C$110)*parametros_manuales!$I$30*parametros_manuales!$J$30</f>
        <v>14878.99306612</v>
      </c>
      <c r="D175" s="9" t="n">
        <f aca="false">(parametros_manuales!$D$30*(datos_base!$H$2+datos_base!$H$18+IF(parametros_manuales!$H$30="Todos",datos_base!$H$9+datos_base!$H$23,0))*parametros_manuales!$D$95+parametros_manuales!$E$30*(datos_base!$H$3+datos_base!$H$19+IF(parametros_manuales!$H$30="Todos",datos_base!$H$10+datos_base!$H$24,0))*parametros_manuales!$D$100+parametros_manuales!$F$30*(datos_base!$H$4+datos_base!$H$20+IF(parametros_manuales!$H$30="Todos",datos_base!$H$11+datos_base!$H$25,0))*parametros_manuales!$D$105+parametros_manuales!$G$30*(datos_base!$H$5+datos_base!$H$21+IF(parametros_manuales!$H$30="Todos",datos_base!$H$12+datos_base!$H$26,0))*parametros_manuales!$D$110)*parametros_manuales!$I$30*parametros_manuales!$J$30</f>
        <v>13907.787113065</v>
      </c>
      <c r="E175" s="9" t="n">
        <f aca="false">(parametros_manuales!$D$30*(datos_base!$H$2+datos_base!$H$18+IF(parametros_manuales!$H$30="Todos",datos_base!$H$9+datos_base!$H$23,0))*parametros_manuales!$E$95+parametros_manuales!$E$30*(datos_base!$H$3+datos_base!$H$19+IF(parametros_manuales!$H$30="Todos",datos_base!$H$10+datos_base!$H$24,0))*parametros_manuales!$E$100+parametros_manuales!$F$30*(datos_base!$H$4+datos_base!$H$20+IF(parametros_manuales!$H$30="Todos",datos_base!$H$11+datos_base!$H$25,0))*parametros_manuales!$E$105+parametros_manuales!$G$30*(datos_base!$H$5+datos_base!$H$21+IF(parametros_manuales!$H$30="Todos",datos_base!$H$12+datos_base!$H$26,0))*parametros_manuales!$E$110)*parametros_manuales!$I$30*parametros_manuales!$J$30</f>
        <v>13299.421346765</v>
      </c>
      <c r="F175" s="9" t="n">
        <f aca="false">(parametros_manuales!$D$30*(datos_base!$H$2+datos_base!$H$18+IF(parametros_manuales!$H$30="Todos",datos_base!$H$9+datos_base!$H$23,0))*parametros_manuales!$F$95+parametros_manuales!$E$30*(datos_base!$H$3+datos_base!$H$19+IF(parametros_manuales!$H$30="Todos",datos_base!$H$10+datos_base!$H$24,0))*parametros_manuales!$F$100+parametros_manuales!$F$30*(datos_base!$H$4+datos_base!$H$20+IF(parametros_manuales!$H$30="Todos",datos_base!$H$11+datos_base!$H$25,0))*parametros_manuales!$F$105+parametros_manuales!$G$30*(datos_base!$H$5+datos_base!$H$21+IF(parametros_manuales!$H$30="Todos",datos_base!$H$12+datos_base!$H$26,0))*parametros_manuales!$F$110)*parametros_manuales!$I$30*parametros_manuales!$J$30</f>
        <v>12445.53000092</v>
      </c>
      <c r="G175" s="9" t="n">
        <f aca="false">(parametros_manuales!$D$30*(datos_base!$H$2+datos_base!$H$18+IF(parametros_manuales!$H$30="Todos",datos_base!$H$9+datos_base!$H$23,0))*parametros_manuales!$G$95+parametros_manuales!$E$30*(datos_base!$H$3+datos_base!$H$19+IF(parametros_manuales!$H$30="Todos",datos_base!$H$10+datos_base!$H$24,0))*parametros_manuales!$G$100+parametros_manuales!$F$30*(datos_base!$H$4+datos_base!$H$20+IF(parametros_manuales!$H$30="Todos",datos_base!$H$11+datos_base!$H$25,0))*parametros_manuales!$G$105+parametros_manuales!$G$30*(datos_base!$H$5+datos_base!$H$21+IF(parametros_manuales!$H$30="Todos",datos_base!$H$12+datos_base!$H$26,0))*parametros_manuales!$G$110)*parametros_manuales!$I$30*parametros_manuales!$J$30</f>
        <v>12200.004421375</v>
      </c>
      <c r="H175" s="9" t="n">
        <f aca="false">(parametros_manuales!$D$30*(datos_base!$H$2+datos_base!$H$18+IF(parametros_manuales!$H$30="Todos",datos_base!$H$9+datos_base!$H$23,0))*parametros_manuales!$H$95+parametros_manuales!$E$30*(datos_base!$H$3+datos_base!$H$19+IF(parametros_manuales!$H$30="Todos",datos_base!$H$10+datos_base!$H$24,0))*parametros_manuales!$H$100+parametros_manuales!$F$30*(datos_base!$H$4+datos_base!$H$20+IF(parametros_manuales!$H$30="Todos",datos_base!$H$11+datos_base!$H$25,0))*parametros_manuales!$H$105+parametros_manuales!$G$30*(datos_base!$H$5+datos_base!$H$21+IF(parametros_manuales!$H$30="Todos",datos_base!$H$12+datos_base!$H$26,0))*parametros_manuales!$H$110)*parametros_manuales!$I$30*parametros_manuales!$J$30</f>
        <v>13053.89576722</v>
      </c>
      <c r="I175" s="9" t="n">
        <f aca="false">(parametros_manuales!$D$30*(datos_base!$H$2+datos_base!$H$18+IF(parametros_manuales!$H$30="Todos",datos_base!$H$9+datos_base!$H$23,0))*parametros_manuales!$I$95+parametros_manuales!$E$30*(datos_base!$H$3+datos_base!$H$19+IF(parametros_manuales!$H$30="Todos",datos_base!$H$10+datos_base!$H$24,0))*parametros_manuales!$I$100+parametros_manuales!$F$30*(datos_base!$H$4+datos_base!$H$20+IF(parametros_manuales!$H$30="Todos",datos_base!$H$11+datos_base!$H$25,0))*parametros_manuales!$I$105+parametros_manuales!$G$30*(datos_base!$H$5+datos_base!$H$21+IF(parametros_manuales!$H$30="Todos",datos_base!$H$12+datos_base!$H$26,0))*parametros_manuales!$I$110)*parametros_manuales!$I$30*parametros_manuales!$J$30</f>
        <v>14878.99306612</v>
      </c>
      <c r="J175" s="9" t="n">
        <f aca="false">(parametros_manuales!$D$30*(datos_base!$H$2+datos_base!$H$18+IF(parametros_manuales!$H$30="Todos",datos_base!$H$9+datos_base!$H$23,0))*parametros_manuales!$J$95+parametros_manuales!$E$30*(datos_base!$H$3+datos_base!$H$19+IF(parametros_manuales!$H$30="Todos",datos_base!$H$10+datos_base!$H$24,0))*parametros_manuales!$J$100+parametros_manuales!$F$30*(datos_base!$H$4+datos_base!$H$20+IF(parametros_manuales!$H$30="Todos",datos_base!$H$11+datos_base!$H$25,0))*parametros_manuales!$J$105+parametros_manuales!$G$30*(datos_base!$H$5+datos_base!$H$21+IF(parametros_manuales!$H$30="Todos",datos_base!$H$12+datos_base!$H$26,0))*parametros_manuales!$J$110)*parametros_manuales!$I$30*parametros_manuales!$J$30</f>
        <v>14878.99306612</v>
      </c>
      <c r="K175" s="9" t="n">
        <f aca="false">(parametros_manuales!$D$30*(datos_base!$H$2+datos_base!$H$18+IF(parametros_manuales!$H$30="Todos",datos_base!$H$9+datos_base!$H$23,0))*parametros_manuales!$K$95+parametros_manuales!$E$30*(datos_base!$H$3+datos_base!$H$19+IF(parametros_manuales!$H$30="Todos",datos_base!$H$10+datos_base!$H$24,0))*parametros_manuales!$K$100+parametros_manuales!$F$30*(datos_base!$H$4+datos_base!$H$20+IF(parametros_manuales!$H$30="Todos",datos_base!$H$11+datos_base!$H$25,0))*parametros_manuales!$K$105+parametros_manuales!$G$30*(datos_base!$H$5+datos_base!$H$21+IF(parametros_manuales!$H$30="Todos",datos_base!$H$12+datos_base!$H$26,0))*parametros_manuales!$K$110)*parametros_manuales!$I$30*parametros_manuales!$J$30</f>
        <v>15124.518645665</v>
      </c>
      <c r="L175" s="9" t="n">
        <f aca="false">(parametros_manuales!$D$30*(datos_base!$H$2+datos_base!$H$18+IF(parametros_manuales!$H$30="Todos",datos_base!$H$9+datos_base!$H$23,0))*parametros_manuales!$L$95+parametros_manuales!$E$30*(datos_base!$H$3+datos_base!$H$19+IF(parametros_manuales!$H$30="Todos",datos_base!$H$10+datos_base!$H$24,0))*parametros_manuales!$L$100+parametros_manuales!$F$30*(datos_base!$H$4+datos_base!$H$20+IF(parametros_manuales!$H$30="Todos",datos_base!$H$11+datos_base!$H$25,0))*parametros_manuales!$L$105+parametros_manuales!$G$30*(datos_base!$H$5+datos_base!$H$21+IF(parametros_manuales!$H$30="Todos",datos_base!$H$12+datos_base!$H$26,0))*parametros_manuales!$L$110)*parametros_manuales!$I$30*parametros_manuales!$J$30</f>
        <v>15370.04422521</v>
      </c>
      <c r="M175" s="9" t="n">
        <f aca="false">(parametros_manuales!$D$30*(datos_base!$H$2+datos_base!$H$18+IF(parametros_manuales!$H$30="Todos",datos_base!$H$9+datos_base!$H$23,0))*parametros_manuales!$M$95+parametros_manuales!$E$30*(datos_base!$H$3+datos_base!$H$19+IF(parametros_manuales!$H$30="Todos",datos_base!$H$10+datos_base!$H$24,0))*parametros_manuales!$M$100+parametros_manuales!$F$30*(datos_base!$H$4+datos_base!$H$20+IF(parametros_manuales!$H$30="Todos",datos_base!$H$11+datos_base!$H$25,0))*parametros_manuales!$M$105+parametros_manuales!$G$30*(datos_base!$H$5+datos_base!$H$21+IF(parametros_manuales!$H$30="Todos",datos_base!$H$12+datos_base!$H$26,0))*parametros_manuales!$M$110)*parametros_manuales!$I$30*parametros_manuales!$J$30</f>
        <v>15370.04422521</v>
      </c>
      <c r="N175" s="9" t="n">
        <f aca="false">SUM(B175:M175)</f>
        <v>170778.269169</v>
      </c>
      <c r="O175" s="9" t="n">
        <f aca="false">MAX(B175:M175)</f>
        <v>15370.04422521</v>
      </c>
      <c r="P175" s="43" t="n">
        <f aca="false">O175/(parametros_manuales!$B$7)</f>
        <v>102.4669615014</v>
      </c>
      <c r="Q175" s="8" t="str">
        <f aca="false">IF(O175=0,"-",INDEX($B$163:$M$163,MATCH(O175,B175:M175,0)))</f>
        <v>Ene</v>
      </c>
    </row>
    <row r="176" customFormat="false" ht="14.25" hidden="false" customHeight="true" outlineLevel="0" collapsed="false">
      <c r="A176" s="8" t="str">
        <f aca="false">parametros_manuales!$B$31</f>
        <v>Control de calidad — Espesor</v>
      </c>
      <c r="B176" s="9" t="n">
        <f aca="false">(parametros_manuales!$D$31*(datos_base!$H$2+datos_base!$H$18+IF(parametros_manuales!$H$31="Todos",datos_base!$H$9+datos_base!$H$23,0))*parametros_manuales!$B$95+parametros_manuales!$E$31*(datos_base!$H$3+datos_base!$H$19+IF(parametros_manuales!$H$31="Todos",datos_base!$H$10+datos_base!$H$24,0))*parametros_manuales!$B$100+parametros_manuales!$F$31*(datos_base!$H$4+datos_base!$H$20+IF(parametros_manuales!$H$31="Todos",datos_base!$H$11+datos_base!$H$25,0))*parametros_manuales!$B$105+parametros_manuales!$G$31*(datos_base!$H$5+datos_base!$H$21+IF(parametros_manuales!$H$31="Todos",datos_base!$H$12+datos_base!$H$26,0))*parametros_manuales!$B$110)*parametros_manuales!$I$31*parametros_manuales!$J$31</f>
        <v>307.4008845042</v>
      </c>
      <c r="C176" s="9" t="n">
        <f aca="false">(parametros_manuales!$D$31*(datos_base!$H$2+datos_base!$H$18+IF(parametros_manuales!$H$31="Todos",datos_base!$H$9+datos_base!$H$23,0))*parametros_manuales!$C$95+parametros_manuales!$E$31*(datos_base!$H$3+datos_base!$H$19+IF(parametros_manuales!$H$31="Todos",datos_base!$H$10+datos_base!$H$24,0))*parametros_manuales!$C$100+parametros_manuales!$F$31*(datos_base!$H$4+datos_base!$H$20+IF(parametros_manuales!$H$31="Todos",datos_base!$H$11+datos_base!$H$25,0))*parametros_manuales!$C$105+parametros_manuales!$G$31*(datos_base!$H$5+datos_base!$H$21+IF(parametros_manuales!$H$31="Todos",datos_base!$H$12+datos_base!$H$26,0))*parametros_manuales!$C$110)*parametros_manuales!$I$31*parametros_manuales!$J$31</f>
        <v>297.5798613224</v>
      </c>
      <c r="D176" s="9" t="n">
        <f aca="false">(parametros_manuales!$D$31*(datos_base!$H$2+datos_base!$H$18+IF(parametros_manuales!$H$31="Todos",datos_base!$H$9+datos_base!$H$23,0))*parametros_manuales!$D$95+parametros_manuales!$E$31*(datos_base!$H$3+datos_base!$H$19+IF(parametros_manuales!$H$31="Todos",datos_base!$H$10+datos_base!$H$24,0))*parametros_manuales!$D$100+parametros_manuales!$F$31*(datos_base!$H$4+datos_base!$H$20+IF(parametros_manuales!$H$31="Todos",datos_base!$H$11+datos_base!$H$25,0))*parametros_manuales!$D$105+parametros_manuales!$G$31*(datos_base!$H$5+datos_base!$H$21+IF(parametros_manuales!$H$31="Todos",datos_base!$H$12+datos_base!$H$26,0))*parametros_manuales!$D$110)*parametros_manuales!$I$31*parametros_manuales!$J$31</f>
        <v>278.1557422613</v>
      </c>
      <c r="E176" s="9" t="n">
        <f aca="false">(parametros_manuales!$D$31*(datos_base!$H$2+datos_base!$H$18+IF(parametros_manuales!$H$31="Todos",datos_base!$H$9+datos_base!$H$23,0))*parametros_manuales!$E$95+parametros_manuales!$E$31*(datos_base!$H$3+datos_base!$H$19+IF(parametros_manuales!$H$31="Todos",datos_base!$H$10+datos_base!$H$24,0))*parametros_manuales!$E$100+parametros_manuales!$F$31*(datos_base!$H$4+datos_base!$H$20+IF(parametros_manuales!$H$31="Todos",datos_base!$H$11+datos_base!$H$25,0))*parametros_manuales!$E$105+parametros_manuales!$G$31*(datos_base!$H$5+datos_base!$H$21+IF(parametros_manuales!$H$31="Todos",datos_base!$H$12+datos_base!$H$26,0))*parametros_manuales!$E$110)*parametros_manuales!$I$31*parametros_manuales!$J$31</f>
        <v>265.9884269353</v>
      </c>
      <c r="F176" s="9" t="n">
        <f aca="false">(parametros_manuales!$D$31*(datos_base!$H$2+datos_base!$H$18+IF(parametros_manuales!$H$31="Todos",datos_base!$H$9+datos_base!$H$23,0))*parametros_manuales!$F$95+parametros_manuales!$E$31*(datos_base!$H$3+datos_base!$H$19+IF(parametros_manuales!$H$31="Todos",datos_base!$H$10+datos_base!$H$24,0))*parametros_manuales!$F$100+parametros_manuales!$F$31*(datos_base!$H$4+datos_base!$H$20+IF(parametros_manuales!$H$31="Todos",datos_base!$H$11+datos_base!$H$25,0))*parametros_manuales!$F$105+parametros_manuales!$G$31*(datos_base!$H$5+datos_base!$H$21+IF(parametros_manuales!$H$31="Todos",datos_base!$H$12+datos_base!$H$26,0))*parametros_manuales!$F$110)*parametros_manuales!$I$31*parametros_manuales!$J$31</f>
        <v>248.9106000184</v>
      </c>
      <c r="G176" s="9" t="n">
        <f aca="false">(parametros_manuales!$D$31*(datos_base!$H$2+datos_base!$H$18+IF(parametros_manuales!$H$31="Todos",datos_base!$H$9+datos_base!$H$23,0))*parametros_manuales!$G$95+parametros_manuales!$E$31*(datos_base!$H$3+datos_base!$H$19+IF(parametros_manuales!$H$31="Todos",datos_base!$H$10+datos_base!$H$24,0))*parametros_manuales!$G$100+parametros_manuales!$F$31*(datos_base!$H$4+datos_base!$H$20+IF(parametros_manuales!$H$31="Todos",datos_base!$H$11+datos_base!$H$25,0))*parametros_manuales!$G$105+parametros_manuales!$G$31*(datos_base!$H$5+datos_base!$H$21+IF(parametros_manuales!$H$31="Todos",datos_base!$H$12+datos_base!$H$26,0))*parametros_manuales!$G$110)*parametros_manuales!$I$31*parametros_manuales!$J$31</f>
        <v>244.0000884275</v>
      </c>
      <c r="H176" s="9" t="n">
        <f aca="false">(parametros_manuales!$D$31*(datos_base!$H$2+datos_base!$H$18+IF(parametros_manuales!$H$31="Todos",datos_base!$H$9+datos_base!$H$23,0))*parametros_manuales!$H$95+parametros_manuales!$E$31*(datos_base!$H$3+datos_base!$H$19+IF(parametros_manuales!$H$31="Todos",datos_base!$H$10+datos_base!$H$24,0))*parametros_manuales!$H$100+parametros_manuales!$F$31*(datos_base!$H$4+datos_base!$H$20+IF(parametros_manuales!$H$31="Todos",datos_base!$H$11+datos_base!$H$25,0))*parametros_manuales!$H$105+parametros_manuales!$G$31*(datos_base!$H$5+datos_base!$H$21+IF(parametros_manuales!$H$31="Todos",datos_base!$H$12+datos_base!$H$26,0))*parametros_manuales!$H$110)*parametros_manuales!$I$31*parametros_manuales!$J$31</f>
        <v>261.0779153444</v>
      </c>
      <c r="I176" s="9" t="n">
        <f aca="false">(parametros_manuales!$D$31*(datos_base!$H$2+datos_base!$H$18+IF(parametros_manuales!$H$31="Todos",datos_base!$H$9+datos_base!$H$23,0))*parametros_manuales!$I$95+parametros_manuales!$E$31*(datos_base!$H$3+datos_base!$H$19+IF(parametros_manuales!$H$31="Todos",datos_base!$H$10+datos_base!$H$24,0))*parametros_manuales!$I$100+parametros_manuales!$F$31*(datos_base!$H$4+datos_base!$H$20+IF(parametros_manuales!$H$31="Todos",datos_base!$H$11+datos_base!$H$25,0))*parametros_manuales!$I$105+parametros_manuales!$G$31*(datos_base!$H$5+datos_base!$H$21+IF(parametros_manuales!$H$31="Todos",datos_base!$H$12+datos_base!$H$26,0))*parametros_manuales!$I$110)*parametros_manuales!$I$31*parametros_manuales!$J$31</f>
        <v>297.5798613224</v>
      </c>
      <c r="J176" s="9" t="n">
        <f aca="false">(parametros_manuales!$D$31*(datos_base!$H$2+datos_base!$H$18+IF(parametros_manuales!$H$31="Todos",datos_base!$H$9+datos_base!$H$23,0))*parametros_manuales!$J$95+parametros_manuales!$E$31*(datos_base!$H$3+datos_base!$H$19+IF(parametros_manuales!$H$31="Todos",datos_base!$H$10+datos_base!$H$24,0))*parametros_manuales!$J$100+parametros_manuales!$F$31*(datos_base!$H$4+datos_base!$H$20+IF(parametros_manuales!$H$31="Todos",datos_base!$H$11+datos_base!$H$25,0))*parametros_manuales!$J$105+parametros_manuales!$G$31*(datos_base!$H$5+datos_base!$H$21+IF(parametros_manuales!$H$31="Todos",datos_base!$H$12+datos_base!$H$26,0))*parametros_manuales!$J$110)*parametros_manuales!$I$31*parametros_manuales!$J$31</f>
        <v>297.5798613224</v>
      </c>
      <c r="K176" s="9" t="n">
        <f aca="false">(parametros_manuales!$D$31*(datos_base!$H$2+datos_base!$H$18+IF(parametros_manuales!$H$31="Todos",datos_base!$H$9+datos_base!$H$23,0))*parametros_manuales!$K$95+parametros_manuales!$E$31*(datos_base!$H$3+datos_base!$H$19+IF(parametros_manuales!$H$31="Todos",datos_base!$H$10+datos_base!$H$24,0))*parametros_manuales!$K$100+parametros_manuales!$F$31*(datos_base!$H$4+datos_base!$H$20+IF(parametros_manuales!$H$31="Todos",datos_base!$H$11+datos_base!$H$25,0))*parametros_manuales!$K$105+parametros_manuales!$G$31*(datos_base!$H$5+datos_base!$H$21+IF(parametros_manuales!$H$31="Todos",datos_base!$H$12+datos_base!$H$26,0))*parametros_manuales!$K$110)*parametros_manuales!$I$31*parametros_manuales!$J$31</f>
        <v>302.4903729133</v>
      </c>
      <c r="L176" s="9" t="n">
        <f aca="false">(parametros_manuales!$D$31*(datos_base!$H$2+datos_base!$H$18+IF(parametros_manuales!$H$31="Todos",datos_base!$H$9+datos_base!$H$23,0))*parametros_manuales!$L$95+parametros_manuales!$E$31*(datos_base!$H$3+datos_base!$H$19+IF(parametros_manuales!$H$31="Todos",datos_base!$H$10+datos_base!$H$24,0))*parametros_manuales!$L$100+parametros_manuales!$F$31*(datos_base!$H$4+datos_base!$H$20+IF(parametros_manuales!$H$31="Todos",datos_base!$H$11+datos_base!$H$25,0))*parametros_manuales!$L$105+parametros_manuales!$G$31*(datos_base!$H$5+datos_base!$H$21+IF(parametros_manuales!$H$31="Todos",datos_base!$H$12+datos_base!$H$26,0))*parametros_manuales!$L$110)*parametros_manuales!$I$31*parametros_manuales!$J$31</f>
        <v>307.4008845042</v>
      </c>
      <c r="M176" s="9" t="n">
        <f aca="false">(parametros_manuales!$D$31*(datos_base!$H$2+datos_base!$H$18+IF(parametros_manuales!$H$31="Todos",datos_base!$H$9+datos_base!$H$23,0))*parametros_manuales!$M$95+parametros_manuales!$E$31*(datos_base!$H$3+datos_base!$H$19+IF(parametros_manuales!$H$31="Todos",datos_base!$H$10+datos_base!$H$24,0))*parametros_manuales!$M$100+parametros_manuales!$F$31*(datos_base!$H$4+datos_base!$H$20+IF(parametros_manuales!$H$31="Todos",datos_base!$H$11+datos_base!$H$25,0))*parametros_manuales!$M$105+parametros_manuales!$G$31*(datos_base!$H$5+datos_base!$H$21+IF(parametros_manuales!$H$31="Todos",datos_base!$H$12+datos_base!$H$26,0))*parametros_manuales!$M$110)*parametros_manuales!$I$31*parametros_manuales!$J$31</f>
        <v>307.4008845042</v>
      </c>
      <c r="N176" s="9" t="n">
        <f aca="false">SUM(B176:M176)</f>
        <v>3415.56538338</v>
      </c>
      <c r="O176" s="9" t="n">
        <f aca="false">MAX(B176:M176)</f>
        <v>307.4008845042</v>
      </c>
      <c r="P176" s="43" t="n">
        <f aca="false">O176/(parametros_manuales!$B$7)</f>
        <v>2.049339230028</v>
      </c>
      <c r="Q176" s="8" t="str">
        <f aca="false">IF(O176=0,"-",INDEX($B$163:$M$163,MATCH(O176,B176:M176,0)))</f>
        <v>Ene</v>
      </c>
    </row>
    <row r="177" customFormat="false" ht="14.25" hidden="false" customHeight="true" outlineLevel="0" collapsed="false">
      <c r="A177" s="8" t="str">
        <f aca="false">parametros_manuales!$B$32</f>
        <v>Prueba hidráulica</v>
      </c>
      <c r="B177" s="9" t="n">
        <f aca="false">(parametros_manuales!$D$32*(datos_base!$H$2+datos_base!$H$18+IF(parametros_manuales!$H$32="Todos",datos_base!$H$9+datos_base!$H$23,0))*parametros_manuales!$B$95+parametros_manuales!$E$32*(datos_base!$H$3+datos_base!$H$19+IF(parametros_manuales!$H$32="Todos",datos_base!$H$10+datos_base!$H$24,0))*parametros_manuales!$B$100+parametros_manuales!$F$32*(datos_base!$H$4+datos_base!$H$20+IF(parametros_manuales!$H$32="Todos",datos_base!$H$11+datos_base!$H$25,0))*parametros_manuales!$B$105+parametros_manuales!$G$32*(datos_base!$H$5+datos_base!$H$21+IF(parametros_manuales!$H$32="Todos",datos_base!$H$12+datos_base!$H$26,0))*parametros_manuales!$B$110)*parametros_manuales!$I$32*parametros_manuales!$J$32</f>
        <v>15370.04422521</v>
      </c>
      <c r="C177" s="9" t="n">
        <f aca="false">(parametros_manuales!$D$32*(datos_base!$H$2+datos_base!$H$18+IF(parametros_manuales!$H$32="Todos",datos_base!$H$9+datos_base!$H$23,0))*parametros_manuales!$C$95+parametros_manuales!$E$32*(datos_base!$H$3+datos_base!$H$19+IF(parametros_manuales!$H$32="Todos",datos_base!$H$10+datos_base!$H$24,0))*parametros_manuales!$C$100+parametros_manuales!$F$32*(datos_base!$H$4+datos_base!$H$20+IF(parametros_manuales!$H$32="Todos",datos_base!$H$11+datos_base!$H$25,0))*parametros_manuales!$C$105+parametros_manuales!$G$32*(datos_base!$H$5+datos_base!$H$21+IF(parametros_manuales!$H$32="Todos",datos_base!$H$12+datos_base!$H$26,0))*parametros_manuales!$C$110)*parametros_manuales!$I$32*parametros_manuales!$J$32</f>
        <v>14878.99306612</v>
      </c>
      <c r="D177" s="9" t="n">
        <f aca="false">(parametros_manuales!$D$32*(datos_base!$H$2+datos_base!$H$18+IF(parametros_manuales!$H$32="Todos",datos_base!$H$9+datos_base!$H$23,0))*parametros_manuales!$D$95+parametros_manuales!$E$32*(datos_base!$H$3+datos_base!$H$19+IF(parametros_manuales!$H$32="Todos",datos_base!$H$10+datos_base!$H$24,0))*parametros_manuales!$D$100+parametros_manuales!$F$32*(datos_base!$H$4+datos_base!$H$20+IF(parametros_manuales!$H$32="Todos",datos_base!$H$11+datos_base!$H$25,0))*parametros_manuales!$D$105+parametros_manuales!$G$32*(datos_base!$H$5+datos_base!$H$21+IF(parametros_manuales!$H$32="Todos",datos_base!$H$12+datos_base!$H$26,0))*parametros_manuales!$D$110)*parametros_manuales!$I$32*parametros_manuales!$J$32</f>
        <v>13907.787113065</v>
      </c>
      <c r="E177" s="9" t="n">
        <f aca="false">(parametros_manuales!$D$32*(datos_base!$H$2+datos_base!$H$18+IF(parametros_manuales!$H$32="Todos",datos_base!$H$9+datos_base!$H$23,0))*parametros_manuales!$E$95+parametros_manuales!$E$32*(datos_base!$H$3+datos_base!$H$19+IF(parametros_manuales!$H$32="Todos",datos_base!$H$10+datos_base!$H$24,0))*parametros_manuales!$E$100+parametros_manuales!$F$32*(datos_base!$H$4+datos_base!$H$20+IF(parametros_manuales!$H$32="Todos",datos_base!$H$11+datos_base!$H$25,0))*parametros_manuales!$E$105+parametros_manuales!$G$32*(datos_base!$H$5+datos_base!$H$21+IF(parametros_manuales!$H$32="Todos",datos_base!$H$12+datos_base!$H$26,0))*parametros_manuales!$E$110)*parametros_manuales!$I$32*parametros_manuales!$J$32</f>
        <v>13299.421346765</v>
      </c>
      <c r="F177" s="9" t="n">
        <f aca="false">(parametros_manuales!$D$32*(datos_base!$H$2+datos_base!$H$18+IF(parametros_manuales!$H$32="Todos",datos_base!$H$9+datos_base!$H$23,0))*parametros_manuales!$F$95+parametros_manuales!$E$32*(datos_base!$H$3+datos_base!$H$19+IF(parametros_manuales!$H$32="Todos",datos_base!$H$10+datos_base!$H$24,0))*parametros_manuales!$F$100+parametros_manuales!$F$32*(datos_base!$H$4+datos_base!$H$20+IF(parametros_manuales!$H$32="Todos",datos_base!$H$11+datos_base!$H$25,0))*parametros_manuales!$F$105+parametros_manuales!$G$32*(datos_base!$H$5+datos_base!$H$21+IF(parametros_manuales!$H$32="Todos",datos_base!$H$12+datos_base!$H$26,0))*parametros_manuales!$F$110)*parametros_manuales!$I$32*parametros_manuales!$J$32</f>
        <v>12445.53000092</v>
      </c>
      <c r="G177" s="9" t="n">
        <f aca="false">(parametros_manuales!$D$32*(datos_base!$H$2+datos_base!$H$18+IF(parametros_manuales!$H$32="Todos",datos_base!$H$9+datos_base!$H$23,0))*parametros_manuales!$G$95+parametros_manuales!$E$32*(datos_base!$H$3+datos_base!$H$19+IF(parametros_manuales!$H$32="Todos",datos_base!$H$10+datos_base!$H$24,0))*parametros_manuales!$G$100+parametros_manuales!$F$32*(datos_base!$H$4+datos_base!$H$20+IF(parametros_manuales!$H$32="Todos",datos_base!$H$11+datos_base!$H$25,0))*parametros_manuales!$G$105+parametros_manuales!$G$32*(datos_base!$H$5+datos_base!$H$21+IF(parametros_manuales!$H$32="Todos",datos_base!$H$12+datos_base!$H$26,0))*parametros_manuales!$G$110)*parametros_manuales!$I$32*parametros_manuales!$J$32</f>
        <v>12200.004421375</v>
      </c>
      <c r="H177" s="9" t="n">
        <f aca="false">(parametros_manuales!$D$32*(datos_base!$H$2+datos_base!$H$18+IF(parametros_manuales!$H$32="Todos",datos_base!$H$9+datos_base!$H$23,0))*parametros_manuales!$H$95+parametros_manuales!$E$32*(datos_base!$H$3+datos_base!$H$19+IF(parametros_manuales!$H$32="Todos",datos_base!$H$10+datos_base!$H$24,0))*parametros_manuales!$H$100+parametros_manuales!$F$32*(datos_base!$H$4+datos_base!$H$20+IF(parametros_manuales!$H$32="Todos",datos_base!$H$11+datos_base!$H$25,0))*parametros_manuales!$H$105+parametros_manuales!$G$32*(datos_base!$H$5+datos_base!$H$21+IF(parametros_manuales!$H$32="Todos",datos_base!$H$12+datos_base!$H$26,0))*parametros_manuales!$H$110)*parametros_manuales!$I$32*parametros_manuales!$J$32</f>
        <v>13053.89576722</v>
      </c>
      <c r="I177" s="9" t="n">
        <f aca="false">(parametros_manuales!$D$32*(datos_base!$H$2+datos_base!$H$18+IF(parametros_manuales!$H$32="Todos",datos_base!$H$9+datos_base!$H$23,0))*parametros_manuales!$I$95+parametros_manuales!$E$32*(datos_base!$H$3+datos_base!$H$19+IF(parametros_manuales!$H$32="Todos",datos_base!$H$10+datos_base!$H$24,0))*parametros_manuales!$I$100+parametros_manuales!$F$32*(datos_base!$H$4+datos_base!$H$20+IF(parametros_manuales!$H$32="Todos",datos_base!$H$11+datos_base!$H$25,0))*parametros_manuales!$I$105+parametros_manuales!$G$32*(datos_base!$H$5+datos_base!$H$21+IF(parametros_manuales!$H$32="Todos",datos_base!$H$12+datos_base!$H$26,0))*parametros_manuales!$I$110)*parametros_manuales!$I$32*parametros_manuales!$J$32</f>
        <v>14878.99306612</v>
      </c>
      <c r="J177" s="9" t="n">
        <f aca="false">(parametros_manuales!$D$32*(datos_base!$H$2+datos_base!$H$18+IF(parametros_manuales!$H$32="Todos",datos_base!$H$9+datos_base!$H$23,0))*parametros_manuales!$J$95+parametros_manuales!$E$32*(datos_base!$H$3+datos_base!$H$19+IF(parametros_manuales!$H$32="Todos",datos_base!$H$10+datos_base!$H$24,0))*parametros_manuales!$J$100+parametros_manuales!$F$32*(datos_base!$H$4+datos_base!$H$20+IF(parametros_manuales!$H$32="Todos",datos_base!$H$11+datos_base!$H$25,0))*parametros_manuales!$J$105+parametros_manuales!$G$32*(datos_base!$H$5+datos_base!$H$21+IF(parametros_manuales!$H$32="Todos",datos_base!$H$12+datos_base!$H$26,0))*parametros_manuales!$J$110)*parametros_manuales!$I$32*parametros_manuales!$J$32</f>
        <v>14878.99306612</v>
      </c>
      <c r="K177" s="9" t="n">
        <f aca="false">(parametros_manuales!$D$32*(datos_base!$H$2+datos_base!$H$18+IF(parametros_manuales!$H$32="Todos",datos_base!$H$9+datos_base!$H$23,0))*parametros_manuales!$K$95+parametros_manuales!$E$32*(datos_base!$H$3+datos_base!$H$19+IF(parametros_manuales!$H$32="Todos",datos_base!$H$10+datos_base!$H$24,0))*parametros_manuales!$K$100+parametros_manuales!$F$32*(datos_base!$H$4+datos_base!$H$20+IF(parametros_manuales!$H$32="Todos",datos_base!$H$11+datos_base!$H$25,0))*parametros_manuales!$K$105+parametros_manuales!$G$32*(datos_base!$H$5+datos_base!$H$21+IF(parametros_manuales!$H$32="Todos",datos_base!$H$12+datos_base!$H$26,0))*parametros_manuales!$K$110)*parametros_manuales!$I$32*parametros_manuales!$J$32</f>
        <v>15124.518645665</v>
      </c>
      <c r="L177" s="9" t="n">
        <f aca="false">(parametros_manuales!$D$32*(datos_base!$H$2+datos_base!$H$18+IF(parametros_manuales!$H$32="Todos",datos_base!$H$9+datos_base!$H$23,0))*parametros_manuales!$L$95+parametros_manuales!$E$32*(datos_base!$H$3+datos_base!$H$19+IF(parametros_manuales!$H$32="Todos",datos_base!$H$10+datos_base!$H$24,0))*parametros_manuales!$L$100+parametros_manuales!$F$32*(datos_base!$H$4+datos_base!$H$20+IF(parametros_manuales!$H$32="Todos",datos_base!$H$11+datos_base!$H$25,0))*parametros_manuales!$L$105+parametros_manuales!$G$32*(datos_base!$H$5+datos_base!$H$21+IF(parametros_manuales!$H$32="Todos",datos_base!$H$12+datos_base!$H$26,0))*parametros_manuales!$L$110)*parametros_manuales!$I$32*parametros_manuales!$J$32</f>
        <v>15370.04422521</v>
      </c>
      <c r="M177" s="9" t="n">
        <f aca="false">(parametros_manuales!$D$32*(datos_base!$H$2+datos_base!$H$18+IF(parametros_manuales!$H$32="Todos",datos_base!$H$9+datos_base!$H$23,0))*parametros_manuales!$M$95+parametros_manuales!$E$32*(datos_base!$H$3+datos_base!$H$19+IF(parametros_manuales!$H$32="Todos",datos_base!$H$10+datos_base!$H$24,0))*parametros_manuales!$M$100+parametros_manuales!$F$32*(datos_base!$H$4+datos_base!$H$20+IF(parametros_manuales!$H$32="Todos",datos_base!$H$11+datos_base!$H$25,0))*parametros_manuales!$M$105+parametros_manuales!$G$32*(datos_base!$H$5+datos_base!$H$21+IF(parametros_manuales!$H$32="Todos",datos_base!$H$12+datos_base!$H$26,0))*parametros_manuales!$M$110)*parametros_manuales!$I$32*parametros_manuales!$J$32</f>
        <v>15370.04422521</v>
      </c>
      <c r="N177" s="9" t="n">
        <f aca="false">SUM(B177:M177)</f>
        <v>170778.269169</v>
      </c>
      <c r="O177" s="9" t="n">
        <f aca="false">MAX(B177:M177)</f>
        <v>15370.04422521</v>
      </c>
      <c r="P177" s="43" t="n">
        <f aca="false">O177/(parametros_manuales!$B$7)</f>
        <v>102.4669615014</v>
      </c>
      <c r="Q177" s="8" t="str">
        <f aca="false">IF(O177=0,"-",INDEX($B$163:$M$163,MATCH(O177,B177:M177,0)))</f>
        <v>Ene</v>
      </c>
    </row>
    <row r="178" customFormat="false" ht="14.25" hidden="false" customHeight="true" outlineLevel="0" collapsed="false">
      <c r="A178" s="8" t="str">
        <f aca="false">parametros_manuales!$B$33</f>
        <v>Secado</v>
      </c>
      <c r="B178" s="9" t="n">
        <f aca="false">(parametros_manuales!$D$33*(datos_base!$H$2+datos_base!$H$18+IF(parametros_manuales!$H$33="Todos",datos_base!$H$9+datos_base!$H$23,0))*parametros_manuales!$B$95+parametros_manuales!$E$33*(datos_base!$H$3+datos_base!$H$19+IF(parametros_manuales!$H$33="Todos",datos_base!$H$10+datos_base!$H$24,0))*parametros_manuales!$B$100+parametros_manuales!$F$33*(datos_base!$H$4+datos_base!$H$20+IF(parametros_manuales!$H$33="Todos",datos_base!$H$11+datos_base!$H$25,0))*parametros_manuales!$B$105+parametros_manuales!$G$33*(datos_base!$H$5+datos_base!$H$21+IF(parametros_manuales!$H$33="Todos",datos_base!$H$12+datos_base!$H$26,0))*parametros_manuales!$B$110)*parametros_manuales!$I$33*parametros_manuales!$J$33</f>
        <v>15370.04422521</v>
      </c>
      <c r="C178" s="9" t="n">
        <f aca="false">(parametros_manuales!$D$33*(datos_base!$H$2+datos_base!$H$18+IF(parametros_manuales!$H$33="Todos",datos_base!$H$9+datos_base!$H$23,0))*parametros_manuales!$C$95+parametros_manuales!$E$33*(datos_base!$H$3+datos_base!$H$19+IF(parametros_manuales!$H$33="Todos",datos_base!$H$10+datos_base!$H$24,0))*parametros_manuales!$C$100+parametros_manuales!$F$33*(datos_base!$H$4+datos_base!$H$20+IF(parametros_manuales!$H$33="Todos",datos_base!$H$11+datos_base!$H$25,0))*parametros_manuales!$C$105+parametros_manuales!$G$33*(datos_base!$H$5+datos_base!$H$21+IF(parametros_manuales!$H$33="Todos",datos_base!$H$12+datos_base!$H$26,0))*parametros_manuales!$C$110)*parametros_manuales!$I$33*parametros_manuales!$J$33</f>
        <v>14878.99306612</v>
      </c>
      <c r="D178" s="9" t="n">
        <f aca="false">(parametros_manuales!$D$33*(datos_base!$H$2+datos_base!$H$18+IF(parametros_manuales!$H$33="Todos",datos_base!$H$9+datos_base!$H$23,0))*parametros_manuales!$D$95+parametros_manuales!$E$33*(datos_base!$H$3+datos_base!$H$19+IF(parametros_manuales!$H$33="Todos",datos_base!$H$10+datos_base!$H$24,0))*parametros_manuales!$D$100+parametros_manuales!$F$33*(datos_base!$H$4+datos_base!$H$20+IF(parametros_manuales!$H$33="Todos",datos_base!$H$11+datos_base!$H$25,0))*parametros_manuales!$D$105+parametros_manuales!$G$33*(datos_base!$H$5+datos_base!$H$21+IF(parametros_manuales!$H$33="Todos",datos_base!$H$12+datos_base!$H$26,0))*parametros_manuales!$D$110)*parametros_manuales!$I$33*parametros_manuales!$J$33</f>
        <v>13907.787113065</v>
      </c>
      <c r="E178" s="9" t="n">
        <f aca="false">(parametros_manuales!$D$33*(datos_base!$H$2+datos_base!$H$18+IF(parametros_manuales!$H$33="Todos",datos_base!$H$9+datos_base!$H$23,0))*parametros_manuales!$E$95+parametros_manuales!$E$33*(datos_base!$H$3+datos_base!$H$19+IF(parametros_manuales!$H$33="Todos",datos_base!$H$10+datos_base!$H$24,0))*parametros_manuales!$E$100+parametros_manuales!$F$33*(datos_base!$H$4+datos_base!$H$20+IF(parametros_manuales!$H$33="Todos",datos_base!$H$11+datos_base!$H$25,0))*parametros_manuales!$E$105+parametros_manuales!$G$33*(datos_base!$H$5+datos_base!$H$21+IF(parametros_manuales!$H$33="Todos",datos_base!$H$12+datos_base!$H$26,0))*parametros_manuales!$E$110)*parametros_manuales!$I$33*parametros_manuales!$J$33</f>
        <v>13299.421346765</v>
      </c>
      <c r="F178" s="9" t="n">
        <f aca="false">(parametros_manuales!$D$33*(datos_base!$H$2+datos_base!$H$18+IF(parametros_manuales!$H$33="Todos",datos_base!$H$9+datos_base!$H$23,0))*parametros_manuales!$F$95+parametros_manuales!$E$33*(datos_base!$H$3+datos_base!$H$19+IF(parametros_manuales!$H$33="Todos",datos_base!$H$10+datos_base!$H$24,0))*parametros_manuales!$F$100+parametros_manuales!$F$33*(datos_base!$H$4+datos_base!$H$20+IF(parametros_manuales!$H$33="Todos",datos_base!$H$11+datos_base!$H$25,0))*parametros_manuales!$F$105+parametros_manuales!$G$33*(datos_base!$H$5+datos_base!$H$21+IF(parametros_manuales!$H$33="Todos",datos_base!$H$12+datos_base!$H$26,0))*parametros_manuales!$F$110)*parametros_manuales!$I$33*parametros_manuales!$J$33</f>
        <v>12445.53000092</v>
      </c>
      <c r="G178" s="9" t="n">
        <f aca="false">(parametros_manuales!$D$33*(datos_base!$H$2+datos_base!$H$18+IF(parametros_manuales!$H$33="Todos",datos_base!$H$9+datos_base!$H$23,0))*parametros_manuales!$G$95+parametros_manuales!$E$33*(datos_base!$H$3+datos_base!$H$19+IF(parametros_manuales!$H$33="Todos",datos_base!$H$10+datos_base!$H$24,0))*parametros_manuales!$G$100+parametros_manuales!$F$33*(datos_base!$H$4+datos_base!$H$20+IF(parametros_manuales!$H$33="Todos",datos_base!$H$11+datos_base!$H$25,0))*parametros_manuales!$G$105+parametros_manuales!$G$33*(datos_base!$H$5+datos_base!$H$21+IF(parametros_manuales!$H$33="Todos",datos_base!$H$12+datos_base!$H$26,0))*parametros_manuales!$G$110)*parametros_manuales!$I$33*parametros_manuales!$J$33</f>
        <v>12200.004421375</v>
      </c>
      <c r="H178" s="9" t="n">
        <f aca="false">(parametros_manuales!$D$33*(datos_base!$H$2+datos_base!$H$18+IF(parametros_manuales!$H$33="Todos",datos_base!$H$9+datos_base!$H$23,0))*parametros_manuales!$H$95+parametros_manuales!$E$33*(datos_base!$H$3+datos_base!$H$19+IF(parametros_manuales!$H$33="Todos",datos_base!$H$10+datos_base!$H$24,0))*parametros_manuales!$H$100+parametros_manuales!$F$33*(datos_base!$H$4+datos_base!$H$20+IF(parametros_manuales!$H$33="Todos",datos_base!$H$11+datos_base!$H$25,0))*parametros_manuales!$H$105+parametros_manuales!$G$33*(datos_base!$H$5+datos_base!$H$21+IF(parametros_manuales!$H$33="Todos",datos_base!$H$12+datos_base!$H$26,0))*parametros_manuales!$H$110)*parametros_manuales!$I$33*parametros_manuales!$J$33</f>
        <v>13053.89576722</v>
      </c>
      <c r="I178" s="9" t="n">
        <f aca="false">(parametros_manuales!$D$33*(datos_base!$H$2+datos_base!$H$18+IF(parametros_manuales!$H$33="Todos",datos_base!$H$9+datos_base!$H$23,0))*parametros_manuales!$I$95+parametros_manuales!$E$33*(datos_base!$H$3+datos_base!$H$19+IF(parametros_manuales!$H$33="Todos",datos_base!$H$10+datos_base!$H$24,0))*parametros_manuales!$I$100+parametros_manuales!$F$33*(datos_base!$H$4+datos_base!$H$20+IF(parametros_manuales!$H$33="Todos",datos_base!$H$11+datos_base!$H$25,0))*parametros_manuales!$I$105+parametros_manuales!$G$33*(datos_base!$H$5+datos_base!$H$21+IF(parametros_manuales!$H$33="Todos",datos_base!$H$12+datos_base!$H$26,0))*parametros_manuales!$I$110)*parametros_manuales!$I$33*parametros_manuales!$J$33</f>
        <v>14878.99306612</v>
      </c>
      <c r="J178" s="9" t="n">
        <f aca="false">(parametros_manuales!$D$33*(datos_base!$H$2+datos_base!$H$18+IF(parametros_manuales!$H$33="Todos",datos_base!$H$9+datos_base!$H$23,0))*parametros_manuales!$J$95+parametros_manuales!$E$33*(datos_base!$H$3+datos_base!$H$19+IF(parametros_manuales!$H$33="Todos",datos_base!$H$10+datos_base!$H$24,0))*parametros_manuales!$J$100+parametros_manuales!$F$33*(datos_base!$H$4+datos_base!$H$20+IF(parametros_manuales!$H$33="Todos",datos_base!$H$11+datos_base!$H$25,0))*parametros_manuales!$J$105+parametros_manuales!$G$33*(datos_base!$H$5+datos_base!$H$21+IF(parametros_manuales!$H$33="Todos",datos_base!$H$12+datos_base!$H$26,0))*parametros_manuales!$J$110)*parametros_manuales!$I$33*parametros_manuales!$J$33</f>
        <v>14878.99306612</v>
      </c>
      <c r="K178" s="9" t="n">
        <f aca="false">(parametros_manuales!$D$33*(datos_base!$H$2+datos_base!$H$18+IF(parametros_manuales!$H$33="Todos",datos_base!$H$9+datos_base!$H$23,0))*parametros_manuales!$K$95+parametros_manuales!$E$33*(datos_base!$H$3+datos_base!$H$19+IF(parametros_manuales!$H$33="Todos",datos_base!$H$10+datos_base!$H$24,0))*parametros_manuales!$K$100+parametros_manuales!$F$33*(datos_base!$H$4+datos_base!$H$20+IF(parametros_manuales!$H$33="Todos",datos_base!$H$11+datos_base!$H$25,0))*parametros_manuales!$K$105+parametros_manuales!$G$33*(datos_base!$H$5+datos_base!$H$21+IF(parametros_manuales!$H$33="Todos",datos_base!$H$12+datos_base!$H$26,0))*parametros_manuales!$K$110)*parametros_manuales!$I$33*parametros_manuales!$J$33</f>
        <v>15124.518645665</v>
      </c>
      <c r="L178" s="9" t="n">
        <f aca="false">(parametros_manuales!$D$33*(datos_base!$H$2+datos_base!$H$18+IF(parametros_manuales!$H$33="Todos",datos_base!$H$9+datos_base!$H$23,0))*parametros_manuales!$L$95+parametros_manuales!$E$33*(datos_base!$H$3+datos_base!$H$19+IF(parametros_manuales!$H$33="Todos",datos_base!$H$10+datos_base!$H$24,0))*parametros_manuales!$L$100+parametros_manuales!$F$33*(datos_base!$H$4+datos_base!$H$20+IF(parametros_manuales!$H$33="Todos",datos_base!$H$11+datos_base!$H$25,0))*parametros_manuales!$L$105+parametros_manuales!$G$33*(datos_base!$H$5+datos_base!$H$21+IF(parametros_manuales!$H$33="Todos",datos_base!$H$12+datos_base!$H$26,0))*parametros_manuales!$L$110)*parametros_manuales!$I$33*parametros_manuales!$J$33</f>
        <v>15370.04422521</v>
      </c>
      <c r="M178" s="9" t="n">
        <f aca="false">(parametros_manuales!$D$33*(datos_base!$H$2+datos_base!$H$18+IF(parametros_manuales!$H$33="Todos",datos_base!$H$9+datos_base!$H$23,0))*parametros_manuales!$M$95+parametros_manuales!$E$33*(datos_base!$H$3+datos_base!$H$19+IF(parametros_manuales!$H$33="Todos",datos_base!$H$10+datos_base!$H$24,0))*parametros_manuales!$M$100+parametros_manuales!$F$33*(datos_base!$H$4+datos_base!$H$20+IF(parametros_manuales!$H$33="Todos",datos_base!$H$11+datos_base!$H$25,0))*parametros_manuales!$M$105+parametros_manuales!$G$33*(datos_base!$H$5+datos_base!$H$21+IF(parametros_manuales!$H$33="Todos",datos_base!$H$12+datos_base!$H$26,0))*parametros_manuales!$M$110)*parametros_manuales!$I$33*parametros_manuales!$J$33</f>
        <v>15370.04422521</v>
      </c>
      <c r="N178" s="9" t="n">
        <f aca="false">SUM(B178:M178)</f>
        <v>170778.269169</v>
      </c>
      <c r="O178" s="9" t="n">
        <f aca="false">MAX(B178:M178)</f>
        <v>15370.04422521</v>
      </c>
      <c r="P178" s="43" t="n">
        <f aca="false">O178/(parametros_manuales!$B$7)</f>
        <v>102.4669615014</v>
      </c>
      <c r="Q178" s="8" t="str">
        <f aca="false">IF(O178=0,"-",INDEX($B$163:$M$163,MATCH(O178,B178:M178,0)))</f>
        <v>Ene</v>
      </c>
    </row>
    <row r="179" customFormat="false" ht="14.25" hidden="false" customHeight="true" outlineLevel="0" collapsed="false">
      <c r="A179" s="8" t="str">
        <f aca="false">parametros_manuales!$B$34</f>
        <v>Granallado</v>
      </c>
      <c r="B179" s="9" t="n">
        <f aca="false">(parametros_manuales!$D$34*(datos_base!$H$2+datos_base!$H$18+IF(parametros_manuales!$H$34="Todos",datos_base!$H$9+datos_base!$H$23,0))*parametros_manuales!$B$95+parametros_manuales!$E$34*(datos_base!$H$3+datos_base!$H$19+IF(parametros_manuales!$H$34="Todos",datos_base!$H$10+datos_base!$H$24,0))*parametros_manuales!$B$100+parametros_manuales!$F$34*(datos_base!$H$4+datos_base!$H$20+IF(parametros_manuales!$H$34="Todos",datos_base!$H$11+datos_base!$H$25,0))*parametros_manuales!$B$105+parametros_manuales!$G$34*(datos_base!$H$5+datos_base!$H$21+IF(parametros_manuales!$H$34="Todos",datos_base!$H$12+datos_base!$H$26,0))*parametros_manuales!$B$110)*parametros_manuales!$I$34*parametros_manuales!$J$34</f>
        <v>15370.04422521</v>
      </c>
      <c r="C179" s="9" t="n">
        <f aca="false">(parametros_manuales!$D$34*(datos_base!$H$2+datos_base!$H$18+IF(parametros_manuales!$H$34="Todos",datos_base!$H$9+datos_base!$H$23,0))*parametros_manuales!$C$95+parametros_manuales!$E$34*(datos_base!$H$3+datos_base!$H$19+IF(parametros_manuales!$H$34="Todos",datos_base!$H$10+datos_base!$H$24,0))*parametros_manuales!$C$100+parametros_manuales!$F$34*(datos_base!$H$4+datos_base!$H$20+IF(parametros_manuales!$H$34="Todos",datos_base!$H$11+datos_base!$H$25,0))*parametros_manuales!$C$105+parametros_manuales!$G$34*(datos_base!$H$5+datos_base!$H$21+IF(parametros_manuales!$H$34="Todos",datos_base!$H$12+datos_base!$H$26,0))*parametros_manuales!$C$110)*parametros_manuales!$I$34*parametros_manuales!$J$34</f>
        <v>14878.99306612</v>
      </c>
      <c r="D179" s="9" t="n">
        <f aca="false">(parametros_manuales!$D$34*(datos_base!$H$2+datos_base!$H$18+IF(parametros_manuales!$H$34="Todos",datos_base!$H$9+datos_base!$H$23,0))*parametros_manuales!$D$95+parametros_manuales!$E$34*(datos_base!$H$3+datos_base!$H$19+IF(parametros_manuales!$H$34="Todos",datos_base!$H$10+datos_base!$H$24,0))*parametros_manuales!$D$100+parametros_manuales!$F$34*(datos_base!$H$4+datos_base!$H$20+IF(parametros_manuales!$H$34="Todos",datos_base!$H$11+datos_base!$H$25,0))*parametros_manuales!$D$105+parametros_manuales!$G$34*(datos_base!$H$5+datos_base!$H$21+IF(parametros_manuales!$H$34="Todos",datos_base!$H$12+datos_base!$H$26,0))*parametros_manuales!$D$110)*parametros_manuales!$I$34*parametros_manuales!$J$34</f>
        <v>13907.787113065</v>
      </c>
      <c r="E179" s="9" t="n">
        <f aca="false">(parametros_manuales!$D$34*(datos_base!$H$2+datos_base!$H$18+IF(parametros_manuales!$H$34="Todos",datos_base!$H$9+datos_base!$H$23,0))*parametros_manuales!$E$95+parametros_manuales!$E$34*(datos_base!$H$3+datos_base!$H$19+IF(parametros_manuales!$H$34="Todos",datos_base!$H$10+datos_base!$H$24,0))*parametros_manuales!$E$100+parametros_manuales!$F$34*(datos_base!$H$4+datos_base!$H$20+IF(parametros_manuales!$H$34="Todos",datos_base!$H$11+datos_base!$H$25,0))*parametros_manuales!$E$105+parametros_manuales!$G$34*(datos_base!$H$5+datos_base!$H$21+IF(parametros_manuales!$H$34="Todos",datos_base!$H$12+datos_base!$H$26,0))*parametros_manuales!$E$110)*parametros_manuales!$I$34*parametros_manuales!$J$34</f>
        <v>13299.421346765</v>
      </c>
      <c r="F179" s="9" t="n">
        <f aca="false">(parametros_manuales!$D$34*(datos_base!$H$2+datos_base!$H$18+IF(parametros_manuales!$H$34="Todos",datos_base!$H$9+datos_base!$H$23,0))*parametros_manuales!$F$95+parametros_manuales!$E$34*(datos_base!$H$3+datos_base!$H$19+IF(parametros_manuales!$H$34="Todos",datos_base!$H$10+datos_base!$H$24,0))*parametros_manuales!$F$100+parametros_manuales!$F$34*(datos_base!$H$4+datos_base!$H$20+IF(parametros_manuales!$H$34="Todos",datos_base!$H$11+datos_base!$H$25,0))*parametros_manuales!$F$105+parametros_manuales!$G$34*(datos_base!$H$5+datos_base!$H$21+IF(parametros_manuales!$H$34="Todos",datos_base!$H$12+datos_base!$H$26,0))*parametros_manuales!$F$110)*parametros_manuales!$I$34*parametros_manuales!$J$34</f>
        <v>12445.53000092</v>
      </c>
      <c r="G179" s="9" t="n">
        <f aca="false">(parametros_manuales!$D$34*(datos_base!$H$2+datos_base!$H$18+IF(parametros_manuales!$H$34="Todos",datos_base!$H$9+datos_base!$H$23,0))*parametros_manuales!$G$95+parametros_manuales!$E$34*(datos_base!$H$3+datos_base!$H$19+IF(parametros_manuales!$H$34="Todos",datos_base!$H$10+datos_base!$H$24,0))*parametros_manuales!$G$100+parametros_manuales!$F$34*(datos_base!$H$4+datos_base!$H$20+IF(parametros_manuales!$H$34="Todos",datos_base!$H$11+datos_base!$H$25,0))*parametros_manuales!$G$105+parametros_manuales!$G$34*(datos_base!$H$5+datos_base!$H$21+IF(parametros_manuales!$H$34="Todos",datos_base!$H$12+datos_base!$H$26,0))*parametros_manuales!$G$110)*parametros_manuales!$I$34*parametros_manuales!$J$34</f>
        <v>12200.004421375</v>
      </c>
      <c r="H179" s="9" t="n">
        <f aca="false">(parametros_manuales!$D$34*(datos_base!$H$2+datos_base!$H$18+IF(parametros_manuales!$H$34="Todos",datos_base!$H$9+datos_base!$H$23,0))*parametros_manuales!$H$95+parametros_manuales!$E$34*(datos_base!$H$3+datos_base!$H$19+IF(parametros_manuales!$H$34="Todos",datos_base!$H$10+datos_base!$H$24,0))*parametros_manuales!$H$100+parametros_manuales!$F$34*(datos_base!$H$4+datos_base!$H$20+IF(parametros_manuales!$H$34="Todos",datos_base!$H$11+datos_base!$H$25,0))*parametros_manuales!$H$105+parametros_manuales!$G$34*(datos_base!$H$5+datos_base!$H$21+IF(parametros_manuales!$H$34="Todos",datos_base!$H$12+datos_base!$H$26,0))*parametros_manuales!$H$110)*parametros_manuales!$I$34*parametros_manuales!$J$34</f>
        <v>13053.89576722</v>
      </c>
      <c r="I179" s="9" t="n">
        <f aca="false">(parametros_manuales!$D$34*(datos_base!$H$2+datos_base!$H$18+IF(parametros_manuales!$H$34="Todos",datos_base!$H$9+datos_base!$H$23,0))*parametros_manuales!$I$95+parametros_manuales!$E$34*(datos_base!$H$3+datos_base!$H$19+IF(parametros_manuales!$H$34="Todos",datos_base!$H$10+datos_base!$H$24,0))*parametros_manuales!$I$100+parametros_manuales!$F$34*(datos_base!$H$4+datos_base!$H$20+IF(parametros_manuales!$H$34="Todos",datos_base!$H$11+datos_base!$H$25,0))*parametros_manuales!$I$105+parametros_manuales!$G$34*(datos_base!$H$5+datos_base!$H$21+IF(parametros_manuales!$H$34="Todos",datos_base!$H$12+datos_base!$H$26,0))*parametros_manuales!$I$110)*parametros_manuales!$I$34*parametros_manuales!$J$34</f>
        <v>14878.99306612</v>
      </c>
      <c r="J179" s="9" t="n">
        <f aca="false">(parametros_manuales!$D$34*(datos_base!$H$2+datos_base!$H$18+IF(parametros_manuales!$H$34="Todos",datos_base!$H$9+datos_base!$H$23,0))*parametros_manuales!$J$95+parametros_manuales!$E$34*(datos_base!$H$3+datos_base!$H$19+IF(parametros_manuales!$H$34="Todos",datos_base!$H$10+datos_base!$H$24,0))*parametros_manuales!$J$100+parametros_manuales!$F$34*(datos_base!$H$4+datos_base!$H$20+IF(parametros_manuales!$H$34="Todos",datos_base!$H$11+datos_base!$H$25,0))*parametros_manuales!$J$105+parametros_manuales!$G$34*(datos_base!$H$5+datos_base!$H$21+IF(parametros_manuales!$H$34="Todos",datos_base!$H$12+datos_base!$H$26,0))*parametros_manuales!$J$110)*parametros_manuales!$I$34*parametros_manuales!$J$34</f>
        <v>14878.99306612</v>
      </c>
      <c r="K179" s="9" t="n">
        <f aca="false">(parametros_manuales!$D$34*(datos_base!$H$2+datos_base!$H$18+IF(parametros_manuales!$H$34="Todos",datos_base!$H$9+datos_base!$H$23,0))*parametros_manuales!$K$95+parametros_manuales!$E$34*(datos_base!$H$3+datos_base!$H$19+IF(parametros_manuales!$H$34="Todos",datos_base!$H$10+datos_base!$H$24,0))*parametros_manuales!$K$100+parametros_manuales!$F$34*(datos_base!$H$4+datos_base!$H$20+IF(parametros_manuales!$H$34="Todos",datos_base!$H$11+datos_base!$H$25,0))*parametros_manuales!$K$105+parametros_manuales!$G$34*(datos_base!$H$5+datos_base!$H$21+IF(parametros_manuales!$H$34="Todos",datos_base!$H$12+datos_base!$H$26,0))*parametros_manuales!$K$110)*parametros_manuales!$I$34*parametros_manuales!$J$34</f>
        <v>15124.518645665</v>
      </c>
      <c r="L179" s="9" t="n">
        <f aca="false">(parametros_manuales!$D$34*(datos_base!$H$2+datos_base!$H$18+IF(parametros_manuales!$H$34="Todos",datos_base!$H$9+datos_base!$H$23,0))*parametros_manuales!$L$95+parametros_manuales!$E$34*(datos_base!$H$3+datos_base!$H$19+IF(parametros_manuales!$H$34="Todos",datos_base!$H$10+datos_base!$H$24,0))*parametros_manuales!$L$100+parametros_manuales!$F$34*(datos_base!$H$4+datos_base!$H$20+IF(parametros_manuales!$H$34="Todos",datos_base!$H$11+datos_base!$H$25,0))*parametros_manuales!$L$105+parametros_manuales!$G$34*(datos_base!$H$5+datos_base!$H$21+IF(parametros_manuales!$H$34="Todos",datos_base!$H$12+datos_base!$H$26,0))*parametros_manuales!$L$110)*parametros_manuales!$I$34*parametros_manuales!$J$34</f>
        <v>15370.04422521</v>
      </c>
      <c r="M179" s="9" t="n">
        <f aca="false">(parametros_manuales!$D$34*(datos_base!$H$2+datos_base!$H$18+IF(parametros_manuales!$H$34="Todos",datos_base!$H$9+datos_base!$H$23,0))*parametros_manuales!$M$95+parametros_manuales!$E$34*(datos_base!$H$3+datos_base!$H$19+IF(parametros_manuales!$H$34="Todos",datos_base!$H$10+datos_base!$H$24,0))*parametros_manuales!$M$100+parametros_manuales!$F$34*(datos_base!$H$4+datos_base!$H$20+IF(parametros_manuales!$H$34="Todos",datos_base!$H$11+datos_base!$H$25,0))*parametros_manuales!$M$105+parametros_manuales!$G$34*(datos_base!$H$5+datos_base!$H$21+IF(parametros_manuales!$H$34="Todos",datos_base!$H$12+datos_base!$H$26,0))*parametros_manuales!$M$110)*parametros_manuales!$I$34*parametros_manuales!$J$34</f>
        <v>15370.04422521</v>
      </c>
      <c r="N179" s="9" t="n">
        <f aca="false">SUM(B179:M179)</f>
        <v>170778.269169</v>
      </c>
      <c r="O179" s="9" t="n">
        <f aca="false">MAX(B179:M179)</f>
        <v>15370.04422521</v>
      </c>
      <c r="P179" s="43" t="n">
        <f aca="false">O179/(parametros_manuales!$B$7)</f>
        <v>102.4669615014</v>
      </c>
      <c r="Q179" s="8" t="str">
        <f aca="false">IF(O179=0,"-",INDEX($B$163:$M$163,MATCH(O179,B179:M179,0)))</f>
        <v>Ene</v>
      </c>
    </row>
    <row r="180" customFormat="false" ht="14.25" hidden="false" customHeight="true" outlineLevel="0" collapsed="false">
      <c r="A180" s="8" t="str">
        <f aca="false">parametros_manuales!$B$35</f>
        <v>Detección de defectos</v>
      </c>
      <c r="B180" s="9" t="n">
        <f aca="false">(parametros_manuales!$D$35*(datos_base!$H$2+datos_base!$H$18+IF(parametros_manuales!$H$35="Todos",datos_base!$H$9+datos_base!$H$23,0))*parametros_manuales!$B$95+parametros_manuales!$E$35*(datos_base!$H$3+datos_base!$H$19+IF(parametros_manuales!$H$35="Todos",datos_base!$H$10+datos_base!$H$24,0))*parametros_manuales!$B$100+parametros_manuales!$F$35*(datos_base!$H$4+datos_base!$H$20+IF(parametros_manuales!$H$35="Todos",datos_base!$H$11+datos_base!$H$25,0))*parametros_manuales!$B$105+parametros_manuales!$G$35*(datos_base!$H$5+datos_base!$H$21+IF(parametros_manuales!$H$35="Todos",datos_base!$H$12+datos_base!$H$26,0))*parametros_manuales!$B$110)*parametros_manuales!$I$35*parametros_manuales!$J$35</f>
        <v>15370.04422521</v>
      </c>
      <c r="C180" s="9" t="n">
        <f aca="false">(parametros_manuales!$D$35*(datos_base!$H$2+datos_base!$H$18+IF(parametros_manuales!$H$35="Todos",datos_base!$H$9+datos_base!$H$23,0))*parametros_manuales!$C$95+parametros_manuales!$E$35*(datos_base!$H$3+datos_base!$H$19+IF(parametros_manuales!$H$35="Todos",datos_base!$H$10+datos_base!$H$24,0))*parametros_manuales!$C$100+parametros_manuales!$F$35*(datos_base!$H$4+datos_base!$H$20+IF(parametros_manuales!$H$35="Todos",datos_base!$H$11+datos_base!$H$25,0))*parametros_manuales!$C$105+parametros_manuales!$G$35*(datos_base!$H$5+datos_base!$H$21+IF(parametros_manuales!$H$35="Todos",datos_base!$H$12+datos_base!$H$26,0))*parametros_manuales!$C$110)*parametros_manuales!$I$35*parametros_manuales!$J$35</f>
        <v>14878.99306612</v>
      </c>
      <c r="D180" s="9" t="n">
        <f aca="false">(parametros_manuales!$D$35*(datos_base!$H$2+datos_base!$H$18+IF(parametros_manuales!$H$35="Todos",datos_base!$H$9+datos_base!$H$23,0))*parametros_manuales!$D$95+parametros_manuales!$E$35*(datos_base!$H$3+datos_base!$H$19+IF(parametros_manuales!$H$35="Todos",datos_base!$H$10+datos_base!$H$24,0))*parametros_manuales!$D$100+parametros_manuales!$F$35*(datos_base!$H$4+datos_base!$H$20+IF(parametros_manuales!$H$35="Todos",datos_base!$H$11+datos_base!$H$25,0))*parametros_manuales!$D$105+parametros_manuales!$G$35*(datos_base!$H$5+datos_base!$H$21+IF(parametros_manuales!$H$35="Todos",datos_base!$H$12+datos_base!$H$26,0))*parametros_manuales!$D$110)*parametros_manuales!$I$35*parametros_manuales!$J$35</f>
        <v>13907.787113065</v>
      </c>
      <c r="E180" s="9" t="n">
        <f aca="false">(parametros_manuales!$D$35*(datos_base!$H$2+datos_base!$H$18+IF(parametros_manuales!$H$35="Todos",datos_base!$H$9+datos_base!$H$23,0))*parametros_manuales!$E$95+parametros_manuales!$E$35*(datos_base!$H$3+datos_base!$H$19+IF(parametros_manuales!$H$35="Todos",datos_base!$H$10+datos_base!$H$24,0))*parametros_manuales!$E$100+parametros_manuales!$F$35*(datos_base!$H$4+datos_base!$H$20+IF(parametros_manuales!$H$35="Todos",datos_base!$H$11+datos_base!$H$25,0))*parametros_manuales!$E$105+parametros_manuales!$G$35*(datos_base!$H$5+datos_base!$H$21+IF(parametros_manuales!$H$35="Todos",datos_base!$H$12+datos_base!$H$26,0))*parametros_manuales!$E$110)*parametros_manuales!$I$35*parametros_manuales!$J$35</f>
        <v>13299.421346765</v>
      </c>
      <c r="F180" s="9" t="n">
        <f aca="false">(parametros_manuales!$D$35*(datos_base!$H$2+datos_base!$H$18+IF(parametros_manuales!$H$35="Todos",datos_base!$H$9+datos_base!$H$23,0))*parametros_manuales!$F$95+parametros_manuales!$E$35*(datos_base!$H$3+datos_base!$H$19+IF(parametros_manuales!$H$35="Todos",datos_base!$H$10+datos_base!$H$24,0))*parametros_manuales!$F$100+parametros_manuales!$F$35*(datos_base!$H$4+datos_base!$H$20+IF(parametros_manuales!$H$35="Todos",datos_base!$H$11+datos_base!$H$25,0))*parametros_manuales!$F$105+parametros_manuales!$G$35*(datos_base!$H$5+datos_base!$H$21+IF(parametros_manuales!$H$35="Todos",datos_base!$H$12+datos_base!$H$26,0))*parametros_manuales!$F$110)*parametros_manuales!$I$35*parametros_manuales!$J$35</f>
        <v>12445.53000092</v>
      </c>
      <c r="G180" s="9" t="n">
        <f aca="false">(parametros_manuales!$D$35*(datos_base!$H$2+datos_base!$H$18+IF(parametros_manuales!$H$35="Todos",datos_base!$H$9+datos_base!$H$23,0))*parametros_manuales!$G$95+parametros_manuales!$E$35*(datos_base!$H$3+datos_base!$H$19+IF(parametros_manuales!$H$35="Todos",datos_base!$H$10+datos_base!$H$24,0))*parametros_manuales!$G$100+parametros_manuales!$F$35*(datos_base!$H$4+datos_base!$H$20+IF(parametros_manuales!$H$35="Todos",datos_base!$H$11+datos_base!$H$25,0))*parametros_manuales!$G$105+parametros_manuales!$G$35*(datos_base!$H$5+datos_base!$H$21+IF(parametros_manuales!$H$35="Todos",datos_base!$H$12+datos_base!$H$26,0))*parametros_manuales!$G$110)*parametros_manuales!$I$35*parametros_manuales!$J$35</f>
        <v>12200.004421375</v>
      </c>
      <c r="H180" s="9" t="n">
        <f aca="false">(parametros_manuales!$D$35*(datos_base!$H$2+datos_base!$H$18+IF(parametros_manuales!$H$35="Todos",datos_base!$H$9+datos_base!$H$23,0))*parametros_manuales!$H$95+parametros_manuales!$E$35*(datos_base!$H$3+datos_base!$H$19+IF(parametros_manuales!$H$35="Todos",datos_base!$H$10+datos_base!$H$24,0))*parametros_manuales!$H$100+parametros_manuales!$F$35*(datos_base!$H$4+datos_base!$H$20+IF(parametros_manuales!$H$35="Todos",datos_base!$H$11+datos_base!$H$25,0))*parametros_manuales!$H$105+parametros_manuales!$G$35*(datos_base!$H$5+datos_base!$H$21+IF(parametros_manuales!$H$35="Todos",datos_base!$H$12+datos_base!$H$26,0))*parametros_manuales!$H$110)*parametros_manuales!$I$35*parametros_manuales!$J$35</f>
        <v>13053.89576722</v>
      </c>
      <c r="I180" s="9" t="n">
        <f aca="false">(parametros_manuales!$D$35*(datos_base!$H$2+datos_base!$H$18+IF(parametros_manuales!$H$35="Todos",datos_base!$H$9+datos_base!$H$23,0))*parametros_manuales!$I$95+parametros_manuales!$E$35*(datos_base!$H$3+datos_base!$H$19+IF(parametros_manuales!$H$35="Todos",datos_base!$H$10+datos_base!$H$24,0))*parametros_manuales!$I$100+parametros_manuales!$F$35*(datos_base!$H$4+datos_base!$H$20+IF(parametros_manuales!$H$35="Todos",datos_base!$H$11+datos_base!$H$25,0))*parametros_manuales!$I$105+parametros_manuales!$G$35*(datos_base!$H$5+datos_base!$H$21+IF(parametros_manuales!$H$35="Todos",datos_base!$H$12+datos_base!$H$26,0))*parametros_manuales!$I$110)*parametros_manuales!$I$35*parametros_manuales!$J$35</f>
        <v>14878.99306612</v>
      </c>
      <c r="J180" s="9" t="n">
        <f aca="false">(parametros_manuales!$D$35*(datos_base!$H$2+datos_base!$H$18+IF(parametros_manuales!$H$35="Todos",datos_base!$H$9+datos_base!$H$23,0))*parametros_manuales!$J$95+parametros_manuales!$E$35*(datos_base!$H$3+datos_base!$H$19+IF(parametros_manuales!$H$35="Todos",datos_base!$H$10+datos_base!$H$24,0))*parametros_manuales!$J$100+parametros_manuales!$F$35*(datos_base!$H$4+datos_base!$H$20+IF(parametros_manuales!$H$35="Todos",datos_base!$H$11+datos_base!$H$25,0))*parametros_manuales!$J$105+parametros_manuales!$G$35*(datos_base!$H$5+datos_base!$H$21+IF(parametros_manuales!$H$35="Todos",datos_base!$H$12+datos_base!$H$26,0))*parametros_manuales!$J$110)*parametros_manuales!$I$35*parametros_manuales!$J$35</f>
        <v>14878.99306612</v>
      </c>
      <c r="K180" s="9" t="n">
        <f aca="false">(parametros_manuales!$D$35*(datos_base!$H$2+datos_base!$H$18+IF(parametros_manuales!$H$35="Todos",datos_base!$H$9+datos_base!$H$23,0))*parametros_manuales!$K$95+parametros_manuales!$E$35*(datos_base!$H$3+datos_base!$H$19+IF(parametros_manuales!$H$35="Todos",datos_base!$H$10+datos_base!$H$24,0))*parametros_manuales!$K$100+parametros_manuales!$F$35*(datos_base!$H$4+datos_base!$H$20+IF(parametros_manuales!$H$35="Todos",datos_base!$H$11+datos_base!$H$25,0))*parametros_manuales!$K$105+parametros_manuales!$G$35*(datos_base!$H$5+datos_base!$H$21+IF(parametros_manuales!$H$35="Todos",datos_base!$H$12+datos_base!$H$26,0))*parametros_manuales!$K$110)*parametros_manuales!$I$35*parametros_manuales!$J$35</f>
        <v>15124.518645665</v>
      </c>
      <c r="L180" s="9" t="n">
        <f aca="false">(parametros_manuales!$D$35*(datos_base!$H$2+datos_base!$H$18+IF(parametros_manuales!$H$35="Todos",datos_base!$H$9+datos_base!$H$23,0))*parametros_manuales!$L$95+parametros_manuales!$E$35*(datos_base!$H$3+datos_base!$H$19+IF(parametros_manuales!$H$35="Todos",datos_base!$H$10+datos_base!$H$24,0))*parametros_manuales!$L$100+parametros_manuales!$F$35*(datos_base!$H$4+datos_base!$H$20+IF(parametros_manuales!$H$35="Todos",datos_base!$H$11+datos_base!$H$25,0))*parametros_manuales!$L$105+parametros_manuales!$G$35*(datos_base!$H$5+datos_base!$H$21+IF(parametros_manuales!$H$35="Todos",datos_base!$H$12+datos_base!$H$26,0))*parametros_manuales!$L$110)*parametros_manuales!$I$35*parametros_manuales!$J$35</f>
        <v>15370.04422521</v>
      </c>
      <c r="M180" s="9" t="n">
        <f aca="false">(parametros_manuales!$D$35*(datos_base!$H$2+datos_base!$H$18+IF(parametros_manuales!$H$35="Todos",datos_base!$H$9+datos_base!$H$23,0))*parametros_manuales!$M$95+parametros_manuales!$E$35*(datos_base!$H$3+datos_base!$H$19+IF(parametros_manuales!$H$35="Todos",datos_base!$H$10+datos_base!$H$24,0))*parametros_manuales!$M$100+parametros_manuales!$F$35*(datos_base!$H$4+datos_base!$H$20+IF(parametros_manuales!$H$35="Todos",datos_base!$H$11+datos_base!$H$25,0))*parametros_manuales!$M$105+parametros_manuales!$G$35*(datos_base!$H$5+datos_base!$H$21+IF(parametros_manuales!$H$35="Todos",datos_base!$H$12+datos_base!$H$26,0))*parametros_manuales!$M$110)*parametros_manuales!$I$35*parametros_manuales!$J$35</f>
        <v>15370.04422521</v>
      </c>
      <c r="N180" s="9" t="n">
        <f aca="false">SUM(B180:M180)</f>
        <v>170778.269169</v>
      </c>
      <c r="O180" s="9" t="n">
        <f aca="false">MAX(B180:M180)</f>
        <v>15370.04422521</v>
      </c>
      <c r="P180" s="43" t="n">
        <f aca="false">O180/(parametros_manuales!$B$7)</f>
        <v>102.4669615014</v>
      </c>
      <c r="Q180" s="8" t="str">
        <f aca="false">IF(O180=0,"-",INDEX($B$163:$M$163,MATCH(O180,B180:M180,0)))</f>
        <v>Ene</v>
      </c>
    </row>
    <row r="181" customFormat="false" ht="14.25" hidden="false" customHeight="true" outlineLevel="0" collapsed="false">
      <c r="A181" s="8" t="str">
        <f aca="false">parametros_manuales!$B$36</f>
        <v>Corrección de defectos</v>
      </c>
      <c r="B181" s="9" t="n">
        <f aca="false">(parametros_manuales!$D$36*(datos_base!$H$2+datos_base!$H$18+IF(parametros_manuales!$H$36="Todos",datos_base!$H$9+datos_base!$H$23,0))*parametros_manuales!$B$95+parametros_manuales!$E$36*(datos_base!$H$3+datos_base!$H$19+IF(parametros_manuales!$H$36="Todos",datos_base!$H$10+datos_base!$H$24,0))*parametros_manuales!$B$100+parametros_manuales!$F$36*(datos_base!$H$4+datos_base!$H$20+IF(parametros_manuales!$H$36="Todos",datos_base!$H$11+datos_base!$H$25,0))*parametros_manuales!$B$105+parametros_manuales!$G$36*(datos_base!$H$5+datos_base!$H$21+IF(parametros_manuales!$H$36="Todos",datos_base!$H$12+datos_base!$H$26,0))*parametros_manuales!$B$110)*parametros_manuales!$I$36*parametros_manuales!$J$36</f>
        <v>768.5022112605</v>
      </c>
      <c r="C181" s="9" t="n">
        <f aca="false">(parametros_manuales!$D$36*(datos_base!$H$2+datos_base!$H$18+IF(parametros_manuales!$H$36="Todos",datos_base!$H$9+datos_base!$H$23,0))*parametros_manuales!$C$95+parametros_manuales!$E$36*(datos_base!$H$3+datos_base!$H$19+IF(parametros_manuales!$H$36="Todos",datos_base!$H$10+datos_base!$H$24,0))*parametros_manuales!$C$100+parametros_manuales!$F$36*(datos_base!$H$4+datos_base!$H$20+IF(parametros_manuales!$H$36="Todos",datos_base!$H$11+datos_base!$H$25,0))*parametros_manuales!$C$105+parametros_manuales!$G$36*(datos_base!$H$5+datos_base!$H$21+IF(parametros_manuales!$H$36="Todos",datos_base!$H$12+datos_base!$H$26,0))*parametros_manuales!$C$110)*parametros_manuales!$I$36*parametros_manuales!$J$36</f>
        <v>743.949653306</v>
      </c>
      <c r="D181" s="9" t="n">
        <f aca="false">(parametros_manuales!$D$36*(datos_base!$H$2+datos_base!$H$18+IF(parametros_manuales!$H$36="Todos",datos_base!$H$9+datos_base!$H$23,0))*parametros_manuales!$D$95+parametros_manuales!$E$36*(datos_base!$H$3+datos_base!$H$19+IF(parametros_manuales!$H$36="Todos",datos_base!$H$10+datos_base!$H$24,0))*parametros_manuales!$D$100+parametros_manuales!$F$36*(datos_base!$H$4+datos_base!$H$20+IF(parametros_manuales!$H$36="Todos",datos_base!$H$11+datos_base!$H$25,0))*parametros_manuales!$D$105+parametros_manuales!$G$36*(datos_base!$H$5+datos_base!$H$21+IF(parametros_manuales!$H$36="Todos",datos_base!$H$12+datos_base!$H$26,0))*parametros_manuales!$D$110)*parametros_manuales!$I$36*parametros_manuales!$J$36</f>
        <v>695.38935565325</v>
      </c>
      <c r="E181" s="9" t="n">
        <f aca="false">(parametros_manuales!$D$36*(datos_base!$H$2+datos_base!$H$18+IF(parametros_manuales!$H$36="Todos",datos_base!$H$9+datos_base!$H$23,0))*parametros_manuales!$E$95+parametros_manuales!$E$36*(datos_base!$H$3+datos_base!$H$19+IF(parametros_manuales!$H$36="Todos",datos_base!$H$10+datos_base!$H$24,0))*parametros_manuales!$E$100+parametros_manuales!$F$36*(datos_base!$H$4+datos_base!$H$20+IF(parametros_manuales!$H$36="Todos",datos_base!$H$11+datos_base!$H$25,0))*parametros_manuales!$E$105+parametros_manuales!$G$36*(datos_base!$H$5+datos_base!$H$21+IF(parametros_manuales!$H$36="Todos",datos_base!$H$12+datos_base!$H$26,0))*parametros_manuales!$E$110)*parametros_manuales!$I$36*parametros_manuales!$J$36</f>
        <v>664.97106733825</v>
      </c>
      <c r="F181" s="9" t="n">
        <f aca="false">(parametros_manuales!$D$36*(datos_base!$H$2+datos_base!$H$18+IF(parametros_manuales!$H$36="Todos",datos_base!$H$9+datos_base!$H$23,0))*parametros_manuales!$F$95+parametros_manuales!$E$36*(datos_base!$H$3+datos_base!$H$19+IF(parametros_manuales!$H$36="Todos",datos_base!$H$10+datos_base!$H$24,0))*parametros_manuales!$F$100+parametros_manuales!$F$36*(datos_base!$H$4+datos_base!$H$20+IF(parametros_manuales!$H$36="Todos",datos_base!$H$11+datos_base!$H$25,0))*parametros_manuales!$F$105+parametros_manuales!$G$36*(datos_base!$H$5+datos_base!$H$21+IF(parametros_manuales!$H$36="Todos",datos_base!$H$12+datos_base!$H$26,0))*parametros_manuales!$F$110)*parametros_manuales!$I$36*parametros_manuales!$J$36</f>
        <v>622.276500046</v>
      </c>
      <c r="G181" s="9" t="n">
        <f aca="false">(parametros_manuales!$D$36*(datos_base!$H$2+datos_base!$H$18+IF(parametros_manuales!$H$36="Todos",datos_base!$H$9+datos_base!$H$23,0))*parametros_manuales!$G$95+parametros_manuales!$E$36*(datos_base!$H$3+datos_base!$H$19+IF(parametros_manuales!$H$36="Todos",datos_base!$H$10+datos_base!$H$24,0))*parametros_manuales!$G$100+parametros_manuales!$F$36*(datos_base!$H$4+datos_base!$H$20+IF(parametros_manuales!$H$36="Todos",datos_base!$H$11+datos_base!$H$25,0))*parametros_manuales!$G$105+parametros_manuales!$G$36*(datos_base!$H$5+datos_base!$H$21+IF(parametros_manuales!$H$36="Todos",datos_base!$H$12+datos_base!$H$26,0))*parametros_manuales!$G$110)*parametros_manuales!$I$36*parametros_manuales!$J$36</f>
        <v>610.00022106875</v>
      </c>
      <c r="H181" s="9" t="n">
        <f aca="false">(parametros_manuales!$D$36*(datos_base!$H$2+datos_base!$H$18+IF(parametros_manuales!$H$36="Todos",datos_base!$H$9+datos_base!$H$23,0))*parametros_manuales!$H$95+parametros_manuales!$E$36*(datos_base!$H$3+datos_base!$H$19+IF(parametros_manuales!$H$36="Todos",datos_base!$H$10+datos_base!$H$24,0))*parametros_manuales!$H$100+parametros_manuales!$F$36*(datos_base!$H$4+datos_base!$H$20+IF(parametros_manuales!$H$36="Todos",datos_base!$H$11+datos_base!$H$25,0))*parametros_manuales!$H$105+parametros_manuales!$G$36*(datos_base!$H$5+datos_base!$H$21+IF(parametros_manuales!$H$36="Todos",datos_base!$H$12+datos_base!$H$26,0))*parametros_manuales!$H$110)*parametros_manuales!$I$36*parametros_manuales!$J$36</f>
        <v>652.694788361</v>
      </c>
      <c r="I181" s="9" t="n">
        <f aca="false">(parametros_manuales!$D$36*(datos_base!$H$2+datos_base!$H$18+IF(parametros_manuales!$H$36="Todos",datos_base!$H$9+datos_base!$H$23,0))*parametros_manuales!$I$95+parametros_manuales!$E$36*(datos_base!$H$3+datos_base!$H$19+IF(parametros_manuales!$H$36="Todos",datos_base!$H$10+datos_base!$H$24,0))*parametros_manuales!$I$100+parametros_manuales!$F$36*(datos_base!$H$4+datos_base!$H$20+IF(parametros_manuales!$H$36="Todos",datos_base!$H$11+datos_base!$H$25,0))*parametros_manuales!$I$105+parametros_manuales!$G$36*(datos_base!$H$5+datos_base!$H$21+IF(parametros_manuales!$H$36="Todos",datos_base!$H$12+datos_base!$H$26,0))*parametros_manuales!$I$110)*parametros_manuales!$I$36*parametros_manuales!$J$36</f>
        <v>743.949653306</v>
      </c>
      <c r="J181" s="9" t="n">
        <f aca="false">(parametros_manuales!$D$36*(datos_base!$H$2+datos_base!$H$18+IF(parametros_manuales!$H$36="Todos",datos_base!$H$9+datos_base!$H$23,0))*parametros_manuales!$J$95+parametros_manuales!$E$36*(datos_base!$H$3+datos_base!$H$19+IF(parametros_manuales!$H$36="Todos",datos_base!$H$10+datos_base!$H$24,0))*parametros_manuales!$J$100+parametros_manuales!$F$36*(datos_base!$H$4+datos_base!$H$20+IF(parametros_manuales!$H$36="Todos",datos_base!$H$11+datos_base!$H$25,0))*parametros_manuales!$J$105+parametros_manuales!$G$36*(datos_base!$H$5+datos_base!$H$21+IF(parametros_manuales!$H$36="Todos",datos_base!$H$12+datos_base!$H$26,0))*parametros_manuales!$J$110)*parametros_manuales!$I$36*parametros_manuales!$J$36</f>
        <v>743.949653306</v>
      </c>
      <c r="K181" s="9" t="n">
        <f aca="false">(parametros_manuales!$D$36*(datos_base!$H$2+datos_base!$H$18+IF(parametros_manuales!$H$36="Todos",datos_base!$H$9+datos_base!$H$23,0))*parametros_manuales!$K$95+parametros_manuales!$E$36*(datos_base!$H$3+datos_base!$H$19+IF(parametros_manuales!$H$36="Todos",datos_base!$H$10+datos_base!$H$24,0))*parametros_manuales!$K$100+parametros_manuales!$F$36*(datos_base!$H$4+datos_base!$H$20+IF(parametros_manuales!$H$36="Todos",datos_base!$H$11+datos_base!$H$25,0))*parametros_manuales!$K$105+parametros_manuales!$G$36*(datos_base!$H$5+datos_base!$H$21+IF(parametros_manuales!$H$36="Todos",datos_base!$H$12+datos_base!$H$26,0))*parametros_manuales!$K$110)*parametros_manuales!$I$36*parametros_manuales!$J$36</f>
        <v>756.22593228325</v>
      </c>
      <c r="L181" s="9" t="n">
        <f aca="false">(parametros_manuales!$D$36*(datos_base!$H$2+datos_base!$H$18+IF(parametros_manuales!$H$36="Todos",datos_base!$H$9+datos_base!$H$23,0))*parametros_manuales!$L$95+parametros_manuales!$E$36*(datos_base!$H$3+datos_base!$H$19+IF(parametros_manuales!$H$36="Todos",datos_base!$H$10+datos_base!$H$24,0))*parametros_manuales!$L$100+parametros_manuales!$F$36*(datos_base!$H$4+datos_base!$H$20+IF(parametros_manuales!$H$36="Todos",datos_base!$H$11+datos_base!$H$25,0))*parametros_manuales!$L$105+parametros_manuales!$G$36*(datos_base!$H$5+datos_base!$H$21+IF(parametros_manuales!$H$36="Todos",datos_base!$H$12+datos_base!$H$26,0))*parametros_manuales!$L$110)*parametros_manuales!$I$36*parametros_manuales!$J$36</f>
        <v>768.5022112605</v>
      </c>
      <c r="M181" s="9" t="n">
        <f aca="false">(parametros_manuales!$D$36*(datos_base!$H$2+datos_base!$H$18+IF(parametros_manuales!$H$36="Todos",datos_base!$H$9+datos_base!$H$23,0))*parametros_manuales!$M$95+parametros_manuales!$E$36*(datos_base!$H$3+datos_base!$H$19+IF(parametros_manuales!$H$36="Todos",datos_base!$H$10+datos_base!$H$24,0))*parametros_manuales!$M$100+parametros_manuales!$F$36*(datos_base!$H$4+datos_base!$H$20+IF(parametros_manuales!$H$36="Todos",datos_base!$H$11+datos_base!$H$25,0))*parametros_manuales!$M$105+parametros_manuales!$G$36*(datos_base!$H$5+datos_base!$H$21+IF(parametros_manuales!$H$36="Todos",datos_base!$H$12+datos_base!$H$26,0))*parametros_manuales!$M$110)*parametros_manuales!$I$36*parametros_manuales!$J$36</f>
        <v>768.5022112605</v>
      </c>
      <c r="N181" s="9" t="n">
        <f aca="false">SUM(B181:M181)</f>
        <v>8538.91345845</v>
      </c>
      <c r="O181" s="9" t="n">
        <f aca="false">MAX(B181:M181)</f>
        <v>768.5022112605</v>
      </c>
      <c r="P181" s="43" t="n">
        <f aca="false">O181/(parametros_manuales!$B$7)</f>
        <v>5.12334807507</v>
      </c>
      <c r="Q181" s="8" t="str">
        <f aca="false">IF(O181=0,"-",INDEX($B$163:$M$163,MATCH(O181,B181:M181,0)))</f>
        <v>Ene</v>
      </c>
    </row>
    <row r="182" customFormat="false" ht="14.25" hidden="false" customHeight="true" outlineLevel="0" collapsed="false">
      <c r="A182" s="8" t="str">
        <f aca="false">parametros_manuales!$B$37</f>
        <v>Pintura en polvo + horno</v>
      </c>
      <c r="B182" s="9" t="n">
        <f aca="false">(parametros_manuales!$D$37*(datos_base!$H$2+datos_base!$H$18+IF(parametros_manuales!$H$37="Todos",datos_base!$H$9+datos_base!$H$23,0))*parametros_manuales!$B$95+parametros_manuales!$E$37*(datos_base!$H$3+datos_base!$H$19+IF(parametros_manuales!$H$37="Todos",datos_base!$H$10+datos_base!$H$24,0))*parametros_manuales!$B$100+parametros_manuales!$F$37*(datos_base!$H$4+datos_base!$H$20+IF(parametros_manuales!$H$37="Todos",datos_base!$H$11+datos_base!$H$25,0))*parametros_manuales!$B$105+parametros_manuales!$G$37*(datos_base!$H$5+datos_base!$H$21+IF(parametros_manuales!$H$37="Todos",datos_base!$H$12+datos_base!$H$26,0))*parametros_manuales!$B$110)*parametros_manuales!$I$37*parametros_manuales!$J$37</f>
        <v>15370.04422521</v>
      </c>
      <c r="C182" s="9" t="n">
        <f aca="false">(parametros_manuales!$D$37*(datos_base!$H$2+datos_base!$H$18+IF(parametros_manuales!$H$37="Todos",datos_base!$H$9+datos_base!$H$23,0))*parametros_manuales!$C$95+parametros_manuales!$E$37*(datos_base!$H$3+datos_base!$H$19+IF(parametros_manuales!$H$37="Todos",datos_base!$H$10+datos_base!$H$24,0))*parametros_manuales!$C$100+parametros_manuales!$F$37*(datos_base!$H$4+datos_base!$H$20+IF(parametros_manuales!$H$37="Todos",datos_base!$H$11+datos_base!$H$25,0))*parametros_manuales!$C$105+parametros_manuales!$G$37*(datos_base!$H$5+datos_base!$H$21+IF(parametros_manuales!$H$37="Todos",datos_base!$H$12+datos_base!$H$26,0))*parametros_manuales!$C$110)*parametros_manuales!$I$37*parametros_manuales!$J$37</f>
        <v>14878.99306612</v>
      </c>
      <c r="D182" s="9" t="n">
        <f aca="false">(parametros_manuales!$D$37*(datos_base!$H$2+datos_base!$H$18+IF(parametros_manuales!$H$37="Todos",datos_base!$H$9+datos_base!$H$23,0))*parametros_manuales!$D$95+parametros_manuales!$E$37*(datos_base!$H$3+datos_base!$H$19+IF(parametros_manuales!$H$37="Todos",datos_base!$H$10+datos_base!$H$24,0))*parametros_manuales!$D$100+parametros_manuales!$F$37*(datos_base!$H$4+datos_base!$H$20+IF(parametros_manuales!$H$37="Todos",datos_base!$H$11+datos_base!$H$25,0))*parametros_manuales!$D$105+parametros_manuales!$G$37*(datos_base!$H$5+datos_base!$H$21+IF(parametros_manuales!$H$37="Todos",datos_base!$H$12+datos_base!$H$26,0))*parametros_manuales!$D$110)*parametros_manuales!$I$37*parametros_manuales!$J$37</f>
        <v>13907.787113065</v>
      </c>
      <c r="E182" s="9" t="n">
        <f aca="false">(parametros_manuales!$D$37*(datos_base!$H$2+datos_base!$H$18+IF(parametros_manuales!$H$37="Todos",datos_base!$H$9+datos_base!$H$23,0))*parametros_manuales!$E$95+parametros_manuales!$E$37*(datos_base!$H$3+datos_base!$H$19+IF(parametros_manuales!$H$37="Todos",datos_base!$H$10+datos_base!$H$24,0))*parametros_manuales!$E$100+parametros_manuales!$F$37*(datos_base!$H$4+datos_base!$H$20+IF(parametros_manuales!$H$37="Todos",datos_base!$H$11+datos_base!$H$25,0))*parametros_manuales!$E$105+parametros_manuales!$G$37*(datos_base!$H$5+datos_base!$H$21+IF(parametros_manuales!$H$37="Todos",datos_base!$H$12+datos_base!$H$26,0))*parametros_manuales!$E$110)*parametros_manuales!$I$37*parametros_manuales!$J$37</f>
        <v>13299.421346765</v>
      </c>
      <c r="F182" s="9" t="n">
        <f aca="false">(parametros_manuales!$D$37*(datos_base!$H$2+datos_base!$H$18+IF(parametros_manuales!$H$37="Todos",datos_base!$H$9+datos_base!$H$23,0))*parametros_manuales!$F$95+parametros_manuales!$E$37*(datos_base!$H$3+datos_base!$H$19+IF(parametros_manuales!$H$37="Todos",datos_base!$H$10+datos_base!$H$24,0))*parametros_manuales!$F$100+parametros_manuales!$F$37*(datos_base!$H$4+datos_base!$H$20+IF(parametros_manuales!$H$37="Todos",datos_base!$H$11+datos_base!$H$25,0))*parametros_manuales!$F$105+parametros_manuales!$G$37*(datos_base!$H$5+datos_base!$H$21+IF(parametros_manuales!$H$37="Todos",datos_base!$H$12+datos_base!$H$26,0))*parametros_manuales!$F$110)*parametros_manuales!$I$37*parametros_manuales!$J$37</f>
        <v>12445.53000092</v>
      </c>
      <c r="G182" s="9" t="n">
        <f aca="false">(parametros_manuales!$D$37*(datos_base!$H$2+datos_base!$H$18+IF(parametros_manuales!$H$37="Todos",datos_base!$H$9+datos_base!$H$23,0))*parametros_manuales!$G$95+parametros_manuales!$E$37*(datos_base!$H$3+datos_base!$H$19+IF(parametros_manuales!$H$37="Todos",datos_base!$H$10+datos_base!$H$24,0))*parametros_manuales!$G$100+parametros_manuales!$F$37*(datos_base!$H$4+datos_base!$H$20+IF(parametros_manuales!$H$37="Todos",datos_base!$H$11+datos_base!$H$25,0))*parametros_manuales!$G$105+parametros_manuales!$G$37*(datos_base!$H$5+datos_base!$H$21+IF(parametros_manuales!$H$37="Todos",datos_base!$H$12+datos_base!$H$26,0))*parametros_manuales!$G$110)*parametros_manuales!$I$37*parametros_manuales!$J$37</f>
        <v>12200.004421375</v>
      </c>
      <c r="H182" s="9" t="n">
        <f aca="false">(parametros_manuales!$D$37*(datos_base!$H$2+datos_base!$H$18+IF(parametros_manuales!$H$37="Todos",datos_base!$H$9+datos_base!$H$23,0))*parametros_manuales!$H$95+parametros_manuales!$E$37*(datos_base!$H$3+datos_base!$H$19+IF(parametros_manuales!$H$37="Todos",datos_base!$H$10+datos_base!$H$24,0))*parametros_manuales!$H$100+parametros_manuales!$F$37*(datos_base!$H$4+datos_base!$H$20+IF(parametros_manuales!$H$37="Todos",datos_base!$H$11+datos_base!$H$25,0))*parametros_manuales!$H$105+parametros_manuales!$G$37*(datos_base!$H$5+datos_base!$H$21+IF(parametros_manuales!$H$37="Todos",datos_base!$H$12+datos_base!$H$26,0))*parametros_manuales!$H$110)*parametros_manuales!$I$37*parametros_manuales!$J$37</f>
        <v>13053.89576722</v>
      </c>
      <c r="I182" s="9" t="n">
        <f aca="false">(parametros_manuales!$D$37*(datos_base!$H$2+datos_base!$H$18+IF(parametros_manuales!$H$37="Todos",datos_base!$H$9+datos_base!$H$23,0))*parametros_manuales!$I$95+parametros_manuales!$E$37*(datos_base!$H$3+datos_base!$H$19+IF(parametros_manuales!$H$37="Todos",datos_base!$H$10+datos_base!$H$24,0))*parametros_manuales!$I$100+parametros_manuales!$F$37*(datos_base!$H$4+datos_base!$H$20+IF(parametros_manuales!$H$37="Todos",datos_base!$H$11+datos_base!$H$25,0))*parametros_manuales!$I$105+parametros_manuales!$G$37*(datos_base!$H$5+datos_base!$H$21+IF(parametros_manuales!$H$37="Todos",datos_base!$H$12+datos_base!$H$26,0))*parametros_manuales!$I$110)*parametros_manuales!$I$37*parametros_manuales!$J$37</f>
        <v>14878.99306612</v>
      </c>
      <c r="J182" s="9" t="n">
        <f aca="false">(parametros_manuales!$D$37*(datos_base!$H$2+datos_base!$H$18+IF(parametros_manuales!$H$37="Todos",datos_base!$H$9+datos_base!$H$23,0))*parametros_manuales!$J$95+parametros_manuales!$E$37*(datos_base!$H$3+datos_base!$H$19+IF(parametros_manuales!$H$37="Todos",datos_base!$H$10+datos_base!$H$24,0))*parametros_manuales!$J$100+parametros_manuales!$F$37*(datos_base!$H$4+datos_base!$H$20+IF(parametros_manuales!$H$37="Todos",datos_base!$H$11+datos_base!$H$25,0))*parametros_manuales!$J$105+parametros_manuales!$G$37*(datos_base!$H$5+datos_base!$H$21+IF(parametros_manuales!$H$37="Todos",datos_base!$H$12+datos_base!$H$26,0))*parametros_manuales!$J$110)*parametros_manuales!$I$37*parametros_manuales!$J$37</f>
        <v>14878.99306612</v>
      </c>
      <c r="K182" s="9" t="n">
        <f aca="false">(parametros_manuales!$D$37*(datos_base!$H$2+datos_base!$H$18+IF(parametros_manuales!$H$37="Todos",datos_base!$H$9+datos_base!$H$23,0))*parametros_manuales!$K$95+parametros_manuales!$E$37*(datos_base!$H$3+datos_base!$H$19+IF(parametros_manuales!$H$37="Todos",datos_base!$H$10+datos_base!$H$24,0))*parametros_manuales!$K$100+parametros_manuales!$F$37*(datos_base!$H$4+datos_base!$H$20+IF(parametros_manuales!$H$37="Todos",datos_base!$H$11+datos_base!$H$25,0))*parametros_manuales!$K$105+parametros_manuales!$G$37*(datos_base!$H$5+datos_base!$H$21+IF(parametros_manuales!$H$37="Todos",datos_base!$H$12+datos_base!$H$26,0))*parametros_manuales!$K$110)*parametros_manuales!$I$37*parametros_manuales!$J$37</f>
        <v>15124.518645665</v>
      </c>
      <c r="L182" s="9" t="n">
        <f aca="false">(parametros_manuales!$D$37*(datos_base!$H$2+datos_base!$H$18+IF(parametros_manuales!$H$37="Todos",datos_base!$H$9+datos_base!$H$23,0))*parametros_manuales!$L$95+parametros_manuales!$E$37*(datos_base!$H$3+datos_base!$H$19+IF(parametros_manuales!$H$37="Todos",datos_base!$H$10+datos_base!$H$24,0))*parametros_manuales!$L$100+parametros_manuales!$F$37*(datos_base!$H$4+datos_base!$H$20+IF(parametros_manuales!$H$37="Todos",datos_base!$H$11+datos_base!$H$25,0))*parametros_manuales!$L$105+parametros_manuales!$G$37*(datos_base!$H$5+datos_base!$H$21+IF(parametros_manuales!$H$37="Todos",datos_base!$H$12+datos_base!$H$26,0))*parametros_manuales!$L$110)*parametros_manuales!$I$37*parametros_manuales!$J$37</f>
        <v>15370.04422521</v>
      </c>
      <c r="M182" s="9" t="n">
        <f aca="false">(parametros_manuales!$D$37*(datos_base!$H$2+datos_base!$H$18+IF(parametros_manuales!$H$37="Todos",datos_base!$H$9+datos_base!$H$23,0))*parametros_manuales!$M$95+parametros_manuales!$E$37*(datos_base!$H$3+datos_base!$H$19+IF(parametros_manuales!$H$37="Todos",datos_base!$H$10+datos_base!$H$24,0))*parametros_manuales!$M$100+parametros_manuales!$F$37*(datos_base!$H$4+datos_base!$H$20+IF(parametros_manuales!$H$37="Todos",datos_base!$H$11+datos_base!$H$25,0))*parametros_manuales!$M$105+parametros_manuales!$G$37*(datos_base!$H$5+datos_base!$H$21+IF(parametros_manuales!$H$37="Todos",datos_base!$H$12+datos_base!$H$26,0))*parametros_manuales!$M$110)*parametros_manuales!$I$37*parametros_manuales!$J$37</f>
        <v>15370.04422521</v>
      </c>
      <c r="N182" s="9" t="n">
        <f aca="false">SUM(B182:M182)</f>
        <v>170778.269169</v>
      </c>
      <c r="O182" s="9" t="n">
        <f aca="false">MAX(B182:M182)</f>
        <v>15370.04422521</v>
      </c>
      <c r="P182" s="43" t="n">
        <f aca="false">O182/(parametros_manuales!$B$7)</f>
        <v>102.4669615014</v>
      </c>
      <c r="Q182" s="8" t="str">
        <f aca="false">IF(O182=0,"-",INDEX($B$163:$M$163,MATCH(O182,B182:M182,0)))</f>
        <v>Ene</v>
      </c>
    </row>
    <row r="183" customFormat="false" ht="14.25" hidden="false" customHeight="true" outlineLevel="0" collapsed="false">
      <c r="A183" s="8" t="str">
        <f aca="false">parametros_manuales!$B$38</f>
        <v>Carga de polvo</v>
      </c>
      <c r="B183" s="9" t="n">
        <f aca="false">(parametros_manuales!$D$38*(datos_base!$H$2+datos_base!$H$18+IF(parametros_manuales!$H$38="Todos",datos_base!$H$9+datos_base!$H$23,0))*parametros_manuales!$B$95+parametros_manuales!$E$38*(datos_base!$H$3+datos_base!$H$19+IF(parametros_manuales!$H$38="Todos",datos_base!$H$10+datos_base!$H$24,0))*parametros_manuales!$B$100+parametros_manuales!$F$38*(datos_base!$H$4+datos_base!$H$20+IF(parametros_manuales!$H$38="Todos",datos_base!$H$11+datos_base!$H$25,0))*parametros_manuales!$B$105+parametros_manuales!$G$38*(datos_base!$H$5+datos_base!$H$21+IF(parametros_manuales!$H$38="Todos",datos_base!$H$12+datos_base!$H$26,0))*parametros_manuales!$B$110)*parametros_manuales!$I$38*parametros_manuales!$J$38</f>
        <v>4008.69982521</v>
      </c>
      <c r="C183" s="9" t="n">
        <f aca="false">(parametros_manuales!$D$38*(datos_base!$H$2+datos_base!$H$18+IF(parametros_manuales!$H$38="Todos",datos_base!$H$9+datos_base!$H$23,0))*parametros_manuales!$C$95+parametros_manuales!$E$38*(datos_base!$H$3+datos_base!$H$19+IF(parametros_manuales!$H$38="Todos",datos_base!$H$10+datos_base!$H$24,0))*parametros_manuales!$C$100+parametros_manuales!$F$38*(datos_base!$H$4+datos_base!$H$20+IF(parametros_manuales!$H$38="Todos",datos_base!$H$11+datos_base!$H$25,0))*parametros_manuales!$C$105+parametros_manuales!$G$38*(datos_base!$H$5+datos_base!$H$21+IF(parametros_manuales!$H$38="Todos",datos_base!$H$12+datos_base!$H$26,0))*parametros_manuales!$C$110)*parametros_manuales!$I$38*parametros_manuales!$J$38</f>
        <v>3766.61426612</v>
      </c>
      <c r="D183" s="9" t="n">
        <f aca="false">(parametros_manuales!$D$38*(datos_base!$H$2+datos_base!$H$18+IF(parametros_manuales!$H$38="Todos",datos_base!$H$9+datos_base!$H$23,0))*parametros_manuales!$D$95+parametros_manuales!$E$38*(datos_base!$H$3+datos_base!$H$19+IF(parametros_manuales!$H$38="Todos",datos_base!$H$10+datos_base!$H$24,0))*parametros_manuales!$D$100+parametros_manuales!$F$38*(datos_base!$H$4+datos_base!$H$20+IF(parametros_manuales!$H$38="Todos",datos_base!$H$11+datos_base!$H$25,0))*parametros_manuales!$D$105+parametros_manuales!$G$38*(datos_base!$H$5+datos_base!$H$21+IF(parametros_manuales!$H$38="Todos",datos_base!$H$12+datos_base!$H$26,0))*parametros_manuales!$D$110)*parametros_manuales!$I$38*parametros_manuales!$J$38</f>
        <v>3684.331513065</v>
      </c>
      <c r="E183" s="9" t="n">
        <f aca="false">(parametros_manuales!$D$38*(datos_base!$H$2+datos_base!$H$18+IF(parametros_manuales!$H$38="Todos",datos_base!$H$9+datos_base!$H$23,0))*parametros_manuales!$E$95+parametros_manuales!$E$38*(datos_base!$H$3+datos_base!$H$19+IF(parametros_manuales!$H$38="Todos",datos_base!$H$10+datos_base!$H$24,0))*parametros_manuales!$E$100+parametros_manuales!$F$38*(datos_base!$H$4+datos_base!$H$20+IF(parametros_manuales!$H$38="Todos",datos_base!$H$11+datos_base!$H$25,0))*parametros_manuales!$E$105+parametros_manuales!$G$38*(datos_base!$H$5+datos_base!$H$21+IF(parametros_manuales!$H$38="Todos",datos_base!$H$12+datos_base!$H$26,0))*parametros_manuales!$E$110)*parametros_manuales!$I$38*parametros_manuales!$J$38</f>
        <v>3582.668746765</v>
      </c>
      <c r="F183" s="9" t="n">
        <f aca="false">(parametros_manuales!$D$38*(datos_base!$H$2+datos_base!$H$18+IF(parametros_manuales!$H$38="Todos",datos_base!$H$9+datos_base!$H$23,0))*parametros_manuales!$F$95+parametros_manuales!$E$38*(datos_base!$H$3+datos_base!$H$19+IF(parametros_manuales!$H$38="Todos",datos_base!$H$10+datos_base!$H$24,0))*parametros_manuales!$F$100+parametros_manuales!$F$38*(datos_base!$H$4+datos_base!$H$20+IF(parametros_manuales!$H$38="Todos",datos_base!$H$11+datos_base!$H$25,0))*parametros_manuales!$F$105+parametros_manuales!$G$38*(datos_base!$H$5+datos_base!$H$21+IF(parametros_manuales!$H$38="Todos",datos_base!$H$12+datos_base!$H$26,0))*parametros_manuales!$F$110)*parametros_manuales!$I$38*parametros_manuales!$J$38</f>
        <v>3359.96320092</v>
      </c>
      <c r="G183" s="9" t="n">
        <f aca="false">(parametros_manuales!$D$38*(datos_base!$H$2+datos_base!$H$18+IF(parametros_manuales!$H$38="Todos",datos_base!$H$9+datos_base!$H$23,0))*parametros_manuales!$G$95+parametros_manuales!$E$38*(datos_base!$H$3+datos_base!$H$19+IF(parametros_manuales!$H$38="Todos",datos_base!$H$10+datos_base!$H$24,0))*parametros_manuales!$G$100+parametros_manuales!$F$38*(datos_base!$H$4+datos_base!$H$20+IF(parametros_manuales!$H$38="Todos",datos_base!$H$11+datos_base!$H$25,0))*parametros_manuales!$G$105+parametros_manuales!$G$38*(datos_base!$H$5+datos_base!$H$21+IF(parametros_manuales!$H$38="Todos",datos_base!$H$12+datos_base!$H$26,0))*parametros_manuales!$G$110)*parametros_manuales!$I$38*parametros_manuales!$J$38</f>
        <v>3238.920421375</v>
      </c>
      <c r="H183" s="9" t="n">
        <f aca="false">(parametros_manuales!$D$38*(datos_base!$H$2+datos_base!$H$18+IF(parametros_manuales!$H$38="Todos",datos_base!$H$9+datos_base!$H$23,0))*parametros_manuales!$H$95+parametros_manuales!$E$38*(datos_base!$H$3+datos_base!$H$19+IF(parametros_manuales!$H$38="Todos",datos_base!$H$10+datos_base!$H$24,0))*parametros_manuales!$H$100+parametros_manuales!$F$38*(datos_base!$H$4+datos_base!$H$20+IF(parametros_manuales!$H$38="Todos",datos_base!$H$11+datos_base!$H$25,0))*parametros_manuales!$H$105+parametros_manuales!$G$38*(datos_base!$H$5+datos_base!$H$21+IF(parametros_manuales!$H$38="Todos",datos_base!$H$12+datos_base!$H$26,0))*parametros_manuales!$H$110)*parametros_manuales!$I$38*parametros_manuales!$J$38</f>
        <v>3461.62596722</v>
      </c>
      <c r="I183" s="9" t="n">
        <f aca="false">(parametros_manuales!$D$38*(datos_base!$H$2+datos_base!$H$18+IF(parametros_manuales!$H$38="Todos",datos_base!$H$9+datos_base!$H$23,0))*parametros_manuales!$I$95+parametros_manuales!$E$38*(datos_base!$H$3+datos_base!$H$19+IF(parametros_manuales!$H$38="Todos",datos_base!$H$10+datos_base!$H$24,0))*parametros_manuales!$I$100+parametros_manuales!$F$38*(datos_base!$H$4+datos_base!$H$20+IF(parametros_manuales!$H$38="Todos",datos_base!$H$11+datos_base!$H$25,0))*parametros_manuales!$I$105+parametros_manuales!$G$38*(datos_base!$H$5+datos_base!$H$21+IF(parametros_manuales!$H$38="Todos",datos_base!$H$12+datos_base!$H$26,0))*parametros_manuales!$I$110)*parametros_manuales!$I$38*parametros_manuales!$J$38</f>
        <v>3766.61426612</v>
      </c>
      <c r="J183" s="9" t="n">
        <f aca="false">(parametros_manuales!$D$38*(datos_base!$H$2+datos_base!$H$18+IF(parametros_manuales!$H$38="Todos",datos_base!$H$9+datos_base!$H$23,0))*parametros_manuales!$J$95+parametros_manuales!$E$38*(datos_base!$H$3+datos_base!$H$19+IF(parametros_manuales!$H$38="Todos",datos_base!$H$10+datos_base!$H$24,0))*parametros_manuales!$J$100+parametros_manuales!$F$38*(datos_base!$H$4+datos_base!$H$20+IF(parametros_manuales!$H$38="Todos",datos_base!$H$11+datos_base!$H$25,0))*parametros_manuales!$J$105+parametros_manuales!$G$38*(datos_base!$H$5+datos_base!$H$21+IF(parametros_manuales!$H$38="Todos",datos_base!$H$12+datos_base!$H$26,0))*parametros_manuales!$J$110)*parametros_manuales!$I$38*parametros_manuales!$J$38</f>
        <v>3766.61426612</v>
      </c>
      <c r="K183" s="9" t="n">
        <f aca="false">(parametros_manuales!$D$38*(datos_base!$H$2+datos_base!$H$18+IF(parametros_manuales!$H$38="Todos",datos_base!$H$9+datos_base!$H$23,0))*parametros_manuales!$K$95+parametros_manuales!$E$38*(datos_base!$H$3+datos_base!$H$19+IF(parametros_manuales!$H$38="Todos",datos_base!$H$10+datos_base!$H$24,0))*parametros_manuales!$K$100+parametros_manuales!$F$38*(datos_base!$H$4+datos_base!$H$20+IF(parametros_manuales!$H$38="Todos",datos_base!$H$11+datos_base!$H$25,0))*parametros_manuales!$K$105+parametros_manuales!$G$38*(datos_base!$H$5+datos_base!$H$21+IF(parametros_manuales!$H$38="Todos",datos_base!$H$12+datos_base!$H$26,0))*parametros_manuales!$K$110)*parametros_manuales!$I$38*parametros_manuales!$J$38</f>
        <v>3887.657045665</v>
      </c>
      <c r="L183" s="9" t="n">
        <f aca="false">(parametros_manuales!$D$38*(datos_base!$H$2+datos_base!$H$18+IF(parametros_manuales!$H$38="Todos",datos_base!$H$9+datos_base!$H$23,0))*parametros_manuales!$L$95+parametros_manuales!$E$38*(datos_base!$H$3+datos_base!$H$19+IF(parametros_manuales!$H$38="Todos",datos_base!$H$10+datos_base!$H$24,0))*parametros_manuales!$L$100+parametros_manuales!$F$38*(datos_base!$H$4+datos_base!$H$20+IF(parametros_manuales!$H$38="Todos",datos_base!$H$11+datos_base!$H$25,0))*parametros_manuales!$L$105+parametros_manuales!$G$38*(datos_base!$H$5+datos_base!$H$21+IF(parametros_manuales!$H$38="Todos",datos_base!$H$12+datos_base!$H$26,0))*parametros_manuales!$L$110)*parametros_manuales!$I$38*parametros_manuales!$J$38</f>
        <v>4008.69982521</v>
      </c>
      <c r="M183" s="9" t="n">
        <f aca="false">(parametros_manuales!$D$38*(datos_base!$H$2+datos_base!$H$18+IF(parametros_manuales!$H$38="Todos",datos_base!$H$9+datos_base!$H$23,0))*parametros_manuales!$M$95+parametros_manuales!$E$38*(datos_base!$H$3+datos_base!$H$19+IF(parametros_manuales!$H$38="Todos",datos_base!$H$10+datos_base!$H$24,0))*parametros_manuales!$M$100+parametros_manuales!$F$38*(datos_base!$H$4+datos_base!$H$20+IF(parametros_manuales!$H$38="Todos",datos_base!$H$11+datos_base!$H$25,0))*parametros_manuales!$M$105+parametros_manuales!$G$38*(datos_base!$H$5+datos_base!$H$21+IF(parametros_manuales!$H$38="Todos",datos_base!$H$12+datos_base!$H$26,0))*parametros_manuales!$M$110)*parametros_manuales!$I$38*parametros_manuales!$J$38</f>
        <v>4008.69982521</v>
      </c>
      <c r="N183" s="9" t="n">
        <f aca="false">SUM(B183:M183)</f>
        <v>44541.109169</v>
      </c>
      <c r="O183" s="9" t="n">
        <f aca="false">MAX(B183:M183)</f>
        <v>4008.69982521</v>
      </c>
      <c r="P183" s="43" t="n">
        <f aca="false">O183/(parametros_manuales!$B$7)</f>
        <v>26.7246655014</v>
      </c>
      <c r="Q183" s="8" t="str">
        <f aca="false">IF(O183=0,"-",INDEX($B$163:$M$163,MATCH(O183,B183:M183,0)))</f>
        <v>Ene</v>
      </c>
    </row>
    <row r="184" customFormat="false" ht="14.25" hidden="false" customHeight="true" outlineLevel="0" collapsed="false">
      <c r="A184" s="8" t="str">
        <f aca="false">parametros_manuales!$B$39</f>
        <v>Ensamblaje</v>
      </c>
      <c r="B184" s="9" t="n">
        <f aca="false">(parametros_manuales!$D$39*(datos_base!$H$2+datos_base!$H$18+IF(parametros_manuales!$H$39="Todos",datos_base!$H$9+datos_base!$H$23,0))*parametros_manuales!$B$95+parametros_manuales!$E$39*(datos_base!$H$3+datos_base!$H$19+IF(parametros_manuales!$H$39="Todos",datos_base!$H$10+datos_base!$H$24,0))*parametros_manuales!$B$100+parametros_manuales!$F$39*(datos_base!$H$4+datos_base!$H$20+IF(parametros_manuales!$H$39="Todos",datos_base!$H$11+datos_base!$H$25,0))*parametros_manuales!$B$105+parametros_manuales!$G$39*(datos_base!$H$5+datos_base!$H$21+IF(parametros_manuales!$H$39="Todos",datos_base!$H$12+datos_base!$H$26,0))*parametros_manuales!$B$110)*parametros_manuales!$I$39*parametros_manuales!$J$39</f>
        <v>4008.69982521</v>
      </c>
      <c r="C184" s="9" t="n">
        <f aca="false">(parametros_manuales!$D$39*(datos_base!$H$2+datos_base!$H$18+IF(parametros_manuales!$H$39="Todos",datos_base!$H$9+datos_base!$H$23,0))*parametros_manuales!$C$95+parametros_manuales!$E$39*(datos_base!$H$3+datos_base!$H$19+IF(parametros_manuales!$H$39="Todos",datos_base!$H$10+datos_base!$H$24,0))*parametros_manuales!$C$100+parametros_manuales!$F$39*(datos_base!$H$4+datos_base!$H$20+IF(parametros_manuales!$H$39="Todos",datos_base!$H$11+datos_base!$H$25,0))*parametros_manuales!$C$105+parametros_manuales!$G$39*(datos_base!$H$5+datos_base!$H$21+IF(parametros_manuales!$H$39="Todos",datos_base!$H$12+datos_base!$H$26,0))*parametros_manuales!$C$110)*parametros_manuales!$I$39*parametros_manuales!$J$39</f>
        <v>3766.61426612</v>
      </c>
      <c r="D184" s="9" t="n">
        <f aca="false">(parametros_manuales!$D$39*(datos_base!$H$2+datos_base!$H$18+IF(parametros_manuales!$H$39="Todos",datos_base!$H$9+datos_base!$H$23,0))*parametros_manuales!$D$95+parametros_manuales!$E$39*(datos_base!$H$3+datos_base!$H$19+IF(parametros_manuales!$H$39="Todos",datos_base!$H$10+datos_base!$H$24,0))*parametros_manuales!$D$100+parametros_manuales!$F$39*(datos_base!$H$4+datos_base!$H$20+IF(parametros_manuales!$H$39="Todos",datos_base!$H$11+datos_base!$H$25,0))*parametros_manuales!$D$105+parametros_manuales!$G$39*(datos_base!$H$5+datos_base!$H$21+IF(parametros_manuales!$H$39="Todos",datos_base!$H$12+datos_base!$H$26,0))*parametros_manuales!$D$110)*parametros_manuales!$I$39*parametros_manuales!$J$39</f>
        <v>3684.331513065</v>
      </c>
      <c r="E184" s="9" t="n">
        <f aca="false">(parametros_manuales!$D$39*(datos_base!$H$2+datos_base!$H$18+IF(parametros_manuales!$H$39="Todos",datos_base!$H$9+datos_base!$H$23,0))*parametros_manuales!$E$95+parametros_manuales!$E$39*(datos_base!$H$3+datos_base!$H$19+IF(parametros_manuales!$H$39="Todos",datos_base!$H$10+datos_base!$H$24,0))*parametros_manuales!$E$100+parametros_manuales!$F$39*(datos_base!$H$4+datos_base!$H$20+IF(parametros_manuales!$H$39="Todos",datos_base!$H$11+datos_base!$H$25,0))*parametros_manuales!$E$105+parametros_manuales!$G$39*(datos_base!$H$5+datos_base!$H$21+IF(parametros_manuales!$H$39="Todos",datos_base!$H$12+datos_base!$H$26,0))*parametros_manuales!$E$110)*parametros_manuales!$I$39*parametros_manuales!$J$39</f>
        <v>3582.668746765</v>
      </c>
      <c r="F184" s="9" t="n">
        <f aca="false">(parametros_manuales!$D$39*(datos_base!$H$2+datos_base!$H$18+IF(parametros_manuales!$H$39="Todos",datos_base!$H$9+datos_base!$H$23,0))*parametros_manuales!$F$95+parametros_manuales!$E$39*(datos_base!$H$3+datos_base!$H$19+IF(parametros_manuales!$H$39="Todos",datos_base!$H$10+datos_base!$H$24,0))*parametros_manuales!$F$100+parametros_manuales!$F$39*(datos_base!$H$4+datos_base!$H$20+IF(parametros_manuales!$H$39="Todos",datos_base!$H$11+datos_base!$H$25,0))*parametros_manuales!$F$105+parametros_manuales!$G$39*(datos_base!$H$5+datos_base!$H$21+IF(parametros_manuales!$H$39="Todos",datos_base!$H$12+datos_base!$H$26,0))*parametros_manuales!$F$110)*parametros_manuales!$I$39*parametros_manuales!$J$39</f>
        <v>3359.96320092</v>
      </c>
      <c r="G184" s="9" t="n">
        <f aca="false">(parametros_manuales!$D$39*(datos_base!$H$2+datos_base!$H$18+IF(parametros_manuales!$H$39="Todos",datos_base!$H$9+datos_base!$H$23,0))*parametros_manuales!$G$95+parametros_manuales!$E$39*(datos_base!$H$3+datos_base!$H$19+IF(parametros_manuales!$H$39="Todos",datos_base!$H$10+datos_base!$H$24,0))*parametros_manuales!$G$100+parametros_manuales!$F$39*(datos_base!$H$4+datos_base!$H$20+IF(parametros_manuales!$H$39="Todos",datos_base!$H$11+datos_base!$H$25,0))*parametros_manuales!$G$105+parametros_manuales!$G$39*(datos_base!$H$5+datos_base!$H$21+IF(parametros_manuales!$H$39="Todos",datos_base!$H$12+datos_base!$H$26,0))*parametros_manuales!$G$110)*parametros_manuales!$I$39*parametros_manuales!$J$39</f>
        <v>3238.920421375</v>
      </c>
      <c r="H184" s="9" t="n">
        <f aca="false">(parametros_manuales!$D$39*(datos_base!$H$2+datos_base!$H$18+IF(parametros_manuales!$H$39="Todos",datos_base!$H$9+datos_base!$H$23,0))*parametros_manuales!$H$95+parametros_manuales!$E$39*(datos_base!$H$3+datos_base!$H$19+IF(parametros_manuales!$H$39="Todos",datos_base!$H$10+datos_base!$H$24,0))*parametros_manuales!$H$100+parametros_manuales!$F$39*(datos_base!$H$4+datos_base!$H$20+IF(parametros_manuales!$H$39="Todos",datos_base!$H$11+datos_base!$H$25,0))*parametros_manuales!$H$105+parametros_manuales!$G$39*(datos_base!$H$5+datos_base!$H$21+IF(parametros_manuales!$H$39="Todos",datos_base!$H$12+datos_base!$H$26,0))*parametros_manuales!$H$110)*parametros_manuales!$I$39*parametros_manuales!$J$39</f>
        <v>3461.62596722</v>
      </c>
      <c r="I184" s="9" t="n">
        <f aca="false">(parametros_manuales!$D$39*(datos_base!$H$2+datos_base!$H$18+IF(parametros_manuales!$H$39="Todos",datos_base!$H$9+datos_base!$H$23,0))*parametros_manuales!$I$95+parametros_manuales!$E$39*(datos_base!$H$3+datos_base!$H$19+IF(parametros_manuales!$H$39="Todos",datos_base!$H$10+datos_base!$H$24,0))*parametros_manuales!$I$100+parametros_manuales!$F$39*(datos_base!$H$4+datos_base!$H$20+IF(parametros_manuales!$H$39="Todos",datos_base!$H$11+datos_base!$H$25,0))*parametros_manuales!$I$105+parametros_manuales!$G$39*(datos_base!$H$5+datos_base!$H$21+IF(parametros_manuales!$H$39="Todos",datos_base!$H$12+datos_base!$H$26,0))*parametros_manuales!$I$110)*parametros_manuales!$I$39*parametros_manuales!$J$39</f>
        <v>3766.61426612</v>
      </c>
      <c r="J184" s="9" t="n">
        <f aca="false">(parametros_manuales!$D$39*(datos_base!$H$2+datos_base!$H$18+IF(parametros_manuales!$H$39="Todos",datos_base!$H$9+datos_base!$H$23,0))*parametros_manuales!$J$95+parametros_manuales!$E$39*(datos_base!$H$3+datos_base!$H$19+IF(parametros_manuales!$H$39="Todos",datos_base!$H$10+datos_base!$H$24,0))*parametros_manuales!$J$100+parametros_manuales!$F$39*(datos_base!$H$4+datos_base!$H$20+IF(parametros_manuales!$H$39="Todos",datos_base!$H$11+datos_base!$H$25,0))*parametros_manuales!$J$105+parametros_manuales!$G$39*(datos_base!$H$5+datos_base!$H$21+IF(parametros_manuales!$H$39="Todos",datos_base!$H$12+datos_base!$H$26,0))*parametros_manuales!$J$110)*parametros_manuales!$I$39*parametros_manuales!$J$39</f>
        <v>3766.61426612</v>
      </c>
      <c r="K184" s="9" t="n">
        <f aca="false">(parametros_manuales!$D$39*(datos_base!$H$2+datos_base!$H$18+IF(parametros_manuales!$H$39="Todos",datos_base!$H$9+datos_base!$H$23,0))*parametros_manuales!$K$95+parametros_manuales!$E$39*(datos_base!$H$3+datos_base!$H$19+IF(parametros_manuales!$H$39="Todos",datos_base!$H$10+datos_base!$H$24,0))*parametros_manuales!$K$100+parametros_manuales!$F$39*(datos_base!$H$4+datos_base!$H$20+IF(parametros_manuales!$H$39="Todos",datos_base!$H$11+datos_base!$H$25,0))*parametros_manuales!$K$105+parametros_manuales!$G$39*(datos_base!$H$5+datos_base!$H$21+IF(parametros_manuales!$H$39="Todos",datos_base!$H$12+datos_base!$H$26,0))*parametros_manuales!$K$110)*parametros_manuales!$I$39*parametros_manuales!$J$39</f>
        <v>3887.657045665</v>
      </c>
      <c r="L184" s="9" t="n">
        <f aca="false">(parametros_manuales!$D$39*(datos_base!$H$2+datos_base!$H$18+IF(parametros_manuales!$H$39="Todos",datos_base!$H$9+datos_base!$H$23,0))*parametros_manuales!$L$95+parametros_manuales!$E$39*(datos_base!$H$3+datos_base!$H$19+IF(parametros_manuales!$H$39="Todos",datos_base!$H$10+datos_base!$H$24,0))*parametros_manuales!$L$100+parametros_manuales!$F$39*(datos_base!$H$4+datos_base!$H$20+IF(parametros_manuales!$H$39="Todos",datos_base!$H$11+datos_base!$H$25,0))*parametros_manuales!$L$105+parametros_manuales!$G$39*(datos_base!$H$5+datos_base!$H$21+IF(parametros_manuales!$H$39="Todos",datos_base!$H$12+datos_base!$H$26,0))*parametros_manuales!$L$110)*parametros_manuales!$I$39*parametros_manuales!$J$39</f>
        <v>4008.69982521</v>
      </c>
      <c r="M184" s="9" t="n">
        <f aca="false">(parametros_manuales!$D$39*(datos_base!$H$2+datos_base!$H$18+IF(parametros_manuales!$H$39="Todos",datos_base!$H$9+datos_base!$H$23,0))*parametros_manuales!$M$95+parametros_manuales!$E$39*(datos_base!$H$3+datos_base!$H$19+IF(parametros_manuales!$H$39="Todos",datos_base!$H$10+datos_base!$H$24,0))*parametros_manuales!$M$100+parametros_manuales!$F$39*(datos_base!$H$4+datos_base!$H$20+IF(parametros_manuales!$H$39="Todos",datos_base!$H$11+datos_base!$H$25,0))*parametros_manuales!$M$105+parametros_manuales!$G$39*(datos_base!$H$5+datos_base!$H$21+IF(parametros_manuales!$H$39="Todos",datos_base!$H$12+datos_base!$H$26,0))*parametros_manuales!$M$110)*parametros_manuales!$I$39*parametros_manuales!$J$39</f>
        <v>4008.69982521</v>
      </c>
      <c r="N184" s="9" t="n">
        <f aca="false">SUM(B184:M184)</f>
        <v>44541.109169</v>
      </c>
      <c r="O184" s="9" t="n">
        <f aca="false">MAX(B184:M184)</f>
        <v>4008.69982521</v>
      </c>
      <c r="P184" s="43" t="n">
        <f aca="false">O184/(parametros_manuales!$B$7)</f>
        <v>26.7246655014</v>
      </c>
      <c r="Q184" s="8" t="str">
        <f aca="false">IF(O184=0,"-",INDEX($B$163:$M$163,MATCH(O184,B184:M184,0)))</f>
        <v>Ene</v>
      </c>
    </row>
    <row r="185" customFormat="false" ht="14.25" hidden="false" customHeight="true" outlineLevel="0" collapsed="false">
      <c r="A185" s="8" t="str">
        <f aca="false">parametros_manuales!$B$40</f>
        <v>Presurización</v>
      </c>
      <c r="B185" s="9" t="n">
        <f aca="false">(parametros_manuales!$D$40*(datos_base!$H$2+datos_base!$H$18+IF(parametros_manuales!$H$40="Todos",datos_base!$H$9+datos_base!$H$23,0))*parametros_manuales!$B$95+parametros_manuales!$E$40*(datos_base!$H$3+datos_base!$H$19+IF(parametros_manuales!$H$40="Todos",datos_base!$H$10+datos_base!$H$24,0))*parametros_manuales!$B$100+parametros_manuales!$F$40*(datos_base!$H$4+datos_base!$H$20+IF(parametros_manuales!$H$40="Todos",datos_base!$H$11+datos_base!$H$25,0))*parametros_manuales!$B$105+parametros_manuales!$G$40*(datos_base!$H$5+datos_base!$H$21+IF(parametros_manuales!$H$40="Todos",datos_base!$H$12+datos_base!$H$26,0))*parametros_manuales!$B$110)*parametros_manuales!$I$40*parametros_manuales!$J$40</f>
        <v>4008.69982521</v>
      </c>
      <c r="C185" s="9" t="n">
        <f aca="false">(parametros_manuales!$D$40*(datos_base!$H$2+datos_base!$H$18+IF(parametros_manuales!$H$40="Todos",datos_base!$H$9+datos_base!$H$23,0))*parametros_manuales!$C$95+parametros_manuales!$E$40*(datos_base!$H$3+datos_base!$H$19+IF(parametros_manuales!$H$40="Todos",datos_base!$H$10+datos_base!$H$24,0))*parametros_manuales!$C$100+parametros_manuales!$F$40*(datos_base!$H$4+datos_base!$H$20+IF(parametros_manuales!$H$40="Todos",datos_base!$H$11+datos_base!$H$25,0))*parametros_manuales!$C$105+parametros_manuales!$G$40*(datos_base!$H$5+datos_base!$H$21+IF(parametros_manuales!$H$40="Todos",datos_base!$H$12+datos_base!$H$26,0))*parametros_manuales!$C$110)*parametros_manuales!$I$40*parametros_manuales!$J$40</f>
        <v>3766.61426612</v>
      </c>
      <c r="D185" s="9" t="n">
        <f aca="false">(parametros_manuales!$D$40*(datos_base!$H$2+datos_base!$H$18+IF(parametros_manuales!$H$40="Todos",datos_base!$H$9+datos_base!$H$23,0))*parametros_manuales!$D$95+parametros_manuales!$E$40*(datos_base!$H$3+datos_base!$H$19+IF(parametros_manuales!$H$40="Todos",datos_base!$H$10+datos_base!$H$24,0))*parametros_manuales!$D$100+parametros_manuales!$F$40*(datos_base!$H$4+datos_base!$H$20+IF(parametros_manuales!$H$40="Todos",datos_base!$H$11+datos_base!$H$25,0))*parametros_manuales!$D$105+parametros_manuales!$G$40*(datos_base!$H$5+datos_base!$H$21+IF(parametros_manuales!$H$40="Todos",datos_base!$H$12+datos_base!$H$26,0))*parametros_manuales!$D$110)*parametros_manuales!$I$40*parametros_manuales!$J$40</f>
        <v>3684.331513065</v>
      </c>
      <c r="E185" s="9" t="n">
        <f aca="false">(parametros_manuales!$D$40*(datos_base!$H$2+datos_base!$H$18+IF(parametros_manuales!$H$40="Todos",datos_base!$H$9+datos_base!$H$23,0))*parametros_manuales!$E$95+parametros_manuales!$E$40*(datos_base!$H$3+datos_base!$H$19+IF(parametros_manuales!$H$40="Todos",datos_base!$H$10+datos_base!$H$24,0))*parametros_manuales!$E$100+parametros_manuales!$F$40*(datos_base!$H$4+datos_base!$H$20+IF(parametros_manuales!$H$40="Todos",datos_base!$H$11+datos_base!$H$25,0))*parametros_manuales!$E$105+parametros_manuales!$G$40*(datos_base!$H$5+datos_base!$H$21+IF(parametros_manuales!$H$40="Todos",datos_base!$H$12+datos_base!$H$26,0))*parametros_manuales!$E$110)*parametros_manuales!$I$40*parametros_manuales!$J$40</f>
        <v>3582.668746765</v>
      </c>
      <c r="F185" s="9" t="n">
        <f aca="false">(parametros_manuales!$D$40*(datos_base!$H$2+datos_base!$H$18+IF(parametros_manuales!$H$40="Todos",datos_base!$H$9+datos_base!$H$23,0))*parametros_manuales!$F$95+parametros_manuales!$E$40*(datos_base!$H$3+datos_base!$H$19+IF(parametros_manuales!$H$40="Todos",datos_base!$H$10+datos_base!$H$24,0))*parametros_manuales!$F$100+parametros_manuales!$F$40*(datos_base!$H$4+datos_base!$H$20+IF(parametros_manuales!$H$40="Todos",datos_base!$H$11+datos_base!$H$25,0))*parametros_manuales!$F$105+parametros_manuales!$G$40*(datos_base!$H$5+datos_base!$H$21+IF(parametros_manuales!$H$40="Todos",datos_base!$H$12+datos_base!$H$26,0))*parametros_manuales!$F$110)*parametros_manuales!$I$40*parametros_manuales!$J$40</f>
        <v>3359.96320092</v>
      </c>
      <c r="G185" s="9" t="n">
        <f aca="false">(parametros_manuales!$D$40*(datos_base!$H$2+datos_base!$H$18+IF(parametros_manuales!$H$40="Todos",datos_base!$H$9+datos_base!$H$23,0))*parametros_manuales!$G$95+parametros_manuales!$E$40*(datos_base!$H$3+datos_base!$H$19+IF(parametros_manuales!$H$40="Todos",datos_base!$H$10+datos_base!$H$24,0))*parametros_manuales!$G$100+parametros_manuales!$F$40*(datos_base!$H$4+datos_base!$H$20+IF(parametros_manuales!$H$40="Todos",datos_base!$H$11+datos_base!$H$25,0))*parametros_manuales!$G$105+parametros_manuales!$G$40*(datos_base!$H$5+datos_base!$H$21+IF(parametros_manuales!$H$40="Todos",datos_base!$H$12+datos_base!$H$26,0))*parametros_manuales!$G$110)*parametros_manuales!$I$40*parametros_manuales!$J$40</f>
        <v>3238.920421375</v>
      </c>
      <c r="H185" s="9" t="n">
        <f aca="false">(parametros_manuales!$D$40*(datos_base!$H$2+datos_base!$H$18+IF(parametros_manuales!$H$40="Todos",datos_base!$H$9+datos_base!$H$23,0))*parametros_manuales!$H$95+parametros_manuales!$E$40*(datos_base!$H$3+datos_base!$H$19+IF(parametros_manuales!$H$40="Todos",datos_base!$H$10+datos_base!$H$24,0))*parametros_manuales!$H$100+parametros_manuales!$F$40*(datos_base!$H$4+datos_base!$H$20+IF(parametros_manuales!$H$40="Todos",datos_base!$H$11+datos_base!$H$25,0))*parametros_manuales!$H$105+parametros_manuales!$G$40*(datos_base!$H$5+datos_base!$H$21+IF(parametros_manuales!$H$40="Todos",datos_base!$H$12+datos_base!$H$26,0))*parametros_manuales!$H$110)*parametros_manuales!$I$40*parametros_manuales!$J$40</f>
        <v>3461.62596722</v>
      </c>
      <c r="I185" s="9" t="n">
        <f aca="false">(parametros_manuales!$D$40*(datos_base!$H$2+datos_base!$H$18+IF(parametros_manuales!$H$40="Todos",datos_base!$H$9+datos_base!$H$23,0))*parametros_manuales!$I$95+parametros_manuales!$E$40*(datos_base!$H$3+datos_base!$H$19+IF(parametros_manuales!$H$40="Todos",datos_base!$H$10+datos_base!$H$24,0))*parametros_manuales!$I$100+parametros_manuales!$F$40*(datos_base!$H$4+datos_base!$H$20+IF(parametros_manuales!$H$40="Todos",datos_base!$H$11+datos_base!$H$25,0))*parametros_manuales!$I$105+parametros_manuales!$G$40*(datos_base!$H$5+datos_base!$H$21+IF(parametros_manuales!$H$40="Todos",datos_base!$H$12+datos_base!$H$26,0))*parametros_manuales!$I$110)*parametros_manuales!$I$40*parametros_manuales!$J$40</f>
        <v>3766.61426612</v>
      </c>
      <c r="J185" s="9" t="n">
        <f aca="false">(parametros_manuales!$D$40*(datos_base!$H$2+datos_base!$H$18+IF(parametros_manuales!$H$40="Todos",datos_base!$H$9+datos_base!$H$23,0))*parametros_manuales!$J$95+parametros_manuales!$E$40*(datos_base!$H$3+datos_base!$H$19+IF(parametros_manuales!$H$40="Todos",datos_base!$H$10+datos_base!$H$24,0))*parametros_manuales!$J$100+parametros_manuales!$F$40*(datos_base!$H$4+datos_base!$H$20+IF(parametros_manuales!$H$40="Todos",datos_base!$H$11+datos_base!$H$25,0))*parametros_manuales!$J$105+parametros_manuales!$G$40*(datos_base!$H$5+datos_base!$H$21+IF(parametros_manuales!$H$40="Todos",datos_base!$H$12+datos_base!$H$26,0))*parametros_manuales!$J$110)*parametros_manuales!$I$40*parametros_manuales!$J$40</f>
        <v>3766.61426612</v>
      </c>
      <c r="K185" s="9" t="n">
        <f aca="false">(parametros_manuales!$D$40*(datos_base!$H$2+datos_base!$H$18+IF(parametros_manuales!$H$40="Todos",datos_base!$H$9+datos_base!$H$23,0))*parametros_manuales!$K$95+parametros_manuales!$E$40*(datos_base!$H$3+datos_base!$H$19+IF(parametros_manuales!$H$40="Todos",datos_base!$H$10+datos_base!$H$24,0))*parametros_manuales!$K$100+parametros_manuales!$F$40*(datos_base!$H$4+datos_base!$H$20+IF(parametros_manuales!$H$40="Todos",datos_base!$H$11+datos_base!$H$25,0))*parametros_manuales!$K$105+parametros_manuales!$G$40*(datos_base!$H$5+datos_base!$H$21+IF(parametros_manuales!$H$40="Todos",datos_base!$H$12+datos_base!$H$26,0))*parametros_manuales!$K$110)*parametros_manuales!$I$40*parametros_manuales!$J$40</f>
        <v>3887.657045665</v>
      </c>
      <c r="L185" s="9" t="n">
        <f aca="false">(parametros_manuales!$D$40*(datos_base!$H$2+datos_base!$H$18+IF(parametros_manuales!$H$40="Todos",datos_base!$H$9+datos_base!$H$23,0))*parametros_manuales!$L$95+parametros_manuales!$E$40*(datos_base!$H$3+datos_base!$H$19+IF(parametros_manuales!$H$40="Todos",datos_base!$H$10+datos_base!$H$24,0))*parametros_manuales!$L$100+parametros_manuales!$F$40*(datos_base!$H$4+datos_base!$H$20+IF(parametros_manuales!$H$40="Todos",datos_base!$H$11+datos_base!$H$25,0))*parametros_manuales!$L$105+parametros_manuales!$G$40*(datos_base!$H$5+datos_base!$H$21+IF(parametros_manuales!$H$40="Todos",datos_base!$H$12+datos_base!$H$26,0))*parametros_manuales!$L$110)*parametros_manuales!$I$40*parametros_manuales!$J$40</f>
        <v>4008.69982521</v>
      </c>
      <c r="M185" s="9" t="n">
        <f aca="false">(parametros_manuales!$D$40*(datos_base!$H$2+datos_base!$H$18+IF(parametros_manuales!$H$40="Todos",datos_base!$H$9+datos_base!$H$23,0))*parametros_manuales!$M$95+parametros_manuales!$E$40*(datos_base!$H$3+datos_base!$H$19+IF(parametros_manuales!$H$40="Todos",datos_base!$H$10+datos_base!$H$24,0))*parametros_manuales!$M$100+parametros_manuales!$F$40*(datos_base!$H$4+datos_base!$H$20+IF(parametros_manuales!$H$40="Todos",datos_base!$H$11+datos_base!$H$25,0))*parametros_manuales!$M$105+parametros_manuales!$G$40*(datos_base!$H$5+datos_base!$H$21+IF(parametros_manuales!$H$40="Todos",datos_base!$H$12+datos_base!$H$26,0))*parametros_manuales!$M$110)*parametros_manuales!$I$40*parametros_manuales!$J$40</f>
        <v>4008.69982521</v>
      </c>
      <c r="N185" s="9" t="n">
        <f aca="false">SUM(B185:M185)</f>
        <v>44541.109169</v>
      </c>
      <c r="O185" s="9" t="n">
        <f aca="false">MAX(B185:M185)</f>
        <v>4008.69982521</v>
      </c>
      <c r="P185" s="43" t="n">
        <f aca="false">O185/(parametros_manuales!$B$7)</f>
        <v>26.7246655014</v>
      </c>
      <c r="Q185" s="8" t="str">
        <f aca="false">IF(O185=0,"-",INDEX($B$163:$M$163,MATCH(O185,B185:M185,0)))</f>
        <v>Ene</v>
      </c>
    </row>
    <row r="186" customFormat="false" ht="14.25" hidden="false" customHeight="true" outlineLevel="0" collapsed="false">
      <c r="A186" s="8" t="str">
        <f aca="false">parametros_manuales!$B$41</f>
        <v>Control de calidad — Ensayo de pérdidas</v>
      </c>
      <c r="B186" s="9" t="n">
        <f aca="false">(parametros_manuales!$D$41*(datos_base!$H$2+datos_base!$H$18+IF(parametros_manuales!$H$41="Todos",datos_base!$H$9+datos_base!$H$23,0))*parametros_manuales!$B$95+parametros_manuales!$E$41*(datos_base!$H$3+datos_base!$H$19+IF(parametros_manuales!$H$41="Todos",datos_base!$H$10+datos_base!$H$24,0))*parametros_manuales!$B$100+parametros_manuales!$F$41*(datos_base!$H$4+datos_base!$H$20+IF(parametros_manuales!$H$41="Todos",datos_base!$H$11+datos_base!$H$25,0))*parametros_manuales!$B$105+parametros_manuales!$G$41*(datos_base!$H$5+datos_base!$H$21+IF(parametros_manuales!$H$41="Todos",datos_base!$H$12+datos_base!$H$26,0))*parametros_manuales!$B$110)*parametros_manuales!$I$41*parametros_manuales!$J$41</f>
        <v>4008.69982521</v>
      </c>
      <c r="C186" s="9" t="n">
        <f aca="false">(parametros_manuales!$D$41*(datos_base!$H$2+datos_base!$H$18+IF(parametros_manuales!$H$41="Todos",datos_base!$H$9+datos_base!$H$23,0))*parametros_manuales!$C$95+parametros_manuales!$E$41*(datos_base!$H$3+datos_base!$H$19+IF(parametros_manuales!$H$41="Todos",datos_base!$H$10+datos_base!$H$24,0))*parametros_manuales!$C$100+parametros_manuales!$F$41*(datos_base!$H$4+datos_base!$H$20+IF(parametros_manuales!$H$41="Todos",datos_base!$H$11+datos_base!$H$25,0))*parametros_manuales!$C$105+parametros_manuales!$G$41*(datos_base!$H$5+datos_base!$H$21+IF(parametros_manuales!$H$41="Todos",datos_base!$H$12+datos_base!$H$26,0))*parametros_manuales!$C$110)*parametros_manuales!$I$41*parametros_manuales!$J$41</f>
        <v>3766.61426612</v>
      </c>
      <c r="D186" s="9" t="n">
        <f aca="false">(parametros_manuales!$D$41*(datos_base!$H$2+datos_base!$H$18+IF(parametros_manuales!$H$41="Todos",datos_base!$H$9+datos_base!$H$23,0))*parametros_manuales!$D$95+parametros_manuales!$E$41*(datos_base!$H$3+datos_base!$H$19+IF(parametros_manuales!$H$41="Todos",datos_base!$H$10+datos_base!$H$24,0))*parametros_manuales!$D$100+parametros_manuales!$F$41*(datos_base!$H$4+datos_base!$H$20+IF(parametros_manuales!$H$41="Todos",datos_base!$H$11+datos_base!$H$25,0))*parametros_manuales!$D$105+parametros_manuales!$G$41*(datos_base!$H$5+datos_base!$H$21+IF(parametros_manuales!$H$41="Todos",datos_base!$H$12+datos_base!$H$26,0))*parametros_manuales!$D$110)*parametros_manuales!$I$41*parametros_manuales!$J$41</f>
        <v>3684.331513065</v>
      </c>
      <c r="E186" s="9" t="n">
        <f aca="false">(parametros_manuales!$D$41*(datos_base!$H$2+datos_base!$H$18+IF(parametros_manuales!$H$41="Todos",datos_base!$H$9+datos_base!$H$23,0))*parametros_manuales!$E$95+parametros_manuales!$E$41*(datos_base!$H$3+datos_base!$H$19+IF(parametros_manuales!$H$41="Todos",datos_base!$H$10+datos_base!$H$24,0))*parametros_manuales!$E$100+parametros_manuales!$F$41*(datos_base!$H$4+datos_base!$H$20+IF(parametros_manuales!$H$41="Todos",datos_base!$H$11+datos_base!$H$25,0))*parametros_manuales!$E$105+parametros_manuales!$G$41*(datos_base!$H$5+datos_base!$H$21+IF(parametros_manuales!$H$41="Todos",datos_base!$H$12+datos_base!$H$26,0))*parametros_manuales!$E$110)*parametros_manuales!$I$41*parametros_manuales!$J$41</f>
        <v>3582.668746765</v>
      </c>
      <c r="F186" s="9" t="n">
        <f aca="false">(parametros_manuales!$D$41*(datos_base!$H$2+datos_base!$H$18+IF(parametros_manuales!$H$41="Todos",datos_base!$H$9+datos_base!$H$23,0))*parametros_manuales!$F$95+parametros_manuales!$E$41*(datos_base!$H$3+datos_base!$H$19+IF(parametros_manuales!$H$41="Todos",datos_base!$H$10+datos_base!$H$24,0))*parametros_manuales!$F$100+parametros_manuales!$F$41*(datos_base!$H$4+datos_base!$H$20+IF(parametros_manuales!$H$41="Todos",datos_base!$H$11+datos_base!$H$25,0))*parametros_manuales!$F$105+parametros_manuales!$G$41*(datos_base!$H$5+datos_base!$H$21+IF(parametros_manuales!$H$41="Todos",datos_base!$H$12+datos_base!$H$26,0))*parametros_manuales!$F$110)*parametros_manuales!$I$41*parametros_manuales!$J$41</f>
        <v>3359.96320092</v>
      </c>
      <c r="G186" s="9" t="n">
        <f aca="false">(parametros_manuales!$D$41*(datos_base!$H$2+datos_base!$H$18+IF(parametros_manuales!$H$41="Todos",datos_base!$H$9+datos_base!$H$23,0))*parametros_manuales!$G$95+parametros_manuales!$E$41*(datos_base!$H$3+datos_base!$H$19+IF(parametros_manuales!$H$41="Todos",datos_base!$H$10+datos_base!$H$24,0))*parametros_manuales!$G$100+parametros_manuales!$F$41*(datos_base!$H$4+datos_base!$H$20+IF(parametros_manuales!$H$41="Todos",datos_base!$H$11+datos_base!$H$25,0))*parametros_manuales!$G$105+parametros_manuales!$G$41*(datos_base!$H$5+datos_base!$H$21+IF(parametros_manuales!$H$41="Todos",datos_base!$H$12+datos_base!$H$26,0))*parametros_manuales!$G$110)*parametros_manuales!$I$41*parametros_manuales!$J$41</f>
        <v>3238.920421375</v>
      </c>
      <c r="H186" s="9" t="n">
        <f aca="false">(parametros_manuales!$D$41*(datos_base!$H$2+datos_base!$H$18+IF(parametros_manuales!$H$41="Todos",datos_base!$H$9+datos_base!$H$23,0))*parametros_manuales!$H$95+parametros_manuales!$E$41*(datos_base!$H$3+datos_base!$H$19+IF(parametros_manuales!$H$41="Todos",datos_base!$H$10+datos_base!$H$24,0))*parametros_manuales!$H$100+parametros_manuales!$F$41*(datos_base!$H$4+datos_base!$H$20+IF(parametros_manuales!$H$41="Todos",datos_base!$H$11+datos_base!$H$25,0))*parametros_manuales!$H$105+parametros_manuales!$G$41*(datos_base!$H$5+datos_base!$H$21+IF(parametros_manuales!$H$41="Todos",datos_base!$H$12+datos_base!$H$26,0))*parametros_manuales!$H$110)*parametros_manuales!$I$41*parametros_manuales!$J$41</f>
        <v>3461.62596722</v>
      </c>
      <c r="I186" s="9" t="n">
        <f aca="false">(parametros_manuales!$D$41*(datos_base!$H$2+datos_base!$H$18+IF(parametros_manuales!$H$41="Todos",datos_base!$H$9+datos_base!$H$23,0))*parametros_manuales!$I$95+parametros_manuales!$E$41*(datos_base!$H$3+datos_base!$H$19+IF(parametros_manuales!$H$41="Todos",datos_base!$H$10+datos_base!$H$24,0))*parametros_manuales!$I$100+parametros_manuales!$F$41*(datos_base!$H$4+datos_base!$H$20+IF(parametros_manuales!$H$41="Todos",datos_base!$H$11+datos_base!$H$25,0))*parametros_manuales!$I$105+parametros_manuales!$G$41*(datos_base!$H$5+datos_base!$H$21+IF(parametros_manuales!$H$41="Todos",datos_base!$H$12+datos_base!$H$26,0))*parametros_manuales!$I$110)*parametros_manuales!$I$41*parametros_manuales!$J$41</f>
        <v>3766.61426612</v>
      </c>
      <c r="J186" s="9" t="n">
        <f aca="false">(parametros_manuales!$D$41*(datos_base!$H$2+datos_base!$H$18+IF(parametros_manuales!$H$41="Todos",datos_base!$H$9+datos_base!$H$23,0))*parametros_manuales!$J$95+parametros_manuales!$E$41*(datos_base!$H$3+datos_base!$H$19+IF(parametros_manuales!$H$41="Todos",datos_base!$H$10+datos_base!$H$24,0))*parametros_manuales!$J$100+parametros_manuales!$F$41*(datos_base!$H$4+datos_base!$H$20+IF(parametros_manuales!$H$41="Todos",datos_base!$H$11+datos_base!$H$25,0))*parametros_manuales!$J$105+parametros_manuales!$G$41*(datos_base!$H$5+datos_base!$H$21+IF(parametros_manuales!$H$41="Todos",datos_base!$H$12+datos_base!$H$26,0))*parametros_manuales!$J$110)*parametros_manuales!$I$41*parametros_manuales!$J$41</f>
        <v>3766.61426612</v>
      </c>
      <c r="K186" s="9" t="n">
        <f aca="false">(parametros_manuales!$D$41*(datos_base!$H$2+datos_base!$H$18+IF(parametros_manuales!$H$41="Todos",datos_base!$H$9+datos_base!$H$23,0))*parametros_manuales!$K$95+parametros_manuales!$E$41*(datos_base!$H$3+datos_base!$H$19+IF(parametros_manuales!$H$41="Todos",datos_base!$H$10+datos_base!$H$24,0))*parametros_manuales!$K$100+parametros_manuales!$F$41*(datos_base!$H$4+datos_base!$H$20+IF(parametros_manuales!$H$41="Todos",datos_base!$H$11+datos_base!$H$25,0))*parametros_manuales!$K$105+parametros_manuales!$G$41*(datos_base!$H$5+datos_base!$H$21+IF(parametros_manuales!$H$41="Todos",datos_base!$H$12+datos_base!$H$26,0))*parametros_manuales!$K$110)*parametros_manuales!$I$41*parametros_manuales!$J$41</f>
        <v>3887.657045665</v>
      </c>
      <c r="L186" s="9" t="n">
        <f aca="false">(parametros_manuales!$D$41*(datos_base!$H$2+datos_base!$H$18+IF(parametros_manuales!$H$41="Todos",datos_base!$H$9+datos_base!$H$23,0))*parametros_manuales!$L$95+parametros_manuales!$E$41*(datos_base!$H$3+datos_base!$H$19+IF(parametros_manuales!$H$41="Todos",datos_base!$H$10+datos_base!$H$24,0))*parametros_manuales!$L$100+parametros_manuales!$F$41*(datos_base!$H$4+datos_base!$H$20+IF(parametros_manuales!$H$41="Todos",datos_base!$H$11+datos_base!$H$25,0))*parametros_manuales!$L$105+parametros_manuales!$G$41*(datos_base!$H$5+datos_base!$H$21+IF(parametros_manuales!$H$41="Todos",datos_base!$H$12+datos_base!$H$26,0))*parametros_manuales!$L$110)*parametros_manuales!$I$41*parametros_manuales!$J$41</f>
        <v>4008.69982521</v>
      </c>
      <c r="M186" s="9" t="n">
        <f aca="false">(parametros_manuales!$D$41*(datos_base!$H$2+datos_base!$H$18+IF(parametros_manuales!$H$41="Todos",datos_base!$H$9+datos_base!$H$23,0))*parametros_manuales!$M$95+parametros_manuales!$E$41*(datos_base!$H$3+datos_base!$H$19+IF(parametros_manuales!$H$41="Todos",datos_base!$H$10+datos_base!$H$24,0))*parametros_manuales!$M$100+parametros_manuales!$F$41*(datos_base!$H$4+datos_base!$H$20+IF(parametros_manuales!$H$41="Todos",datos_base!$H$11+datos_base!$H$25,0))*parametros_manuales!$M$105+parametros_manuales!$G$41*(datos_base!$H$5+datos_base!$H$21+IF(parametros_manuales!$H$41="Todos",datos_base!$H$12+datos_base!$H$26,0))*parametros_manuales!$M$110)*parametros_manuales!$I$41*parametros_manuales!$J$41</f>
        <v>4008.69982521</v>
      </c>
      <c r="N186" s="9" t="n">
        <f aca="false">SUM(B186:M186)</f>
        <v>44541.109169</v>
      </c>
      <c r="O186" s="9" t="n">
        <f aca="false">MAX(B186:M186)</f>
        <v>4008.69982521</v>
      </c>
      <c r="P186" s="43" t="n">
        <f aca="false">O186/(parametros_manuales!$B$7)</f>
        <v>26.7246655014</v>
      </c>
      <c r="Q186" s="8" t="str">
        <f aca="false">IF(O186=0,"-",INDEX($B$163:$M$163,MATCH(O186,B186:M186,0)))</f>
        <v>Ene</v>
      </c>
    </row>
    <row r="187" customFormat="false" ht="14.25" hidden="false" customHeight="true" outlineLevel="0" collapsed="false">
      <c r="A187" s="8" t="str">
        <f aca="false">parametros_manuales!$B$42</f>
        <v>Etiquetado</v>
      </c>
      <c r="B187" s="9" t="n">
        <f aca="false">(parametros_manuales!$D$42*(datos_base!$H$2+datos_base!$H$18+IF(parametros_manuales!$H$42="Todos",datos_base!$H$9+datos_base!$H$23,0))*parametros_manuales!$B$95+parametros_manuales!$E$42*(datos_base!$H$3+datos_base!$H$19+IF(parametros_manuales!$H$42="Todos",datos_base!$H$10+datos_base!$H$24,0))*parametros_manuales!$B$100+parametros_manuales!$F$42*(datos_base!$H$4+datos_base!$H$20+IF(parametros_manuales!$H$42="Todos",datos_base!$H$11+datos_base!$H$25,0))*parametros_manuales!$B$105+parametros_manuales!$G$42*(datos_base!$H$5+datos_base!$H$21+IF(parametros_manuales!$H$42="Todos",datos_base!$H$12+datos_base!$H$26,0))*parametros_manuales!$B$110)*parametros_manuales!$I$42*parametros_manuales!$J$42</f>
        <v>4008.69982521</v>
      </c>
      <c r="C187" s="9" t="n">
        <f aca="false">(parametros_manuales!$D$42*(datos_base!$H$2+datos_base!$H$18+IF(parametros_manuales!$H$42="Todos",datos_base!$H$9+datos_base!$H$23,0))*parametros_manuales!$C$95+parametros_manuales!$E$42*(datos_base!$H$3+datos_base!$H$19+IF(parametros_manuales!$H$42="Todos",datos_base!$H$10+datos_base!$H$24,0))*parametros_manuales!$C$100+parametros_manuales!$F$42*(datos_base!$H$4+datos_base!$H$20+IF(parametros_manuales!$H$42="Todos",datos_base!$H$11+datos_base!$H$25,0))*parametros_manuales!$C$105+parametros_manuales!$G$42*(datos_base!$H$5+datos_base!$H$21+IF(parametros_manuales!$H$42="Todos",datos_base!$H$12+datos_base!$H$26,0))*parametros_manuales!$C$110)*parametros_manuales!$I$42*parametros_manuales!$J$42</f>
        <v>3766.61426612</v>
      </c>
      <c r="D187" s="9" t="n">
        <f aca="false">(parametros_manuales!$D$42*(datos_base!$H$2+datos_base!$H$18+IF(parametros_manuales!$H$42="Todos",datos_base!$H$9+datos_base!$H$23,0))*parametros_manuales!$D$95+parametros_manuales!$E$42*(datos_base!$H$3+datos_base!$H$19+IF(parametros_manuales!$H$42="Todos",datos_base!$H$10+datos_base!$H$24,0))*parametros_manuales!$D$100+parametros_manuales!$F$42*(datos_base!$H$4+datos_base!$H$20+IF(parametros_manuales!$H$42="Todos",datos_base!$H$11+datos_base!$H$25,0))*parametros_manuales!$D$105+parametros_manuales!$G$42*(datos_base!$H$5+datos_base!$H$21+IF(parametros_manuales!$H$42="Todos",datos_base!$H$12+datos_base!$H$26,0))*parametros_manuales!$D$110)*parametros_manuales!$I$42*parametros_manuales!$J$42</f>
        <v>3684.331513065</v>
      </c>
      <c r="E187" s="9" t="n">
        <f aca="false">(parametros_manuales!$D$42*(datos_base!$H$2+datos_base!$H$18+IF(parametros_manuales!$H$42="Todos",datos_base!$H$9+datos_base!$H$23,0))*parametros_manuales!$E$95+parametros_manuales!$E$42*(datos_base!$H$3+datos_base!$H$19+IF(parametros_manuales!$H$42="Todos",datos_base!$H$10+datos_base!$H$24,0))*parametros_manuales!$E$100+parametros_manuales!$F$42*(datos_base!$H$4+datos_base!$H$20+IF(parametros_manuales!$H$42="Todos",datos_base!$H$11+datos_base!$H$25,0))*parametros_manuales!$E$105+parametros_manuales!$G$42*(datos_base!$H$5+datos_base!$H$21+IF(parametros_manuales!$H$42="Todos",datos_base!$H$12+datos_base!$H$26,0))*parametros_manuales!$E$110)*parametros_manuales!$I$42*parametros_manuales!$J$42</f>
        <v>3582.668746765</v>
      </c>
      <c r="F187" s="9" t="n">
        <f aca="false">(parametros_manuales!$D$42*(datos_base!$H$2+datos_base!$H$18+IF(parametros_manuales!$H$42="Todos",datos_base!$H$9+datos_base!$H$23,0))*parametros_manuales!$F$95+parametros_manuales!$E$42*(datos_base!$H$3+datos_base!$H$19+IF(parametros_manuales!$H$42="Todos",datos_base!$H$10+datos_base!$H$24,0))*parametros_manuales!$F$100+parametros_manuales!$F$42*(datos_base!$H$4+datos_base!$H$20+IF(parametros_manuales!$H$42="Todos",datos_base!$H$11+datos_base!$H$25,0))*parametros_manuales!$F$105+parametros_manuales!$G$42*(datos_base!$H$5+datos_base!$H$21+IF(parametros_manuales!$H$42="Todos",datos_base!$H$12+datos_base!$H$26,0))*parametros_manuales!$F$110)*parametros_manuales!$I$42*parametros_manuales!$J$42</f>
        <v>3359.96320092</v>
      </c>
      <c r="G187" s="9" t="n">
        <f aca="false">(parametros_manuales!$D$42*(datos_base!$H$2+datos_base!$H$18+IF(parametros_manuales!$H$42="Todos",datos_base!$H$9+datos_base!$H$23,0))*parametros_manuales!$G$95+parametros_manuales!$E$42*(datos_base!$H$3+datos_base!$H$19+IF(parametros_manuales!$H$42="Todos",datos_base!$H$10+datos_base!$H$24,0))*parametros_manuales!$G$100+parametros_manuales!$F$42*(datos_base!$H$4+datos_base!$H$20+IF(parametros_manuales!$H$42="Todos",datos_base!$H$11+datos_base!$H$25,0))*parametros_manuales!$G$105+parametros_manuales!$G$42*(datos_base!$H$5+datos_base!$H$21+IF(parametros_manuales!$H$42="Todos",datos_base!$H$12+datos_base!$H$26,0))*parametros_manuales!$G$110)*parametros_manuales!$I$42*parametros_manuales!$J$42</f>
        <v>3238.920421375</v>
      </c>
      <c r="H187" s="9" t="n">
        <f aca="false">(parametros_manuales!$D$42*(datos_base!$H$2+datos_base!$H$18+IF(parametros_manuales!$H$42="Todos",datos_base!$H$9+datos_base!$H$23,0))*parametros_manuales!$H$95+parametros_manuales!$E$42*(datos_base!$H$3+datos_base!$H$19+IF(parametros_manuales!$H$42="Todos",datos_base!$H$10+datos_base!$H$24,0))*parametros_manuales!$H$100+parametros_manuales!$F$42*(datos_base!$H$4+datos_base!$H$20+IF(parametros_manuales!$H$42="Todos",datos_base!$H$11+datos_base!$H$25,0))*parametros_manuales!$H$105+parametros_manuales!$G$42*(datos_base!$H$5+datos_base!$H$21+IF(parametros_manuales!$H$42="Todos",datos_base!$H$12+datos_base!$H$26,0))*parametros_manuales!$H$110)*parametros_manuales!$I$42*parametros_manuales!$J$42</f>
        <v>3461.62596722</v>
      </c>
      <c r="I187" s="9" t="n">
        <f aca="false">(parametros_manuales!$D$42*(datos_base!$H$2+datos_base!$H$18+IF(parametros_manuales!$H$42="Todos",datos_base!$H$9+datos_base!$H$23,0))*parametros_manuales!$I$95+parametros_manuales!$E$42*(datos_base!$H$3+datos_base!$H$19+IF(parametros_manuales!$H$42="Todos",datos_base!$H$10+datos_base!$H$24,0))*parametros_manuales!$I$100+parametros_manuales!$F$42*(datos_base!$H$4+datos_base!$H$20+IF(parametros_manuales!$H$42="Todos",datos_base!$H$11+datos_base!$H$25,0))*parametros_manuales!$I$105+parametros_manuales!$G$42*(datos_base!$H$5+datos_base!$H$21+IF(parametros_manuales!$H$42="Todos",datos_base!$H$12+datos_base!$H$26,0))*parametros_manuales!$I$110)*parametros_manuales!$I$42*parametros_manuales!$J$42</f>
        <v>3766.61426612</v>
      </c>
      <c r="J187" s="9" t="n">
        <f aca="false">(parametros_manuales!$D$42*(datos_base!$H$2+datos_base!$H$18+IF(parametros_manuales!$H$42="Todos",datos_base!$H$9+datos_base!$H$23,0))*parametros_manuales!$J$95+parametros_manuales!$E$42*(datos_base!$H$3+datos_base!$H$19+IF(parametros_manuales!$H$42="Todos",datos_base!$H$10+datos_base!$H$24,0))*parametros_manuales!$J$100+parametros_manuales!$F$42*(datos_base!$H$4+datos_base!$H$20+IF(parametros_manuales!$H$42="Todos",datos_base!$H$11+datos_base!$H$25,0))*parametros_manuales!$J$105+parametros_manuales!$G$42*(datos_base!$H$5+datos_base!$H$21+IF(parametros_manuales!$H$42="Todos",datos_base!$H$12+datos_base!$H$26,0))*parametros_manuales!$J$110)*parametros_manuales!$I$42*parametros_manuales!$J$42</f>
        <v>3766.61426612</v>
      </c>
      <c r="K187" s="9" t="n">
        <f aca="false">(parametros_manuales!$D$42*(datos_base!$H$2+datos_base!$H$18+IF(parametros_manuales!$H$42="Todos",datos_base!$H$9+datos_base!$H$23,0))*parametros_manuales!$K$95+parametros_manuales!$E$42*(datos_base!$H$3+datos_base!$H$19+IF(parametros_manuales!$H$42="Todos",datos_base!$H$10+datos_base!$H$24,0))*parametros_manuales!$K$100+parametros_manuales!$F$42*(datos_base!$H$4+datos_base!$H$20+IF(parametros_manuales!$H$42="Todos",datos_base!$H$11+datos_base!$H$25,0))*parametros_manuales!$K$105+parametros_manuales!$G$42*(datos_base!$H$5+datos_base!$H$21+IF(parametros_manuales!$H$42="Todos",datos_base!$H$12+datos_base!$H$26,0))*parametros_manuales!$K$110)*parametros_manuales!$I$42*parametros_manuales!$J$42</f>
        <v>3887.657045665</v>
      </c>
      <c r="L187" s="9" t="n">
        <f aca="false">(parametros_manuales!$D$42*(datos_base!$H$2+datos_base!$H$18+IF(parametros_manuales!$H$42="Todos",datos_base!$H$9+datos_base!$H$23,0))*parametros_manuales!$L$95+parametros_manuales!$E$42*(datos_base!$H$3+datos_base!$H$19+IF(parametros_manuales!$H$42="Todos",datos_base!$H$10+datos_base!$H$24,0))*parametros_manuales!$L$100+parametros_manuales!$F$42*(datos_base!$H$4+datos_base!$H$20+IF(parametros_manuales!$H$42="Todos",datos_base!$H$11+datos_base!$H$25,0))*parametros_manuales!$L$105+parametros_manuales!$G$42*(datos_base!$H$5+datos_base!$H$21+IF(parametros_manuales!$H$42="Todos",datos_base!$H$12+datos_base!$H$26,0))*parametros_manuales!$L$110)*parametros_manuales!$I$42*parametros_manuales!$J$42</f>
        <v>4008.69982521</v>
      </c>
      <c r="M187" s="9" t="n">
        <f aca="false">(parametros_manuales!$D$42*(datos_base!$H$2+datos_base!$H$18+IF(parametros_manuales!$H$42="Todos",datos_base!$H$9+datos_base!$H$23,0))*parametros_manuales!$M$95+parametros_manuales!$E$42*(datos_base!$H$3+datos_base!$H$19+IF(parametros_manuales!$H$42="Todos",datos_base!$H$10+datos_base!$H$24,0))*parametros_manuales!$M$100+parametros_manuales!$F$42*(datos_base!$H$4+datos_base!$H$20+IF(parametros_manuales!$H$42="Todos",datos_base!$H$11+datos_base!$H$25,0))*parametros_manuales!$M$105+parametros_manuales!$G$42*(datos_base!$H$5+datos_base!$H$21+IF(parametros_manuales!$H$42="Todos",datos_base!$H$12+datos_base!$H$26,0))*parametros_manuales!$M$110)*parametros_manuales!$I$42*parametros_manuales!$J$42</f>
        <v>4008.69982521</v>
      </c>
      <c r="N187" s="9" t="n">
        <f aca="false">SUM(B187:M187)</f>
        <v>44541.109169</v>
      </c>
      <c r="O187" s="9" t="n">
        <f aca="false">MAX(B187:M187)</f>
        <v>4008.69982521</v>
      </c>
      <c r="P187" s="43" t="n">
        <f aca="false">O187/(parametros_manuales!$B$7)</f>
        <v>26.7246655014</v>
      </c>
      <c r="Q187" s="8" t="str">
        <f aca="false">IF(O187=0,"-",INDEX($B$163:$M$163,MATCH(O187,B187:M187,0)))</f>
        <v>Ene</v>
      </c>
    </row>
    <row r="188" customFormat="false" ht="14.25" hidden="false" customHeight="true" outlineLevel="0" collapsed="false">
      <c r="A188" s="8" t="str">
        <f aca="false">parametros_manuales!$B$43</f>
        <v>Embalaje y paletizado</v>
      </c>
      <c r="B188" s="9" t="n">
        <f aca="false">(parametros_manuales!$D$43*(datos_base!$H$2+datos_base!$H$18+IF(parametros_manuales!$H$43="Todos",datos_base!$H$9+datos_base!$H$23,0))*parametros_manuales!$B$95+parametros_manuales!$E$43*(datos_base!$H$3+datos_base!$H$19+IF(parametros_manuales!$H$43="Todos",datos_base!$H$10+datos_base!$H$24,0))*parametros_manuales!$B$100+parametros_manuales!$F$43*(datos_base!$H$4+datos_base!$H$20+IF(parametros_manuales!$H$43="Todos",datos_base!$H$11+datos_base!$H$25,0))*parametros_manuales!$B$105+parametros_manuales!$G$43*(datos_base!$H$5+datos_base!$H$21+IF(parametros_manuales!$H$43="Todos",datos_base!$H$12+datos_base!$H$26,0))*parametros_manuales!$B$110)*parametros_manuales!$I$43*parametros_manuales!$J$43</f>
        <v>15370.04422521</v>
      </c>
      <c r="C188" s="9" t="n">
        <f aca="false">(parametros_manuales!$D$43*(datos_base!$H$2+datos_base!$H$18+IF(parametros_manuales!$H$43="Todos",datos_base!$H$9+datos_base!$H$23,0))*parametros_manuales!$C$95+parametros_manuales!$E$43*(datos_base!$H$3+datos_base!$H$19+IF(parametros_manuales!$H$43="Todos",datos_base!$H$10+datos_base!$H$24,0))*parametros_manuales!$C$100+parametros_manuales!$F$43*(datos_base!$H$4+datos_base!$H$20+IF(parametros_manuales!$H$43="Todos",datos_base!$H$11+datos_base!$H$25,0))*parametros_manuales!$C$105+parametros_manuales!$G$43*(datos_base!$H$5+datos_base!$H$21+IF(parametros_manuales!$H$43="Todos",datos_base!$H$12+datos_base!$H$26,0))*parametros_manuales!$C$110)*parametros_manuales!$I$43*parametros_manuales!$J$43</f>
        <v>14878.99306612</v>
      </c>
      <c r="D188" s="9" t="n">
        <f aca="false">(parametros_manuales!$D$43*(datos_base!$H$2+datos_base!$H$18+IF(parametros_manuales!$H$43="Todos",datos_base!$H$9+datos_base!$H$23,0))*parametros_manuales!$D$95+parametros_manuales!$E$43*(datos_base!$H$3+datos_base!$H$19+IF(parametros_manuales!$H$43="Todos",datos_base!$H$10+datos_base!$H$24,0))*parametros_manuales!$D$100+parametros_manuales!$F$43*(datos_base!$H$4+datos_base!$H$20+IF(parametros_manuales!$H$43="Todos",datos_base!$H$11+datos_base!$H$25,0))*parametros_manuales!$D$105+parametros_manuales!$G$43*(datos_base!$H$5+datos_base!$H$21+IF(parametros_manuales!$H$43="Todos",datos_base!$H$12+datos_base!$H$26,0))*parametros_manuales!$D$110)*parametros_manuales!$I$43*parametros_manuales!$J$43</f>
        <v>13907.787113065</v>
      </c>
      <c r="E188" s="9" t="n">
        <f aca="false">(parametros_manuales!$D$43*(datos_base!$H$2+datos_base!$H$18+IF(parametros_manuales!$H$43="Todos",datos_base!$H$9+datos_base!$H$23,0))*parametros_manuales!$E$95+parametros_manuales!$E$43*(datos_base!$H$3+datos_base!$H$19+IF(parametros_manuales!$H$43="Todos",datos_base!$H$10+datos_base!$H$24,0))*parametros_manuales!$E$100+parametros_manuales!$F$43*(datos_base!$H$4+datos_base!$H$20+IF(parametros_manuales!$H$43="Todos",datos_base!$H$11+datos_base!$H$25,0))*parametros_manuales!$E$105+parametros_manuales!$G$43*(datos_base!$H$5+datos_base!$H$21+IF(parametros_manuales!$H$43="Todos",datos_base!$H$12+datos_base!$H$26,0))*parametros_manuales!$E$110)*parametros_manuales!$I$43*parametros_manuales!$J$43</f>
        <v>13299.421346765</v>
      </c>
      <c r="F188" s="9" t="n">
        <f aca="false">(parametros_manuales!$D$43*(datos_base!$H$2+datos_base!$H$18+IF(parametros_manuales!$H$43="Todos",datos_base!$H$9+datos_base!$H$23,0))*parametros_manuales!$F$95+parametros_manuales!$E$43*(datos_base!$H$3+datos_base!$H$19+IF(parametros_manuales!$H$43="Todos",datos_base!$H$10+datos_base!$H$24,0))*parametros_manuales!$F$100+parametros_manuales!$F$43*(datos_base!$H$4+datos_base!$H$20+IF(parametros_manuales!$H$43="Todos",datos_base!$H$11+datos_base!$H$25,0))*parametros_manuales!$F$105+parametros_manuales!$G$43*(datos_base!$H$5+datos_base!$H$21+IF(parametros_manuales!$H$43="Todos",datos_base!$H$12+datos_base!$H$26,0))*parametros_manuales!$F$110)*parametros_manuales!$I$43*parametros_manuales!$J$43</f>
        <v>12445.53000092</v>
      </c>
      <c r="G188" s="9" t="n">
        <f aca="false">(parametros_manuales!$D$43*(datos_base!$H$2+datos_base!$H$18+IF(parametros_manuales!$H$43="Todos",datos_base!$H$9+datos_base!$H$23,0))*parametros_manuales!$G$95+parametros_manuales!$E$43*(datos_base!$H$3+datos_base!$H$19+IF(parametros_manuales!$H$43="Todos",datos_base!$H$10+datos_base!$H$24,0))*parametros_manuales!$G$100+parametros_manuales!$F$43*(datos_base!$H$4+datos_base!$H$20+IF(parametros_manuales!$H$43="Todos",datos_base!$H$11+datos_base!$H$25,0))*parametros_manuales!$G$105+parametros_manuales!$G$43*(datos_base!$H$5+datos_base!$H$21+IF(parametros_manuales!$H$43="Todos",datos_base!$H$12+datos_base!$H$26,0))*parametros_manuales!$G$110)*parametros_manuales!$I$43*parametros_manuales!$J$43</f>
        <v>12200.004421375</v>
      </c>
      <c r="H188" s="9" t="n">
        <f aca="false">(parametros_manuales!$D$43*(datos_base!$H$2+datos_base!$H$18+IF(parametros_manuales!$H$43="Todos",datos_base!$H$9+datos_base!$H$23,0))*parametros_manuales!$H$95+parametros_manuales!$E$43*(datos_base!$H$3+datos_base!$H$19+IF(parametros_manuales!$H$43="Todos",datos_base!$H$10+datos_base!$H$24,0))*parametros_manuales!$H$100+parametros_manuales!$F$43*(datos_base!$H$4+datos_base!$H$20+IF(parametros_manuales!$H$43="Todos",datos_base!$H$11+datos_base!$H$25,0))*parametros_manuales!$H$105+parametros_manuales!$G$43*(datos_base!$H$5+datos_base!$H$21+IF(parametros_manuales!$H$43="Todos",datos_base!$H$12+datos_base!$H$26,0))*parametros_manuales!$H$110)*parametros_manuales!$I$43*parametros_manuales!$J$43</f>
        <v>13053.89576722</v>
      </c>
      <c r="I188" s="9" t="n">
        <f aca="false">(parametros_manuales!$D$43*(datos_base!$H$2+datos_base!$H$18+IF(parametros_manuales!$H$43="Todos",datos_base!$H$9+datos_base!$H$23,0))*parametros_manuales!$I$95+parametros_manuales!$E$43*(datos_base!$H$3+datos_base!$H$19+IF(parametros_manuales!$H$43="Todos",datos_base!$H$10+datos_base!$H$24,0))*parametros_manuales!$I$100+parametros_manuales!$F$43*(datos_base!$H$4+datos_base!$H$20+IF(parametros_manuales!$H$43="Todos",datos_base!$H$11+datos_base!$H$25,0))*parametros_manuales!$I$105+parametros_manuales!$G$43*(datos_base!$H$5+datos_base!$H$21+IF(parametros_manuales!$H$43="Todos",datos_base!$H$12+datos_base!$H$26,0))*parametros_manuales!$I$110)*parametros_manuales!$I$43*parametros_manuales!$J$43</f>
        <v>14878.99306612</v>
      </c>
      <c r="J188" s="9" t="n">
        <f aca="false">(parametros_manuales!$D$43*(datos_base!$H$2+datos_base!$H$18+IF(parametros_manuales!$H$43="Todos",datos_base!$H$9+datos_base!$H$23,0))*parametros_manuales!$J$95+parametros_manuales!$E$43*(datos_base!$H$3+datos_base!$H$19+IF(parametros_manuales!$H$43="Todos",datos_base!$H$10+datos_base!$H$24,0))*parametros_manuales!$J$100+parametros_manuales!$F$43*(datos_base!$H$4+datos_base!$H$20+IF(parametros_manuales!$H$43="Todos",datos_base!$H$11+datos_base!$H$25,0))*parametros_manuales!$J$105+parametros_manuales!$G$43*(datos_base!$H$5+datos_base!$H$21+IF(parametros_manuales!$H$43="Todos",datos_base!$H$12+datos_base!$H$26,0))*parametros_manuales!$J$110)*parametros_manuales!$I$43*parametros_manuales!$J$43</f>
        <v>14878.99306612</v>
      </c>
      <c r="K188" s="9" t="n">
        <f aca="false">(parametros_manuales!$D$43*(datos_base!$H$2+datos_base!$H$18+IF(parametros_manuales!$H$43="Todos",datos_base!$H$9+datos_base!$H$23,0))*parametros_manuales!$K$95+parametros_manuales!$E$43*(datos_base!$H$3+datos_base!$H$19+IF(parametros_manuales!$H$43="Todos",datos_base!$H$10+datos_base!$H$24,0))*parametros_manuales!$K$100+parametros_manuales!$F$43*(datos_base!$H$4+datos_base!$H$20+IF(parametros_manuales!$H$43="Todos",datos_base!$H$11+datos_base!$H$25,0))*parametros_manuales!$K$105+parametros_manuales!$G$43*(datos_base!$H$5+datos_base!$H$21+IF(parametros_manuales!$H$43="Todos",datos_base!$H$12+datos_base!$H$26,0))*parametros_manuales!$K$110)*parametros_manuales!$I$43*parametros_manuales!$J$43</f>
        <v>15124.518645665</v>
      </c>
      <c r="L188" s="9" t="n">
        <f aca="false">(parametros_manuales!$D$43*(datos_base!$H$2+datos_base!$H$18+IF(parametros_manuales!$H$43="Todos",datos_base!$H$9+datos_base!$H$23,0))*parametros_manuales!$L$95+parametros_manuales!$E$43*(datos_base!$H$3+datos_base!$H$19+IF(parametros_manuales!$H$43="Todos",datos_base!$H$10+datos_base!$H$24,0))*parametros_manuales!$L$100+parametros_manuales!$F$43*(datos_base!$H$4+datos_base!$H$20+IF(parametros_manuales!$H$43="Todos",datos_base!$H$11+datos_base!$H$25,0))*parametros_manuales!$L$105+parametros_manuales!$G$43*(datos_base!$H$5+datos_base!$H$21+IF(parametros_manuales!$H$43="Todos",datos_base!$H$12+datos_base!$H$26,0))*parametros_manuales!$L$110)*parametros_manuales!$I$43*parametros_manuales!$J$43</f>
        <v>15370.04422521</v>
      </c>
      <c r="M188" s="9" t="n">
        <f aca="false">(parametros_manuales!$D$43*(datos_base!$H$2+datos_base!$H$18+IF(parametros_manuales!$H$43="Todos",datos_base!$H$9+datos_base!$H$23,0))*parametros_manuales!$M$95+parametros_manuales!$E$43*(datos_base!$H$3+datos_base!$H$19+IF(parametros_manuales!$H$43="Todos",datos_base!$H$10+datos_base!$H$24,0))*parametros_manuales!$M$100+parametros_manuales!$F$43*(datos_base!$H$4+datos_base!$H$20+IF(parametros_manuales!$H$43="Todos",datos_base!$H$11+datos_base!$H$25,0))*parametros_manuales!$M$105+parametros_manuales!$G$43*(datos_base!$H$5+datos_base!$H$21+IF(parametros_manuales!$H$43="Todos",datos_base!$H$12+datos_base!$H$26,0))*parametros_manuales!$M$110)*parametros_manuales!$I$43*parametros_manuales!$J$43</f>
        <v>15370.04422521</v>
      </c>
      <c r="N188" s="9" t="n">
        <f aca="false">SUM(B188:M188)</f>
        <v>170778.269169</v>
      </c>
      <c r="O188" s="9" t="n">
        <f aca="false">MAX(B188:M188)</f>
        <v>15370.04422521</v>
      </c>
      <c r="P188" s="43" t="n">
        <f aca="false">O188/(parametros_manuales!$B$7)</f>
        <v>102.4669615014</v>
      </c>
      <c r="Q188" s="8" t="str">
        <f aca="false">IF(O188=0,"-",INDEX($B$163:$M$163,MATCH(O188,B188:M188,0)))</f>
        <v>Ene</v>
      </c>
    </row>
    <row r="189" customFormat="false" ht="14.25" hidden="false" customHeight="true" outlineLevel="0" collapsed="false"/>
    <row r="190" customFormat="false" ht="14.25" hidden="false" customHeight="true" outlineLevel="0" collapsed="false">
      <c r="A190" s="7" t="s">
        <v>197</v>
      </c>
      <c r="B190" s="7" t="s">
        <v>61</v>
      </c>
      <c r="C190" s="7" t="s">
        <v>62</v>
      </c>
      <c r="D190" s="7" t="s">
        <v>63</v>
      </c>
      <c r="E190" s="7" t="s">
        <v>64</v>
      </c>
      <c r="F190" s="7" t="s">
        <v>65</v>
      </c>
      <c r="G190" s="7" t="s">
        <v>66</v>
      </c>
      <c r="H190" s="7" t="s">
        <v>67</v>
      </c>
      <c r="I190" s="7" t="s">
        <v>68</v>
      </c>
      <c r="J190" s="7" t="s">
        <v>69</v>
      </c>
      <c r="K190" s="7" t="s">
        <v>70</v>
      </c>
      <c r="L190" s="7" t="s">
        <v>71</v>
      </c>
      <c r="M190" s="7" t="s">
        <v>72</v>
      </c>
      <c r="N190" s="7" t="s">
        <v>183</v>
      </c>
      <c r="O190" s="7" t="s">
        <v>188</v>
      </c>
      <c r="P190" s="7" t="s">
        <v>189</v>
      </c>
      <c r="Q190" s="7" t="s">
        <v>190</v>
      </c>
    </row>
    <row r="191" customFormat="false" ht="14.25" hidden="false" customHeight="true" outlineLevel="0" collapsed="false">
      <c r="A191" s="8" t="str">
        <f aca="false">parametros_manuales!$B$19</f>
        <v>Recepción de materia prima</v>
      </c>
      <c r="B191" s="9" t="n">
        <f aca="false">(parametros_manuales!$D$19*(datos_base!$I$2+datos_base!$I$18+IF(parametros_manuales!$H$19="Todos",datos_base!$I$9+datos_base!$I$23,0))*parametros_manuales!$B$95+parametros_manuales!$E$19*(datos_base!$I$3+datos_base!$I$19+IF(parametros_manuales!$H$19="Todos",datos_base!$I$10+datos_base!$I$24,0))*parametros_manuales!$B$100+parametros_manuales!$F$19*(datos_base!$I$4+datos_base!$I$20+IF(parametros_manuales!$H$19="Todos",datos_base!$I$11+datos_base!$I$25,0))*parametros_manuales!$B$105+parametros_manuales!$G$19*(datos_base!$I$5+datos_base!$I$21+IF(parametros_manuales!$H$19="Todos",datos_base!$I$12+datos_base!$I$26,0))*parametros_manuales!$B$110)*parametros_manuales!$I$19*parametros_manuales!$J$19</f>
        <v>19641.74906241</v>
      </c>
      <c r="C191" s="9" t="n">
        <f aca="false">(parametros_manuales!$D$19*(datos_base!$I$2+datos_base!$I$18+IF(parametros_manuales!$H$19="Todos",datos_base!$I$9+datos_base!$I$23,0))*parametros_manuales!$C$95+parametros_manuales!$E$19*(datos_base!$I$3+datos_base!$I$19+IF(parametros_manuales!$H$19="Todos",datos_base!$I$10+datos_base!$I$24,0))*parametros_manuales!$C$100+parametros_manuales!$F$19*(datos_base!$I$4+datos_base!$I$20+IF(parametros_manuales!$H$19="Todos",datos_base!$I$11+datos_base!$I$25,0))*parametros_manuales!$C$105+parametros_manuales!$G$19*(datos_base!$I$5+datos_base!$I$21+IF(parametros_manuales!$H$19="Todos",datos_base!$I$12+datos_base!$I$26,0))*parametros_manuales!$C$110)*parametros_manuales!$I$19*parametros_manuales!$J$19</f>
        <v>19020.66328472</v>
      </c>
      <c r="D191" s="9" t="n">
        <f aca="false">(parametros_manuales!$D$19*(datos_base!$I$2+datos_base!$I$18+IF(parametros_manuales!$H$19="Todos",datos_base!$I$9+datos_base!$I$23,0))*parametros_manuales!$D$95+parametros_manuales!$E$19*(datos_base!$I$3+datos_base!$I$19+IF(parametros_manuales!$H$19="Todos",datos_base!$I$10+datos_base!$I$24,0))*parametros_manuales!$D$100+parametros_manuales!$F$19*(datos_base!$I$4+datos_base!$I$20+IF(parametros_manuales!$H$19="Todos",datos_base!$I$11+datos_base!$I$25,0))*parametros_manuales!$D$105+parametros_manuales!$G$19*(datos_base!$I$5+datos_base!$I$21+IF(parametros_manuales!$H$19="Todos",datos_base!$I$12+datos_base!$I$26,0))*parametros_manuales!$D$110)*parametros_manuales!$I$19*parametros_manuales!$J$19</f>
        <v>17769.875388765</v>
      </c>
      <c r="E191" s="9" t="n">
        <f aca="false">(parametros_manuales!$D$19*(datos_base!$I$2+datos_base!$I$18+IF(parametros_manuales!$H$19="Todos",datos_base!$I$9+datos_base!$I$23,0))*parametros_manuales!$E$95+parametros_manuales!$E$19*(datos_base!$I$3+datos_base!$I$19+IF(parametros_manuales!$H$19="Todos",datos_base!$I$10+datos_base!$I$24,0))*parametros_manuales!$E$100+parametros_manuales!$F$19*(datos_base!$I$4+datos_base!$I$20+IF(parametros_manuales!$H$19="Todos",datos_base!$I$11+datos_base!$I$25,0))*parametros_manuales!$E$105+parametros_manuales!$G$19*(datos_base!$I$5+datos_base!$I$21+IF(parametros_manuales!$H$19="Todos",datos_base!$I$12+datos_base!$I$26,0))*parametros_manuales!$E$110)*parametros_manuales!$I$19*parametros_manuales!$J$19</f>
        <v>16989.209996365</v>
      </c>
      <c r="F191" s="9" t="n">
        <f aca="false">(parametros_manuales!$D$19*(datos_base!$I$2+datos_base!$I$18+IF(parametros_manuales!$H$19="Todos",datos_base!$I$9+datos_base!$I$23,0))*parametros_manuales!$F$95+parametros_manuales!$E$19*(datos_base!$I$3+datos_base!$I$19+IF(parametros_manuales!$H$19="Todos",datos_base!$I$10+datos_base!$I$24,0))*parametros_manuales!$F$100+parametros_manuales!$F$19*(datos_base!$I$4+datos_base!$I$20+IF(parametros_manuales!$H$19="Todos",datos_base!$I$11+datos_base!$I$25,0))*parametros_manuales!$F$105+parametros_manuales!$G$19*(datos_base!$I$5+datos_base!$I$21+IF(parametros_manuales!$H$19="Todos",datos_base!$I$12+datos_base!$I$26,0))*parametros_manuales!$F$110)*parametros_manuales!$I$19*parametros_manuales!$J$19</f>
        <v>15898.00171512</v>
      </c>
      <c r="G191" s="9" t="n">
        <f aca="false">(parametros_manuales!$D$19*(datos_base!$I$2+datos_base!$I$18+IF(parametros_manuales!$H$19="Todos",datos_base!$I$9+datos_base!$I$23,0))*parametros_manuales!$G$95+parametros_manuales!$E$19*(datos_base!$I$3+datos_base!$I$19+IF(parametros_manuales!$H$19="Todos",datos_base!$I$10+datos_base!$I$24,0))*parametros_manuales!$G$100+parametros_manuales!$F$19*(datos_base!$I$4+datos_base!$I$20+IF(parametros_manuales!$H$19="Todos",datos_base!$I$11+datos_base!$I$25,0))*parametros_manuales!$G$105+parametros_manuales!$G$19*(datos_base!$I$5+datos_base!$I$21+IF(parametros_manuales!$H$19="Todos",datos_base!$I$12+datos_base!$I$26,0))*parametros_manuales!$G$110)*parametros_manuales!$I$19*parametros_manuales!$J$19</f>
        <v>15587.458826275</v>
      </c>
      <c r="H191" s="9" t="n">
        <f aca="false">(parametros_manuales!$D$19*(datos_base!$I$2+datos_base!$I$18+IF(parametros_manuales!$H$19="Todos",datos_base!$I$9+datos_base!$I$23,0))*parametros_manuales!$H$95+parametros_manuales!$E$19*(datos_base!$I$3+datos_base!$I$19+IF(parametros_manuales!$H$19="Todos",datos_base!$I$10+datos_base!$I$24,0))*parametros_manuales!$H$100+parametros_manuales!$F$19*(datos_base!$I$4+datos_base!$I$20+IF(parametros_manuales!$H$19="Todos",datos_base!$I$11+datos_base!$I$25,0))*parametros_manuales!$H$105+parametros_manuales!$G$19*(datos_base!$I$5+datos_base!$I$21+IF(parametros_manuales!$H$19="Todos",datos_base!$I$12+datos_base!$I$26,0))*parametros_manuales!$H$110)*parametros_manuales!$I$19*parametros_manuales!$J$19</f>
        <v>16678.66710752</v>
      </c>
      <c r="I191" s="9" t="n">
        <f aca="false">(parametros_manuales!$D$19*(datos_base!$I$2+datos_base!$I$18+IF(parametros_manuales!$H$19="Todos",datos_base!$I$9+datos_base!$I$23,0))*parametros_manuales!$I$95+parametros_manuales!$E$19*(datos_base!$I$3+datos_base!$I$19+IF(parametros_manuales!$H$19="Todos",datos_base!$I$10+datos_base!$I$24,0))*parametros_manuales!$I$100+parametros_manuales!$F$19*(datos_base!$I$4+datos_base!$I$20+IF(parametros_manuales!$H$19="Todos",datos_base!$I$11+datos_base!$I$25,0))*parametros_manuales!$I$105+parametros_manuales!$G$19*(datos_base!$I$5+datos_base!$I$21+IF(parametros_manuales!$H$19="Todos",datos_base!$I$12+datos_base!$I$26,0))*parametros_manuales!$I$110)*parametros_manuales!$I$19*parametros_manuales!$J$19</f>
        <v>19020.66328472</v>
      </c>
      <c r="J191" s="9" t="n">
        <f aca="false">(parametros_manuales!$D$19*(datos_base!$I$2+datos_base!$I$18+IF(parametros_manuales!$H$19="Todos",datos_base!$I$9+datos_base!$I$23,0))*parametros_manuales!$J$95+parametros_manuales!$E$19*(datos_base!$I$3+datos_base!$I$19+IF(parametros_manuales!$H$19="Todos",datos_base!$I$10+datos_base!$I$24,0))*parametros_manuales!$J$100+parametros_manuales!$F$19*(datos_base!$I$4+datos_base!$I$20+IF(parametros_manuales!$H$19="Todos",datos_base!$I$11+datos_base!$I$25,0))*parametros_manuales!$J$105+parametros_manuales!$G$19*(datos_base!$I$5+datos_base!$I$21+IF(parametros_manuales!$H$19="Todos",datos_base!$I$12+datos_base!$I$26,0))*parametros_manuales!$J$110)*parametros_manuales!$I$19*parametros_manuales!$J$19</f>
        <v>19020.66328472</v>
      </c>
      <c r="K191" s="9" t="n">
        <f aca="false">(parametros_manuales!$D$19*(datos_base!$I$2+datos_base!$I$18+IF(parametros_manuales!$H$19="Todos",datos_base!$I$9+datos_base!$I$23,0))*parametros_manuales!$K$95+parametros_manuales!$E$19*(datos_base!$I$3+datos_base!$I$19+IF(parametros_manuales!$H$19="Todos",datos_base!$I$10+datos_base!$I$24,0))*parametros_manuales!$K$100+parametros_manuales!$F$19*(datos_base!$I$4+datos_base!$I$20+IF(parametros_manuales!$H$19="Todos",datos_base!$I$11+datos_base!$I$25,0))*parametros_manuales!$K$105+parametros_manuales!$G$19*(datos_base!$I$5+datos_base!$I$21+IF(parametros_manuales!$H$19="Todos",datos_base!$I$12+datos_base!$I$26,0))*parametros_manuales!$K$110)*parametros_manuales!$I$19*parametros_manuales!$J$19</f>
        <v>19331.206173565</v>
      </c>
      <c r="L191" s="9" t="n">
        <f aca="false">(parametros_manuales!$D$19*(datos_base!$I$2+datos_base!$I$18+IF(parametros_manuales!$H$19="Todos",datos_base!$I$9+datos_base!$I$23,0))*parametros_manuales!$L$95+parametros_manuales!$E$19*(datos_base!$I$3+datos_base!$I$19+IF(parametros_manuales!$H$19="Todos",datos_base!$I$10+datos_base!$I$24,0))*parametros_manuales!$L$100+parametros_manuales!$F$19*(datos_base!$I$4+datos_base!$I$20+IF(parametros_manuales!$H$19="Todos",datos_base!$I$11+datos_base!$I$25,0))*parametros_manuales!$L$105+parametros_manuales!$G$19*(datos_base!$I$5+datos_base!$I$21+IF(parametros_manuales!$H$19="Todos",datos_base!$I$12+datos_base!$I$26,0))*parametros_manuales!$L$110)*parametros_manuales!$I$19*parametros_manuales!$J$19</f>
        <v>19641.74906241</v>
      </c>
      <c r="M191" s="9" t="n">
        <f aca="false">(parametros_manuales!$D$19*(datos_base!$I$2+datos_base!$I$18+IF(parametros_manuales!$H$19="Todos",datos_base!$I$9+datos_base!$I$23,0))*parametros_manuales!$M$95+parametros_manuales!$E$19*(datos_base!$I$3+datos_base!$I$19+IF(parametros_manuales!$H$19="Todos",datos_base!$I$10+datos_base!$I$24,0))*parametros_manuales!$M$100+parametros_manuales!$F$19*(datos_base!$I$4+datos_base!$I$20+IF(parametros_manuales!$H$19="Todos",datos_base!$I$11+datos_base!$I$25,0))*parametros_manuales!$M$105+parametros_manuales!$G$19*(datos_base!$I$5+datos_base!$I$21+IF(parametros_manuales!$H$19="Todos",datos_base!$I$12+datos_base!$I$26,0))*parametros_manuales!$M$110)*parametros_manuales!$I$19*parametros_manuales!$J$19</f>
        <v>19641.74906241</v>
      </c>
      <c r="N191" s="9" t="n">
        <f aca="false">SUM(B191:M191)</f>
        <v>218241.656249</v>
      </c>
      <c r="O191" s="9" t="n">
        <f aca="false">MAX(B191:M191)</f>
        <v>19641.74906241</v>
      </c>
      <c r="P191" s="43" t="n">
        <f aca="false">O191/(parametros_manuales!$B$7)</f>
        <v>130.9449937494</v>
      </c>
      <c r="Q191" s="8" t="str">
        <f aca="false">IF(O191=0,"-",INDEX($B$190:$M$190,MATCH(O191,B191:M191,0)))</f>
        <v>Ene</v>
      </c>
    </row>
    <row r="192" customFormat="false" ht="14.25" hidden="false" customHeight="true" outlineLevel="0" collapsed="false">
      <c r="A192" s="8" t="str">
        <f aca="false">parametros_manuales!$B$20</f>
        <v>Corte de chapa (guillotina) — 2,5 a 10 kg</v>
      </c>
      <c r="B192" s="9" t="n">
        <f aca="false">(parametros_manuales!$D$20*(datos_base!$I$2+datos_base!$I$18+IF(parametros_manuales!$H$20="Todos",datos_base!$I$9+datos_base!$I$23,0))*parametros_manuales!$B$95+parametros_manuales!$E$20*(datos_base!$I$3+datos_base!$I$19+IF(parametros_manuales!$H$20="Todos",datos_base!$I$10+datos_base!$I$24,0))*parametros_manuales!$B$100+parametros_manuales!$F$20*(datos_base!$I$4+datos_base!$I$20+IF(parametros_manuales!$H$20="Todos",datos_base!$I$11+datos_base!$I$25,0))*parametros_manuales!$B$105+parametros_manuales!$G$20*(datos_base!$I$5+datos_base!$I$21+IF(parametros_manuales!$H$20="Todos",datos_base!$I$12+datos_base!$I$26,0))*parametros_manuales!$B$110)*parametros_manuales!$I$20*parametros_manuales!$J$20</f>
        <v>5589.77199921</v>
      </c>
      <c r="C192" s="9" t="n">
        <f aca="false">(parametros_manuales!$D$20*(datos_base!$I$2+datos_base!$I$18+IF(parametros_manuales!$H$20="Todos",datos_base!$I$9+datos_base!$I$23,0))*parametros_manuales!$C$95+parametros_manuales!$E$20*(datos_base!$I$3+datos_base!$I$19+IF(parametros_manuales!$H$20="Todos",datos_base!$I$10+datos_base!$I$24,0))*parametros_manuales!$C$100+parametros_manuales!$F$20*(datos_base!$I$4+datos_base!$I$20+IF(parametros_manuales!$H$20="Todos",datos_base!$I$11+datos_base!$I$25,0))*parametros_manuales!$C$105+parametros_manuales!$G$20*(datos_base!$I$5+datos_base!$I$21+IF(parametros_manuales!$H$20="Todos",datos_base!$I$12+datos_base!$I$26,0))*parametros_manuales!$C$110)*parametros_manuales!$I$20*parametros_manuales!$J$20</f>
        <v>4968.68622152</v>
      </c>
      <c r="D192" s="9" t="n">
        <f aca="false">(parametros_manuales!$D$20*(datos_base!$I$2+datos_base!$I$18+IF(parametros_manuales!$H$20="Todos",datos_base!$I$9+datos_base!$I$23,0))*parametros_manuales!$D$95+parametros_manuales!$E$20*(datos_base!$I$3+datos_base!$I$19+IF(parametros_manuales!$H$20="Todos",datos_base!$I$10+datos_base!$I$24,0))*parametros_manuales!$D$100+parametros_manuales!$F$20*(datos_base!$I$4+datos_base!$I$20+IF(parametros_manuales!$H$20="Todos",datos_base!$I$11+datos_base!$I$25,0))*parametros_manuales!$D$105+parametros_manuales!$G$20*(datos_base!$I$5+datos_base!$I$21+IF(parametros_manuales!$H$20="Todos",datos_base!$I$12+datos_base!$I$26,0))*parametros_manuales!$D$110)*parametros_manuales!$I$20*parametros_manuales!$J$20</f>
        <v>5279.229110365</v>
      </c>
      <c r="E192" s="9" t="n">
        <f aca="false">(parametros_manuales!$D$20*(datos_base!$I$2+datos_base!$I$18+IF(parametros_manuales!$H$20="Todos",datos_base!$I$9+datos_base!$I$23,0))*parametros_manuales!$E$95+parametros_manuales!$E$20*(datos_base!$I$3+datos_base!$I$19+IF(parametros_manuales!$H$20="Todos",datos_base!$I$10+datos_base!$I$24,0))*parametros_manuales!$E$100+parametros_manuales!$F$20*(datos_base!$I$4+datos_base!$I$20+IF(parametros_manuales!$H$20="Todos",datos_base!$I$11+datos_base!$I$25,0))*parametros_manuales!$E$105+parametros_manuales!$G$20*(datos_base!$I$5+datos_base!$I$21+IF(parametros_manuales!$H$20="Todos",datos_base!$I$12+datos_base!$I$26,0))*parametros_manuales!$E$110)*parametros_manuales!$I$20*parametros_manuales!$J$20</f>
        <v>5279.229110365</v>
      </c>
      <c r="F192" s="9" t="n">
        <f aca="false">(parametros_manuales!$D$20*(datos_base!$I$2+datos_base!$I$18+IF(parametros_manuales!$H$20="Todos",datos_base!$I$9+datos_base!$I$23,0))*parametros_manuales!$F$95+parametros_manuales!$E$20*(datos_base!$I$3+datos_base!$I$19+IF(parametros_manuales!$H$20="Todos",datos_base!$I$10+datos_base!$I$24,0))*parametros_manuales!$F$100+parametros_manuales!$F$20*(datos_base!$I$4+datos_base!$I$20+IF(parametros_manuales!$H$20="Todos",datos_base!$I$11+datos_base!$I$25,0))*parametros_manuales!$F$105+parametros_manuales!$G$20*(datos_base!$I$5+datos_base!$I$21+IF(parametros_manuales!$H$20="Todos",datos_base!$I$12+datos_base!$I$26,0))*parametros_manuales!$F$110)*parametros_manuales!$I$20*parametros_manuales!$J$20</f>
        <v>4968.68622152</v>
      </c>
      <c r="G192" s="9" t="n">
        <f aca="false">(parametros_manuales!$D$20*(datos_base!$I$2+datos_base!$I$18+IF(parametros_manuales!$H$20="Todos",datos_base!$I$9+datos_base!$I$23,0))*parametros_manuales!$G$95+parametros_manuales!$E$20*(datos_base!$I$3+datos_base!$I$19+IF(parametros_manuales!$H$20="Todos",datos_base!$I$10+datos_base!$I$24,0))*parametros_manuales!$G$100+parametros_manuales!$F$20*(datos_base!$I$4+datos_base!$I$20+IF(parametros_manuales!$H$20="Todos",datos_base!$I$11+datos_base!$I$25,0))*parametros_manuales!$G$105+parametros_manuales!$G$20*(datos_base!$I$5+datos_base!$I$21+IF(parametros_manuales!$H$20="Todos",datos_base!$I$12+datos_base!$I$26,0))*parametros_manuales!$G$110)*parametros_manuales!$I$20*parametros_manuales!$J$20</f>
        <v>4658.143332675</v>
      </c>
      <c r="H192" s="9" t="n">
        <f aca="false">(parametros_manuales!$D$20*(datos_base!$I$2+datos_base!$I$18+IF(parametros_manuales!$H$20="Todos",datos_base!$I$9+datos_base!$I$23,0))*parametros_manuales!$H$95+parametros_manuales!$E$20*(datos_base!$I$3+datos_base!$I$19+IF(parametros_manuales!$H$20="Todos",datos_base!$I$10+datos_base!$I$24,0))*parametros_manuales!$H$100+parametros_manuales!$F$20*(datos_base!$I$4+datos_base!$I$20+IF(parametros_manuales!$H$20="Todos",datos_base!$I$11+datos_base!$I$25,0))*parametros_manuales!$H$105+parametros_manuales!$G$20*(datos_base!$I$5+datos_base!$I$21+IF(parametros_manuales!$H$20="Todos",datos_base!$I$12+datos_base!$I$26,0))*parametros_manuales!$H$110)*parametros_manuales!$I$20*parametros_manuales!$J$20</f>
        <v>4968.68622152</v>
      </c>
      <c r="I192" s="9" t="n">
        <f aca="false">(parametros_manuales!$D$20*(datos_base!$I$2+datos_base!$I$18+IF(parametros_manuales!$H$20="Todos",datos_base!$I$9+datos_base!$I$23,0))*parametros_manuales!$I$95+parametros_manuales!$E$20*(datos_base!$I$3+datos_base!$I$19+IF(parametros_manuales!$H$20="Todos",datos_base!$I$10+datos_base!$I$24,0))*parametros_manuales!$I$100+parametros_manuales!$F$20*(datos_base!$I$4+datos_base!$I$20+IF(parametros_manuales!$H$20="Todos",datos_base!$I$11+datos_base!$I$25,0))*parametros_manuales!$I$105+parametros_manuales!$G$20*(datos_base!$I$5+datos_base!$I$21+IF(parametros_manuales!$H$20="Todos",datos_base!$I$12+datos_base!$I$26,0))*parametros_manuales!$I$110)*parametros_manuales!$I$20*parametros_manuales!$J$20</f>
        <v>4968.68622152</v>
      </c>
      <c r="J192" s="9" t="n">
        <f aca="false">(parametros_manuales!$D$20*(datos_base!$I$2+datos_base!$I$18+IF(parametros_manuales!$H$20="Todos",datos_base!$I$9+datos_base!$I$23,0))*parametros_manuales!$J$95+parametros_manuales!$E$20*(datos_base!$I$3+datos_base!$I$19+IF(parametros_manuales!$H$20="Todos",datos_base!$I$10+datos_base!$I$24,0))*parametros_manuales!$J$100+parametros_manuales!$F$20*(datos_base!$I$4+datos_base!$I$20+IF(parametros_manuales!$H$20="Todos",datos_base!$I$11+datos_base!$I$25,0))*parametros_manuales!$J$105+parametros_manuales!$G$20*(datos_base!$I$5+datos_base!$I$21+IF(parametros_manuales!$H$20="Todos",datos_base!$I$12+datos_base!$I$26,0))*parametros_manuales!$J$110)*parametros_manuales!$I$20*parametros_manuales!$J$20</f>
        <v>4968.68622152</v>
      </c>
      <c r="K192" s="9" t="n">
        <f aca="false">(parametros_manuales!$D$20*(datos_base!$I$2+datos_base!$I$18+IF(parametros_manuales!$H$20="Todos",datos_base!$I$9+datos_base!$I$23,0))*parametros_manuales!$K$95+parametros_manuales!$E$20*(datos_base!$I$3+datos_base!$I$19+IF(parametros_manuales!$H$20="Todos",datos_base!$I$10+datos_base!$I$24,0))*parametros_manuales!$K$100+parametros_manuales!$F$20*(datos_base!$I$4+datos_base!$I$20+IF(parametros_manuales!$H$20="Todos",datos_base!$I$11+datos_base!$I$25,0))*parametros_manuales!$K$105+parametros_manuales!$G$20*(datos_base!$I$5+datos_base!$I$21+IF(parametros_manuales!$H$20="Todos",datos_base!$I$12+datos_base!$I$26,0))*parametros_manuales!$K$110)*parametros_manuales!$I$20*parametros_manuales!$J$20</f>
        <v>5279.229110365</v>
      </c>
      <c r="L192" s="9" t="n">
        <f aca="false">(parametros_manuales!$D$20*(datos_base!$I$2+datos_base!$I$18+IF(parametros_manuales!$H$20="Todos",datos_base!$I$9+datos_base!$I$23,0))*parametros_manuales!$L$95+parametros_manuales!$E$20*(datos_base!$I$3+datos_base!$I$19+IF(parametros_manuales!$H$20="Todos",datos_base!$I$10+datos_base!$I$24,0))*parametros_manuales!$L$100+parametros_manuales!$F$20*(datos_base!$I$4+datos_base!$I$20+IF(parametros_manuales!$H$20="Todos",datos_base!$I$11+datos_base!$I$25,0))*parametros_manuales!$L$105+parametros_manuales!$G$20*(datos_base!$I$5+datos_base!$I$21+IF(parametros_manuales!$H$20="Todos",datos_base!$I$12+datos_base!$I$26,0))*parametros_manuales!$L$110)*parametros_manuales!$I$20*parametros_manuales!$J$20</f>
        <v>5589.77199921</v>
      </c>
      <c r="M192" s="9" t="n">
        <f aca="false">(parametros_manuales!$D$20*(datos_base!$I$2+datos_base!$I$18+IF(parametros_manuales!$H$20="Todos",datos_base!$I$9+datos_base!$I$23,0))*parametros_manuales!$M$95+parametros_manuales!$E$20*(datos_base!$I$3+datos_base!$I$19+IF(parametros_manuales!$H$20="Todos",datos_base!$I$10+datos_base!$I$24,0))*parametros_manuales!$M$100+parametros_manuales!$F$20*(datos_base!$I$4+datos_base!$I$20+IF(parametros_manuales!$H$20="Todos",datos_base!$I$11+datos_base!$I$25,0))*parametros_manuales!$M$105+parametros_manuales!$G$20*(datos_base!$I$5+datos_base!$I$21+IF(parametros_manuales!$H$20="Todos",datos_base!$I$12+datos_base!$I$26,0))*parametros_manuales!$M$110)*parametros_manuales!$I$20*parametros_manuales!$J$20</f>
        <v>5589.77199921</v>
      </c>
      <c r="N192" s="9" t="n">
        <f aca="false">SUM(B192:M192)</f>
        <v>62108.577769</v>
      </c>
      <c r="O192" s="9" t="n">
        <f aca="false">MAX(B192:M192)</f>
        <v>5589.77199921</v>
      </c>
      <c r="P192" s="43" t="n">
        <f aca="false">O192/(parametros_manuales!$B$7)</f>
        <v>37.2651466614</v>
      </c>
      <c r="Q192" s="8" t="str">
        <f aca="false">IF(O192=0,"-",INDEX($B$190:$M$190,MATCH(O192,B192:M192,0)))</f>
        <v>Ene</v>
      </c>
    </row>
    <row r="193" customFormat="false" ht="14.25" hidden="false" customHeight="true" outlineLevel="0" collapsed="false">
      <c r="A193" s="8" t="str">
        <f aca="false">parametros_manuales!$B$21</f>
        <v>Corte de tubo — 1 kg</v>
      </c>
      <c r="B193" s="9" t="n">
        <f aca="false">(parametros_manuales!$D$21*(datos_base!$I$2+datos_base!$I$18+IF(parametros_manuales!$H$21="Todos",datos_base!$I$9+datos_base!$I$23,0))*parametros_manuales!$B$95+parametros_manuales!$E$21*(datos_base!$I$3+datos_base!$I$19+IF(parametros_manuales!$H$21="Todos",datos_base!$I$10+datos_base!$I$24,0))*parametros_manuales!$B$100+parametros_manuales!$F$21*(datos_base!$I$4+datos_base!$I$20+IF(parametros_manuales!$H$21="Todos",datos_base!$I$11+datos_base!$I$25,0))*parametros_manuales!$B$105+parametros_manuales!$G$21*(datos_base!$I$5+datos_base!$I$21+IF(parametros_manuales!$H$21="Todos",datos_base!$I$12+datos_base!$I$26,0))*parametros_manuales!$B$110)*parametros_manuales!$I$21*parametros_manuales!$J$21</f>
        <v>14051.9770632</v>
      </c>
      <c r="C193" s="9" t="n">
        <f aca="false">(parametros_manuales!$D$21*(datos_base!$I$2+datos_base!$I$18+IF(parametros_manuales!$H$21="Todos",datos_base!$I$9+datos_base!$I$23,0))*parametros_manuales!$C$95+parametros_manuales!$E$21*(datos_base!$I$3+datos_base!$I$19+IF(parametros_manuales!$H$21="Todos",datos_base!$I$10+datos_base!$I$24,0))*parametros_manuales!$C$100+parametros_manuales!$F$21*(datos_base!$I$4+datos_base!$I$20+IF(parametros_manuales!$H$21="Todos",datos_base!$I$11+datos_base!$I$25,0))*parametros_manuales!$C$105+parametros_manuales!$G$21*(datos_base!$I$5+datos_base!$I$21+IF(parametros_manuales!$H$21="Todos",datos_base!$I$12+datos_base!$I$26,0))*parametros_manuales!$C$110)*parametros_manuales!$I$21*parametros_manuales!$J$21</f>
        <v>14051.9770632</v>
      </c>
      <c r="D193" s="9" t="n">
        <f aca="false">(parametros_manuales!$D$21*(datos_base!$I$2+datos_base!$I$18+IF(parametros_manuales!$H$21="Todos",datos_base!$I$9+datos_base!$I$23,0))*parametros_manuales!$D$95+parametros_manuales!$E$21*(datos_base!$I$3+datos_base!$I$19+IF(parametros_manuales!$H$21="Todos",datos_base!$I$10+datos_base!$I$24,0))*parametros_manuales!$D$100+parametros_manuales!$F$21*(datos_base!$I$4+datos_base!$I$20+IF(parametros_manuales!$H$21="Todos",datos_base!$I$11+datos_base!$I$25,0))*parametros_manuales!$D$105+parametros_manuales!$G$21*(datos_base!$I$5+datos_base!$I$21+IF(parametros_manuales!$H$21="Todos",datos_base!$I$12+datos_base!$I$26,0))*parametros_manuales!$D$110)*parametros_manuales!$I$21*parametros_manuales!$J$21</f>
        <v>12490.6462784</v>
      </c>
      <c r="E193" s="9" t="n">
        <f aca="false">(parametros_manuales!$D$21*(datos_base!$I$2+datos_base!$I$18+IF(parametros_manuales!$H$21="Todos",datos_base!$I$9+datos_base!$I$23,0))*parametros_manuales!$E$95+parametros_manuales!$E$21*(datos_base!$I$3+datos_base!$I$19+IF(parametros_manuales!$H$21="Todos",datos_base!$I$10+datos_base!$I$24,0))*parametros_manuales!$E$100+parametros_manuales!$F$21*(datos_base!$I$4+datos_base!$I$20+IF(parametros_manuales!$H$21="Todos",datos_base!$I$11+datos_base!$I$25,0))*parametros_manuales!$E$105+parametros_manuales!$G$21*(datos_base!$I$5+datos_base!$I$21+IF(parametros_manuales!$H$21="Todos",datos_base!$I$12+datos_base!$I$26,0))*parametros_manuales!$E$110)*parametros_manuales!$I$21*parametros_manuales!$J$21</f>
        <v>11709.980886</v>
      </c>
      <c r="F193" s="9" t="n">
        <f aca="false">(parametros_manuales!$D$21*(datos_base!$I$2+datos_base!$I$18+IF(parametros_manuales!$H$21="Todos",datos_base!$I$9+datos_base!$I$23,0))*parametros_manuales!$F$95+parametros_manuales!$E$21*(datos_base!$I$3+datos_base!$I$19+IF(parametros_manuales!$H$21="Todos",datos_base!$I$10+datos_base!$I$24,0))*parametros_manuales!$F$100+parametros_manuales!$F$21*(datos_base!$I$4+datos_base!$I$20+IF(parametros_manuales!$H$21="Todos",datos_base!$I$11+datos_base!$I$25,0))*parametros_manuales!$F$105+parametros_manuales!$G$21*(datos_base!$I$5+datos_base!$I$21+IF(parametros_manuales!$H$21="Todos",datos_base!$I$12+datos_base!$I$26,0))*parametros_manuales!$F$110)*parametros_manuales!$I$21*parametros_manuales!$J$21</f>
        <v>10929.3154936</v>
      </c>
      <c r="G193" s="9" t="n">
        <f aca="false">(parametros_manuales!$D$21*(datos_base!$I$2+datos_base!$I$18+IF(parametros_manuales!$H$21="Todos",datos_base!$I$9+datos_base!$I$23,0))*parametros_manuales!$G$95+parametros_manuales!$E$21*(datos_base!$I$3+datos_base!$I$19+IF(parametros_manuales!$H$21="Todos",datos_base!$I$10+datos_base!$I$24,0))*parametros_manuales!$G$100+parametros_manuales!$F$21*(datos_base!$I$4+datos_base!$I$20+IF(parametros_manuales!$H$21="Todos",datos_base!$I$11+datos_base!$I$25,0))*parametros_manuales!$G$105+parametros_manuales!$G$21*(datos_base!$I$5+datos_base!$I$21+IF(parametros_manuales!$H$21="Todos",datos_base!$I$12+datos_base!$I$26,0))*parametros_manuales!$G$110)*parametros_manuales!$I$21*parametros_manuales!$J$21</f>
        <v>10929.3154936</v>
      </c>
      <c r="H193" s="9" t="n">
        <f aca="false">(parametros_manuales!$D$21*(datos_base!$I$2+datos_base!$I$18+IF(parametros_manuales!$H$21="Todos",datos_base!$I$9+datos_base!$I$23,0))*parametros_manuales!$H$95+parametros_manuales!$E$21*(datos_base!$I$3+datos_base!$I$19+IF(parametros_manuales!$H$21="Todos",datos_base!$I$10+datos_base!$I$24,0))*parametros_manuales!$H$100+parametros_manuales!$F$21*(datos_base!$I$4+datos_base!$I$20+IF(parametros_manuales!$H$21="Todos",datos_base!$I$11+datos_base!$I$25,0))*parametros_manuales!$H$105+parametros_manuales!$G$21*(datos_base!$I$5+datos_base!$I$21+IF(parametros_manuales!$H$21="Todos",datos_base!$I$12+datos_base!$I$26,0))*parametros_manuales!$H$110)*parametros_manuales!$I$21*parametros_manuales!$J$21</f>
        <v>11709.980886</v>
      </c>
      <c r="I193" s="9" t="n">
        <f aca="false">(parametros_manuales!$D$21*(datos_base!$I$2+datos_base!$I$18+IF(parametros_manuales!$H$21="Todos",datos_base!$I$9+datos_base!$I$23,0))*parametros_manuales!$I$95+parametros_manuales!$E$21*(datos_base!$I$3+datos_base!$I$19+IF(parametros_manuales!$H$21="Todos",datos_base!$I$10+datos_base!$I$24,0))*parametros_manuales!$I$100+parametros_manuales!$F$21*(datos_base!$I$4+datos_base!$I$20+IF(parametros_manuales!$H$21="Todos",datos_base!$I$11+datos_base!$I$25,0))*parametros_manuales!$I$105+parametros_manuales!$G$21*(datos_base!$I$5+datos_base!$I$21+IF(parametros_manuales!$H$21="Todos",datos_base!$I$12+datos_base!$I$26,0))*parametros_manuales!$I$110)*parametros_manuales!$I$21*parametros_manuales!$J$21</f>
        <v>14051.9770632</v>
      </c>
      <c r="J193" s="9" t="n">
        <f aca="false">(parametros_manuales!$D$21*(datos_base!$I$2+datos_base!$I$18+IF(parametros_manuales!$H$21="Todos",datos_base!$I$9+datos_base!$I$23,0))*parametros_manuales!$J$95+parametros_manuales!$E$21*(datos_base!$I$3+datos_base!$I$19+IF(parametros_manuales!$H$21="Todos",datos_base!$I$10+datos_base!$I$24,0))*parametros_manuales!$J$100+parametros_manuales!$F$21*(datos_base!$I$4+datos_base!$I$20+IF(parametros_manuales!$H$21="Todos",datos_base!$I$11+datos_base!$I$25,0))*parametros_manuales!$J$105+parametros_manuales!$G$21*(datos_base!$I$5+datos_base!$I$21+IF(parametros_manuales!$H$21="Todos",datos_base!$I$12+datos_base!$I$26,0))*parametros_manuales!$J$110)*parametros_manuales!$I$21*parametros_manuales!$J$21</f>
        <v>14051.9770632</v>
      </c>
      <c r="K193" s="9" t="n">
        <f aca="false">(parametros_manuales!$D$21*(datos_base!$I$2+datos_base!$I$18+IF(parametros_manuales!$H$21="Todos",datos_base!$I$9+datos_base!$I$23,0))*parametros_manuales!$K$95+parametros_manuales!$E$21*(datos_base!$I$3+datos_base!$I$19+IF(parametros_manuales!$H$21="Todos",datos_base!$I$10+datos_base!$I$24,0))*parametros_manuales!$K$100+parametros_manuales!$F$21*(datos_base!$I$4+datos_base!$I$20+IF(parametros_manuales!$H$21="Todos",datos_base!$I$11+datos_base!$I$25,0))*parametros_manuales!$K$105+parametros_manuales!$G$21*(datos_base!$I$5+datos_base!$I$21+IF(parametros_manuales!$H$21="Todos",datos_base!$I$12+datos_base!$I$26,0))*parametros_manuales!$K$110)*parametros_manuales!$I$21*parametros_manuales!$J$21</f>
        <v>14051.9770632</v>
      </c>
      <c r="L193" s="9" t="n">
        <f aca="false">(parametros_manuales!$D$21*(datos_base!$I$2+datos_base!$I$18+IF(parametros_manuales!$H$21="Todos",datos_base!$I$9+datos_base!$I$23,0))*parametros_manuales!$L$95+parametros_manuales!$E$21*(datos_base!$I$3+datos_base!$I$19+IF(parametros_manuales!$H$21="Todos",datos_base!$I$10+datos_base!$I$24,0))*parametros_manuales!$L$100+parametros_manuales!$F$21*(datos_base!$I$4+datos_base!$I$20+IF(parametros_manuales!$H$21="Todos",datos_base!$I$11+datos_base!$I$25,0))*parametros_manuales!$L$105+parametros_manuales!$G$21*(datos_base!$I$5+datos_base!$I$21+IF(parametros_manuales!$H$21="Todos",datos_base!$I$12+datos_base!$I$26,0))*parametros_manuales!$L$110)*parametros_manuales!$I$21*parametros_manuales!$J$21</f>
        <v>14051.9770632</v>
      </c>
      <c r="M193" s="9" t="n">
        <f aca="false">(parametros_manuales!$D$21*(datos_base!$I$2+datos_base!$I$18+IF(parametros_manuales!$H$21="Todos",datos_base!$I$9+datos_base!$I$23,0))*parametros_manuales!$M$95+parametros_manuales!$E$21*(datos_base!$I$3+datos_base!$I$19+IF(parametros_manuales!$H$21="Todos",datos_base!$I$10+datos_base!$I$24,0))*parametros_manuales!$M$100+parametros_manuales!$F$21*(datos_base!$I$4+datos_base!$I$20+IF(parametros_manuales!$H$21="Todos",datos_base!$I$11+datos_base!$I$25,0))*parametros_manuales!$M$105+parametros_manuales!$G$21*(datos_base!$I$5+datos_base!$I$21+IF(parametros_manuales!$H$21="Todos",datos_base!$I$12+datos_base!$I$26,0))*parametros_manuales!$M$110)*parametros_manuales!$I$21*parametros_manuales!$J$21</f>
        <v>14051.9770632</v>
      </c>
      <c r="N193" s="9" t="n">
        <f aca="false">SUM(B193:M193)</f>
        <v>156133.07848</v>
      </c>
      <c r="O193" s="9" t="n">
        <f aca="false">MAX(B193:M193)</f>
        <v>14051.9770632</v>
      </c>
      <c r="P193" s="43" t="n">
        <f aca="false">O193/(parametros_manuales!$B$7)</f>
        <v>93.679847088</v>
      </c>
      <c r="Q193" s="8" t="str">
        <f aca="false">IF(O193=0,"-",INDEX($B$190:$M$190,MATCH(O193,B193:M193,0)))</f>
        <v>Ene</v>
      </c>
    </row>
    <row r="194" customFormat="false" ht="14.25" hidden="false" customHeight="true" outlineLevel="0" collapsed="false">
      <c r="A194" s="8" t="str">
        <f aca="false">parametros_manuales!$B$22</f>
        <v>Corte de disco y embutido (cúpula y fondo)</v>
      </c>
      <c r="B194" s="9" t="n">
        <f aca="false">(parametros_manuales!$D$22*(datos_base!$I$2+datos_base!$I$18+IF(parametros_manuales!$H$22="Todos",datos_base!$I$9+datos_base!$I$23,0))*parametros_manuales!$B$95+parametros_manuales!$E$22*(datos_base!$I$3+datos_base!$I$19+IF(parametros_manuales!$H$22="Todos",datos_base!$I$10+datos_base!$I$24,0))*parametros_manuales!$B$100+parametros_manuales!$F$22*(datos_base!$I$4+datos_base!$I$20+IF(parametros_manuales!$H$22="Todos",datos_base!$I$11+datos_base!$I$25,0))*parametros_manuales!$B$105+parametros_manuales!$G$22*(datos_base!$I$5+datos_base!$I$21+IF(parametros_manuales!$H$22="Todos",datos_base!$I$12+datos_base!$I$26,0))*parametros_manuales!$B$110)*parametros_manuales!$I$22*parametros_manuales!$J$22</f>
        <v>39283.49812482</v>
      </c>
      <c r="C194" s="9" t="n">
        <f aca="false">(parametros_manuales!$D$22*(datos_base!$I$2+datos_base!$I$18+IF(parametros_manuales!$H$22="Todos",datos_base!$I$9+datos_base!$I$23,0))*parametros_manuales!$C$95+parametros_manuales!$E$22*(datos_base!$I$3+datos_base!$I$19+IF(parametros_manuales!$H$22="Todos",datos_base!$I$10+datos_base!$I$24,0))*parametros_manuales!$C$100+parametros_manuales!$F$22*(datos_base!$I$4+datos_base!$I$20+IF(parametros_manuales!$H$22="Todos",datos_base!$I$11+datos_base!$I$25,0))*parametros_manuales!$C$105+parametros_manuales!$G$22*(datos_base!$I$5+datos_base!$I$21+IF(parametros_manuales!$H$22="Todos",datos_base!$I$12+datos_base!$I$26,0))*parametros_manuales!$C$110)*parametros_manuales!$I$22*parametros_manuales!$J$22</f>
        <v>38041.32656944</v>
      </c>
      <c r="D194" s="9" t="n">
        <f aca="false">(parametros_manuales!$D$22*(datos_base!$I$2+datos_base!$I$18+IF(parametros_manuales!$H$22="Todos",datos_base!$I$9+datos_base!$I$23,0))*parametros_manuales!$D$95+parametros_manuales!$E$22*(datos_base!$I$3+datos_base!$I$19+IF(parametros_manuales!$H$22="Todos",datos_base!$I$10+datos_base!$I$24,0))*parametros_manuales!$D$100+parametros_manuales!$F$22*(datos_base!$I$4+datos_base!$I$20+IF(parametros_manuales!$H$22="Todos",datos_base!$I$11+datos_base!$I$25,0))*parametros_manuales!$D$105+parametros_manuales!$G$22*(datos_base!$I$5+datos_base!$I$21+IF(parametros_manuales!$H$22="Todos",datos_base!$I$12+datos_base!$I$26,0))*parametros_manuales!$D$110)*parametros_manuales!$I$22*parametros_manuales!$J$22</f>
        <v>35539.75077753</v>
      </c>
      <c r="E194" s="9" t="n">
        <f aca="false">(parametros_manuales!$D$22*(datos_base!$I$2+datos_base!$I$18+IF(parametros_manuales!$H$22="Todos",datos_base!$I$9+datos_base!$I$23,0))*parametros_manuales!$E$95+parametros_manuales!$E$22*(datos_base!$I$3+datos_base!$I$19+IF(parametros_manuales!$H$22="Todos",datos_base!$I$10+datos_base!$I$24,0))*parametros_manuales!$E$100+parametros_manuales!$F$22*(datos_base!$I$4+datos_base!$I$20+IF(parametros_manuales!$H$22="Todos",datos_base!$I$11+datos_base!$I$25,0))*parametros_manuales!$E$105+parametros_manuales!$G$22*(datos_base!$I$5+datos_base!$I$21+IF(parametros_manuales!$H$22="Todos",datos_base!$I$12+datos_base!$I$26,0))*parametros_manuales!$E$110)*parametros_manuales!$I$22*parametros_manuales!$J$22</f>
        <v>33978.41999273</v>
      </c>
      <c r="F194" s="9" t="n">
        <f aca="false">(parametros_manuales!$D$22*(datos_base!$I$2+datos_base!$I$18+IF(parametros_manuales!$H$22="Todos",datos_base!$I$9+datos_base!$I$23,0))*parametros_manuales!$F$95+parametros_manuales!$E$22*(datos_base!$I$3+datos_base!$I$19+IF(parametros_manuales!$H$22="Todos",datos_base!$I$10+datos_base!$I$24,0))*parametros_manuales!$F$100+parametros_manuales!$F$22*(datos_base!$I$4+datos_base!$I$20+IF(parametros_manuales!$H$22="Todos",datos_base!$I$11+datos_base!$I$25,0))*parametros_manuales!$F$105+parametros_manuales!$G$22*(datos_base!$I$5+datos_base!$I$21+IF(parametros_manuales!$H$22="Todos",datos_base!$I$12+datos_base!$I$26,0))*parametros_manuales!$F$110)*parametros_manuales!$I$22*parametros_manuales!$J$22</f>
        <v>31796.00343024</v>
      </c>
      <c r="G194" s="9" t="n">
        <f aca="false">(parametros_manuales!$D$22*(datos_base!$I$2+datos_base!$I$18+IF(parametros_manuales!$H$22="Todos",datos_base!$I$9+datos_base!$I$23,0))*parametros_manuales!$G$95+parametros_manuales!$E$22*(datos_base!$I$3+datos_base!$I$19+IF(parametros_manuales!$H$22="Todos",datos_base!$I$10+datos_base!$I$24,0))*parametros_manuales!$G$100+parametros_manuales!$F$22*(datos_base!$I$4+datos_base!$I$20+IF(parametros_manuales!$H$22="Todos",datos_base!$I$11+datos_base!$I$25,0))*parametros_manuales!$G$105+parametros_manuales!$G$22*(datos_base!$I$5+datos_base!$I$21+IF(parametros_manuales!$H$22="Todos",datos_base!$I$12+datos_base!$I$26,0))*parametros_manuales!$G$110)*parametros_manuales!$I$22*parametros_manuales!$J$22</f>
        <v>31174.91765255</v>
      </c>
      <c r="H194" s="9" t="n">
        <f aca="false">(parametros_manuales!$D$22*(datos_base!$I$2+datos_base!$I$18+IF(parametros_manuales!$H$22="Todos",datos_base!$I$9+datos_base!$I$23,0))*parametros_manuales!$H$95+parametros_manuales!$E$22*(datos_base!$I$3+datos_base!$I$19+IF(parametros_manuales!$H$22="Todos",datos_base!$I$10+datos_base!$I$24,0))*parametros_manuales!$H$100+parametros_manuales!$F$22*(datos_base!$I$4+datos_base!$I$20+IF(parametros_manuales!$H$22="Todos",datos_base!$I$11+datos_base!$I$25,0))*parametros_manuales!$H$105+parametros_manuales!$G$22*(datos_base!$I$5+datos_base!$I$21+IF(parametros_manuales!$H$22="Todos",datos_base!$I$12+datos_base!$I$26,0))*parametros_manuales!$H$110)*parametros_manuales!$I$22*parametros_manuales!$J$22</f>
        <v>33357.33421504</v>
      </c>
      <c r="I194" s="9" t="n">
        <f aca="false">(parametros_manuales!$D$22*(datos_base!$I$2+datos_base!$I$18+IF(parametros_manuales!$H$22="Todos",datos_base!$I$9+datos_base!$I$23,0))*parametros_manuales!$I$95+parametros_manuales!$E$22*(datos_base!$I$3+datos_base!$I$19+IF(parametros_manuales!$H$22="Todos",datos_base!$I$10+datos_base!$I$24,0))*parametros_manuales!$I$100+parametros_manuales!$F$22*(datos_base!$I$4+datos_base!$I$20+IF(parametros_manuales!$H$22="Todos",datos_base!$I$11+datos_base!$I$25,0))*parametros_manuales!$I$105+parametros_manuales!$G$22*(datos_base!$I$5+datos_base!$I$21+IF(parametros_manuales!$H$22="Todos",datos_base!$I$12+datos_base!$I$26,0))*parametros_manuales!$I$110)*parametros_manuales!$I$22*parametros_manuales!$J$22</f>
        <v>38041.32656944</v>
      </c>
      <c r="J194" s="9" t="n">
        <f aca="false">(parametros_manuales!$D$22*(datos_base!$I$2+datos_base!$I$18+IF(parametros_manuales!$H$22="Todos",datos_base!$I$9+datos_base!$I$23,0))*parametros_manuales!$J$95+parametros_manuales!$E$22*(datos_base!$I$3+datos_base!$I$19+IF(parametros_manuales!$H$22="Todos",datos_base!$I$10+datos_base!$I$24,0))*parametros_manuales!$J$100+parametros_manuales!$F$22*(datos_base!$I$4+datos_base!$I$20+IF(parametros_manuales!$H$22="Todos",datos_base!$I$11+datos_base!$I$25,0))*parametros_manuales!$J$105+parametros_manuales!$G$22*(datos_base!$I$5+datos_base!$I$21+IF(parametros_manuales!$H$22="Todos",datos_base!$I$12+datos_base!$I$26,0))*parametros_manuales!$J$110)*parametros_manuales!$I$22*parametros_manuales!$J$22</f>
        <v>38041.32656944</v>
      </c>
      <c r="K194" s="9" t="n">
        <f aca="false">(parametros_manuales!$D$22*(datos_base!$I$2+datos_base!$I$18+IF(parametros_manuales!$H$22="Todos",datos_base!$I$9+datos_base!$I$23,0))*parametros_manuales!$K$95+parametros_manuales!$E$22*(datos_base!$I$3+datos_base!$I$19+IF(parametros_manuales!$H$22="Todos",datos_base!$I$10+datos_base!$I$24,0))*parametros_manuales!$K$100+parametros_manuales!$F$22*(datos_base!$I$4+datos_base!$I$20+IF(parametros_manuales!$H$22="Todos",datos_base!$I$11+datos_base!$I$25,0))*parametros_manuales!$K$105+parametros_manuales!$G$22*(datos_base!$I$5+datos_base!$I$21+IF(parametros_manuales!$H$22="Todos",datos_base!$I$12+datos_base!$I$26,0))*parametros_manuales!$K$110)*parametros_manuales!$I$22*parametros_manuales!$J$22</f>
        <v>38662.41234713</v>
      </c>
      <c r="L194" s="9" t="n">
        <f aca="false">(parametros_manuales!$D$22*(datos_base!$I$2+datos_base!$I$18+IF(parametros_manuales!$H$22="Todos",datos_base!$I$9+datos_base!$I$23,0))*parametros_manuales!$L$95+parametros_manuales!$E$22*(datos_base!$I$3+datos_base!$I$19+IF(parametros_manuales!$H$22="Todos",datos_base!$I$10+datos_base!$I$24,0))*parametros_manuales!$L$100+parametros_manuales!$F$22*(datos_base!$I$4+datos_base!$I$20+IF(parametros_manuales!$H$22="Todos",datos_base!$I$11+datos_base!$I$25,0))*parametros_manuales!$L$105+parametros_manuales!$G$22*(datos_base!$I$5+datos_base!$I$21+IF(parametros_manuales!$H$22="Todos",datos_base!$I$12+datos_base!$I$26,0))*parametros_manuales!$L$110)*parametros_manuales!$I$22*parametros_manuales!$J$22</f>
        <v>39283.49812482</v>
      </c>
      <c r="M194" s="9" t="n">
        <f aca="false">(parametros_manuales!$D$22*(datos_base!$I$2+datos_base!$I$18+IF(parametros_manuales!$H$22="Todos",datos_base!$I$9+datos_base!$I$23,0))*parametros_manuales!$M$95+parametros_manuales!$E$22*(datos_base!$I$3+datos_base!$I$19+IF(parametros_manuales!$H$22="Todos",datos_base!$I$10+datos_base!$I$24,0))*parametros_manuales!$M$100+parametros_manuales!$F$22*(datos_base!$I$4+datos_base!$I$20+IF(parametros_manuales!$H$22="Todos",datos_base!$I$11+datos_base!$I$25,0))*parametros_manuales!$M$105+parametros_manuales!$G$22*(datos_base!$I$5+datos_base!$I$21+IF(parametros_manuales!$H$22="Todos",datos_base!$I$12+datos_base!$I$26,0))*parametros_manuales!$M$110)*parametros_manuales!$I$22*parametros_manuales!$J$22</f>
        <v>39283.49812482</v>
      </c>
      <c r="N194" s="9" t="n">
        <f aca="false">SUM(B194:M194)</f>
        <v>436483.312498</v>
      </c>
      <c r="O194" s="9" t="n">
        <f aca="false">MAX(B194:M194)</f>
        <v>39283.49812482</v>
      </c>
      <c r="P194" s="43" t="n">
        <f aca="false">O194/(parametros_manuales!$B$7)</f>
        <v>261.8899874988</v>
      </c>
      <c r="Q194" s="8" t="str">
        <f aca="false">IF(O194=0,"-",INDEX($B$190:$M$190,MATCH(O194,B194:M194,0)))</f>
        <v>Ene</v>
      </c>
    </row>
    <row r="195" customFormat="false" ht="14.25" hidden="false" customHeight="true" outlineLevel="0" collapsed="false">
      <c r="A195" s="8" t="str">
        <f aca="false">parametros_manuales!$B$23</f>
        <v>Preparación de cuello</v>
      </c>
      <c r="B195" s="9" t="n">
        <f aca="false">(parametros_manuales!$D$23*(datos_base!$I$2+datos_base!$I$18+IF(parametros_manuales!$H$23="Todos",datos_base!$I$9+datos_base!$I$23,0))*parametros_manuales!$B$95+parametros_manuales!$E$23*(datos_base!$I$3+datos_base!$I$19+IF(parametros_manuales!$H$23="Todos",datos_base!$I$10+datos_base!$I$24,0))*parametros_manuales!$B$100+parametros_manuales!$F$23*(datos_base!$I$4+datos_base!$I$20+IF(parametros_manuales!$H$23="Todos",datos_base!$I$11+datos_base!$I$25,0))*parametros_manuales!$B$105+parametros_manuales!$G$23*(datos_base!$I$5+datos_base!$I$21+IF(parametros_manuales!$H$23="Todos",datos_base!$I$12+datos_base!$I$26,0))*parametros_manuales!$B$110)*parametros_manuales!$I$23*parametros_manuales!$J$23</f>
        <v>19641.74906241</v>
      </c>
      <c r="C195" s="9" t="n">
        <f aca="false">(parametros_manuales!$D$23*(datos_base!$I$2+datos_base!$I$18+IF(parametros_manuales!$H$23="Todos",datos_base!$I$9+datos_base!$I$23,0))*parametros_manuales!$C$95+parametros_manuales!$E$23*(datos_base!$I$3+datos_base!$I$19+IF(parametros_manuales!$H$23="Todos",datos_base!$I$10+datos_base!$I$24,0))*parametros_manuales!$C$100+parametros_manuales!$F$23*(datos_base!$I$4+datos_base!$I$20+IF(parametros_manuales!$H$23="Todos",datos_base!$I$11+datos_base!$I$25,0))*parametros_manuales!$C$105+parametros_manuales!$G$23*(datos_base!$I$5+datos_base!$I$21+IF(parametros_manuales!$H$23="Todos",datos_base!$I$12+datos_base!$I$26,0))*parametros_manuales!$C$110)*parametros_manuales!$I$23*parametros_manuales!$J$23</f>
        <v>19020.66328472</v>
      </c>
      <c r="D195" s="9" t="n">
        <f aca="false">(parametros_manuales!$D$23*(datos_base!$I$2+datos_base!$I$18+IF(parametros_manuales!$H$23="Todos",datos_base!$I$9+datos_base!$I$23,0))*parametros_manuales!$D$95+parametros_manuales!$E$23*(datos_base!$I$3+datos_base!$I$19+IF(parametros_manuales!$H$23="Todos",datos_base!$I$10+datos_base!$I$24,0))*parametros_manuales!$D$100+parametros_manuales!$F$23*(datos_base!$I$4+datos_base!$I$20+IF(parametros_manuales!$H$23="Todos",datos_base!$I$11+datos_base!$I$25,0))*parametros_manuales!$D$105+parametros_manuales!$G$23*(datos_base!$I$5+datos_base!$I$21+IF(parametros_manuales!$H$23="Todos",datos_base!$I$12+datos_base!$I$26,0))*parametros_manuales!$D$110)*parametros_manuales!$I$23*parametros_manuales!$J$23</f>
        <v>17769.875388765</v>
      </c>
      <c r="E195" s="9" t="n">
        <f aca="false">(parametros_manuales!$D$23*(datos_base!$I$2+datos_base!$I$18+IF(parametros_manuales!$H$23="Todos",datos_base!$I$9+datos_base!$I$23,0))*parametros_manuales!$E$95+parametros_manuales!$E$23*(datos_base!$I$3+datos_base!$I$19+IF(parametros_manuales!$H$23="Todos",datos_base!$I$10+datos_base!$I$24,0))*parametros_manuales!$E$100+parametros_manuales!$F$23*(datos_base!$I$4+datos_base!$I$20+IF(parametros_manuales!$H$23="Todos",datos_base!$I$11+datos_base!$I$25,0))*parametros_manuales!$E$105+parametros_manuales!$G$23*(datos_base!$I$5+datos_base!$I$21+IF(parametros_manuales!$H$23="Todos",datos_base!$I$12+datos_base!$I$26,0))*parametros_manuales!$E$110)*parametros_manuales!$I$23*parametros_manuales!$J$23</f>
        <v>16989.209996365</v>
      </c>
      <c r="F195" s="9" t="n">
        <f aca="false">(parametros_manuales!$D$23*(datos_base!$I$2+datos_base!$I$18+IF(parametros_manuales!$H$23="Todos",datos_base!$I$9+datos_base!$I$23,0))*parametros_manuales!$F$95+parametros_manuales!$E$23*(datos_base!$I$3+datos_base!$I$19+IF(parametros_manuales!$H$23="Todos",datos_base!$I$10+datos_base!$I$24,0))*parametros_manuales!$F$100+parametros_manuales!$F$23*(datos_base!$I$4+datos_base!$I$20+IF(parametros_manuales!$H$23="Todos",datos_base!$I$11+datos_base!$I$25,0))*parametros_manuales!$F$105+parametros_manuales!$G$23*(datos_base!$I$5+datos_base!$I$21+IF(parametros_manuales!$H$23="Todos",datos_base!$I$12+datos_base!$I$26,0))*parametros_manuales!$F$110)*parametros_manuales!$I$23*parametros_manuales!$J$23</f>
        <v>15898.00171512</v>
      </c>
      <c r="G195" s="9" t="n">
        <f aca="false">(parametros_manuales!$D$23*(datos_base!$I$2+datos_base!$I$18+IF(parametros_manuales!$H$23="Todos",datos_base!$I$9+datos_base!$I$23,0))*parametros_manuales!$G$95+parametros_manuales!$E$23*(datos_base!$I$3+datos_base!$I$19+IF(parametros_manuales!$H$23="Todos",datos_base!$I$10+datos_base!$I$24,0))*parametros_manuales!$G$100+parametros_manuales!$F$23*(datos_base!$I$4+datos_base!$I$20+IF(parametros_manuales!$H$23="Todos",datos_base!$I$11+datos_base!$I$25,0))*parametros_manuales!$G$105+parametros_manuales!$G$23*(datos_base!$I$5+datos_base!$I$21+IF(parametros_manuales!$H$23="Todos",datos_base!$I$12+datos_base!$I$26,0))*parametros_manuales!$G$110)*parametros_manuales!$I$23*parametros_manuales!$J$23</f>
        <v>15587.458826275</v>
      </c>
      <c r="H195" s="9" t="n">
        <f aca="false">(parametros_manuales!$D$23*(datos_base!$I$2+datos_base!$I$18+IF(parametros_manuales!$H$23="Todos",datos_base!$I$9+datos_base!$I$23,0))*parametros_manuales!$H$95+parametros_manuales!$E$23*(datos_base!$I$3+datos_base!$I$19+IF(parametros_manuales!$H$23="Todos",datos_base!$I$10+datos_base!$I$24,0))*parametros_manuales!$H$100+parametros_manuales!$F$23*(datos_base!$I$4+datos_base!$I$20+IF(parametros_manuales!$H$23="Todos",datos_base!$I$11+datos_base!$I$25,0))*parametros_manuales!$H$105+parametros_manuales!$G$23*(datos_base!$I$5+datos_base!$I$21+IF(parametros_manuales!$H$23="Todos",datos_base!$I$12+datos_base!$I$26,0))*parametros_manuales!$H$110)*parametros_manuales!$I$23*parametros_manuales!$J$23</f>
        <v>16678.66710752</v>
      </c>
      <c r="I195" s="9" t="n">
        <f aca="false">(parametros_manuales!$D$23*(datos_base!$I$2+datos_base!$I$18+IF(parametros_manuales!$H$23="Todos",datos_base!$I$9+datos_base!$I$23,0))*parametros_manuales!$I$95+parametros_manuales!$E$23*(datos_base!$I$3+datos_base!$I$19+IF(parametros_manuales!$H$23="Todos",datos_base!$I$10+datos_base!$I$24,0))*parametros_manuales!$I$100+parametros_manuales!$F$23*(datos_base!$I$4+datos_base!$I$20+IF(parametros_manuales!$H$23="Todos",datos_base!$I$11+datos_base!$I$25,0))*parametros_manuales!$I$105+parametros_manuales!$G$23*(datos_base!$I$5+datos_base!$I$21+IF(parametros_manuales!$H$23="Todos",datos_base!$I$12+datos_base!$I$26,0))*parametros_manuales!$I$110)*parametros_manuales!$I$23*parametros_manuales!$J$23</f>
        <v>19020.66328472</v>
      </c>
      <c r="J195" s="9" t="n">
        <f aca="false">(parametros_manuales!$D$23*(datos_base!$I$2+datos_base!$I$18+IF(parametros_manuales!$H$23="Todos",datos_base!$I$9+datos_base!$I$23,0))*parametros_manuales!$J$95+parametros_manuales!$E$23*(datos_base!$I$3+datos_base!$I$19+IF(parametros_manuales!$H$23="Todos",datos_base!$I$10+datos_base!$I$24,0))*parametros_manuales!$J$100+parametros_manuales!$F$23*(datos_base!$I$4+datos_base!$I$20+IF(parametros_manuales!$H$23="Todos",datos_base!$I$11+datos_base!$I$25,0))*parametros_manuales!$J$105+parametros_manuales!$G$23*(datos_base!$I$5+datos_base!$I$21+IF(parametros_manuales!$H$23="Todos",datos_base!$I$12+datos_base!$I$26,0))*parametros_manuales!$J$110)*parametros_manuales!$I$23*parametros_manuales!$J$23</f>
        <v>19020.66328472</v>
      </c>
      <c r="K195" s="9" t="n">
        <f aca="false">(parametros_manuales!$D$23*(datos_base!$I$2+datos_base!$I$18+IF(parametros_manuales!$H$23="Todos",datos_base!$I$9+datos_base!$I$23,0))*parametros_manuales!$K$95+parametros_manuales!$E$23*(datos_base!$I$3+datos_base!$I$19+IF(parametros_manuales!$H$23="Todos",datos_base!$I$10+datos_base!$I$24,0))*parametros_manuales!$K$100+parametros_manuales!$F$23*(datos_base!$I$4+datos_base!$I$20+IF(parametros_manuales!$H$23="Todos",datos_base!$I$11+datos_base!$I$25,0))*parametros_manuales!$K$105+parametros_manuales!$G$23*(datos_base!$I$5+datos_base!$I$21+IF(parametros_manuales!$H$23="Todos",datos_base!$I$12+datos_base!$I$26,0))*parametros_manuales!$K$110)*parametros_manuales!$I$23*parametros_manuales!$J$23</f>
        <v>19331.206173565</v>
      </c>
      <c r="L195" s="9" t="n">
        <f aca="false">(parametros_manuales!$D$23*(datos_base!$I$2+datos_base!$I$18+IF(parametros_manuales!$H$23="Todos",datos_base!$I$9+datos_base!$I$23,0))*parametros_manuales!$L$95+parametros_manuales!$E$23*(datos_base!$I$3+datos_base!$I$19+IF(parametros_manuales!$H$23="Todos",datos_base!$I$10+datos_base!$I$24,0))*parametros_manuales!$L$100+parametros_manuales!$F$23*(datos_base!$I$4+datos_base!$I$20+IF(parametros_manuales!$H$23="Todos",datos_base!$I$11+datos_base!$I$25,0))*parametros_manuales!$L$105+parametros_manuales!$G$23*(datos_base!$I$5+datos_base!$I$21+IF(parametros_manuales!$H$23="Todos",datos_base!$I$12+datos_base!$I$26,0))*parametros_manuales!$L$110)*parametros_manuales!$I$23*parametros_manuales!$J$23</f>
        <v>19641.74906241</v>
      </c>
      <c r="M195" s="9" t="n">
        <f aca="false">(parametros_manuales!$D$23*(datos_base!$I$2+datos_base!$I$18+IF(parametros_manuales!$H$23="Todos",datos_base!$I$9+datos_base!$I$23,0))*parametros_manuales!$M$95+parametros_manuales!$E$23*(datos_base!$I$3+datos_base!$I$19+IF(parametros_manuales!$H$23="Todos",datos_base!$I$10+datos_base!$I$24,0))*parametros_manuales!$M$100+parametros_manuales!$F$23*(datos_base!$I$4+datos_base!$I$20+IF(parametros_manuales!$H$23="Todos",datos_base!$I$11+datos_base!$I$25,0))*parametros_manuales!$M$105+parametros_manuales!$G$23*(datos_base!$I$5+datos_base!$I$21+IF(parametros_manuales!$H$23="Todos",datos_base!$I$12+datos_base!$I$26,0))*parametros_manuales!$M$110)*parametros_manuales!$I$23*parametros_manuales!$J$23</f>
        <v>19641.74906241</v>
      </c>
      <c r="N195" s="9" t="n">
        <f aca="false">SUM(B195:M195)</f>
        <v>218241.656249</v>
      </c>
      <c r="O195" s="9" t="n">
        <f aca="false">MAX(B195:M195)</f>
        <v>19641.74906241</v>
      </c>
      <c r="P195" s="43" t="n">
        <f aca="false">O195/(parametros_manuales!$B$7)</f>
        <v>130.9449937494</v>
      </c>
      <c r="Q195" s="8" t="str">
        <f aca="false">IF(O195=0,"-",INDEX($B$190:$M$190,MATCH(O195,B195:M195,0)))</f>
        <v>Ene</v>
      </c>
    </row>
    <row r="196" customFormat="false" ht="14.25" hidden="false" customHeight="true" outlineLevel="0" collapsed="false">
      <c r="A196" s="8" t="str">
        <f aca="false">parametros_manuales!$B$24</f>
        <v>Numerado de cúpula</v>
      </c>
      <c r="B196" s="9" t="n">
        <f aca="false">(parametros_manuales!$D$24*(datos_base!$I$2+datos_base!$I$18+IF(parametros_manuales!$H$24="Todos",datos_base!$I$9+datos_base!$I$23,0))*parametros_manuales!$B$95+parametros_manuales!$E$24*(datos_base!$I$3+datos_base!$I$19+IF(parametros_manuales!$H$24="Todos",datos_base!$I$10+datos_base!$I$24,0))*parametros_manuales!$B$100+parametros_manuales!$F$24*(datos_base!$I$4+datos_base!$I$20+IF(parametros_manuales!$H$24="Todos",datos_base!$I$11+datos_base!$I$25,0))*parametros_manuales!$B$105+parametros_manuales!$G$24*(datos_base!$I$5+datos_base!$I$21+IF(parametros_manuales!$H$24="Todos",datos_base!$I$12+datos_base!$I$26,0))*parametros_manuales!$B$110)*parametros_manuales!$I$24*parametros_manuales!$J$24</f>
        <v>19641.74906241</v>
      </c>
      <c r="C196" s="9" t="n">
        <f aca="false">(parametros_manuales!$D$24*(datos_base!$I$2+datos_base!$I$18+IF(parametros_manuales!$H$24="Todos",datos_base!$I$9+datos_base!$I$23,0))*parametros_manuales!$C$95+parametros_manuales!$E$24*(datos_base!$I$3+datos_base!$I$19+IF(parametros_manuales!$H$24="Todos",datos_base!$I$10+datos_base!$I$24,0))*parametros_manuales!$C$100+parametros_manuales!$F$24*(datos_base!$I$4+datos_base!$I$20+IF(parametros_manuales!$H$24="Todos",datos_base!$I$11+datos_base!$I$25,0))*parametros_manuales!$C$105+parametros_manuales!$G$24*(datos_base!$I$5+datos_base!$I$21+IF(parametros_manuales!$H$24="Todos",datos_base!$I$12+datos_base!$I$26,0))*parametros_manuales!$C$110)*parametros_manuales!$I$24*parametros_manuales!$J$24</f>
        <v>19020.66328472</v>
      </c>
      <c r="D196" s="9" t="n">
        <f aca="false">(parametros_manuales!$D$24*(datos_base!$I$2+datos_base!$I$18+IF(parametros_manuales!$H$24="Todos",datos_base!$I$9+datos_base!$I$23,0))*parametros_manuales!$D$95+parametros_manuales!$E$24*(datos_base!$I$3+datos_base!$I$19+IF(parametros_manuales!$H$24="Todos",datos_base!$I$10+datos_base!$I$24,0))*parametros_manuales!$D$100+parametros_manuales!$F$24*(datos_base!$I$4+datos_base!$I$20+IF(parametros_manuales!$H$24="Todos",datos_base!$I$11+datos_base!$I$25,0))*parametros_manuales!$D$105+parametros_manuales!$G$24*(datos_base!$I$5+datos_base!$I$21+IF(parametros_manuales!$H$24="Todos",datos_base!$I$12+datos_base!$I$26,0))*parametros_manuales!$D$110)*parametros_manuales!$I$24*parametros_manuales!$J$24</f>
        <v>17769.875388765</v>
      </c>
      <c r="E196" s="9" t="n">
        <f aca="false">(parametros_manuales!$D$24*(datos_base!$I$2+datos_base!$I$18+IF(parametros_manuales!$H$24="Todos",datos_base!$I$9+datos_base!$I$23,0))*parametros_manuales!$E$95+parametros_manuales!$E$24*(datos_base!$I$3+datos_base!$I$19+IF(parametros_manuales!$H$24="Todos",datos_base!$I$10+datos_base!$I$24,0))*parametros_manuales!$E$100+parametros_manuales!$F$24*(datos_base!$I$4+datos_base!$I$20+IF(parametros_manuales!$H$24="Todos",datos_base!$I$11+datos_base!$I$25,0))*parametros_manuales!$E$105+parametros_manuales!$G$24*(datos_base!$I$5+datos_base!$I$21+IF(parametros_manuales!$H$24="Todos",datos_base!$I$12+datos_base!$I$26,0))*parametros_manuales!$E$110)*parametros_manuales!$I$24*parametros_manuales!$J$24</f>
        <v>16989.209996365</v>
      </c>
      <c r="F196" s="9" t="n">
        <f aca="false">(parametros_manuales!$D$24*(datos_base!$I$2+datos_base!$I$18+IF(parametros_manuales!$H$24="Todos",datos_base!$I$9+datos_base!$I$23,0))*parametros_manuales!$F$95+parametros_manuales!$E$24*(datos_base!$I$3+datos_base!$I$19+IF(parametros_manuales!$H$24="Todos",datos_base!$I$10+datos_base!$I$24,0))*parametros_manuales!$F$100+parametros_manuales!$F$24*(datos_base!$I$4+datos_base!$I$20+IF(parametros_manuales!$H$24="Todos",datos_base!$I$11+datos_base!$I$25,0))*parametros_manuales!$F$105+parametros_manuales!$G$24*(datos_base!$I$5+datos_base!$I$21+IF(parametros_manuales!$H$24="Todos",datos_base!$I$12+datos_base!$I$26,0))*parametros_manuales!$F$110)*parametros_manuales!$I$24*parametros_manuales!$J$24</f>
        <v>15898.00171512</v>
      </c>
      <c r="G196" s="9" t="n">
        <f aca="false">(parametros_manuales!$D$24*(datos_base!$I$2+datos_base!$I$18+IF(parametros_manuales!$H$24="Todos",datos_base!$I$9+datos_base!$I$23,0))*parametros_manuales!$G$95+parametros_manuales!$E$24*(datos_base!$I$3+datos_base!$I$19+IF(parametros_manuales!$H$24="Todos",datos_base!$I$10+datos_base!$I$24,0))*parametros_manuales!$G$100+parametros_manuales!$F$24*(datos_base!$I$4+datos_base!$I$20+IF(parametros_manuales!$H$24="Todos",datos_base!$I$11+datos_base!$I$25,0))*parametros_manuales!$G$105+parametros_manuales!$G$24*(datos_base!$I$5+datos_base!$I$21+IF(parametros_manuales!$H$24="Todos",datos_base!$I$12+datos_base!$I$26,0))*parametros_manuales!$G$110)*parametros_manuales!$I$24*parametros_manuales!$J$24</f>
        <v>15587.458826275</v>
      </c>
      <c r="H196" s="9" t="n">
        <f aca="false">(parametros_manuales!$D$24*(datos_base!$I$2+datos_base!$I$18+IF(parametros_manuales!$H$24="Todos",datos_base!$I$9+datos_base!$I$23,0))*parametros_manuales!$H$95+parametros_manuales!$E$24*(datos_base!$I$3+datos_base!$I$19+IF(parametros_manuales!$H$24="Todos",datos_base!$I$10+datos_base!$I$24,0))*parametros_manuales!$H$100+parametros_manuales!$F$24*(datos_base!$I$4+datos_base!$I$20+IF(parametros_manuales!$H$24="Todos",datos_base!$I$11+datos_base!$I$25,0))*parametros_manuales!$H$105+parametros_manuales!$G$24*(datos_base!$I$5+datos_base!$I$21+IF(parametros_manuales!$H$24="Todos",datos_base!$I$12+datos_base!$I$26,0))*parametros_manuales!$H$110)*parametros_manuales!$I$24*parametros_manuales!$J$24</f>
        <v>16678.66710752</v>
      </c>
      <c r="I196" s="9" t="n">
        <f aca="false">(parametros_manuales!$D$24*(datos_base!$I$2+datos_base!$I$18+IF(parametros_manuales!$H$24="Todos",datos_base!$I$9+datos_base!$I$23,0))*parametros_manuales!$I$95+parametros_manuales!$E$24*(datos_base!$I$3+datos_base!$I$19+IF(parametros_manuales!$H$24="Todos",datos_base!$I$10+datos_base!$I$24,0))*parametros_manuales!$I$100+parametros_manuales!$F$24*(datos_base!$I$4+datos_base!$I$20+IF(parametros_manuales!$H$24="Todos",datos_base!$I$11+datos_base!$I$25,0))*parametros_manuales!$I$105+parametros_manuales!$G$24*(datos_base!$I$5+datos_base!$I$21+IF(parametros_manuales!$H$24="Todos",datos_base!$I$12+datos_base!$I$26,0))*parametros_manuales!$I$110)*parametros_manuales!$I$24*parametros_manuales!$J$24</f>
        <v>19020.66328472</v>
      </c>
      <c r="J196" s="9" t="n">
        <f aca="false">(parametros_manuales!$D$24*(datos_base!$I$2+datos_base!$I$18+IF(parametros_manuales!$H$24="Todos",datos_base!$I$9+datos_base!$I$23,0))*parametros_manuales!$J$95+parametros_manuales!$E$24*(datos_base!$I$3+datos_base!$I$19+IF(parametros_manuales!$H$24="Todos",datos_base!$I$10+datos_base!$I$24,0))*parametros_manuales!$J$100+parametros_manuales!$F$24*(datos_base!$I$4+datos_base!$I$20+IF(parametros_manuales!$H$24="Todos",datos_base!$I$11+datos_base!$I$25,0))*parametros_manuales!$J$105+parametros_manuales!$G$24*(datos_base!$I$5+datos_base!$I$21+IF(parametros_manuales!$H$24="Todos",datos_base!$I$12+datos_base!$I$26,0))*parametros_manuales!$J$110)*parametros_manuales!$I$24*parametros_manuales!$J$24</f>
        <v>19020.66328472</v>
      </c>
      <c r="K196" s="9" t="n">
        <f aca="false">(parametros_manuales!$D$24*(datos_base!$I$2+datos_base!$I$18+IF(parametros_manuales!$H$24="Todos",datos_base!$I$9+datos_base!$I$23,0))*parametros_manuales!$K$95+parametros_manuales!$E$24*(datos_base!$I$3+datos_base!$I$19+IF(parametros_manuales!$H$24="Todos",datos_base!$I$10+datos_base!$I$24,0))*parametros_manuales!$K$100+parametros_manuales!$F$24*(datos_base!$I$4+datos_base!$I$20+IF(parametros_manuales!$H$24="Todos",datos_base!$I$11+datos_base!$I$25,0))*parametros_manuales!$K$105+parametros_manuales!$G$24*(datos_base!$I$5+datos_base!$I$21+IF(parametros_manuales!$H$24="Todos",datos_base!$I$12+datos_base!$I$26,0))*parametros_manuales!$K$110)*parametros_manuales!$I$24*parametros_manuales!$J$24</f>
        <v>19331.206173565</v>
      </c>
      <c r="L196" s="9" t="n">
        <f aca="false">(parametros_manuales!$D$24*(datos_base!$I$2+datos_base!$I$18+IF(parametros_manuales!$H$24="Todos",datos_base!$I$9+datos_base!$I$23,0))*parametros_manuales!$L$95+parametros_manuales!$E$24*(datos_base!$I$3+datos_base!$I$19+IF(parametros_manuales!$H$24="Todos",datos_base!$I$10+datos_base!$I$24,0))*parametros_manuales!$L$100+parametros_manuales!$F$24*(datos_base!$I$4+datos_base!$I$20+IF(parametros_manuales!$H$24="Todos",datos_base!$I$11+datos_base!$I$25,0))*parametros_manuales!$L$105+parametros_manuales!$G$24*(datos_base!$I$5+datos_base!$I$21+IF(parametros_manuales!$H$24="Todos",datos_base!$I$12+datos_base!$I$26,0))*parametros_manuales!$L$110)*parametros_manuales!$I$24*parametros_manuales!$J$24</f>
        <v>19641.74906241</v>
      </c>
      <c r="M196" s="9" t="n">
        <f aca="false">(parametros_manuales!$D$24*(datos_base!$I$2+datos_base!$I$18+IF(parametros_manuales!$H$24="Todos",datos_base!$I$9+datos_base!$I$23,0))*parametros_manuales!$M$95+parametros_manuales!$E$24*(datos_base!$I$3+datos_base!$I$19+IF(parametros_manuales!$H$24="Todos",datos_base!$I$10+datos_base!$I$24,0))*parametros_manuales!$M$100+parametros_manuales!$F$24*(datos_base!$I$4+datos_base!$I$20+IF(parametros_manuales!$H$24="Todos",datos_base!$I$11+datos_base!$I$25,0))*parametros_manuales!$M$105+parametros_manuales!$G$24*(datos_base!$I$5+datos_base!$I$21+IF(parametros_manuales!$H$24="Todos",datos_base!$I$12+datos_base!$I$26,0))*parametros_manuales!$M$110)*parametros_manuales!$I$24*parametros_manuales!$J$24</f>
        <v>19641.74906241</v>
      </c>
      <c r="N196" s="9" t="n">
        <f aca="false">SUM(B196:M196)</f>
        <v>218241.656249</v>
      </c>
      <c r="O196" s="9" t="n">
        <f aca="false">MAX(B196:M196)</f>
        <v>19641.74906241</v>
      </c>
      <c r="P196" s="43" t="n">
        <f aca="false">O196/(parametros_manuales!$B$7)</f>
        <v>130.9449937494</v>
      </c>
      <c r="Q196" s="8" t="str">
        <f aca="false">IF(O196=0,"-",INDEX($B$190:$M$190,MATCH(O196,B196:M196,0)))</f>
        <v>Ene</v>
      </c>
    </row>
    <row r="197" customFormat="false" ht="14.25" hidden="false" customHeight="true" outlineLevel="0" collapsed="false">
      <c r="A197" s="8" t="str">
        <f aca="false">parametros_manuales!$B$25</f>
        <v>Soldadura del cuello a la cúpula</v>
      </c>
      <c r="B197" s="9" t="n">
        <f aca="false">(parametros_manuales!$D$25*(datos_base!$I$2+datos_base!$I$18+IF(parametros_manuales!$H$25="Todos",datos_base!$I$9+datos_base!$I$23,0))*parametros_manuales!$B$95+parametros_manuales!$E$25*(datos_base!$I$3+datos_base!$I$19+IF(parametros_manuales!$H$25="Todos",datos_base!$I$10+datos_base!$I$24,0))*parametros_manuales!$B$100+parametros_manuales!$F$25*(datos_base!$I$4+datos_base!$I$20+IF(parametros_manuales!$H$25="Todos",datos_base!$I$11+datos_base!$I$25,0))*parametros_manuales!$B$105+parametros_manuales!$G$25*(datos_base!$I$5+datos_base!$I$21+IF(parametros_manuales!$H$25="Todos",datos_base!$I$12+datos_base!$I$26,0))*parametros_manuales!$B$110)*parametros_manuales!$I$25*parametros_manuales!$J$25</f>
        <v>19641.74906241</v>
      </c>
      <c r="C197" s="9" t="n">
        <f aca="false">(parametros_manuales!$D$25*(datos_base!$I$2+datos_base!$I$18+IF(parametros_manuales!$H$25="Todos",datos_base!$I$9+datos_base!$I$23,0))*parametros_manuales!$C$95+parametros_manuales!$E$25*(datos_base!$I$3+datos_base!$I$19+IF(parametros_manuales!$H$25="Todos",datos_base!$I$10+datos_base!$I$24,0))*parametros_manuales!$C$100+parametros_manuales!$F$25*(datos_base!$I$4+datos_base!$I$20+IF(parametros_manuales!$H$25="Todos",datos_base!$I$11+datos_base!$I$25,0))*parametros_manuales!$C$105+parametros_manuales!$G$25*(datos_base!$I$5+datos_base!$I$21+IF(parametros_manuales!$H$25="Todos",datos_base!$I$12+datos_base!$I$26,0))*parametros_manuales!$C$110)*parametros_manuales!$I$25*parametros_manuales!$J$25</f>
        <v>19020.66328472</v>
      </c>
      <c r="D197" s="9" t="n">
        <f aca="false">(parametros_manuales!$D$25*(datos_base!$I$2+datos_base!$I$18+IF(parametros_manuales!$H$25="Todos",datos_base!$I$9+datos_base!$I$23,0))*parametros_manuales!$D$95+parametros_manuales!$E$25*(datos_base!$I$3+datos_base!$I$19+IF(parametros_manuales!$H$25="Todos",datos_base!$I$10+datos_base!$I$24,0))*parametros_manuales!$D$100+parametros_manuales!$F$25*(datos_base!$I$4+datos_base!$I$20+IF(parametros_manuales!$H$25="Todos",datos_base!$I$11+datos_base!$I$25,0))*parametros_manuales!$D$105+parametros_manuales!$G$25*(datos_base!$I$5+datos_base!$I$21+IF(parametros_manuales!$H$25="Todos",datos_base!$I$12+datos_base!$I$26,0))*parametros_manuales!$D$110)*parametros_manuales!$I$25*parametros_manuales!$J$25</f>
        <v>17769.875388765</v>
      </c>
      <c r="E197" s="9" t="n">
        <f aca="false">(parametros_manuales!$D$25*(datos_base!$I$2+datos_base!$I$18+IF(parametros_manuales!$H$25="Todos",datos_base!$I$9+datos_base!$I$23,0))*parametros_manuales!$E$95+parametros_manuales!$E$25*(datos_base!$I$3+datos_base!$I$19+IF(parametros_manuales!$H$25="Todos",datos_base!$I$10+datos_base!$I$24,0))*parametros_manuales!$E$100+parametros_manuales!$F$25*(datos_base!$I$4+datos_base!$I$20+IF(parametros_manuales!$H$25="Todos",datos_base!$I$11+datos_base!$I$25,0))*parametros_manuales!$E$105+parametros_manuales!$G$25*(datos_base!$I$5+datos_base!$I$21+IF(parametros_manuales!$H$25="Todos",datos_base!$I$12+datos_base!$I$26,0))*parametros_manuales!$E$110)*parametros_manuales!$I$25*parametros_manuales!$J$25</f>
        <v>16989.209996365</v>
      </c>
      <c r="F197" s="9" t="n">
        <f aca="false">(parametros_manuales!$D$25*(datos_base!$I$2+datos_base!$I$18+IF(parametros_manuales!$H$25="Todos",datos_base!$I$9+datos_base!$I$23,0))*parametros_manuales!$F$95+parametros_manuales!$E$25*(datos_base!$I$3+datos_base!$I$19+IF(parametros_manuales!$H$25="Todos",datos_base!$I$10+datos_base!$I$24,0))*parametros_manuales!$F$100+parametros_manuales!$F$25*(datos_base!$I$4+datos_base!$I$20+IF(parametros_manuales!$H$25="Todos",datos_base!$I$11+datos_base!$I$25,0))*parametros_manuales!$F$105+parametros_manuales!$G$25*(datos_base!$I$5+datos_base!$I$21+IF(parametros_manuales!$H$25="Todos",datos_base!$I$12+datos_base!$I$26,0))*parametros_manuales!$F$110)*parametros_manuales!$I$25*parametros_manuales!$J$25</f>
        <v>15898.00171512</v>
      </c>
      <c r="G197" s="9" t="n">
        <f aca="false">(parametros_manuales!$D$25*(datos_base!$I$2+datos_base!$I$18+IF(parametros_manuales!$H$25="Todos",datos_base!$I$9+datos_base!$I$23,0))*parametros_manuales!$G$95+parametros_manuales!$E$25*(datos_base!$I$3+datos_base!$I$19+IF(parametros_manuales!$H$25="Todos",datos_base!$I$10+datos_base!$I$24,0))*parametros_manuales!$G$100+parametros_manuales!$F$25*(datos_base!$I$4+datos_base!$I$20+IF(parametros_manuales!$H$25="Todos",datos_base!$I$11+datos_base!$I$25,0))*parametros_manuales!$G$105+parametros_manuales!$G$25*(datos_base!$I$5+datos_base!$I$21+IF(parametros_manuales!$H$25="Todos",datos_base!$I$12+datos_base!$I$26,0))*parametros_manuales!$G$110)*parametros_manuales!$I$25*parametros_manuales!$J$25</f>
        <v>15587.458826275</v>
      </c>
      <c r="H197" s="9" t="n">
        <f aca="false">(parametros_manuales!$D$25*(datos_base!$I$2+datos_base!$I$18+IF(parametros_manuales!$H$25="Todos",datos_base!$I$9+datos_base!$I$23,0))*parametros_manuales!$H$95+parametros_manuales!$E$25*(datos_base!$I$3+datos_base!$I$19+IF(parametros_manuales!$H$25="Todos",datos_base!$I$10+datos_base!$I$24,0))*parametros_manuales!$H$100+parametros_manuales!$F$25*(datos_base!$I$4+datos_base!$I$20+IF(parametros_manuales!$H$25="Todos",datos_base!$I$11+datos_base!$I$25,0))*parametros_manuales!$H$105+parametros_manuales!$G$25*(datos_base!$I$5+datos_base!$I$21+IF(parametros_manuales!$H$25="Todos",datos_base!$I$12+datos_base!$I$26,0))*parametros_manuales!$H$110)*parametros_manuales!$I$25*parametros_manuales!$J$25</f>
        <v>16678.66710752</v>
      </c>
      <c r="I197" s="9" t="n">
        <f aca="false">(parametros_manuales!$D$25*(datos_base!$I$2+datos_base!$I$18+IF(parametros_manuales!$H$25="Todos",datos_base!$I$9+datos_base!$I$23,0))*parametros_manuales!$I$95+parametros_manuales!$E$25*(datos_base!$I$3+datos_base!$I$19+IF(parametros_manuales!$H$25="Todos",datos_base!$I$10+datos_base!$I$24,0))*parametros_manuales!$I$100+parametros_manuales!$F$25*(datos_base!$I$4+datos_base!$I$20+IF(parametros_manuales!$H$25="Todos",datos_base!$I$11+datos_base!$I$25,0))*parametros_manuales!$I$105+parametros_manuales!$G$25*(datos_base!$I$5+datos_base!$I$21+IF(parametros_manuales!$H$25="Todos",datos_base!$I$12+datos_base!$I$26,0))*parametros_manuales!$I$110)*parametros_manuales!$I$25*parametros_manuales!$J$25</f>
        <v>19020.66328472</v>
      </c>
      <c r="J197" s="9" t="n">
        <f aca="false">(parametros_manuales!$D$25*(datos_base!$I$2+datos_base!$I$18+IF(parametros_manuales!$H$25="Todos",datos_base!$I$9+datos_base!$I$23,0))*parametros_manuales!$J$95+parametros_manuales!$E$25*(datos_base!$I$3+datos_base!$I$19+IF(parametros_manuales!$H$25="Todos",datos_base!$I$10+datos_base!$I$24,0))*parametros_manuales!$J$100+parametros_manuales!$F$25*(datos_base!$I$4+datos_base!$I$20+IF(parametros_manuales!$H$25="Todos",datos_base!$I$11+datos_base!$I$25,0))*parametros_manuales!$J$105+parametros_manuales!$G$25*(datos_base!$I$5+datos_base!$I$21+IF(parametros_manuales!$H$25="Todos",datos_base!$I$12+datos_base!$I$26,0))*parametros_manuales!$J$110)*parametros_manuales!$I$25*parametros_manuales!$J$25</f>
        <v>19020.66328472</v>
      </c>
      <c r="K197" s="9" t="n">
        <f aca="false">(parametros_manuales!$D$25*(datos_base!$I$2+datos_base!$I$18+IF(parametros_manuales!$H$25="Todos",datos_base!$I$9+datos_base!$I$23,0))*parametros_manuales!$K$95+parametros_manuales!$E$25*(datos_base!$I$3+datos_base!$I$19+IF(parametros_manuales!$H$25="Todos",datos_base!$I$10+datos_base!$I$24,0))*parametros_manuales!$K$100+parametros_manuales!$F$25*(datos_base!$I$4+datos_base!$I$20+IF(parametros_manuales!$H$25="Todos",datos_base!$I$11+datos_base!$I$25,0))*parametros_manuales!$K$105+parametros_manuales!$G$25*(datos_base!$I$5+datos_base!$I$21+IF(parametros_manuales!$H$25="Todos",datos_base!$I$12+datos_base!$I$26,0))*parametros_manuales!$K$110)*parametros_manuales!$I$25*parametros_manuales!$J$25</f>
        <v>19331.206173565</v>
      </c>
      <c r="L197" s="9" t="n">
        <f aca="false">(parametros_manuales!$D$25*(datos_base!$I$2+datos_base!$I$18+IF(parametros_manuales!$H$25="Todos",datos_base!$I$9+datos_base!$I$23,0))*parametros_manuales!$L$95+parametros_manuales!$E$25*(datos_base!$I$3+datos_base!$I$19+IF(parametros_manuales!$H$25="Todos",datos_base!$I$10+datos_base!$I$24,0))*parametros_manuales!$L$100+parametros_manuales!$F$25*(datos_base!$I$4+datos_base!$I$20+IF(parametros_manuales!$H$25="Todos",datos_base!$I$11+datos_base!$I$25,0))*parametros_manuales!$L$105+parametros_manuales!$G$25*(datos_base!$I$5+datos_base!$I$21+IF(parametros_manuales!$H$25="Todos",datos_base!$I$12+datos_base!$I$26,0))*parametros_manuales!$L$110)*parametros_manuales!$I$25*parametros_manuales!$J$25</f>
        <v>19641.74906241</v>
      </c>
      <c r="M197" s="9" t="n">
        <f aca="false">(parametros_manuales!$D$25*(datos_base!$I$2+datos_base!$I$18+IF(parametros_manuales!$H$25="Todos",datos_base!$I$9+datos_base!$I$23,0))*parametros_manuales!$M$95+parametros_manuales!$E$25*(datos_base!$I$3+datos_base!$I$19+IF(parametros_manuales!$H$25="Todos",datos_base!$I$10+datos_base!$I$24,0))*parametros_manuales!$M$100+parametros_manuales!$F$25*(datos_base!$I$4+datos_base!$I$20+IF(parametros_manuales!$H$25="Todos",datos_base!$I$11+datos_base!$I$25,0))*parametros_manuales!$M$105+parametros_manuales!$G$25*(datos_base!$I$5+datos_base!$I$21+IF(parametros_manuales!$H$25="Todos",datos_base!$I$12+datos_base!$I$26,0))*parametros_manuales!$M$110)*parametros_manuales!$I$25*parametros_manuales!$J$25</f>
        <v>19641.74906241</v>
      </c>
      <c r="N197" s="9" t="n">
        <f aca="false">SUM(B197:M197)</f>
        <v>218241.656249</v>
      </c>
      <c r="O197" s="9" t="n">
        <f aca="false">MAX(B197:M197)</f>
        <v>19641.74906241</v>
      </c>
      <c r="P197" s="43" t="n">
        <f aca="false">O197/(parametros_manuales!$B$7)</f>
        <v>130.9449937494</v>
      </c>
      <c r="Q197" s="8" t="str">
        <f aca="false">IF(O197=0,"-",INDEX($B$190:$M$190,MATCH(O197,B197:M197,0)))</f>
        <v>Ene</v>
      </c>
    </row>
    <row r="198" customFormat="false" ht="14.25" hidden="false" customHeight="true" outlineLevel="0" collapsed="false">
      <c r="A198" s="8" t="str">
        <f aca="false">parametros_manuales!$B$26</f>
        <v>Cilindrado</v>
      </c>
      <c r="B198" s="9" t="n">
        <f aca="false">(parametros_manuales!$D$26*(datos_base!$I$2+datos_base!$I$18+IF(parametros_manuales!$H$26="Todos",datos_base!$I$9+datos_base!$I$23,0))*parametros_manuales!$B$95+parametros_manuales!$E$26*(datos_base!$I$3+datos_base!$I$19+IF(parametros_manuales!$H$26="Todos",datos_base!$I$10+datos_base!$I$24,0))*parametros_manuales!$B$100+parametros_manuales!$F$26*(datos_base!$I$4+datos_base!$I$20+IF(parametros_manuales!$H$26="Todos",datos_base!$I$11+datos_base!$I$25,0))*parametros_manuales!$B$105+parametros_manuales!$G$26*(datos_base!$I$5+datos_base!$I$21+IF(parametros_manuales!$H$26="Todos",datos_base!$I$12+datos_base!$I$26,0))*parametros_manuales!$B$110)*parametros_manuales!$I$26*parametros_manuales!$J$26</f>
        <v>5589.77199921</v>
      </c>
      <c r="C198" s="9" t="n">
        <f aca="false">(parametros_manuales!$D$26*(datos_base!$I$2+datos_base!$I$18+IF(parametros_manuales!$H$26="Todos",datos_base!$I$9+datos_base!$I$23,0))*parametros_manuales!$C$95+parametros_manuales!$E$26*(datos_base!$I$3+datos_base!$I$19+IF(parametros_manuales!$H$26="Todos",datos_base!$I$10+datos_base!$I$24,0))*parametros_manuales!$C$100+parametros_manuales!$F$26*(datos_base!$I$4+datos_base!$I$20+IF(parametros_manuales!$H$26="Todos",datos_base!$I$11+datos_base!$I$25,0))*parametros_manuales!$C$105+parametros_manuales!$G$26*(datos_base!$I$5+datos_base!$I$21+IF(parametros_manuales!$H$26="Todos",datos_base!$I$12+datos_base!$I$26,0))*parametros_manuales!$C$110)*parametros_manuales!$I$26*parametros_manuales!$J$26</f>
        <v>4968.68622152</v>
      </c>
      <c r="D198" s="9" t="n">
        <f aca="false">(parametros_manuales!$D$26*(datos_base!$I$2+datos_base!$I$18+IF(parametros_manuales!$H$26="Todos",datos_base!$I$9+datos_base!$I$23,0))*parametros_manuales!$D$95+parametros_manuales!$E$26*(datos_base!$I$3+datos_base!$I$19+IF(parametros_manuales!$H$26="Todos",datos_base!$I$10+datos_base!$I$24,0))*parametros_manuales!$D$100+parametros_manuales!$F$26*(datos_base!$I$4+datos_base!$I$20+IF(parametros_manuales!$H$26="Todos",datos_base!$I$11+datos_base!$I$25,0))*parametros_manuales!$D$105+parametros_manuales!$G$26*(datos_base!$I$5+datos_base!$I$21+IF(parametros_manuales!$H$26="Todos",datos_base!$I$12+datos_base!$I$26,0))*parametros_manuales!$D$110)*parametros_manuales!$I$26*parametros_manuales!$J$26</f>
        <v>5279.229110365</v>
      </c>
      <c r="E198" s="9" t="n">
        <f aca="false">(parametros_manuales!$D$26*(datos_base!$I$2+datos_base!$I$18+IF(parametros_manuales!$H$26="Todos",datos_base!$I$9+datos_base!$I$23,0))*parametros_manuales!$E$95+parametros_manuales!$E$26*(datos_base!$I$3+datos_base!$I$19+IF(parametros_manuales!$H$26="Todos",datos_base!$I$10+datos_base!$I$24,0))*parametros_manuales!$E$100+parametros_manuales!$F$26*(datos_base!$I$4+datos_base!$I$20+IF(parametros_manuales!$H$26="Todos",datos_base!$I$11+datos_base!$I$25,0))*parametros_manuales!$E$105+parametros_manuales!$G$26*(datos_base!$I$5+datos_base!$I$21+IF(parametros_manuales!$H$26="Todos",datos_base!$I$12+datos_base!$I$26,0))*parametros_manuales!$E$110)*parametros_manuales!$I$26*parametros_manuales!$J$26</f>
        <v>5279.229110365</v>
      </c>
      <c r="F198" s="9" t="n">
        <f aca="false">(parametros_manuales!$D$26*(datos_base!$I$2+datos_base!$I$18+IF(parametros_manuales!$H$26="Todos",datos_base!$I$9+datos_base!$I$23,0))*parametros_manuales!$F$95+parametros_manuales!$E$26*(datos_base!$I$3+datos_base!$I$19+IF(parametros_manuales!$H$26="Todos",datos_base!$I$10+datos_base!$I$24,0))*parametros_manuales!$F$100+parametros_manuales!$F$26*(datos_base!$I$4+datos_base!$I$20+IF(parametros_manuales!$H$26="Todos",datos_base!$I$11+datos_base!$I$25,0))*parametros_manuales!$F$105+parametros_manuales!$G$26*(datos_base!$I$5+datos_base!$I$21+IF(parametros_manuales!$H$26="Todos",datos_base!$I$12+datos_base!$I$26,0))*parametros_manuales!$F$110)*parametros_manuales!$I$26*parametros_manuales!$J$26</f>
        <v>4968.68622152</v>
      </c>
      <c r="G198" s="9" t="n">
        <f aca="false">(parametros_manuales!$D$26*(datos_base!$I$2+datos_base!$I$18+IF(parametros_manuales!$H$26="Todos",datos_base!$I$9+datos_base!$I$23,0))*parametros_manuales!$G$95+parametros_manuales!$E$26*(datos_base!$I$3+datos_base!$I$19+IF(parametros_manuales!$H$26="Todos",datos_base!$I$10+datos_base!$I$24,0))*parametros_manuales!$G$100+parametros_manuales!$F$26*(datos_base!$I$4+datos_base!$I$20+IF(parametros_manuales!$H$26="Todos",datos_base!$I$11+datos_base!$I$25,0))*parametros_manuales!$G$105+parametros_manuales!$G$26*(datos_base!$I$5+datos_base!$I$21+IF(parametros_manuales!$H$26="Todos",datos_base!$I$12+datos_base!$I$26,0))*parametros_manuales!$G$110)*parametros_manuales!$I$26*parametros_manuales!$J$26</f>
        <v>4658.143332675</v>
      </c>
      <c r="H198" s="9" t="n">
        <f aca="false">(parametros_manuales!$D$26*(datos_base!$I$2+datos_base!$I$18+IF(parametros_manuales!$H$26="Todos",datos_base!$I$9+datos_base!$I$23,0))*parametros_manuales!$H$95+parametros_manuales!$E$26*(datos_base!$I$3+datos_base!$I$19+IF(parametros_manuales!$H$26="Todos",datos_base!$I$10+datos_base!$I$24,0))*parametros_manuales!$H$100+parametros_manuales!$F$26*(datos_base!$I$4+datos_base!$I$20+IF(parametros_manuales!$H$26="Todos",datos_base!$I$11+datos_base!$I$25,0))*parametros_manuales!$H$105+parametros_manuales!$G$26*(datos_base!$I$5+datos_base!$I$21+IF(parametros_manuales!$H$26="Todos",datos_base!$I$12+datos_base!$I$26,0))*parametros_manuales!$H$110)*parametros_manuales!$I$26*parametros_manuales!$J$26</f>
        <v>4968.68622152</v>
      </c>
      <c r="I198" s="9" t="n">
        <f aca="false">(parametros_manuales!$D$26*(datos_base!$I$2+datos_base!$I$18+IF(parametros_manuales!$H$26="Todos",datos_base!$I$9+datos_base!$I$23,0))*parametros_manuales!$I$95+parametros_manuales!$E$26*(datos_base!$I$3+datos_base!$I$19+IF(parametros_manuales!$H$26="Todos",datos_base!$I$10+datos_base!$I$24,0))*parametros_manuales!$I$100+parametros_manuales!$F$26*(datos_base!$I$4+datos_base!$I$20+IF(parametros_manuales!$H$26="Todos",datos_base!$I$11+datos_base!$I$25,0))*parametros_manuales!$I$105+parametros_manuales!$G$26*(datos_base!$I$5+datos_base!$I$21+IF(parametros_manuales!$H$26="Todos",datos_base!$I$12+datos_base!$I$26,0))*parametros_manuales!$I$110)*parametros_manuales!$I$26*parametros_manuales!$J$26</f>
        <v>4968.68622152</v>
      </c>
      <c r="J198" s="9" t="n">
        <f aca="false">(parametros_manuales!$D$26*(datos_base!$I$2+datos_base!$I$18+IF(parametros_manuales!$H$26="Todos",datos_base!$I$9+datos_base!$I$23,0))*parametros_manuales!$J$95+parametros_manuales!$E$26*(datos_base!$I$3+datos_base!$I$19+IF(parametros_manuales!$H$26="Todos",datos_base!$I$10+datos_base!$I$24,0))*parametros_manuales!$J$100+parametros_manuales!$F$26*(datos_base!$I$4+datos_base!$I$20+IF(parametros_manuales!$H$26="Todos",datos_base!$I$11+datos_base!$I$25,0))*parametros_manuales!$J$105+parametros_manuales!$G$26*(datos_base!$I$5+datos_base!$I$21+IF(parametros_manuales!$H$26="Todos",datos_base!$I$12+datos_base!$I$26,0))*parametros_manuales!$J$110)*parametros_manuales!$I$26*parametros_manuales!$J$26</f>
        <v>4968.68622152</v>
      </c>
      <c r="K198" s="9" t="n">
        <f aca="false">(parametros_manuales!$D$26*(datos_base!$I$2+datos_base!$I$18+IF(parametros_manuales!$H$26="Todos",datos_base!$I$9+datos_base!$I$23,0))*parametros_manuales!$K$95+parametros_manuales!$E$26*(datos_base!$I$3+datos_base!$I$19+IF(parametros_manuales!$H$26="Todos",datos_base!$I$10+datos_base!$I$24,0))*parametros_manuales!$K$100+parametros_manuales!$F$26*(datos_base!$I$4+datos_base!$I$20+IF(parametros_manuales!$H$26="Todos",datos_base!$I$11+datos_base!$I$25,0))*parametros_manuales!$K$105+parametros_manuales!$G$26*(datos_base!$I$5+datos_base!$I$21+IF(parametros_manuales!$H$26="Todos",datos_base!$I$12+datos_base!$I$26,0))*parametros_manuales!$K$110)*parametros_manuales!$I$26*parametros_manuales!$J$26</f>
        <v>5279.229110365</v>
      </c>
      <c r="L198" s="9" t="n">
        <f aca="false">(parametros_manuales!$D$26*(datos_base!$I$2+datos_base!$I$18+IF(parametros_manuales!$H$26="Todos",datos_base!$I$9+datos_base!$I$23,0))*parametros_manuales!$L$95+parametros_manuales!$E$26*(datos_base!$I$3+datos_base!$I$19+IF(parametros_manuales!$H$26="Todos",datos_base!$I$10+datos_base!$I$24,0))*parametros_manuales!$L$100+parametros_manuales!$F$26*(datos_base!$I$4+datos_base!$I$20+IF(parametros_manuales!$H$26="Todos",datos_base!$I$11+datos_base!$I$25,0))*parametros_manuales!$L$105+parametros_manuales!$G$26*(datos_base!$I$5+datos_base!$I$21+IF(parametros_manuales!$H$26="Todos",datos_base!$I$12+datos_base!$I$26,0))*parametros_manuales!$L$110)*parametros_manuales!$I$26*parametros_manuales!$J$26</f>
        <v>5589.77199921</v>
      </c>
      <c r="M198" s="9" t="n">
        <f aca="false">(parametros_manuales!$D$26*(datos_base!$I$2+datos_base!$I$18+IF(parametros_manuales!$H$26="Todos",datos_base!$I$9+datos_base!$I$23,0))*parametros_manuales!$M$95+parametros_manuales!$E$26*(datos_base!$I$3+datos_base!$I$19+IF(parametros_manuales!$H$26="Todos",datos_base!$I$10+datos_base!$I$24,0))*parametros_manuales!$M$100+parametros_manuales!$F$26*(datos_base!$I$4+datos_base!$I$20+IF(parametros_manuales!$H$26="Todos",datos_base!$I$11+datos_base!$I$25,0))*parametros_manuales!$M$105+parametros_manuales!$G$26*(datos_base!$I$5+datos_base!$I$21+IF(parametros_manuales!$H$26="Todos",datos_base!$I$12+datos_base!$I$26,0))*parametros_manuales!$M$110)*parametros_manuales!$I$26*parametros_manuales!$J$26</f>
        <v>5589.77199921</v>
      </c>
      <c r="N198" s="9" t="n">
        <f aca="false">SUM(B198:M198)</f>
        <v>62108.577769</v>
      </c>
      <c r="O198" s="9" t="n">
        <f aca="false">MAX(B198:M198)</f>
        <v>5589.77199921</v>
      </c>
      <c r="P198" s="43" t="n">
        <f aca="false">O198/(parametros_manuales!$B$7)</f>
        <v>37.2651466614</v>
      </c>
      <c r="Q198" s="8" t="str">
        <f aca="false">IF(O198=0,"-",INDEX($B$190:$M$190,MATCH(O198,B198:M198,0)))</f>
        <v>Ene</v>
      </c>
    </row>
    <row r="199" customFormat="false" ht="14.25" hidden="false" customHeight="true" outlineLevel="0" collapsed="false">
      <c r="A199" s="8" t="str">
        <f aca="false">parametros_manuales!$B$27</f>
        <v>Soldadura longitudinal</v>
      </c>
      <c r="B199" s="9" t="n">
        <f aca="false">(parametros_manuales!$D$27*(datos_base!$I$2+datos_base!$I$18+IF(parametros_manuales!$H$27="Todos",datos_base!$I$9+datos_base!$I$23,0))*parametros_manuales!$B$95+parametros_manuales!$E$27*(datos_base!$I$3+datos_base!$I$19+IF(parametros_manuales!$H$27="Todos",datos_base!$I$10+datos_base!$I$24,0))*parametros_manuales!$B$100+parametros_manuales!$F$27*(datos_base!$I$4+datos_base!$I$20+IF(parametros_manuales!$H$27="Todos",datos_base!$I$11+datos_base!$I$25,0))*parametros_manuales!$B$105+parametros_manuales!$G$27*(datos_base!$I$5+datos_base!$I$21+IF(parametros_manuales!$H$27="Todos",datos_base!$I$12+datos_base!$I$26,0))*parametros_manuales!$B$110)*parametros_manuales!$I$27*parametros_manuales!$J$27</f>
        <v>5589.77199921</v>
      </c>
      <c r="C199" s="9" t="n">
        <f aca="false">(parametros_manuales!$D$27*(datos_base!$I$2+datos_base!$I$18+IF(parametros_manuales!$H$27="Todos",datos_base!$I$9+datos_base!$I$23,0))*parametros_manuales!$C$95+parametros_manuales!$E$27*(datos_base!$I$3+datos_base!$I$19+IF(parametros_manuales!$H$27="Todos",datos_base!$I$10+datos_base!$I$24,0))*parametros_manuales!$C$100+parametros_manuales!$F$27*(datos_base!$I$4+datos_base!$I$20+IF(parametros_manuales!$H$27="Todos",datos_base!$I$11+datos_base!$I$25,0))*parametros_manuales!$C$105+parametros_manuales!$G$27*(datos_base!$I$5+datos_base!$I$21+IF(parametros_manuales!$H$27="Todos",datos_base!$I$12+datos_base!$I$26,0))*parametros_manuales!$C$110)*parametros_manuales!$I$27*parametros_manuales!$J$27</f>
        <v>4968.68622152</v>
      </c>
      <c r="D199" s="9" t="n">
        <f aca="false">(parametros_manuales!$D$27*(datos_base!$I$2+datos_base!$I$18+IF(parametros_manuales!$H$27="Todos",datos_base!$I$9+datos_base!$I$23,0))*parametros_manuales!$D$95+parametros_manuales!$E$27*(datos_base!$I$3+datos_base!$I$19+IF(parametros_manuales!$H$27="Todos",datos_base!$I$10+datos_base!$I$24,0))*parametros_manuales!$D$100+parametros_manuales!$F$27*(datos_base!$I$4+datos_base!$I$20+IF(parametros_manuales!$H$27="Todos",datos_base!$I$11+datos_base!$I$25,0))*parametros_manuales!$D$105+parametros_manuales!$G$27*(datos_base!$I$5+datos_base!$I$21+IF(parametros_manuales!$H$27="Todos",datos_base!$I$12+datos_base!$I$26,0))*parametros_manuales!$D$110)*parametros_manuales!$I$27*parametros_manuales!$J$27</f>
        <v>5279.229110365</v>
      </c>
      <c r="E199" s="9" t="n">
        <f aca="false">(parametros_manuales!$D$27*(datos_base!$I$2+datos_base!$I$18+IF(parametros_manuales!$H$27="Todos",datos_base!$I$9+datos_base!$I$23,0))*parametros_manuales!$E$95+parametros_manuales!$E$27*(datos_base!$I$3+datos_base!$I$19+IF(parametros_manuales!$H$27="Todos",datos_base!$I$10+datos_base!$I$24,0))*parametros_manuales!$E$100+parametros_manuales!$F$27*(datos_base!$I$4+datos_base!$I$20+IF(parametros_manuales!$H$27="Todos",datos_base!$I$11+datos_base!$I$25,0))*parametros_manuales!$E$105+parametros_manuales!$G$27*(datos_base!$I$5+datos_base!$I$21+IF(parametros_manuales!$H$27="Todos",datos_base!$I$12+datos_base!$I$26,0))*parametros_manuales!$E$110)*parametros_manuales!$I$27*parametros_manuales!$J$27</f>
        <v>5279.229110365</v>
      </c>
      <c r="F199" s="9" t="n">
        <f aca="false">(parametros_manuales!$D$27*(datos_base!$I$2+datos_base!$I$18+IF(parametros_manuales!$H$27="Todos",datos_base!$I$9+datos_base!$I$23,0))*parametros_manuales!$F$95+parametros_manuales!$E$27*(datos_base!$I$3+datos_base!$I$19+IF(parametros_manuales!$H$27="Todos",datos_base!$I$10+datos_base!$I$24,0))*parametros_manuales!$F$100+parametros_manuales!$F$27*(datos_base!$I$4+datos_base!$I$20+IF(parametros_manuales!$H$27="Todos",datos_base!$I$11+datos_base!$I$25,0))*parametros_manuales!$F$105+parametros_manuales!$G$27*(datos_base!$I$5+datos_base!$I$21+IF(parametros_manuales!$H$27="Todos",datos_base!$I$12+datos_base!$I$26,0))*parametros_manuales!$F$110)*parametros_manuales!$I$27*parametros_manuales!$J$27</f>
        <v>4968.68622152</v>
      </c>
      <c r="G199" s="9" t="n">
        <f aca="false">(parametros_manuales!$D$27*(datos_base!$I$2+datos_base!$I$18+IF(parametros_manuales!$H$27="Todos",datos_base!$I$9+datos_base!$I$23,0))*parametros_manuales!$G$95+parametros_manuales!$E$27*(datos_base!$I$3+datos_base!$I$19+IF(parametros_manuales!$H$27="Todos",datos_base!$I$10+datos_base!$I$24,0))*parametros_manuales!$G$100+parametros_manuales!$F$27*(datos_base!$I$4+datos_base!$I$20+IF(parametros_manuales!$H$27="Todos",datos_base!$I$11+datos_base!$I$25,0))*parametros_manuales!$G$105+parametros_manuales!$G$27*(datos_base!$I$5+datos_base!$I$21+IF(parametros_manuales!$H$27="Todos",datos_base!$I$12+datos_base!$I$26,0))*parametros_manuales!$G$110)*parametros_manuales!$I$27*parametros_manuales!$J$27</f>
        <v>4658.143332675</v>
      </c>
      <c r="H199" s="9" t="n">
        <f aca="false">(parametros_manuales!$D$27*(datos_base!$I$2+datos_base!$I$18+IF(parametros_manuales!$H$27="Todos",datos_base!$I$9+datos_base!$I$23,0))*parametros_manuales!$H$95+parametros_manuales!$E$27*(datos_base!$I$3+datos_base!$I$19+IF(parametros_manuales!$H$27="Todos",datos_base!$I$10+datos_base!$I$24,0))*parametros_manuales!$H$100+parametros_manuales!$F$27*(datos_base!$I$4+datos_base!$I$20+IF(parametros_manuales!$H$27="Todos",datos_base!$I$11+datos_base!$I$25,0))*parametros_manuales!$H$105+parametros_manuales!$G$27*(datos_base!$I$5+datos_base!$I$21+IF(parametros_manuales!$H$27="Todos",datos_base!$I$12+datos_base!$I$26,0))*parametros_manuales!$H$110)*parametros_manuales!$I$27*parametros_manuales!$J$27</f>
        <v>4968.68622152</v>
      </c>
      <c r="I199" s="9" t="n">
        <f aca="false">(parametros_manuales!$D$27*(datos_base!$I$2+datos_base!$I$18+IF(parametros_manuales!$H$27="Todos",datos_base!$I$9+datos_base!$I$23,0))*parametros_manuales!$I$95+parametros_manuales!$E$27*(datos_base!$I$3+datos_base!$I$19+IF(parametros_manuales!$H$27="Todos",datos_base!$I$10+datos_base!$I$24,0))*parametros_manuales!$I$100+parametros_manuales!$F$27*(datos_base!$I$4+datos_base!$I$20+IF(parametros_manuales!$H$27="Todos",datos_base!$I$11+datos_base!$I$25,0))*parametros_manuales!$I$105+parametros_manuales!$G$27*(datos_base!$I$5+datos_base!$I$21+IF(parametros_manuales!$H$27="Todos",datos_base!$I$12+datos_base!$I$26,0))*parametros_manuales!$I$110)*parametros_manuales!$I$27*parametros_manuales!$J$27</f>
        <v>4968.68622152</v>
      </c>
      <c r="J199" s="9" t="n">
        <f aca="false">(parametros_manuales!$D$27*(datos_base!$I$2+datos_base!$I$18+IF(parametros_manuales!$H$27="Todos",datos_base!$I$9+datos_base!$I$23,0))*parametros_manuales!$J$95+parametros_manuales!$E$27*(datos_base!$I$3+datos_base!$I$19+IF(parametros_manuales!$H$27="Todos",datos_base!$I$10+datos_base!$I$24,0))*parametros_manuales!$J$100+parametros_manuales!$F$27*(datos_base!$I$4+datos_base!$I$20+IF(parametros_manuales!$H$27="Todos",datos_base!$I$11+datos_base!$I$25,0))*parametros_manuales!$J$105+parametros_manuales!$G$27*(datos_base!$I$5+datos_base!$I$21+IF(parametros_manuales!$H$27="Todos",datos_base!$I$12+datos_base!$I$26,0))*parametros_manuales!$J$110)*parametros_manuales!$I$27*parametros_manuales!$J$27</f>
        <v>4968.68622152</v>
      </c>
      <c r="K199" s="9" t="n">
        <f aca="false">(parametros_manuales!$D$27*(datos_base!$I$2+datos_base!$I$18+IF(parametros_manuales!$H$27="Todos",datos_base!$I$9+datos_base!$I$23,0))*parametros_manuales!$K$95+parametros_manuales!$E$27*(datos_base!$I$3+datos_base!$I$19+IF(parametros_manuales!$H$27="Todos",datos_base!$I$10+datos_base!$I$24,0))*parametros_manuales!$K$100+parametros_manuales!$F$27*(datos_base!$I$4+datos_base!$I$20+IF(parametros_manuales!$H$27="Todos",datos_base!$I$11+datos_base!$I$25,0))*parametros_manuales!$K$105+parametros_manuales!$G$27*(datos_base!$I$5+datos_base!$I$21+IF(parametros_manuales!$H$27="Todos",datos_base!$I$12+datos_base!$I$26,0))*parametros_manuales!$K$110)*parametros_manuales!$I$27*parametros_manuales!$J$27</f>
        <v>5279.229110365</v>
      </c>
      <c r="L199" s="9" t="n">
        <f aca="false">(parametros_manuales!$D$27*(datos_base!$I$2+datos_base!$I$18+IF(parametros_manuales!$H$27="Todos",datos_base!$I$9+datos_base!$I$23,0))*parametros_manuales!$L$95+parametros_manuales!$E$27*(datos_base!$I$3+datos_base!$I$19+IF(parametros_manuales!$H$27="Todos",datos_base!$I$10+datos_base!$I$24,0))*parametros_manuales!$L$100+parametros_manuales!$F$27*(datos_base!$I$4+datos_base!$I$20+IF(parametros_manuales!$H$27="Todos",datos_base!$I$11+datos_base!$I$25,0))*parametros_manuales!$L$105+parametros_manuales!$G$27*(datos_base!$I$5+datos_base!$I$21+IF(parametros_manuales!$H$27="Todos",datos_base!$I$12+datos_base!$I$26,0))*parametros_manuales!$L$110)*parametros_manuales!$I$27*parametros_manuales!$J$27</f>
        <v>5589.77199921</v>
      </c>
      <c r="M199" s="9" t="n">
        <f aca="false">(parametros_manuales!$D$27*(datos_base!$I$2+datos_base!$I$18+IF(parametros_manuales!$H$27="Todos",datos_base!$I$9+datos_base!$I$23,0))*parametros_manuales!$M$95+parametros_manuales!$E$27*(datos_base!$I$3+datos_base!$I$19+IF(parametros_manuales!$H$27="Todos",datos_base!$I$10+datos_base!$I$24,0))*parametros_manuales!$M$100+parametros_manuales!$F$27*(datos_base!$I$4+datos_base!$I$20+IF(parametros_manuales!$H$27="Todos",datos_base!$I$11+datos_base!$I$25,0))*parametros_manuales!$M$105+parametros_manuales!$G$27*(datos_base!$I$5+datos_base!$I$21+IF(parametros_manuales!$H$27="Todos",datos_base!$I$12+datos_base!$I$26,0))*parametros_manuales!$M$110)*parametros_manuales!$I$27*parametros_manuales!$J$27</f>
        <v>5589.77199921</v>
      </c>
      <c r="N199" s="9" t="n">
        <f aca="false">SUM(B199:M199)</f>
        <v>62108.577769</v>
      </c>
      <c r="O199" s="9" t="n">
        <f aca="false">MAX(B199:M199)</f>
        <v>5589.77199921</v>
      </c>
      <c r="P199" s="43" t="n">
        <f aca="false">O199/(parametros_manuales!$B$7)</f>
        <v>37.2651466614</v>
      </c>
      <c r="Q199" s="8" t="str">
        <f aca="false">IF(O199=0,"-",INDEX($B$190:$M$190,MATCH(O199,B199:M199,0)))</f>
        <v>Ene</v>
      </c>
    </row>
    <row r="200" customFormat="false" ht="14.25" hidden="false" customHeight="true" outlineLevel="0" collapsed="false">
      <c r="A200" s="8" t="str">
        <f aca="false">parametros_manuales!$B$28</f>
        <v>Encastre de fondo</v>
      </c>
      <c r="B200" s="9" t="n">
        <f aca="false">(parametros_manuales!$D$28*(datos_base!$I$2+datos_base!$I$18+IF(parametros_manuales!$H$28="Todos",datos_base!$I$9+datos_base!$I$23,0))*parametros_manuales!$B$95+parametros_manuales!$E$28*(datos_base!$I$3+datos_base!$I$19+IF(parametros_manuales!$H$28="Todos",datos_base!$I$10+datos_base!$I$24,0))*parametros_manuales!$B$100+parametros_manuales!$F$28*(datos_base!$I$4+datos_base!$I$20+IF(parametros_manuales!$H$28="Todos",datos_base!$I$11+datos_base!$I$25,0))*parametros_manuales!$B$105+parametros_manuales!$G$28*(datos_base!$I$5+datos_base!$I$21+IF(parametros_manuales!$H$28="Todos",datos_base!$I$12+datos_base!$I$26,0))*parametros_manuales!$B$110)*parametros_manuales!$I$28*parametros_manuales!$J$28</f>
        <v>19641.74906241</v>
      </c>
      <c r="C200" s="9" t="n">
        <f aca="false">(parametros_manuales!$D$28*(datos_base!$I$2+datos_base!$I$18+IF(parametros_manuales!$H$28="Todos",datos_base!$I$9+datos_base!$I$23,0))*parametros_manuales!$C$95+parametros_manuales!$E$28*(datos_base!$I$3+datos_base!$I$19+IF(parametros_manuales!$H$28="Todos",datos_base!$I$10+datos_base!$I$24,0))*parametros_manuales!$C$100+parametros_manuales!$F$28*(datos_base!$I$4+datos_base!$I$20+IF(parametros_manuales!$H$28="Todos",datos_base!$I$11+datos_base!$I$25,0))*parametros_manuales!$C$105+parametros_manuales!$G$28*(datos_base!$I$5+datos_base!$I$21+IF(parametros_manuales!$H$28="Todos",datos_base!$I$12+datos_base!$I$26,0))*parametros_manuales!$C$110)*parametros_manuales!$I$28*parametros_manuales!$J$28</f>
        <v>19020.66328472</v>
      </c>
      <c r="D200" s="9" t="n">
        <f aca="false">(parametros_manuales!$D$28*(datos_base!$I$2+datos_base!$I$18+IF(parametros_manuales!$H$28="Todos",datos_base!$I$9+datos_base!$I$23,0))*parametros_manuales!$D$95+parametros_manuales!$E$28*(datos_base!$I$3+datos_base!$I$19+IF(parametros_manuales!$H$28="Todos",datos_base!$I$10+datos_base!$I$24,0))*parametros_manuales!$D$100+parametros_manuales!$F$28*(datos_base!$I$4+datos_base!$I$20+IF(parametros_manuales!$H$28="Todos",datos_base!$I$11+datos_base!$I$25,0))*parametros_manuales!$D$105+parametros_manuales!$G$28*(datos_base!$I$5+datos_base!$I$21+IF(parametros_manuales!$H$28="Todos",datos_base!$I$12+datos_base!$I$26,0))*parametros_manuales!$D$110)*parametros_manuales!$I$28*parametros_manuales!$J$28</f>
        <v>17769.875388765</v>
      </c>
      <c r="E200" s="9" t="n">
        <f aca="false">(parametros_manuales!$D$28*(datos_base!$I$2+datos_base!$I$18+IF(parametros_manuales!$H$28="Todos",datos_base!$I$9+datos_base!$I$23,0))*parametros_manuales!$E$95+parametros_manuales!$E$28*(datos_base!$I$3+datos_base!$I$19+IF(parametros_manuales!$H$28="Todos",datos_base!$I$10+datos_base!$I$24,0))*parametros_manuales!$E$100+parametros_manuales!$F$28*(datos_base!$I$4+datos_base!$I$20+IF(parametros_manuales!$H$28="Todos",datos_base!$I$11+datos_base!$I$25,0))*parametros_manuales!$E$105+parametros_manuales!$G$28*(datos_base!$I$5+datos_base!$I$21+IF(parametros_manuales!$H$28="Todos",datos_base!$I$12+datos_base!$I$26,0))*parametros_manuales!$E$110)*parametros_manuales!$I$28*parametros_manuales!$J$28</f>
        <v>16989.209996365</v>
      </c>
      <c r="F200" s="9" t="n">
        <f aca="false">(parametros_manuales!$D$28*(datos_base!$I$2+datos_base!$I$18+IF(parametros_manuales!$H$28="Todos",datos_base!$I$9+datos_base!$I$23,0))*parametros_manuales!$F$95+parametros_manuales!$E$28*(datos_base!$I$3+datos_base!$I$19+IF(parametros_manuales!$H$28="Todos",datos_base!$I$10+datos_base!$I$24,0))*parametros_manuales!$F$100+parametros_manuales!$F$28*(datos_base!$I$4+datos_base!$I$20+IF(parametros_manuales!$H$28="Todos",datos_base!$I$11+datos_base!$I$25,0))*parametros_manuales!$F$105+parametros_manuales!$G$28*(datos_base!$I$5+datos_base!$I$21+IF(parametros_manuales!$H$28="Todos",datos_base!$I$12+datos_base!$I$26,0))*parametros_manuales!$F$110)*parametros_manuales!$I$28*parametros_manuales!$J$28</f>
        <v>15898.00171512</v>
      </c>
      <c r="G200" s="9" t="n">
        <f aca="false">(parametros_manuales!$D$28*(datos_base!$I$2+datos_base!$I$18+IF(parametros_manuales!$H$28="Todos",datos_base!$I$9+datos_base!$I$23,0))*parametros_manuales!$G$95+parametros_manuales!$E$28*(datos_base!$I$3+datos_base!$I$19+IF(parametros_manuales!$H$28="Todos",datos_base!$I$10+datos_base!$I$24,0))*parametros_manuales!$G$100+parametros_manuales!$F$28*(datos_base!$I$4+datos_base!$I$20+IF(parametros_manuales!$H$28="Todos",datos_base!$I$11+datos_base!$I$25,0))*parametros_manuales!$G$105+parametros_manuales!$G$28*(datos_base!$I$5+datos_base!$I$21+IF(parametros_manuales!$H$28="Todos",datos_base!$I$12+datos_base!$I$26,0))*parametros_manuales!$G$110)*parametros_manuales!$I$28*parametros_manuales!$J$28</f>
        <v>15587.458826275</v>
      </c>
      <c r="H200" s="9" t="n">
        <f aca="false">(parametros_manuales!$D$28*(datos_base!$I$2+datos_base!$I$18+IF(parametros_manuales!$H$28="Todos",datos_base!$I$9+datos_base!$I$23,0))*parametros_manuales!$H$95+parametros_manuales!$E$28*(datos_base!$I$3+datos_base!$I$19+IF(parametros_manuales!$H$28="Todos",datos_base!$I$10+datos_base!$I$24,0))*parametros_manuales!$H$100+parametros_manuales!$F$28*(datos_base!$I$4+datos_base!$I$20+IF(parametros_manuales!$H$28="Todos",datos_base!$I$11+datos_base!$I$25,0))*parametros_manuales!$H$105+parametros_manuales!$G$28*(datos_base!$I$5+datos_base!$I$21+IF(parametros_manuales!$H$28="Todos",datos_base!$I$12+datos_base!$I$26,0))*parametros_manuales!$H$110)*parametros_manuales!$I$28*parametros_manuales!$J$28</f>
        <v>16678.66710752</v>
      </c>
      <c r="I200" s="9" t="n">
        <f aca="false">(parametros_manuales!$D$28*(datos_base!$I$2+datos_base!$I$18+IF(parametros_manuales!$H$28="Todos",datos_base!$I$9+datos_base!$I$23,0))*parametros_manuales!$I$95+parametros_manuales!$E$28*(datos_base!$I$3+datos_base!$I$19+IF(parametros_manuales!$H$28="Todos",datos_base!$I$10+datos_base!$I$24,0))*parametros_manuales!$I$100+parametros_manuales!$F$28*(datos_base!$I$4+datos_base!$I$20+IF(parametros_manuales!$H$28="Todos",datos_base!$I$11+datos_base!$I$25,0))*parametros_manuales!$I$105+parametros_manuales!$G$28*(datos_base!$I$5+datos_base!$I$21+IF(parametros_manuales!$H$28="Todos",datos_base!$I$12+datos_base!$I$26,0))*parametros_manuales!$I$110)*parametros_manuales!$I$28*parametros_manuales!$J$28</f>
        <v>19020.66328472</v>
      </c>
      <c r="J200" s="9" t="n">
        <f aca="false">(parametros_manuales!$D$28*(datos_base!$I$2+datos_base!$I$18+IF(parametros_manuales!$H$28="Todos",datos_base!$I$9+datos_base!$I$23,0))*parametros_manuales!$J$95+parametros_manuales!$E$28*(datos_base!$I$3+datos_base!$I$19+IF(parametros_manuales!$H$28="Todos",datos_base!$I$10+datos_base!$I$24,0))*parametros_manuales!$J$100+parametros_manuales!$F$28*(datos_base!$I$4+datos_base!$I$20+IF(parametros_manuales!$H$28="Todos",datos_base!$I$11+datos_base!$I$25,0))*parametros_manuales!$J$105+parametros_manuales!$G$28*(datos_base!$I$5+datos_base!$I$21+IF(parametros_manuales!$H$28="Todos",datos_base!$I$12+datos_base!$I$26,0))*parametros_manuales!$J$110)*parametros_manuales!$I$28*parametros_manuales!$J$28</f>
        <v>19020.66328472</v>
      </c>
      <c r="K200" s="9" t="n">
        <f aca="false">(parametros_manuales!$D$28*(datos_base!$I$2+datos_base!$I$18+IF(parametros_manuales!$H$28="Todos",datos_base!$I$9+datos_base!$I$23,0))*parametros_manuales!$K$95+parametros_manuales!$E$28*(datos_base!$I$3+datos_base!$I$19+IF(parametros_manuales!$H$28="Todos",datos_base!$I$10+datos_base!$I$24,0))*parametros_manuales!$K$100+parametros_manuales!$F$28*(datos_base!$I$4+datos_base!$I$20+IF(parametros_manuales!$H$28="Todos",datos_base!$I$11+datos_base!$I$25,0))*parametros_manuales!$K$105+parametros_manuales!$G$28*(datos_base!$I$5+datos_base!$I$21+IF(parametros_manuales!$H$28="Todos",datos_base!$I$12+datos_base!$I$26,0))*parametros_manuales!$K$110)*parametros_manuales!$I$28*parametros_manuales!$J$28</f>
        <v>19331.206173565</v>
      </c>
      <c r="L200" s="9" t="n">
        <f aca="false">(parametros_manuales!$D$28*(datos_base!$I$2+datos_base!$I$18+IF(parametros_manuales!$H$28="Todos",datos_base!$I$9+datos_base!$I$23,0))*parametros_manuales!$L$95+parametros_manuales!$E$28*(datos_base!$I$3+datos_base!$I$19+IF(parametros_manuales!$H$28="Todos",datos_base!$I$10+datos_base!$I$24,0))*parametros_manuales!$L$100+parametros_manuales!$F$28*(datos_base!$I$4+datos_base!$I$20+IF(parametros_manuales!$H$28="Todos",datos_base!$I$11+datos_base!$I$25,0))*parametros_manuales!$L$105+parametros_manuales!$G$28*(datos_base!$I$5+datos_base!$I$21+IF(parametros_manuales!$H$28="Todos",datos_base!$I$12+datos_base!$I$26,0))*parametros_manuales!$L$110)*parametros_manuales!$I$28*parametros_manuales!$J$28</f>
        <v>19641.74906241</v>
      </c>
      <c r="M200" s="9" t="n">
        <f aca="false">(parametros_manuales!$D$28*(datos_base!$I$2+datos_base!$I$18+IF(parametros_manuales!$H$28="Todos",datos_base!$I$9+datos_base!$I$23,0))*parametros_manuales!$M$95+parametros_manuales!$E$28*(datos_base!$I$3+datos_base!$I$19+IF(parametros_manuales!$H$28="Todos",datos_base!$I$10+datos_base!$I$24,0))*parametros_manuales!$M$100+parametros_manuales!$F$28*(datos_base!$I$4+datos_base!$I$20+IF(parametros_manuales!$H$28="Todos",datos_base!$I$11+datos_base!$I$25,0))*parametros_manuales!$M$105+parametros_manuales!$G$28*(datos_base!$I$5+datos_base!$I$21+IF(parametros_manuales!$H$28="Todos",datos_base!$I$12+datos_base!$I$26,0))*parametros_manuales!$M$110)*parametros_manuales!$I$28*parametros_manuales!$J$28</f>
        <v>19641.74906241</v>
      </c>
      <c r="N200" s="9" t="n">
        <f aca="false">SUM(B200:M200)</f>
        <v>218241.656249</v>
      </c>
      <c r="O200" s="9" t="n">
        <f aca="false">MAX(B200:M200)</f>
        <v>19641.74906241</v>
      </c>
      <c r="P200" s="43" t="n">
        <f aca="false">O200/(parametros_manuales!$B$7)</f>
        <v>130.9449937494</v>
      </c>
      <c r="Q200" s="8" t="str">
        <f aca="false">IF(O200=0,"-",INDEX($B$190:$M$190,MATCH(O200,B200:M200,0)))</f>
        <v>Ene</v>
      </c>
    </row>
    <row r="201" customFormat="false" ht="14.25" hidden="false" customHeight="true" outlineLevel="0" collapsed="false">
      <c r="A201" s="8" t="str">
        <f aca="false">parametros_manuales!$B$29</f>
        <v>Bordoneado</v>
      </c>
      <c r="B201" s="9" t="n">
        <f aca="false">(parametros_manuales!$D$29*(datos_base!$I$2+datos_base!$I$18+IF(parametros_manuales!$H$29="Todos",datos_base!$I$9+datos_base!$I$23,0))*parametros_manuales!$B$95+parametros_manuales!$E$29*(datos_base!$I$3+datos_base!$I$19+IF(parametros_manuales!$H$29="Todos",datos_base!$I$10+datos_base!$I$24,0))*parametros_manuales!$B$100+parametros_manuales!$F$29*(datos_base!$I$4+datos_base!$I$20+IF(parametros_manuales!$H$29="Todos",datos_base!$I$11+datos_base!$I$25,0))*parametros_manuales!$B$105+parametros_manuales!$G$29*(datos_base!$I$5+datos_base!$I$21+IF(parametros_manuales!$H$29="Todos",datos_base!$I$12+datos_base!$I$26,0))*parametros_manuales!$B$110)*parametros_manuales!$I$29*parametros_manuales!$J$29</f>
        <v>19641.74906241</v>
      </c>
      <c r="C201" s="9" t="n">
        <f aca="false">(parametros_manuales!$D$29*(datos_base!$I$2+datos_base!$I$18+IF(parametros_manuales!$H$29="Todos",datos_base!$I$9+datos_base!$I$23,0))*parametros_manuales!$C$95+parametros_manuales!$E$29*(datos_base!$I$3+datos_base!$I$19+IF(parametros_manuales!$H$29="Todos",datos_base!$I$10+datos_base!$I$24,0))*parametros_manuales!$C$100+parametros_manuales!$F$29*(datos_base!$I$4+datos_base!$I$20+IF(parametros_manuales!$H$29="Todos",datos_base!$I$11+datos_base!$I$25,0))*parametros_manuales!$C$105+parametros_manuales!$G$29*(datos_base!$I$5+datos_base!$I$21+IF(parametros_manuales!$H$29="Todos",datos_base!$I$12+datos_base!$I$26,0))*parametros_manuales!$C$110)*parametros_manuales!$I$29*parametros_manuales!$J$29</f>
        <v>19020.66328472</v>
      </c>
      <c r="D201" s="9" t="n">
        <f aca="false">(parametros_manuales!$D$29*(datos_base!$I$2+datos_base!$I$18+IF(parametros_manuales!$H$29="Todos",datos_base!$I$9+datos_base!$I$23,0))*parametros_manuales!$D$95+parametros_manuales!$E$29*(datos_base!$I$3+datos_base!$I$19+IF(parametros_manuales!$H$29="Todos",datos_base!$I$10+datos_base!$I$24,0))*parametros_manuales!$D$100+parametros_manuales!$F$29*(datos_base!$I$4+datos_base!$I$20+IF(parametros_manuales!$H$29="Todos",datos_base!$I$11+datos_base!$I$25,0))*parametros_manuales!$D$105+parametros_manuales!$G$29*(datos_base!$I$5+datos_base!$I$21+IF(parametros_manuales!$H$29="Todos",datos_base!$I$12+datos_base!$I$26,0))*parametros_manuales!$D$110)*parametros_manuales!$I$29*parametros_manuales!$J$29</f>
        <v>17769.875388765</v>
      </c>
      <c r="E201" s="9" t="n">
        <f aca="false">(parametros_manuales!$D$29*(datos_base!$I$2+datos_base!$I$18+IF(parametros_manuales!$H$29="Todos",datos_base!$I$9+datos_base!$I$23,0))*parametros_manuales!$E$95+parametros_manuales!$E$29*(datos_base!$I$3+datos_base!$I$19+IF(parametros_manuales!$H$29="Todos",datos_base!$I$10+datos_base!$I$24,0))*parametros_manuales!$E$100+parametros_manuales!$F$29*(datos_base!$I$4+datos_base!$I$20+IF(parametros_manuales!$H$29="Todos",datos_base!$I$11+datos_base!$I$25,0))*parametros_manuales!$E$105+parametros_manuales!$G$29*(datos_base!$I$5+datos_base!$I$21+IF(parametros_manuales!$H$29="Todos",datos_base!$I$12+datos_base!$I$26,0))*parametros_manuales!$E$110)*parametros_manuales!$I$29*parametros_manuales!$J$29</f>
        <v>16989.209996365</v>
      </c>
      <c r="F201" s="9" t="n">
        <f aca="false">(parametros_manuales!$D$29*(datos_base!$I$2+datos_base!$I$18+IF(parametros_manuales!$H$29="Todos",datos_base!$I$9+datos_base!$I$23,0))*parametros_manuales!$F$95+parametros_manuales!$E$29*(datos_base!$I$3+datos_base!$I$19+IF(parametros_manuales!$H$29="Todos",datos_base!$I$10+datos_base!$I$24,0))*parametros_manuales!$F$100+parametros_manuales!$F$29*(datos_base!$I$4+datos_base!$I$20+IF(parametros_manuales!$H$29="Todos",datos_base!$I$11+datos_base!$I$25,0))*parametros_manuales!$F$105+parametros_manuales!$G$29*(datos_base!$I$5+datos_base!$I$21+IF(parametros_manuales!$H$29="Todos",datos_base!$I$12+datos_base!$I$26,0))*parametros_manuales!$F$110)*parametros_manuales!$I$29*parametros_manuales!$J$29</f>
        <v>15898.00171512</v>
      </c>
      <c r="G201" s="9" t="n">
        <f aca="false">(parametros_manuales!$D$29*(datos_base!$I$2+datos_base!$I$18+IF(parametros_manuales!$H$29="Todos",datos_base!$I$9+datos_base!$I$23,0))*parametros_manuales!$G$95+parametros_manuales!$E$29*(datos_base!$I$3+datos_base!$I$19+IF(parametros_manuales!$H$29="Todos",datos_base!$I$10+datos_base!$I$24,0))*parametros_manuales!$G$100+parametros_manuales!$F$29*(datos_base!$I$4+datos_base!$I$20+IF(parametros_manuales!$H$29="Todos",datos_base!$I$11+datos_base!$I$25,0))*parametros_manuales!$G$105+parametros_manuales!$G$29*(datos_base!$I$5+datos_base!$I$21+IF(parametros_manuales!$H$29="Todos",datos_base!$I$12+datos_base!$I$26,0))*parametros_manuales!$G$110)*parametros_manuales!$I$29*parametros_manuales!$J$29</f>
        <v>15587.458826275</v>
      </c>
      <c r="H201" s="9" t="n">
        <f aca="false">(parametros_manuales!$D$29*(datos_base!$I$2+datos_base!$I$18+IF(parametros_manuales!$H$29="Todos",datos_base!$I$9+datos_base!$I$23,0))*parametros_manuales!$H$95+parametros_manuales!$E$29*(datos_base!$I$3+datos_base!$I$19+IF(parametros_manuales!$H$29="Todos",datos_base!$I$10+datos_base!$I$24,0))*parametros_manuales!$H$100+parametros_manuales!$F$29*(datos_base!$I$4+datos_base!$I$20+IF(parametros_manuales!$H$29="Todos",datos_base!$I$11+datos_base!$I$25,0))*parametros_manuales!$H$105+parametros_manuales!$G$29*(datos_base!$I$5+datos_base!$I$21+IF(parametros_manuales!$H$29="Todos",datos_base!$I$12+datos_base!$I$26,0))*parametros_manuales!$H$110)*parametros_manuales!$I$29*parametros_manuales!$J$29</f>
        <v>16678.66710752</v>
      </c>
      <c r="I201" s="9" t="n">
        <f aca="false">(parametros_manuales!$D$29*(datos_base!$I$2+datos_base!$I$18+IF(parametros_manuales!$H$29="Todos",datos_base!$I$9+datos_base!$I$23,0))*parametros_manuales!$I$95+parametros_manuales!$E$29*(datos_base!$I$3+datos_base!$I$19+IF(parametros_manuales!$H$29="Todos",datos_base!$I$10+datos_base!$I$24,0))*parametros_manuales!$I$100+parametros_manuales!$F$29*(datos_base!$I$4+datos_base!$I$20+IF(parametros_manuales!$H$29="Todos",datos_base!$I$11+datos_base!$I$25,0))*parametros_manuales!$I$105+parametros_manuales!$G$29*(datos_base!$I$5+datos_base!$I$21+IF(parametros_manuales!$H$29="Todos",datos_base!$I$12+datos_base!$I$26,0))*parametros_manuales!$I$110)*parametros_manuales!$I$29*parametros_manuales!$J$29</f>
        <v>19020.66328472</v>
      </c>
      <c r="J201" s="9" t="n">
        <f aca="false">(parametros_manuales!$D$29*(datos_base!$I$2+datos_base!$I$18+IF(parametros_manuales!$H$29="Todos",datos_base!$I$9+datos_base!$I$23,0))*parametros_manuales!$J$95+parametros_manuales!$E$29*(datos_base!$I$3+datos_base!$I$19+IF(parametros_manuales!$H$29="Todos",datos_base!$I$10+datos_base!$I$24,0))*parametros_manuales!$J$100+parametros_manuales!$F$29*(datos_base!$I$4+datos_base!$I$20+IF(parametros_manuales!$H$29="Todos",datos_base!$I$11+datos_base!$I$25,0))*parametros_manuales!$J$105+parametros_manuales!$G$29*(datos_base!$I$5+datos_base!$I$21+IF(parametros_manuales!$H$29="Todos",datos_base!$I$12+datos_base!$I$26,0))*parametros_manuales!$J$110)*parametros_manuales!$I$29*parametros_manuales!$J$29</f>
        <v>19020.66328472</v>
      </c>
      <c r="K201" s="9" t="n">
        <f aca="false">(parametros_manuales!$D$29*(datos_base!$I$2+datos_base!$I$18+IF(parametros_manuales!$H$29="Todos",datos_base!$I$9+datos_base!$I$23,0))*parametros_manuales!$K$95+parametros_manuales!$E$29*(datos_base!$I$3+datos_base!$I$19+IF(parametros_manuales!$H$29="Todos",datos_base!$I$10+datos_base!$I$24,0))*parametros_manuales!$K$100+parametros_manuales!$F$29*(datos_base!$I$4+datos_base!$I$20+IF(parametros_manuales!$H$29="Todos",datos_base!$I$11+datos_base!$I$25,0))*parametros_manuales!$K$105+parametros_manuales!$G$29*(datos_base!$I$5+datos_base!$I$21+IF(parametros_manuales!$H$29="Todos",datos_base!$I$12+datos_base!$I$26,0))*parametros_manuales!$K$110)*parametros_manuales!$I$29*parametros_manuales!$J$29</f>
        <v>19331.206173565</v>
      </c>
      <c r="L201" s="9" t="n">
        <f aca="false">(parametros_manuales!$D$29*(datos_base!$I$2+datos_base!$I$18+IF(parametros_manuales!$H$29="Todos",datos_base!$I$9+datos_base!$I$23,0))*parametros_manuales!$L$95+parametros_manuales!$E$29*(datos_base!$I$3+datos_base!$I$19+IF(parametros_manuales!$H$29="Todos",datos_base!$I$10+datos_base!$I$24,0))*parametros_manuales!$L$100+parametros_manuales!$F$29*(datos_base!$I$4+datos_base!$I$20+IF(parametros_manuales!$H$29="Todos",datos_base!$I$11+datos_base!$I$25,0))*parametros_manuales!$L$105+parametros_manuales!$G$29*(datos_base!$I$5+datos_base!$I$21+IF(parametros_manuales!$H$29="Todos",datos_base!$I$12+datos_base!$I$26,0))*parametros_manuales!$L$110)*parametros_manuales!$I$29*parametros_manuales!$J$29</f>
        <v>19641.74906241</v>
      </c>
      <c r="M201" s="9" t="n">
        <f aca="false">(parametros_manuales!$D$29*(datos_base!$I$2+datos_base!$I$18+IF(parametros_manuales!$H$29="Todos",datos_base!$I$9+datos_base!$I$23,0))*parametros_manuales!$M$95+parametros_manuales!$E$29*(datos_base!$I$3+datos_base!$I$19+IF(parametros_manuales!$H$29="Todos",datos_base!$I$10+datos_base!$I$24,0))*parametros_manuales!$M$100+parametros_manuales!$F$29*(datos_base!$I$4+datos_base!$I$20+IF(parametros_manuales!$H$29="Todos",datos_base!$I$11+datos_base!$I$25,0))*parametros_manuales!$M$105+parametros_manuales!$G$29*(datos_base!$I$5+datos_base!$I$21+IF(parametros_manuales!$H$29="Todos",datos_base!$I$12+datos_base!$I$26,0))*parametros_manuales!$M$110)*parametros_manuales!$I$29*parametros_manuales!$J$29</f>
        <v>19641.74906241</v>
      </c>
      <c r="N201" s="9" t="n">
        <f aca="false">SUM(B201:M201)</f>
        <v>218241.656249</v>
      </c>
      <c r="O201" s="9" t="n">
        <f aca="false">MAX(B201:M201)</f>
        <v>19641.74906241</v>
      </c>
      <c r="P201" s="43" t="n">
        <f aca="false">O201/(parametros_manuales!$B$7)</f>
        <v>130.9449937494</v>
      </c>
      <c r="Q201" s="8" t="str">
        <f aca="false">IF(O201=0,"-",INDEX($B$190:$M$190,MATCH(O201,B201:M201,0)))</f>
        <v>Ene</v>
      </c>
    </row>
    <row r="202" customFormat="false" ht="14.25" hidden="false" customHeight="true" outlineLevel="0" collapsed="false">
      <c r="A202" s="8" t="str">
        <f aca="false">parametros_manuales!$B$30</f>
        <v>Soldadura circunferencial de cúpula y fondo</v>
      </c>
      <c r="B202" s="9" t="n">
        <f aca="false">(parametros_manuales!$D$30*(datos_base!$I$2+datos_base!$I$18+IF(parametros_manuales!$H$30="Todos",datos_base!$I$9+datos_base!$I$23,0))*parametros_manuales!$B$95+parametros_manuales!$E$30*(datos_base!$I$3+datos_base!$I$19+IF(parametros_manuales!$H$30="Todos",datos_base!$I$10+datos_base!$I$24,0))*parametros_manuales!$B$100+parametros_manuales!$F$30*(datos_base!$I$4+datos_base!$I$20+IF(parametros_manuales!$H$30="Todos",datos_base!$I$11+datos_base!$I$25,0))*parametros_manuales!$B$105+parametros_manuales!$G$30*(datos_base!$I$5+datos_base!$I$21+IF(parametros_manuales!$H$30="Todos",datos_base!$I$12+datos_base!$I$26,0))*parametros_manuales!$B$110)*parametros_manuales!$I$30*parametros_manuales!$J$30</f>
        <v>19641.74906241</v>
      </c>
      <c r="C202" s="9" t="n">
        <f aca="false">(parametros_manuales!$D$30*(datos_base!$I$2+datos_base!$I$18+IF(parametros_manuales!$H$30="Todos",datos_base!$I$9+datos_base!$I$23,0))*parametros_manuales!$C$95+parametros_manuales!$E$30*(datos_base!$I$3+datos_base!$I$19+IF(parametros_manuales!$H$30="Todos",datos_base!$I$10+datos_base!$I$24,0))*parametros_manuales!$C$100+parametros_manuales!$F$30*(datos_base!$I$4+datos_base!$I$20+IF(parametros_manuales!$H$30="Todos",datos_base!$I$11+datos_base!$I$25,0))*parametros_manuales!$C$105+parametros_manuales!$G$30*(datos_base!$I$5+datos_base!$I$21+IF(parametros_manuales!$H$30="Todos",datos_base!$I$12+datos_base!$I$26,0))*parametros_manuales!$C$110)*parametros_manuales!$I$30*parametros_manuales!$J$30</f>
        <v>19020.66328472</v>
      </c>
      <c r="D202" s="9" t="n">
        <f aca="false">(parametros_manuales!$D$30*(datos_base!$I$2+datos_base!$I$18+IF(parametros_manuales!$H$30="Todos",datos_base!$I$9+datos_base!$I$23,0))*parametros_manuales!$D$95+parametros_manuales!$E$30*(datos_base!$I$3+datos_base!$I$19+IF(parametros_manuales!$H$30="Todos",datos_base!$I$10+datos_base!$I$24,0))*parametros_manuales!$D$100+parametros_manuales!$F$30*(datos_base!$I$4+datos_base!$I$20+IF(parametros_manuales!$H$30="Todos",datos_base!$I$11+datos_base!$I$25,0))*parametros_manuales!$D$105+parametros_manuales!$G$30*(datos_base!$I$5+datos_base!$I$21+IF(parametros_manuales!$H$30="Todos",datos_base!$I$12+datos_base!$I$26,0))*parametros_manuales!$D$110)*parametros_manuales!$I$30*parametros_manuales!$J$30</f>
        <v>17769.875388765</v>
      </c>
      <c r="E202" s="9" t="n">
        <f aca="false">(parametros_manuales!$D$30*(datos_base!$I$2+datos_base!$I$18+IF(parametros_manuales!$H$30="Todos",datos_base!$I$9+datos_base!$I$23,0))*parametros_manuales!$E$95+parametros_manuales!$E$30*(datos_base!$I$3+datos_base!$I$19+IF(parametros_manuales!$H$30="Todos",datos_base!$I$10+datos_base!$I$24,0))*parametros_manuales!$E$100+parametros_manuales!$F$30*(datos_base!$I$4+datos_base!$I$20+IF(parametros_manuales!$H$30="Todos",datos_base!$I$11+datos_base!$I$25,0))*parametros_manuales!$E$105+parametros_manuales!$G$30*(datos_base!$I$5+datos_base!$I$21+IF(parametros_manuales!$H$30="Todos",datos_base!$I$12+datos_base!$I$26,0))*parametros_manuales!$E$110)*parametros_manuales!$I$30*parametros_manuales!$J$30</f>
        <v>16989.209996365</v>
      </c>
      <c r="F202" s="9" t="n">
        <f aca="false">(parametros_manuales!$D$30*(datos_base!$I$2+datos_base!$I$18+IF(parametros_manuales!$H$30="Todos",datos_base!$I$9+datos_base!$I$23,0))*parametros_manuales!$F$95+parametros_manuales!$E$30*(datos_base!$I$3+datos_base!$I$19+IF(parametros_manuales!$H$30="Todos",datos_base!$I$10+datos_base!$I$24,0))*parametros_manuales!$F$100+parametros_manuales!$F$30*(datos_base!$I$4+datos_base!$I$20+IF(parametros_manuales!$H$30="Todos",datos_base!$I$11+datos_base!$I$25,0))*parametros_manuales!$F$105+parametros_manuales!$G$30*(datos_base!$I$5+datos_base!$I$21+IF(parametros_manuales!$H$30="Todos",datos_base!$I$12+datos_base!$I$26,0))*parametros_manuales!$F$110)*parametros_manuales!$I$30*parametros_manuales!$J$30</f>
        <v>15898.00171512</v>
      </c>
      <c r="G202" s="9" t="n">
        <f aca="false">(parametros_manuales!$D$30*(datos_base!$I$2+datos_base!$I$18+IF(parametros_manuales!$H$30="Todos",datos_base!$I$9+datos_base!$I$23,0))*parametros_manuales!$G$95+parametros_manuales!$E$30*(datos_base!$I$3+datos_base!$I$19+IF(parametros_manuales!$H$30="Todos",datos_base!$I$10+datos_base!$I$24,0))*parametros_manuales!$G$100+parametros_manuales!$F$30*(datos_base!$I$4+datos_base!$I$20+IF(parametros_manuales!$H$30="Todos",datos_base!$I$11+datos_base!$I$25,0))*parametros_manuales!$G$105+parametros_manuales!$G$30*(datos_base!$I$5+datos_base!$I$21+IF(parametros_manuales!$H$30="Todos",datos_base!$I$12+datos_base!$I$26,0))*parametros_manuales!$G$110)*parametros_manuales!$I$30*parametros_manuales!$J$30</f>
        <v>15587.458826275</v>
      </c>
      <c r="H202" s="9" t="n">
        <f aca="false">(parametros_manuales!$D$30*(datos_base!$I$2+datos_base!$I$18+IF(parametros_manuales!$H$30="Todos",datos_base!$I$9+datos_base!$I$23,0))*parametros_manuales!$H$95+parametros_manuales!$E$30*(datos_base!$I$3+datos_base!$I$19+IF(parametros_manuales!$H$30="Todos",datos_base!$I$10+datos_base!$I$24,0))*parametros_manuales!$H$100+parametros_manuales!$F$30*(datos_base!$I$4+datos_base!$I$20+IF(parametros_manuales!$H$30="Todos",datos_base!$I$11+datos_base!$I$25,0))*parametros_manuales!$H$105+parametros_manuales!$G$30*(datos_base!$I$5+datos_base!$I$21+IF(parametros_manuales!$H$30="Todos",datos_base!$I$12+datos_base!$I$26,0))*parametros_manuales!$H$110)*parametros_manuales!$I$30*parametros_manuales!$J$30</f>
        <v>16678.66710752</v>
      </c>
      <c r="I202" s="9" t="n">
        <f aca="false">(parametros_manuales!$D$30*(datos_base!$I$2+datos_base!$I$18+IF(parametros_manuales!$H$30="Todos",datos_base!$I$9+datos_base!$I$23,0))*parametros_manuales!$I$95+parametros_manuales!$E$30*(datos_base!$I$3+datos_base!$I$19+IF(parametros_manuales!$H$30="Todos",datos_base!$I$10+datos_base!$I$24,0))*parametros_manuales!$I$100+parametros_manuales!$F$30*(datos_base!$I$4+datos_base!$I$20+IF(parametros_manuales!$H$30="Todos",datos_base!$I$11+datos_base!$I$25,0))*parametros_manuales!$I$105+parametros_manuales!$G$30*(datos_base!$I$5+datos_base!$I$21+IF(parametros_manuales!$H$30="Todos",datos_base!$I$12+datos_base!$I$26,0))*parametros_manuales!$I$110)*parametros_manuales!$I$30*parametros_manuales!$J$30</f>
        <v>19020.66328472</v>
      </c>
      <c r="J202" s="9" t="n">
        <f aca="false">(parametros_manuales!$D$30*(datos_base!$I$2+datos_base!$I$18+IF(parametros_manuales!$H$30="Todos",datos_base!$I$9+datos_base!$I$23,0))*parametros_manuales!$J$95+parametros_manuales!$E$30*(datos_base!$I$3+datos_base!$I$19+IF(parametros_manuales!$H$30="Todos",datos_base!$I$10+datos_base!$I$24,0))*parametros_manuales!$J$100+parametros_manuales!$F$30*(datos_base!$I$4+datos_base!$I$20+IF(parametros_manuales!$H$30="Todos",datos_base!$I$11+datos_base!$I$25,0))*parametros_manuales!$J$105+parametros_manuales!$G$30*(datos_base!$I$5+datos_base!$I$21+IF(parametros_manuales!$H$30="Todos",datos_base!$I$12+datos_base!$I$26,0))*parametros_manuales!$J$110)*parametros_manuales!$I$30*parametros_manuales!$J$30</f>
        <v>19020.66328472</v>
      </c>
      <c r="K202" s="9" t="n">
        <f aca="false">(parametros_manuales!$D$30*(datos_base!$I$2+datos_base!$I$18+IF(parametros_manuales!$H$30="Todos",datos_base!$I$9+datos_base!$I$23,0))*parametros_manuales!$K$95+parametros_manuales!$E$30*(datos_base!$I$3+datos_base!$I$19+IF(parametros_manuales!$H$30="Todos",datos_base!$I$10+datos_base!$I$24,0))*parametros_manuales!$K$100+parametros_manuales!$F$30*(datos_base!$I$4+datos_base!$I$20+IF(parametros_manuales!$H$30="Todos",datos_base!$I$11+datos_base!$I$25,0))*parametros_manuales!$K$105+parametros_manuales!$G$30*(datos_base!$I$5+datos_base!$I$21+IF(parametros_manuales!$H$30="Todos",datos_base!$I$12+datos_base!$I$26,0))*parametros_manuales!$K$110)*parametros_manuales!$I$30*parametros_manuales!$J$30</f>
        <v>19331.206173565</v>
      </c>
      <c r="L202" s="9" t="n">
        <f aca="false">(parametros_manuales!$D$30*(datos_base!$I$2+datos_base!$I$18+IF(parametros_manuales!$H$30="Todos",datos_base!$I$9+datos_base!$I$23,0))*parametros_manuales!$L$95+parametros_manuales!$E$30*(datos_base!$I$3+datos_base!$I$19+IF(parametros_manuales!$H$30="Todos",datos_base!$I$10+datos_base!$I$24,0))*parametros_manuales!$L$100+parametros_manuales!$F$30*(datos_base!$I$4+datos_base!$I$20+IF(parametros_manuales!$H$30="Todos",datos_base!$I$11+datos_base!$I$25,0))*parametros_manuales!$L$105+parametros_manuales!$G$30*(datos_base!$I$5+datos_base!$I$21+IF(parametros_manuales!$H$30="Todos",datos_base!$I$12+datos_base!$I$26,0))*parametros_manuales!$L$110)*parametros_manuales!$I$30*parametros_manuales!$J$30</f>
        <v>19641.74906241</v>
      </c>
      <c r="M202" s="9" t="n">
        <f aca="false">(parametros_manuales!$D$30*(datos_base!$I$2+datos_base!$I$18+IF(parametros_manuales!$H$30="Todos",datos_base!$I$9+datos_base!$I$23,0))*parametros_manuales!$M$95+parametros_manuales!$E$30*(datos_base!$I$3+datos_base!$I$19+IF(parametros_manuales!$H$30="Todos",datos_base!$I$10+datos_base!$I$24,0))*parametros_manuales!$M$100+parametros_manuales!$F$30*(datos_base!$I$4+datos_base!$I$20+IF(parametros_manuales!$H$30="Todos",datos_base!$I$11+datos_base!$I$25,0))*parametros_manuales!$M$105+parametros_manuales!$G$30*(datos_base!$I$5+datos_base!$I$21+IF(parametros_manuales!$H$30="Todos",datos_base!$I$12+datos_base!$I$26,0))*parametros_manuales!$M$110)*parametros_manuales!$I$30*parametros_manuales!$J$30</f>
        <v>19641.74906241</v>
      </c>
      <c r="N202" s="9" t="n">
        <f aca="false">SUM(B202:M202)</f>
        <v>218241.656249</v>
      </c>
      <c r="O202" s="9" t="n">
        <f aca="false">MAX(B202:M202)</f>
        <v>19641.74906241</v>
      </c>
      <c r="P202" s="43" t="n">
        <f aca="false">O202/(parametros_manuales!$B$7)</f>
        <v>130.9449937494</v>
      </c>
      <c r="Q202" s="8" t="str">
        <f aca="false">IF(O202=0,"-",INDEX($B$190:$M$190,MATCH(O202,B202:M202,0)))</f>
        <v>Ene</v>
      </c>
    </row>
    <row r="203" customFormat="false" ht="14.25" hidden="false" customHeight="true" outlineLevel="0" collapsed="false">
      <c r="A203" s="8" t="str">
        <f aca="false">parametros_manuales!$B$31</f>
        <v>Control de calidad — Espesor</v>
      </c>
      <c r="B203" s="9" t="n">
        <f aca="false">(parametros_manuales!$D$31*(datos_base!$I$2+datos_base!$I$18+IF(parametros_manuales!$H$31="Todos",datos_base!$I$9+datos_base!$I$23,0))*parametros_manuales!$B$95+parametros_manuales!$E$31*(datos_base!$I$3+datos_base!$I$19+IF(parametros_manuales!$H$31="Todos",datos_base!$I$10+datos_base!$I$24,0))*parametros_manuales!$B$100+parametros_manuales!$F$31*(datos_base!$I$4+datos_base!$I$20+IF(parametros_manuales!$H$31="Todos",datos_base!$I$11+datos_base!$I$25,0))*parametros_manuales!$B$105+parametros_manuales!$G$31*(datos_base!$I$5+datos_base!$I$21+IF(parametros_manuales!$H$31="Todos",datos_base!$I$12+datos_base!$I$26,0))*parametros_manuales!$B$110)*parametros_manuales!$I$31*parametros_manuales!$J$31</f>
        <v>392.8349812482</v>
      </c>
      <c r="C203" s="9" t="n">
        <f aca="false">(parametros_manuales!$D$31*(datos_base!$I$2+datos_base!$I$18+IF(parametros_manuales!$H$31="Todos",datos_base!$I$9+datos_base!$I$23,0))*parametros_manuales!$C$95+parametros_manuales!$E$31*(datos_base!$I$3+datos_base!$I$19+IF(parametros_manuales!$H$31="Todos",datos_base!$I$10+datos_base!$I$24,0))*parametros_manuales!$C$100+parametros_manuales!$F$31*(datos_base!$I$4+datos_base!$I$20+IF(parametros_manuales!$H$31="Todos",datos_base!$I$11+datos_base!$I$25,0))*parametros_manuales!$C$105+parametros_manuales!$G$31*(datos_base!$I$5+datos_base!$I$21+IF(parametros_manuales!$H$31="Todos",datos_base!$I$12+datos_base!$I$26,0))*parametros_manuales!$C$110)*parametros_manuales!$I$31*parametros_manuales!$J$31</f>
        <v>380.4132656944</v>
      </c>
      <c r="D203" s="9" t="n">
        <f aca="false">(parametros_manuales!$D$31*(datos_base!$I$2+datos_base!$I$18+IF(parametros_manuales!$H$31="Todos",datos_base!$I$9+datos_base!$I$23,0))*parametros_manuales!$D$95+parametros_manuales!$E$31*(datos_base!$I$3+datos_base!$I$19+IF(parametros_manuales!$H$31="Todos",datos_base!$I$10+datos_base!$I$24,0))*parametros_manuales!$D$100+parametros_manuales!$F$31*(datos_base!$I$4+datos_base!$I$20+IF(parametros_manuales!$H$31="Todos",datos_base!$I$11+datos_base!$I$25,0))*parametros_manuales!$D$105+parametros_manuales!$G$31*(datos_base!$I$5+datos_base!$I$21+IF(parametros_manuales!$H$31="Todos",datos_base!$I$12+datos_base!$I$26,0))*parametros_manuales!$D$110)*parametros_manuales!$I$31*parametros_manuales!$J$31</f>
        <v>355.3975077753</v>
      </c>
      <c r="E203" s="9" t="n">
        <f aca="false">(parametros_manuales!$D$31*(datos_base!$I$2+datos_base!$I$18+IF(parametros_manuales!$H$31="Todos",datos_base!$I$9+datos_base!$I$23,0))*parametros_manuales!$E$95+parametros_manuales!$E$31*(datos_base!$I$3+datos_base!$I$19+IF(parametros_manuales!$H$31="Todos",datos_base!$I$10+datos_base!$I$24,0))*parametros_manuales!$E$100+parametros_manuales!$F$31*(datos_base!$I$4+datos_base!$I$20+IF(parametros_manuales!$H$31="Todos",datos_base!$I$11+datos_base!$I$25,0))*parametros_manuales!$E$105+parametros_manuales!$G$31*(datos_base!$I$5+datos_base!$I$21+IF(parametros_manuales!$H$31="Todos",datos_base!$I$12+datos_base!$I$26,0))*parametros_manuales!$E$110)*parametros_manuales!$I$31*parametros_manuales!$J$31</f>
        <v>339.7841999273</v>
      </c>
      <c r="F203" s="9" t="n">
        <f aca="false">(parametros_manuales!$D$31*(datos_base!$I$2+datos_base!$I$18+IF(parametros_manuales!$H$31="Todos",datos_base!$I$9+datos_base!$I$23,0))*parametros_manuales!$F$95+parametros_manuales!$E$31*(datos_base!$I$3+datos_base!$I$19+IF(parametros_manuales!$H$31="Todos",datos_base!$I$10+datos_base!$I$24,0))*parametros_manuales!$F$100+parametros_manuales!$F$31*(datos_base!$I$4+datos_base!$I$20+IF(parametros_manuales!$H$31="Todos",datos_base!$I$11+datos_base!$I$25,0))*parametros_manuales!$F$105+parametros_manuales!$G$31*(datos_base!$I$5+datos_base!$I$21+IF(parametros_manuales!$H$31="Todos",datos_base!$I$12+datos_base!$I$26,0))*parametros_manuales!$F$110)*parametros_manuales!$I$31*parametros_manuales!$J$31</f>
        <v>317.9600343024</v>
      </c>
      <c r="G203" s="9" t="n">
        <f aca="false">(parametros_manuales!$D$31*(datos_base!$I$2+datos_base!$I$18+IF(parametros_manuales!$H$31="Todos",datos_base!$I$9+datos_base!$I$23,0))*parametros_manuales!$G$95+parametros_manuales!$E$31*(datos_base!$I$3+datos_base!$I$19+IF(parametros_manuales!$H$31="Todos",datos_base!$I$10+datos_base!$I$24,0))*parametros_manuales!$G$100+parametros_manuales!$F$31*(datos_base!$I$4+datos_base!$I$20+IF(parametros_manuales!$H$31="Todos",datos_base!$I$11+datos_base!$I$25,0))*parametros_manuales!$G$105+parametros_manuales!$G$31*(datos_base!$I$5+datos_base!$I$21+IF(parametros_manuales!$H$31="Todos",datos_base!$I$12+datos_base!$I$26,0))*parametros_manuales!$G$110)*parametros_manuales!$I$31*parametros_manuales!$J$31</f>
        <v>311.7491765255</v>
      </c>
      <c r="H203" s="9" t="n">
        <f aca="false">(parametros_manuales!$D$31*(datos_base!$I$2+datos_base!$I$18+IF(parametros_manuales!$H$31="Todos",datos_base!$I$9+datos_base!$I$23,0))*parametros_manuales!$H$95+parametros_manuales!$E$31*(datos_base!$I$3+datos_base!$I$19+IF(parametros_manuales!$H$31="Todos",datos_base!$I$10+datos_base!$I$24,0))*parametros_manuales!$H$100+parametros_manuales!$F$31*(datos_base!$I$4+datos_base!$I$20+IF(parametros_manuales!$H$31="Todos",datos_base!$I$11+datos_base!$I$25,0))*parametros_manuales!$H$105+parametros_manuales!$G$31*(datos_base!$I$5+datos_base!$I$21+IF(parametros_manuales!$H$31="Todos",datos_base!$I$12+datos_base!$I$26,0))*parametros_manuales!$H$110)*parametros_manuales!$I$31*parametros_manuales!$J$31</f>
        <v>333.5733421504</v>
      </c>
      <c r="I203" s="9" t="n">
        <f aca="false">(parametros_manuales!$D$31*(datos_base!$I$2+datos_base!$I$18+IF(parametros_manuales!$H$31="Todos",datos_base!$I$9+datos_base!$I$23,0))*parametros_manuales!$I$95+parametros_manuales!$E$31*(datos_base!$I$3+datos_base!$I$19+IF(parametros_manuales!$H$31="Todos",datos_base!$I$10+datos_base!$I$24,0))*parametros_manuales!$I$100+parametros_manuales!$F$31*(datos_base!$I$4+datos_base!$I$20+IF(parametros_manuales!$H$31="Todos",datos_base!$I$11+datos_base!$I$25,0))*parametros_manuales!$I$105+parametros_manuales!$G$31*(datos_base!$I$5+datos_base!$I$21+IF(parametros_manuales!$H$31="Todos",datos_base!$I$12+datos_base!$I$26,0))*parametros_manuales!$I$110)*parametros_manuales!$I$31*parametros_manuales!$J$31</f>
        <v>380.4132656944</v>
      </c>
      <c r="J203" s="9" t="n">
        <f aca="false">(parametros_manuales!$D$31*(datos_base!$I$2+datos_base!$I$18+IF(parametros_manuales!$H$31="Todos",datos_base!$I$9+datos_base!$I$23,0))*parametros_manuales!$J$95+parametros_manuales!$E$31*(datos_base!$I$3+datos_base!$I$19+IF(parametros_manuales!$H$31="Todos",datos_base!$I$10+datos_base!$I$24,0))*parametros_manuales!$J$100+parametros_manuales!$F$31*(datos_base!$I$4+datos_base!$I$20+IF(parametros_manuales!$H$31="Todos",datos_base!$I$11+datos_base!$I$25,0))*parametros_manuales!$J$105+parametros_manuales!$G$31*(datos_base!$I$5+datos_base!$I$21+IF(parametros_manuales!$H$31="Todos",datos_base!$I$12+datos_base!$I$26,0))*parametros_manuales!$J$110)*parametros_manuales!$I$31*parametros_manuales!$J$31</f>
        <v>380.4132656944</v>
      </c>
      <c r="K203" s="9" t="n">
        <f aca="false">(parametros_manuales!$D$31*(datos_base!$I$2+datos_base!$I$18+IF(parametros_manuales!$H$31="Todos",datos_base!$I$9+datos_base!$I$23,0))*parametros_manuales!$K$95+parametros_manuales!$E$31*(datos_base!$I$3+datos_base!$I$19+IF(parametros_manuales!$H$31="Todos",datos_base!$I$10+datos_base!$I$24,0))*parametros_manuales!$K$100+parametros_manuales!$F$31*(datos_base!$I$4+datos_base!$I$20+IF(parametros_manuales!$H$31="Todos",datos_base!$I$11+datos_base!$I$25,0))*parametros_manuales!$K$105+parametros_manuales!$G$31*(datos_base!$I$5+datos_base!$I$21+IF(parametros_manuales!$H$31="Todos",datos_base!$I$12+datos_base!$I$26,0))*parametros_manuales!$K$110)*parametros_manuales!$I$31*parametros_manuales!$J$31</f>
        <v>386.6241234713</v>
      </c>
      <c r="L203" s="9" t="n">
        <f aca="false">(parametros_manuales!$D$31*(datos_base!$I$2+datos_base!$I$18+IF(parametros_manuales!$H$31="Todos",datos_base!$I$9+datos_base!$I$23,0))*parametros_manuales!$L$95+parametros_manuales!$E$31*(datos_base!$I$3+datos_base!$I$19+IF(parametros_manuales!$H$31="Todos",datos_base!$I$10+datos_base!$I$24,0))*parametros_manuales!$L$100+parametros_manuales!$F$31*(datos_base!$I$4+datos_base!$I$20+IF(parametros_manuales!$H$31="Todos",datos_base!$I$11+datos_base!$I$25,0))*parametros_manuales!$L$105+parametros_manuales!$G$31*(datos_base!$I$5+datos_base!$I$21+IF(parametros_manuales!$H$31="Todos",datos_base!$I$12+datos_base!$I$26,0))*parametros_manuales!$L$110)*parametros_manuales!$I$31*parametros_manuales!$J$31</f>
        <v>392.8349812482</v>
      </c>
      <c r="M203" s="9" t="n">
        <f aca="false">(parametros_manuales!$D$31*(datos_base!$I$2+datos_base!$I$18+IF(parametros_manuales!$H$31="Todos",datos_base!$I$9+datos_base!$I$23,0))*parametros_manuales!$M$95+parametros_manuales!$E$31*(datos_base!$I$3+datos_base!$I$19+IF(parametros_manuales!$H$31="Todos",datos_base!$I$10+datos_base!$I$24,0))*parametros_manuales!$M$100+parametros_manuales!$F$31*(datos_base!$I$4+datos_base!$I$20+IF(parametros_manuales!$H$31="Todos",datos_base!$I$11+datos_base!$I$25,0))*parametros_manuales!$M$105+parametros_manuales!$G$31*(datos_base!$I$5+datos_base!$I$21+IF(parametros_manuales!$H$31="Todos",datos_base!$I$12+datos_base!$I$26,0))*parametros_manuales!$M$110)*parametros_manuales!$I$31*parametros_manuales!$J$31</f>
        <v>392.8349812482</v>
      </c>
      <c r="N203" s="9" t="n">
        <f aca="false">SUM(B203:M203)</f>
        <v>4364.83312498</v>
      </c>
      <c r="O203" s="9" t="n">
        <f aca="false">MAX(B203:M203)</f>
        <v>392.8349812482</v>
      </c>
      <c r="P203" s="43" t="n">
        <f aca="false">O203/(parametros_manuales!$B$7)</f>
        <v>2.618899874988</v>
      </c>
      <c r="Q203" s="8" t="str">
        <f aca="false">IF(O203=0,"-",INDEX($B$190:$M$190,MATCH(O203,B203:M203,0)))</f>
        <v>Ene</v>
      </c>
    </row>
    <row r="204" customFormat="false" ht="14.25" hidden="false" customHeight="true" outlineLevel="0" collapsed="false">
      <c r="A204" s="8" t="str">
        <f aca="false">parametros_manuales!$B$32</f>
        <v>Prueba hidráulica</v>
      </c>
      <c r="B204" s="9" t="n">
        <f aca="false">(parametros_manuales!$D$32*(datos_base!$I$2+datos_base!$I$18+IF(parametros_manuales!$H$32="Todos",datos_base!$I$9+datos_base!$I$23,0))*parametros_manuales!$B$95+parametros_manuales!$E$32*(datos_base!$I$3+datos_base!$I$19+IF(parametros_manuales!$H$32="Todos",datos_base!$I$10+datos_base!$I$24,0))*parametros_manuales!$B$100+parametros_manuales!$F$32*(datos_base!$I$4+datos_base!$I$20+IF(parametros_manuales!$H$32="Todos",datos_base!$I$11+datos_base!$I$25,0))*parametros_manuales!$B$105+parametros_manuales!$G$32*(datos_base!$I$5+datos_base!$I$21+IF(parametros_manuales!$H$32="Todos",datos_base!$I$12+datos_base!$I$26,0))*parametros_manuales!$B$110)*parametros_manuales!$I$32*parametros_manuales!$J$32</f>
        <v>19641.74906241</v>
      </c>
      <c r="C204" s="9" t="n">
        <f aca="false">(parametros_manuales!$D$32*(datos_base!$I$2+datos_base!$I$18+IF(parametros_manuales!$H$32="Todos",datos_base!$I$9+datos_base!$I$23,0))*parametros_manuales!$C$95+parametros_manuales!$E$32*(datos_base!$I$3+datos_base!$I$19+IF(parametros_manuales!$H$32="Todos",datos_base!$I$10+datos_base!$I$24,0))*parametros_manuales!$C$100+parametros_manuales!$F$32*(datos_base!$I$4+datos_base!$I$20+IF(parametros_manuales!$H$32="Todos",datos_base!$I$11+datos_base!$I$25,0))*parametros_manuales!$C$105+parametros_manuales!$G$32*(datos_base!$I$5+datos_base!$I$21+IF(parametros_manuales!$H$32="Todos",datos_base!$I$12+datos_base!$I$26,0))*parametros_manuales!$C$110)*parametros_manuales!$I$32*parametros_manuales!$J$32</f>
        <v>19020.66328472</v>
      </c>
      <c r="D204" s="9" t="n">
        <f aca="false">(parametros_manuales!$D$32*(datos_base!$I$2+datos_base!$I$18+IF(parametros_manuales!$H$32="Todos",datos_base!$I$9+datos_base!$I$23,0))*parametros_manuales!$D$95+parametros_manuales!$E$32*(datos_base!$I$3+datos_base!$I$19+IF(parametros_manuales!$H$32="Todos",datos_base!$I$10+datos_base!$I$24,0))*parametros_manuales!$D$100+parametros_manuales!$F$32*(datos_base!$I$4+datos_base!$I$20+IF(parametros_manuales!$H$32="Todos",datos_base!$I$11+datos_base!$I$25,0))*parametros_manuales!$D$105+parametros_manuales!$G$32*(datos_base!$I$5+datos_base!$I$21+IF(parametros_manuales!$H$32="Todos",datos_base!$I$12+datos_base!$I$26,0))*parametros_manuales!$D$110)*parametros_manuales!$I$32*parametros_manuales!$J$32</f>
        <v>17769.875388765</v>
      </c>
      <c r="E204" s="9" t="n">
        <f aca="false">(parametros_manuales!$D$32*(datos_base!$I$2+datos_base!$I$18+IF(parametros_manuales!$H$32="Todos",datos_base!$I$9+datos_base!$I$23,0))*parametros_manuales!$E$95+parametros_manuales!$E$32*(datos_base!$I$3+datos_base!$I$19+IF(parametros_manuales!$H$32="Todos",datos_base!$I$10+datos_base!$I$24,0))*parametros_manuales!$E$100+parametros_manuales!$F$32*(datos_base!$I$4+datos_base!$I$20+IF(parametros_manuales!$H$32="Todos",datos_base!$I$11+datos_base!$I$25,0))*parametros_manuales!$E$105+parametros_manuales!$G$32*(datos_base!$I$5+datos_base!$I$21+IF(parametros_manuales!$H$32="Todos",datos_base!$I$12+datos_base!$I$26,0))*parametros_manuales!$E$110)*parametros_manuales!$I$32*parametros_manuales!$J$32</f>
        <v>16989.209996365</v>
      </c>
      <c r="F204" s="9" t="n">
        <f aca="false">(parametros_manuales!$D$32*(datos_base!$I$2+datos_base!$I$18+IF(parametros_manuales!$H$32="Todos",datos_base!$I$9+datos_base!$I$23,0))*parametros_manuales!$F$95+parametros_manuales!$E$32*(datos_base!$I$3+datos_base!$I$19+IF(parametros_manuales!$H$32="Todos",datos_base!$I$10+datos_base!$I$24,0))*parametros_manuales!$F$100+parametros_manuales!$F$32*(datos_base!$I$4+datos_base!$I$20+IF(parametros_manuales!$H$32="Todos",datos_base!$I$11+datos_base!$I$25,0))*parametros_manuales!$F$105+parametros_manuales!$G$32*(datos_base!$I$5+datos_base!$I$21+IF(parametros_manuales!$H$32="Todos",datos_base!$I$12+datos_base!$I$26,0))*parametros_manuales!$F$110)*parametros_manuales!$I$32*parametros_manuales!$J$32</f>
        <v>15898.00171512</v>
      </c>
      <c r="G204" s="9" t="n">
        <f aca="false">(parametros_manuales!$D$32*(datos_base!$I$2+datos_base!$I$18+IF(parametros_manuales!$H$32="Todos",datos_base!$I$9+datos_base!$I$23,0))*parametros_manuales!$G$95+parametros_manuales!$E$32*(datos_base!$I$3+datos_base!$I$19+IF(parametros_manuales!$H$32="Todos",datos_base!$I$10+datos_base!$I$24,0))*parametros_manuales!$G$100+parametros_manuales!$F$32*(datos_base!$I$4+datos_base!$I$20+IF(parametros_manuales!$H$32="Todos",datos_base!$I$11+datos_base!$I$25,0))*parametros_manuales!$G$105+parametros_manuales!$G$32*(datos_base!$I$5+datos_base!$I$21+IF(parametros_manuales!$H$32="Todos",datos_base!$I$12+datos_base!$I$26,0))*parametros_manuales!$G$110)*parametros_manuales!$I$32*parametros_manuales!$J$32</f>
        <v>15587.458826275</v>
      </c>
      <c r="H204" s="9" t="n">
        <f aca="false">(parametros_manuales!$D$32*(datos_base!$I$2+datos_base!$I$18+IF(parametros_manuales!$H$32="Todos",datos_base!$I$9+datos_base!$I$23,0))*parametros_manuales!$H$95+parametros_manuales!$E$32*(datos_base!$I$3+datos_base!$I$19+IF(parametros_manuales!$H$32="Todos",datos_base!$I$10+datos_base!$I$24,0))*parametros_manuales!$H$100+parametros_manuales!$F$32*(datos_base!$I$4+datos_base!$I$20+IF(parametros_manuales!$H$32="Todos",datos_base!$I$11+datos_base!$I$25,0))*parametros_manuales!$H$105+parametros_manuales!$G$32*(datos_base!$I$5+datos_base!$I$21+IF(parametros_manuales!$H$32="Todos",datos_base!$I$12+datos_base!$I$26,0))*parametros_manuales!$H$110)*parametros_manuales!$I$32*parametros_manuales!$J$32</f>
        <v>16678.66710752</v>
      </c>
      <c r="I204" s="9" t="n">
        <f aca="false">(parametros_manuales!$D$32*(datos_base!$I$2+datos_base!$I$18+IF(parametros_manuales!$H$32="Todos",datos_base!$I$9+datos_base!$I$23,0))*parametros_manuales!$I$95+parametros_manuales!$E$32*(datos_base!$I$3+datos_base!$I$19+IF(parametros_manuales!$H$32="Todos",datos_base!$I$10+datos_base!$I$24,0))*parametros_manuales!$I$100+parametros_manuales!$F$32*(datos_base!$I$4+datos_base!$I$20+IF(parametros_manuales!$H$32="Todos",datos_base!$I$11+datos_base!$I$25,0))*parametros_manuales!$I$105+parametros_manuales!$G$32*(datos_base!$I$5+datos_base!$I$21+IF(parametros_manuales!$H$32="Todos",datos_base!$I$12+datos_base!$I$26,0))*parametros_manuales!$I$110)*parametros_manuales!$I$32*parametros_manuales!$J$32</f>
        <v>19020.66328472</v>
      </c>
      <c r="J204" s="9" t="n">
        <f aca="false">(parametros_manuales!$D$32*(datos_base!$I$2+datos_base!$I$18+IF(parametros_manuales!$H$32="Todos",datos_base!$I$9+datos_base!$I$23,0))*parametros_manuales!$J$95+parametros_manuales!$E$32*(datos_base!$I$3+datos_base!$I$19+IF(parametros_manuales!$H$32="Todos",datos_base!$I$10+datos_base!$I$24,0))*parametros_manuales!$J$100+parametros_manuales!$F$32*(datos_base!$I$4+datos_base!$I$20+IF(parametros_manuales!$H$32="Todos",datos_base!$I$11+datos_base!$I$25,0))*parametros_manuales!$J$105+parametros_manuales!$G$32*(datos_base!$I$5+datos_base!$I$21+IF(parametros_manuales!$H$32="Todos",datos_base!$I$12+datos_base!$I$26,0))*parametros_manuales!$J$110)*parametros_manuales!$I$32*parametros_manuales!$J$32</f>
        <v>19020.66328472</v>
      </c>
      <c r="K204" s="9" t="n">
        <f aca="false">(parametros_manuales!$D$32*(datos_base!$I$2+datos_base!$I$18+IF(parametros_manuales!$H$32="Todos",datos_base!$I$9+datos_base!$I$23,0))*parametros_manuales!$K$95+parametros_manuales!$E$32*(datos_base!$I$3+datos_base!$I$19+IF(parametros_manuales!$H$32="Todos",datos_base!$I$10+datos_base!$I$24,0))*parametros_manuales!$K$100+parametros_manuales!$F$32*(datos_base!$I$4+datos_base!$I$20+IF(parametros_manuales!$H$32="Todos",datos_base!$I$11+datos_base!$I$25,0))*parametros_manuales!$K$105+parametros_manuales!$G$32*(datos_base!$I$5+datos_base!$I$21+IF(parametros_manuales!$H$32="Todos",datos_base!$I$12+datos_base!$I$26,0))*parametros_manuales!$K$110)*parametros_manuales!$I$32*parametros_manuales!$J$32</f>
        <v>19331.206173565</v>
      </c>
      <c r="L204" s="9" t="n">
        <f aca="false">(parametros_manuales!$D$32*(datos_base!$I$2+datos_base!$I$18+IF(parametros_manuales!$H$32="Todos",datos_base!$I$9+datos_base!$I$23,0))*parametros_manuales!$L$95+parametros_manuales!$E$32*(datos_base!$I$3+datos_base!$I$19+IF(parametros_manuales!$H$32="Todos",datos_base!$I$10+datos_base!$I$24,0))*parametros_manuales!$L$100+parametros_manuales!$F$32*(datos_base!$I$4+datos_base!$I$20+IF(parametros_manuales!$H$32="Todos",datos_base!$I$11+datos_base!$I$25,0))*parametros_manuales!$L$105+parametros_manuales!$G$32*(datos_base!$I$5+datos_base!$I$21+IF(parametros_manuales!$H$32="Todos",datos_base!$I$12+datos_base!$I$26,0))*parametros_manuales!$L$110)*parametros_manuales!$I$32*parametros_manuales!$J$32</f>
        <v>19641.74906241</v>
      </c>
      <c r="M204" s="9" t="n">
        <f aca="false">(parametros_manuales!$D$32*(datos_base!$I$2+datos_base!$I$18+IF(parametros_manuales!$H$32="Todos",datos_base!$I$9+datos_base!$I$23,0))*parametros_manuales!$M$95+parametros_manuales!$E$32*(datos_base!$I$3+datos_base!$I$19+IF(parametros_manuales!$H$32="Todos",datos_base!$I$10+datos_base!$I$24,0))*parametros_manuales!$M$100+parametros_manuales!$F$32*(datos_base!$I$4+datos_base!$I$20+IF(parametros_manuales!$H$32="Todos",datos_base!$I$11+datos_base!$I$25,0))*parametros_manuales!$M$105+parametros_manuales!$G$32*(datos_base!$I$5+datos_base!$I$21+IF(parametros_manuales!$H$32="Todos",datos_base!$I$12+datos_base!$I$26,0))*parametros_manuales!$M$110)*parametros_manuales!$I$32*parametros_manuales!$J$32</f>
        <v>19641.74906241</v>
      </c>
      <c r="N204" s="9" t="n">
        <f aca="false">SUM(B204:M204)</f>
        <v>218241.656249</v>
      </c>
      <c r="O204" s="9" t="n">
        <f aca="false">MAX(B204:M204)</f>
        <v>19641.74906241</v>
      </c>
      <c r="P204" s="43" t="n">
        <f aca="false">O204/(parametros_manuales!$B$7)</f>
        <v>130.9449937494</v>
      </c>
      <c r="Q204" s="8" t="str">
        <f aca="false">IF(O204=0,"-",INDEX($B$190:$M$190,MATCH(O204,B204:M204,0)))</f>
        <v>Ene</v>
      </c>
    </row>
    <row r="205" customFormat="false" ht="14.25" hidden="false" customHeight="true" outlineLevel="0" collapsed="false">
      <c r="A205" s="8" t="str">
        <f aca="false">parametros_manuales!$B$33</f>
        <v>Secado</v>
      </c>
      <c r="B205" s="9" t="n">
        <f aca="false">(parametros_manuales!$D$33*(datos_base!$I$2+datos_base!$I$18+IF(parametros_manuales!$H$33="Todos",datos_base!$I$9+datos_base!$I$23,0))*parametros_manuales!$B$95+parametros_manuales!$E$33*(datos_base!$I$3+datos_base!$I$19+IF(parametros_manuales!$H$33="Todos",datos_base!$I$10+datos_base!$I$24,0))*parametros_manuales!$B$100+parametros_manuales!$F$33*(datos_base!$I$4+datos_base!$I$20+IF(parametros_manuales!$H$33="Todos",datos_base!$I$11+datos_base!$I$25,0))*parametros_manuales!$B$105+parametros_manuales!$G$33*(datos_base!$I$5+datos_base!$I$21+IF(parametros_manuales!$H$33="Todos",datos_base!$I$12+datos_base!$I$26,0))*parametros_manuales!$B$110)*parametros_manuales!$I$33*parametros_manuales!$J$33</f>
        <v>19641.74906241</v>
      </c>
      <c r="C205" s="9" t="n">
        <f aca="false">(parametros_manuales!$D$33*(datos_base!$I$2+datos_base!$I$18+IF(parametros_manuales!$H$33="Todos",datos_base!$I$9+datos_base!$I$23,0))*parametros_manuales!$C$95+parametros_manuales!$E$33*(datos_base!$I$3+datos_base!$I$19+IF(parametros_manuales!$H$33="Todos",datos_base!$I$10+datos_base!$I$24,0))*parametros_manuales!$C$100+parametros_manuales!$F$33*(datos_base!$I$4+datos_base!$I$20+IF(parametros_manuales!$H$33="Todos",datos_base!$I$11+datos_base!$I$25,0))*parametros_manuales!$C$105+parametros_manuales!$G$33*(datos_base!$I$5+datos_base!$I$21+IF(parametros_manuales!$H$33="Todos",datos_base!$I$12+datos_base!$I$26,0))*parametros_manuales!$C$110)*parametros_manuales!$I$33*parametros_manuales!$J$33</f>
        <v>19020.66328472</v>
      </c>
      <c r="D205" s="9" t="n">
        <f aca="false">(parametros_manuales!$D$33*(datos_base!$I$2+datos_base!$I$18+IF(parametros_manuales!$H$33="Todos",datos_base!$I$9+datos_base!$I$23,0))*parametros_manuales!$D$95+parametros_manuales!$E$33*(datos_base!$I$3+datos_base!$I$19+IF(parametros_manuales!$H$33="Todos",datos_base!$I$10+datos_base!$I$24,0))*parametros_manuales!$D$100+parametros_manuales!$F$33*(datos_base!$I$4+datos_base!$I$20+IF(parametros_manuales!$H$33="Todos",datos_base!$I$11+datos_base!$I$25,0))*parametros_manuales!$D$105+parametros_manuales!$G$33*(datos_base!$I$5+datos_base!$I$21+IF(parametros_manuales!$H$33="Todos",datos_base!$I$12+datos_base!$I$26,0))*parametros_manuales!$D$110)*parametros_manuales!$I$33*parametros_manuales!$J$33</f>
        <v>17769.875388765</v>
      </c>
      <c r="E205" s="9" t="n">
        <f aca="false">(parametros_manuales!$D$33*(datos_base!$I$2+datos_base!$I$18+IF(parametros_manuales!$H$33="Todos",datos_base!$I$9+datos_base!$I$23,0))*parametros_manuales!$E$95+parametros_manuales!$E$33*(datos_base!$I$3+datos_base!$I$19+IF(parametros_manuales!$H$33="Todos",datos_base!$I$10+datos_base!$I$24,0))*parametros_manuales!$E$100+parametros_manuales!$F$33*(datos_base!$I$4+datos_base!$I$20+IF(parametros_manuales!$H$33="Todos",datos_base!$I$11+datos_base!$I$25,0))*parametros_manuales!$E$105+parametros_manuales!$G$33*(datos_base!$I$5+datos_base!$I$21+IF(parametros_manuales!$H$33="Todos",datos_base!$I$12+datos_base!$I$26,0))*parametros_manuales!$E$110)*parametros_manuales!$I$33*parametros_manuales!$J$33</f>
        <v>16989.209996365</v>
      </c>
      <c r="F205" s="9" t="n">
        <f aca="false">(parametros_manuales!$D$33*(datos_base!$I$2+datos_base!$I$18+IF(parametros_manuales!$H$33="Todos",datos_base!$I$9+datos_base!$I$23,0))*parametros_manuales!$F$95+parametros_manuales!$E$33*(datos_base!$I$3+datos_base!$I$19+IF(parametros_manuales!$H$33="Todos",datos_base!$I$10+datos_base!$I$24,0))*parametros_manuales!$F$100+parametros_manuales!$F$33*(datos_base!$I$4+datos_base!$I$20+IF(parametros_manuales!$H$33="Todos",datos_base!$I$11+datos_base!$I$25,0))*parametros_manuales!$F$105+parametros_manuales!$G$33*(datos_base!$I$5+datos_base!$I$21+IF(parametros_manuales!$H$33="Todos",datos_base!$I$12+datos_base!$I$26,0))*parametros_manuales!$F$110)*parametros_manuales!$I$33*parametros_manuales!$J$33</f>
        <v>15898.00171512</v>
      </c>
      <c r="G205" s="9" t="n">
        <f aca="false">(parametros_manuales!$D$33*(datos_base!$I$2+datos_base!$I$18+IF(parametros_manuales!$H$33="Todos",datos_base!$I$9+datos_base!$I$23,0))*parametros_manuales!$G$95+parametros_manuales!$E$33*(datos_base!$I$3+datos_base!$I$19+IF(parametros_manuales!$H$33="Todos",datos_base!$I$10+datos_base!$I$24,0))*parametros_manuales!$G$100+parametros_manuales!$F$33*(datos_base!$I$4+datos_base!$I$20+IF(parametros_manuales!$H$33="Todos",datos_base!$I$11+datos_base!$I$25,0))*parametros_manuales!$G$105+parametros_manuales!$G$33*(datos_base!$I$5+datos_base!$I$21+IF(parametros_manuales!$H$33="Todos",datos_base!$I$12+datos_base!$I$26,0))*parametros_manuales!$G$110)*parametros_manuales!$I$33*parametros_manuales!$J$33</f>
        <v>15587.458826275</v>
      </c>
      <c r="H205" s="9" t="n">
        <f aca="false">(parametros_manuales!$D$33*(datos_base!$I$2+datos_base!$I$18+IF(parametros_manuales!$H$33="Todos",datos_base!$I$9+datos_base!$I$23,0))*parametros_manuales!$H$95+parametros_manuales!$E$33*(datos_base!$I$3+datos_base!$I$19+IF(parametros_manuales!$H$33="Todos",datos_base!$I$10+datos_base!$I$24,0))*parametros_manuales!$H$100+parametros_manuales!$F$33*(datos_base!$I$4+datos_base!$I$20+IF(parametros_manuales!$H$33="Todos",datos_base!$I$11+datos_base!$I$25,0))*parametros_manuales!$H$105+parametros_manuales!$G$33*(datos_base!$I$5+datos_base!$I$21+IF(parametros_manuales!$H$33="Todos",datos_base!$I$12+datos_base!$I$26,0))*parametros_manuales!$H$110)*parametros_manuales!$I$33*parametros_manuales!$J$33</f>
        <v>16678.66710752</v>
      </c>
      <c r="I205" s="9" t="n">
        <f aca="false">(parametros_manuales!$D$33*(datos_base!$I$2+datos_base!$I$18+IF(parametros_manuales!$H$33="Todos",datos_base!$I$9+datos_base!$I$23,0))*parametros_manuales!$I$95+parametros_manuales!$E$33*(datos_base!$I$3+datos_base!$I$19+IF(parametros_manuales!$H$33="Todos",datos_base!$I$10+datos_base!$I$24,0))*parametros_manuales!$I$100+parametros_manuales!$F$33*(datos_base!$I$4+datos_base!$I$20+IF(parametros_manuales!$H$33="Todos",datos_base!$I$11+datos_base!$I$25,0))*parametros_manuales!$I$105+parametros_manuales!$G$33*(datos_base!$I$5+datos_base!$I$21+IF(parametros_manuales!$H$33="Todos",datos_base!$I$12+datos_base!$I$26,0))*parametros_manuales!$I$110)*parametros_manuales!$I$33*parametros_manuales!$J$33</f>
        <v>19020.66328472</v>
      </c>
      <c r="J205" s="9" t="n">
        <f aca="false">(parametros_manuales!$D$33*(datos_base!$I$2+datos_base!$I$18+IF(parametros_manuales!$H$33="Todos",datos_base!$I$9+datos_base!$I$23,0))*parametros_manuales!$J$95+parametros_manuales!$E$33*(datos_base!$I$3+datos_base!$I$19+IF(parametros_manuales!$H$33="Todos",datos_base!$I$10+datos_base!$I$24,0))*parametros_manuales!$J$100+parametros_manuales!$F$33*(datos_base!$I$4+datos_base!$I$20+IF(parametros_manuales!$H$33="Todos",datos_base!$I$11+datos_base!$I$25,0))*parametros_manuales!$J$105+parametros_manuales!$G$33*(datos_base!$I$5+datos_base!$I$21+IF(parametros_manuales!$H$33="Todos",datos_base!$I$12+datos_base!$I$26,0))*parametros_manuales!$J$110)*parametros_manuales!$I$33*parametros_manuales!$J$33</f>
        <v>19020.66328472</v>
      </c>
      <c r="K205" s="9" t="n">
        <f aca="false">(parametros_manuales!$D$33*(datos_base!$I$2+datos_base!$I$18+IF(parametros_manuales!$H$33="Todos",datos_base!$I$9+datos_base!$I$23,0))*parametros_manuales!$K$95+parametros_manuales!$E$33*(datos_base!$I$3+datos_base!$I$19+IF(parametros_manuales!$H$33="Todos",datos_base!$I$10+datos_base!$I$24,0))*parametros_manuales!$K$100+parametros_manuales!$F$33*(datos_base!$I$4+datos_base!$I$20+IF(parametros_manuales!$H$33="Todos",datos_base!$I$11+datos_base!$I$25,0))*parametros_manuales!$K$105+parametros_manuales!$G$33*(datos_base!$I$5+datos_base!$I$21+IF(parametros_manuales!$H$33="Todos",datos_base!$I$12+datos_base!$I$26,0))*parametros_manuales!$K$110)*parametros_manuales!$I$33*parametros_manuales!$J$33</f>
        <v>19331.206173565</v>
      </c>
      <c r="L205" s="9" t="n">
        <f aca="false">(parametros_manuales!$D$33*(datos_base!$I$2+datos_base!$I$18+IF(parametros_manuales!$H$33="Todos",datos_base!$I$9+datos_base!$I$23,0))*parametros_manuales!$L$95+parametros_manuales!$E$33*(datos_base!$I$3+datos_base!$I$19+IF(parametros_manuales!$H$33="Todos",datos_base!$I$10+datos_base!$I$24,0))*parametros_manuales!$L$100+parametros_manuales!$F$33*(datos_base!$I$4+datos_base!$I$20+IF(parametros_manuales!$H$33="Todos",datos_base!$I$11+datos_base!$I$25,0))*parametros_manuales!$L$105+parametros_manuales!$G$33*(datos_base!$I$5+datos_base!$I$21+IF(parametros_manuales!$H$33="Todos",datos_base!$I$12+datos_base!$I$26,0))*parametros_manuales!$L$110)*parametros_manuales!$I$33*parametros_manuales!$J$33</f>
        <v>19641.74906241</v>
      </c>
      <c r="M205" s="9" t="n">
        <f aca="false">(parametros_manuales!$D$33*(datos_base!$I$2+datos_base!$I$18+IF(parametros_manuales!$H$33="Todos",datos_base!$I$9+datos_base!$I$23,0))*parametros_manuales!$M$95+parametros_manuales!$E$33*(datos_base!$I$3+datos_base!$I$19+IF(parametros_manuales!$H$33="Todos",datos_base!$I$10+datos_base!$I$24,0))*parametros_manuales!$M$100+parametros_manuales!$F$33*(datos_base!$I$4+datos_base!$I$20+IF(parametros_manuales!$H$33="Todos",datos_base!$I$11+datos_base!$I$25,0))*parametros_manuales!$M$105+parametros_manuales!$G$33*(datos_base!$I$5+datos_base!$I$21+IF(parametros_manuales!$H$33="Todos",datos_base!$I$12+datos_base!$I$26,0))*parametros_manuales!$M$110)*parametros_manuales!$I$33*parametros_manuales!$J$33</f>
        <v>19641.74906241</v>
      </c>
      <c r="N205" s="9" t="n">
        <f aca="false">SUM(B205:M205)</f>
        <v>218241.656249</v>
      </c>
      <c r="O205" s="9" t="n">
        <f aca="false">MAX(B205:M205)</f>
        <v>19641.74906241</v>
      </c>
      <c r="P205" s="43" t="n">
        <f aca="false">O205/(parametros_manuales!$B$7)</f>
        <v>130.9449937494</v>
      </c>
      <c r="Q205" s="8" t="str">
        <f aca="false">IF(O205=0,"-",INDEX($B$190:$M$190,MATCH(O205,B205:M205,0)))</f>
        <v>Ene</v>
      </c>
    </row>
    <row r="206" customFormat="false" ht="14.25" hidden="false" customHeight="true" outlineLevel="0" collapsed="false">
      <c r="A206" s="8" t="str">
        <f aca="false">parametros_manuales!$B$34</f>
        <v>Granallado</v>
      </c>
      <c r="B206" s="9" t="n">
        <f aca="false">(parametros_manuales!$D$34*(datos_base!$I$2+datos_base!$I$18+IF(parametros_manuales!$H$34="Todos",datos_base!$I$9+datos_base!$I$23,0))*parametros_manuales!$B$95+parametros_manuales!$E$34*(datos_base!$I$3+datos_base!$I$19+IF(parametros_manuales!$H$34="Todos",datos_base!$I$10+datos_base!$I$24,0))*parametros_manuales!$B$100+parametros_manuales!$F$34*(datos_base!$I$4+datos_base!$I$20+IF(parametros_manuales!$H$34="Todos",datos_base!$I$11+datos_base!$I$25,0))*parametros_manuales!$B$105+parametros_manuales!$G$34*(datos_base!$I$5+datos_base!$I$21+IF(parametros_manuales!$H$34="Todos",datos_base!$I$12+datos_base!$I$26,0))*parametros_manuales!$B$110)*parametros_manuales!$I$34*parametros_manuales!$J$34</f>
        <v>19641.74906241</v>
      </c>
      <c r="C206" s="9" t="n">
        <f aca="false">(parametros_manuales!$D$34*(datos_base!$I$2+datos_base!$I$18+IF(parametros_manuales!$H$34="Todos",datos_base!$I$9+datos_base!$I$23,0))*parametros_manuales!$C$95+parametros_manuales!$E$34*(datos_base!$I$3+datos_base!$I$19+IF(parametros_manuales!$H$34="Todos",datos_base!$I$10+datos_base!$I$24,0))*parametros_manuales!$C$100+parametros_manuales!$F$34*(datos_base!$I$4+datos_base!$I$20+IF(parametros_manuales!$H$34="Todos",datos_base!$I$11+datos_base!$I$25,0))*parametros_manuales!$C$105+parametros_manuales!$G$34*(datos_base!$I$5+datos_base!$I$21+IF(parametros_manuales!$H$34="Todos",datos_base!$I$12+datos_base!$I$26,0))*parametros_manuales!$C$110)*parametros_manuales!$I$34*parametros_manuales!$J$34</f>
        <v>19020.66328472</v>
      </c>
      <c r="D206" s="9" t="n">
        <f aca="false">(parametros_manuales!$D$34*(datos_base!$I$2+datos_base!$I$18+IF(parametros_manuales!$H$34="Todos",datos_base!$I$9+datos_base!$I$23,0))*parametros_manuales!$D$95+parametros_manuales!$E$34*(datos_base!$I$3+datos_base!$I$19+IF(parametros_manuales!$H$34="Todos",datos_base!$I$10+datos_base!$I$24,0))*parametros_manuales!$D$100+parametros_manuales!$F$34*(datos_base!$I$4+datos_base!$I$20+IF(parametros_manuales!$H$34="Todos",datos_base!$I$11+datos_base!$I$25,0))*parametros_manuales!$D$105+parametros_manuales!$G$34*(datos_base!$I$5+datos_base!$I$21+IF(parametros_manuales!$H$34="Todos",datos_base!$I$12+datos_base!$I$26,0))*parametros_manuales!$D$110)*parametros_manuales!$I$34*parametros_manuales!$J$34</f>
        <v>17769.875388765</v>
      </c>
      <c r="E206" s="9" t="n">
        <f aca="false">(parametros_manuales!$D$34*(datos_base!$I$2+datos_base!$I$18+IF(parametros_manuales!$H$34="Todos",datos_base!$I$9+datos_base!$I$23,0))*parametros_manuales!$E$95+parametros_manuales!$E$34*(datos_base!$I$3+datos_base!$I$19+IF(parametros_manuales!$H$34="Todos",datos_base!$I$10+datos_base!$I$24,0))*parametros_manuales!$E$100+parametros_manuales!$F$34*(datos_base!$I$4+datos_base!$I$20+IF(parametros_manuales!$H$34="Todos",datos_base!$I$11+datos_base!$I$25,0))*parametros_manuales!$E$105+parametros_manuales!$G$34*(datos_base!$I$5+datos_base!$I$21+IF(parametros_manuales!$H$34="Todos",datos_base!$I$12+datos_base!$I$26,0))*parametros_manuales!$E$110)*parametros_manuales!$I$34*parametros_manuales!$J$34</f>
        <v>16989.209996365</v>
      </c>
      <c r="F206" s="9" t="n">
        <f aca="false">(parametros_manuales!$D$34*(datos_base!$I$2+datos_base!$I$18+IF(parametros_manuales!$H$34="Todos",datos_base!$I$9+datos_base!$I$23,0))*parametros_manuales!$F$95+parametros_manuales!$E$34*(datos_base!$I$3+datos_base!$I$19+IF(parametros_manuales!$H$34="Todos",datos_base!$I$10+datos_base!$I$24,0))*parametros_manuales!$F$100+parametros_manuales!$F$34*(datos_base!$I$4+datos_base!$I$20+IF(parametros_manuales!$H$34="Todos",datos_base!$I$11+datos_base!$I$25,0))*parametros_manuales!$F$105+parametros_manuales!$G$34*(datos_base!$I$5+datos_base!$I$21+IF(parametros_manuales!$H$34="Todos",datos_base!$I$12+datos_base!$I$26,0))*parametros_manuales!$F$110)*parametros_manuales!$I$34*parametros_manuales!$J$34</f>
        <v>15898.00171512</v>
      </c>
      <c r="G206" s="9" t="n">
        <f aca="false">(parametros_manuales!$D$34*(datos_base!$I$2+datos_base!$I$18+IF(parametros_manuales!$H$34="Todos",datos_base!$I$9+datos_base!$I$23,0))*parametros_manuales!$G$95+parametros_manuales!$E$34*(datos_base!$I$3+datos_base!$I$19+IF(parametros_manuales!$H$34="Todos",datos_base!$I$10+datos_base!$I$24,0))*parametros_manuales!$G$100+parametros_manuales!$F$34*(datos_base!$I$4+datos_base!$I$20+IF(parametros_manuales!$H$34="Todos",datos_base!$I$11+datos_base!$I$25,0))*parametros_manuales!$G$105+parametros_manuales!$G$34*(datos_base!$I$5+datos_base!$I$21+IF(parametros_manuales!$H$34="Todos",datos_base!$I$12+datos_base!$I$26,0))*parametros_manuales!$G$110)*parametros_manuales!$I$34*parametros_manuales!$J$34</f>
        <v>15587.458826275</v>
      </c>
      <c r="H206" s="9" t="n">
        <f aca="false">(parametros_manuales!$D$34*(datos_base!$I$2+datos_base!$I$18+IF(parametros_manuales!$H$34="Todos",datos_base!$I$9+datos_base!$I$23,0))*parametros_manuales!$H$95+parametros_manuales!$E$34*(datos_base!$I$3+datos_base!$I$19+IF(parametros_manuales!$H$34="Todos",datos_base!$I$10+datos_base!$I$24,0))*parametros_manuales!$H$100+parametros_manuales!$F$34*(datos_base!$I$4+datos_base!$I$20+IF(parametros_manuales!$H$34="Todos",datos_base!$I$11+datos_base!$I$25,0))*parametros_manuales!$H$105+parametros_manuales!$G$34*(datos_base!$I$5+datos_base!$I$21+IF(parametros_manuales!$H$34="Todos",datos_base!$I$12+datos_base!$I$26,0))*parametros_manuales!$H$110)*parametros_manuales!$I$34*parametros_manuales!$J$34</f>
        <v>16678.66710752</v>
      </c>
      <c r="I206" s="9" t="n">
        <f aca="false">(parametros_manuales!$D$34*(datos_base!$I$2+datos_base!$I$18+IF(parametros_manuales!$H$34="Todos",datos_base!$I$9+datos_base!$I$23,0))*parametros_manuales!$I$95+parametros_manuales!$E$34*(datos_base!$I$3+datos_base!$I$19+IF(parametros_manuales!$H$34="Todos",datos_base!$I$10+datos_base!$I$24,0))*parametros_manuales!$I$100+parametros_manuales!$F$34*(datos_base!$I$4+datos_base!$I$20+IF(parametros_manuales!$H$34="Todos",datos_base!$I$11+datos_base!$I$25,0))*parametros_manuales!$I$105+parametros_manuales!$G$34*(datos_base!$I$5+datos_base!$I$21+IF(parametros_manuales!$H$34="Todos",datos_base!$I$12+datos_base!$I$26,0))*parametros_manuales!$I$110)*parametros_manuales!$I$34*parametros_manuales!$J$34</f>
        <v>19020.66328472</v>
      </c>
      <c r="J206" s="9" t="n">
        <f aca="false">(parametros_manuales!$D$34*(datos_base!$I$2+datos_base!$I$18+IF(parametros_manuales!$H$34="Todos",datos_base!$I$9+datos_base!$I$23,0))*parametros_manuales!$J$95+parametros_manuales!$E$34*(datos_base!$I$3+datos_base!$I$19+IF(parametros_manuales!$H$34="Todos",datos_base!$I$10+datos_base!$I$24,0))*parametros_manuales!$J$100+parametros_manuales!$F$34*(datos_base!$I$4+datos_base!$I$20+IF(parametros_manuales!$H$34="Todos",datos_base!$I$11+datos_base!$I$25,0))*parametros_manuales!$J$105+parametros_manuales!$G$34*(datos_base!$I$5+datos_base!$I$21+IF(parametros_manuales!$H$34="Todos",datos_base!$I$12+datos_base!$I$26,0))*parametros_manuales!$J$110)*parametros_manuales!$I$34*parametros_manuales!$J$34</f>
        <v>19020.66328472</v>
      </c>
      <c r="K206" s="9" t="n">
        <f aca="false">(parametros_manuales!$D$34*(datos_base!$I$2+datos_base!$I$18+IF(parametros_manuales!$H$34="Todos",datos_base!$I$9+datos_base!$I$23,0))*parametros_manuales!$K$95+parametros_manuales!$E$34*(datos_base!$I$3+datos_base!$I$19+IF(parametros_manuales!$H$34="Todos",datos_base!$I$10+datos_base!$I$24,0))*parametros_manuales!$K$100+parametros_manuales!$F$34*(datos_base!$I$4+datos_base!$I$20+IF(parametros_manuales!$H$34="Todos",datos_base!$I$11+datos_base!$I$25,0))*parametros_manuales!$K$105+parametros_manuales!$G$34*(datos_base!$I$5+datos_base!$I$21+IF(parametros_manuales!$H$34="Todos",datos_base!$I$12+datos_base!$I$26,0))*parametros_manuales!$K$110)*parametros_manuales!$I$34*parametros_manuales!$J$34</f>
        <v>19331.206173565</v>
      </c>
      <c r="L206" s="9" t="n">
        <f aca="false">(parametros_manuales!$D$34*(datos_base!$I$2+datos_base!$I$18+IF(parametros_manuales!$H$34="Todos",datos_base!$I$9+datos_base!$I$23,0))*parametros_manuales!$L$95+parametros_manuales!$E$34*(datos_base!$I$3+datos_base!$I$19+IF(parametros_manuales!$H$34="Todos",datos_base!$I$10+datos_base!$I$24,0))*parametros_manuales!$L$100+parametros_manuales!$F$34*(datos_base!$I$4+datos_base!$I$20+IF(parametros_manuales!$H$34="Todos",datos_base!$I$11+datos_base!$I$25,0))*parametros_manuales!$L$105+parametros_manuales!$G$34*(datos_base!$I$5+datos_base!$I$21+IF(parametros_manuales!$H$34="Todos",datos_base!$I$12+datos_base!$I$26,0))*parametros_manuales!$L$110)*parametros_manuales!$I$34*parametros_manuales!$J$34</f>
        <v>19641.74906241</v>
      </c>
      <c r="M206" s="9" t="n">
        <f aca="false">(parametros_manuales!$D$34*(datos_base!$I$2+datos_base!$I$18+IF(parametros_manuales!$H$34="Todos",datos_base!$I$9+datos_base!$I$23,0))*parametros_manuales!$M$95+parametros_manuales!$E$34*(datos_base!$I$3+datos_base!$I$19+IF(parametros_manuales!$H$34="Todos",datos_base!$I$10+datos_base!$I$24,0))*parametros_manuales!$M$100+parametros_manuales!$F$34*(datos_base!$I$4+datos_base!$I$20+IF(parametros_manuales!$H$34="Todos",datos_base!$I$11+datos_base!$I$25,0))*parametros_manuales!$M$105+parametros_manuales!$G$34*(datos_base!$I$5+datos_base!$I$21+IF(parametros_manuales!$H$34="Todos",datos_base!$I$12+datos_base!$I$26,0))*parametros_manuales!$M$110)*parametros_manuales!$I$34*parametros_manuales!$J$34</f>
        <v>19641.74906241</v>
      </c>
      <c r="N206" s="9" t="n">
        <f aca="false">SUM(B206:M206)</f>
        <v>218241.656249</v>
      </c>
      <c r="O206" s="9" t="n">
        <f aca="false">MAX(B206:M206)</f>
        <v>19641.74906241</v>
      </c>
      <c r="P206" s="43" t="n">
        <f aca="false">O206/(parametros_manuales!$B$7)</f>
        <v>130.9449937494</v>
      </c>
      <c r="Q206" s="8" t="str">
        <f aca="false">IF(O206=0,"-",INDEX($B$190:$M$190,MATCH(O206,B206:M206,0)))</f>
        <v>Ene</v>
      </c>
    </row>
    <row r="207" customFormat="false" ht="14.25" hidden="false" customHeight="true" outlineLevel="0" collapsed="false">
      <c r="A207" s="8" t="str">
        <f aca="false">parametros_manuales!$B$35</f>
        <v>Detección de defectos</v>
      </c>
      <c r="B207" s="9" t="n">
        <f aca="false">(parametros_manuales!$D$35*(datos_base!$I$2+datos_base!$I$18+IF(parametros_manuales!$H$35="Todos",datos_base!$I$9+datos_base!$I$23,0))*parametros_manuales!$B$95+parametros_manuales!$E$35*(datos_base!$I$3+datos_base!$I$19+IF(parametros_manuales!$H$35="Todos",datos_base!$I$10+datos_base!$I$24,0))*parametros_manuales!$B$100+parametros_manuales!$F$35*(datos_base!$I$4+datos_base!$I$20+IF(parametros_manuales!$H$35="Todos",datos_base!$I$11+datos_base!$I$25,0))*parametros_manuales!$B$105+parametros_manuales!$G$35*(datos_base!$I$5+datos_base!$I$21+IF(parametros_manuales!$H$35="Todos",datos_base!$I$12+datos_base!$I$26,0))*parametros_manuales!$B$110)*parametros_manuales!$I$35*parametros_manuales!$J$35</f>
        <v>19641.74906241</v>
      </c>
      <c r="C207" s="9" t="n">
        <f aca="false">(parametros_manuales!$D$35*(datos_base!$I$2+datos_base!$I$18+IF(parametros_manuales!$H$35="Todos",datos_base!$I$9+datos_base!$I$23,0))*parametros_manuales!$C$95+parametros_manuales!$E$35*(datos_base!$I$3+datos_base!$I$19+IF(parametros_manuales!$H$35="Todos",datos_base!$I$10+datos_base!$I$24,0))*parametros_manuales!$C$100+parametros_manuales!$F$35*(datos_base!$I$4+datos_base!$I$20+IF(parametros_manuales!$H$35="Todos",datos_base!$I$11+datos_base!$I$25,0))*parametros_manuales!$C$105+parametros_manuales!$G$35*(datos_base!$I$5+datos_base!$I$21+IF(parametros_manuales!$H$35="Todos",datos_base!$I$12+datos_base!$I$26,0))*parametros_manuales!$C$110)*parametros_manuales!$I$35*parametros_manuales!$J$35</f>
        <v>19020.66328472</v>
      </c>
      <c r="D207" s="9" t="n">
        <f aca="false">(parametros_manuales!$D$35*(datos_base!$I$2+datos_base!$I$18+IF(parametros_manuales!$H$35="Todos",datos_base!$I$9+datos_base!$I$23,0))*parametros_manuales!$D$95+parametros_manuales!$E$35*(datos_base!$I$3+datos_base!$I$19+IF(parametros_manuales!$H$35="Todos",datos_base!$I$10+datos_base!$I$24,0))*parametros_manuales!$D$100+parametros_manuales!$F$35*(datos_base!$I$4+datos_base!$I$20+IF(parametros_manuales!$H$35="Todos",datos_base!$I$11+datos_base!$I$25,0))*parametros_manuales!$D$105+parametros_manuales!$G$35*(datos_base!$I$5+datos_base!$I$21+IF(parametros_manuales!$H$35="Todos",datos_base!$I$12+datos_base!$I$26,0))*parametros_manuales!$D$110)*parametros_manuales!$I$35*parametros_manuales!$J$35</f>
        <v>17769.875388765</v>
      </c>
      <c r="E207" s="9" t="n">
        <f aca="false">(parametros_manuales!$D$35*(datos_base!$I$2+datos_base!$I$18+IF(parametros_manuales!$H$35="Todos",datos_base!$I$9+datos_base!$I$23,0))*parametros_manuales!$E$95+parametros_manuales!$E$35*(datos_base!$I$3+datos_base!$I$19+IF(parametros_manuales!$H$35="Todos",datos_base!$I$10+datos_base!$I$24,0))*parametros_manuales!$E$100+parametros_manuales!$F$35*(datos_base!$I$4+datos_base!$I$20+IF(parametros_manuales!$H$35="Todos",datos_base!$I$11+datos_base!$I$25,0))*parametros_manuales!$E$105+parametros_manuales!$G$35*(datos_base!$I$5+datos_base!$I$21+IF(parametros_manuales!$H$35="Todos",datos_base!$I$12+datos_base!$I$26,0))*parametros_manuales!$E$110)*parametros_manuales!$I$35*parametros_manuales!$J$35</f>
        <v>16989.209996365</v>
      </c>
      <c r="F207" s="9" t="n">
        <f aca="false">(parametros_manuales!$D$35*(datos_base!$I$2+datos_base!$I$18+IF(parametros_manuales!$H$35="Todos",datos_base!$I$9+datos_base!$I$23,0))*parametros_manuales!$F$95+parametros_manuales!$E$35*(datos_base!$I$3+datos_base!$I$19+IF(parametros_manuales!$H$35="Todos",datos_base!$I$10+datos_base!$I$24,0))*parametros_manuales!$F$100+parametros_manuales!$F$35*(datos_base!$I$4+datos_base!$I$20+IF(parametros_manuales!$H$35="Todos",datos_base!$I$11+datos_base!$I$25,0))*parametros_manuales!$F$105+parametros_manuales!$G$35*(datos_base!$I$5+datos_base!$I$21+IF(parametros_manuales!$H$35="Todos",datos_base!$I$12+datos_base!$I$26,0))*parametros_manuales!$F$110)*parametros_manuales!$I$35*parametros_manuales!$J$35</f>
        <v>15898.00171512</v>
      </c>
      <c r="G207" s="9" t="n">
        <f aca="false">(parametros_manuales!$D$35*(datos_base!$I$2+datos_base!$I$18+IF(parametros_manuales!$H$35="Todos",datos_base!$I$9+datos_base!$I$23,0))*parametros_manuales!$G$95+parametros_manuales!$E$35*(datos_base!$I$3+datos_base!$I$19+IF(parametros_manuales!$H$35="Todos",datos_base!$I$10+datos_base!$I$24,0))*parametros_manuales!$G$100+parametros_manuales!$F$35*(datos_base!$I$4+datos_base!$I$20+IF(parametros_manuales!$H$35="Todos",datos_base!$I$11+datos_base!$I$25,0))*parametros_manuales!$G$105+parametros_manuales!$G$35*(datos_base!$I$5+datos_base!$I$21+IF(parametros_manuales!$H$35="Todos",datos_base!$I$12+datos_base!$I$26,0))*parametros_manuales!$G$110)*parametros_manuales!$I$35*parametros_manuales!$J$35</f>
        <v>15587.458826275</v>
      </c>
      <c r="H207" s="9" t="n">
        <f aca="false">(parametros_manuales!$D$35*(datos_base!$I$2+datos_base!$I$18+IF(parametros_manuales!$H$35="Todos",datos_base!$I$9+datos_base!$I$23,0))*parametros_manuales!$H$95+parametros_manuales!$E$35*(datos_base!$I$3+datos_base!$I$19+IF(parametros_manuales!$H$35="Todos",datos_base!$I$10+datos_base!$I$24,0))*parametros_manuales!$H$100+parametros_manuales!$F$35*(datos_base!$I$4+datos_base!$I$20+IF(parametros_manuales!$H$35="Todos",datos_base!$I$11+datos_base!$I$25,0))*parametros_manuales!$H$105+parametros_manuales!$G$35*(datos_base!$I$5+datos_base!$I$21+IF(parametros_manuales!$H$35="Todos",datos_base!$I$12+datos_base!$I$26,0))*parametros_manuales!$H$110)*parametros_manuales!$I$35*parametros_manuales!$J$35</f>
        <v>16678.66710752</v>
      </c>
      <c r="I207" s="9" t="n">
        <f aca="false">(parametros_manuales!$D$35*(datos_base!$I$2+datos_base!$I$18+IF(parametros_manuales!$H$35="Todos",datos_base!$I$9+datos_base!$I$23,0))*parametros_manuales!$I$95+parametros_manuales!$E$35*(datos_base!$I$3+datos_base!$I$19+IF(parametros_manuales!$H$35="Todos",datos_base!$I$10+datos_base!$I$24,0))*parametros_manuales!$I$100+parametros_manuales!$F$35*(datos_base!$I$4+datos_base!$I$20+IF(parametros_manuales!$H$35="Todos",datos_base!$I$11+datos_base!$I$25,0))*parametros_manuales!$I$105+parametros_manuales!$G$35*(datos_base!$I$5+datos_base!$I$21+IF(parametros_manuales!$H$35="Todos",datos_base!$I$12+datos_base!$I$26,0))*parametros_manuales!$I$110)*parametros_manuales!$I$35*parametros_manuales!$J$35</f>
        <v>19020.66328472</v>
      </c>
      <c r="J207" s="9" t="n">
        <f aca="false">(parametros_manuales!$D$35*(datos_base!$I$2+datos_base!$I$18+IF(parametros_manuales!$H$35="Todos",datos_base!$I$9+datos_base!$I$23,0))*parametros_manuales!$J$95+parametros_manuales!$E$35*(datos_base!$I$3+datos_base!$I$19+IF(parametros_manuales!$H$35="Todos",datos_base!$I$10+datos_base!$I$24,0))*parametros_manuales!$J$100+parametros_manuales!$F$35*(datos_base!$I$4+datos_base!$I$20+IF(parametros_manuales!$H$35="Todos",datos_base!$I$11+datos_base!$I$25,0))*parametros_manuales!$J$105+parametros_manuales!$G$35*(datos_base!$I$5+datos_base!$I$21+IF(parametros_manuales!$H$35="Todos",datos_base!$I$12+datos_base!$I$26,0))*parametros_manuales!$J$110)*parametros_manuales!$I$35*parametros_manuales!$J$35</f>
        <v>19020.66328472</v>
      </c>
      <c r="K207" s="9" t="n">
        <f aca="false">(parametros_manuales!$D$35*(datos_base!$I$2+datos_base!$I$18+IF(parametros_manuales!$H$35="Todos",datos_base!$I$9+datos_base!$I$23,0))*parametros_manuales!$K$95+parametros_manuales!$E$35*(datos_base!$I$3+datos_base!$I$19+IF(parametros_manuales!$H$35="Todos",datos_base!$I$10+datos_base!$I$24,0))*parametros_manuales!$K$100+parametros_manuales!$F$35*(datos_base!$I$4+datos_base!$I$20+IF(parametros_manuales!$H$35="Todos",datos_base!$I$11+datos_base!$I$25,0))*parametros_manuales!$K$105+parametros_manuales!$G$35*(datos_base!$I$5+datos_base!$I$21+IF(parametros_manuales!$H$35="Todos",datos_base!$I$12+datos_base!$I$26,0))*parametros_manuales!$K$110)*parametros_manuales!$I$35*parametros_manuales!$J$35</f>
        <v>19331.206173565</v>
      </c>
      <c r="L207" s="9" t="n">
        <f aca="false">(parametros_manuales!$D$35*(datos_base!$I$2+datos_base!$I$18+IF(parametros_manuales!$H$35="Todos",datos_base!$I$9+datos_base!$I$23,0))*parametros_manuales!$L$95+parametros_manuales!$E$35*(datos_base!$I$3+datos_base!$I$19+IF(parametros_manuales!$H$35="Todos",datos_base!$I$10+datos_base!$I$24,0))*parametros_manuales!$L$100+parametros_manuales!$F$35*(datos_base!$I$4+datos_base!$I$20+IF(parametros_manuales!$H$35="Todos",datos_base!$I$11+datos_base!$I$25,0))*parametros_manuales!$L$105+parametros_manuales!$G$35*(datos_base!$I$5+datos_base!$I$21+IF(parametros_manuales!$H$35="Todos",datos_base!$I$12+datos_base!$I$26,0))*parametros_manuales!$L$110)*parametros_manuales!$I$35*parametros_manuales!$J$35</f>
        <v>19641.74906241</v>
      </c>
      <c r="M207" s="9" t="n">
        <f aca="false">(parametros_manuales!$D$35*(datos_base!$I$2+datos_base!$I$18+IF(parametros_manuales!$H$35="Todos",datos_base!$I$9+datos_base!$I$23,0))*parametros_manuales!$M$95+parametros_manuales!$E$35*(datos_base!$I$3+datos_base!$I$19+IF(parametros_manuales!$H$35="Todos",datos_base!$I$10+datos_base!$I$24,0))*parametros_manuales!$M$100+parametros_manuales!$F$35*(datos_base!$I$4+datos_base!$I$20+IF(parametros_manuales!$H$35="Todos",datos_base!$I$11+datos_base!$I$25,0))*parametros_manuales!$M$105+parametros_manuales!$G$35*(datos_base!$I$5+datos_base!$I$21+IF(parametros_manuales!$H$35="Todos",datos_base!$I$12+datos_base!$I$26,0))*parametros_manuales!$M$110)*parametros_manuales!$I$35*parametros_manuales!$J$35</f>
        <v>19641.74906241</v>
      </c>
      <c r="N207" s="9" t="n">
        <f aca="false">SUM(B207:M207)</f>
        <v>218241.656249</v>
      </c>
      <c r="O207" s="9" t="n">
        <f aca="false">MAX(B207:M207)</f>
        <v>19641.74906241</v>
      </c>
      <c r="P207" s="43" t="n">
        <f aca="false">O207/(parametros_manuales!$B$7)</f>
        <v>130.9449937494</v>
      </c>
      <c r="Q207" s="8" t="str">
        <f aca="false">IF(O207=0,"-",INDEX($B$190:$M$190,MATCH(O207,B207:M207,0)))</f>
        <v>Ene</v>
      </c>
    </row>
    <row r="208" customFormat="false" ht="14.25" hidden="false" customHeight="true" outlineLevel="0" collapsed="false">
      <c r="A208" s="8" t="str">
        <f aca="false">parametros_manuales!$B$36</f>
        <v>Corrección de defectos</v>
      </c>
      <c r="B208" s="9" t="n">
        <f aca="false">(parametros_manuales!$D$36*(datos_base!$I$2+datos_base!$I$18+IF(parametros_manuales!$H$36="Todos",datos_base!$I$9+datos_base!$I$23,0))*parametros_manuales!$B$95+parametros_manuales!$E$36*(datos_base!$I$3+datos_base!$I$19+IF(parametros_manuales!$H$36="Todos",datos_base!$I$10+datos_base!$I$24,0))*parametros_manuales!$B$100+parametros_manuales!$F$36*(datos_base!$I$4+datos_base!$I$20+IF(parametros_manuales!$H$36="Todos",datos_base!$I$11+datos_base!$I$25,0))*parametros_manuales!$B$105+parametros_manuales!$G$36*(datos_base!$I$5+datos_base!$I$21+IF(parametros_manuales!$H$36="Todos",datos_base!$I$12+datos_base!$I$26,0))*parametros_manuales!$B$110)*parametros_manuales!$I$36*parametros_manuales!$J$36</f>
        <v>982.0874531205</v>
      </c>
      <c r="C208" s="9" t="n">
        <f aca="false">(parametros_manuales!$D$36*(datos_base!$I$2+datos_base!$I$18+IF(parametros_manuales!$H$36="Todos",datos_base!$I$9+datos_base!$I$23,0))*parametros_manuales!$C$95+parametros_manuales!$E$36*(datos_base!$I$3+datos_base!$I$19+IF(parametros_manuales!$H$36="Todos",datos_base!$I$10+datos_base!$I$24,0))*parametros_manuales!$C$100+parametros_manuales!$F$36*(datos_base!$I$4+datos_base!$I$20+IF(parametros_manuales!$H$36="Todos",datos_base!$I$11+datos_base!$I$25,0))*parametros_manuales!$C$105+parametros_manuales!$G$36*(datos_base!$I$5+datos_base!$I$21+IF(parametros_manuales!$H$36="Todos",datos_base!$I$12+datos_base!$I$26,0))*parametros_manuales!$C$110)*parametros_manuales!$I$36*parametros_manuales!$J$36</f>
        <v>951.033164236</v>
      </c>
      <c r="D208" s="9" t="n">
        <f aca="false">(parametros_manuales!$D$36*(datos_base!$I$2+datos_base!$I$18+IF(parametros_manuales!$H$36="Todos",datos_base!$I$9+datos_base!$I$23,0))*parametros_manuales!$D$95+parametros_manuales!$E$36*(datos_base!$I$3+datos_base!$I$19+IF(parametros_manuales!$H$36="Todos",datos_base!$I$10+datos_base!$I$24,0))*parametros_manuales!$D$100+parametros_manuales!$F$36*(datos_base!$I$4+datos_base!$I$20+IF(parametros_manuales!$H$36="Todos",datos_base!$I$11+datos_base!$I$25,0))*parametros_manuales!$D$105+parametros_manuales!$G$36*(datos_base!$I$5+datos_base!$I$21+IF(parametros_manuales!$H$36="Todos",datos_base!$I$12+datos_base!$I$26,0))*parametros_manuales!$D$110)*parametros_manuales!$I$36*parametros_manuales!$J$36</f>
        <v>888.49376943825</v>
      </c>
      <c r="E208" s="9" t="n">
        <f aca="false">(parametros_manuales!$D$36*(datos_base!$I$2+datos_base!$I$18+IF(parametros_manuales!$H$36="Todos",datos_base!$I$9+datos_base!$I$23,0))*parametros_manuales!$E$95+parametros_manuales!$E$36*(datos_base!$I$3+datos_base!$I$19+IF(parametros_manuales!$H$36="Todos",datos_base!$I$10+datos_base!$I$24,0))*parametros_manuales!$E$100+parametros_manuales!$F$36*(datos_base!$I$4+datos_base!$I$20+IF(parametros_manuales!$H$36="Todos",datos_base!$I$11+datos_base!$I$25,0))*parametros_manuales!$E$105+parametros_manuales!$G$36*(datos_base!$I$5+datos_base!$I$21+IF(parametros_manuales!$H$36="Todos",datos_base!$I$12+datos_base!$I$26,0))*parametros_manuales!$E$110)*parametros_manuales!$I$36*parametros_manuales!$J$36</f>
        <v>849.46049981825</v>
      </c>
      <c r="F208" s="9" t="n">
        <f aca="false">(parametros_manuales!$D$36*(datos_base!$I$2+datos_base!$I$18+IF(parametros_manuales!$H$36="Todos",datos_base!$I$9+datos_base!$I$23,0))*parametros_manuales!$F$95+parametros_manuales!$E$36*(datos_base!$I$3+datos_base!$I$19+IF(parametros_manuales!$H$36="Todos",datos_base!$I$10+datos_base!$I$24,0))*parametros_manuales!$F$100+parametros_manuales!$F$36*(datos_base!$I$4+datos_base!$I$20+IF(parametros_manuales!$H$36="Todos",datos_base!$I$11+datos_base!$I$25,0))*parametros_manuales!$F$105+parametros_manuales!$G$36*(datos_base!$I$5+datos_base!$I$21+IF(parametros_manuales!$H$36="Todos",datos_base!$I$12+datos_base!$I$26,0))*parametros_manuales!$F$110)*parametros_manuales!$I$36*parametros_manuales!$J$36</f>
        <v>794.900085756</v>
      </c>
      <c r="G208" s="9" t="n">
        <f aca="false">(parametros_manuales!$D$36*(datos_base!$I$2+datos_base!$I$18+IF(parametros_manuales!$H$36="Todos",datos_base!$I$9+datos_base!$I$23,0))*parametros_manuales!$G$95+parametros_manuales!$E$36*(datos_base!$I$3+datos_base!$I$19+IF(parametros_manuales!$H$36="Todos",datos_base!$I$10+datos_base!$I$24,0))*parametros_manuales!$G$100+parametros_manuales!$F$36*(datos_base!$I$4+datos_base!$I$20+IF(parametros_manuales!$H$36="Todos",datos_base!$I$11+datos_base!$I$25,0))*parametros_manuales!$G$105+parametros_manuales!$G$36*(datos_base!$I$5+datos_base!$I$21+IF(parametros_manuales!$H$36="Todos",datos_base!$I$12+datos_base!$I$26,0))*parametros_manuales!$G$110)*parametros_manuales!$I$36*parametros_manuales!$J$36</f>
        <v>779.37294131375</v>
      </c>
      <c r="H208" s="9" t="n">
        <f aca="false">(parametros_manuales!$D$36*(datos_base!$I$2+datos_base!$I$18+IF(parametros_manuales!$H$36="Todos",datos_base!$I$9+datos_base!$I$23,0))*parametros_manuales!$H$95+parametros_manuales!$E$36*(datos_base!$I$3+datos_base!$I$19+IF(parametros_manuales!$H$36="Todos",datos_base!$I$10+datos_base!$I$24,0))*parametros_manuales!$H$100+parametros_manuales!$F$36*(datos_base!$I$4+datos_base!$I$20+IF(parametros_manuales!$H$36="Todos",datos_base!$I$11+datos_base!$I$25,0))*parametros_manuales!$H$105+parametros_manuales!$G$36*(datos_base!$I$5+datos_base!$I$21+IF(parametros_manuales!$H$36="Todos",datos_base!$I$12+datos_base!$I$26,0))*parametros_manuales!$H$110)*parametros_manuales!$I$36*parametros_manuales!$J$36</f>
        <v>833.933355376</v>
      </c>
      <c r="I208" s="9" t="n">
        <f aca="false">(parametros_manuales!$D$36*(datos_base!$I$2+datos_base!$I$18+IF(parametros_manuales!$H$36="Todos",datos_base!$I$9+datos_base!$I$23,0))*parametros_manuales!$I$95+parametros_manuales!$E$36*(datos_base!$I$3+datos_base!$I$19+IF(parametros_manuales!$H$36="Todos",datos_base!$I$10+datos_base!$I$24,0))*parametros_manuales!$I$100+parametros_manuales!$F$36*(datos_base!$I$4+datos_base!$I$20+IF(parametros_manuales!$H$36="Todos",datos_base!$I$11+datos_base!$I$25,0))*parametros_manuales!$I$105+parametros_manuales!$G$36*(datos_base!$I$5+datos_base!$I$21+IF(parametros_manuales!$H$36="Todos",datos_base!$I$12+datos_base!$I$26,0))*parametros_manuales!$I$110)*parametros_manuales!$I$36*parametros_manuales!$J$36</f>
        <v>951.033164236</v>
      </c>
      <c r="J208" s="9" t="n">
        <f aca="false">(parametros_manuales!$D$36*(datos_base!$I$2+datos_base!$I$18+IF(parametros_manuales!$H$36="Todos",datos_base!$I$9+datos_base!$I$23,0))*parametros_manuales!$J$95+parametros_manuales!$E$36*(datos_base!$I$3+datos_base!$I$19+IF(parametros_manuales!$H$36="Todos",datos_base!$I$10+datos_base!$I$24,0))*parametros_manuales!$J$100+parametros_manuales!$F$36*(datos_base!$I$4+datos_base!$I$20+IF(parametros_manuales!$H$36="Todos",datos_base!$I$11+datos_base!$I$25,0))*parametros_manuales!$J$105+parametros_manuales!$G$36*(datos_base!$I$5+datos_base!$I$21+IF(parametros_manuales!$H$36="Todos",datos_base!$I$12+datos_base!$I$26,0))*parametros_manuales!$J$110)*parametros_manuales!$I$36*parametros_manuales!$J$36</f>
        <v>951.033164236</v>
      </c>
      <c r="K208" s="9" t="n">
        <f aca="false">(parametros_manuales!$D$36*(datos_base!$I$2+datos_base!$I$18+IF(parametros_manuales!$H$36="Todos",datos_base!$I$9+datos_base!$I$23,0))*parametros_manuales!$K$95+parametros_manuales!$E$36*(datos_base!$I$3+datos_base!$I$19+IF(parametros_manuales!$H$36="Todos",datos_base!$I$10+datos_base!$I$24,0))*parametros_manuales!$K$100+parametros_manuales!$F$36*(datos_base!$I$4+datos_base!$I$20+IF(parametros_manuales!$H$36="Todos",datos_base!$I$11+datos_base!$I$25,0))*parametros_manuales!$K$105+parametros_manuales!$G$36*(datos_base!$I$5+datos_base!$I$21+IF(parametros_manuales!$H$36="Todos",datos_base!$I$12+datos_base!$I$26,0))*parametros_manuales!$K$110)*parametros_manuales!$I$36*parametros_manuales!$J$36</f>
        <v>966.56030867825</v>
      </c>
      <c r="L208" s="9" t="n">
        <f aca="false">(parametros_manuales!$D$36*(datos_base!$I$2+datos_base!$I$18+IF(parametros_manuales!$H$36="Todos",datos_base!$I$9+datos_base!$I$23,0))*parametros_manuales!$L$95+parametros_manuales!$E$36*(datos_base!$I$3+datos_base!$I$19+IF(parametros_manuales!$H$36="Todos",datos_base!$I$10+datos_base!$I$24,0))*parametros_manuales!$L$100+parametros_manuales!$F$36*(datos_base!$I$4+datos_base!$I$20+IF(parametros_manuales!$H$36="Todos",datos_base!$I$11+datos_base!$I$25,0))*parametros_manuales!$L$105+parametros_manuales!$G$36*(datos_base!$I$5+datos_base!$I$21+IF(parametros_manuales!$H$36="Todos",datos_base!$I$12+datos_base!$I$26,0))*parametros_manuales!$L$110)*parametros_manuales!$I$36*parametros_manuales!$J$36</f>
        <v>982.0874531205</v>
      </c>
      <c r="M208" s="9" t="n">
        <f aca="false">(parametros_manuales!$D$36*(datos_base!$I$2+datos_base!$I$18+IF(parametros_manuales!$H$36="Todos",datos_base!$I$9+datos_base!$I$23,0))*parametros_manuales!$M$95+parametros_manuales!$E$36*(datos_base!$I$3+datos_base!$I$19+IF(parametros_manuales!$H$36="Todos",datos_base!$I$10+datos_base!$I$24,0))*parametros_manuales!$M$100+parametros_manuales!$F$36*(datos_base!$I$4+datos_base!$I$20+IF(parametros_manuales!$H$36="Todos",datos_base!$I$11+datos_base!$I$25,0))*parametros_manuales!$M$105+parametros_manuales!$G$36*(datos_base!$I$5+datos_base!$I$21+IF(parametros_manuales!$H$36="Todos",datos_base!$I$12+datos_base!$I$26,0))*parametros_manuales!$M$110)*parametros_manuales!$I$36*parametros_manuales!$J$36</f>
        <v>982.0874531205</v>
      </c>
      <c r="N208" s="9" t="n">
        <f aca="false">SUM(B208:M208)</f>
        <v>10912.08281245</v>
      </c>
      <c r="O208" s="9" t="n">
        <f aca="false">MAX(B208:M208)</f>
        <v>982.0874531205</v>
      </c>
      <c r="P208" s="43" t="n">
        <f aca="false">O208/(parametros_manuales!$B$7)</f>
        <v>6.54724968747</v>
      </c>
      <c r="Q208" s="8" t="str">
        <f aca="false">IF(O208=0,"-",INDEX($B$190:$M$190,MATCH(O208,B208:M208,0)))</f>
        <v>Ene</v>
      </c>
    </row>
    <row r="209" customFormat="false" ht="14.25" hidden="false" customHeight="true" outlineLevel="0" collapsed="false">
      <c r="A209" s="8" t="str">
        <f aca="false">parametros_manuales!$B$37</f>
        <v>Pintura en polvo + horno</v>
      </c>
      <c r="B209" s="9" t="n">
        <f aca="false">(parametros_manuales!$D$37*(datos_base!$I$2+datos_base!$I$18+IF(parametros_manuales!$H$37="Todos",datos_base!$I$9+datos_base!$I$23,0))*parametros_manuales!$B$95+parametros_manuales!$E$37*(datos_base!$I$3+datos_base!$I$19+IF(parametros_manuales!$H$37="Todos",datos_base!$I$10+datos_base!$I$24,0))*parametros_manuales!$B$100+parametros_manuales!$F$37*(datos_base!$I$4+datos_base!$I$20+IF(parametros_manuales!$H$37="Todos",datos_base!$I$11+datos_base!$I$25,0))*parametros_manuales!$B$105+parametros_manuales!$G$37*(datos_base!$I$5+datos_base!$I$21+IF(parametros_manuales!$H$37="Todos",datos_base!$I$12+datos_base!$I$26,0))*parametros_manuales!$B$110)*parametros_manuales!$I$37*parametros_manuales!$J$37</f>
        <v>19641.74906241</v>
      </c>
      <c r="C209" s="9" t="n">
        <f aca="false">(parametros_manuales!$D$37*(datos_base!$I$2+datos_base!$I$18+IF(parametros_manuales!$H$37="Todos",datos_base!$I$9+datos_base!$I$23,0))*parametros_manuales!$C$95+parametros_manuales!$E$37*(datos_base!$I$3+datos_base!$I$19+IF(parametros_manuales!$H$37="Todos",datos_base!$I$10+datos_base!$I$24,0))*parametros_manuales!$C$100+parametros_manuales!$F$37*(datos_base!$I$4+datos_base!$I$20+IF(parametros_manuales!$H$37="Todos",datos_base!$I$11+datos_base!$I$25,0))*parametros_manuales!$C$105+parametros_manuales!$G$37*(datos_base!$I$5+datos_base!$I$21+IF(parametros_manuales!$H$37="Todos",datos_base!$I$12+datos_base!$I$26,0))*parametros_manuales!$C$110)*parametros_manuales!$I$37*parametros_manuales!$J$37</f>
        <v>19020.66328472</v>
      </c>
      <c r="D209" s="9" t="n">
        <f aca="false">(parametros_manuales!$D$37*(datos_base!$I$2+datos_base!$I$18+IF(parametros_manuales!$H$37="Todos",datos_base!$I$9+datos_base!$I$23,0))*parametros_manuales!$D$95+parametros_manuales!$E$37*(datos_base!$I$3+datos_base!$I$19+IF(parametros_manuales!$H$37="Todos",datos_base!$I$10+datos_base!$I$24,0))*parametros_manuales!$D$100+parametros_manuales!$F$37*(datos_base!$I$4+datos_base!$I$20+IF(parametros_manuales!$H$37="Todos",datos_base!$I$11+datos_base!$I$25,0))*parametros_manuales!$D$105+parametros_manuales!$G$37*(datos_base!$I$5+datos_base!$I$21+IF(parametros_manuales!$H$37="Todos",datos_base!$I$12+datos_base!$I$26,0))*parametros_manuales!$D$110)*parametros_manuales!$I$37*parametros_manuales!$J$37</f>
        <v>17769.875388765</v>
      </c>
      <c r="E209" s="9" t="n">
        <f aca="false">(parametros_manuales!$D$37*(datos_base!$I$2+datos_base!$I$18+IF(parametros_manuales!$H$37="Todos",datos_base!$I$9+datos_base!$I$23,0))*parametros_manuales!$E$95+parametros_manuales!$E$37*(datos_base!$I$3+datos_base!$I$19+IF(parametros_manuales!$H$37="Todos",datos_base!$I$10+datos_base!$I$24,0))*parametros_manuales!$E$100+parametros_manuales!$F$37*(datos_base!$I$4+datos_base!$I$20+IF(parametros_manuales!$H$37="Todos",datos_base!$I$11+datos_base!$I$25,0))*parametros_manuales!$E$105+parametros_manuales!$G$37*(datos_base!$I$5+datos_base!$I$21+IF(parametros_manuales!$H$37="Todos",datos_base!$I$12+datos_base!$I$26,0))*parametros_manuales!$E$110)*parametros_manuales!$I$37*parametros_manuales!$J$37</f>
        <v>16989.209996365</v>
      </c>
      <c r="F209" s="9" t="n">
        <f aca="false">(parametros_manuales!$D$37*(datos_base!$I$2+datos_base!$I$18+IF(parametros_manuales!$H$37="Todos",datos_base!$I$9+datos_base!$I$23,0))*parametros_manuales!$F$95+parametros_manuales!$E$37*(datos_base!$I$3+datos_base!$I$19+IF(parametros_manuales!$H$37="Todos",datos_base!$I$10+datos_base!$I$24,0))*parametros_manuales!$F$100+parametros_manuales!$F$37*(datos_base!$I$4+datos_base!$I$20+IF(parametros_manuales!$H$37="Todos",datos_base!$I$11+datos_base!$I$25,0))*parametros_manuales!$F$105+parametros_manuales!$G$37*(datos_base!$I$5+datos_base!$I$21+IF(parametros_manuales!$H$37="Todos",datos_base!$I$12+datos_base!$I$26,0))*parametros_manuales!$F$110)*parametros_manuales!$I$37*parametros_manuales!$J$37</f>
        <v>15898.00171512</v>
      </c>
      <c r="G209" s="9" t="n">
        <f aca="false">(parametros_manuales!$D$37*(datos_base!$I$2+datos_base!$I$18+IF(parametros_manuales!$H$37="Todos",datos_base!$I$9+datos_base!$I$23,0))*parametros_manuales!$G$95+parametros_manuales!$E$37*(datos_base!$I$3+datos_base!$I$19+IF(parametros_manuales!$H$37="Todos",datos_base!$I$10+datos_base!$I$24,0))*parametros_manuales!$G$100+parametros_manuales!$F$37*(datos_base!$I$4+datos_base!$I$20+IF(parametros_manuales!$H$37="Todos",datos_base!$I$11+datos_base!$I$25,0))*parametros_manuales!$G$105+parametros_manuales!$G$37*(datos_base!$I$5+datos_base!$I$21+IF(parametros_manuales!$H$37="Todos",datos_base!$I$12+datos_base!$I$26,0))*parametros_manuales!$G$110)*parametros_manuales!$I$37*parametros_manuales!$J$37</f>
        <v>15587.458826275</v>
      </c>
      <c r="H209" s="9" t="n">
        <f aca="false">(parametros_manuales!$D$37*(datos_base!$I$2+datos_base!$I$18+IF(parametros_manuales!$H$37="Todos",datos_base!$I$9+datos_base!$I$23,0))*parametros_manuales!$H$95+parametros_manuales!$E$37*(datos_base!$I$3+datos_base!$I$19+IF(parametros_manuales!$H$37="Todos",datos_base!$I$10+datos_base!$I$24,0))*parametros_manuales!$H$100+parametros_manuales!$F$37*(datos_base!$I$4+datos_base!$I$20+IF(parametros_manuales!$H$37="Todos",datos_base!$I$11+datos_base!$I$25,0))*parametros_manuales!$H$105+parametros_manuales!$G$37*(datos_base!$I$5+datos_base!$I$21+IF(parametros_manuales!$H$37="Todos",datos_base!$I$12+datos_base!$I$26,0))*parametros_manuales!$H$110)*parametros_manuales!$I$37*parametros_manuales!$J$37</f>
        <v>16678.66710752</v>
      </c>
      <c r="I209" s="9" t="n">
        <f aca="false">(parametros_manuales!$D$37*(datos_base!$I$2+datos_base!$I$18+IF(parametros_manuales!$H$37="Todos",datos_base!$I$9+datos_base!$I$23,0))*parametros_manuales!$I$95+parametros_manuales!$E$37*(datos_base!$I$3+datos_base!$I$19+IF(parametros_manuales!$H$37="Todos",datos_base!$I$10+datos_base!$I$24,0))*parametros_manuales!$I$100+parametros_manuales!$F$37*(datos_base!$I$4+datos_base!$I$20+IF(parametros_manuales!$H$37="Todos",datos_base!$I$11+datos_base!$I$25,0))*parametros_manuales!$I$105+parametros_manuales!$G$37*(datos_base!$I$5+datos_base!$I$21+IF(parametros_manuales!$H$37="Todos",datos_base!$I$12+datos_base!$I$26,0))*parametros_manuales!$I$110)*parametros_manuales!$I$37*parametros_manuales!$J$37</f>
        <v>19020.66328472</v>
      </c>
      <c r="J209" s="9" t="n">
        <f aca="false">(parametros_manuales!$D$37*(datos_base!$I$2+datos_base!$I$18+IF(parametros_manuales!$H$37="Todos",datos_base!$I$9+datos_base!$I$23,0))*parametros_manuales!$J$95+parametros_manuales!$E$37*(datos_base!$I$3+datos_base!$I$19+IF(parametros_manuales!$H$37="Todos",datos_base!$I$10+datos_base!$I$24,0))*parametros_manuales!$J$100+parametros_manuales!$F$37*(datos_base!$I$4+datos_base!$I$20+IF(parametros_manuales!$H$37="Todos",datos_base!$I$11+datos_base!$I$25,0))*parametros_manuales!$J$105+parametros_manuales!$G$37*(datos_base!$I$5+datos_base!$I$21+IF(parametros_manuales!$H$37="Todos",datos_base!$I$12+datos_base!$I$26,0))*parametros_manuales!$J$110)*parametros_manuales!$I$37*parametros_manuales!$J$37</f>
        <v>19020.66328472</v>
      </c>
      <c r="K209" s="9" t="n">
        <f aca="false">(parametros_manuales!$D$37*(datos_base!$I$2+datos_base!$I$18+IF(parametros_manuales!$H$37="Todos",datos_base!$I$9+datos_base!$I$23,0))*parametros_manuales!$K$95+parametros_manuales!$E$37*(datos_base!$I$3+datos_base!$I$19+IF(parametros_manuales!$H$37="Todos",datos_base!$I$10+datos_base!$I$24,0))*parametros_manuales!$K$100+parametros_manuales!$F$37*(datos_base!$I$4+datos_base!$I$20+IF(parametros_manuales!$H$37="Todos",datos_base!$I$11+datos_base!$I$25,0))*parametros_manuales!$K$105+parametros_manuales!$G$37*(datos_base!$I$5+datos_base!$I$21+IF(parametros_manuales!$H$37="Todos",datos_base!$I$12+datos_base!$I$26,0))*parametros_manuales!$K$110)*parametros_manuales!$I$37*parametros_manuales!$J$37</f>
        <v>19331.206173565</v>
      </c>
      <c r="L209" s="9" t="n">
        <f aca="false">(parametros_manuales!$D$37*(datos_base!$I$2+datos_base!$I$18+IF(parametros_manuales!$H$37="Todos",datos_base!$I$9+datos_base!$I$23,0))*parametros_manuales!$L$95+parametros_manuales!$E$37*(datos_base!$I$3+datos_base!$I$19+IF(parametros_manuales!$H$37="Todos",datos_base!$I$10+datos_base!$I$24,0))*parametros_manuales!$L$100+parametros_manuales!$F$37*(datos_base!$I$4+datos_base!$I$20+IF(parametros_manuales!$H$37="Todos",datos_base!$I$11+datos_base!$I$25,0))*parametros_manuales!$L$105+parametros_manuales!$G$37*(datos_base!$I$5+datos_base!$I$21+IF(parametros_manuales!$H$37="Todos",datos_base!$I$12+datos_base!$I$26,0))*parametros_manuales!$L$110)*parametros_manuales!$I$37*parametros_manuales!$J$37</f>
        <v>19641.74906241</v>
      </c>
      <c r="M209" s="9" t="n">
        <f aca="false">(parametros_manuales!$D$37*(datos_base!$I$2+datos_base!$I$18+IF(parametros_manuales!$H$37="Todos",datos_base!$I$9+datos_base!$I$23,0))*parametros_manuales!$M$95+parametros_manuales!$E$37*(datos_base!$I$3+datos_base!$I$19+IF(parametros_manuales!$H$37="Todos",datos_base!$I$10+datos_base!$I$24,0))*parametros_manuales!$M$100+parametros_manuales!$F$37*(datos_base!$I$4+datos_base!$I$20+IF(parametros_manuales!$H$37="Todos",datos_base!$I$11+datos_base!$I$25,0))*parametros_manuales!$M$105+parametros_manuales!$G$37*(datos_base!$I$5+datos_base!$I$21+IF(parametros_manuales!$H$37="Todos",datos_base!$I$12+datos_base!$I$26,0))*parametros_manuales!$M$110)*parametros_manuales!$I$37*parametros_manuales!$J$37</f>
        <v>19641.74906241</v>
      </c>
      <c r="N209" s="9" t="n">
        <f aca="false">SUM(B209:M209)</f>
        <v>218241.656249</v>
      </c>
      <c r="O209" s="9" t="n">
        <f aca="false">MAX(B209:M209)</f>
        <v>19641.74906241</v>
      </c>
      <c r="P209" s="43" t="n">
        <f aca="false">O209/(parametros_manuales!$B$7)</f>
        <v>130.9449937494</v>
      </c>
      <c r="Q209" s="8" t="str">
        <f aca="false">IF(O209=0,"-",INDEX($B$190:$M$190,MATCH(O209,B209:M209,0)))</f>
        <v>Ene</v>
      </c>
    </row>
    <row r="210" customFormat="false" ht="14.25" hidden="false" customHeight="true" outlineLevel="0" collapsed="false">
      <c r="A210" s="8" t="str">
        <f aca="false">parametros_manuales!$B$38</f>
        <v>Carga de polvo</v>
      </c>
      <c r="B210" s="9" t="n">
        <f aca="false">(parametros_manuales!$D$38*(datos_base!$I$2+datos_base!$I$18+IF(parametros_manuales!$H$38="Todos",datos_base!$I$9+datos_base!$I$23,0))*parametros_manuales!$B$95+parametros_manuales!$E$38*(datos_base!$I$3+datos_base!$I$19+IF(parametros_manuales!$H$38="Todos",datos_base!$I$10+datos_base!$I$24,0))*parametros_manuales!$B$100+parametros_manuales!$F$38*(datos_base!$I$4+datos_base!$I$20+IF(parametros_manuales!$H$38="Todos",datos_base!$I$11+datos_base!$I$25,0))*parametros_manuales!$B$105+parametros_manuales!$G$38*(datos_base!$I$5+datos_base!$I$21+IF(parametros_manuales!$H$38="Todos",datos_base!$I$12+datos_base!$I$26,0))*parametros_manuales!$B$110)*parametros_manuales!$I$38*parametros_manuales!$J$38</f>
        <v>4959.30386241</v>
      </c>
      <c r="C210" s="9" t="n">
        <f aca="false">(parametros_manuales!$D$38*(datos_base!$I$2+datos_base!$I$18+IF(parametros_manuales!$H$38="Todos",datos_base!$I$9+datos_base!$I$23,0))*parametros_manuales!$C$95+parametros_manuales!$E$38*(datos_base!$I$3+datos_base!$I$19+IF(parametros_manuales!$H$38="Todos",datos_base!$I$10+datos_base!$I$24,0))*parametros_manuales!$C$100+parametros_manuales!$F$38*(datos_base!$I$4+datos_base!$I$20+IF(parametros_manuales!$H$38="Todos",datos_base!$I$11+datos_base!$I$25,0))*parametros_manuales!$C$105+parametros_manuales!$G$38*(datos_base!$I$5+datos_base!$I$21+IF(parametros_manuales!$H$38="Todos",datos_base!$I$12+datos_base!$I$26,0))*parametros_manuales!$C$110)*parametros_manuales!$I$38*parametros_manuales!$J$38</f>
        <v>4659.59088472</v>
      </c>
      <c r="D210" s="9" t="n">
        <f aca="false">(parametros_manuales!$D$38*(datos_base!$I$2+datos_base!$I$18+IF(parametros_manuales!$H$38="Todos",datos_base!$I$9+datos_base!$I$23,0))*parametros_manuales!$D$95+parametros_manuales!$E$38*(datos_base!$I$3+datos_base!$I$19+IF(parametros_manuales!$H$38="Todos",datos_base!$I$10+datos_base!$I$24,0))*parametros_manuales!$D$100+parametros_manuales!$F$38*(datos_base!$I$4+datos_base!$I$20+IF(parametros_manuales!$H$38="Todos",datos_base!$I$11+datos_base!$I$25,0))*parametros_manuales!$D$105+parametros_manuales!$G$38*(datos_base!$I$5+datos_base!$I$21+IF(parametros_manuales!$H$38="Todos",datos_base!$I$12+datos_base!$I$26,0))*parametros_manuales!$D$110)*parametros_manuales!$I$38*parametros_manuales!$J$38</f>
        <v>4558.126588765</v>
      </c>
      <c r="E210" s="9" t="n">
        <f aca="false">(parametros_manuales!$D$38*(datos_base!$I$2+datos_base!$I$18+IF(parametros_manuales!$H$38="Todos",datos_base!$I$9+datos_base!$I$23,0))*parametros_manuales!$E$95+parametros_manuales!$E$38*(datos_base!$I$3+datos_base!$I$19+IF(parametros_manuales!$H$38="Todos",datos_base!$I$10+datos_base!$I$24,0))*parametros_manuales!$E$100+parametros_manuales!$F$38*(datos_base!$I$4+datos_base!$I$20+IF(parametros_manuales!$H$38="Todos",datos_base!$I$11+datos_base!$I$25,0))*parametros_manuales!$E$105+parametros_manuales!$G$38*(datos_base!$I$5+datos_base!$I$21+IF(parametros_manuales!$H$38="Todos",datos_base!$I$12+datos_base!$I$26,0))*parametros_manuales!$E$110)*parametros_manuales!$I$38*parametros_manuales!$J$38</f>
        <v>4432.466196365</v>
      </c>
      <c r="F210" s="9" t="n">
        <f aca="false">(parametros_manuales!$D$38*(datos_base!$I$2+datos_base!$I$18+IF(parametros_manuales!$H$38="Todos",datos_base!$I$9+datos_base!$I$23,0))*parametros_manuales!$F$95+parametros_manuales!$E$38*(datos_base!$I$3+datos_base!$I$19+IF(parametros_manuales!$H$38="Todos",datos_base!$I$10+datos_base!$I$24,0))*parametros_manuales!$F$100+parametros_manuales!$F$38*(datos_base!$I$4+datos_base!$I$20+IF(parametros_manuales!$H$38="Todos",datos_base!$I$11+datos_base!$I$25,0))*parametros_manuales!$F$105+parametros_manuales!$G$38*(datos_base!$I$5+datos_base!$I$21+IF(parametros_manuales!$H$38="Todos",datos_base!$I$12+datos_base!$I$26,0))*parametros_manuales!$F$110)*parametros_manuales!$I$38*parametros_manuales!$J$38</f>
        <v>4156.94931512</v>
      </c>
      <c r="G210" s="9" t="n">
        <f aca="false">(parametros_manuales!$D$38*(datos_base!$I$2+datos_base!$I$18+IF(parametros_manuales!$H$38="Todos",datos_base!$I$9+datos_base!$I$23,0))*parametros_manuales!$G$95+parametros_manuales!$E$38*(datos_base!$I$3+datos_base!$I$19+IF(parametros_manuales!$H$38="Todos",datos_base!$I$10+datos_base!$I$24,0))*parametros_manuales!$G$100+parametros_manuales!$F$38*(datos_base!$I$4+datos_base!$I$20+IF(parametros_manuales!$H$38="Todos",datos_base!$I$11+datos_base!$I$25,0))*parametros_manuales!$G$105+parametros_manuales!$G$38*(datos_base!$I$5+datos_base!$I$21+IF(parametros_manuales!$H$38="Todos",datos_base!$I$12+datos_base!$I$26,0))*parametros_manuales!$G$110)*parametros_manuales!$I$38*parametros_manuales!$J$38</f>
        <v>4007.092826275</v>
      </c>
      <c r="H210" s="9" t="n">
        <f aca="false">(parametros_manuales!$D$38*(datos_base!$I$2+datos_base!$I$18+IF(parametros_manuales!$H$38="Todos",datos_base!$I$9+datos_base!$I$23,0))*parametros_manuales!$H$95+parametros_manuales!$E$38*(datos_base!$I$3+datos_base!$I$19+IF(parametros_manuales!$H$38="Todos",datos_base!$I$10+datos_base!$I$24,0))*parametros_manuales!$H$100+parametros_manuales!$F$38*(datos_base!$I$4+datos_base!$I$20+IF(parametros_manuales!$H$38="Todos",datos_base!$I$11+datos_base!$I$25,0))*parametros_manuales!$H$105+parametros_manuales!$G$38*(datos_base!$I$5+datos_base!$I$21+IF(parametros_manuales!$H$38="Todos",datos_base!$I$12+datos_base!$I$26,0))*parametros_manuales!$H$110)*parametros_manuales!$I$38*parametros_manuales!$J$38</f>
        <v>4282.60970752</v>
      </c>
      <c r="I210" s="9" t="n">
        <f aca="false">(parametros_manuales!$D$38*(datos_base!$I$2+datos_base!$I$18+IF(parametros_manuales!$H$38="Todos",datos_base!$I$9+datos_base!$I$23,0))*parametros_manuales!$I$95+parametros_manuales!$E$38*(datos_base!$I$3+datos_base!$I$19+IF(parametros_manuales!$H$38="Todos",datos_base!$I$10+datos_base!$I$24,0))*parametros_manuales!$I$100+parametros_manuales!$F$38*(datos_base!$I$4+datos_base!$I$20+IF(parametros_manuales!$H$38="Todos",datos_base!$I$11+datos_base!$I$25,0))*parametros_manuales!$I$105+parametros_manuales!$G$38*(datos_base!$I$5+datos_base!$I$21+IF(parametros_manuales!$H$38="Todos",datos_base!$I$12+datos_base!$I$26,0))*parametros_manuales!$I$110)*parametros_manuales!$I$38*parametros_manuales!$J$38</f>
        <v>4659.59088472</v>
      </c>
      <c r="J210" s="9" t="n">
        <f aca="false">(parametros_manuales!$D$38*(datos_base!$I$2+datos_base!$I$18+IF(parametros_manuales!$H$38="Todos",datos_base!$I$9+datos_base!$I$23,0))*parametros_manuales!$J$95+parametros_manuales!$E$38*(datos_base!$I$3+datos_base!$I$19+IF(parametros_manuales!$H$38="Todos",datos_base!$I$10+datos_base!$I$24,0))*parametros_manuales!$J$100+parametros_manuales!$F$38*(datos_base!$I$4+datos_base!$I$20+IF(parametros_manuales!$H$38="Todos",datos_base!$I$11+datos_base!$I$25,0))*parametros_manuales!$J$105+parametros_manuales!$G$38*(datos_base!$I$5+datos_base!$I$21+IF(parametros_manuales!$H$38="Todos",datos_base!$I$12+datos_base!$I$26,0))*parametros_manuales!$J$110)*parametros_manuales!$I$38*parametros_manuales!$J$38</f>
        <v>4659.59088472</v>
      </c>
      <c r="K210" s="9" t="n">
        <f aca="false">(parametros_manuales!$D$38*(datos_base!$I$2+datos_base!$I$18+IF(parametros_manuales!$H$38="Todos",datos_base!$I$9+datos_base!$I$23,0))*parametros_manuales!$K$95+parametros_manuales!$E$38*(datos_base!$I$3+datos_base!$I$19+IF(parametros_manuales!$H$38="Todos",datos_base!$I$10+datos_base!$I$24,0))*parametros_manuales!$K$100+parametros_manuales!$F$38*(datos_base!$I$4+datos_base!$I$20+IF(parametros_manuales!$H$38="Todos",datos_base!$I$11+datos_base!$I$25,0))*parametros_manuales!$K$105+parametros_manuales!$G$38*(datos_base!$I$5+datos_base!$I$21+IF(parametros_manuales!$H$38="Todos",datos_base!$I$12+datos_base!$I$26,0))*parametros_manuales!$K$110)*parametros_manuales!$I$38*parametros_manuales!$J$38</f>
        <v>4809.447373565</v>
      </c>
      <c r="L210" s="9" t="n">
        <f aca="false">(parametros_manuales!$D$38*(datos_base!$I$2+datos_base!$I$18+IF(parametros_manuales!$H$38="Todos",datos_base!$I$9+datos_base!$I$23,0))*parametros_manuales!$L$95+parametros_manuales!$E$38*(datos_base!$I$3+datos_base!$I$19+IF(parametros_manuales!$H$38="Todos",datos_base!$I$10+datos_base!$I$24,0))*parametros_manuales!$L$100+parametros_manuales!$F$38*(datos_base!$I$4+datos_base!$I$20+IF(parametros_manuales!$H$38="Todos",datos_base!$I$11+datos_base!$I$25,0))*parametros_manuales!$L$105+parametros_manuales!$G$38*(datos_base!$I$5+datos_base!$I$21+IF(parametros_manuales!$H$38="Todos",datos_base!$I$12+datos_base!$I$26,0))*parametros_manuales!$L$110)*parametros_manuales!$I$38*parametros_manuales!$J$38</f>
        <v>4959.30386241</v>
      </c>
      <c r="M210" s="9" t="n">
        <f aca="false">(parametros_manuales!$D$38*(datos_base!$I$2+datos_base!$I$18+IF(parametros_manuales!$H$38="Todos",datos_base!$I$9+datos_base!$I$23,0))*parametros_manuales!$M$95+parametros_manuales!$E$38*(datos_base!$I$3+datos_base!$I$19+IF(parametros_manuales!$H$38="Todos",datos_base!$I$10+datos_base!$I$24,0))*parametros_manuales!$M$100+parametros_manuales!$F$38*(datos_base!$I$4+datos_base!$I$20+IF(parametros_manuales!$H$38="Todos",datos_base!$I$11+datos_base!$I$25,0))*parametros_manuales!$M$105+parametros_manuales!$G$38*(datos_base!$I$5+datos_base!$I$21+IF(parametros_manuales!$H$38="Todos",datos_base!$I$12+datos_base!$I$26,0))*parametros_manuales!$M$110)*parametros_manuales!$I$38*parametros_manuales!$J$38</f>
        <v>4959.30386241</v>
      </c>
      <c r="N210" s="9" t="n">
        <f aca="false">SUM(B210:M210)</f>
        <v>55103.376249</v>
      </c>
      <c r="O210" s="9" t="n">
        <f aca="false">MAX(B210:M210)</f>
        <v>4959.30386241</v>
      </c>
      <c r="P210" s="43" t="n">
        <f aca="false">O210/(parametros_manuales!$B$7)</f>
        <v>33.0620257494</v>
      </c>
      <c r="Q210" s="8" t="str">
        <f aca="false">IF(O210=0,"-",INDEX($B$190:$M$190,MATCH(O210,B210:M210,0)))</f>
        <v>Ene</v>
      </c>
    </row>
    <row r="211" customFormat="false" ht="14.25" hidden="false" customHeight="true" outlineLevel="0" collapsed="false">
      <c r="A211" s="8" t="str">
        <f aca="false">parametros_manuales!$B$39</f>
        <v>Ensamblaje</v>
      </c>
      <c r="B211" s="9" t="n">
        <f aca="false">(parametros_manuales!$D$39*(datos_base!$I$2+datos_base!$I$18+IF(parametros_manuales!$H$39="Todos",datos_base!$I$9+datos_base!$I$23,0))*parametros_manuales!$B$95+parametros_manuales!$E$39*(datos_base!$I$3+datos_base!$I$19+IF(parametros_manuales!$H$39="Todos",datos_base!$I$10+datos_base!$I$24,0))*parametros_manuales!$B$100+parametros_manuales!$F$39*(datos_base!$I$4+datos_base!$I$20+IF(parametros_manuales!$H$39="Todos",datos_base!$I$11+datos_base!$I$25,0))*parametros_manuales!$B$105+parametros_manuales!$G$39*(datos_base!$I$5+datos_base!$I$21+IF(parametros_manuales!$H$39="Todos",datos_base!$I$12+datos_base!$I$26,0))*parametros_manuales!$B$110)*parametros_manuales!$I$39*parametros_manuales!$J$39</f>
        <v>4959.30386241</v>
      </c>
      <c r="C211" s="9" t="n">
        <f aca="false">(parametros_manuales!$D$39*(datos_base!$I$2+datos_base!$I$18+IF(parametros_manuales!$H$39="Todos",datos_base!$I$9+datos_base!$I$23,0))*parametros_manuales!$C$95+parametros_manuales!$E$39*(datos_base!$I$3+datos_base!$I$19+IF(parametros_manuales!$H$39="Todos",datos_base!$I$10+datos_base!$I$24,0))*parametros_manuales!$C$100+parametros_manuales!$F$39*(datos_base!$I$4+datos_base!$I$20+IF(parametros_manuales!$H$39="Todos",datos_base!$I$11+datos_base!$I$25,0))*parametros_manuales!$C$105+parametros_manuales!$G$39*(datos_base!$I$5+datos_base!$I$21+IF(parametros_manuales!$H$39="Todos",datos_base!$I$12+datos_base!$I$26,0))*parametros_manuales!$C$110)*parametros_manuales!$I$39*parametros_manuales!$J$39</f>
        <v>4659.59088472</v>
      </c>
      <c r="D211" s="9" t="n">
        <f aca="false">(parametros_manuales!$D$39*(datos_base!$I$2+datos_base!$I$18+IF(parametros_manuales!$H$39="Todos",datos_base!$I$9+datos_base!$I$23,0))*parametros_manuales!$D$95+parametros_manuales!$E$39*(datos_base!$I$3+datos_base!$I$19+IF(parametros_manuales!$H$39="Todos",datos_base!$I$10+datos_base!$I$24,0))*parametros_manuales!$D$100+parametros_manuales!$F$39*(datos_base!$I$4+datos_base!$I$20+IF(parametros_manuales!$H$39="Todos",datos_base!$I$11+datos_base!$I$25,0))*parametros_manuales!$D$105+parametros_manuales!$G$39*(datos_base!$I$5+datos_base!$I$21+IF(parametros_manuales!$H$39="Todos",datos_base!$I$12+datos_base!$I$26,0))*parametros_manuales!$D$110)*parametros_manuales!$I$39*parametros_manuales!$J$39</f>
        <v>4558.126588765</v>
      </c>
      <c r="E211" s="9" t="n">
        <f aca="false">(parametros_manuales!$D$39*(datos_base!$I$2+datos_base!$I$18+IF(parametros_manuales!$H$39="Todos",datos_base!$I$9+datos_base!$I$23,0))*parametros_manuales!$E$95+parametros_manuales!$E$39*(datos_base!$I$3+datos_base!$I$19+IF(parametros_manuales!$H$39="Todos",datos_base!$I$10+datos_base!$I$24,0))*parametros_manuales!$E$100+parametros_manuales!$F$39*(datos_base!$I$4+datos_base!$I$20+IF(parametros_manuales!$H$39="Todos",datos_base!$I$11+datos_base!$I$25,0))*parametros_manuales!$E$105+parametros_manuales!$G$39*(datos_base!$I$5+datos_base!$I$21+IF(parametros_manuales!$H$39="Todos",datos_base!$I$12+datos_base!$I$26,0))*parametros_manuales!$E$110)*parametros_manuales!$I$39*parametros_manuales!$J$39</f>
        <v>4432.466196365</v>
      </c>
      <c r="F211" s="9" t="n">
        <f aca="false">(parametros_manuales!$D$39*(datos_base!$I$2+datos_base!$I$18+IF(parametros_manuales!$H$39="Todos",datos_base!$I$9+datos_base!$I$23,0))*parametros_manuales!$F$95+parametros_manuales!$E$39*(datos_base!$I$3+datos_base!$I$19+IF(parametros_manuales!$H$39="Todos",datos_base!$I$10+datos_base!$I$24,0))*parametros_manuales!$F$100+parametros_manuales!$F$39*(datos_base!$I$4+datos_base!$I$20+IF(parametros_manuales!$H$39="Todos",datos_base!$I$11+datos_base!$I$25,0))*parametros_manuales!$F$105+parametros_manuales!$G$39*(datos_base!$I$5+datos_base!$I$21+IF(parametros_manuales!$H$39="Todos",datos_base!$I$12+datos_base!$I$26,0))*parametros_manuales!$F$110)*parametros_manuales!$I$39*parametros_manuales!$J$39</f>
        <v>4156.94931512</v>
      </c>
      <c r="G211" s="9" t="n">
        <f aca="false">(parametros_manuales!$D$39*(datos_base!$I$2+datos_base!$I$18+IF(parametros_manuales!$H$39="Todos",datos_base!$I$9+datos_base!$I$23,0))*parametros_manuales!$G$95+parametros_manuales!$E$39*(datos_base!$I$3+datos_base!$I$19+IF(parametros_manuales!$H$39="Todos",datos_base!$I$10+datos_base!$I$24,0))*parametros_manuales!$G$100+parametros_manuales!$F$39*(datos_base!$I$4+datos_base!$I$20+IF(parametros_manuales!$H$39="Todos",datos_base!$I$11+datos_base!$I$25,0))*parametros_manuales!$G$105+parametros_manuales!$G$39*(datos_base!$I$5+datos_base!$I$21+IF(parametros_manuales!$H$39="Todos",datos_base!$I$12+datos_base!$I$26,0))*parametros_manuales!$G$110)*parametros_manuales!$I$39*parametros_manuales!$J$39</f>
        <v>4007.092826275</v>
      </c>
      <c r="H211" s="9" t="n">
        <f aca="false">(parametros_manuales!$D$39*(datos_base!$I$2+datos_base!$I$18+IF(parametros_manuales!$H$39="Todos",datos_base!$I$9+datos_base!$I$23,0))*parametros_manuales!$H$95+parametros_manuales!$E$39*(datos_base!$I$3+datos_base!$I$19+IF(parametros_manuales!$H$39="Todos",datos_base!$I$10+datos_base!$I$24,0))*parametros_manuales!$H$100+parametros_manuales!$F$39*(datos_base!$I$4+datos_base!$I$20+IF(parametros_manuales!$H$39="Todos",datos_base!$I$11+datos_base!$I$25,0))*parametros_manuales!$H$105+parametros_manuales!$G$39*(datos_base!$I$5+datos_base!$I$21+IF(parametros_manuales!$H$39="Todos",datos_base!$I$12+datos_base!$I$26,0))*parametros_manuales!$H$110)*parametros_manuales!$I$39*parametros_manuales!$J$39</f>
        <v>4282.60970752</v>
      </c>
      <c r="I211" s="9" t="n">
        <f aca="false">(parametros_manuales!$D$39*(datos_base!$I$2+datos_base!$I$18+IF(parametros_manuales!$H$39="Todos",datos_base!$I$9+datos_base!$I$23,0))*parametros_manuales!$I$95+parametros_manuales!$E$39*(datos_base!$I$3+datos_base!$I$19+IF(parametros_manuales!$H$39="Todos",datos_base!$I$10+datos_base!$I$24,0))*parametros_manuales!$I$100+parametros_manuales!$F$39*(datos_base!$I$4+datos_base!$I$20+IF(parametros_manuales!$H$39="Todos",datos_base!$I$11+datos_base!$I$25,0))*parametros_manuales!$I$105+parametros_manuales!$G$39*(datos_base!$I$5+datos_base!$I$21+IF(parametros_manuales!$H$39="Todos",datos_base!$I$12+datos_base!$I$26,0))*parametros_manuales!$I$110)*parametros_manuales!$I$39*parametros_manuales!$J$39</f>
        <v>4659.59088472</v>
      </c>
      <c r="J211" s="9" t="n">
        <f aca="false">(parametros_manuales!$D$39*(datos_base!$I$2+datos_base!$I$18+IF(parametros_manuales!$H$39="Todos",datos_base!$I$9+datos_base!$I$23,0))*parametros_manuales!$J$95+parametros_manuales!$E$39*(datos_base!$I$3+datos_base!$I$19+IF(parametros_manuales!$H$39="Todos",datos_base!$I$10+datos_base!$I$24,0))*parametros_manuales!$J$100+parametros_manuales!$F$39*(datos_base!$I$4+datos_base!$I$20+IF(parametros_manuales!$H$39="Todos",datos_base!$I$11+datos_base!$I$25,0))*parametros_manuales!$J$105+parametros_manuales!$G$39*(datos_base!$I$5+datos_base!$I$21+IF(parametros_manuales!$H$39="Todos",datos_base!$I$12+datos_base!$I$26,0))*parametros_manuales!$J$110)*parametros_manuales!$I$39*parametros_manuales!$J$39</f>
        <v>4659.59088472</v>
      </c>
      <c r="K211" s="9" t="n">
        <f aca="false">(parametros_manuales!$D$39*(datos_base!$I$2+datos_base!$I$18+IF(parametros_manuales!$H$39="Todos",datos_base!$I$9+datos_base!$I$23,0))*parametros_manuales!$K$95+parametros_manuales!$E$39*(datos_base!$I$3+datos_base!$I$19+IF(parametros_manuales!$H$39="Todos",datos_base!$I$10+datos_base!$I$24,0))*parametros_manuales!$K$100+parametros_manuales!$F$39*(datos_base!$I$4+datos_base!$I$20+IF(parametros_manuales!$H$39="Todos",datos_base!$I$11+datos_base!$I$25,0))*parametros_manuales!$K$105+parametros_manuales!$G$39*(datos_base!$I$5+datos_base!$I$21+IF(parametros_manuales!$H$39="Todos",datos_base!$I$12+datos_base!$I$26,0))*parametros_manuales!$K$110)*parametros_manuales!$I$39*parametros_manuales!$J$39</f>
        <v>4809.447373565</v>
      </c>
      <c r="L211" s="9" t="n">
        <f aca="false">(parametros_manuales!$D$39*(datos_base!$I$2+datos_base!$I$18+IF(parametros_manuales!$H$39="Todos",datos_base!$I$9+datos_base!$I$23,0))*parametros_manuales!$L$95+parametros_manuales!$E$39*(datos_base!$I$3+datos_base!$I$19+IF(parametros_manuales!$H$39="Todos",datos_base!$I$10+datos_base!$I$24,0))*parametros_manuales!$L$100+parametros_manuales!$F$39*(datos_base!$I$4+datos_base!$I$20+IF(parametros_manuales!$H$39="Todos",datos_base!$I$11+datos_base!$I$25,0))*parametros_manuales!$L$105+parametros_manuales!$G$39*(datos_base!$I$5+datos_base!$I$21+IF(parametros_manuales!$H$39="Todos",datos_base!$I$12+datos_base!$I$26,0))*parametros_manuales!$L$110)*parametros_manuales!$I$39*parametros_manuales!$J$39</f>
        <v>4959.30386241</v>
      </c>
      <c r="M211" s="9" t="n">
        <f aca="false">(parametros_manuales!$D$39*(datos_base!$I$2+datos_base!$I$18+IF(parametros_manuales!$H$39="Todos",datos_base!$I$9+datos_base!$I$23,0))*parametros_manuales!$M$95+parametros_manuales!$E$39*(datos_base!$I$3+datos_base!$I$19+IF(parametros_manuales!$H$39="Todos",datos_base!$I$10+datos_base!$I$24,0))*parametros_manuales!$M$100+parametros_manuales!$F$39*(datos_base!$I$4+datos_base!$I$20+IF(parametros_manuales!$H$39="Todos",datos_base!$I$11+datos_base!$I$25,0))*parametros_manuales!$M$105+parametros_manuales!$G$39*(datos_base!$I$5+datos_base!$I$21+IF(parametros_manuales!$H$39="Todos",datos_base!$I$12+datos_base!$I$26,0))*parametros_manuales!$M$110)*parametros_manuales!$I$39*parametros_manuales!$J$39</f>
        <v>4959.30386241</v>
      </c>
      <c r="N211" s="9" t="n">
        <f aca="false">SUM(B211:M211)</f>
        <v>55103.376249</v>
      </c>
      <c r="O211" s="9" t="n">
        <f aca="false">MAX(B211:M211)</f>
        <v>4959.30386241</v>
      </c>
      <c r="P211" s="43" t="n">
        <f aca="false">O211/(parametros_manuales!$B$7)</f>
        <v>33.0620257494</v>
      </c>
      <c r="Q211" s="8" t="str">
        <f aca="false">IF(O211=0,"-",INDEX($B$190:$M$190,MATCH(O211,B211:M211,0)))</f>
        <v>Ene</v>
      </c>
    </row>
    <row r="212" customFormat="false" ht="14.25" hidden="false" customHeight="true" outlineLevel="0" collapsed="false">
      <c r="A212" s="8" t="str">
        <f aca="false">parametros_manuales!$B$40</f>
        <v>Presurización</v>
      </c>
      <c r="B212" s="9" t="n">
        <f aca="false">(parametros_manuales!$D$40*(datos_base!$I$2+datos_base!$I$18+IF(parametros_manuales!$H$40="Todos",datos_base!$I$9+datos_base!$I$23,0))*parametros_manuales!$B$95+parametros_manuales!$E$40*(datos_base!$I$3+datos_base!$I$19+IF(parametros_manuales!$H$40="Todos",datos_base!$I$10+datos_base!$I$24,0))*parametros_manuales!$B$100+parametros_manuales!$F$40*(datos_base!$I$4+datos_base!$I$20+IF(parametros_manuales!$H$40="Todos",datos_base!$I$11+datos_base!$I$25,0))*parametros_manuales!$B$105+parametros_manuales!$G$40*(datos_base!$I$5+datos_base!$I$21+IF(parametros_manuales!$H$40="Todos",datos_base!$I$12+datos_base!$I$26,0))*parametros_manuales!$B$110)*parametros_manuales!$I$40*parametros_manuales!$J$40</f>
        <v>4959.30386241</v>
      </c>
      <c r="C212" s="9" t="n">
        <f aca="false">(parametros_manuales!$D$40*(datos_base!$I$2+datos_base!$I$18+IF(parametros_manuales!$H$40="Todos",datos_base!$I$9+datos_base!$I$23,0))*parametros_manuales!$C$95+parametros_manuales!$E$40*(datos_base!$I$3+datos_base!$I$19+IF(parametros_manuales!$H$40="Todos",datos_base!$I$10+datos_base!$I$24,0))*parametros_manuales!$C$100+parametros_manuales!$F$40*(datos_base!$I$4+datos_base!$I$20+IF(parametros_manuales!$H$40="Todos",datos_base!$I$11+datos_base!$I$25,0))*parametros_manuales!$C$105+parametros_manuales!$G$40*(datos_base!$I$5+datos_base!$I$21+IF(parametros_manuales!$H$40="Todos",datos_base!$I$12+datos_base!$I$26,0))*parametros_manuales!$C$110)*parametros_manuales!$I$40*parametros_manuales!$J$40</f>
        <v>4659.59088472</v>
      </c>
      <c r="D212" s="9" t="n">
        <f aca="false">(parametros_manuales!$D$40*(datos_base!$I$2+datos_base!$I$18+IF(parametros_manuales!$H$40="Todos",datos_base!$I$9+datos_base!$I$23,0))*parametros_manuales!$D$95+parametros_manuales!$E$40*(datos_base!$I$3+datos_base!$I$19+IF(parametros_manuales!$H$40="Todos",datos_base!$I$10+datos_base!$I$24,0))*parametros_manuales!$D$100+parametros_manuales!$F$40*(datos_base!$I$4+datos_base!$I$20+IF(parametros_manuales!$H$40="Todos",datos_base!$I$11+datos_base!$I$25,0))*parametros_manuales!$D$105+parametros_manuales!$G$40*(datos_base!$I$5+datos_base!$I$21+IF(parametros_manuales!$H$40="Todos",datos_base!$I$12+datos_base!$I$26,0))*parametros_manuales!$D$110)*parametros_manuales!$I$40*parametros_manuales!$J$40</f>
        <v>4558.126588765</v>
      </c>
      <c r="E212" s="9" t="n">
        <f aca="false">(parametros_manuales!$D$40*(datos_base!$I$2+datos_base!$I$18+IF(parametros_manuales!$H$40="Todos",datos_base!$I$9+datos_base!$I$23,0))*parametros_manuales!$E$95+parametros_manuales!$E$40*(datos_base!$I$3+datos_base!$I$19+IF(parametros_manuales!$H$40="Todos",datos_base!$I$10+datos_base!$I$24,0))*parametros_manuales!$E$100+parametros_manuales!$F$40*(datos_base!$I$4+datos_base!$I$20+IF(parametros_manuales!$H$40="Todos",datos_base!$I$11+datos_base!$I$25,0))*parametros_manuales!$E$105+parametros_manuales!$G$40*(datos_base!$I$5+datos_base!$I$21+IF(parametros_manuales!$H$40="Todos",datos_base!$I$12+datos_base!$I$26,0))*parametros_manuales!$E$110)*parametros_manuales!$I$40*parametros_manuales!$J$40</f>
        <v>4432.466196365</v>
      </c>
      <c r="F212" s="9" t="n">
        <f aca="false">(parametros_manuales!$D$40*(datos_base!$I$2+datos_base!$I$18+IF(parametros_manuales!$H$40="Todos",datos_base!$I$9+datos_base!$I$23,0))*parametros_manuales!$F$95+parametros_manuales!$E$40*(datos_base!$I$3+datos_base!$I$19+IF(parametros_manuales!$H$40="Todos",datos_base!$I$10+datos_base!$I$24,0))*parametros_manuales!$F$100+parametros_manuales!$F$40*(datos_base!$I$4+datos_base!$I$20+IF(parametros_manuales!$H$40="Todos",datos_base!$I$11+datos_base!$I$25,0))*parametros_manuales!$F$105+parametros_manuales!$G$40*(datos_base!$I$5+datos_base!$I$21+IF(parametros_manuales!$H$40="Todos",datos_base!$I$12+datos_base!$I$26,0))*parametros_manuales!$F$110)*parametros_manuales!$I$40*parametros_manuales!$J$40</f>
        <v>4156.94931512</v>
      </c>
      <c r="G212" s="9" t="n">
        <f aca="false">(parametros_manuales!$D$40*(datos_base!$I$2+datos_base!$I$18+IF(parametros_manuales!$H$40="Todos",datos_base!$I$9+datos_base!$I$23,0))*parametros_manuales!$G$95+parametros_manuales!$E$40*(datos_base!$I$3+datos_base!$I$19+IF(parametros_manuales!$H$40="Todos",datos_base!$I$10+datos_base!$I$24,0))*parametros_manuales!$G$100+parametros_manuales!$F$40*(datos_base!$I$4+datos_base!$I$20+IF(parametros_manuales!$H$40="Todos",datos_base!$I$11+datos_base!$I$25,0))*parametros_manuales!$G$105+parametros_manuales!$G$40*(datos_base!$I$5+datos_base!$I$21+IF(parametros_manuales!$H$40="Todos",datos_base!$I$12+datos_base!$I$26,0))*parametros_manuales!$G$110)*parametros_manuales!$I$40*parametros_manuales!$J$40</f>
        <v>4007.092826275</v>
      </c>
      <c r="H212" s="9" t="n">
        <f aca="false">(parametros_manuales!$D$40*(datos_base!$I$2+datos_base!$I$18+IF(parametros_manuales!$H$40="Todos",datos_base!$I$9+datos_base!$I$23,0))*parametros_manuales!$H$95+parametros_manuales!$E$40*(datos_base!$I$3+datos_base!$I$19+IF(parametros_manuales!$H$40="Todos",datos_base!$I$10+datos_base!$I$24,0))*parametros_manuales!$H$100+parametros_manuales!$F$40*(datos_base!$I$4+datos_base!$I$20+IF(parametros_manuales!$H$40="Todos",datos_base!$I$11+datos_base!$I$25,0))*parametros_manuales!$H$105+parametros_manuales!$G$40*(datos_base!$I$5+datos_base!$I$21+IF(parametros_manuales!$H$40="Todos",datos_base!$I$12+datos_base!$I$26,0))*parametros_manuales!$H$110)*parametros_manuales!$I$40*parametros_manuales!$J$40</f>
        <v>4282.60970752</v>
      </c>
      <c r="I212" s="9" t="n">
        <f aca="false">(parametros_manuales!$D$40*(datos_base!$I$2+datos_base!$I$18+IF(parametros_manuales!$H$40="Todos",datos_base!$I$9+datos_base!$I$23,0))*parametros_manuales!$I$95+parametros_manuales!$E$40*(datos_base!$I$3+datos_base!$I$19+IF(parametros_manuales!$H$40="Todos",datos_base!$I$10+datos_base!$I$24,0))*parametros_manuales!$I$100+parametros_manuales!$F$40*(datos_base!$I$4+datos_base!$I$20+IF(parametros_manuales!$H$40="Todos",datos_base!$I$11+datos_base!$I$25,0))*parametros_manuales!$I$105+parametros_manuales!$G$40*(datos_base!$I$5+datos_base!$I$21+IF(parametros_manuales!$H$40="Todos",datos_base!$I$12+datos_base!$I$26,0))*parametros_manuales!$I$110)*parametros_manuales!$I$40*parametros_manuales!$J$40</f>
        <v>4659.59088472</v>
      </c>
      <c r="J212" s="9" t="n">
        <f aca="false">(parametros_manuales!$D$40*(datos_base!$I$2+datos_base!$I$18+IF(parametros_manuales!$H$40="Todos",datos_base!$I$9+datos_base!$I$23,0))*parametros_manuales!$J$95+parametros_manuales!$E$40*(datos_base!$I$3+datos_base!$I$19+IF(parametros_manuales!$H$40="Todos",datos_base!$I$10+datos_base!$I$24,0))*parametros_manuales!$J$100+parametros_manuales!$F$40*(datos_base!$I$4+datos_base!$I$20+IF(parametros_manuales!$H$40="Todos",datos_base!$I$11+datos_base!$I$25,0))*parametros_manuales!$J$105+parametros_manuales!$G$40*(datos_base!$I$5+datos_base!$I$21+IF(parametros_manuales!$H$40="Todos",datos_base!$I$12+datos_base!$I$26,0))*parametros_manuales!$J$110)*parametros_manuales!$I$40*parametros_manuales!$J$40</f>
        <v>4659.59088472</v>
      </c>
      <c r="K212" s="9" t="n">
        <f aca="false">(parametros_manuales!$D$40*(datos_base!$I$2+datos_base!$I$18+IF(parametros_manuales!$H$40="Todos",datos_base!$I$9+datos_base!$I$23,0))*parametros_manuales!$K$95+parametros_manuales!$E$40*(datos_base!$I$3+datos_base!$I$19+IF(parametros_manuales!$H$40="Todos",datos_base!$I$10+datos_base!$I$24,0))*parametros_manuales!$K$100+parametros_manuales!$F$40*(datos_base!$I$4+datos_base!$I$20+IF(parametros_manuales!$H$40="Todos",datos_base!$I$11+datos_base!$I$25,0))*parametros_manuales!$K$105+parametros_manuales!$G$40*(datos_base!$I$5+datos_base!$I$21+IF(parametros_manuales!$H$40="Todos",datos_base!$I$12+datos_base!$I$26,0))*parametros_manuales!$K$110)*parametros_manuales!$I$40*parametros_manuales!$J$40</f>
        <v>4809.447373565</v>
      </c>
      <c r="L212" s="9" t="n">
        <f aca="false">(parametros_manuales!$D$40*(datos_base!$I$2+datos_base!$I$18+IF(parametros_manuales!$H$40="Todos",datos_base!$I$9+datos_base!$I$23,0))*parametros_manuales!$L$95+parametros_manuales!$E$40*(datos_base!$I$3+datos_base!$I$19+IF(parametros_manuales!$H$40="Todos",datos_base!$I$10+datos_base!$I$24,0))*parametros_manuales!$L$100+parametros_manuales!$F$40*(datos_base!$I$4+datos_base!$I$20+IF(parametros_manuales!$H$40="Todos",datos_base!$I$11+datos_base!$I$25,0))*parametros_manuales!$L$105+parametros_manuales!$G$40*(datos_base!$I$5+datos_base!$I$21+IF(parametros_manuales!$H$40="Todos",datos_base!$I$12+datos_base!$I$26,0))*parametros_manuales!$L$110)*parametros_manuales!$I$40*parametros_manuales!$J$40</f>
        <v>4959.30386241</v>
      </c>
      <c r="M212" s="9" t="n">
        <f aca="false">(parametros_manuales!$D$40*(datos_base!$I$2+datos_base!$I$18+IF(parametros_manuales!$H$40="Todos",datos_base!$I$9+datos_base!$I$23,0))*parametros_manuales!$M$95+parametros_manuales!$E$40*(datos_base!$I$3+datos_base!$I$19+IF(parametros_manuales!$H$40="Todos",datos_base!$I$10+datos_base!$I$24,0))*parametros_manuales!$M$100+parametros_manuales!$F$40*(datos_base!$I$4+datos_base!$I$20+IF(parametros_manuales!$H$40="Todos",datos_base!$I$11+datos_base!$I$25,0))*parametros_manuales!$M$105+parametros_manuales!$G$40*(datos_base!$I$5+datos_base!$I$21+IF(parametros_manuales!$H$40="Todos",datos_base!$I$12+datos_base!$I$26,0))*parametros_manuales!$M$110)*parametros_manuales!$I$40*parametros_manuales!$J$40</f>
        <v>4959.30386241</v>
      </c>
      <c r="N212" s="9" t="n">
        <f aca="false">SUM(B212:M212)</f>
        <v>55103.376249</v>
      </c>
      <c r="O212" s="9" t="n">
        <f aca="false">MAX(B212:M212)</f>
        <v>4959.30386241</v>
      </c>
      <c r="P212" s="43" t="n">
        <f aca="false">O212/(parametros_manuales!$B$7)</f>
        <v>33.0620257494</v>
      </c>
      <c r="Q212" s="8" t="str">
        <f aca="false">IF(O212=0,"-",INDEX($B$190:$M$190,MATCH(O212,B212:M212,0)))</f>
        <v>Ene</v>
      </c>
    </row>
    <row r="213" customFormat="false" ht="14.25" hidden="false" customHeight="true" outlineLevel="0" collapsed="false">
      <c r="A213" s="8" t="str">
        <f aca="false">parametros_manuales!$B$41</f>
        <v>Control de calidad — Ensayo de pérdidas</v>
      </c>
      <c r="B213" s="9" t="n">
        <f aca="false">(parametros_manuales!$D$41*(datos_base!$I$2+datos_base!$I$18+IF(parametros_manuales!$H$41="Todos",datos_base!$I$9+datos_base!$I$23,0))*parametros_manuales!$B$95+parametros_manuales!$E$41*(datos_base!$I$3+datos_base!$I$19+IF(parametros_manuales!$H$41="Todos",datos_base!$I$10+datos_base!$I$24,0))*parametros_manuales!$B$100+parametros_manuales!$F$41*(datos_base!$I$4+datos_base!$I$20+IF(parametros_manuales!$H$41="Todos",datos_base!$I$11+datos_base!$I$25,0))*parametros_manuales!$B$105+parametros_manuales!$G$41*(datos_base!$I$5+datos_base!$I$21+IF(parametros_manuales!$H$41="Todos",datos_base!$I$12+datos_base!$I$26,0))*parametros_manuales!$B$110)*parametros_manuales!$I$41*parametros_manuales!$J$41</f>
        <v>4959.30386241</v>
      </c>
      <c r="C213" s="9" t="n">
        <f aca="false">(parametros_manuales!$D$41*(datos_base!$I$2+datos_base!$I$18+IF(parametros_manuales!$H$41="Todos",datos_base!$I$9+datos_base!$I$23,0))*parametros_manuales!$C$95+parametros_manuales!$E$41*(datos_base!$I$3+datos_base!$I$19+IF(parametros_manuales!$H$41="Todos",datos_base!$I$10+datos_base!$I$24,0))*parametros_manuales!$C$100+parametros_manuales!$F$41*(datos_base!$I$4+datos_base!$I$20+IF(parametros_manuales!$H$41="Todos",datos_base!$I$11+datos_base!$I$25,0))*parametros_manuales!$C$105+parametros_manuales!$G$41*(datos_base!$I$5+datos_base!$I$21+IF(parametros_manuales!$H$41="Todos",datos_base!$I$12+datos_base!$I$26,0))*parametros_manuales!$C$110)*parametros_manuales!$I$41*parametros_manuales!$J$41</f>
        <v>4659.59088472</v>
      </c>
      <c r="D213" s="9" t="n">
        <f aca="false">(parametros_manuales!$D$41*(datos_base!$I$2+datos_base!$I$18+IF(parametros_manuales!$H$41="Todos",datos_base!$I$9+datos_base!$I$23,0))*parametros_manuales!$D$95+parametros_manuales!$E$41*(datos_base!$I$3+datos_base!$I$19+IF(parametros_manuales!$H$41="Todos",datos_base!$I$10+datos_base!$I$24,0))*parametros_manuales!$D$100+parametros_manuales!$F$41*(datos_base!$I$4+datos_base!$I$20+IF(parametros_manuales!$H$41="Todos",datos_base!$I$11+datos_base!$I$25,0))*parametros_manuales!$D$105+parametros_manuales!$G$41*(datos_base!$I$5+datos_base!$I$21+IF(parametros_manuales!$H$41="Todos",datos_base!$I$12+datos_base!$I$26,0))*parametros_manuales!$D$110)*parametros_manuales!$I$41*parametros_manuales!$J$41</f>
        <v>4558.126588765</v>
      </c>
      <c r="E213" s="9" t="n">
        <f aca="false">(parametros_manuales!$D$41*(datos_base!$I$2+datos_base!$I$18+IF(parametros_manuales!$H$41="Todos",datos_base!$I$9+datos_base!$I$23,0))*parametros_manuales!$E$95+parametros_manuales!$E$41*(datos_base!$I$3+datos_base!$I$19+IF(parametros_manuales!$H$41="Todos",datos_base!$I$10+datos_base!$I$24,0))*parametros_manuales!$E$100+parametros_manuales!$F$41*(datos_base!$I$4+datos_base!$I$20+IF(parametros_manuales!$H$41="Todos",datos_base!$I$11+datos_base!$I$25,0))*parametros_manuales!$E$105+parametros_manuales!$G$41*(datos_base!$I$5+datos_base!$I$21+IF(parametros_manuales!$H$41="Todos",datos_base!$I$12+datos_base!$I$26,0))*parametros_manuales!$E$110)*parametros_manuales!$I$41*parametros_manuales!$J$41</f>
        <v>4432.466196365</v>
      </c>
      <c r="F213" s="9" t="n">
        <f aca="false">(parametros_manuales!$D$41*(datos_base!$I$2+datos_base!$I$18+IF(parametros_manuales!$H$41="Todos",datos_base!$I$9+datos_base!$I$23,0))*parametros_manuales!$F$95+parametros_manuales!$E$41*(datos_base!$I$3+datos_base!$I$19+IF(parametros_manuales!$H$41="Todos",datos_base!$I$10+datos_base!$I$24,0))*parametros_manuales!$F$100+parametros_manuales!$F$41*(datos_base!$I$4+datos_base!$I$20+IF(parametros_manuales!$H$41="Todos",datos_base!$I$11+datos_base!$I$25,0))*parametros_manuales!$F$105+parametros_manuales!$G$41*(datos_base!$I$5+datos_base!$I$21+IF(parametros_manuales!$H$41="Todos",datos_base!$I$12+datos_base!$I$26,0))*parametros_manuales!$F$110)*parametros_manuales!$I$41*parametros_manuales!$J$41</f>
        <v>4156.94931512</v>
      </c>
      <c r="G213" s="9" t="n">
        <f aca="false">(parametros_manuales!$D$41*(datos_base!$I$2+datos_base!$I$18+IF(parametros_manuales!$H$41="Todos",datos_base!$I$9+datos_base!$I$23,0))*parametros_manuales!$G$95+parametros_manuales!$E$41*(datos_base!$I$3+datos_base!$I$19+IF(parametros_manuales!$H$41="Todos",datos_base!$I$10+datos_base!$I$24,0))*parametros_manuales!$G$100+parametros_manuales!$F$41*(datos_base!$I$4+datos_base!$I$20+IF(parametros_manuales!$H$41="Todos",datos_base!$I$11+datos_base!$I$25,0))*parametros_manuales!$G$105+parametros_manuales!$G$41*(datos_base!$I$5+datos_base!$I$21+IF(parametros_manuales!$H$41="Todos",datos_base!$I$12+datos_base!$I$26,0))*parametros_manuales!$G$110)*parametros_manuales!$I$41*parametros_manuales!$J$41</f>
        <v>4007.092826275</v>
      </c>
      <c r="H213" s="9" t="n">
        <f aca="false">(parametros_manuales!$D$41*(datos_base!$I$2+datos_base!$I$18+IF(parametros_manuales!$H$41="Todos",datos_base!$I$9+datos_base!$I$23,0))*parametros_manuales!$H$95+parametros_manuales!$E$41*(datos_base!$I$3+datos_base!$I$19+IF(parametros_manuales!$H$41="Todos",datos_base!$I$10+datos_base!$I$24,0))*parametros_manuales!$H$100+parametros_manuales!$F$41*(datos_base!$I$4+datos_base!$I$20+IF(parametros_manuales!$H$41="Todos",datos_base!$I$11+datos_base!$I$25,0))*parametros_manuales!$H$105+parametros_manuales!$G$41*(datos_base!$I$5+datos_base!$I$21+IF(parametros_manuales!$H$41="Todos",datos_base!$I$12+datos_base!$I$26,0))*parametros_manuales!$H$110)*parametros_manuales!$I$41*parametros_manuales!$J$41</f>
        <v>4282.60970752</v>
      </c>
      <c r="I213" s="9" t="n">
        <f aca="false">(parametros_manuales!$D$41*(datos_base!$I$2+datos_base!$I$18+IF(parametros_manuales!$H$41="Todos",datos_base!$I$9+datos_base!$I$23,0))*parametros_manuales!$I$95+parametros_manuales!$E$41*(datos_base!$I$3+datos_base!$I$19+IF(parametros_manuales!$H$41="Todos",datos_base!$I$10+datos_base!$I$24,0))*parametros_manuales!$I$100+parametros_manuales!$F$41*(datos_base!$I$4+datos_base!$I$20+IF(parametros_manuales!$H$41="Todos",datos_base!$I$11+datos_base!$I$25,0))*parametros_manuales!$I$105+parametros_manuales!$G$41*(datos_base!$I$5+datos_base!$I$21+IF(parametros_manuales!$H$41="Todos",datos_base!$I$12+datos_base!$I$26,0))*parametros_manuales!$I$110)*parametros_manuales!$I$41*parametros_manuales!$J$41</f>
        <v>4659.59088472</v>
      </c>
      <c r="J213" s="9" t="n">
        <f aca="false">(parametros_manuales!$D$41*(datos_base!$I$2+datos_base!$I$18+IF(parametros_manuales!$H$41="Todos",datos_base!$I$9+datos_base!$I$23,0))*parametros_manuales!$J$95+parametros_manuales!$E$41*(datos_base!$I$3+datos_base!$I$19+IF(parametros_manuales!$H$41="Todos",datos_base!$I$10+datos_base!$I$24,0))*parametros_manuales!$J$100+parametros_manuales!$F$41*(datos_base!$I$4+datos_base!$I$20+IF(parametros_manuales!$H$41="Todos",datos_base!$I$11+datos_base!$I$25,0))*parametros_manuales!$J$105+parametros_manuales!$G$41*(datos_base!$I$5+datos_base!$I$21+IF(parametros_manuales!$H$41="Todos",datos_base!$I$12+datos_base!$I$26,0))*parametros_manuales!$J$110)*parametros_manuales!$I$41*parametros_manuales!$J$41</f>
        <v>4659.59088472</v>
      </c>
      <c r="K213" s="9" t="n">
        <f aca="false">(parametros_manuales!$D$41*(datos_base!$I$2+datos_base!$I$18+IF(parametros_manuales!$H$41="Todos",datos_base!$I$9+datos_base!$I$23,0))*parametros_manuales!$K$95+parametros_manuales!$E$41*(datos_base!$I$3+datos_base!$I$19+IF(parametros_manuales!$H$41="Todos",datos_base!$I$10+datos_base!$I$24,0))*parametros_manuales!$K$100+parametros_manuales!$F$41*(datos_base!$I$4+datos_base!$I$20+IF(parametros_manuales!$H$41="Todos",datos_base!$I$11+datos_base!$I$25,0))*parametros_manuales!$K$105+parametros_manuales!$G$41*(datos_base!$I$5+datos_base!$I$21+IF(parametros_manuales!$H$41="Todos",datos_base!$I$12+datos_base!$I$26,0))*parametros_manuales!$K$110)*parametros_manuales!$I$41*parametros_manuales!$J$41</f>
        <v>4809.447373565</v>
      </c>
      <c r="L213" s="9" t="n">
        <f aca="false">(parametros_manuales!$D$41*(datos_base!$I$2+datos_base!$I$18+IF(parametros_manuales!$H$41="Todos",datos_base!$I$9+datos_base!$I$23,0))*parametros_manuales!$L$95+parametros_manuales!$E$41*(datos_base!$I$3+datos_base!$I$19+IF(parametros_manuales!$H$41="Todos",datos_base!$I$10+datos_base!$I$24,0))*parametros_manuales!$L$100+parametros_manuales!$F$41*(datos_base!$I$4+datos_base!$I$20+IF(parametros_manuales!$H$41="Todos",datos_base!$I$11+datos_base!$I$25,0))*parametros_manuales!$L$105+parametros_manuales!$G$41*(datos_base!$I$5+datos_base!$I$21+IF(parametros_manuales!$H$41="Todos",datos_base!$I$12+datos_base!$I$26,0))*parametros_manuales!$L$110)*parametros_manuales!$I$41*parametros_manuales!$J$41</f>
        <v>4959.30386241</v>
      </c>
      <c r="M213" s="9" t="n">
        <f aca="false">(parametros_manuales!$D$41*(datos_base!$I$2+datos_base!$I$18+IF(parametros_manuales!$H$41="Todos",datos_base!$I$9+datos_base!$I$23,0))*parametros_manuales!$M$95+parametros_manuales!$E$41*(datos_base!$I$3+datos_base!$I$19+IF(parametros_manuales!$H$41="Todos",datos_base!$I$10+datos_base!$I$24,0))*parametros_manuales!$M$100+parametros_manuales!$F$41*(datos_base!$I$4+datos_base!$I$20+IF(parametros_manuales!$H$41="Todos",datos_base!$I$11+datos_base!$I$25,0))*parametros_manuales!$M$105+parametros_manuales!$G$41*(datos_base!$I$5+datos_base!$I$21+IF(parametros_manuales!$H$41="Todos",datos_base!$I$12+datos_base!$I$26,0))*parametros_manuales!$M$110)*parametros_manuales!$I$41*parametros_manuales!$J$41</f>
        <v>4959.30386241</v>
      </c>
      <c r="N213" s="9" t="n">
        <f aca="false">SUM(B213:M213)</f>
        <v>55103.376249</v>
      </c>
      <c r="O213" s="9" t="n">
        <f aca="false">MAX(B213:M213)</f>
        <v>4959.30386241</v>
      </c>
      <c r="P213" s="43" t="n">
        <f aca="false">O213/(parametros_manuales!$B$7)</f>
        <v>33.0620257494</v>
      </c>
      <c r="Q213" s="8" t="str">
        <f aca="false">IF(O213=0,"-",INDEX($B$190:$M$190,MATCH(O213,B213:M213,0)))</f>
        <v>Ene</v>
      </c>
    </row>
    <row r="214" customFormat="false" ht="14.25" hidden="false" customHeight="true" outlineLevel="0" collapsed="false">
      <c r="A214" s="8" t="str">
        <f aca="false">parametros_manuales!$B$42</f>
        <v>Etiquetado</v>
      </c>
      <c r="B214" s="9" t="n">
        <f aca="false">(parametros_manuales!$D$42*(datos_base!$I$2+datos_base!$I$18+IF(parametros_manuales!$H$42="Todos",datos_base!$I$9+datos_base!$I$23,0))*parametros_manuales!$B$95+parametros_manuales!$E$42*(datos_base!$I$3+datos_base!$I$19+IF(parametros_manuales!$H$42="Todos",datos_base!$I$10+datos_base!$I$24,0))*parametros_manuales!$B$100+parametros_manuales!$F$42*(datos_base!$I$4+datos_base!$I$20+IF(parametros_manuales!$H$42="Todos",datos_base!$I$11+datos_base!$I$25,0))*parametros_manuales!$B$105+parametros_manuales!$G$42*(datos_base!$I$5+datos_base!$I$21+IF(parametros_manuales!$H$42="Todos",datos_base!$I$12+datos_base!$I$26,0))*parametros_manuales!$B$110)*parametros_manuales!$I$42*parametros_manuales!$J$42</f>
        <v>4959.30386241</v>
      </c>
      <c r="C214" s="9" t="n">
        <f aca="false">(parametros_manuales!$D$42*(datos_base!$I$2+datos_base!$I$18+IF(parametros_manuales!$H$42="Todos",datos_base!$I$9+datos_base!$I$23,0))*parametros_manuales!$C$95+parametros_manuales!$E$42*(datos_base!$I$3+datos_base!$I$19+IF(parametros_manuales!$H$42="Todos",datos_base!$I$10+datos_base!$I$24,0))*parametros_manuales!$C$100+parametros_manuales!$F$42*(datos_base!$I$4+datos_base!$I$20+IF(parametros_manuales!$H$42="Todos",datos_base!$I$11+datos_base!$I$25,0))*parametros_manuales!$C$105+parametros_manuales!$G$42*(datos_base!$I$5+datos_base!$I$21+IF(parametros_manuales!$H$42="Todos",datos_base!$I$12+datos_base!$I$26,0))*parametros_manuales!$C$110)*parametros_manuales!$I$42*parametros_manuales!$J$42</f>
        <v>4659.59088472</v>
      </c>
      <c r="D214" s="9" t="n">
        <f aca="false">(parametros_manuales!$D$42*(datos_base!$I$2+datos_base!$I$18+IF(parametros_manuales!$H$42="Todos",datos_base!$I$9+datos_base!$I$23,0))*parametros_manuales!$D$95+parametros_manuales!$E$42*(datos_base!$I$3+datos_base!$I$19+IF(parametros_manuales!$H$42="Todos",datos_base!$I$10+datos_base!$I$24,0))*parametros_manuales!$D$100+parametros_manuales!$F$42*(datos_base!$I$4+datos_base!$I$20+IF(parametros_manuales!$H$42="Todos",datos_base!$I$11+datos_base!$I$25,0))*parametros_manuales!$D$105+parametros_manuales!$G$42*(datos_base!$I$5+datos_base!$I$21+IF(parametros_manuales!$H$42="Todos",datos_base!$I$12+datos_base!$I$26,0))*parametros_manuales!$D$110)*parametros_manuales!$I$42*parametros_manuales!$J$42</f>
        <v>4558.126588765</v>
      </c>
      <c r="E214" s="9" t="n">
        <f aca="false">(parametros_manuales!$D$42*(datos_base!$I$2+datos_base!$I$18+IF(parametros_manuales!$H$42="Todos",datos_base!$I$9+datos_base!$I$23,0))*parametros_manuales!$E$95+parametros_manuales!$E$42*(datos_base!$I$3+datos_base!$I$19+IF(parametros_manuales!$H$42="Todos",datos_base!$I$10+datos_base!$I$24,0))*parametros_manuales!$E$100+parametros_manuales!$F$42*(datos_base!$I$4+datos_base!$I$20+IF(parametros_manuales!$H$42="Todos",datos_base!$I$11+datos_base!$I$25,0))*parametros_manuales!$E$105+parametros_manuales!$G$42*(datos_base!$I$5+datos_base!$I$21+IF(parametros_manuales!$H$42="Todos",datos_base!$I$12+datos_base!$I$26,0))*parametros_manuales!$E$110)*parametros_manuales!$I$42*parametros_manuales!$J$42</f>
        <v>4432.466196365</v>
      </c>
      <c r="F214" s="9" t="n">
        <f aca="false">(parametros_manuales!$D$42*(datos_base!$I$2+datos_base!$I$18+IF(parametros_manuales!$H$42="Todos",datos_base!$I$9+datos_base!$I$23,0))*parametros_manuales!$F$95+parametros_manuales!$E$42*(datos_base!$I$3+datos_base!$I$19+IF(parametros_manuales!$H$42="Todos",datos_base!$I$10+datos_base!$I$24,0))*parametros_manuales!$F$100+parametros_manuales!$F$42*(datos_base!$I$4+datos_base!$I$20+IF(parametros_manuales!$H$42="Todos",datos_base!$I$11+datos_base!$I$25,0))*parametros_manuales!$F$105+parametros_manuales!$G$42*(datos_base!$I$5+datos_base!$I$21+IF(parametros_manuales!$H$42="Todos",datos_base!$I$12+datos_base!$I$26,0))*parametros_manuales!$F$110)*parametros_manuales!$I$42*parametros_manuales!$J$42</f>
        <v>4156.94931512</v>
      </c>
      <c r="G214" s="9" t="n">
        <f aca="false">(parametros_manuales!$D$42*(datos_base!$I$2+datos_base!$I$18+IF(parametros_manuales!$H$42="Todos",datos_base!$I$9+datos_base!$I$23,0))*parametros_manuales!$G$95+parametros_manuales!$E$42*(datos_base!$I$3+datos_base!$I$19+IF(parametros_manuales!$H$42="Todos",datos_base!$I$10+datos_base!$I$24,0))*parametros_manuales!$G$100+parametros_manuales!$F$42*(datos_base!$I$4+datos_base!$I$20+IF(parametros_manuales!$H$42="Todos",datos_base!$I$11+datos_base!$I$25,0))*parametros_manuales!$G$105+parametros_manuales!$G$42*(datos_base!$I$5+datos_base!$I$21+IF(parametros_manuales!$H$42="Todos",datos_base!$I$12+datos_base!$I$26,0))*parametros_manuales!$G$110)*parametros_manuales!$I$42*parametros_manuales!$J$42</f>
        <v>4007.092826275</v>
      </c>
      <c r="H214" s="9" t="n">
        <f aca="false">(parametros_manuales!$D$42*(datos_base!$I$2+datos_base!$I$18+IF(parametros_manuales!$H$42="Todos",datos_base!$I$9+datos_base!$I$23,0))*parametros_manuales!$H$95+parametros_manuales!$E$42*(datos_base!$I$3+datos_base!$I$19+IF(parametros_manuales!$H$42="Todos",datos_base!$I$10+datos_base!$I$24,0))*parametros_manuales!$H$100+parametros_manuales!$F$42*(datos_base!$I$4+datos_base!$I$20+IF(parametros_manuales!$H$42="Todos",datos_base!$I$11+datos_base!$I$25,0))*parametros_manuales!$H$105+parametros_manuales!$G$42*(datos_base!$I$5+datos_base!$I$21+IF(parametros_manuales!$H$42="Todos",datos_base!$I$12+datos_base!$I$26,0))*parametros_manuales!$H$110)*parametros_manuales!$I$42*parametros_manuales!$J$42</f>
        <v>4282.60970752</v>
      </c>
      <c r="I214" s="9" t="n">
        <f aca="false">(parametros_manuales!$D$42*(datos_base!$I$2+datos_base!$I$18+IF(parametros_manuales!$H$42="Todos",datos_base!$I$9+datos_base!$I$23,0))*parametros_manuales!$I$95+parametros_manuales!$E$42*(datos_base!$I$3+datos_base!$I$19+IF(parametros_manuales!$H$42="Todos",datos_base!$I$10+datos_base!$I$24,0))*parametros_manuales!$I$100+parametros_manuales!$F$42*(datos_base!$I$4+datos_base!$I$20+IF(parametros_manuales!$H$42="Todos",datos_base!$I$11+datos_base!$I$25,0))*parametros_manuales!$I$105+parametros_manuales!$G$42*(datos_base!$I$5+datos_base!$I$21+IF(parametros_manuales!$H$42="Todos",datos_base!$I$12+datos_base!$I$26,0))*parametros_manuales!$I$110)*parametros_manuales!$I$42*parametros_manuales!$J$42</f>
        <v>4659.59088472</v>
      </c>
      <c r="J214" s="9" t="n">
        <f aca="false">(parametros_manuales!$D$42*(datos_base!$I$2+datos_base!$I$18+IF(parametros_manuales!$H$42="Todos",datos_base!$I$9+datos_base!$I$23,0))*parametros_manuales!$J$95+parametros_manuales!$E$42*(datos_base!$I$3+datos_base!$I$19+IF(parametros_manuales!$H$42="Todos",datos_base!$I$10+datos_base!$I$24,0))*parametros_manuales!$J$100+parametros_manuales!$F$42*(datos_base!$I$4+datos_base!$I$20+IF(parametros_manuales!$H$42="Todos",datos_base!$I$11+datos_base!$I$25,0))*parametros_manuales!$J$105+parametros_manuales!$G$42*(datos_base!$I$5+datos_base!$I$21+IF(parametros_manuales!$H$42="Todos",datos_base!$I$12+datos_base!$I$26,0))*parametros_manuales!$J$110)*parametros_manuales!$I$42*parametros_manuales!$J$42</f>
        <v>4659.59088472</v>
      </c>
      <c r="K214" s="9" t="n">
        <f aca="false">(parametros_manuales!$D$42*(datos_base!$I$2+datos_base!$I$18+IF(parametros_manuales!$H$42="Todos",datos_base!$I$9+datos_base!$I$23,0))*parametros_manuales!$K$95+parametros_manuales!$E$42*(datos_base!$I$3+datos_base!$I$19+IF(parametros_manuales!$H$42="Todos",datos_base!$I$10+datos_base!$I$24,0))*parametros_manuales!$K$100+parametros_manuales!$F$42*(datos_base!$I$4+datos_base!$I$20+IF(parametros_manuales!$H$42="Todos",datos_base!$I$11+datos_base!$I$25,0))*parametros_manuales!$K$105+parametros_manuales!$G$42*(datos_base!$I$5+datos_base!$I$21+IF(parametros_manuales!$H$42="Todos",datos_base!$I$12+datos_base!$I$26,0))*parametros_manuales!$K$110)*parametros_manuales!$I$42*parametros_manuales!$J$42</f>
        <v>4809.447373565</v>
      </c>
      <c r="L214" s="9" t="n">
        <f aca="false">(parametros_manuales!$D$42*(datos_base!$I$2+datos_base!$I$18+IF(parametros_manuales!$H$42="Todos",datos_base!$I$9+datos_base!$I$23,0))*parametros_manuales!$L$95+parametros_manuales!$E$42*(datos_base!$I$3+datos_base!$I$19+IF(parametros_manuales!$H$42="Todos",datos_base!$I$10+datos_base!$I$24,0))*parametros_manuales!$L$100+parametros_manuales!$F$42*(datos_base!$I$4+datos_base!$I$20+IF(parametros_manuales!$H$42="Todos",datos_base!$I$11+datos_base!$I$25,0))*parametros_manuales!$L$105+parametros_manuales!$G$42*(datos_base!$I$5+datos_base!$I$21+IF(parametros_manuales!$H$42="Todos",datos_base!$I$12+datos_base!$I$26,0))*parametros_manuales!$L$110)*parametros_manuales!$I$42*parametros_manuales!$J$42</f>
        <v>4959.30386241</v>
      </c>
      <c r="M214" s="9" t="n">
        <f aca="false">(parametros_manuales!$D$42*(datos_base!$I$2+datos_base!$I$18+IF(parametros_manuales!$H$42="Todos",datos_base!$I$9+datos_base!$I$23,0))*parametros_manuales!$M$95+parametros_manuales!$E$42*(datos_base!$I$3+datos_base!$I$19+IF(parametros_manuales!$H$42="Todos",datos_base!$I$10+datos_base!$I$24,0))*parametros_manuales!$M$100+parametros_manuales!$F$42*(datos_base!$I$4+datos_base!$I$20+IF(parametros_manuales!$H$42="Todos",datos_base!$I$11+datos_base!$I$25,0))*parametros_manuales!$M$105+parametros_manuales!$G$42*(datos_base!$I$5+datos_base!$I$21+IF(parametros_manuales!$H$42="Todos",datos_base!$I$12+datos_base!$I$26,0))*parametros_manuales!$M$110)*parametros_manuales!$I$42*parametros_manuales!$J$42</f>
        <v>4959.30386241</v>
      </c>
      <c r="N214" s="9" t="n">
        <f aca="false">SUM(B214:M214)</f>
        <v>55103.376249</v>
      </c>
      <c r="O214" s="9" t="n">
        <f aca="false">MAX(B214:M214)</f>
        <v>4959.30386241</v>
      </c>
      <c r="P214" s="43" t="n">
        <f aca="false">O214/(parametros_manuales!$B$7)</f>
        <v>33.0620257494</v>
      </c>
      <c r="Q214" s="8" t="str">
        <f aca="false">IF(O214=0,"-",INDEX($B$190:$M$190,MATCH(O214,B214:M214,0)))</f>
        <v>Ene</v>
      </c>
    </row>
    <row r="215" customFormat="false" ht="14.25" hidden="false" customHeight="true" outlineLevel="0" collapsed="false">
      <c r="A215" s="8" t="str">
        <f aca="false">parametros_manuales!$B$43</f>
        <v>Embalaje y paletizado</v>
      </c>
      <c r="B215" s="9" t="n">
        <f aca="false">(parametros_manuales!$D$43*(datos_base!$I$2+datos_base!$I$18+IF(parametros_manuales!$H$43="Todos",datos_base!$I$9+datos_base!$I$23,0))*parametros_manuales!$B$95+parametros_manuales!$E$43*(datos_base!$I$3+datos_base!$I$19+IF(parametros_manuales!$H$43="Todos",datos_base!$I$10+datos_base!$I$24,0))*parametros_manuales!$B$100+parametros_manuales!$F$43*(datos_base!$I$4+datos_base!$I$20+IF(parametros_manuales!$H$43="Todos",datos_base!$I$11+datos_base!$I$25,0))*parametros_manuales!$B$105+parametros_manuales!$G$43*(datos_base!$I$5+datos_base!$I$21+IF(parametros_manuales!$H$43="Todos",datos_base!$I$12+datos_base!$I$26,0))*parametros_manuales!$B$110)*parametros_manuales!$I$43*parametros_manuales!$J$43</f>
        <v>19641.74906241</v>
      </c>
      <c r="C215" s="9" t="n">
        <f aca="false">(parametros_manuales!$D$43*(datos_base!$I$2+datos_base!$I$18+IF(parametros_manuales!$H$43="Todos",datos_base!$I$9+datos_base!$I$23,0))*parametros_manuales!$C$95+parametros_manuales!$E$43*(datos_base!$I$3+datos_base!$I$19+IF(parametros_manuales!$H$43="Todos",datos_base!$I$10+datos_base!$I$24,0))*parametros_manuales!$C$100+parametros_manuales!$F$43*(datos_base!$I$4+datos_base!$I$20+IF(parametros_manuales!$H$43="Todos",datos_base!$I$11+datos_base!$I$25,0))*parametros_manuales!$C$105+parametros_manuales!$G$43*(datos_base!$I$5+datos_base!$I$21+IF(parametros_manuales!$H$43="Todos",datos_base!$I$12+datos_base!$I$26,0))*parametros_manuales!$C$110)*parametros_manuales!$I$43*parametros_manuales!$J$43</f>
        <v>19020.66328472</v>
      </c>
      <c r="D215" s="9" t="n">
        <f aca="false">(parametros_manuales!$D$43*(datos_base!$I$2+datos_base!$I$18+IF(parametros_manuales!$H$43="Todos",datos_base!$I$9+datos_base!$I$23,0))*parametros_manuales!$D$95+parametros_manuales!$E$43*(datos_base!$I$3+datos_base!$I$19+IF(parametros_manuales!$H$43="Todos",datos_base!$I$10+datos_base!$I$24,0))*parametros_manuales!$D$100+parametros_manuales!$F$43*(datos_base!$I$4+datos_base!$I$20+IF(parametros_manuales!$H$43="Todos",datos_base!$I$11+datos_base!$I$25,0))*parametros_manuales!$D$105+parametros_manuales!$G$43*(datos_base!$I$5+datos_base!$I$21+IF(parametros_manuales!$H$43="Todos",datos_base!$I$12+datos_base!$I$26,0))*parametros_manuales!$D$110)*parametros_manuales!$I$43*parametros_manuales!$J$43</f>
        <v>17769.875388765</v>
      </c>
      <c r="E215" s="9" t="n">
        <f aca="false">(parametros_manuales!$D$43*(datos_base!$I$2+datos_base!$I$18+IF(parametros_manuales!$H$43="Todos",datos_base!$I$9+datos_base!$I$23,0))*parametros_manuales!$E$95+parametros_manuales!$E$43*(datos_base!$I$3+datos_base!$I$19+IF(parametros_manuales!$H$43="Todos",datos_base!$I$10+datos_base!$I$24,0))*parametros_manuales!$E$100+parametros_manuales!$F$43*(datos_base!$I$4+datos_base!$I$20+IF(parametros_manuales!$H$43="Todos",datos_base!$I$11+datos_base!$I$25,0))*parametros_manuales!$E$105+parametros_manuales!$G$43*(datos_base!$I$5+datos_base!$I$21+IF(parametros_manuales!$H$43="Todos",datos_base!$I$12+datos_base!$I$26,0))*parametros_manuales!$E$110)*parametros_manuales!$I$43*parametros_manuales!$J$43</f>
        <v>16989.209996365</v>
      </c>
      <c r="F215" s="9" t="n">
        <f aca="false">(parametros_manuales!$D$43*(datos_base!$I$2+datos_base!$I$18+IF(parametros_manuales!$H$43="Todos",datos_base!$I$9+datos_base!$I$23,0))*parametros_manuales!$F$95+parametros_manuales!$E$43*(datos_base!$I$3+datos_base!$I$19+IF(parametros_manuales!$H$43="Todos",datos_base!$I$10+datos_base!$I$24,0))*parametros_manuales!$F$100+parametros_manuales!$F$43*(datos_base!$I$4+datos_base!$I$20+IF(parametros_manuales!$H$43="Todos",datos_base!$I$11+datos_base!$I$25,0))*parametros_manuales!$F$105+parametros_manuales!$G$43*(datos_base!$I$5+datos_base!$I$21+IF(parametros_manuales!$H$43="Todos",datos_base!$I$12+datos_base!$I$26,0))*parametros_manuales!$F$110)*parametros_manuales!$I$43*parametros_manuales!$J$43</f>
        <v>15898.00171512</v>
      </c>
      <c r="G215" s="9" t="n">
        <f aca="false">(parametros_manuales!$D$43*(datos_base!$I$2+datos_base!$I$18+IF(parametros_manuales!$H$43="Todos",datos_base!$I$9+datos_base!$I$23,0))*parametros_manuales!$G$95+parametros_manuales!$E$43*(datos_base!$I$3+datos_base!$I$19+IF(parametros_manuales!$H$43="Todos",datos_base!$I$10+datos_base!$I$24,0))*parametros_manuales!$G$100+parametros_manuales!$F$43*(datos_base!$I$4+datos_base!$I$20+IF(parametros_manuales!$H$43="Todos",datos_base!$I$11+datos_base!$I$25,0))*parametros_manuales!$G$105+parametros_manuales!$G$43*(datos_base!$I$5+datos_base!$I$21+IF(parametros_manuales!$H$43="Todos",datos_base!$I$12+datos_base!$I$26,0))*parametros_manuales!$G$110)*parametros_manuales!$I$43*parametros_manuales!$J$43</f>
        <v>15587.458826275</v>
      </c>
      <c r="H215" s="9" t="n">
        <f aca="false">(parametros_manuales!$D$43*(datos_base!$I$2+datos_base!$I$18+IF(parametros_manuales!$H$43="Todos",datos_base!$I$9+datos_base!$I$23,0))*parametros_manuales!$H$95+parametros_manuales!$E$43*(datos_base!$I$3+datos_base!$I$19+IF(parametros_manuales!$H$43="Todos",datos_base!$I$10+datos_base!$I$24,0))*parametros_manuales!$H$100+parametros_manuales!$F$43*(datos_base!$I$4+datos_base!$I$20+IF(parametros_manuales!$H$43="Todos",datos_base!$I$11+datos_base!$I$25,0))*parametros_manuales!$H$105+parametros_manuales!$G$43*(datos_base!$I$5+datos_base!$I$21+IF(parametros_manuales!$H$43="Todos",datos_base!$I$12+datos_base!$I$26,0))*parametros_manuales!$H$110)*parametros_manuales!$I$43*parametros_manuales!$J$43</f>
        <v>16678.66710752</v>
      </c>
      <c r="I215" s="9" t="n">
        <f aca="false">(parametros_manuales!$D$43*(datos_base!$I$2+datos_base!$I$18+IF(parametros_manuales!$H$43="Todos",datos_base!$I$9+datos_base!$I$23,0))*parametros_manuales!$I$95+parametros_manuales!$E$43*(datos_base!$I$3+datos_base!$I$19+IF(parametros_manuales!$H$43="Todos",datos_base!$I$10+datos_base!$I$24,0))*parametros_manuales!$I$100+parametros_manuales!$F$43*(datos_base!$I$4+datos_base!$I$20+IF(parametros_manuales!$H$43="Todos",datos_base!$I$11+datos_base!$I$25,0))*parametros_manuales!$I$105+parametros_manuales!$G$43*(datos_base!$I$5+datos_base!$I$21+IF(parametros_manuales!$H$43="Todos",datos_base!$I$12+datos_base!$I$26,0))*parametros_manuales!$I$110)*parametros_manuales!$I$43*parametros_manuales!$J$43</f>
        <v>19020.66328472</v>
      </c>
      <c r="J215" s="9" t="n">
        <f aca="false">(parametros_manuales!$D$43*(datos_base!$I$2+datos_base!$I$18+IF(parametros_manuales!$H$43="Todos",datos_base!$I$9+datos_base!$I$23,0))*parametros_manuales!$J$95+parametros_manuales!$E$43*(datos_base!$I$3+datos_base!$I$19+IF(parametros_manuales!$H$43="Todos",datos_base!$I$10+datos_base!$I$24,0))*parametros_manuales!$J$100+parametros_manuales!$F$43*(datos_base!$I$4+datos_base!$I$20+IF(parametros_manuales!$H$43="Todos",datos_base!$I$11+datos_base!$I$25,0))*parametros_manuales!$J$105+parametros_manuales!$G$43*(datos_base!$I$5+datos_base!$I$21+IF(parametros_manuales!$H$43="Todos",datos_base!$I$12+datos_base!$I$26,0))*parametros_manuales!$J$110)*parametros_manuales!$I$43*parametros_manuales!$J$43</f>
        <v>19020.66328472</v>
      </c>
      <c r="K215" s="9" t="n">
        <f aca="false">(parametros_manuales!$D$43*(datos_base!$I$2+datos_base!$I$18+IF(parametros_manuales!$H$43="Todos",datos_base!$I$9+datos_base!$I$23,0))*parametros_manuales!$K$95+parametros_manuales!$E$43*(datos_base!$I$3+datos_base!$I$19+IF(parametros_manuales!$H$43="Todos",datos_base!$I$10+datos_base!$I$24,0))*parametros_manuales!$K$100+parametros_manuales!$F$43*(datos_base!$I$4+datos_base!$I$20+IF(parametros_manuales!$H$43="Todos",datos_base!$I$11+datos_base!$I$25,0))*parametros_manuales!$K$105+parametros_manuales!$G$43*(datos_base!$I$5+datos_base!$I$21+IF(parametros_manuales!$H$43="Todos",datos_base!$I$12+datos_base!$I$26,0))*parametros_manuales!$K$110)*parametros_manuales!$I$43*parametros_manuales!$J$43</f>
        <v>19331.206173565</v>
      </c>
      <c r="L215" s="9" t="n">
        <f aca="false">(parametros_manuales!$D$43*(datos_base!$I$2+datos_base!$I$18+IF(parametros_manuales!$H$43="Todos",datos_base!$I$9+datos_base!$I$23,0))*parametros_manuales!$L$95+parametros_manuales!$E$43*(datos_base!$I$3+datos_base!$I$19+IF(parametros_manuales!$H$43="Todos",datos_base!$I$10+datos_base!$I$24,0))*parametros_manuales!$L$100+parametros_manuales!$F$43*(datos_base!$I$4+datos_base!$I$20+IF(parametros_manuales!$H$43="Todos",datos_base!$I$11+datos_base!$I$25,0))*parametros_manuales!$L$105+parametros_manuales!$G$43*(datos_base!$I$5+datos_base!$I$21+IF(parametros_manuales!$H$43="Todos",datos_base!$I$12+datos_base!$I$26,0))*parametros_manuales!$L$110)*parametros_manuales!$I$43*parametros_manuales!$J$43</f>
        <v>19641.74906241</v>
      </c>
      <c r="M215" s="9" t="n">
        <f aca="false">(parametros_manuales!$D$43*(datos_base!$I$2+datos_base!$I$18+IF(parametros_manuales!$H$43="Todos",datos_base!$I$9+datos_base!$I$23,0))*parametros_manuales!$M$95+parametros_manuales!$E$43*(datos_base!$I$3+datos_base!$I$19+IF(parametros_manuales!$H$43="Todos",datos_base!$I$10+datos_base!$I$24,0))*parametros_manuales!$M$100+parametros_manuales!$F$43*(datos_base!$I$4+datos_base!$I$20+IF(parametros_manuales!$H$43="Todos",datos_base!$I$11+datos_base!$I$25,0))*parametros_manuales!$M$105+parametros_manuales!$G$43*(datos_base!$I$5+datos_base!$I$21+IF(parametros_manuales!$H$43="Todos",datos_base!$I$12+datos_base!$I$26,0))*parametros_manuales!$M$110)*parametros_manuales!$I$43*parametros_manuales!$J$43</f>
        <v>19641.74906241</v>
      </c>
      <c r="N215" s="9" t="n">
        <f aca="false">SUM(B215:M215)</f>
        <v>218241.656249</v>
      </c>
      <c r="O215" s="9" t="n">
        <f aca="false">MAX(B215:M215)</f>
        <v>19641.74906241</v>
      </c>
      <c r="P215" s="43" t="n">
        <f aca="false">O215/(parametros_manuales!$B$7)</f>
        <v>130.9449937494</v>
      </c>
      <c r="Q215" s="8" t="str">
        <f aca="false">IF(O215=0,"-",INDEX($B$190:$M$190,MATCH(O215,B215:M215,0)))</f>
        <v>Ene</v>
      </c>
    </row>
    <row r="216" customFormat="false" ht="14.25" hidden="false" customHeight="true" outlineLevel="0" collapsed="false"/>
    <row r="217" customFormat="false" ht="14.25" hidden="false" customHeight="true" outlineLevel="0" collapsed="false">
      <c r="A217" s="7" t="s">
        <v>198</v>
      </c>
      <c r="B217" s="7" t="s">
        <v>61</v>
      </c>
      <c r="C217" s="7" t="s">
        <v>62</v>
      </c>
      <c r="D217" s="7" t="s">
        <v>63</v>
      </c>
      <c r="E217" s="7" t="s">
        <v>64</v>
      </c>
      <c r="F217" s="7" t="s">
        <v>65</v>
      </c>
      <c r="G217" s="7" t="s">
        <v>66</v>
      </c>
      <c r="H217" s="7" t="s">
        <v>67</v>
      </c>
      <c r="I217" s="7" t="s">
        <v>68</v>
      </c>
      <c r="J217" s="7" t="s">
        <v>69</v>
      </c>
      <c r="K217" s="7" t="s">
        <v>70</v>
      </c>
      <c r="L217" s="7" t="s">
        <v>71</v>
      </c>
      <c r="M217" s="7" t="s">
        <v>72</v>
      </c>
      <c r="N217" s="7" t="s">
        <v>183</v>
      </c>
      <c r="O217" s="7" t="s">
        <v>188</v>
      </c>
      <c r="P217" s="7" t="s">
        <v>189</v>
      </c>
      <c r="Q217" s="7" t="s">
        <v>190</v>
      </c>
    </row>
    <row r="218" customFormat="false" ht="14.25" hidden="false" customHeight="true" outlineLevel="0" collapsed="false">
      <c r="A218" s="8" t="str">
        <f aca="false">parametros_manuales!$B$19</f>
        <v>Recepción de materia prima</v>
      </c>
      <c r="B218" s="9" t="n">
        <f aca="false">(parametros_manuales!$D$19*(datos_base!$J$2+datos_base!$J$18+IF(parametros_manuales!$H$19="Todos",datos_base!$J$9+datos_base!$J$23,0))*parametros_manuales!$B$95+parametros_manuales!$E$19*(datos_base!$J$3+datos_base!$J$19+IF(parametros_manuales!$H$19="Todos",datos_base!$J$10+datos_base!$J$24,0))*parametros_manuales!$B$100+parametros_manuales!$F$19*(datos_base!$J$4+datos_base!$J$20+IF(parametros_manuales!$H$19="Todos",datos_base!$J$11+datos_base!$J$25,0))*parametros_manuales!$B$105+parametros_manuales!$G$19*(datos_base!$J$5+datos_base!$J$21+IF(parametros_manuales!$H$19="Todos",datos_base!$J$12+datos_base!$J$26,0))*parametros_manuales!$B$110)*parametros_manuales!$I$19*parametros_manuales!$J$19</f>
        <v>22162.22972883</v>
      </c>
      <c r="C218" s="9" t="n">
        <f aca="false">(parametros_manuales!$D$19*(datos_base!$J$2+datos_base!$J$18+IF(parametros_manuales!$H$19="Todos",datos_base!$J$9+datos_base!$J$23,0))*parametros_manuales!$C$95+parametros_manuales!$E$19*(datos_base!$J$3+datos_base!$J$19+IF(parametros_manuales!$H$19="Todos",datos_base!$J$10+datos_base!$J$24,0))*parametros_manuales!$C$100+parametros_manuales!$F$19*(datos_base!$J$4+datos_base!$J$20+IF(parametros_manuales!$H$19="Todos",datos_base!$J$11+datos_base!$J$25,0))*parametros_manuales!$C$105+parametros_manuales!$G$19*(datos_base!$J$5+datos_base!$J$21+IF(parametros_manuales!$H$19="Todos",datos_base!$J$12+datos_base!$J$26,0))*parametros_manuales!$C$110)*parametros_manuales!$I$19*parametros_manuales!$J$19</f>
        <v>21453.69112036</v>
      </c>
      <c r="D218" s="9" t="n">
        <f aca="false">(parametros_manuales!$D$19*(datos_base!$J$2+datos_base!$J$18+IF(parametros_manuales!$H$19="Todos",datos_base!$J$9+datos_base!$J$23,0))*parametros_manuales!$D$95+parametros_manuales!$E$19*(datos_base!$J$3+datos_base!$J$19+IF(parametros_manuales!$H$19="Todos",datos_base!$J$10+datos_base!$J$24,0))*parametros_manuales!$D$100+parametros_manuales!$F$19*(datos_base!$J$4+datos_base!$J$20+IF(parametros_manuales!$H$19="Todos",datos_base!$J$11+datos_base!$J$25,0))*parametros_manuales!$D$105+parametros_manuales!$G$19*(datos_base!$J$5+datos_base!$J$21+IF(parametros_manuales!$H$19="Todos",datos_base!$J$12+datos_base!$J$26,0))*parametros_manuales!$D$110)*parametros_manuales!$I$19*parametros_manuales!$J$19</f>
        <v>20054.029063195</v>
      </c>
      <c r="E218" s="9" t="n">
        <f aca="false">(parametros_manuales!$D$19*(datos_base!$J$2+datos_base!$J$18+IF(parametros_manuales!$H$19="Todos",datos_base!$J$9+datos_base!$J$23,0))*parametros_manuales!$E$95+parametros_manuales!$E$19*(datos_base!$J$3+datos_base!$J$19+IF(parametros_manuales!$H$19="Todos",datos_base!$J$10+datos_base!$J$24,0))*parametros_manuales!$E$100+parametros_manuales!$F$19*(datos_base!$J$4+datos_base!$J$20+IF(parametros_manuales!$H$19="Todos",datos_base!$J$11+datos_base!$J$25,0))*parametros_manuales!$E$105+parametros_manuales!$G$19*(datos_base!$J$5+datos_base!$J$21+IF(parametros_manuales!$H$19="Todos",datos_base!$J$12+datos_base!$J$26,0))*parametros_manuales!$E$110)*parametros_manuales!$I$19*parametros_manuales!$J$19</f>
        <v>19177.063382495</v>
      </c>
      <c r="F218" s="9" t="n">
        <f aca="false">(parametros_manuales!$D$19*(datos_base!$J$2+datos_base!$J$18+IF(parametros_manuales!$H$19="Todos",datos_base!$J$9+datos_base!$J$23,0))*parametros_manuales!$F$95+parametros_manuales!$E$19*(datos_base!$J$3+datos_base!$J$19+IF(parametros_manuales!$H$19="Todos",datos_base!$J$10+datos_base!$J$24,0))*parametros_manuales!$F$100+parametros_manuales!$F$19*(datos_base!$J$4+datos_base!$J$20+IF(parametros_manuales!$H$19="Todos",datos_base!$J$11+datos_base!$J$25,0))*parametros_manuales!$F$105+parametros_manuales!$G$19*(datos_base!$J$5+datos_base!$J$21+IF(parametros_manuales!$H$19="Todos",datos_base!$J$12+datos_base!$J$26,0))*parametros_manuales!$F$110)*parametros_manuales!$I$19*parametros_manuales!$J$19</f>
        <v>17945.82839756</v>
      </c>
      <c r="G218" s="9" t="n">
        <f aca="false">(parametros_manuales!$D$19*(datos_base!$J$2+datos_base!$J$18+IF(parametros_manuales!$H$19="Todos",datos_base!$J$9+datos_base!$J$23,0))*parametros_manuales!$G$95+parametros_manuales!$E$19*(datos_base!$J$3+datos_base!$J$19+IF(parametros_manuales!$H$19="Todos",datos_base!$J$10+datos_base!$J$24,0))*parametros_manuales!$G$100+parametros_manuales!$F$19*(datos_base!$J$4+datos_base!$J$20+IF(parametros_manuales!$H$19="Todos",datos_base!$J$11+datos_base!$J$25,0))*parametros_manuales!$G$105+parametros_manuales!$G$19*(datos_base!$J$5+datos_base!$J$21+IF(parametros_manuales!$H$19="Todos",datos_base!$J$12+datos_base!$J$26,0))*parametros_manuales!$G$110)*parametros_manuales!$I$19*parametros_manuales!$J$19</f>
        <v>17591.559093325</v>
      </c>
      <c r="H218" s="9" t="n">
        <f aca="false">(parametros_manuales!$D$19*(datos_base!$J$2+datos_base!$J$18+IF(parametros_manuales!$H$19="Todos",datos_base!$J$9+datos_base!$J$23,0))*parametros_manuales!$H$95+parametros_manuales!$E$19*(datos_base!$J$3+datos_base!$J$19+IF(parametros_manuales!$H$19="Todos",datos_base!$J$10+datos_base!$J$24,0))*parametros_manuales!$H$100+parametros_manuales!$F$19*(datos_base!$J$4+datos_base!$J$20+IF(parametros_manuales!$H$19="Todos",datos_base!$J$11+datos_base!$J$25,0))*parametros_manuales!$H$105+parametros_manuales!$G$19*(datos_base!$J$5+datos_base!$J$21+IF(parametros_manuales!$H$19="Todos",datos_base!$J$12+datos_base!$J$26,0))*parametros_manuales!$H$110)*parametros_manuales!$I$19*parametros_manuales!$J$19</f>
        <v>18822.79407826</v>
      </c>
      <c r="I218" s="9" t="n">
        <f aca="false">(parametros_manuales!$D$19*(datos_base!$J$2+datos_base!$J$18+IF(parametros_manuales!$H$19="Todos",datos_base!$J$9+datos_base!$J$23,0))*parametros_manuales!$I$95+parametros_manuales!$E$19*(datos_base!$J$3+datos_base!$J$19+IF(parametros_manuales!$H$19="Todos",datos_base!$J$10+datos_base!$J$24,0))*parametros_manuales!$I$100+parametros_manuales!$F$19*(datos_base!$J$4+datos_base!$J$20+IF(parametros_manuales!$H$19="Todos",datos_base!$J$11+datos_base!$J$25,0))*parametros_manuales!$I$105+parametros_manuales!$G$19*(datos_base!$J$5+datos_base!$J$21+IF(parametros_manuales!$H$19="Todos",datos_base!$J$12+datos_base!$J$26,0))*parametros_manuales!$I$110)*parametros_manuales!$I$19*parametros_manuales!$J$19</f>
        <v>21453.69112036</v>
      </c>
      <c r="J218" s="9" t="n">
        <f aca="false">(parametros_manuales!$D$19*(datos_base!$J$2+datos_base!$J$18+IF(parametros_manuales!$H$19="Todos",datos_base!$J$9+datos_base!$J$23,0))*parametros_manuales!$J$95+parametros_manuales!$E$19*(datos_base!$J$3+datos_base!$J$19+IF(parametros_manuales!$H$19="Todos",datos_base!$J$10+datos_base!$J$24,0))*parametros_manuales!$J$100+parametros_manuales!$F$19*(datos_base!$J$4+datos_base!$J$20+IF(parametros_manuales!$H$19="Todos",datos_base!$J$11+datos_base!$J$25,0))*parametros_manuales!$J$105+parametros_manuales!$G$19*(datos_base!$J$5+datos_base!$J$21+IF(parametros_manuales!$H$19="Todos",datos_base!$J$12+datos_base!$J$26,0))*parametros_manuales!$J$110)*parametros_manuales!$I$19*parametros_manuales!$J$19</f>
        <v>21453.69112036</v>
      </c>
      <c r="K218" s="9" t="n">
        <f aca="false">(parametros_manuales!$D$19*(datos_base!$J$2+datos_base!$J$18+IF(parametros_manuales!$H$19="Todos",datos_base!$J$9+datos_base!$J$23,0))*parametros_manuales!$K$95+parametros_manuales!$E$19*(datos_base!$J$3+datos_base!$J$19+IF(parametros_manuales!$H$19="Todos",datos_base!$J$10+datos_base!$J$24,0))*parametros_manuales!$K$100+parametros_manuales!$F$19*(datos_base!$J$4+datos_base!$J$20+IF(parametros_manuales!$H$19="Todos",datos_base!$J$11+datos_base!$J$25,0))*parametros_manuales!$K$105+parametros_manuales!$G$19*(datos_base!$J$5+datos_base!$J$21+IF(parametros_manuales!$H$19="Todos",datos_base!$J$12+datos_base!$J$26,0))*parametros_manuales!$K$110)*parametros_manuales!$I$19*parametros_manuales!$J$19</f>
        <v>21807.960424595</v>
      </c>
      <c r="L218" s="9" t="n">
        <f aca="false">(parametros_manuales!$D$19*(datos_base!$J$2+datos_base!$J$18+IF(parametros_manuales!$H$19="Todos",datos_base!$J$9+datos_base!$J$23,0))*parametros_manuales!$L$95+parametros_manuales!$E$19*(datos_base!$J$3+datos_base!$J$19+IF(parametros_manuales!$H$19="Todos",datos_base!$J$10+datos_base!$J$24,0))*parametros_manuales!$L$100+parametros_manuales!$F$19*(datos_base!$J$4+datos_base!$J$20+IF(parametros_manuales!$H$19="Todos",datos_base!$J$11+datos_base!$J$25,0))*parametros_manuales!$L$105+parametros_manuales!$G$19*(datos_base!$J$5+datos_base!$J$21+IF(parametros_manuales!$H$19="Todos",datos_base!$J$12+datos_base!$J$26,0))*parametros_manuales!$L$110)*parametros_manuales!$I$19*parametros_manuales!$J$19</f>
        <v>22162.22972883</v>
      </c>
      <c r="M218" s="9" t="n">
        <f aca="false">(parametros_manuales!$D$19*(datos_base!$J$2+datos_base!$J$18+IF(parametros_manuales!$H$19="Todos",datos_base!$J$9+datos_base!$J$23,0))*parametros_manuales!$M$95+parametros_manuales!$E$19*(datos_base!$J$3+datos_base!$J$19+IF(parametros_manuales!$H$19="Todos",datos_base!$J$10+datos_base!$J$24,0))*parametros_manuales!$M$100+parametros_manuales!$F$19*(datos_base!$J$4+datos_base!$J$20+IF(parametros_manuales!$H$19="Todos",datos_base!$J$11+datos_base!$J$25,0))*parametros_manuales!$M$105+parametros_manuales!$G$19*(datos_base!$J$5+datos_base!$J$21+IF(parametros_manuales!$H$19="Todos",datos_base!$J$12+datos_base!$J$26,0))*parametros_manuales!$M$110)*parametros_manuales!$I$19*parametros_manuales!$J$19</f>
        <v>22162.22972883</v>
      </c>
      <c r="N218" s="9" t="n">
        <f aca="false">SUM(B218:M218)</f>
        <v>246246.996987</v>
      </c>
      <c r="O218" s="9" t="n">
        <f aca="false">MAX(B218:M218)</f>
        <v>22162.22972883</v>
      </c>
      <c r="P218" s="43" t="n">
        <f aca="false">O218/(parametros_manuales!$B$7)</f>
        <v>147.7481981922</v>
      </c>
      <c r="Q218" s="8" t="str">
        <f aca="false">IF(O218=0,"-",INDEX($B$217:$M$217,MATCH(O218,B218:M218,0)))</f>
        <v>Ene</v>
      </c>
    </row>
    <row r="219" customFormat="false" ht="14.25" hidden="false" customHeight="true" outlineLevel="0" collapsed="false">
      <c r="A219" s="8" t="str">
        <f aca="false">parametros_manuales!$B$20</f>
        <v>Corte de chapa (guillotina) — 2,5 a 10 kg</v>
      </c>
      <c r="B219" s="9" t="n">
        <f aca="false">(parametros_manuales!$D$20*(datos_base!$J$2+datos_base!$J$18+IF(parametros_manuales!$H$20="Todos",datos_base!$J$9+datos_base!$J$23,0))*parametros_manuales!$B$95+parametros_manuales!$E$20*(datos_base!$J$3+datos_base!$J$19+IF(parametros_manuales!$H$20="Todos",datos_base!$J$10+datos_base!$J$24,0))*parametros_manuales!$B$100+parametros_manuales!$F$20*(datos_base!$J$4+datos_base!$J$20+IF(parametros_manuales!$H$20="Todos",datos_base!$J$11+datos_base!$J$25,0))*parametros_manuales!$B$105+parametros_manuales!$G$20*(datos_base!$J$5+datos_base!$J$21+IF(parametros_manuales!$H$20="Todos",datos_base!$J$12+datos_base!$J$26,0))*parametros_manuales!$B$110)*parametros_manuales!$I$20*parametros_manuales!$J$20</f>
        <v>6376.84747623</v>
      </c>
      <c r="C219" s="9" t="n">
        <f aca="false">(parametros_manuales!$D$20*(datos_base!$J$2+datos_base!$J$18+IF(parametros_manuales!$H$20="Todos",datos_base!$J$9+datos_base!$J$23,0))*parametros_manuales!$C$95+parametros_manuales!$E$20*(datos_base!$J$3+datos_base!$J$19+IF(parametros_manuales!$H$20="Todos",datos_base!$J$10+datos_base!$J$24,0))*parametros_manuales!$C$100+parametros_manuales!$F$20*(datos_base!$J$4+datos_base!$J$20+IF(parametros_manuales!$H$20="Todos",datos_base!$J$11+datos_base!$J$25,0))*parametros_manuales!$C$105+parametros_manuales!$G$20*(datos_base!$J$5+datos_base!$J$21+IF(parametros_manuales!$H$20="Todos",datos_base!$J$12+datos_base!$J$26,0))*parametros_manuales!$C$110)*parametros_manuales!$I$20*parametros_manuales!$J$20</f>
        <v>5668.30886776</v>
      </c>
      <c r="D219" s="9" t="n">
        <f aca="false">(parametros_manuales!$D$20*(datos_base!$J$2+datos_base!$J$18+IF(parametros_manuales!$H$20="Todos",datos_base!$J$9+datos_base!$J$23,0))*parametros_manuales!$D$95+parametros_manuales!$E$20*(datos_base!$J$3+datos_base!$J$19+IF(parametros_manuales!$H$20="Todos",datos_base!$J$10+datos_base!$J$24,0))*parametros_manuales!$D$100+parametros_manuales!$F$20*(datos_base!$J$4+datos_base!$J$20+IF(parametros_manuales!$H$20="Todos",datos_base!$J$11+datos_base!$J$25,0))*parametros_manuales!$D$105+parametros_manuales!$G$20*(datos_base!$J$5+datos_base!$J$21+IF(parametros_manuales!$H$20="Todos",datos_base!$J$12+datos_base!$J$26,0))*parametros_manuales!$D$110)*parametros_manuales!$I$20*parametros_manuales!$J$20</f>
        <v>6022.578171995</v>
      </c>
      <c r="E219" s="9" t="n">
        <f aca="false">(parametros_manuales!$D$20*(datos_base!$J$2+datos_base!$J$18+IF(parametros_manuales!$H$20="Todos",datos_base!$J$9+datos_base!$J$23,0))*parametros_manuales!$E$95+parametros_manuales!$E$20*(datos_base!$J$3+datos_base!$J$19+IF(parametros_manuales!$H$20="Todos",datos_base!$J$10+datos_base!$J$24,0))*parametros_manuales!$E$100+parametros_manuales!$F$20*(datos_base!$J$4+datos_base!$J$20+IF(parametros_manuales!$H$20="Todos",datos_base!$J$11+datos_base!$J$25,0))*parametros_manuales!$E$105+parametros_manuales!$G$20*(datos_base!$J$5+datos_base!$J$21+IF(parametros_manuales!$H$20="Todos",datos_base!$J$12+datos_base!$J$26,0))*parametros_manuales!$E$110)*parametros_manuales!$I$20*parametros_manuales!$J$20</f>
        <v>6022.578171995</v>
      </c>
      <c r="F219" s="9" t="n">
        <f aca="false">(parametros_manuales!$D$20*(datos_base!$J$2+datos_base!$J$18+IF(parametros_manuales!$H$20="Todos",datos_base!$J$9+datos_base!$J$23,0))*parametros_manuales!$F$95+parametros_manuales!$E$20*(datos_base!$J$3+datos_base!$J$19+IF(parametros_manuales!$H$20="Todos",datos_base!$J$10+datos_base!$J$24,0))*parametros_manuales!$F$100+parametros_manuales!$F$20*(datos_base!$J$4+datos_base!$J$20+IF(parametros_manuales!$H$20="Todos",datos_base!$J$11+datos_base!$J$25,0))*parametros_manuales!$F$105+parametros_manuales!$G$20*(datos_base!$J$5+datos_base!$J$21+IF(parametros_manuales!$H$20="Todos",datos_base!$J$12+datos_base!$J$26,0))*parametros_manuales!$F$110)*parametros_manuales!$I$20*parametros_manuales!$J$20</f>
        <v>5668.30886776</v>
      </c>
      <c r="G219" s="9" t="n">
        <f aca="false">(parametros_manuales!$D$20*(datos_base!$J$2+datos_base!$J$18+IF(parametros_manuales!$H$20="Todos",datos_base!$J$9+datos_base!$J$23,0))*parametros_manuales!$G$95+parametros_manuales!$E$20*(datos_base!$J$3+datos_base!$J$19+IF(parametros_manuales!$H$20="Todos",datos_base!$J$10+datos_base!$J$24,0))*parametros_manuales!$G$100+parametros_manuales!$F$20*(datos_base!$J$4+datos_base!$J$20+IF(parametros_manuales!$H$20="Todos",datos_base!$J$11+datos_base!$J$25,0))*parametros_manuales!$G$105+parametros_manuales!$G$20*(datos_base!$J$5+datos_base!$J$21+IF(parametros_manuales!$H$20="Todos",datos_base!$J$12+datos_base!$J$26,0))*parametros_manuales!$G$110)*parametros_manuales!$I$20*parametros_manuales!$J$20</f>
        <v>5314.039563525</v>
      </c>
      <c r="H219" s="9" t="n">
        <f aca="false">(parametros_manuales!$D$20*(datos_base!$J$2+datos_base!$J$18+IF(parametros_manuales!$H$20="Todos",datos_base!$J$9+datos_base!$J$23,0))*parametros_manuales!$H$95+parametros_manuales!$E$20*(datos_base!$J$3+datos_base!$J$19+IF(parametros_manuales!$H$20="Todos",datos_base!$J$10+datos_base!$J$24,0))*parametros_manuales!$H$100+parametros_manuales!$F$20*(datos_base!$J$4+datos_base!$J$20+IF(parametros_manuales!$H$20="Todos",datos_base!$J$11+datos_base!$J$25,0))*parametros_manuales!$H$105+parametros_manuales!$G$20*(datos_base!$J$5+datos_base!$J$21+IF(parametros_manuales!$H$20="Todos",datos_base!$J$12+datos_base!$J$26,0))*parametros_manuales!$H$110)*parametros_manuales!$I$20*parametros_manuales!$J$20</f>
        <v>5668.30886776</v>
      </c>
      <c r="I219" s="9" t="n">
        <f aca="false">(parametros_manuales!$D$20*(datos_base!$J$2+datos_base!$J$18+IF(parametros_manuales!$H$20="Todos",datos_base!$J$9+datos_base!$J$23,0))*parametros_manuales!$I$95+parametros_manuales!$E$20*(datos_base!$J$3+datos_base!$J$19+IF(parametros_manuales!$H$20="Todos",datos_base!$J$10+datos_base!$J$24,0))*parametros_manuales!$I$100+parametros_manuales!$F$20*(datos_base!$J$4+datos_base!$J$20+IF(parametros_manuales!$H$20="Todos",datos_base!$J$11+datos_base!$J$25,0))*parametros_manuales!$I$105+parametros_manuales!$G$20*(datos_base!$J$5+datos_base!$J$21+IF(parametros_manuales!$H$20="Todos",datos_base!$J$12+datos_base!$J$26,0))*parametros_manuales!$I$110)*parametros_manuales!$I$20*parametros_manuales!$J$20</f>
        <v>5668.30886776</v>
      </c>
      <c r="J219" s="9" t="n">
        <f aca="false">(parametros_manuales!$D$20*(datos_base!$J$2+datos_base!$J$18+IF(parametros_manuales!$H$20="Todos",datos_base!$J$9+datos_base!$J$23,0))*parametros_manuales!$J$95+parametros_manuales!$E$20*(datos_base!$J$3+datos_base!$J$19+IF(parametros_manuales!$H$20="Todos",datos_base!$J$10+datos_base!$J$24,0))*parametros_manuales!$J$100+parametros_manuales!$F$20*(datos_base!$J$4+datos_base!$J$20+IF(parametros_manuales!$H$20="Todos",datos_base!$J$11+datos_base!$J$25,0))*parametros_manuales!$J$105+parametros_manuales!$G$20*(datos_base!$J$5+datos_base!$J$21+IF(parametros_manuales!$H$20="Todos",datos_base!$J$12+datos_base!$J$26,0))*parametros_manuales!$J$110)*parametros_manuales!$I$20*parametros_manuales!$J$20</f>
        <v>5668.30886776</v>
      </c>
      <c r="K219" s="9" t="n">
        <f aca="false">(parametros_manuales!$D$20*(datos_base!$J$2+datos_base!$J$18+IF(parametros_manuales!$H$20="Todos",datos_base!$J$9+datos_base!$J$23,0))*parametros_manuales!$K$95+parametros_manuales!$E$20*(datos_base!$J$3+datos_base!$J$19+IF(parametros_manuales!$H$20="Todos",datos_base!$J$10+datos_base!$J$24,0))*parametros_manuales!$K$100+parametros_manuales!$F$20*(datos_base!$J$4+datos_base!$J$20+IF(parametros_manuales!$H$20="Todos",datos_base!$J$11+datos_base!$J$25,0))*parametros_manuales!$K$105+parametros_manuales!$G$20*(datos_base!$J$5+datos_base!$J$21+IF(parametros_manuales!$H$20="Todos",datos_base!$J$12+datos_base!$J$26,0))*parametros_manuales!$K$110)*parametros_manuales!$I$20*parametros_manuales!$J$20</f>
        <v>6022.578171995</v>
      </c>
      <c r="L219" s="9" t="n">
        <f aca="false">(parametros_manuales!$D$20*(datos_base!$J$2+datos_base!$J$18+IF(parametros_manuales!$H$20="Todos",datos_base!$J$9+datos_base!$J$23,0))*parametros_manuales!$L$95+parametros_manuales!$E$20*(datos_base!$J$3+datos_base!$J$19+IF(parametros_manuales!$H$20="Todos",datos_base!$J$10+datos_base!$J$24,0))*parametros_manuales!$L$100+parametros_manuales!$F$20*(datos_base!$J$4+datos_base!$J$20+IF(parametros_manuales!$H$20="Todos",datos_base!$J$11+datos_base!$J$25,0))*parametros_manuales!$L$105+parametros_manuales!$G$20*(datos_base!$J$5+datos_base!$J$21+IF(parametros_manuales!$H$20="Todos",datos_base!$J$12+datos_base!$J$26,0))*parametros_manuales!$L$110)*parametros_manuales!$I$20*parametros_manuales!$J$20</f>
        <v>6376.84747623</v>
      </c>
      <c r="M219" s="9" t="n">
        <f aca="false">(parametros_manuales!$D$20*(datos_base!$J$2+datos_base!$J$18+IF(parametros_manuales!$H$20="Todos",datos_base!$J$9+datos_base!$J$23,0))*parametros_manuales!$M$95+parametros_manuales!$E$20*(datos_base!$J$3+datos_base!$J$19+IF(parametros_manuales!$H$20="Todos",datos_base!$J$10+datos_base!$J$24,0))*parametros_manuales!$M$100+parametros_manuales!$F$20*(datos_base!$J$4+datos_base!$J$20+IF(parametros_manuales!$H$20="Todos",datos_base!$J$11+datos_base!$J$25,0))*parametros_manuales!$M$105+parametros_manuales!$G$20*(datos_base!$J$5+datos_base!$J$21+IF(parametros_manuales!$H$20="Todos",datos_base!$J$12+datos_base!$J$26,0))*parametros_manuales!$M$110)*parametros_manuales!$I$20*parametros_manuales!$J$20</f>
        <v>6376.84747623</v>
      </c>
      <c r="N219" s="9" t="n">
        <f aca="false">SUM(B219:M219)</f>
        <v>70853.860847</v>
      </c>
      <c r="O219" s="9" t="n">
        <f aca="false">MAX(B219:M219)</f>
        <v>6376.84747623</v>
      </c>
      <c r="P219" s="43" t="n">
        <f aca="false">O219/(parametros_manuales!$B$7)</f>
        <v>42.5123165082</v>
      </c>
      <c r="Q219" s="8" t="str">
        <f aca="false">IF(O219=0,"-",INDEX($B$217:$M$217,MATCH(O219,B219:M219,0)))</f>
        <v>Ene</v>
      </c>
    </row>
    <row r="220" customFormat="false" ht="14.25" hidden="false" customHeight="true" outlineLevel="0" collapsed="false">
      <c r="A220" s="8" t="str">
        <f aca="false">parametros_manuales!$B$21</f>
        <v>Corte de tubo — 1 kg</v>
      </c>
      <c r="B220" s="9" t="n">
        <f aca="false">(parametros_manuales!$D$21*(datos_base!$J$2+datos_base!$J$18+IF(parametros_manuales!$H$21="Todos",datos_base!$J$9+datos_base!$J$23,0))*parametros_manuales!$B$95+parametros_manuales!$E$21*(datos_base!$J$3+datos_base!$J$19+IF(parametros_manuales!$H$21="Todos",datos_base!$J$10+datos_base!$J$24,0))*parametros_manuales!$B$100+parametros_manuales!$F$21*(datos_base!$J$4+datos_base!$J$20+IF(parametros_manuales!$H$21="Todos",datos_base!$J$11+datos_base!$J$25,0))*parametros_manuales!$B$105+parametros_manuales!$G$21*(datos_base!$J$5+datos_base!$J$21+IF(parametros_manuales!$H$21="Todos",datos_base!$J$12+datos_base!$J$26,0))*parametros_manuales!$B$110)*parametros_manuales!$I$21*parametros_manuales!$J$21</f>
        <v>15785.3822526</v>
      </c>
      <c r="C220" s="9" t="n">
        <f aca="false">(parametros_manuales!$D$21*(datos_base!$J$2+datos_base!$J$18+IF(parametros_manuales!$H$21="Todos",datos_base!$J$9+datos_base!$J$23,0))*parametros_manuales!$C$95+parametros_manuales!$E$21*(datos_base!$J$3+datos_base!$J$19+IF(parametros_manuales!$H$21="Todos",datos_base!$J$10+datos_base!$J$24,0))*parametros_manuales!$C$100+parametros_manuales!$F$21*(datos_base!$J$4+datos_base!$J$20+IF(parametros_manuales!$H$21="Todos",datos_base!$J$11+datos_base!$J$25,0))*parametros_manuales!$C$105+parametros_manuales!$G$21*(datos_base!$J$5+datos_base!$J$21+IF(parametros_manuales!$H$21="Todos",datos_base!$J$12+datos_base!$J$26,0))*parametros_manuales!$C$110)*parametros_manuales!$I$21*parametros_manuales!$J$21</f>
        <v>15785.3822526</v>
      </c>
      <c r="D220" s="9" t="n">
        <f aca="false">(parametros_manuales!$D$21*(datos_base!$J$2+datos_base!$J$18+IF(parametros_manuales!$H$21="Todos",datos_base!$J$9+datos_base!$J$23,0))*parametros_manuales!$D$95+parametros_manuales!$E$21*(datos_base!$J$3+datos_base!$J$19+IF(parametros_manuales!$H$21="Todos",datos_base!$J$10+datos_base!$J$24,0))*parametros_manuales!$D$100+parametros_manuales!$F$21*(datos_base!$J$4+datos_base!$J$20+IF(parametros_manuales!$H$21="Todos",datos_base!$J$11+datos_base!$J$25,0))*parametros_manuales!$D$105+parametros_manuales!$G$21*(datos_base!$J$5+datos_base!$J$21+IF(parametros_manuales!$H$21="Todos",datos_base!$J$12+datos_base!$J$26,0))*parametros_manuales!$D$110)*parametros_manuales!$I$21*parametros_manuales!$J$21</f>
        <v>14031.4508912</v>
      </c>
      <c r="E220" s="9" t="n">
        <f aca="false">(parametros_manuales!$D$21*(datos_base!$J$2+datos_base!$J$18+IF(parametros_manuales!$H$21="Todos",datos_base!$J$9+datos_base!$J$23,0))*parametros_manuales!$E$95+parametros_manuales!$E$21*(datos_base!$J$3+datos_base!$J$19+IF(parametros_manuales!$H$21="Todos",datos_base!$J$10+datos_base!$J$24,0))*parametros_manuales!$E$100+parametros_manuales!$F$21*(datos_base!$J$4+datos_base!$J$20+IF(parametros_manuales!$H$21="Todos",datos_base!$J$11+datos_base!$J$25,0))*parametros_manuales!$E$105+parametros_manuales!$G$21*(datos_base!$J$5+datos_base!$J$21+IF(parametros_manuales!$H$21="Todos",datos_base!$J$12+datos_base!$J$26,0))*parametros_manuales!$E$110)*parametros_manuales!$I$21*parametros_manuales!$J$21</f>
        <v>13154.4852105</v>
      </c>
      <c r="F220" s="9" t="n">
        <f aca="false">(parametros_manuales!$D$21*(datos_base!$J$2+datos_base!$J$18+IF(parametros_manuales!$H$21="Todos",datos_base!$J$9+datos_base!$J$23,0))*parametros_manuales!$F$95+parametros_manuales!$E$21*(datos_base!$J$3+datos_base!$J$19+IF(parametros_manuales!$H$21="Todos",datos_base!$J$10+datos_base!$J$24,0))*parametros_manuales!$F$100+parametros_manuales!$F$21*(datos_base!$J$4+datos_base!$J$20+IF(parametros_manuales!$H$21="Todos",datos_base!$J$11+datos_base!$J$25,0))*parametros_manuales!$F$105+parametros_manuales!$G$21*(datos_base!$J$5+datos_base!$J$21+IF(parametros_manuales!$H$21="Todos",datos_base!$J$12+datos_base!$J$26,0))*parametros_manuales!$F$110)*parametros_manuales!$I$21*parametros_manuales!$J$21</f>
        <v>12277.5195298</v>
      </c>
      <c r="G220" s="9" t="n">
        <f aca="false">(parametros_manuales!$D$21*(datos_base!$J$2+datos_base!$J$18+IF(parametros_manuales!$H$21="Todos",datos_base!$J$9+datos_base!$J$23,0))*parametros_manuales!$G$95+parametros_manuales!$E$21*(datos_base!$J$3+datos_base!$J$19+IF(parametros_manuales!$H$21="Todos",datos_base!$J$10+datos_base!$J$24,0))*parametros_manuales!$G$100+parametros_manuales!$F$21*(datos_base!$J$4+datos_base!$J$20+IF(parametros_manuales!$H$21="Todos",datos_base!$J$11+datos_base!$J$25,0))*parametros_manuales!$G$105+parametros_manuales!$G$21*(datos_base!$J$5+datos_base!$J$21+IF(parametros_manuales!$H$21="Todos",datos_base!$J$12+datos_base!$J$26,0))*parametros_manuales!$G$110)*parametros_manuales!$I$21*parametros_manuales!$J$21</f>
        <v>12277.5195298</v>
      </c>
      <c r="H220" s="9" t="n">
        <f aca="false">(parametros_manuales!$D$21*(datos_base!$J$2+datos_base!$J$18+IF(parametros_manuales!$H$21="Todos",datos_base!$J$9+datos_base!$J$23,0))*parametros_manuales!$H$95+parametros_manuales!$E$21*(datos_base!$J$3+datos_base!$J$19+IF(parametros_manuales!$H$21="Todos",datos_base!$J$10+datos_base!$J$24,0))*parametros_manuales!$H$100+parametros_manuales!$F$21*(datos_base!$J$4+datos_base!$J$20+IF(parametros_manuales!$H$21="Todos",datos_base!$J$11+datos_base!$J$25,0))*parametros_manuales!$H$105+parametros_manuales!$G$21*(datos_base!$J$5+datos_base!$J$21+IF(parametros_manuales!$H$21="Todos",datos_base!$J$12+datos_base!$J$26,0))*parametros_manuales!$H$110)*parametros_manuales!$I$21*parametros_manuales!$J$21</f>
        <v>13154.4852105</v>
      </c>
      <c r="I220" s="9" t="n">
        <f aca="false">(parametros_manuales!$D$21*(datos_base!$J$2+datos_base!$J$18+IF(parametros_manuales!$H$21="Todos",datos_base!$J$9+datos_base!$J$23,0))*parametros_manuales!$I$95+parametros_manuales!$E$21*(datos_base!$J$3+datos_base!$J$19+IF(parametros_manuales!$H$21="Todos",datos_base!$J$10+datos_base!$J$24,0))*parametros_manuales!$I$100+parametros_manuales!$F$21*(datos_base!$J$4+datos_base!$J$20+IF(parametros_manuales!$H$21="Todos",datos_base!$J$11+datos_base!$J$25,0))*parametros_manuales!$I$105+parametros_manuales!$G$21*(datos_base!$J$5+datos_base!$J$21+IF(parametros_manuales!$H$21="Todos",datos_base!$J$12+datos_base!$J$26,0))*parametros_manuales!$I$110)*parametros_manuales!$I$21*parametros_manuales!$J$21</f>
        <v>15785.3822526</v>
      </c>
      <c r="J220" s="9" t="n">
        <f aca="false">(parametros_manuales!$D$21*(datos_base!$J$2+datos_base!$J$18+IF(parametros_manuales!$H$21="Todos",datos_base!$J$9+datos_base!$J$23,0))*parametros_manuales!$J$95+parametros_manuales!$E$21*(datos_base!$J$3+datos_base!$J$19+IF(parametros_manuales!$H$21="Todos",datos_base!$J$10+datos_base!$J$24,0))*parametros_manuales!$J$100+parametros_manuales!$F$21*(datos_base!$J$4+datos_base!$J$20+IF(parametros_manuales!$H$21="Todos",datos_base!$J$11+datos_base!$J$25,0))*parametros_manuales!$J$105+parametros_manuales!$G$21*(datos_base!$J$5+datos_base!$J$21+IF(parametros_manuales!$H$21="Todos",datos_base!$J$12+datos_base!$J$26,0))*parametros_manuales!$J$110)*parametros_manuales!$I$21*parametros_manuales!$J$21</f>
        <v>15785.3822526</v>
      </c>
      <c r="K220" s="9" t="n">
        <f aca="false">(parametros_manuales!$D$21*(datos_base!$J$2+datos_base!$J$18+IF(parametros_manuales!$H$21="Todos",datos_base!$J$9+datos_base!$J$23,0))*parametros_manuales!$K$95+parametros_manuales!$E$21*(datos_base!$J$3+datos_base!$J$19+IF(parametros_manuales!$H$21="Todos",datos_base!$J$10+datos_base!$J$24,0))*parametros_manuales!$K$100+parametros_manuales!$F$21*(datos_base!$J$4+datos_base!$J$20+IF(parametros_manuales!$H$21="Todos",datos_base!$J$11+datos_base!$J$25,0))*parametros_manuales!$K$105+parametros_manuales!$G$21*(datos_base!$J$5+datos_base!$J$21+IF(parametros_manuales!$H$21="Todos",datos_base!$J$12+datos_base!$J$26,0))*parametros_manuales!$K$110)*parametros_manuales!$I$21*parametros_manuales!$J$21</f>
        <v>15785.3822526</v>
      </c>
      <c r="L220" s="9" t="n">
        <f aca="false">(parametros_manuales!$D$21*(datos_base!$J$2+datos_base!$J$18+IF(parametros_manuales!$H$21="Todos",datos_base!$J$9+datos_base!$J$23,0))*parametros_manuales!$L$95+parametros_manuales!$E$21*(datos_base!$J$3+datos_base!$J$19+IF(parametros_manuales!$H$21="Todos",datos_base!$J$10+datos_base!$J$24,0))*parametros_manuales!$L$100+parametros_manuales!$F$21*(datos_base!$J$4+datos_base!$J$20+IF(parametros_manuales!$H$21="Todos",datos_base!$J$11+datos_base!$J$25,0))*parametros_manuales!$L$105+parametros_manuales!$G$21*(datos_base!$J$5+datos_base!$J$21+IF(parametros_manuales!$H$21="Todos",datos_base!$J$12+datos_base!$J$26,0))*parametros_manuales!$L$110)*parametros_manuales!$I$21*parametros_manuales!$J$21</f>
        <v>15785.3822526</v>
      </c>
      <c r="M220" s="9" t="n">
        <f aca="false">(parametros_manuales!$D$21*(datos_base!$J$2+datos_base!$J$18+IF(parametros_manuales!$H$21="Todos",datos_base!$J$9+datos_base!$J$23,0))*parametros_manuales!$M$95+parametros_manuales!$E$21*(datos_base!$J$3+datos_base!$J$19+IF(parametros_manuales!$H$21="Todos",datos_base!$J$10+datos_base!$J$24,0))*parametros_manuales!$M$100+parametros_manuales!$F$21*(datos_base!$J$4+datos_base!$J$20+IF(parametros_manuales!$H$21="Todos",datos_base!$J$11+datos_base!$J$25,0))*parametros_manuales!$M$105+parametros_manuales!$G$21*(datos_base!$J$5+datos_base!$J$21+IF(parametros_manuales!$H$21="Todos",datos_base!$J$12+datos_base!$J$26,0))*parametros_manuales!$M$110)*parametros_manuales!$I$21*parametros_manuales!$J$21</f>
        <v>15785.3822526</v>
      </c>
      <c r="N220" s="9" t="n">
        <f aca="false">SUM(B220:M220)</f>
        <v>175393.13614</v>
      </c>
      <c r="O220" s="9" t="n">
        <f aca="false">MAX(B220:M220)</f>
        <v>15785.3822526</v>
      </c>
      <c r="P220" s="43" t="n">
        <f aca="false">O220/(parametros_manuales!$B$7)</f>
        <v>105.235881684</v>
      </c>
      <c r="Q220" s="8" t="str">
        <f aca="false">IF(O220=0,"-",INDEX($B$217:$M$217,MATCH(O220,B220:M220,0)))</f>
        <v>Ene</v>
      </c>
    </row>
    <row r="221" customFormat="false" ht="14.25" hidden="false" customHeight="true" outlineLevel="0" collapsed="false">
      <c r="A221" s="8" t="str">
        <f aca="false">parametros_manuales!$B$22</f>
        <v>Corte de disco y embutido (cúpula y fondo)</v>
      </c>
      <c r="B221" s="9" t="n">
        <f aca="false">(parametros_manuales!$D$22*(datos_base!$J$2+datos_base!$J$18+IF(parametros_manuales!$H$22="Todos",datos_base!$J$9+datos_base!$J$23,0))*parametros_manuales!$B$95+parametros_manuales!$E$22*(datos_base!$J$3+datos_base!$J$19+IF(parametros_manuales!$H$22="Todos",datos_base!$J$10+datos_base!$J$24,0))*parametros_manuales!$B$100+parametros_manuales!$F$22*(datos_base!$J$4+datos_base!$J$20+IF(parametros_manuales!$H$22="Todos",datos_base!$J$11+datos_base!$J$25,0))*parametros_manuales!$B$105+parametros_manuales!$G$22*(datos_base!$J$5+datos_base!$J$21+IF(parametros_manuales!$H$22="Todos",datos_base!$J$12+datos_base!$J$26,0))*parametros_manuales!$B$110)*parametros_manuales!$I$22*parametros_manuales!$J$22</f>
        <v>44324.45945766</v>
      </c>
      <c r="C221" s="9" t="n">
        <f aca="false">(parametros_manuales!$D$22*(datos_base!$J$2+datos_base!$J$18+IF(parametros_manuales!$H$22="Todos",datos_base!$J$9+datos_base!$J$23,0))*parametros_manuales!$C$95+parametros_manuales!$E$22*(datos_base!$J$3+datos_base!$J$19+IF(parametros_manuales!$H$22="Todos",datos_base!$J$10+datos_base!$J$24,0))*parametros_manuales!$C$100+parametros_manuales!$F$22*(datos_base!$J$4+datos_base!$J$20+IF(parametros_manuales!$H$22="Todos",datos_base!$J$11+datos_base!$J$25,0))*parametros_manuales!$C$105+parametros_manuales!$G$22*(datos_base!$J$5+datos_base!$J$21+IF(parametros_manuales!$H$22="Todos",datos_base!$J$12+datos_base!$J$26,0))*parametros_manuales!$C$110)*parametros_manuales!$I$22*parametros_manuales!$J$22</f>
        <v>42907.38224072</v>
      </c>
      <c r="D221" s="9" t="n">
        <f aca="false">(parametros_manuales!$D$22*(datos_base!$J$2+datos_base!$J$18+IF(parametros_manuales!$H$22="Todos",datos_base!$J$9+datos_base!$J$23,0))*parametros_manuales!$D$95+parametros_manuales!$E$22*(datos_base!$J$3+datos_base!$J$19+IF(parametros_manuales!$H$22="Todos",datos_base!$J$10+datos_base!$J$24,0))*parametros_manuales!$D$100+parametros_manuales!$F$22*(datos_base!$J$4+datos_base!$J$20+IF(parametros_manuales!$H$22="Todos",datos_base!$J$11+datos_base!$J$25,0))*parametros_manuales!$D$105+parametros_manuales!$G$22*(datos_base!$J$5+datos_base!$J$21+IF(parametros_manuales!$H$22="Todos",datos_base!$J$12+datos_base!$J$26,0))*parametros_manuales!$D$110)*parametros_manuales!$I$22*parametros_manuales!$J$22</f>
        <v>40108.05812639</v>
      </c>
      <c r="E221" s="9" t="n">
        <f aca="false">(parametros_manuales!$D$22*(datos_base!$J$2+datos_base!$J$18+IF(parametros_manuales!$H$22="Todos",datos_base!$J$9+datos_base!$J$23,0))*parametros_manuales!$E$95+parametros_manuales!$E$22*(datos_base!$J$3+datos_base!$J$19+IF(parametros_manuales!$H$22="Todos",datos_base!$J$10+datos_base!$J$24,0))*parametros_manuales!$E$100+parametros_manuales!$F$22*(datos_base!$J$4+datos_base!$J$20+IF(parametros_manuales!$H$22="Todos",datos_base!$J$11+datos_base!$J$25,0))*parametros_manuales!$E$105+parametros_manuales!$G$22*(datos_base!$J$5+datos_base!$J$21+IF(parametros_manuales!$H$22="Todos",datos_base!$J$12+datos_base!$J$26,0))*parametros_manuales!$E$110)*parametros_manuales!$I$22*parametros_manuales!$J$22</f>
        <v>38354.12676499</v>
      </c>
      <c r="F221" s="9" t="n">
        <f aca="false">(parametros_manuales!$D$22*(datos_base!$J$2+datos_base!$J$18+IF(parametros_manuales!$H$22="Todos",datos_base!$J$9+datos_base!$J$23,0))*parametros_manuales!$F$95+parametros_manuales!$E$22*(datos_base!$J$3+datos_base!$J$19+IF(parametros_manuales!$H$22="Todos",datos_base!$J$10+datos_base!$J$24,0))*parametros_manuales!$F$100+parametros_manuales!$F$22*(datos_base!$J$4+datos_base!$J$20+IF(parametros_manuales!$H$22="Todos",datos_base!$J$11+datos_base!$J$25,0))*parametros_manuales!$F$105+parametros_manuales!$G$22*(datos_base!$J$5+datos_base!$J$21+IF(parametros_manuales!$H$22="Todos",datos_base!$J$12+datos_base!$J$26,0))*parametros_manuales!$F$110)*parametros_manuales!$I$22*parametros_manuales!$J$22</f>
        <v>35891.65679512</v>
      </c>
      <c r="G221" s="9" t="n">
        <f aca="false">(parametros_manuales!$D$22*(datos_base!$J$2+datos_base!$J$18+IF(parametros_manuales!$H$22="Todos",datos_base!$J$9+datos_base!$J$23,0))*parametros_manuales!$G$95+parametros_manuales!$E$22*(datos_base!$J$3+datos_base!$J$19+IF(parametros_manuales!$H$22="Todos",datos_base!$J$10+datos_base!$J$24,0))*parametros_manuales!$G$100+parametros_manuales!$F$22*(datos_base!$J$4+datos_base!$J$20+IF(parametros_manuales!$H$22="Todos",datos_base!$J$11+datos_base!$J$25,0))*parametros_manuales!$G$105+parametros_manuales!$G$22*(datos_base!$J$5+datos_base!$J$21+IF(parametros_manuales!$H$22="Todos",datos_base!$J$12+datos_base!$J$26,0))*parametros_manuales!$G$110)*parametros_manuales!$I$22*parametros_manuales!$J$22</f>
        <v>35183.11818665</v>
      </c>
      <c r="H221" s="9" t="n">
        <f aca="false">(parametros_manuales!$D$22*(datos_base!$J$2+datos_base!$J$18+IF(parametros_manuales!$H$22="Todos",datos_base!$J$9+datos_base!$J$23,0))*parametros_manuales!$H$95+parametros_manuales!$E$22*(datos_base!$J$3+datos_base!$J$19+IF(parametros_manuales!$H$22="Todos",datos_base!$J$10+datos_base!$J$24,0))*parametros_manuales!$H$100+parametros_manuales!$F$22*(datos_base!$J$4+datos_base!$J$20+IF(parametros_manuales!$H$22="Todos",datos_base!$J$11+datos_base!$J$25,0))*parametros_manuales!$H$105+parametros_manuales!$G$22*(datos_base!$J$5+datos_base!$J$21+IF(parametros_manuales!$H$22="Todos",datos_base!$J$12+datos_base!$J$26,0))*parametros_manuales!$H$110)*parametros_manuales!$I$22*parametros_manuales!$J$22</f>
        <v>37645.58815652</v>
      </c>
      <c r="I221" s="9" t="n">
        <f aca="false">(parametros_manuales!$D$22*(datos_base!$J$2+datos_base!$J$18+IF(parametros_manuales!$H$22="Todos",datos_base!$J$9+datos_base!$J$23,0))*parametros_manuales!$I$95+parametros_manuales!$E$22*(datos_base!$J$3+datos_base!$J$19+IF(parametros_manuales!$H$22="Todos",datos_base!$J$10+datos_base!$J$24,0))*parametros_manuales!$I$100+parametros_manuales!$F$22*(datos_base!$J$4+datos_base!$J$20+IF(parametros_manuales!$H$22="Todos",datos_base!$J$11+datos_base!$J$25,0))*parametros_manuales!$I$105+parametros_manuales!$G$22*(datos_base!$J$5+datos_base!$J$21+IF(parametros_manuales!$H$22="Todos",datos_base!$J$12+datos_base!$J$26,0))*parametros_manuales!$I$110)*parametros_manuales!$I$22*parametros_manuales!$J$22</f>
        <v>42907.38224072</v>
      </c>
      <c r="J221" s="9" t="n">
        <f aca="false">(parametros_manuales!$D$22*(datos_base!$J$2+datos_base!$J$18+IF(parametros_manuales!$H$22="Todos",datos_base!$J$9+datos_base!$J$23,0))*parametros_manuales!$J$95+parametros_manuales!$E$22*(datos_base!$J$3+datos_base!$J$19+IF(parametros_manuales!$H$22="Todos",datos_base!$J$10+datos_base!$J$24,0))*parametros_manuales!$J$100+parametros_manuales!$F$22*(datos_base!$J$4+datos_base!$J$20+IF(parametros_manuales!$H$22="Todos",datos_base!$J$11+datos_base!$J$25,0))*parametros_manuales!$J$105+parametros_manuales!$G$22*(datos_base!$J$5+datos_base!$J$21+IF(parametros_manuales!$H$22="Todos",datos_base!$J$12+datos_base!$J$26,0))*parametros_manuales!$J$110)*parametros_manuales!$I$22*parametros_manuales!$J$22</f>
        <v>42907.38224072</v>
      </c>
      <c r="K221" s="9" t="n">
        <f aca="false">(parametros_manuales!$D$22*(datos_base!$J$2+datos_base!$J$18+IF(parametros_manuales!$H$22="Todos",datos_base!$J$9+datos_base!$J$23,0))*parametros_manuales!$K$95+parametros_manuales!$E$22*(datos_base!$J$3+datos_base!$J$19+IF(parametros_manuales!$H$22="Todos",datos_base!$J$10+datos_base!$J$24,0))*parametros_manuales!$K$100+parametros_manuales!$F$22*(datos_base!$J$4+datos_base!$J$20+IF(parametros_manuales!$H$22="Todos",datos_base!$J$11+datos_base!$J$25,0))*parametros_manuales!$K$105+parametros_manuales!$G$22*(datos_base!$J$5+datos_base!$J$21+IF(parametros_manuales!$H$22="Todos",datos_base!$J$12+datos_base!$J$26,0))*parametros_manuales!$K$110)*parametros_manuales!$I$22*parametros_manuales!$J$22</f>
        <v>43615.92084919</v>
      </c>
      <c r="L221" s="9" t="n">
        <f aca="false">(parametros_manuales!$D$22*(datos_base!$J$2+datos_base!$J$18+IF(parametros_manuales!$H$22="Todos",datos_base!$J$9+datos_base!$J$23,0))*parametros_manuales!$L$95+parametros_manuales!$E$22*(datos_base!$J$3+datos_base!$J$19+IF(parametros_manuales!$H$22="Todos",datos_base!$J$10+datos_base!$J$24,0))*parametros_manuales!$L$100+parametros_manuales!$F$22*(datos_base!$J$4+datos_base!$J$20+IF(parametros_manuales!$H$22="Todos",datos_base!$J$11+datos_base!$J$25,0))*parametros_manuales!$L$105+parametros_manuales!$G$22*(datos_base!$J$5+datos_base!$J$21+IF(parametros_manuales!$H$22="Todos",datos_base!$J$12+datos_base!$J$26,0))*parametros_manuales!$L$110)*parametros_manuales!$I$22*parametros_manuales!$J$22</f>
        <v>44324.45945766</v>
      </c>
      <c r="M221" s="9" t="n">
        <f aca="false">(parametros_manuales!$D$22*(datos_base!$J$2+datos_base!$J$18+IF(parametros_manuales!$H$22="Todos",datos_base!$J$9+datos_base!$J$23,0))*parametros_manuales!$M$95+parametros_manuales!$E$22*(datos_base!$J$3+datos_base!$J$19+IF(parametros_manuales!$H$22="Todos",datos_base!$J$10+datos_base!$J$24,0))*parametros_manuales!$M$100+parametros_manuales!$F$22*(datos_base!$J$4+datos_base!$J$20+IF(parametros_manuales!$H$22="Todos",datos_base!$J$11+datos_base!$J$25,0))*parametros_manuales!$M$105+parametros_manuales!$G$22*(datos_base!$J$5+datos_base!$J$21+IF(parametros_manuales!$H$22="Todos",datos_base!$J$12+datos_base!$J$26,0))*parametros_manuales!$M$110)*parametros_manuales!$I$22*parametros_manuales!$J$22</f>
        <v>44324.45945766</v>
      </c>
      <c r="N221" s="9" t="n">
        <f aca="false">SUM(B221:M221)</f>
        <v>492493.993974</v>
      </c>
      <c r="O221" s="9" t="n">
        <f aca="false">MAX(B221:M221)</f>
        <v>44324.45945766</v>
      </c>
      <c r="P221" s="43" t="n">
        <f aca="false">O221/(parametros_manuales!$B$7)</f>
        <v>295.4963963844</v>
      </c>
      <c r="Q221" s="8" t="str">
        <f aca="false">IF(O221=0,"-",INDEX($B$217:$M$217,MATCH(O221,B221:M221,0)))</f>
        <v>Ene</v>
      </c>
    </row>
    <row r="222" customFormat="false" ht="14.25" hidden="false" customHeight="true" outlineLevel="0" collapsed="false">
      <c r="A222" s="8" t="str">
        <f aca="false">parametros_manuales!$B$23</f>
        <v>Preparación de cuello</v>
      </c>
      <c r="B222" s="9" t="n">
        <f aca="false">(parametros_manuales!$D$23*(datos_base!$J$2+datos_base!$J$18+IF(parametros_manuales!$H$23="Todos",datos_base!$J$9+datos_base!$J$23,0))*parametros_manuales!$B$95+parametros_manuales!$E$23*(datos_base!$J$3+datos_base!$J$19+IF(parametros_manuales!$H$23="Todos",datos_base!$J$10+datos_base!$J$24,0))*parametros_manuales!$B$100+parametros_manuales!$F$23*(datos_base!$J$4+datos_base!$J$20+IF(parametros_manuales!$H$23="Todos",datos_base!$J$11+datos_base!$J$25,0))*parametros_manuales!$B$105+parametros_manuales!$G$23*(datos_base!$J$5+datos_base!$J$21+IF(parametros_manuales!$H$23="Todos",datos_base!$J$12+datos_base!$J$26,0))*parametros_manuales!$B$110)*parametros_manuales!$I$23*parametros_manuales!$J$23</f>
        <v>22162.22972883</v>
      </c>
      <c r="C222" s="9" t="n">
        <f aca="false">(parametros_manuales!$D$23*(datos_base!$J$2+datos_base!$J$18+IF(parametros_manuales!$H$23="Todos",datos_base!$J$9+datos_base!$J$23,0))*parametros_manuales!$C$95+parametros_manuales!$E$23*(datos_base!$J$3+datos_base!$J$19+IF(parametros_manuales!$H$23="Todos",datos_base!$J$10+datos_base!$J$24,0))*parametros_manuales!$C$100+parametros_manuales!$F$23*(datos_base!$J$4+datos_base!$J$20+IF(parametros_manuales!$H$23="Todos",datos_base!$J$11+datos_base!$J$25,0))*parametros_manuales!$C$105+parametros_manuales!$G$23*(datos_base!$J$5+datos_base!$J$21+IF(parametros_manuales!$H$23="Todos",datos_base!$J$12+datos_base!$J$26,0))*parametros_manuales!$C$110)*parametros_manuales!$I$23*parametros_manuales!$J$23</f>
        <v>21453.69112036</v>
      </c>
      <c r="D222" s="9" t="n">
        <f aca="false">(parametros_manuales!$D$23*(datos_base!$J$2+datos_base!$J$18+IF(parametros_manuales!$H$23="Todos",datos_base!$J$9+datos_base!$J$23,0))*parametros_manuales!$D$95+parametros_manuales!$E$23*(datos_base!$J$3+datos_base!$J$19+IF(parametros_manuales!$H$23="Todos",datos_base!$J$10+datos_base!$J$24,0))*parametros_manuales!$D$100+parametros_manuales!$F$23*(datos_base!$J$4+datos_base!$J$20+IF(parametros_manuales!$H$23="Todos",datos_base!$J$11+datos_base!$J$25,0))*parametros_manuales!$D$105+parametros_manuales!$G$23*(datos_base!$J$5+datos_base!$J$21+IF(parametros_manuales!$H$23="Todos",datos_base!$J$12+datos_base!$J$26,0))*parametros_manuales!$D$110)*parametros_manuales!$I$23*parametros_manuales!$J$23</f>
        <v>20054.029063195</v>
      </c>
      <c r="E222" s="9" t="n">
        <f aca="false">(parametros_manuales!$D$23*(datos_base!$J$2+datos_base!$J$18+IF(parametros_manuales!$H$23="Todos",datos_base!$J$9+datos_base!$J$23,0))*parametros_manuales!$E$95+parametros_manuales!$E$23*(datos_base!$J$3+datos_base!$J$19+IF(parametros_manuales!$H$23="Todos",datos_base!$J$10+datos_base!$J$24,0))*parametros_manuales!$E$100+parametros_manuales!$F$23*(datos_base!$J$4+datos_base!$J$20+IF(parametros_manuales!$H$23="Todos",datos_base!$J$11+datos_base!$J$25,0))*parametros_manuales!$E$105+parametros_manuales!$G$23*(datos_base!$J$5+datos_base!$J$21+IF(parametros_manuales!$H$23="Todos",datos_base!$J$12+datos_base!$J$26,0))*parametros_manuales!$E$110)*parametros_manuales!$I$23*parametros_manuales!$J$23</f>
        <v>19177.063382495</v>
      </c>
      <c r="F222" s="9" t="n">
        <f aca="false">(parametros_manuales!$D$23*(datos_base!$J$2+datos_base!$J$18+IF(parametros_manuales!$H$23="Todos",datos_base!$J$9+datos_base!$J$23,0))*parametros_manuales!$F$95+parametros_manuales!$E$23*(datos_base!$J$3+datos_base!$J$19+IF(parametros_manuales!$H$23="Todos",datos_base!$J$10+datos_base!$J$24,0))*parametros_manuales!$F$100+parametros_manuales!$F$23*(datos_base!$J$4+datos_base!$J$20+IF(parametros_manuales!$H$23="Todos",datos_base!$J$11+datos_base!$J$25,0))*parametros_manuales!$F$105+parametros_manuales!$G$23*(datos_base!$J$5+datos_base!$J$21+IF(parametros_manuales!$H$23="Todos",datos_base!$J$12+datos_base!$J$26,0))*parametros_manuales!$F$110)*parametros_manuales!$I$23*parametros_manuales!$J$23</f>
        <v>17945.82839756</v>
      </c>
      <c r="G222" s="9" t="n">
        <f aca="false">(parametros_manuales!$D$23*(datos_base!$J$2+datos_base!$J$18+IF(parametros_manuales!$H$23="Todos",datos_base!$J$9+datos_base!$J$23,0))*parametros_manuales!$G$95+parametros_manuales!$E$23*(datos_base!$J$3+datos_base!$J$19+IF(parametros_manuales!$H$23="Todos",datos_base!$J$10+datos_base!$J$24,0))*parametros_manuales!$G$100+parametros_manuales!$F$23*(datos_base!$J$4+datos_base!$J$20+IF(parametros_manuales!$H$23="Todos",datos_base!$J$11+datos_base!$J$25,0))*parametros_manuales!$G$105+parametros_manuales!$G$23*(datos_base!$J$5+datos_base!$J$21+IF(parametros_manuales!$H$23="Todos",datos_base!$J$12+datos_base!$J$26,0))*parametros_manuales!$G$110)*parametros_manuales!$I$23*parametros_manuales!$J$23</f>
        <v>17591.559093325</v>
      </c>
      <c r="H222" s="9" t="n">
        <f aca="false">(parametros_manuales!$D$23*(datos_base!$J$2+datos_base!$J$18+IF(parametros_manuales!$H$23="Todos",datos_base!$J$9+datos_base!$J$23,0))*parametros_manuales!$H$95+parametros_manuales!$E$23*(datos_base!$J$3+datos_base!$J$19+IF(parametros_manuales!$H$23="Todos",datos_base!$J$10+datos_base!$J$24,0))*parametros_manuales!$H$100+parametros_manuales!$F$23*(datos_base!$J$4+datos_base!$J$20+IF(parametros_manuales!$H$23="Todos",datos_base!$J$11+datos_base!$J$25,0))*parametros_manuales!$H$105+parametros_manuales!$G$23*(datos_base!$J$5+datos_base!$J$21+IF(parametros_manuales!$H$23="Todos",datos_base!$J$12+datos_base!$J$26,0))*parametros_manuales!$H$110)*parametros_manuales!$I$23*parametros_manuales!$J$23</f>
        <v>18822.79407826</v>
      </c>
      <c r="I222" s="9" t="n">
        <f aca="false">(parametros_manuales!$D$23*(datos_base!$J$2+datos_base!$J$18+IF(parametros_manuales!$H$23="Todos",datos_base!$J$9+datos_base!$J$23,0))*parametros_manuales!$I$95+parametros_manuales!$E$23*(datos_base!$J$3+datos_base!$J$19+IF(parametros_manuales!$H$23="Todos",datos_base!$J$10+datos_base!$J$24,0))*parametros_manuales!$I$100+parametros_manuales!$F$23*(datos_base!$J$4+datos_base!$J$20+IF(parametros_manuales!$H$23="Todos",datos_base!$J$11+datos_base!$J$25,0))*parametros_manuales!$I$105+parametros_manuales!$G$23*(datos_base!$J$5+datos_base!$J$21+IF(parametros_manuales!$H$23="Todos",datos_base!$J$12+datos_base!$J$26,0))*parametros_manuales!$I$110)*parametros_manuales!$I$23*parametros_manuales!$J$23</f>
        <v>21453.69112036</v>
      </c>
      <c r="J222" s="9" t="n">
        <f aca="false">(parametros_manuales!$D$23*(datos_base!$J$2+datos_base!$J$18+IF(parametros_manuales!$H$23="Todos",datos_base!$J$9+datos_base!$J$23,0))*parametros_manuales!$J$95+parametros_manuales!$E$23*(datos_base!$J$3+datos_base!$J$19+IF(parametros_manuales!$H$23="Todos",datos_base!$J$10+datos_base!$J$24,0))*parametros_manuales!$J$100+parametros_manuales!$F$23*(datos_base!$J$4+datos_base!$J$20+IF(parametros_manuales!$H$23="Todos",datos_base!$J$11+datos_base!$J$25,0))*parametros_manuales!$J$105+parametros_manuales!$G$23*(datos_base!$J$5+datos_base!$J$21+IF(parametros_manuales!$H$23="Todos",datos_base!$J$12+datos_base!$J$26,0))*parametros_manuales!$J$110)*parametros_manuales!$I$23*parametros_manuales!$J$23</f>
        <v>21453.69112036</v>
      </c>
      <c r="K222" s="9" t="n">
        <f aca="false">(parametros_manuales!$D$23*(datos_base!$J$2+datos_base!$J$18+IF(parametros_manuales!$H$23="Todos",datos_base!$J$9+datos_base!$J$23,0))*parametros_manuales!$K$95+parametros_manuales!$E$23*(datos_base!$J$3+datos_base!$J$19+IF(parametros_manuales!$H$23="Todos",datos_base!$J$10+datos_base!$J$24,0))*parametros_manuales!$K$100+parametros_manuales!$F$23*(datos_base!$J$4+datos_base!$J$20+IF(parametros_manuales!$H$23="Todos",datos_base!$J$11+datos_base!$J$25,0))*parametros_manuales!$K$105+parametros_manuales!$G$23*(datos_base!$J$5+datos_base!$J$21+IF(parametros_manuales!$H$23="Todos",datos_base!$J$12+datos_base!$J$26,0))*parametros_manuales!$K$110)*parametros_manuales!$I$23*parametros_manuales!$J$23</f>
        <v>21807.960424595</v>
      </c>
      <c r="L222" s="9" t="n">
        <f aca="false">(parametros_manuales!$D$23*(datos_base!$J$2+datos_base!$J$18+IF(parametros_manuales!$H$23="Todos",datos_base!$J$9+datos_base!$J$23,0))*parametros_manuales!$L$95+parametros_manuales!$E$23*(datos_base!$J$3+datos_base!$J$19+IF(parametros_manuales!$H$23="Todos",datos_base!$J$10+datos_base!$J$24,0))*parametros_manuales!$L$100+parametros_manuales!$F$23*(datos_base!$J$4+datos_base!$J$20+IF(parametros_manuales!$H$23="Todos",datos_base!$J$11+datos_base!$J$25,0))*parametros_manuales!$L$105+parametros_manuales!$G$23*(datos_base!$J$5+datos_base!$J$21+IF(parametros_manuales!$H$23="Todos",datos_base!$J$12+datos_base!$J$26,0))*parametros_manuales!$L$110)*parametros_manuales!$I$23*parametros_manuales!$J$23</f>
        <v>22162.22972883</v>
      </c>
      <c r="M222" s="9" t="n">
        <f aca="false">(parametros_manuales!$D$23*(datos_base!$J$2+datos_base!$J$18+IF(parametros_manuales!$H$23="Todos",datos_base!$J$9+datos_base!$J$23,0))*parametros_manuales!$M$95+parametros_manuales!$E$23*(datos_base!$J$3+datos_base!$J$19+IF(parametros_manuales!$H$23="Todos",datos_base!$J$10+datos_base!$J$24,0))*parametros_manuales!$M$100+parametros_manuales!$F$23*(datos_base!$J$4+datos_base!$J$20+IF(parametros_manuales!$H$23="Todos",datos_base!$J$11+datos_base!$J$25,0))*parametros_manuales!$M$105+parametros_manuales!$G$23*(datos_base!$J$5+datos_base!$J$21+IF(parametros_manuales!$H$23="Todos",datos_base!$J$12+datos_base!$J$26,0))*parametros_manuales!$M$110)*parametros_manuales!$I$23*parametros_manuales!$J$23</f>
        <v>22162.22972883</v>
      </c>
      <c r="N222" s="9" t="n">
        <f aca="false">SUM(B222:M222)</f>
        <v>246246.996987</v>
      </c>
      <c r="O222" s="9" t="n">
        <f aca="false">MAX(B222:M222)</f>
        <v>22162.22972883</v>
      </c>
      <c r="P222" s="43" t="n">
        <f aca="false">O222/(parametros_manuales!$B$7)</f>
        <v>147.7481981922</v>
      </c>
      <c r="Q222" s="8" t="str">
        <f aca="false">IF(O222=0,"-",INDEX($B$217:$M$217,MATCH(O222,B222:M222,0)))</f>
        <v>Ene</v>
      </c>
    </row>
    <row r="223" customFormat="false" ht="14.25" hidden="false" customHeight="true" outlineLevel="0" collapsed="false">
      <c r="A223" s="8" t="str">
        <f aca="false">parametros_manuales!$B$24</f>
        <v>Numerado de cúpula</v>
      </c>
      <c r="B223" s="9" t="n">
        <f aca="false">(parametros_manuales!$D$24*(datos_base!$J$2+datos_base!$J$18+IF(parametros_manuales!$H$24="Todos",datos_base!$J$9+datos_base!$J$23,0))*parametros_manuales!$B$95+parametros_manuales!$E$24*(datos_base!$J$3+datos_base!$J$19+IF(parametros_manuales!$H$24="Todos",datos_base!$J$10+datos_base!$J$24,0))*parametros_manuales!$B$100+parametros_manuales!$F$24*(datos_base!$J$4+datos_base!$J$20+IF(parametros_manuales!$H$24="Todos",datos_base!$J$11+datos_base!$J$25,0))*parametros_manuales!$B$105+parametros_manuales!$G$24*(datos_base!$J$5+datos_base!$J$21+IF(parametros_manuales!$H$24="Todos",datos_base!$J$12+datos_base!$J$26,0))*parametros_manuales!$B$110)*parametros_manuales!$I$24*parametros_manuales!$J$24</f>
        <v>22162.22972883</v>
      </c>
      <c r="C223" s="9" t="n">
        <f aca="false">(parametros_manuales!$D$24*(datos_base!$J$2+datos_base!$J$18+IF(parametros_manuales!$H$24="Todos",datos_base!$J$9+datos_base!$J$23,0))*parametros_manuales!$C$95+parametros_manuales!$E$24*(datos_base!$J$3+datos_base!$J$19+IF(parametros_manuales!$H$24="Todos",datos_base!$J$10+datos_base!$J$24,0))*parametros_manuales!$C$100+parametros_manuales!$F$24*(datos_base!$J$4+datos_base!$J$20+IF(parametros_manuales!$H$24="Todos",datos_base!$J$11+datos_base!$J$25,0))*parametros_manuales!$C$105+parametros_manuales!$G$24*(datos_base!$J$5+datos_base!$J$21+IF(parametros_manuales!$H$24="Todos",datos_base!$J$12+datos_base!$J$26,0))*parametros_manuales!$C$110)*parametros_manuales!$I$24*parametros_manuales!$J$24</f>
        <v>21453.69112036</v>
      </c>
      <c r="D223" s="9" t="n">
        <f aca="false">(parametros_manuales!$D$24*(datos_base!$J$2+datos_base!$J$18+IF(parametros_manuales!$H$24="Todos",datos_base!$J$9+datos_base!$J$23,0))*parametros_manuales!$D$95+parametros_manuales!$E$24*(datos_base!$J$3+datos_base!$J$19+IF(parametros_manuales!$H$24="Todos",datos_base!$J$10+datos_base!$J$24,0))*parametros_manuales!$D$100+parametros_manuales!$F$24*(datos_base!$J$4+datos_base!$J$20+IF(parametros_manuales!$H$24="Todos",datos_base!$J$11+datos_base!$J$25,0))*parametros_manuales!$D$105+parametros_manuales!$G$24*(datos_base!$J$5+datos_base!$J$21+IF(parametros_manuales!$H$24="Todos",datos_base!$J$12+datos_base!$J$26,0))*parametros_manuales!$D$110)*parametros_manuales!$I$24*parametros_manuales!$J$24</f>
        <v>20054.029063195</v>
      </c>
      <c r="E223" s="9" t="n">
        <f aca="false">(parametros_manuales!$D$24*(datos_base!$J$2+datos_base!$J$18+IF(parametros_manuales!$H$24="Todos",datos_base!$J$9+datos_base!$J$23,0))*parametros_manuales!$E$95+parametros_manuales!$E$24*(datos_base!$J$3+datos_base!$J$19+IF(parametros_manuales!$H$24="Todos",datos_base!$J$10+datos_base!$J$24,0))*parametros_manuales!$E$100+parametros_manuales!$F$24*(datos_base!$J$4+datos_base!$J$20+IF(parametros_manuales!$H$24="Todos",datos_base!$J$11+datos_base!$J$25,0))*parametros_manuales!$E$105+parametros_manuales!$G$24*(datos_base!$J$5+datos_base!$J$21+IF(parametros_manuales!$H$24="Todos",datos_base!$J$12+datos_base!$J$26,0))*parametros_manuales!$E$110)*parametros_manuales!$I$24*parametros_manuales!$J$24</f>
        <v>19177.063382495</v>
      </c>
      <c r="F223" s="9" t="n">
        <f aca="false">(parametros_manuales!$D$24*(datos_base!$J$2+datos_base!$J$18+IF(parametros_manuales!$H$24="Todos",datos_base!$J$9+datos_base!$J$23,0))*parametros_manuales!$F$95+parametros_manuales!$E$24*(datos_base!$J$3+datos_base!$J$19+IF(parametros_manuales!$H$24="Todos",datos_base!$J$10+datos_base!$J$24,0))*parametros_manuales!$F$100+parametros_manuales!$F$24*(datos_base!$J$4+datos_base!$J$20+IF(parametros_manuales!$H$24="Todos",datos_base!$J$11+datos_base!$J$25,0))*parametros_manuales!$F$105+parametros_manuales!$G$24*(datos_base!$J$5+datos_base!$J$21+IF(parametros_manuales!$H$24="Todos",datos_base!$J$12+datos_base!$J$26,0))*parametros_manuales!$F$110)*parametros_manuales!$I$24*parametros_manuales!$J$24</f>
        <v>17945.82839756</v>
      </c>
      <c r="G223" s="9" t="n">
        <f aca="false">(parametros_manuales!$D$24*(datos_base!$J$2+datos_base!$J$18+IF(parametros_manuales!$H$24="Todos",datos_base!$J$9+datos_base!$J$23,0))*parametros_manuales!$G$95+parametros_manuales!$E$24*(datos_base!$J$3+datos_base!$J$19+IF(parametros_manuales!$H$24="Todos",datos_base!$J$10+datos_base!$J$24,0))*parametros_manuales!$G$100+parametros_manuales!$F$24*(datos_base!$J$4+datos_base!$J$20+IF(parametros_manuales!$H$24="Todos",datos_base!$J$11+datos_base!$J$25,0))*parametros_manuales!$G$105+parametros_manuales!$G$24*(datos_base!$J$5+datos_base!$J$21+IF(parametros_manuales!$H$24="Todos",datos_base!$J$12+datos_base!$J$26,0))*parametros_manuales!$G$110)*parametros_manuales!$I$24*parametros_manuales!$J$24</f>
        <v>17591.559093325</v>
      </c>
      <c r="H223" s="9" t="n">
        <f aca="false">(parametros_manuales!$D$24*(datos_base!$J$2+datos_base!$J$18+IF(parametros_manuales!$H$24="Todos",datos_base!$J$9+datos_base!$J$23,0))*parametros_manuales!$H$95+parametros_manuales!$E$24*(datos_base!$J$3+datos_base!$J$19+IF(parametros_manuales!$H$24="Todos",datos_base!$J$10+datos_base!$J$24,0))*parametros_manuales!$H$100+parametros_manuales!$F$24*(datos_base!$J$4+datos_base!$J$20+IF(parametros_manuales!$H$24="Todos",datos_base!$J$11+datos_base!$J$25,0))*parametros_manuales!$H$105+parametros_manuales!$G$24*(datos_base!$J$5+datos_base!$J$21+IF(parametros_manuales!$H$24="Todos",datos_base!$J$12+datos_base!$J$26,0))*parametros_manuales!$H$110)*parametros_manuales!$I$24*parametros_manuales!$J$24</f>
        <v>18822.79407826</v>
      </c>
      <c r="I223" s="9" t="n">
        <f aca="false">(parametros_manuales!$D$24*(datos_base!$J$2+datos_base!$J$18+IF(parametros_manuales!$H$24="Todos",datos_base!$J$9+datos_base!$J$23,0))*parametros_manuales!$I$95+parametros_manuales!$E$24*(datos_base!$J$3+datos_base!$J$19+IF(parametros_manuales!$H$24="Todos",datos_base!$J$10+datos_base!$J$24,0))*parametros_manuales!$I$100+parametros_manuales!$F$24*(datos_base!$J$4+datos_base!$J$20+IF(parametros_manuales!$H$24="Todos",datos_base!$J$11+datos_base!$J$25,0))*parametros_manuales!$I$105+parametros_manuales!$G$24*(datos_base!$J$5+datos_base!$J$21+IF(parametros_manuales!$H$24="Todos",datos_base!$J$12+datos_base!$J$26,0))*parametros_manuales!$I$110)*parametros_manuales!$I$24*parametros_manuales!$J$24</f>
        <v>21453.69112036</v>
      </c>
      <c r="J223" s="9" t="n">
        <f aca="false">(parametros_manuales!$D$24*(datos_base!$J$2+datos_base!$J$18+IF(parametros_manuales!$H$24="Todos",datos_base!$J$9+datos_base!$J$23,0))*parametros_manuales!$J$95+parametros_manuales!$E$24*(datos_base!$J$3+datos_base!$J$19+IF(parametros_manuales!$H$24="Todos",datos_base!$J$10+datos_base!$J$24,0))*parametros_manuales!$J$100+parametros_manuales!$F$24*(datos_base!$J$4+datos_base!$J$20+IF(parametros_manuales!$H$24="Todos",datos_base!$J$11+datos_base!$J$25,0))*parametros_manuales!$J$105+parametros_manuales!$G$24*(datos_base!$J$5+datos_base!$J$21+IF(parametros_manuales!$H$24="Todos",datos_base!$J$12+datos_base!$J$26,0))*parametros_manuales!$J$110)*parametros_manuales!$I$24*parametros_manuales!$J$24</f>
        <v>21453.69112036</v>
      </c>
      <c r="K223" s="9" t="n">
        <f aca="false">(parametros_manuales!$D$24*(datos_base!$J$2+datos_base!$J$18+IF(parametros_manuales!$H$24="Todos",datos_base!$J$9+datos_base!$J$23,0))*parametros_manuales!$K$95+parametros_manuales!$E$24*(datos_base!$J$3+datos_base!$J$19+IF(parametros_manuales!$H$24="Todos",datos_base!$J$10+datos_base!$J$24,0))*parametros_manuales!$K$100+parametros_manuales!$F$24*(datos_base!$J$4+datos_base!$J$20+IF(parametros_manuales!$H$24="Todos",datos_base!$J$11+datos_base!$J$25,0))*parametros_manuales!$K$105+parametros_manuales!$G$24*(datos_base!$J$5+datos_base!$J$21+IF(parametros_manuales!$H$24="Todos",datos_base!$J$12+datos_base!$J$26,0))*parametros_manuales!$K$110)*parametros_manuales!$I$24*parametros_manuales!$J$24</f>
        <v>21807.960424595</v>
      </c>
      <c r="L223" s="9" t="n">
        <f aca="false">(parametros_manuales!$D$24*(datos_base!$J$2+datos_base!$J$18+IF(parametros_manuales!$H$24="Todos",datos_base!$J$9+datos_base!$J$23,0))*parametros_manuales!$L$95+parametros_manuales!$E$24*(datos_base!$J$3+datos_base!$J$19+IF(parametros_manuales!$H$24="Todos",datos_base!$J$10+datos_base!$J$24,0))*parametros_manuales!$L$100+parametros_manuales!$F$24*(datos_base!$J$4+datos_base!$J$20+IF(parametros_manuales!$H$24="Todos",datos_base!$J$11+datos_base!$J$25,0))*parametros_manuales!$L$105+parametros_manuales!$G$24*(datos_base!$J$5+datos_base!$J$21+IF(parametros_manuales!$H$24="Todos",datos_base!$J$12+datos_base!$J$26,0))*parametros_manuales!$L$110)*parametros_manuales!$I$24*parametros_manuales!$J$24</f>
        <v>22162.22972883</v>
      </c>
      <c r="M223" s="9" t="n">
        <f aca="false">(parametros_manuales!$D$24*(datos_base!$J$2+datos_base!$J$18+IF(parametros_manuales!$H$24="Todos",datos_base!$J$9+datos_base!$J$23,0))*parametros_manuales!$M$95+parametros_manuales!$E$24*(datos_base!$J$3+datos_base!$J$19+IF(parametros_manuales!$H$24="Todos",datos_base!$J$10+datos_base!$J$24,0))*parametros_manuales!$M$100+parametros_manuales!$F$24*(datos_base!$J$4+datos_base!$J$20+IF(parametros_manuales!$H$24="Todos",datos_base!$J$11+datos_base!$J$25,0))*parametros_manuales!$M$105+parametros_manuales!$G$24*(datos_base!$J$5+datos_base!$J$21+IF(parametros_manuales!$H$24="Todos",datos_base!$J$12+datos_base!$J$26,0))*parametros_manuales!$M$110)*parametros_manuales!$I$24*parametros_manuales!$J$24</f>
        <v>22162.22972883</v>
      </c>
      <c r="N223" s="9" t="n">
        <f aca="false">SUM(B223:M223)</f>
        <v>246246.996987</v>
      </c>
      <c r="O223" s="9" t="n">
        <f aca="false">MAX(B223:M223)</f>
        <v>22162.22972883</v>
      </c>
      <c r="P223" s="43" t="n">
        <f aca="false">O223/(parametros_manuales!$B$7)</f>
        <v>147.7481981922</v>
      </c>
      <c r="Q223" s="8" t="str">
        <f aca="false">IF(O223=0,"-",INDEX($B$217:$M$217,MATCH(O223,B223:M223,0)))</f>
        <v>Ene</v>
      </c>
    </row>
    <row r="224" customFormat="false" ht="14.25" hidden="false" customHeight="true" outlineLevel="0" collapsed="false">
      <c r="A224" s="8" t="str">
        <f aca="false">parametros_manuales!$B$25</f>
        <v>Soldadura del cuello a la cúpula</v>
      </c>
      <c r="B224" s="9" t="n">
        <f aca="false">(parametros_manuales!$D$25*(datos_base!$J$2+datos_base!$J$18+IF(parametros_manuales!$H$25="Todos",datos_base!$J$9+datos_base!$J$23,0))*parametros_manuales!$B$95+parametros_manuales!$E$25*(datos_base!$J$3+datos_base!$J$19+IF(parametros_manuales!$H$25="Todos",datos_base!$J$10+datos_base!$J$24,0))*parametros_manuales!$B$100+parametros_manuales!$F$25*(datos_base!$J$4+datos_base!$J$20+IF(parametros_manuales!$H$25="Todos",datos_base!$J$11+datos_base!$J$25,0))*parametros_manuales!$B$105+parametros_manuales!$G$25*(datos_base!$J$5+datos_base!$J$21+IF(parametros_manuales!$H$25="Todos",datos_base!$J$12+datos_base!$J$26,0))*parametros_manuales!$B$110)*parametros_manuales!$I$25*parametros_manuales!$J$25</f>
        <v>22162.22972883</v>
      </c>
      <c r="C224" s="9" t="n">
        <f aca="false">(parametros_manuales!$D$25*(datos_base!$J$2+datos_base!$J$18+IF(parametros_manuales!$H$25="Todos",datos_base!$J$9+datos_base!$J$23,0))*parametros_manuales!$C$95+parametros_manuales!$E$25*(datos_base!$J$3+datos_base!$J$19+IF(parametros_manuales!$H$25="Todos",datos_base!$J$10+datos_base!$J$24,0))*parametros_manuales!$C$100+parametros_manuales!$F$25*(datos_base!$J$4+datos_base!$J$20+IF(parametros_manuales!$H$25="Todos",datos_base!$J$11+datos_base!$J$25,0))*parametros_manuales!$C$105+parametros_manuales!$G$25*(datos_base!$J$5+datos_base!$J$21+IF(parametros_manuales!$H$25="Todos",datos_base!$J$12+datos_base!$J$26,0))*parametros_manuales!$C$110)*parametros_manuales!$I$25*parametros_manuales!$J$25</f>
        <v>21453.69112036</v>
      </c>
      <c r="D224" s="9" t="n">
        <f aca="false">(parametros_manuales!$D$25*(datos_base!$J$2+datos_base!$J$18+IF(parametros_manuales!$H$25="Todos",datos_base!$J$9+datos_base!$J$23,0))*parametros_manuales!$D$95+parametros_manuales!$E$25*(datos_base!$J$3+datos_base!$J$19+IF(parametros_manuales!$H$25="Todos",datos_base!$J$10+datos_base!$J$24,0))*parametros_manuales!$D$100+parametros_manuales!$F$25*(datos_base!$J$4+datos_base!$J$20+IF(parametros_manuales!$H$25="Todos",datos_base!$J$11+datos_base!$J$25,0))*parametros_manuales!$D$105+parametros_manuales!$G$25*(datos_base!$J$5+datos_base!$J$21+IF(parametros_manuales!$H$25="Todos",datos_base!$J$12+datos_base!$J$26,0))*parametros_manuales!$D$110)*parametros_manuales!$I$25*parametros_manuales!$J$25</f>
        <v>20054.029063195</v>
      </c>
      <c r="E224" s="9" t="n">
        <f aca="false">(parametros_manuales!$D$25*(datos_base!$J$2+datos_base!$J$18+IF(parametros_manuales!$H$25="Todos",datos_base!$J$9+datos_base!$J$23,0))*parametros_manuales!$E$95+parametros_manuales!$E$25*(datos_base!$J$3+datos_base!$J$19+IF(parametros_manuales!$H$25="Todos",datos_base!$J$10+datos_base!$J$24,0))*parametros_manuales!$E$100+parametros_manuales!$F$25*(datos_base!$J$4+datos_base!$J$20+IF(parametros_manuales!$H$25="Todos",datos_base!$J$11+datos_base!$J$25,0))*parametros_manuales!$E$105+parametros_manuales!$G$25*(datos_base!$J$5+datos_base!$J$21+IF(parametros_manuales!$H$25="Todos",datos_base!$J$12+datos_base!$J$26,0))*parametros_manuales!$E$110)*parametros_manuales!$I$25*parametros_manuales!$J$25</f>
        <v>19177.063382495</v>
      </c>
      <c r="F224" s="9" t="n">
        <f aca="false">(parametros_manuales!$D$25*(datos_base!$J$2+datos_base!$J$18+IF(parametros_manuales!$H$25="Todos",datos_base!$J$9+datos_base!$J$23,0))*parametros_manuales!$F$95+parametros_manuales!$E$25*(datos_base!$J$3+datos_base!$J$19+IF(parametros_manuales!$H$25="Todos",datos_base!$J$10+datos_base!$J$24,0))*parametros_manuales!$F$100+parametros_manuales!$F$25*(datos_base!$J$4+datos_base!$J$20+IF(parametros_manuales!$H$25="Todos",datos_base!$J$11+datos_base!$J$25,0))*parametros_manuales!$F$105+parametros_manuales!$G$25*(datos_base!$J$5+datos_base!$J$21+IF(parametros_manuales!$H$25="Todos",datos_base!$J$12+datos_base!$J$26,0))*parametros_manuales!$F$110)*parametros_manuales!$I$25*parametros_manuales!$J$25</f>
        <v>17945.82839756</v>
      </c>
      <c r="G224" s="9" t="n">
        <f aca="false">(parametros_manuales!$D$25*(datos_base!$J$2+datos_base!$J$18+IF(parametros_manuales!$H$25="Todos",datos_base!$J$9+datos_base!$J$23,0))*parametros_manuales!$G$95+parametros_manuales!$E$25*(datos_base!$J$3+datos_base!$J$19+IF(parametros_manuales!$H$25="Todos",datos_base!$J$10+datos_base!$J$24,0))*parametros_manuales!$G$100+parametros_manuales!$F$25*(datos_base!$J$4+datos_base!$J$20+IF(parametros_manuales!$H$25="Todos",datos_base!$J$11+datos_base!$J$25,0))*parametros_manuales!$G$105+parametros_manuales!$G$25*(datos_base!$J$5+datos_base!$J$21+IF(parametros_manuales!$H$25="Todos",datos_base!$J$12+datos_base!$J$26,0))*parametros_manuales!$G$110)*parametros_manuales!$I$25*parametros_manuales!$J$25</f>
        <v>17591.559093325</v>
      </c>
      <c r="H224" s="9" t="n">
        <f aca="false">(parametros_manuales!$D$25*(datos_base!$J$2+datos_base!$J$18+IF(parametros_manuales!$H$25="Todos",datos_base!$J$9+datos_base!$J$23,0))*parametros_manuales!$H$95+parametros_manuales!$E$25*(datos_base!$J$3+datos_base!$J$19+IF(parametros_manuales!$H$25="Todos",datos_base!$J$10+datos_base!$J$24,0))*parametros_manuales!$H$100+parametros_manuales!$F$25*(datos_base!$J$4+datos_base!$J$20+IF(parametros_manuales!$H$25="Todos",datos_base!$J$11+datos_base!$J$25,0))*parametros_manuales!$H$105+parametros_manuales!$G$25*(datos_base!$J$5+datos_base!$J$21+IF(parametros_manuales!$H$25="Todos",datos_base!$J$12+datos_base!$J$26,0))*parametros_manuales!$H$110)*parametros_manuales!$I$25*parametros_manuales!$J$25</f>
        <v>18822.79407826</v>
      </c>
      <c r="I224" s="9" t="n">
        <f aca="false">(parametros_manuales!$D$25*(datos_base!$J$2+datos_base!$J$18+IF(parametros_manuales!$H$25="Todos",datos_base!$J$9+datos_base!$J$23,0))*parametros_manuales!$I$95+parametros_manuales!$E$25*(datos_base!$J$3+datos_base!$J$19+IF(parametros_manuales!$H$25="Todos",datos_base!$J$10+datos_base!$J$24,0))*parametros_manuales!$I$100+parametros_manuales!$F$25*(datos_base!$J$4+datos_base!$J$20+IF(parametros_manuales!$H$25="Todos",datos_base!$J$11+datos_base!$J$25,0))*parametros_manuales!$I$105+parametros_manuales!$G$25*(datos_base!$J$5+datos_base!$J$21+IF(parametros_manuales!$H$25="Todos",datos_base!$J$12+datos_base!$J$26,0))*parametros_manuales!$I$110)*parametros_manuales!$I$25*parametros_manuales!$J$25</f>
        <v>21453.69112036</v>
      </c>
      <c r="J224" s="9" t="n">
        <f aca="false">(parametros_manuales!$D$25*(datos_base!$J$2+datos_base!$J$18+IF(parametros_manuales!$H$25="Todos",datos_base!$J$9+datos_base!$J$23,0))*parametros_manuales!$J$95+parametros_manuales!$E$25*(datos_base!$J$3+datos_base!$J$19+IF(parametros_manuales!$H$25="Todos",datos_base!$J$10+datos_base!$J$24,0))*parametros_manuales!$J$100+parametros_manuales!$F$25*(datos_base!$J$4+datos_base!$J$20+IF(parametros_manuales!$H$25="Todos",datos_base!$J$11+datos_base!$J$25,0))*parametros_manuales!$J$105+parametros_manuales!$G$25*(datos_base!$J$5+datos_base!$J$21+IF(parametros_manuales!$H$25="Todos",datos_base!$J$12+datos_base!$J$26,0))*parametros_manuales!$J$110)*parametros_manuales!$I$25*parametros_manuales!$J$25</f>
        <v>21453.69112036</v>
      </c>
      <c r="K224" s="9" t="n">
        <f aca="false">(parametros_manuales!$D$25*(datos_base!$J$2+datos_base!$J$18+IF(parametros_manuales!$H$25="Todos",datos_base!$J$9+datos_base!$J$23,0))*parametros_manuales!$K$95+parametros_manuales!$E$25*(datos_base!$J$3+datos_base!$J$19+IF(parametros_manuales!$H$25="Todos",datos_base!$J$10+datos_base!$J$24,0))*parametros_manuales!$K$100+parametros_manuales!$F$25*(datos_base!$J$4+datos_base!$J$20+IF(parametros_manuales!$H$25="Todos",datos_base!$J$11+datos_base!$J$25,0))*parametros_manuales!$K$105+parametros_manuales!$G$25*(datos_base!$J$5+datos_base!$J$21+IF(parametros_manuales!$H$25="Todos",datos_base!$J$12+datos_base!$J$26,0))*parametros_manuales!$K$110)*parametros_manuales!$I$25*parametros_manuales!$J$25</f>
        <v>21807.960424595</v>
      </c>
      <c r="L224" s="9" t="n">
        <f aca="false">(parametros_manuales!$D$25*(datos_base!$J$2+datos_base!$J$18+IF(parametros_manuales!$H$25="Todos",datos_base!$J$9+datos_base!$J$23,0))*parametros_manuales!$L$95+parametros_manuales!$E$25*(datos_base!$J$3+datos_base!$J$19+IF(parametros_manuales!$H$25="Todos",datos_base!$J$10+datos_base!$J$24,0))*parametros_manuales!$L$100+parametros_manuales!$F$25*(datos_base!$J$4+datos_base!$J$20+IF(parametros_manuales!$H$25="Todos",datos_base!$J$11+datos_base!$J$25,0))*parametros_manuales!$L$105+parametros_manuales!$G$25*(datos_base!$J$5+datos_base!$J$21+IF(parametros_manuales!$H$25="Todos",datos_base!$J$12+datos_base!$J$26,0))*parametros_manuales!$L$110)*parametros_manuales!$I$25*parametros_manuales!$J$25</f>
        <v>22162.22972883</v>
      </c>
      <c r="M224" s="9" t="n">
        <f aca="false">(parametros_manuales!$D$25*(datos_base!$J$2+datos_base!$J$18+IF(parametros_manuales!$H$25="Todos",datos_base!$J$9+datos_base!$J$23,0))*parametros_manuales!$M$95+parametros_manuales!$E$25*(datos_base!$J$3+datos_base!$J$19+IF(parametros_manuales!$H$25="Todos",datos_base!$J$10+datos_base!$J$24,0))*parametros_manuales!$M$100+parametros_manuales!$F$25*(datos_base!$J$4+datos_base!$J$20+IF(parametros_manuales!$H$25="Todos",datos_base!$J$11+datos_base!$J$25,0))*parametros_manuales!$M$105+parametros_manuales!$G$25*(datos_base!$J$5+datos_base!$J$21+IF(parametros_manuales!$H$25="Todos",datos_base!$J$12+datos_base!$J$26,0))*parametros_manuales!$M$110)*parametros_manuales!$I$25*parametros_manuales!$J$25</f>
        <v>22162.22972883</v>
      </c>
      <c r="N224" s="9" t="n">
        <f aca="false">SUM(B224:M224)</f>
        <v>246246.996987</v>
      </c>
      <c r="O224" s="9" t="n">
        <f aca="false">MAX(B224:M224)</f>
        <v>22162.22972883</v>
      </c>
      <c r="P224" s="43" t="n">
        <f aca="false">O224/(parametros_manuales!$B$7)</f>
        <v>147.7481981922</v>
      </c>
      <c r="Q224" s="8" t="str">
        <f aca="false">IF(O224=0,"-",INDEX($B$217:$M$217,MATCH(O224,B224:M224,0)))</f>
        <v>Ene</v>
      </c>
    </row>
    <row r="225" customFormat="false" ht="14.25" hidden="false" customHeight="true" outlineLevel="0" collapsed="false">
      <c r="A225" s="8" t="str">
        <f aca="false">parametros_manuales!$B$26</f>
        <v>Cilindrado</v>
      </c>
      <c r="B225" s="9" t="n">
        <f aca="false">(parametros_manuales!$D$26*(datos_base!$J$2+datos_base!$J$18+IF(parametros_manuales!$H$26="Todos",datos_base!$J$9+datos_base!$J$23,0))*parametros_manuales!$B$95+parametros_manuales!$E$26*(datos_base!$J$3+datos_base!$J$19+IF(parametros_manuales!$H$26="Todos",datos_base!$J$10+datos_base!$J$24,0))*parametros_manuales!$B$100+parametros_manuales!$F$26*(datos_base!$J$4+datos_base!$J$20+IF(parametros_manuales!$H$26="Todos",datos_base!$J$11+datos_base!$J$25,0))*parametros_manuales!$B$105+parametros_manuales!$G$26*(datos_base!$J$5+datos_base!$J$21+IF(parametros_manuales!$H$26="Todos",datos_base!$J$12+datos_base!$J$26,0))*parametros_manuales!$B$110)*parametros_manuales!$I$26*parametros_manuales!$J$26</f>
        <v>6376.84747623</v>
      </c>
      <c r="C225" s="9" t="n">
        <f aca="false">(parametros_manuales!$D$26*(datos_base!$J$2+datos_base!$J$18+IF(parametros_manuales!$H$26="Todos",datos_base!$J$9+datos_base!$J$23,0))*parametros_manuales!$C$95+parametros_manuales!$E$26*(datos_base!$J$3+datos_base!$J$19+IF(parametros_manuales!$H$26="Todos",datos_base!$J$10+datos_base!$J$24,0))*parametros_manuales!$C$100+parametros_manuales!$F$26*(datos_base!$J$4+datos_base!$J$20+IF(parametros_manuales!$H$26="Todos",datos_base!$J$11+datos_base!$J$25,0))*parametros_manuales!$C$105+parametros_manuales!$G$26*(datos_base!$J$5+datos_base!$J$21+IF(parametros_manuales!$H$26="Todos",datos_base!$J$12+datos_base!$J$26,0))*parametros_manuales!$C$110)*parametros_manuales!$I$26*parametros_manuales!$J$26</f>
        <v>5668.30886776</v>
      </c>
      <c r="D225" s="9" t="n">
        <f aca="false">(parametros_manuales!$D$26*(datos_base!$J$2+datos_base!$J$18+IF(parametros_manuales!$H$26="Todos",datos_base!$J$9+datos_base!$J$23,0))*parametros_manuales!$D$95+parametros_manuales!$E$26*(datos_base!$J$3+datos_base!$J$19+IF(parametros_manuales!$H$26="Todos",datos_base!$J$10+datos_base!$J$24,0))*parametros_manuales!$D$100+parametros_manuales!$F$26*(datos_base!$J$4+datos_base!$J$20+IF(parametros_manuales!$H$26="Todos",datos_base!$J$11+datos_base!$J$25,0))*parametros_manuales!$D$105+parametros_manuales!$G$26*(datos_base!$J$5+datos_base!$J$21+IF(parametros_manuales!$H$26="Todos",datos_base!$J$12+datos_base!$J$26,0))*parametros_manuales!$D$110)*parametros_manuales!$I$26*parametros_manuales!$J$26</f>
        <v>6022.578171995</v>
      </c>
      <c r="E225" s="9" t="n">
        <f aca="false">(parametros_manuales!$D$26*(datos_base!$J$2+datos_base!$J$18+IF(parametros_manuales!$H$26="Todos",datos_base!$J$9+datos_base!$J$23,0))*parametros_manuales!$E$95+parametros_manuales!$E$26*(datos_base!$J$3+datos_base!$J$19+IF(parametros_manuales!$H$26="Todos",datos_base!$J$10+datos_base!$J$24,0))*parametros_manuales!$E$100+parametros_manuales!$F$26*(datos_base!$J$4+datos_base!$J$20+IF(parametros_manuales!$H$26="Todos",datos_base!$J$11+datos_base!$J$25,0))*parametros_manuales!$E$105+parametros_manuales!$G$26*(datos_base!$J$5+datos_base!$J$21+IF(parametros_manuales!$H$26="Todos",datos_base!$J$12+datos_base!$J$26,0))*parametros_manuales!$E$110)*parametros_manuales!$I$26*parametros_manuales!$J$26</f>
        <v>6022.578171995</v>
      </c>
      <c r="F225" s="9" t="n">
        <f aca="false">(parametros_manuales!$D$26*(datos_base!$J$2+datos_base!$J$18+IF(parametros_manuales!$H$26="Todos",datos_base!$J$9+datos_base!$J$23,0))*parametros_manuales!$F$95+parametros_manuales!$E$26*(datos_base!$J$3+datos_base!$J$19+IF(parametros_manuales!$H$26="Todos",datos_base!$J$10+datos_base!$J$24,0))*parametros_manuales!$F$100+parametros_manuales!$F$26*(datos_base!$J$4+datos_base!$J$20+IF(parametros_manuales!$H$26="Todos",datos_base!$J$11+datos_base!$J$25,0))*parametros_manuales!$F$105+parametros_manuales!$G$26*(datos_base!$J$5+datos_base!$J$21+IF(parametros_manuales!$H$26="Todos",datos_base!$J$12+datos_base!$J$26,0))*parametros_manuales!$F$110)*parametros_manuales!$I$26*parametros_manuales!$J$26</f>
        <v>5668.30886776</v>
      </c>
      <c r="G225" s="9" t="n">
        <f aca="false">(parametros_manuales!$D$26*(datos_base!$J$2+datos_base!$J$18+IF(parametros_manuales!$H$26="Todos",datos_base!$J$9+datos_base!$J$23,0))*parametros_manuales!$G$95+parametros_manuales!$E$26*(datos_base!$J$3+datos_base!$J$19+IF(parametros_manuales!$H$26="Todos",datos_base!$J$10+datos_base!$J$24,0))*parametros_manuales!$G$100+parametros_manuales!$F$26*(datos_base!$J$4+datos_base!$J$20+IF(parametros_manuales!$H$26="Todos",datos_base!$J$11+datos_base!$J$25,0))*parametros_manuales!$G$105+parametros_manuales!$G$26*(datos_base!$J$5+datos_base!$J$21+IF(parametros_manuales!$H$26="Todos",datos_base!$J$12+datos_base!$J$26,0))*parametros_manuales!$G$110)*parametros_manuales!$I$26*parametros_manuales!$J$26</f>
        <v>5314.039563525</v>
      </c>
      <c r="H225" s="9" t="n">
        <f aca="false">(parametros_manuales!$D$26*(datos_base!$J$2+datos_base!$J$18+IF(parametros_manuales!$H$26="Todos",datos_base!$J$9+datos_base!$J$23,0))*parametros_manuales!$H$95+parametros_manuales!$E$26*(datos_base!$J$3+datos_base!$J$19+IF(parametros_manuales!$H$26="Todos",datos_base!$J$10+datos_base!$J$24,0))*parametros_manuales!$H$100+parametros_manuales!$F$26*(datos_base!$J$4+datos_base!$J$20+IF(parametros_manuales!$H$26="Todos",datos_base!$J$11+datos_base!$J$25,0))*parametros_manuales!$H$105+parametros_manuales!$G$26*(datos_base!$J$5+datos_base!$J$21+IF(parametros_manuales!$H$26="Todos",datos_base!$J$12+datos_base!$J$26,0))*parametros_manuales!$H$110)*parametros_manuales!$I$26*parametros_manuales!$J$26</f>
        <v>5668.30886776</v>
      </c>
      <c r="I225" s="9" t="n">
        <f aca="false">(parametros_manuales!$D$26*(datos_base!$J$2+datos_base!$J$18+IF(parametros_manuales!$H$26="Todos",datos_base!$J$9+datos_base!$J$23,0))*parametros_manuales!$I$95+parametros_manuales!$E$26*(datos_base!$J$3+datos_base!$J$19+IF(parametros_manuales!$H$26="Todos",datos_base!$J$10+datos_base!$J$24,0))*parametros_manuales!$I$100+parametros_manuales!$F$26*(datos_base!$J$4+datos_base!$J$20+IF(parametros_manuales!$H$26="Todos",datos_base!$J$11+datos_base!$J$25,0))*parametros_manuales!$I$105+parametros_manuales!$G$26*(datos_base!$J$5+datos_base!$J$21+IF(parametros_manuales!$H$26="Todos",datos_base!$J$12+datos_base!$J$26,0))*parametros_manuales!$I$110)*parametros_manuales!$I$26*parametros_manuales!$J$26</f>
        <v>5668.30886776</v>
      </c>
      <c r="J225" s="9" t="n">
        <f aca="false">(parametros_manuales!$D$26*(datos_base!$J$2+datos_base!$J$18+IF(parametros_manuales!$H$26="Todos",datos_base!$J$9+datos_base!$J$23,0))*parametros_manuales!$J$95+parametros_manuales!$E$26*(datos_base!$J$3+datos_base!$J$19+IF(parametros_manuales!$H$26="Todos",datos_base!$J$10+datos_base!$J$24,0))*parametros_manuales!$J$100+parametros_manuales!$F$26*(datos_base!$J$4+datos_base!$J$20+IF(parametros_manuales!$H$26="Todos",datos_base!$J$11+datos_base!$J$25,0))*parametros_manuales!$J$105+parametros_manuales!$G$26*(datos_base!$J$5+datos_base!$J$21+IF(parametros_manuales!$H$26="Todos",datos_base!$J$12+datos_base!$J$26,0))*parametros_manuales!$J$110)*parametros_manuales!$I$26*parametros_manuales!$J$26</f>
        <v>5668.30886776</v>
      </c>
      <c r="K225" s="9" t="n">
        <f aca="false">(parametros_manuales!$D$26*(datos_base!$J$2+datos_base!$J$18+IF(parametros_manuales!$H$26="Todos",datos_base!$J$9+datos_base!$J$23,0))*parametros_manuales!$K$95+parametros_manuales!$E$26*(datos_base!$J$3+datos_base!$J$19+IF(parametros_manuales!$H$26="Todos",datos_base!$J$10+datos_base!$J$24,0))*parametros_manuales!$K$100+parametros_manuales!$F$26*(datos_base!$J$4+datos_base!$J$20+IF(parametros_manuales!$H$26="Todos",datos_base!$J$11+datos_base!$J$25,0))*parametros_manuales!$K$105+parametros_manuales!$G$26*(datos_base!$J$5+datos_base!$J$21+IF(parametros_manuales!$H$26="Todos",datos_base!$J$12+datos_base!$J$26,0))*parametros_manuales!$K$110)*parametros_manuales!$I$26*parametros_manuales!$J$26</f>
        <v>6022.578171995</v>
      </c>
      <c r="L225" s="9" t="n">
        <f aca="false">(parametros_manuales!$D$26*(datos_base!$J$2+datos_base!$J$18+IF(parametros_manuales!$H$26="Todos",datos_base!$J$9+datos_base!$J$23,0))*parametros_manuales!$L$95+parametros_manuales!$E$26*(datos_base!$J$3+datos_base!$J$19+IF(parametros_manuales!$H$26="Todos",datos_base!$J$10+datos_base!$J$24,0))*parametros_manuales!$L$100+parametros_manuales!$F$26*(datos_base!$J$4+datos_base!$J$20+IF(parametros_manuales!$H$26="Todos",datos_base!$J$11+datos_base!$J$25,0))*parametros_manuales!$L$105+parametros_manuales!$G$26*(datos_base!$J$5+datos_base!$J$21+IF(parametros_manuales!$H$26="Todos",datos_base!$J$12+datos_base!$J$26,0))*parametros_manuales!$L$110)*parametros_manuales!$I$26*parametros_manuales!$J$26</f>
        <v>6376.84747623</v>
      </c>
      <c r="M225" s="9" t="n">
        <f aca="false">(parametros_manuales!$D$26*(datos_base!$J$2+datos_base!$J$18+IF(parametros_manuales!$H$26="Todos",datos_base!$J$9+datos_base!$J$23,0))*parametros_manuales!$M$95+parametros_manuales!$E$26*(datos_base!$J$3+datos_base!$J$19+IF(parametros_manuales!$H$26="Todos",datos_base!$J$10+datos_base!$J$24,0))*parametros_manuales!$M$100+parametros_manuales!$F$26*(datos_base!$J$4+datos_base!$J$20+IF(parametros_manuales!$H$26="Todos",datos_base!$J$11+datos_base!$J$25,0))*parametros_manuales!$M$105+parametros_manuales!$G$26*(datos_base!$J$5+datos_base!$J$21+IF(parametros_manuales!$H$26="Todos",datos_base!$J$12+datos_base!$J$26,0))*parametros_manuales!$M$110)*parametros_manuales!$I$26*parametros_manuales!$J$26</f>
        <v>6376.84747623</v>
      </c>
      <c r="N225" s="9" t="n">
        <f aca="false">SUM(B225:M225)</f>
        <v>70853.860847</v>
      </c>
      <c r="O225" s="9" t="n">
        <f aca="false">MAX(B225:M225)</f>
        <v>6376.84747623</v>
      </c>
      <c r="P225" s="43" t="n">
        <f aca="false">O225/(parametros_manuales!$B$7)</f>
        <v>42.5123165082</v>
      </c>
      <c r="Q225" s="8" t="str">
        <f aca="false">IF(O225=0,"-",INDEX($B$217:$M$217,MATCH(O225,B225:M225,0)))</f>
        <v>Ene</v>
      </c>
    </row>
    <row r="226" customFormat="false" ht="14.25" hidden="false" customHeight="true" outlineLevel="0" collapsed="false">
      <c r="A226" s="8" t="str">
        <f aca="false">parametros_manuales!$B$27</f>
        <v>Soldadura longitudinal</v>
      </c>
      <c r="B226" s="9" t="n">
        <f aca="false">(parametros_manuales!$D$27*(datos_base!$J$2+datos_base!$J$18+IF(parametros_manuales!$H$27="Todos",datos_base!$J$9+datos_base!$J$23,0))*parametros_manuales!$B$95+parametros_manuales!$E$27*(datos_base!$J$3+datos_base!$J$19+IF(parametros_manuales!$H$27="Todos",datos_base!$J$10+datos_base!$J$24,0))*parametros_manuales!$B$100+parametros_manuales!$F$27*(datos_base!$J$4+datos_base!$J$20+IF(parametros_manuales!$H$27="Todos",datos_base!$J$11+datos_base!$J$25,0))*parametros_manuales!$B$105+parametros_manuales!$G$27*(datos_base!$J$5+datos_base!$J$21+IF(parametros_manuales!$H$27="Todos",datos_base!$J$12+datos_base!$J$26,0))*parametros_manuales!$B$110)*parametros_manuales!$I$27*parametros_manuales!$J$27</f>
        <v>6376.84747623</v>
      </c>
      <c r="C226" s="9" t="n">
        <f aca="false">(parametros_manuales!$D$27*(datos_base!$J$2+datos_base!$J$18+IF(parametros_manuales!$H$27="Todos",datos_base!$J$9+datos_base!$J$23,0))*parametros_manuales!$C$95+parametros_manuales!$E$27*(datos_base!$J$3+datos_base!$J$19+IF(parametros_manuales!$H$27="Todos",datos_base!$J$10+datos_base!$J$24,0))*parametros_manuales!$C$100+parametros_manuales!$F$27*(datos_base!$J$4+datos_base!$J$20+IF(parametros_manuales!$H$27="Todos",datos_base!$J$11+datos_base!$J$25,0))*parametros_manuales!$C$105+parametros_manuales!$G$27*(datos_base!$J$5+datos_base!$J$21+IF(parametros_manuales!$H$27="Todos",datos_base!$J$12+datos_base!$J$26,0))*parametros_manuales!$C$110)*parametros_manuales!$I$27*parametros_manuales!$J$27</f>
        <v>5668.30886776</v>
      </c>
      <c r="D226" s="9" t="n">
        <f aca="false">(parametros_manuales!$D$27*(datos_base!$J$2+datos_base!$J$18+IF(parametros_manuales!$H$27="Todos",datos_base!$J$9+datos_base!$J$23,0))*parametros_manuales!$D$95+parametros_manuales!$E$27*(datos_base!$J$3+datos_base!$J$19+IF(parametros_manuales!$H$27="Todos",datos_base!$J$10+datos_base!$J$24,0))*parametros_manuales!$D$100+parametros_manuales!$F$27*(datos_base!$J$4+datos_base!$J$20+IF(parametros_manuales!$H$27="Todos",datos_base!$J$11+datos_base!$J$25,0))*parametros_manuales!$D$105+parametros_manuales!$G$27*(datos_base!$J$5+datos_base!$J$21+IF(parametros_manuales!$H$27="Todos",datos_base!$J$12+datos_base!$J$26,0))*parametros_manuales!$D$110)*parametros_manuales!$I$27*parametros_manuales!$J$27</f>
        <v>6022.578171995</v>
      </c>
      <c r="E226" s="9" t="n">
        <f aca="false">(parametros_manuales!$D$27*(datos_base!$J$2+datos_base!$J$18+IF(parametros_manuales!$H$27="Todos",datos_base!$J$9+datos_base!$J$23,0))*parametros_manuales!$E$95+parametros_manuales!$E$27*(datos_base!$J$3+datos_base!$J$19+IF(parametros_manuales!$H$27="Todos",datos_base!$J$10+datos_base!$J$24,0))*parametros_manuales!$E$100+parametros_manuales!$F$27*(datos_base!$J$4+datos_base!$J$20+IF(parametros_manuales!$H$27="Todos",datos_base!$J$11+datos_base!$J$25,0))*parametros_manuales!$E$105+parametros_manuales!$G$27*(datos_base!$J$5+datos_base!$J$21+IF(parametros_manuales!$H$27="Todos",datos_base!$J$12+datos_base!$J$26,0))*parametros_manuales!$E$110)*parametros_manuales!$I$27*parametros_manuales!$J$27</f>
        <v>6022.578171995</v>
      </c>
      <c r="F226" s="9" t="n">
        <f aca="false">(parametros_manuales!$D$27*(datos_base!$J$2+datos_base!$J$18+IF(parametros_manuales!$H$27="Todos",datos_base!$J$9+datos_base!$J$23,0))*parametros_manuales!$F$95+parametros_manuales!$E$27*(datos_base!$J$3+datos_base!$J$19+IF(parametros_manuales!$H$27="Todos",datos_base!$J$10+datos_base!$J$24,0))*parametros_manuales!$F$100+parametros_manuales!$F$27*(datos_base!$J$4+datos_base!$J$20+IF(parametros_manuales!$H$27="Todos",datos_base!$J$11+datos_base!$J$25,0))*parametros_manuales!$F$105+parametros_manuales!$G$27*(datos_base!$J$5+datos_base!$J$21+IF(parametros_manuales!$H$27="Todos",datos_base!$J$12+datos_base!$J$26,0))*parametros_manuales!$F$110)*parametros_manuales!$I$27*parametros_manuales!$J$27</f>
        <v>5668.30886776</v>
      </c>
      <c r="G226" s="9" t="n">
        <f aca="false">(parametros_manuales!$D$27*(datos_base!$J$2+datos_base!$J$18+IF(parametros_manuales!$H$27="Todos",datos_base!$J$9+datos_base!$J$23,0))*parametros_manuales!$G$95+parametros_manuales!$E$27*(datos_base!$J$3+datos_base!$J$19+IF(parametros_manuales!$H$27="Todos",datos_base!$J$10+datos_base!$J$24,0))*parametros_manuales!$G$100+parametros_manuales!$F$27*(datos_base!$J$4+datos_base!$J$20+IF(parametros_manuales!$H$27="Todos",datos_base!$J$11+datos_base!$J$25,0))*parametros_manuales!$G$105+parametros_manuales!$G$27*(datos_base!$J$5+datos_base!$J$21+IF(parametros_manuales!$H$27="Todos",datos_base!$J$12+datos_base!$J$26,0))*parametros_manuales!$G$110)*parametros_manuales!$I$27*parametros_manuales!$J$27</f>
        <v>5314.039563525</v>
      </c>
      <c r="H226" s="9" t="n">
        <f aca="false">(parametros_manuales!$D$27*(datos_base!$J$2+datos_base!$J$18+IF(parametros_manuales!$H$27="Todos",datos_base!$J$9+datos_base!$J$23,0))*parametros_manuales!$H$95+parametros_manuales!$E$27*(datos_base!$J$3+datos_base!$J$19+IF(parametros_manuales!$H$27="Todos",datos_base!$J$10+datos_base!$J$24,0))*parametros_manuales!$H$100+parametros_manuales!$F$27*(datos_base!$J$4+datos_base!$J$20+IF(parametros_manuales!$H$27="Todos",datos_base!$J$11+datos_base!$J$25,0))*parametros_manuales!$H$105+parametros_manuales!$G$27*(datos_base!$J$5+datos_base!$J$21+IF(parametros_manuales!$H$27="Todos",datos_base!$J$12+datos_base!$J$26,0))*parametros_manuales!$H$110)*parametros_manuales!$I$27*parametros_manuales!$J$27</f>
        <v>5668.30886776</v>
      </c>
      <c r="I226" s="9" t="n">
        <f aca="false">(parametros_manuales!$D$27*(datos_base!$J$2+datos_base!$J$18+IF(parametros_manuales!$H$27="Todos",datos_base!$J$9+datos_base!$J$23,0))*parametros_manuales!$I$95+parametros_manuales!$E$27*(datos_base!$J$3+datos_base!$J$19+IF(parametros_manuales!$H$27="Todos",datos_base!$J$10+datos_base!$J$24,0))*parametros_manuales!$I$100+parametros_manuales!$F$27*(datos_base!$J$4+datos_base!$J$20+IF(parametros_manuales!$H$27="Todos",datos_base!$J$11+datos_base!$J$25,0))*parametros_manuales!$I$105+parametros_manuales!$G$27*(datos_base!$J$5+datos_base!$J$21+IF(parametros_manuales!$H$27="Todos",datos_base!$J$12+datos_base!$J$26,0))*parametros_manuales!$I$110)*parametros_manuales!$I$27*parametros_manuales!$J$27</f>
        <v>5668.30886776</v>
      </c>
      <c r="J226" s="9" t="n">
        <f aca="false">(parametros_manuales!$D$27*(datos_base!$J$2+datos_base!$J$18+IF(parametros_manuales!$H$27="Todos",datos_base!$J$9+datos_base!$J$23,0))*parametros_manuales!$J$95+parametros_manuales!$E$27*(datos_base!$J$3+datos_base!$J$19+IF(parametros_manuales!$H$27="Todos",datos_base!$J$10+datos_base!$J$24,0))*parametros_manuales!$J$100+parametros_manuales!$F$27*(datos_base!$J$4+datos_base!$J$20+IF(parametros_manuales!$H$27="Todos",datos_base!$J$11+datos_base!$J$25,0))*parametros_manuales!$J$105+parametros_manuales!$G$27*(datos_base!$J$5+datos_base!$J$21+IF(parametros_manuales!$H$27="Todos",datos_base!$J$12+datos_base!$J$26,0))*parametros_manuales!$J$110)*parametros_manuales!$I$27*parametros_manuales!$J$27</f>
        <v>5668.30886776</v>
      </c>
      <c r="K226" s="9" t="n">
        <f aca="false">(parametros_manuales!$D$27*(datos_base!$J$2+datos_base!$J$18+IF(parametros_manuales!$H$27="Todos",datos_base!$J$9+datos_base!$J$23,0))*parametros_manuales!$K$95+parametros_manuales!$E$27*(datos_base!$J$3+datos_base!$J$19+IF(parametros_manuales!$H$27="Todos",datos_base!$J$10+datos_base!$J$24,0))*parametros_manuales!$K$100+parametros_manuales!$F$27*(datos_base!$J$4+datos_base!$J$20+IF(parametros_manuales!$H$27="Todos",datos_base!$J$11+datos_base!$J$25,0))*parametros_manuales!$K$105+parametros_manuales!$G$27*(datos_base!$J$5+datos_base!$J$21+IF(parametros_manuales!$H$27="Todos",datos_base!$J$12+datos_base!$J$26,0))*parametros_manuales!$K$110)*parametros_manuales!$I$27*parametros_manuales!$J$27</f>
        <v>6022.578171995</v>
      </c>
      <c r="L226" s="9" t="n">
        <f aca="false">(parametros_manuales!$D$27*(datos_base!$J$2+datos_base!$J$18+IF(parametros_manuales!$H$27="Todos",datos_base!$J$9+datos_base!$J$23,0))*parametros_manuales!$L$95+parametros_manuales!$E$27*(datos_base!$J$3+datos_base!$J$19+IF(parametros_manuales!$H$27="Todos",datos_base!$J$10+datos_base!$J$24,0))*parametros_manuales!$L$100+parametros_manuales!$F$27*(datos_base!$J$4+datos_base!$J$20+IF(parametros_manuales!$H$27="Todos",datos_base!$J$11+datos_base!$J$25,0))*parametros_manuales!$L$105+parametros_manuales!$G$27*(datos_base!$J$5+datos_base!$J$21+IF(parametros_manuales!$H$27="Todos",datos_base!$J$12+datos_base!$J$26,0))*parametros_manuales!$L$110)*parametros_manuales!$I$27*parametros_manuales!$J$27</f>
        <v>6376.84747623</v>
      </c>
      <c r="M226" s="9" t="n">
        <f aca="false">(parametros_manuales!$D$27*(datos_base!$J$2+datos_base!$J$18+IF(parametros_manuales!$H$27="Todos",datos_base!$J$9+datos_base!$J$23,0))*parametros_manuales!$M$95+parametros_manuales!$E$27*(datos_base!$J$3+datos_base!$J$19+IF(parametros_manuales!$H$27="Todos",datos_base!$J$10+datos_base!$J$24,0))*parametros_manuales!$M$100+parametros_manuales!$F$27*(datos_base!$J$4+datos_base!$J$20+IF(parametros_manuales!$H$27="Todos",datos_base!$J$11+datos_base!$J$25,0))*parametros_manuales!$M$105+parametros_manuales!$G$27*(datos_base!$J$5+datos_base!$J$21+IF(parametros_manuales!$H$27="Todos",datos_base!$J$12+datos_base!$J$26,0))*parametros_manuales!$M$110)*parametros_manuales!$I$27*parametros_manuales!$J$27</f>
        <v>6376.84747623</v>
      </c>
      <c r="N226" s="9" t="n">
        <f aca="false">SUM(B226:M226)</f>
        <v>70853.860847</v>
      </c>
      <c r="O226" s="9" t="n">
        <f aca="false">MAX(B226:M226)</f>
        <v>6376.84747623</v>
      </c>
      <c r="P226" s="43" t="n">
        <f aca="false">O226/(parametros_manuales!$B$7)</f>
        <v>42.5123165082</v>
      </c>
      <c r="Q226" s="8" t="str">
        <f aca="false">IF(O226=0,"-",INDEX($B$217:$M$217,MATCH(O226,B226:M226,0)))</f>
        <v>Ene</v>
      </c>
    </row>
    <row r="227" customFormat="false" ht="14.25" hidden="false" customHeight="true" outlineLevel="0" collapsed="false">
      <c r="A227" s="8" t="str">
        <f aca="false">parametros_manuales!$B$28</f>
        <v>Encastre de fondo</v>
      </c>
      <c r="B227" s="9" t="n">
        <f aca="false">(parametros_manuales!$D$28*(datos_base!$J$2+datos_base!$J$18+IF(parametros_manuales!$H$28="Todos",datos_base!$J$9+datos_base!$J$23,0))*parametros_manuales!$B$95+parametros_manuales!$E$28*(datos_base!$J$3+datos_base!$J$19+IF(parametros_manuales!$H$28="Todos",datos_base!$J$10+datos_base!$J$24,0))*parametros_manuales!$B$100+parametros_manuales!$F$28*(datos_base!$J$4+datos_base!$J$20+IF(parametros_manuales!$H$28="Todos",datos_base!$J$11+datos_base!$J$25,0))*parametros_manuales!$B$105+parametros_manuales!$G$28*(datos_base!$J$5+datos_base!$J$21+IF(parametros_manuales!$H$28="Todos",datos_base!$J$12+datos_base!$J$26,0))*parametros_manuales!$B$110)*parametros_manuales!$I$28*parametros_manuales!$J$28</f>
        <v>22162.22972883</v>
      </c>
      <c r="C227" s="9" t="n">
        <f aca="false">(parametros_manuales!$D$28*(datos_base!$J$2+datos_base!$J$18+IF(parametros_manuales!$H$28="Todos",datos_base!$J$9+datos_base!$J$23,0))*parametros_manuales!$C$95+parametros_manuales!$E$28*(datos_base!$J$3+datos_base!$J$19+IF(parametros_manuales!$H$28="Todos",datos_base!$J$10+datos_base!$J$24,0))*parametros_manuales!$C$100+parametros_manuales!$F$28*(datos_base!$J$4+datos_base!$J$20+IF(parametros_manuales!$H$28="Todos",datos_base!$J$11+datos_base!$J$25,0))*parametros_manuales!$C$105+parametros_manuales!$G$28*(datos_base!$J$5+datos_base!$J$21+IF(parametros_manuales!$H$28="Todos",datos_base!$J$12+datos_base!$J$26,0))*parametros_manuales!$C$110)*parametros_manuales!$I$28*parametros_manuales!$J$28</f>
        <v>21453.69112036</v>
      </c>
      <c r="D227" s="9" t="n">
        <f aca="false">(parametros_manuales!$D$28*(datos_base!$J$2+datos_base!$J$18+IF(parametros_manuales!$H$28="Todos",datos_base!$J$9+datos_base!$J$23,0))*parametros_manuales!$D$95+parametros_manuales!$E$28*(datos_base!$J$3+datos_base!$J$19+IF(parametros_manuales!$H$28="Todos",datos_base!$J$10+datos_base!$J$24,0))*parametros_manuales!$D$100+parametros_manuales!$F$28*(datos_base!$J$4+datos_base!$J$20+IF(parametros_manuales!$H$28="Todos",datos_base!$J$11+datos_base!$J$25,0))*parametros_manuales!$D$105+parametros_manuales!$G$28*(datos_base!$J$5+datos_base!$J$21+IF(parametros_manuales!$H$28="Todos",datos_base!$J$12+datos_base!$J$26,0))*parametros_manuales!$D$110)*parametros_manuales!$I$28*parametros_manuales!$J$28</f>
        <v>20054.029063195</v>
      </c>
      <c r="E227" s="9" t="n">
        <f aca="false">(parametros_manuales!$D$28*(datos_base!$J$2+datos_base!$J$18+IF(parametros_manuales!$H$28="Todos",datos_base!$J$9+datos_base!$J$23,0))*parametros_manuales!$E$95+parametros_manuales!$E$28*(datos_base!$J$3+datos_base!$J$19+IF(parametros_manuales!$H$28="Todos",datos_base!$J$10+datos_base!$J$24,0))*parametros_manuales!$E$100+parametros_manuales!$F$28*(datos_base!$J$4+datos_base!$J$20+IF(parametros_manuales!$H$28="Todos",datos_base!$J$11+datos_base!$J$25,0))*parametros_manuales!$E$105+parametros_manuales!$G$28*(datos_base!$J$5+datos_base!$J$21+IF(parametros_manuales!$H$28="Todos",datos_base!$J$12+datos_base!$J$26,0))*parametros_manuales!$E$110)*parametros_manuales!$I$28*parametros_manuales!$J$28</f>
        <v>19177.063382495</v>
      </c>
      <c r="F227" s="9" t="n">
        <f aca="false">(parametros_manuales!$D$28*(datos_base!$J$2+datos_base!$J$18+IF(parametros_manuales!$H$28="Todos",datos_base!$J$9+datos_base!$J$23,0))*parametros_manuales!$F$95+parametros_manuales!$E$28*(datos_base!$J$3+datos_base!$J$19+IF(parametros_manuales!$H$28="Todos",datos_base!$J$10+datos_base!$J$24,0))*parametros_manuales!$F$100+parametros_manuales!$F$28*(datos_base!$J$4+datos_base!$J$20+IF(parametros_manuales!$H$28="Todos",datos_base!$J$11+datos_base!$J$25,0))*parametros_manuales!$F$105+parametros_manuales!$G$28*(datos_base!$J$5+datos_base!$J$21+IF(parametros_manuales!$H$28="Todos",datos_base!$J$12+datos_base!$J$26,0))*parametros_manuales!$F$110)*parametros_manuales!$I$28*parametros_manuales!$J$28</f>
        <v>17945.82839756</v>
      </c>
      <c r="G227" s="9" t="n">
        <f aca="false">(parametros_manuales!$D$28*(datos_base!$J$2+datos_base!$J$18+IF(parametros_manuales!$H$28="Todos",datos_base!$J$9+datos_base!$J$23,0))*parametros_manuales!$G$95+parametros_manuales!$E$28*(datos_base!$J$3+datos_base!$J$19+IF(parametros_manuales!$H$28="Todos",datos_base!$J$10+datos_base!$J$24,0))*parametros_manuales!$G$100+parametros_manuales!$F$28*(datos_base!$J$4+datos_base!$J$20+IF(parametros_manuales!$H$28="Todos",datos_base!$J$11+datos_base!$J$25,0))*parametros_manuales!$G$105+parametros_manuales!$G$28*(datos_base!$J$5+datos_base!$J$21+IF(parametros_manuales!$H$28="Todos",datos_base!$J$12+datos_base!$J$26,0))*parametros_manuales!$G$110)*parametros_manuales!$I$28*parametros_manuales!$J$28</f>
        <v>17591.559093325</v>
      </c>
      <c r="H227" s="9" t="n">
        <f aca="false">(parametros_manuales!$D$28*(datos_base!$J$2+datos_base!$J$18+IF(parametros_manuales!$H$28="Todos",datos_base!$J$9+datos_base!$J$23,0))*parametros_manuales!$H$95+parametros_manuales!$E$28*(datos_base!$J$3+datos_base!$J$19+IF(parametros_manuales!$H$28="Todos",datos_base!$J$10+datos_base!$J$24,0))*parametros_manuales!$H$100+parametros_manuales!$F$28*(datos_base!$J$4+datos_base!$J$20+IF(parametros_manuales!$H$28="Todos",datos_base!$J$11+datos_base!$J$25,0))*parametros_manuales!$H$105+parametros_manuales!$G$28*(datos_base!$J$5+datos_base!$J$21+IF(parametros_manuales!$H$28="Todos",datos_base!$J$12+datos_base!$J$26,0))*parametros_manuales!$H$110)*parametros_manuales!$I$28*parametros_manuales!$J$28</f>
        <v>18822.79407826</v>
      </c>
      <c r="I227" s="9" t="n">
        <f aca="false">(parametros_manuales!$D$28*(datos_base!$J$2+datos_base!$J$18+IF(parametros_manuales!$H$28="Todos",datos_base!$J$9+datos_base!$J$23,0))*parametros_manuales!$I$95+parametros_manuales!$E$28*(datos_base!$J$3+datos_base!$J$19+IF(parametros_manuales!$H$28="Todos",datos_base!$J$10+datos_base!$J$24,0))*parametros_manuales!$I$100+parametros_manuales!$F$28*(datos_base!$J$4+datos_base!$J$20+IF(parametros_manuales!$H$28="Todos",datos_base!$J$11+datos_base!$J$25,0))*parametros_manuales!$I$105+parametros_manuales!$G$28*(datos_base!$J$5+datos_base!$J$21+IF(parametros_manuales!$H$28="Todos",datos_base!$J$12+datos_base!$J$26,0))*parametros_manuales!$I$110)*parametros_manuales!$I$28*parametros_manuales!$J$28</f>
        <v>21453.69112036</v>
      </c>
      <c r="J227" s="9" t="n">
        <f aca="false">(parametros_manuales!$D$28*(datos_base!$J$2+datos_base!$J$18+IF(parametros_manuales!$H$28="Todos",datos_base!$J$9+datos_base!$J$23,0))*parametros_manuales!$J$95+parametros_manuales!$E$28*(datos_base!$J$3+datos_base!$J$19+IF(parametros_manuales!$H$28="Todos",datos_base!$J$10+datos_base!$J$24,0))*parametros_manuales!$J$100+parametros_manuales!$F$28*(datos_base!$J$4+datos_base!$J$20+IF(parametros_manuales!$H$28="Todos",datos_base!$J$11+datos_base!$J$25,0))*parametros_manuales!$J$105+parametros_manuales!$G$28*(datos_base!$J$5+datos_base!$J$21+IF(parametros_manuales!$H$28="Todos",datos_base!$J$12+datos_base!$J$26,0))*parametros_manuales!$J$110)*parametros_manuales!$I$28*parametros_manuales!$J$28</f>
        <v>21453.69112036</v>
      </c>
      <c r="K227" s="9" t="n">
        <f aca="false">(parametros_manuales!$D$28*(datos_base!$J$2+datos_base!$J$18+IF(parametros_manuales!$H$28="Todos",datos_base!$J$9+datos_base!$J$23,0))*parametros_manuales!$K$95+parametros_manuales!$E$28*(datos_base!$J$3+datos_base!$J$19+IF(parametros_manuales!$H$28="Todos",datos_base!$J$10+datos_base!$J$24,0))*parametros_manuales!$K$100+parametros_manuales!$F$28*(datos_base!$J$4+datos_base!$J$20+IF(parametros_manuales!$H$28="Todos",datos_base!$J$11+datos_base!$J$25,0))*parametros_manuales!$K$105+parametros_manuales!$G$28*(datos_base!$J$5+datos_base!$J$21+IF(parametros_manuales!$H$28="Todos",datos_base!$J$12+datos_base!$J$26,0))*parametros_manuales!$K$110)*parametros_manuales!$I$28*parametros_manuales!$J$28</f>
        <v>21807.960424595</v>
      </c>
      <c r="L227" s="9" t="n">
        <f aca="false">(parametros_manuales!$D$28*(datos_base!$J$2+datos_base!$J$18+IF(parametros_manuales!$H$28="Todos",datos_base!$J$9+datos_base!$J$23,0))*parametros_manuales!$L$95+parametros_manuales!$E$28*(datos_base!$J$3+datos_base!$J$19+IF(parametros_manuales!$H$28="Todos",datos_base!$J$10+datos_base!$J$24,0))*parametros_manuales!$L$100+parametros_manuales!$F$28*(datos_base!$J$4+datos_base!$J$20+IF(parametros_manuales!$H$28="Todos",datos_base!$J$11+datos_base!$J$25,0))*parametros_manuales!$L$105+parametros_manuales!$G$28*(datos_base!$J$5+datos_base!$J$21+IF(parametros_manuales!$H$28="Todos",datos_base!$J$12+datos_base!$J$26,0))*parametros_manuales!$L$110)*parametros_manuales!$I$28*parametros_manuales!$J$28</f>
        <v>22162.22972883</v>
      </c>
      <c r="M227" s="9" t="n">
        <f aca="false">(parametros_manuales!$D$28*(datos_base!$J$2+datos_base!$J$18+IF(parametros_manuales!$H$28="Todos",datos_base!$J$9+datos_base!$J$23,0))*parametros_manuales!$M$95+parametros_manuales!$E$28*(datos_base!$J$3+datos_base!$J$19+IF(parametros_manuales!$H$28="Todos",datos_base!$J$10+datos_base!$J$24,0))*parametros_manuales!$M$100+parametros_manuales!$F$28*(datos_base!$J$4+datos_base!$J$20+IF(parametros_manuales!$H$28="Todos",datos_base!$J$11+datos_base!$J$25,0))*parametros_manuales!$M$105+parametros_manuales!$G$28*(datos_base!$J$5+datos_base!$J$21+IF(parametros_manuales!$H$28="Todos",datos_base!$J$12+datos_base!$J$26,0))*parametros_manuales!$M$110)*parametros_manuales!$I$28*parametros_manuales!$J$28</f>
        <v>22162.22972883</v>
      </c>
      <c r="N227" s="9" t="n">
        <f aca="false">SUM(B227:M227)</f>
        <v>246246.996987</v>
      </c>
      <c r="O227" s="9" t="n">
        <f aca="false">MAX(B227:M227)</f>
        <v>22162.22972883</v>
      </c>
      <c r="P227" s="43" t="n">
        <f aca="false">O227/(parametros_manuales!$B$7)</f>
        <v>147.7481981922</v>
      </c>
      <c r="Q227" s="8" t="str">
        <f aca="false">IF(O227=0,"-",INDEX($B$217:$M$217,MATCH(O227,B227:M227,0)))</f>
        <v>Ene</v>
      </c>
    </row>
    <row r="228" customFormat="false" ht="14.25" hidden="false" customHeight="true" outlineLevel="0" collapsed="false">
      <c r="A228" s="8" t="str">
        <f aca="false">parametros_manuales!$B$29</f>
        <v>Bordoneado</v>
      </c>
      <c r="B228" s="9" t="n">
        <f aca="false">(parametros_manuales!$D$29*(datos_base!$J$2+datos_base!$J$18+IF(parametros_manuales!$H$29="Todos",datos_base!$J$9+datos_base!$J$23,0))*parametros_manuales!$B$95+parametros_manuales!$E$29*(datos_base!$J$3+datos_base!$J$19+IF(parametros_manuales!$H$29="Todos",datos_base!$J$10+datos_base!$J$24,0))*parametros_manuales!$B$100+parametros_manuales!$F$29*(datos_base!$J$4+datos_base!$J$20+IF(parametros_manuales!$H$29="Todos",datos_base!$J$11+datos_base!$J$25,0))*parametros_manuales!$B$105+parametros_manuales!$G$29*(datos_base!$J$5+datos_base!$J$21+IF(parametros_manuales!$H$29="Todos",datos_base!$J$12+datos_base!$J$26,0))*parametros_manuales!$B$110)*parametros_manuales!$I$29*parametros_manuales!$J$29</f>
        <v>22162.22972883</v>
      </c>
      <c r="C228" s="9" t="n">
        <f aca="false">(parametros_manuales!$D$29*(datos_base!$J$2+datos_base!$J$18+IF(parametros_manuales!$H$29="Todos",datos_base!$J$9+datos_base!$J$23,0))*parametros_manuales!$C$95+parametros_manuales!$E$29*(datos_base!$J$3+datos_base!$J$19+IF(parametros_manuales!$H$29="Todos",datos_base!$J$10+datos_base!$J$24,0))*parametros_manuales!$C$100+parametros_manuales!$F$29*(datos_base!$J$4+datos_base!$J$20+IF(parametros_manuales!$H$29="Todos",datos_base!$J$11+datos_base!$J$25,0))*parametros_manuales!$C$105+parametros_manuales!$G$29*(datos_base!$J$5+datos_base!$J$21+IF(parametros_manuales!$H$29="Todos",datos_base!$J$12+datos_base!$J$26,0))*parametros_manuales!$C$110)*parametros_manuales!$I$29*parametros_manuales!$J$29</f>
        <v>21453.69112036</v>
      </c>
      <c r="D228" s="9" t="n">
        <f aca="false">(parametros_manuales!$D$29*(datos_base!$J$2+datos_base!$J$18+IF(parametros_manuales!$H$29="Todos",datos_base!$J$9+datos_base!$J$23,0))*parametros_manuales!$D$95+parametros_manuales!$E$29*(datos_base!$J$3+datos_base!$J$19+IF(parametros_manuales!$H$29="Todos",datos_base!$J$10+datos_base!$J$24,0))*parametros_manuales!$D$100+parametros_manuales!$F$29*(datos_base!$J$4+datos_base!$J$20+IF(parametros_manuales!$H$29="Todos",datos_base!$J$11+datos_base!$J$25,0))*parametros_manuales!$D$105+parametros_manuales!$G$29*(datos_base!$J$5+datos_base!$J$21+IF(parametros_manuales!$H$29="Todos",datos_base!$J$12+datos_base!$J$26,0))*parametros_manuales!$D$110)*parametros_manuales!$I$29*parametros_manuales!$J$29</f>
        <v>20054.029063195</v>
      </c>
      <c r="E228" s="9" t="n">
        <f aca="false">(parametros_manuales!$D$29*(datos_base!$J$2+datos_base!$J$18+IF(parametros_manuales!$H$29="Todos",datos_base!$J$9+datos_base!$J$23,0))*parametros_manuales!$E$95+parametros_manuales!$E$29*(datos_base!$J$3+datos_base!$J$19+IF(parametros_manuales!$H$29="Todos",datos_base!$J$10+datos_base!$J$24,0))*parametros_manuales!$E$100+parametros_manuales!$F$29*(datos_base!$J$4+datos_base!$J$20+IF(parametros_manuales!$H$29="Todos",datos_base!$J$11+datos_base!$J$25,0))*parametros_manuales!$E$105+parametros_manuales!$G$29*(datos_base!$J$5+datos_base!$J$21+IF(parametros_manuales!$H$29="Todos",datos_base!$J$12+datos_base!$J$26,0))*parametros_manuales!$E$110)*parametros_manuales!$I$29*parametros_manuales!$J$29</f>
        <v>19177.063382495</v>
      </c>
      <c r="F228" s="9" t="n">
        <f aca="false">(parametros_manuales!$D$29*(datos_base!$J$2+datos_base!$J$18+IF(parametros_manuales!$H$29="Todos",datos_base!$J$9+datos_base!$J$23,0))*parametros_manuales!$F$95+parametros_manuales!$E$29*(datos_base!$J$3+datos_base!$J$19+IF(parametros_manuales!$H$29="Todos",datos_base!$J$10+datos_base!$J$24,0))*parametros_manuales!$F$100+parametros_manuales!$F$29*(datos_base!$J$4+datos_base!$J$20+IF(parametros_manuales!$H$29="Todos",datos_base!$J$11+datos_base!$J$25,0))*parametros_manuales!$F$105+parametros_manuales!$G$29*(datos_base!$J$5+datos_base!$J$21+IF(parametros_manuales!$H$29="Todos",datos_base!$J$12+datos_base!$J$26,0))*parametros_manuales!$F$110)*parametros_manuales!$I$29*parametros_manuales!$J$29</f>
        <v>17945.82839756</v>
      </c>
      <c r="G228" s="9" t="n">
        <f aca="false">(parametros_manuales!$D$29*(datos_base!$J$2+datos_base!$J$18+IF(parametros_manuales!$H$29="Todos",datos_base!$J$9+datos_base!$J$23,0))*parametros_manuales!$G$95+parametros_manuales!$E$29*(datos_base!$J$3+datos_base!$J$19+IF(parametros_manuales!$H$29="Todos",datos_base!$J$10+datos_base!$J$24,0))*parametros_manuales!$G$100+parametros_manuales!$F$29*(datos_base!$J$4+datos_base!$J$20+IF(parametros_manuales!$H$29="Todos",datos_base!$J$11+datos_base!$J$25,0))*parametros_manuales!$G$105+parametros_manuales!$G$29*(datos_base!$J$5+datos_base!$J$21+IF(parametros_manuales!$H$29="Todos",datos_base!$J$12+datos_base!$J$26,0))*parametros_manuales!$G$110)*parametros_manuales!$I$29*parametros_manuales!$J$29</f>
        <v>17591.559093325</v>
      </c>
      <c r="H228" s="9" t="n">
        <f aca="false">(parametros_manuales!$D$29*(datos_base!$J$2+datos_base!$J$18+IF(parametros_manuales!$H$29="Todos",datos_base!$J$9+datos_base!$J$23,0))*parametros_manuales!$H$95+parametros_manuales!$E$29*(datos_base!$J$3+datos_base!$J$19+IF(parametros_manuales!$H$29="Todos",datos_base!$J$10+datos_base!$J$24,0))*parametros_manuales!$H$100+parametros_manuales!$F$29*(datos_base!$J$4+datos_base!$J$20+IF(parametros_manuales!$H$29="Todos",datos_base!$J$11+datos_base!$J$25,0))*parametros_manuales!$H$105+parametros_manuales!$G$29*(datos_base!$J$5+datos_base!$J$21+IF(parametros_manuales!$H$29="Todos",datos_base!$J$12+datos_base!$J$26,0))*parametros_manuales!$H$110)*parametros_manuales!$I$29*parametros_manuales!$J$29</f>
        <v>18822.79407826</v>
      </c>
      <c r="I228" s="9" t="n">
        <f aca="false">(parametros_manuales!$D$29*(datos_base!$J$2+datos_base!$J$18+IF(parametros_manuales!$H$29="Todos",datos_base!$J$9+datos_base!$J$23,0))*parametros_manuales!$I$95+parametros_manuales!$E$29*(datos_base!$J$3+datos_base!$J$19+IF(parametros_manuales!$H$29="Todos",datos_base!$J$10+datos_base!$J$24,0))*parametros_manuales!$I$100+parametros_manuales!$F$29*(datos_base!$J$4+datos_base!$J$20+IF(parametros_manuales!$H$29="Todos",datos_base!$J$11+datos_base!$J$25,0))*parametros_manuales!$I$105+parametros_manuales!$G$29*(datos_base!$J$5+datos_base!$J$21+IF(parametros_manuales!$H$29="Todos",datos_base!$J$12+datos_base!$J$26,0))*parametros_manuales!$I$110)*parametros_manuales!$I$29*parametros_manuales!$J$29</f>
        <v>21453.69112036</v>
      </c>
      <c r="J228" s="9" t="n">
        <f aca="false">(parametros_manuales!$D$29*(datos_base!$J$2+datos_base!$J$18+IF(parametros_manuales!$H$29="Todos",datos_base!$J$9+datos_base!$J$23,0))*parametros_manuales!$J$95+parametros_manuales!$E$29*(datos_base!$J$3+datos_base!$J$19+IF(parametros_manuales!$H$29="Todos",datos_base!$J$10+datos_base!$J$24,0))*parametros_manuales!$J$100+parametros_manuales!$F$29*(datos_base!$J$4+datos_base!$J$20+IF(parametros_manuales!$H$29="Todos",datos_base!$J$11+datos_base!$J$25,0))*parametros_manuales!$J$105+parametros_manuales!$G$29*(datos_base!$J$5+datos_base!$J$21+IF(parametros_manuales!$H$29="Todos",datos_base!$J$12+datos_base!$J$26,0))*parametros_manuales!$J$110)*parametros_manuales!$I$29*parametros_manuales!$J$29</f>
        <v>21453.69112036</v>
      </c>
      <c r="K228" s="9" t="n">
        <f aca="false">(parametros_manuales!$D$29*(datos_base!$J$2+datos_base!$J$18+IF(parametros_manuales!$H$29="Todos",datos_base!$J$9+datos_base!$J$23,0))*parametros_manuales!$K$95+parametros_manuales!$E$29*(datos_base!$J$3+datos_base!$J$19+IF(parametros_manuales!$H$29="Todos",datos_base!$J$10+datos_base!$J$24,0))*parametros_manuales!$K$100+parametros_manuales!$F$29*(datos_base!$J$4+datos_base!$J$20+IF(parametros_manuales!$H$29="Todos",datos_base!$J$11+datos_base!$J$25,0))*parametros_manuales!$K$105+parametros_manuales!$G$29*(datos_base!$J$5+datos_base!$J$21+IF(parametros_manuales!$H$29="Todos",datos_base!$J$12+datos_base!$J$26,0))*parametros_manuales!$K$110)*parametros_manuales!$I$29*parametros_manuales!$J$29</f>
        <v>21807.960424595</v>
      </c>
      <c r="L228" s="9" t="n">
        <f aca="false">(parametros_manuales!$D$29*(datos_base!$J$2+datos_base!$J$18+IF(parametros_manuales!$H$29="Todos",datos_base!$J$9+datos_base!$J$23,0))*parametros_manuales!$L$95+parametros_manuales!$E$29*(datos_base!$J$3+datos_base!$J$19+IF(parametros_manuales!$H$29="Todos",datos_base!$J$10+datos_base!$J$24,0))*parametros_manuales!$L$100+parametros_manuales!$F$29*(datos_base!$J$4+datos_base!$J$20+IF(parametros_manuales!$H$29="Todos",datos_base!$J$11+datos_base!$J$25,0))*parametros_manuales!$L$105+parametros_manuales!$G$29*(datos_base!$J$5+datos_base!$J$21+IF(parametros_manuales!$H$29="Todos",datos_base!$J$12+datos_base!$J$26,0))*parametros_manuales!$L$110)*parametros_manuales!$I$29*parametros_manuales!$J$29</f>
        <v>22162.22972883</v>
      </c>
      <c r="M228" s="9" t="n">
        <f aca="false">(parametros_manuales!$D$29*(datos_base!$J$2+datos_base!$J$18+IF(parametros_manuales!$H$29="Todos",datos_base!$J$9+datos_base!$J$23,0))*parametros_manuales!$M$95+parametros_manuales!$E$29*(datos_base!$J$3+datos_base!$J$19+IF(parametros_manuales!$H$29="Todos",datos_base!$J$10+datos_base!$J$24,0))*parametros_manuales!$M$100+parametros_manuales!$F$29*(datos_base!$J$4+datos_base!$J$20+IF(parametros_manuales!$H$29="Todos",datos_base!$J$11+datos_base!$J$25,0))*parametros_manuales!$M$105+parametros_manuales!$G$29*(datos_base!$J$5+datos_base!$J$21+IF(parametros_manuales!$H$29="Todos",datos_base!$J$12+datos_base!$J$26,0))*parametros_manuales!$M$110)*parametros_manuales!$I$29*parametros_manuales!$J$29</f>
        <v>22162.22972883</v>
      </c>
      <c r="N228" s="9" t="n">
        <f aca="false">SUM(B228:M228)</f>
        <v>246246.996987</v>
      </c>
      <c r="O228" s="9" t="n">
        <f aca="false">MAX(B228:M228)</f>
        <v>22162.22972883</v>
      </c>
      <c r="P228" s="43" t="n">
        <f aca="false">O228/(parametros_manuales!$B$7)</f>
        <v>147.7481981922</v>
      </c>
      <c r="Q228" s="8" t="str">
        <f aca="false">IF(O228=0,"-",INDEX($B$217:$M$217,MATCH(O228,B228:M228,0)))</f>
        <v>Ene</v>
      </c>
    </row>
    <row r="229" customFormat="false" ht="14.25" hidden="false" customHeight="true" outlineLevel="0" collapsed="false">
      <c r="A229" s="8" t="str">
        <f aca="false">parametros_manuales!$B$30</f>
        <v>Soldadura circunferencial de cúpula y fondo</v>
      </c>
      <c r="B229" s="9" t="n">
        <f aca="false">(parametros_manuales!$D$30*(datos_base!$J$2+datos_base!$J$18+IF(parametros_manuales!$H$30="Todos",datos_base!$J$9+datos_base!$J$23,0))*parametros_manuales!$B$95+parametros_manuales!$E$30*(datos_base!$J$3+datos_base!$J$19+IF(parametros_manuales!$H$30="Todos",datos_base!$J$10+datos_base!$J$24,0))*parametros_manuales!$B$100+parametros_manuales!$F$30*(datos_base!$J$4+datos_base!$J$20+IF(parametros_manuales!$H$30="Todos",datos_base!$J$11+datos_base!$J$25,0))*parametros_manuales!$B$105+parametros_manuales!$G$30*(datos_base!$J$5+datos_base!$J$21+IF(parametros_manuales!$H$30="Todos",datos_base!$J$12+datos_base!$J$26,0))*parametros_manuales!$B$110)*parametros_manuales!$I$30*parametros_manuales!$J$30</f>
        <v>22162.22972883</v>
      </c>
      <c r="C229" s="9" t="n">
        <f aca="false">(parametros_manuales!$D$30*(datos_base!$J$2+datos_base!$J$18+IF(parametros_manuales!$H$30="Todos",datos_base!$J$9+datos_base!$J$23,0))*parametros_manuales!$C$95+parametros_manuales!$E$30*(datos_base!$J$3+datos_base!$J$19+IF(parametros_manuales!$H$30="Todos",datos_base!$J$10+datos_base!$J$24,0))*parametros_manuales!$C$100+parametros_manuales!$F$30*(datos_base!$J$4+datos_base!$J$20+IF(parametros_manuales!$H$30="Todos",datos_base!$J$11+datos_base!$J$25,0))*parametros_manuales!$C$105+parametros_manuales!$G$30*(datos_base!$J$5+datos_base!$J$21+IF(parametros_manuales!$H$30="Todos",datos_base!$J$12+datos_base!$J$26,0))*parametros_manuales!$C$110)*parametros_manuales!$I$30*parametros_manuales!$J$30</f>
        <v>21453.69112036</v>
      </c>
      <c r="D229" s="9" t="n">
        <f aca="false">(parametros_manuales!$D$30*(datos_base!$J$2+datos_base!$J$18+IF(parametros_manuales!$H$30="Todos",datos_base!$J$9+datos_base!$J$23,0))*parametros_manuales!$D$95+parametros_manuales!$E$30*(datos_base!$J$3+datos_base!$J$19+IF(parametros_manuales!$H$30="Todos",datos_base!$J$10+datos_base!$J$24,0))*parametros_manuales!$D$100+parametros_manuales!$F$30*(datos_base!$J$4+datos_base!$J$20+IF(parametros_manuales!$H$30="Todos",datos_base!$J$11+datos_base!$J$25,0))*parametros_manuales!$D$105+parametros_manuales!$G$30*(datos_base!$J$5+datos_base!$J$21+IF(parametros_manuales!$H$30="Todos",datos_base!$J$12+datos_base!$J$26,0))*parametros_manuales!$D$110)*parametros_manuales!$I$30*parametros_manuales!$J$30</f>
        <v>20054.029063195</v>
      </c>
      <c r="E229" s="9" t="n">
        <f aca="false">(parametros_manuales!$D$30*(datos_base!$J$2+datos_base!$J$18+IF(parametros_manuales!$H$30="Todos",datos_base!$J$9+datos_base!$J$23,0))*parametros_manuales!$E$95+parametros_manuales!$E$30*(datos_base!$J$3+datos_base!$J$19+IF(parametros_manuales!$H$30="Todos",datos_base!$J$10+datos_base!$J$24,0))*parametros_manuales!$E$100+parametros_manuales!$F$30*(datos_base!$J$4+datos_base!$J$20+IF(parametros_manuales!$H$30="Todos",datos_base!$J$11+datos_base!$J$25,0))*parametros_manuales!$E$105+parametros_manuales!$G$30*(datos_base!$J$5+datos_base!$J$21+IF(parametros_manuales!$H$30="Todos",datos_base!$J$12+datos_base!$J$26,0))*parametros_manuales!$E$110)*parametros_manuales!$I$30*parametros_manuales!$J$30</f>
        <v>19177.063382495</v>
      </c>
      <c r="F229" s="9" t="n">
        <f aca="false">(parametros_manuales!$D$30*(datos_base!$J$2+datos_base!$J$18+IF(parametros_manuales!$H$30="Todos",datos_base!$J$9+datos_base!$J$23,0))*parametros_manuales!$F$95+parametros_manuales!$E$30*(datos_base!$J$3+datos_base!$J$19+IF(parametros_manuales!$H$30="Todos",datos_base!$J$10+datos_base!$J$24,0))*parametros_manuales!$F$100+parametros_manuales!$F$30*(datos_base!$J$4+datos_base!$J$20+IF(parametros_manuales!$H$30="Todos",datos_base!$J$11+datos_base!$J$25,0))*parametros_manuales!$F$105+parametros_manuales!$G$30*(datos_base!$J$5+datos_base!$J$21+IF(parametros_manuales!$H$30="Todos",datos_base!$J$12+datos_base!$J$26,0))*parametros_manuales!$F$110)*parametros_manuales!$I$30*parametros_manuales!$J$30</f>
        <v>17945.82839756</v>
      </c>
      <c r="G229" s="9" t="n">
        <f aca="false">(parametros_manuales!$D$30*(datos_base!$J$2+datos_base!$J$18+IF(parametros_manuales!$H$30="Todos",datos_base!$J$9+datos_base!$J$23,0))*parametros_manuales!$G$95+parametros_manuales!$E$30*(datos_base!$J$3+datos_base!$J$19+IF(parametros_manuales!$H$30="Todos",datos_base!$J$10+datos_base!$J$24,0))*parametros_manuales!$G$100+parametros_manuales!$F$30*(datos_base!$J$4+datos_base!$J$20+IF(parametros_manuales!$H$30="Todos",datos_base!$J$11+datos_base!$J$25,0))*parametros_manuales!$G$105+parametros_manuales!$G$30*(datos_base!$J$5+datos_base!$J$21+IF(parametros_manuales!$H$30="Todos",datos_base!$J$12+datos_base!$J$26,0))*parametros_manuales!$G$110)*parametros_manuales!$I$30*parametros_manuales!$J$30</f>
        <v>17591.559093325</v>
      </c>
      <c r="H229" s="9" t="n">
        <f aca="false">(parametros_manuales!$D$30*(datos_base!$J$2+datos_base!$J$18+IF(parametros_manuales!$H$30="Todos",datos_base!$J$9+datos_base!$J$23,0))*parametros_manuales!$H$95+parametros_manuales!$E$30*(datos_base!$J$3+datos_base!$J$19+IF(parametros_manuales!$H$30="Todos",datos_base!$J$10+datos_base!$J$24,0))*parametros_manuales!$H$100+parametros_manuales!$F$30*(datos_base!$J$4+datos_base!$J$20+IF(parametros_manuales!$H$30="Todos",datos_base!$J$11+datos_base!$J$25,0))*parametros_manuales!$H$105+parametros_manuales!$G$30*(datos_base!$J$5+datos_base!$J$21+IF(parametros_manuales!$H$30="Todos",datos_base!$J$12+datos_base!$J$26,0))*parametros_manuales!$H$110)*parametros_manuales!$I$30*parametros_manuales!$J$30</f>
        <v>18822.79407826</v>
      </c>
      <c r="I229" s="9" t="n">
        <f aca="false">(parametros_manuales!$D$30*(datos_base!$J$2+datos_base!$J$18+IF(parametros_manuales!$H$30="Todos",datos_base!$J$9+datos_base!$J$23,0))*parametros_manuales!$I$95+parametros_manuales!$E$30*(datos_base!$J$3+datos_base!$J$19+IF(parametros_manuales!$H$30="Todos",datos_base!$J$10+datos_base!$J$24,0))*parametros_manuales!$I$100+parametros_manuales!$F$30*(datos_base!$J$4+datos_base!$J$20+IF(parametros_manuales!$H$30="Todos",datos_base!$J$11+datos_base!$J$25,0))*parametros_manuales!$I$105+parametros_manuales!$G$30*(datos_base!$J$5+datos_base!$J$21+IF(parametros_manuales!$H$30="Todos",datos_base!$J$12+datos_base!$J$26,0))*parametros_manuales!$I$110)*parametros_manuales!$I$30*parametros_manuales!$J$30</f>
        <v>21453.69112036</v>
      </c>
      <c r="J229" s="9" t="n">
        <f aca="false">(parametros_manuales!$D$30*(datos_base!$J$2+datos_base!$J$18+IF(parametros_manuales!$H$30="Todos",datos_base!$J$9+datos_base!$J$23,0))*parametros_manuales!$J$95+parametros_manuales!$E$30*(datos_base!$J$3+datos_base!$J$19+IF(parametros_manuales!$H$30="Todos",datos_base!$J$10+datos_base!$J$24,0))*parametros_manuales!$J$100+parametros_manuales!$F$30*(datos_base!$J$4+datos_base!$J$20+IF(parametros_manuales!$H$30="Todos",datos_base!$J$11+datos_base!$J$25,0))*parametros_manuales!$J$105+parametros_manuales!$G$30*(datos_base!$J$5+datos_base!$J$21+IF(parametros_manuales!$H$30="Todos",datos_base!$J$12+datos_base!$J$26,0))*parametros_manuales!$J$110)*parametros_manuales!$I$30*parametros_manuales!$J$30</f>
        <v>21453.69112036</v>
      </c>
      <c r="K229" s="9" t="n">
        <f aca="false">(parametros_manuales!$D$30*(datos_base!$J$2+datos_base!$J$18+IF(parametros_manuales!$H$30="Todos",datos_base!$J$9+datos_base!$J$23,0))*parametros_manuales!$K$95+parametros_manuales!$E$30*(datos_base!$J$3+datos_base!$J$19+IF(parametros_manuales!$H$30="Todos",datos_base!$J$10+datos_base!$J$24,0))*parametros_manuales!$K$100+parametros_manuales!$F$30*(datos_base!$J$4+datos_base!$J$20+IF(parametros_manuales!$H$30="Todos",datos_base!$J$11+datos_base!$J$25,0))*parametros_manuales!$K$105+parametros_manuales!$G$30*(datos_base!$J$5+datos_base!$J$21+IF(parametros_manuales!$H$30="Todos",datos_base!$J$12+datos_base!$J$26,0))*parametros_manuales!$K$110)*parametros_manuales!$I$30*parametros_manuales!$J$30</f>
        <v>21807.960424595</v>
      </c>
      <c r="L229" s="9" t="n">
        <f aca="false">(parametros_manuales!$D$30*(datos_base!$J$2+datos_base!$J$18+IF(parametros_manuales!$H$30="Todos",datos_base!$J$9+datos_base!$J$23,0))*parametros_manuales!$L$95+parametros_manuales!$E$30*(datos_base!$J$3+datos_base!$J$19+IF(parametros_manuales!$H$30="Todos",datos_base!$J$10+datos_base!$J$24,0))*parametros_manuales!$L$100+parametros_manuales!$F$30*(datos_base!$J$4+datos_base!$J$20+IF(parametros_manuales!$H$30="Todos",datos_base!$J$11+datos_base!$J$25,0))*parametros_manuales!$L$105+parametros_manuales!$G$30*(datos_base!$J$5+datos_base!$J$21+IF(parametros_manuales!$H$30="Todos",datos_base!$J$12+datos_base!$J$26,0))*parametros_manuales!$L$110)*parametros_manuales!$I$30*parametros_manuales!$J$30</f>
        <v>22162.22972883</v>
      </c>
      <c r="M229" s="9" t="n">
        <f aca="false">(parametros_manuales!$D$30*(datos_base!$J$2+datos_base!$J$18+IF(parametros_manuales!$H$30="Todos",datos_base!$J$9+datos_base!$J$23,0))*parametros_manuales!$M$95+parametros_manuales!$E$30*(datos_base!$J$3+datos_base!$J$19+IF(parametros_manuales!$H$30="Todos",datos_base!$J$10+datos_base!$J$24,0))*parametros_manuales!$M$100+parametros_manuales!$F$30*(datos_base!$J$4+datos_base!$J$20+IF(parametros_manuales!$H$30="Todos",datos_base!$J$11+datos_base!$J$25,0))*parametros_manuales!$M$105+parametros_manuales!$G$30*(datos_base!$J$5+datos_base!$J$21+IF(parametros_manuales!$H$30="Todos",datos_base!$J$12+datos_base!$J$26,0))*parametros_manuales!$M$110)*parametros_manuales!$I$30*parametros_manuales!$J$30</f>
        <v>22162.22972883</v>
      </c>
      <c r="N229" s="9" t="n">
        <f aca="false">SUM(B229:M229)</f>
        <v>246246.996987</v>
      </c>
      <c r="O229" s="9" t="n">
        <f aca="false">MAX(B229:M229)</f>
        <v>22162.22972883</v>
      </c>
      <c r="P229" s="43" t="n">
        <f aca="false">O229/(parametros_manuales!$B$7)</f>
        <v>147.7481981922</v>
      </c>
      <c r="Q229" s="8" t="str">
        <f aca="false">IF(O229=0,"-",INDEX($B$217:$M$217,MATCH(O229,B229:M229,0)))</f>
        <v>Ene</v>
      </c>
    </row>
    <row r="230" customFormat="false" ht="14.25" hidden="false" customHeight="true" outlineLevel="0" collapsed="false">
      <c r="A230" s="8" t="str">
        <f aca="false">parametros_manuales!$B$31</f>
        <v>Control de calidad — Espesor</v>
      </c>
      <c r="B230" s="9" t="n">
        <f aca="false">(parametros_manuales!$D$31*(datos_base!$J$2+datos_base!$J$18+IF(parametros_manuales!$H$31="Todos",datos_base!$J$9+datos_base!$J$23,0))*parametros_manuales!$B$95+parametros_manuales!$E$31*(datos_base!$J$3+datos_base!$J$19+IF(parametros_manuales!$H$31="Todos",datos_base!$J$10+datos_base!$J$24,0))*parametros_manuales!$B$100+parametros_manuales!$F$31*(datos_base!$J$4+datos_base!$J$20+IF(parametros_manuales!$H$31="Todos",datos_base!$J$11+datos_base!$J$25,0))*parametros_manuales!$B$105+parametros_manuales!$G$31*(datos_base!$J$5+datos_base!$J$21+IF(parametros_manuales!$H$31="Todos",datos_base!$J$12+datos_base!$J$26,0))*parametros_manuales!$B$110)*parametros_manuales!$I$31*parametros_manuales!$J$31</f>
        <v>443.2445945766</v>
      </c>
      <c r="C230" s="9" t="n">
        <f aca="false">(parametros_manuales!$D$31*(datos_base!$J$2+datos_base!$J$18+IF(parametros_manuales!$H$31="Todos",datos_base!$J$9+datos_base!$J$23,0))*parametros_manuales!$C$95+parametros_manuales!$E$31*(datos_base!$J$3+datos_base!$J$19+IF(parametros_manuales!$H$31="Todos",datos_base!$J$10+datos_base!$J$24,0))*parametros_manuales!$C$100+parametros_manuales!$F$31*(datos_base!$J$4+datos_base!$J$20+IF(parametros_manuales!$H$31="Todos",datos_base!$J$11+datos_base!$J$25,0))*parametros_manuales!$C$105+parametros_manuales!$G$31*(datos_base!$J$5+datos_base!$J$21+IF(parametros_manuales!$H$31="Todos",datos_base!$J$12+datos_base!$J$26,0))*parametros_manuales!$C$110)*parametros_manuales!$I$31*parametros_manuales!$J$31</f>
        <v>429.0738224072</v>
      </c>
      <c r="D230" s="9" t="n">
        <f aca="false">(parametros_manuales!$D$31*(datos_base!$J$2+datos_base!$J$18+IF(parametros_manuales!$H$31="Todos",datos_base!$J$9+datos_base!$J$23,0))*parametros_manuales!$D$95+parametros_manuales!$E$31*(datos_base!$J$3+datos_base!$J$19+IF(parametros_manuales!$H$31="Todos",datos_base!$J$10+datos_base!$J$24,0))*parametros_manuales!$D$100+parametros_manuales!$F$31*(datos_base!$J$4+datos_base!$J$20+IF(parametros_manuales!$H$31="Todos",datos_base!$J$11+datos_base!$J$25,0))*parametros_manuales!$D$105+parametros_manuales!$G$31*(datos_base!$J$5+datos_base!$J$21+IF(parametros_manuales!$H$31="Todos",datos_base!$J$12+datos_base!$J$26,0))*parametros_manuales!$D$110)*parametros_manuales!$I$31*parametros_manuales!$J$31</f>
        <v>401.0805812639</v>
      </c>
      <c r="E230" s="9" t="n">
        <f aca="false">(parametros_manuales!$D$31*(datos_base!$J$2+datos_base!$J$18+IF(parametros_manuales!$H$31="Todos",datos_base!$J$9+datos_base!$J$23,0))*parametros_manuales!$E$95+parametros_manuales!$E$31*(datos_base!$J$3+datos_base!$J$19+IF(parametros_manuales!$H$31="Todos",datos_base!$J$10+datos_base!$J$24,0))*parametros_manuales!$E$100+parametros_manuales!$F$31*(datos_base!$J$4+datos_base!$J$20+IF(parametros_manuales!$H$31="Todos",datos_base!$J$11+datos_base!$J$25,0))*parametros_manuales!$E$105+parametros_manuales!$G$31*(datos_base!$J$5+datos_base!$J$21+IF(parametros_manuales!$H$31="Todos",datos_base!$J$12+datos_base!$J$26,0))*parametros_manuales!$E$110)*parametros_manuales!$I$31*parametros_manuales!$J$31</f>
        <v>383.5412676499</v>
      </c>
      <c r="F230" s="9" t="n">
        <f aca="false">(parametros_manuales!$D$31*(datos_base!$J$2+datos_base!$J$18+IF(parametros_manuales!$H$31="Todos",datos_base!$J$9+datos_base!$J$23,0))*parametros_manuales!$F$95+parametros_manuales!$E$31*(datos_base!$J$3+datos_base!$J$19+IF(parametros_manuales!$H$31="Todos",datos_base!$J$10+datos_base!$J$24,0))*parametros_manuales!$F$100+parametros_manuales!$F$31*(datos_base!$J$4+datos_base!$J$20+IF(parametros_manuales!$H$31="Todos",datos_base!$J$11+datos_base!$J$25,0))*parametros_manuales!$F$105+parametros_manuales!$G$31*(datos_base!$J$5+datos_base!$J$21+IF(parametros_manuales!$H$31="Todos",datos_base!$J$12+datos_base!$J$26,0))*parametros_manuales!$F$110)*parametros_manuales!$I$31*parametros_manuales!$J$31</f>
        <v>358.9165679512</v>
      </c>
      <c r="G230" s="9" t="n">
        <f aca="false">(parametros_manuales!$D$31*(datos_base!$J$2+datos_base!$J$18+IF(parametros_manuales!$H$31="Todos",datos_base!$J$9+datos_base!$J$23,0))*parametros_manuales!$G$95+parametros_manuales!$E$31*(datos_base!$J$3+datos_base!$J$19+IF(parametros_manuales!$H$31="Todos",datos_base!$J$10+datos_base!$J$24,0))*parametros_manuales!$G$100+parametros_manuales!$F$31*(datos_base!$J$4+datos_base!$J$20+IF(parametros_manuales!$H$31="Todos",datos_base!$J$11+datos_base!$J$25,0))*parametros_manuales!$G$105+parametros_manuales!$G$31*(datos_base!$J$5+datos_base!$J$21+IF(parametros_manuales!$H$31="Todos",datos_base!$J$12+datos_base!$J$26,0))*parametros_manuales!$G$110)*parametros_manuales!$I$31*parametros_manuales!$J$31</f>
        <v>351.8311818665</v>
      </c>
      <c r="H230" s="9" t="n">
        <f aca="false">(parametros_manuales!$D$31*(datos_base!$J$2+datos_base!$J$18+IF(parametros_manuales!$H$31="Todos",datos_base!$J$9+datos_base!$J$23,0))*parametros_manuales!$H$95+parametros_manuales!$E$31*(datos_base!$J$3+datos_base!$J$19+IF(parametros_manuales!$H$31="Todos",datos_base!$J$10+datos_base!$J$24,0))*parametros_manuales!$H$100+parametros_manuales!$F$31*(datos_base!$J$4+datos_base!$J$20+IF(parametros_manuales!$H$31="Todos",datos_base!$J$11+datos_base!$J$25,0))*parametros_manuales!$H$105+parametros_manuales!$G$31*(datos_base!$J$5+datos_base!$J$21+IF(parametros_manuales!$H$31="Todos",datos_base!$J$12+datos_base!$J$26,0))*parametros_manuales!$H$110)*parametros_manuales!$I$31*parametros_manuales!$J$31</f>
        <v>376.4558815652</v>
      </c>
      <c r="I230" s="9" t="n">
        <f aca="false">(parametros_manuales!$D$31*(datos_base!$J$2+datos_base!$J$18+IF(parametros_manuales!$H$31="Todos",datos_base!$J$9+datos_base!$J$23,0))*parametros_manuales!$I$95+parametros_manuales!$E$31*(datos_base!$J$3+datos_base!$J$19+IF(parametros_manuales!$H$31="Todos",datos_base!$J$10+datos_base!$J$24,0))*parametros_manuales!$I$100+parametros_manuales!$F$31*(datos_base!$J$4+datos_base!$J$20+IF(parametros_manuales!$H$31="Todos",datos_base!$J$11+datos_base!$J$25,0))*parametros_manuales!$I$105+parametros_manuales!$G$31*(datos_base!$J$5+datos_base!$J$21+IF(parametros_manuales!$H$31="Todos",datos_base!$J$12+datos_base!$J$26,0))*parametros_manuales!$I$110)*parametros_manuales!$I$31*parametros_manuales!$J$31</f>
        <v>429.0738224072</v>
      </c>
      <c r="J230" s="9" t="n">
        <f aca="false">(parametros_manuales!$D$31*(datos_base!$J$2+datos_base!$J$18+IF(parametros_manuales!$H$31="Todos",datos_base!$J$9+datos_base!$J$23,0))*parametros_manuales!$J$95+parametros_manuales!$E$31*(datos_base!$J$3+datos_base!$J$19+IF(parametros_manuales!$H$31="Todos",datos_base!$J$10+datos_base!$J$24,0))*parametros_manuales!$J$100+parametros_manuales!$F$31*(datos_base!$J$4+datos_base!$J$20+IF(parametros_manuales!$H$31="Todos",datos_base!$J$11+datos_base!$J$25,0))*parametros_manuales!$J$105+parametros_manuales!$G$31*(datos_base!$J$5+datos_base!$J$21+IF(parametros_manuales!$H$31="Todos",datos_base!$J$12+datos_base!$J$26,0))*parametros_manuales!$J$110)*parametros_manuales!$I$31*parametros_manuales!$J$31</f>
        <v>429.0738224072</v>
      </c>
      <c r="K230" s="9" t="n">
        <f aca="false">(parametros_manuales!$D$31*(datos_base!$J$2+datos_base!$J$18+IF(parametros_manuales!$H$31="Todos",datos_base!$J$9+datos_base!$J$23,0))*parametros_manuales!$K$95+parametros_manuales!$E$31*(datos_base!$J$3+datos_base!$J$19+IF(parametros_manuales!$H$31="Todos",datos_base!$J$10+datos_base!$J$24,0))*parametros_manuales!$K$100+parametros_manuales!$F$31*(datos_base!$J$4+datos_base!$J$20+IF(parametros_manuales!$H$31="Todos",datos_base!$J$11+datos_base!$J$25,0))*parametros_manuales!$K$105+parametros_manuales!$G$31*(datos_base!$J$5+datos_base!$J$21+IF(parametros_manuales!$H$31="Todos",datos_base!$J$12+datos_base!$J$26,0))*parametros_manuales!$K$110)*parametros_manuales!$I$31*parametros_manuales!$J$31</f>
        <v>436.1592084919</v>
      </c>
      <c r="L230" s="9" t="n">
        <f aca="false">(parametros_manuales!$D$31*(datos_base!$J$2+datos_base!$J$18+IF(parametros_manuales!$H$31="Todos",datos_base!$J$9+datos_base!$J$23,0))*parametros_manuales!$L$95+parametros_manuales!$E$31*(datos_base!$J$3+datos_base!$J$19+IF(parametros_manuales!$H$31="Todos",datos_base!$J$10+datos_base!$J$24,0))*parametros_manuales!$L$100+parametros_manuales!$F$31*(datos_base!$J$4+datos_base!$J$20+IF(parametros_manuales!$H$31="Todos",datos_base!$J$11+datos_base!$J$25,0))*parametros_manuales!$L$105+parametros_manuales!$G$31*(datos_base!$J$5+datos_base!$J$21+IF(parametros_manuales!$H$31="Todos",datos_base!$J$12+datos_base!$J$26,0))*parametros_manuales!$L$110)*parametros_manuales!$I$31*parametros_manuales!$J$31</f>
        <v>443.2445945766</v>
      </c>
      <c r="M230" s="9" t="n">
        <f aca="false">(parametros_manuales!$D$31*(datos_base!$J$2+datos_base!$J$18+IF(parametros_manuales!$H$31="Todos",datos_base!$J$9+datos_base!$J$23,0))*parametros_manuales!$M$95+parametros_manuales!$E$31*(datos_base!$J$3+datos_base!$J$19+IF(parametros_manuales!$H$31="Todos",datos_base!$J$10+datos_base!$J$24,0))*parametros_manuales!$M$100+parametros_manuales!$F$31*(datos_base!$J$4+datos_base!$J$20+IF(parametros_manuales!$H$31="Todos",datos_base!$J$11+datos_base!$J$25,0))*parametros_manuales!$M$105+parametros_manuales!$G$31*(datos_base!$J$5+datos_base!$J$21+IF(parametros_manuales!$H$31="Todos",datos_base!$J$12+datos_base!$J$26,0))*parametros_manuales!$M$110)*parametros_manuales!$I$31*parametros_manuales!$J$31</f>
        <v>443.2445945766</v>
      </c>
      <c r="N230" s="9" t="n">
        <f aca="false">SUM(B230:M230)</f>
        <v>4924.93993974</v>
      </c>
      <c r="O230" s="9" t="n">
        <f aca="false">MAX(B230:M230)</f>
        <v>443.2445945766</v>
      </c>
      <c r="P230" s="43" t="n">
        <f aca="false">O230/(parametros_manuales!$B$7)</f>
        <v>2.954963963844</v>
      </c>
      <c r="Q230" s="8" t="str">
        <f aca="false">IF(O230=0,"-",INDEX($B$217:$M$217,MATCH(O230,B230:M230,0)))</f>
        <v>Ene</v>
      </c>
    </row>
    <row r="231" customFormat="false" ht="14.25" hidden="false" customHeight="true" outlineLevel="0" collapsed="false">
      <c r="A231" s="8" t="str">
        <f aca="false">parametros_manuales!$B$32</f>
        <v>Prueba hidráulica</v>
      </c>
      <c r="B231" s="9" t="n">
        <f aca="false">(parametros_manuales!$D$32*(datos_base!$J$2+datos_base!$J$18+IF(parametros_manuales!$H$32="Todos",datos_base!$J$9+datos_base!$J$23,0))*parametros_manuales!$B$95+parametros_manuales!$E$32*(datos_base!$J$3+datos_base!$J$19+IF(parametros_manuales!$H$32="Todos",datos_base!$J$10+datos_base!$J$24,0))*parametros_manuales!$B$100+parametros_manuales!$F$32*(datos_base!$J$4+datos_base!$J$20+IF(parametros_manuales!$H$32="Todos",datos_base!$J$11+datos_base!$J$25,0))*parametros_manuales!$B$105+parametros_manuales!$G$32*(datos_base!$J$5+datos_base!$J$21+IF(parametros_manuales!$H$32="Todos",datos_base!$J$12+datos_base!$J$26,0))*parametros_manuales!$B$110)*parametros_manuales!$I$32*parametros_manuales!$J$32</f>
        <v>22162.22972883</v>
      </c>
      <c r="C231" s="9" t="n">
        <f aca="false">(parametros_manuales!$D$32*(datos_base!$J$2+datos_base!$J$18+IF(parametros_manuales!$H$32="Todos",datos_base!$J$9+datos_base!$J$23,0))*parametros_manuales!$C$95+parametros_manuales!$E$32*(datos_base!$J$3+datos_base!$J$19+IF(parametros_manuales!$H$32="Todos",datos_base!$J$10+datos_base!$J$24,0))*parametros_manuales!$C$100+parametros_manuales!$F$32*(datos_base!$J$4+datos_base!$J$20+IF(parametros_manuales!$H$32="Todos",datos_base!$J$11+datos_base!$J$25,0))*parametros_manuales!$C$105+parametros_manuales!$G$32*(datos_base!$J$5+datos_base!$J$21+IF(parametros_manuales!$H$32="Todos",datos_base!$J$12+datos_base!$J$26,0))*parametros_manuales!$C$110)*parametros_manuales!$I$32*parametros_manuales!$J$32</f>
        <v>21453.69112036</v>
      </c>
      <c r="D231" s="9" t="n">
        <f aca="false">(parametros_manuales!$D$32*(datos_base!$J$2+datos_base!$J$18+IF(parametros_manuales!$H$32="Todos",datos_base!$J$9+datos_base!$J$23,0))*parametros_manuales!$D$95+parametros_manuales!$E$32*(datos_base!$J$3+datos_base!$J$19+IF(parametros_manuales!$H$32="Todos",datos_base!$J$10+datos_base!$J$24,0))*parametros_manuales!$D$100+parametros_manuales!$F$32*(datos_base!$J$4+datos_base!$J$20+IF(parametros_manuales!$H$32="Todos",datos_base!$J$11+datos_base!$J$25,0))*parametros_manuales!$D$105+parametros_manuales!$G$32*(datos_base!$J$5+datos_base!$J$21+IF(parametros_manuales!$H$32="Todos",datos_base!$J$12+datos_base!$J$26,0))*parametros_manuales!$D$110)*parametros_manuales!$I$32*parametros_manuales!$J$32</f>
        <v>20054.029063195</v>
      </c>
      <c r="E231" s="9" t="n">
        <f aca="false">(parametros_manuales!$D$32*(datos_base!$J$2+datos_base!$J$18+IF(parametros_manuales!$H$32="Todos",datos_base!$J$9+datos_base!$J$23,0))*parametros_manuales!$E$95+parametros_manuales!$E$32*(datos_base!$J$3+datos_base!$J$19+IF(parametros_manuales!$H$32="Todos",datos_base!$J$10+datos_base!$J$24,0))*parametros_manuales!$E$100+parametros_manuales!$F$32*(datos_base!$J$4+datos_base!$J$20+IF(parametros_manuales!$H$32="Todos",datos_base!$J$11+datos_base!$J$25,0))*parametros_manuales!$E$105+parametros_manuales!$G$32*(datos_base!$J$5+datos_base!$J$21+IF(parametros_manuales!$H$32="Todos",datos_base!$J$12+datos_base!$J$26,0))*parametros_manuales!$E$110)*parametros_manuales!$I$32*parametros_manuales!$J$32</f>
        <v>19177.063382495</v>
      </c>
      <c r="F231" s="9" t="n">
        <f aca="false">(parametros_manuales!$D$32*(datos_base!$J$2+datos_base!$J$18+IF(parametros_manuales!$H$32="Todos",datos_base!$J$9+datos_base!$J$23,0))*parametros_manuales!$F$95+parametros_manuales!$E$32*(datos_base!$J$3+datos_base!$J$19+IF(parametros_manuales!$H$32="Todos",datos_base!$J$10+datos_base!$J$24,0))*parametros_manuales!$F$100+parametros_manuales!$F$32*(datos_base!$J$4+datos_base!$J$20+IF(parametros_manuales!$H$32="Todos",datos_base!$J$11+datos_base!$J$25,0))*parametros_manuales!$F$105+parametros_manuales!$G$32*(datos_base!$J$5+datos_base!$J$21+IF(parametros_manuales!$H$32="Todos",datos_base!$J$12+datos_base!$J$26,0))*parametros_manuales!$F$110)*parametros_manuales!$I$32*parametros_manuales!$J$32</f>
        <v>17945.82839756</v>
      </c>
      <c r="G231" s="9" t="n">
        <f aca="false">(parametros_manuales!$D$32*(datos_base!$J$2+datos_base!$J$18+IF(parametros_manuales!$H$32="Todos",datos_base!$J$9+datos_base!$J$23,0))*parametros_manuales!$G$95+parametros_manuales!$E$32*(datos_base!$J$3+datos_base!$J$19+IF(parametros_manuales!$H$32="Todos",datos_base!$J$10+datos_base!$J$24,0))*parametros_manuales!$G$100+parametros_manuales!$F$32*(datos_base!$J$4+datos_base!$J$20+IF(parametros_manuales!$H$32="Todos",datos_base!$J$11+datos_base!$J$25,0))*parametros_manuales!$G$105+parametros_manuales!$G$32*(datos_base!$J$5+datos_base!$J$21+IF(parametros_manuales!$H$32="Todos",datos_base!$J$12+datos_base!$J$26,0))*parametros_manuales!$G$110)*parametros_manuales!$I$32*parametros_manuales!$J$32</f>
        <v>17591.559093325</v>
      </c>
      <c r="H231" s="9" t="n">
        <f aca="false">(parametros_manuales!$D$32*(datos_base!$J$2+datos_base!$J$18+IF(parametros_manuales!$H$32="Todos",datos_base!$J$9+datos_base!$J$23,0))*parametros_manuales!$H$95+parametros_manuales!$E$32*(datos_base!$J$3+datos_base!$J$19+IF(parametros_manuales!$H$32="Todos",datos_base!$J$10+datos_base!$J$24,0))*parametros_manuales!$H$100+parametros_manuales!$F$32*(datos_base!$J$4+datos_base!$J$20+IF(parametros_manuales!$H$32="Todos",datos_base!$J$11+datos_base!$J$25,0))*parametros_manuales!$H$105+parametros_manuales!$G$32*(datos_base!$J$5+datos_base!$J$21+IF(parametros_manuales!$H$32="Todos",datos_base!$J$12+datos_base!$J$26,0))*parametros_manuales!$H$110)*parametros_manuales!$I$32*parametros_manuales!$J$32</f>
        <v>18822.79407826</v>
      </c>
      <c r="I231" s="9" t="n">
        <f aca="false">(parametros_manuales!$D$32*(datos_base!$J$2+datos_base!$J$18+IF(parametros_manuales!$H$32="Todos",datos_base!$J$9+datos_base!$J$23,0))*parametros_manuales!$I$95+parametros_manuales!$E$32*(datos_base!$J$3+datos_base!$J$19+IF(parametros_manuales!$H$32="Todos",datos_base!$J$10+datos_base!$J$24,0))*parametros_manuales!$I$100+parametros_manuales!$F$32*(datos_base!$J$4+datos_base!$J$20+IF(parametros_manuales!$H$32="Todos",datos_base!$J$11+datos_base!$J$25,0))*parametros_manuales!$I$105+parametros_manuales!$G$32*(datos_base!$J$5+datos_base!$J$21+IF(parametros_manuales!$H$32="Todos",datos_base!$J$12+datos_base!$J$26,0))*parametros_manuales!$I$110)*parametros_manuales!$I$32*parametros_manuales!$J$32</f>
        <v>21453.69112036</v>
      </c>
      <c r="J231" s="9" t="n">
        <f aca="false">(parametros_manuales!$D$32*(datos_base!$J$2+datos_base!$J$18+IF(parametros_manuales!$H$32="Todos",datos_base!$J$9+datos_base!$J$23,0))*parametros_manuales!$J$95+parametros_manuales!$E$32*(datos_base!$J$3+datos_base!$J$19+IF(parametros_manuales!$H$32="Todos",datos_base!$J$10+datos_base!$J$24,0))*parametros_manuales!$J$100+parametros_manuales!$F$32*(datos_base!$J$4+datos_base!$J$20+IF(parametros_manuales!$H$32="Todos",datos_base!$J$11+datos_base!$J$25,0))*parametros_manuales!$J$105+parametros_manuales!$G$32*(datos_base!$J$5+datos_base!$J$21+IF(parametros_manuales!$H$32="Todos",datos_base!$J$12+datos_base!$J$26,0))*parametros_manuales!$J$110)*parametros_manuales!$I$32*parametros_manuales!$J$32</f>
        <v>21453.69112036</v>
      </c>
      <c r="K231" s="9" t="n">
        <f aca="false">(parametros_manuales!$D$32*(datos_base!$J$2+datos_base!$J$18+IF(parametros_manuales!$H$32="Todos",datos_base!$J$9+datos_base!$J$23,0))*parametros_manuales!$K$95+parametros_manuales!$E$32*(datos_base!$J$3+datos_base!$J$19+IF(parametros_manuales!$H$32="Todos",datos_base!$J$10+datos_base!$J$24,0))*parametros_manuales!$K$100+parametros_manuales!$F$32*(datos_base!$J$4+datos_base!$J$20+IF(parametros_manuales!$H$32="Todos",datos_base!$J$11+datos_base!$J$25,0))*parametros_manuales!$K$105+parametros_manuales!$G$32*(datos_base!$J$5+datos_base!$J$21+IF(parametros_manuales!$H$32="Todos",datos_base!$J$12+datos_base!$J$26,0))*parametros_manuales!$K$110)*parametros_manuales!$I$32*parametros_manuales!$J$32</f>
        <v>21807.960424595</v>
      </c>
      <c r="L231" s="9" t="n">
        <f aca="false">(parametros_manuales!$D$32*(datos_base!$J$2+datos_base!$J$18+IF(parametros_manuales!$H$32="Todos",datos_base!$J$9+datos_base!$J$23,0))*parametros_manuales!$L$95+parametros_manuales!$E$32*(datos_base!$J$3+datos_base!$J$19+IF(parametros_manuales!$H$32="Todos",datos_base!$J$10+datos_base!$J$24,0))*parametros_manuales!$L$100+parametros_manuales!$F$32*(datos_base!$J$4+datos_base!$J$20+IF(parametros_manuales!$H$32="Todos",datos_base!$J$11+datos_base!$J$25,0))*parametros_manuales!$L$105+parametros_manuales!$G$32*(datos_base!$J$5+datos_base!$J$21+IF(parametros_manuales!$H$32="Todos",datos_base!$J$12+datos_base!$J$26,0))*parametros_manuales!$L$110)*parametros_manuales!$I$32*parametros_manuales!$J$32</f>
        <v>22162.22972883</v>
      </c>
      <c r="M231" s="9" t="n">
        <f aca="false">(parametros_manuales!$D$32*(datos_base!$J$2+datos_base!$J$18+IF(parametros_manuales!$H$32="Todos",datos_base!$J$9+datos_base!$J$23,0))*parametros_manuales!$M$95+parametros_manuales!$E$32*(datos_base!$J$3+datos_base!$J$19+IF(parametros_manuales!$H$32="Todos",datos_base!$J$10+datos_base!$J$24,0))*parametros_manuales!$M$100+parametros_manuales!$F$32*(datos_base!$J$4+datos_base!$J$20+IF(parametros_manuales!$H$32="Todos",datos_base!$J$11+datos_base!$J$25,0))*parametros_manuales!$M$105+parametros_manuales!$G$32*(datos_base!$J$5+datos_base!$J$21+IF(parametros_manuales!$H$32="Todos",datos_base!$J$12+datos_base!$J$26,0))*parametros_manuales!$M$110)*parametros_manuales!$I$32*parametros_manuales!$J$32</f>
        <v>22162.22972883</v>
      </c>
      <c r="N231" s="9" t="n">
        <f aca="false">SUM(B231:M231)</f>
        <v>246246.996987</v>
      </c>
      <c r="O231" s="9" t="n">
        <f aca="false">MAX(B231:M231)</f>
        <v>22162.22972883</v>
      </c>
      <c r="P231" s="43" t="n">
        <f aca="false">O231/(parametros_manuales!$B$7)</f>
        <v>147.7481981922</v>
      </c>
      <c r="Q231" s="8" t="str">
        <f aca="false">IF(O231=0,"-",INDEX($B$217:$M$217,MATCH(O231,B231:M231,0)))</f>
        <v>Ene</v>
      </c>
    </row>
    <row r="232" customFormat="false" ht="14.25" hidden="false" customHeight="true" outlineLevel="0" collapsed="false">
      <c r="A232" s="8" t="str">
        <f aca="false">parametros_manuales!$B$33</f>
        <v>Secado</v>
      </c>
      <c r="B232" s="9" t="n">
        <f aca="false">(parametros_manuales!$D$33*(datos_base!$J$2+datos_base!$J$18+IF(parametros_manuales!$H$33="Todos",datos_base!$J$9+datos_base!$J$23,0))*parametros_manuales!$B$95+parametros_manuales!$E$33*(datos_base!$J$3+datos_base!$J$19+IF(parametros_manuales!$H$33="Todos",datos_base!$J$10+datos_base!$J$24,0))*parametros_manuales!$B$100+parametros_manuales!$F$33*(datos_base!$J$4+datos_base!$J$20+IF(parametros_manuales!$H$33="Todos",datos_base!$J$11+datos_base!$J$25,0))*parametros_manuales!$B$105+parametros_manuales!$G$33*(datos_base!$J$5+datos_base!$J$21+IF(parametros_manuales!$H$33="Todos",datos_base!$J$12+datos_base!$J$26,0))*parametros_manuales!$B$110)*parametros_manuales!$I$33*parametros_manuales!$J$33</f>
        <v>22162.22972883</v>
      </c>
      <c r="C232" s="9" t="n">
        <f aca="false">(parametros_manuales!$D$33*(datos_base!$J$2+datos_base!$J$18+IF(parametros_manuales!$H$33="Todos",datos_base!$J$9+datos_base!$J$23,0))*parametros_manuales!$C$95+parametros_manuales!$E$33*(datos_base!$J$3+datos_base!$J$19+IF(parametros_manuales!$H$33="Todos",datos_base!$J$10+datos_base!$J$24,0))*parametros_manuales!$C$100+parametros_manuales!$F$33*(datos_base!$J$4+datos_base!$J$20+IF(parametros_manuales!$H$33="Todos",datos_base!$J$11+datos_base!$J$25,0))*parametros_manuales!$C$105+parametros_manuales!$G$33*(datos_base!$J$5+datos_base!$J$21+IF(parametros_manuales!$H$33="Todos",datos_base!$J$12+datos_base!$J$26,0))*parametros_manuales!$C$110)*parametros_manuales!$I$33*parametros_manuales!$J$33</f>
        <v>21453.69112036</v>
      </c>
      <c r="D232" s="9" t="n">
        <f aca="false">(parametros_manuales!$D$33*(datos_base!$J$2+datos_base!$J$18+IF(parametros_manuales!$H$33="Todos",datos_base!$J$9+datos_base!$J$23,0))*parametros_manuales!$D$95+parametros_manuales!$E$33*(datos_base!$J$3+datos_base!$J$19+IF(parametros_manuales!$H$33="Todos",datos_base!$J$10+datos_base!$J$24,0))*parametros_manuales!$D$100+parametros_manuales!$F$33*(datos_base!$J$4+datos_base!$J$20+IF(parametros_manuales!$H$33="Todos",datos_base!$J$11+datos_base!$J$25,0))*parametros_manuales!$D$105+parametros_manuales!$G$33*(datos_base!$J$5+datos_base!$J$21+IF(parametros_manuales!$H$33="Todos",datos_base!$J$12+datos_base!$J$26,0))*parametros_manuales!$D$110)*parametros_manuales!$I$33*parametros_manuales!$J$33</f>
        <v>20054.029063195</v>
      </c>
      <c r="E232" s="9" t="n">
        <f aca="false">(parametros_manuales!$D$33*(datos_base!$J$2+datos_base!$J$18+IF(parametros_manuales!$H$33="Todos",datos_base!$J$9+datos_base!$J$23,0))*parametros_manuales!$E$95+parametros_manuales!$E$33*(datos_base!$J$3+datos_base!$J$19+IF(parametros_manuales!$H$33="Todos",datos_base!$J$10+datos_base!$J$24,0))*parametros_manuales!$E$100+parametros_manuales!$F$33*(datos_base!$J$4+datos_base!$J$20+IF(parametros_manuales!$H$33="Todos",datos_base!$J$11+datos_base!$J$25,0))*parametros_manuales!$E$105+parametros_manuales!$G$33*(datos_base!$J$5+datos_base!$J$21+IF(parametros_manuales!$H$33="Todos",datos_base!$J$12+datos_base!$J$26,0))*parametros_manuales!$E$110)*parametros_manuales!$I$33*parametros_manuales!$J$33</f>
        <v>19177.063382495</v>
      </c>
      <c r="F232" s="9" t="n">
        <f aca="false">(parametros_manuales!$D$33*(datos_base!$J$2+datos_base!$J$18+IF(parametros_manuales!$H$33="Todos",datos_base!$J$9+datos_base!$J$23,0))*parametros_manuales!$F$95+parametros_manuales!$E$33*(datos_base!$J$3+datos_base!$J$19+IF(parametros_manuales!$H$33="Todos",datos_base!$J$10+datos_base!$J$24,0))*parametros_manuales!$F$100+parametros_manuales!$F$33*(datos_base!$J$4+datos_base!$J$20+IF(parametros_manuales!$H$33="Todos",datos_base!$J$11+datos_base!$J$25,0))*parametros_manuales!$F$105+parametros_manuales!$G$33*(datos_base!$J$5+datos_base!$J$21+IF(parametros_manuales!$H$33="Todos",datos_base!$J$12+datos_base!$J$26,0))*parametros_manuales!$F$110)*parametros_manuales!$I$33*parametros_manuales!$J$33</f>
        <v>17945.82839756</v>
      </c>
      <c r="G232" s="9" t="n">
        <f aca="false">(parametros_manuales!$D$33*(datos_base!$J$2+datos_base!$J$18+IF(parametros_manuales!$H$33="Todos",datos_base!$J$9+datos_base!$J$23,0))*parametros_manuales!$G$95+parametros_manuales!$E$33*(datos_base!$J$3+datos_base!$J$19+IF(parametros_manuales!$H$33="Todos",datos_base!$J$10+datos_base!$J$24,0))*parametros_manuales!$G$100+parametros_manuales!$F$33*(datos_base!$J$4+datos_base!$J$20+IF(parametros_manuales!$H$33="Todos",datos_base!$J$11+datos_base!$J$25,0))*parametros_manuales!$G$105+parametros_manuales!$G$33*(datos_base!$J$5+datos_base!$J$21+IF(parametros_manuales!$H$33="Todos",datos_base!$J$12+datos_base!$J$26,0))*parametros_manuales!$G$110)*parametros_manuales!$I$33*parametros_manuales!$J$33</f>
        <v>17591.559093325</v>
      </c>
      <c r="H232" s="9" t="n">
        <f aca="false">(parametros_manuales!$D$33*(datos_base!$J$2+datos_base!$J$18+IF(parametros_manuales!$H$33="Todos",datos_base!$J$9+datos_base!$J$23,0))*parametros_manuales!$H$95+parametros_manuales!$E$33*(datos_base!$J$3+datos_base!$J$19+IF(parametros_manuales!$H$33="Todos",datos_base!$J$10+datos_base!$J$24,0))*parametros_manuales!$H$100+parametros_manuales!$F$33*(datos_base!$J$4+datos_base!$J$20+IF(parametros_manuales!$H$33="Todos",datos_base!$J$11+datos_base!$J$25,0))*parametros_manuales!$H$105+parametros_manuales!$G$33*(datos_base!$J$5+datos_base!$J$21+IF(parametros_manuales!$H$33="Todos",datos_base!$J$12+datos_base!$J$26,0))*parametros_manuales!$H$110)*parametros_manuales!$I$33*parametros_manuales!$J$33</f>
        <v>18822.79407826</v>
      </c>
      <c r="I232" s="9" t="n">
        <f aca="false">(parametros_manuales!$D$33*(datos_base!$J$2+datos_base!$J$18+IF(parametros_manuales!$H$33="Todos",datos_base!$J$9+datos_base!$J$23,0))*parametros_manuales!$I$95+parametros_manuales!$E$33*(datos_base!$J$3+datos_base!$J$19+IF(parametros_manuales!$H$33="Todos",datos_base!$J$10+datos_base!$J$24,0))*parametros_manuales!$I$100+parametros_manuales!$F$33*(datos_base!$J$4+datos_base!$J$20+IF(parametros_manuales!$H$33="Todos",datos_base!$J$11+datos_base!$J$25,0))*parametros_manuales!$I$105+parametros_manuales!$G$33*(datos_base!$J$5+datos_base!$J$21+IF(parametros_manuales!$H$33="Todos",datos_base!$J$12+datos_base!$J$26,0))*parametros_manuales!$I$110)*parametros_manuales!$I$33*parametros_manuales!$J$33</f>
        <v>21453.69112036</v>
      </c>
      <c r="J232" s="9" t="n">
        <f aca="false">(parametros_manuales!$D$33*(datos_base!$J$2+datos_base!$J$18+IF(parametros_manuales!$H$33="Todos",datos_base!$J$9+datos_base!$J$23,0))*parametros_manuales!$J$95+parametros_manuales!$E$33*(datos_base!$J$3+datos_base!$J$19+IF(parametros_manuales!$H$33="Todos",datos_base!$J$10+datos_base!$J$24,0))*parametros_manuales!$J$100+parametros_manuales!$F$33*(datos_base!$J$4+datos_base!$J$20+IF(parametros_manuales!$H$33="Todos",datos_base!$J$11+datos_base!$J$25,0))*parametros_manuales!$J$105+parametros_manuales!$G$33*(datos_base!$J$5+datos_base!$J$21+IF(parametros_manuales!$H$33="Todos",datos_base!$J$12+datos_base!$J$26,0))*parametros_manuales!$J$110)*parametros_manuales!$I$33*parametros_manuales!$J$33</f>
        <v>21453.69112036</v>
      </c>
      <c r="K232" s="9" t="n">
        <f aca="false">(parametros_manuales!$D$33*(datos_base!$J$2+datos_base!$J$18+IF(parametros_manuales!$H$33="Todos",datos_base!$J$9+datos_base!$J$23,0))*parametros_manuales!$K$95+parametros_manuales!$E$33*(datos_base!$J$3+datos_base!$J$19+IF(parametros_manuales!$H$33="Todos",datos_base!$J$10+datos_base!$J$24,0))*parametros_manuales!$K$100+parametros_manuales!$F$33*(datos_base!$J$4+datos_base!$J$20+IF(parametros_manuales!$H$33="Todos",datos_base!$J$11+datos_base!$J$25,0))*parametros_manuales!$K$105+parametros_manuales!$G$33*(datos_base!$J$5+datos_base!$J$21+IF(parametros_manuales!$H$33="Todos",datos_base!$J$12+datos_base!$J$26,0))*parametros_manuales!$K$110)*parametros_manuales!$I$33*parametros_manuales!$J$33</f>
        <v>21807.960424595</v>
      </c>
      <c r="L232" s="9" t="n">
        <f aca="false">(parametros_manuales!$D$33*(datos_base!$J$2+datos_base!$J$18+IF(parametros_manuales!$H$33="Todos",datos_base!$J$9+datos_base!$J$23,0))*parametros_manuales!$L$95+parametros_manuales!$E$33*(datos_base!$J$3+datos_base!$J$19+IF(parametros_manuales!$H$33="Todos",datos_base!$J$10+datos_base!$J$24,0))*parametros_manuales!$L$100+parametros_manuales!$F$33*(datos_base!$J$4+datos_base!$J$20+IF(parametros_manuales!$H$33="Todos",datos_base!$J$11+datos_base!$J$25,0))*parametros_manuales!$L$105+parametros_manuales!$G$33*(datos_base!$J$5+datos_base!$J$21+IF(parametros_manuales!$H$33="Todos",datos_base!$J$12+datos_base!$J$26,0))*parametros_manuales!$L$110)*parametros_manuales!$I$33*parametros_manuales!$J$33</f>
        <v>22162.22972883</v>
      </c>
      <c r="M232" s="9" t="n">
        <f aca="false">(parametros_manuales!$D$33*(datos_base!$J$2+datos_base!$J$18+IF(parametros_manuales!$H$33="Todos",datos_base!$J$9+datos_base!$J$23,0))*parametros_manuales!$M$95+parametros_manuales!$E$33*(datos_base!$J$3+datos_base!$J$19+IF(parametros_manuales!$H$33="Todos",datos_base!$J$10+datos_base!$J$24,0))*parametros_manuales!$M$100+parametros_manuales!$F$33*(datos_base!$J$4+datos_base!$J$20+IF(parametros_manuales!$H$33="Todos",datos_base!$J$11+datos_base!$J$25,0))*parametros_manuales!$M$105+parametros_manuales!$G$33*(datos_base!$J$5+datos_base!$J$21+IF(parametros_manuales!$H$33="Todos",datos_base!$J$12+datos_base!$J$26,0))*parametros_manuales!$M$110)*parametros_manuales!$I$33*parametros_manuales!$J$33</f>
        <v>22162.22972883</v>
      </c>
      <c r="N232" s="9" t="n">
        <f aca="false">SUM(B232:M232)</f>
        <v>246246.996987</v>
      </c>
      <c r="O232" s="9" t="n">
        <f aca="false">MAX(B232:M232)</f>
        <v>22162.22972883</v>
      </c>
      <c r="P232" s="43" t="n">
        <f aca="false">O232/(parametros_manuales!$B$7)</f>
        <v>147.7481981922</v>
      </c>
      <c r="Q232" s="8" t="str">
        <f aca="false">IF(O232=0,"-",INDEX($B$217:$M$217,MATCH(O232,B232:M232,0)))</f>
        <v>Ene</v>
      </c>
    </row>
    <row r="233" customFormat="false" ht="14.25" hidden="false" customHeight="true" outlineLevel="0" collapsed="false">
      <c r="A233" s="8" t="str">
        <f aca="false">parametros_manuales!$B$34</f>
        <v>Granallado</v>
      </c>
      <c r="B233" s="9" t="n">
        <f aca="false">(parametros_manuales!$D$34*(datos_base!$J$2+datos_base!$J$18+IF(parametros_manuales!$H$34="Todos",datos_base!$J$9+datos_base!$J$23,0))*parametros_manuales!$B$95+parametros_manuales!$E$34*(datos_base!$J$3+datos_base!$J$19+IF(parametros_manuales!$H$34="Todos",datos_base!$J$10+datos_base!$J$24,0))*parametros_manuales!$B$100+parametros_manuales!$F$34*(datos_base!$J$4+datos_base!$J$20+IF(parametros_manuales!$H$34="Todos",datos_base!$J$11+datos_base!$J$25,0))*parametros_manuales!$B$105+parametros_manuales!$G$34*(datos_base!$J$5+datos_base!$J$21+IF(parametros_manuales!$H$34="Todos",datos_base!$J$12+datos_base!$J$26,0))*parametros_manuales!$B$110)*parametros_manuales!$I$34*parametros_manuales!$J$34</f>
        <v>22162.22972883</v>
      </c>
      <c r="C233" s="9" t="n">
        <f aca="false">(parametros_manuales!$D$34*(datos_base!$J$2+datos_base!$J$18+IF(parametros_manuales!$H$34="Todos",datos_base!$J$9+datos_base!$J$23,0))*parametros_manuales!$C$95+parametros_manuales!$E$34*(datos_base!$J$3+datos_base!$J$19+IF(parametros_manuales!$H$34="Todos",datos_base!$J$10+datos_base!$J$24,0))*parametros_manuales!$C$100+parametros_manuales!$F$34*(datos_base!$J$4+datos_base!$J$20+IF(parametros_manuales!$H$34="Todos",datos_base!$J$11+datos_base!$J$25,0))*parametros_manuales!$C$105+parametros_manuales!$G$34*(datos_base!$J$5+datos_base!$J$21+IF(parametros_manuales!$H$34="Todos",datos_base!$J$12+datos_base!$J$26,0))*parametros_manuales!$C$110)*parametros_manuales!$I$34*parametros_manuales!$J$34</f>
        <v>21453.69112036</v>
      </c>
      <c r="D233" s="9" t="n">
        <f aca="false">(parametros_manuales!$D$34*(datos_base!$J$2+datos_base!$J$18+IF(parametros_manuales!$H$34="Todos",datos_base!$J$9+datos_base!$J$23,0))*parametros_manuales!$D$95+parametros_manuales!$E$34*(datos_base!$J$3+datos_base!$J$19+IF(parametros_manuales!$H$34="Todos",datos_base!$J$10+datos_base!$J$24,0))*parametros_manuales!$D$100+parametros_manuales!$F$34*(datos_base!$J$4+datos_base!$J$20+IF(parametros_manuales!$H$34="Todos",datos_base!$J$11+datos_base!$J$25,0))*parametros_manuales!$D$105+parametros_manuales!$G$34*(datos_base!$J$5+datos_base!$J$21+IF(parametros_manuales!$H$34="Todos",datos_base!$J$12+datos_base!$J$26,0))*parametros_manuales!$D$110)*parametros_manuales!$I$34*parametros_manuales!$J$34</f>
        <v>20054.029063195</v>
      </c>
      <c r="E233" s="9" t="n">
        <f aca="false">(parametros_manuales!$D$34*(datos_base!$J$2+datos_base!$J$18+IF(parametros_manuales!$H$34="Todos",datos_base!$J$9+datos_base!$J$23,0))*parametros_manuales!$E$95+parametros_manuales!$E$34*(datos_base!$J$3+datos_base!$J$19+IF(parametros_manuales!$H$34="Todos",datos_base!$J$10+datos_base!$J$24,0))*parametros_manuales!$E$100+parametros_manuales!$F$34*(datos_base!$J$4+datos_base!$J$20+IF(parametros_manuales!$H$34="Todos",datos_base!$J$11+datos_base!$J$25,0))*parametros_manuales!$E$105+parametros_manuales!$G$34*(datos_base!$J$5+datos_base!$J$21+IF(parametros_manuales!$H$34="Todos",datos_base!$J$12+datos_base!$J$26,0))*parametros_manuales!$E$110)*parametros_manuales!$I$34*parametros_manuales!$J$34</f>
        <v>19177.063382495</v>
      </c>
      <c r="F233" s="9" t="n">
        <f aca="false">(parametros_manuales!$D$34*(datos_base!$J$2+datos_base!$J$18+IF(parametros_manuales!$H$34="Todos",datos_base!$J$9+datos_base!$J$23,0))*parametros_manuales!$F$95+parametros_manuales!$E$34*(datos_base!$J$3+datos_base!$J$19+IF(parametros_manuales!$H$34="Todos",datos_base!$J$10+datos_base!$J$24,0))*parametros_manuales!$F$100+parametros_manuales!$F$34*(datos_base!$J$4+datos_base!$J$20+IF(parametros_manuales!$H$34="Todos",datos_base!$J$11+datos_base!$J$25,0))*parametros_manuales!$F$105+parametros_manuales!$G$34*(datos_base!$J$5+datos_base!$J$21+IF(parametros_manuales!$H$34="Todos",datos_base!$J$12+datos_base!$J$26,0))*parametros_manuales!$F$110)*parametros_manuales!$I$34*parametros_manuales!$J$34</f>
        <v>17945.82839756</v>
      </c>
      <c r="G233" s="9" t="n">
        <f aca="false">(parametros_manuales!$D$34*(datos_base!$J$2+datos_base!$J$18+IF(parametros_manuales!$H$34="Todos",datos_base!$J$9+datos_base!$J$23,0))*parametros_manuales!$G$95+parametros_manuales!$E$34*(datos_base!$J$3+datos_base!$J$19+IF(parametros_manuales!$H$34="Todos",datos_base!$J$10+datos_base!$J$24,0))*parametros_manuales!$G$100+parametros_manuales!$F$34*(datos_base!$J$4+datos_base!$J$20+IF(parametros_manuales!$H$34="Todos",datos_base!$J$11+datos_base!$J$25,0))*parametros_manuales!$G$105+parametros_manuales!$G$34*(datos_base!$J$5+datos_base!$J$21+IF(parametros_manuales!$H$34="Todos",datos_base!$J$12+datos_base!$J$26,0))*parametros_manuales!$G$110)*parametros_manuales!$I$34*parametros_manuales!$J$34</f>
        <v>17591.559093325</v>
      </c>
      <c r="H233" s="9" t="n">
        <f aca="false">(parametros_manuales!$D$34*(datos_base!$J$2+datos_base!$J$18+IF(parametros_manuales!$H$34="Todos",datos_base!$J$9+datos_base!$J$23,0))*parametros_manuales!$H$95+parametros_manuales!$E$34*(datos_base!$J$3+datos_base!$J$19+IF(parametros_manuales!$H$34="Todos",datos_base!$J$10+datos_base!$J$24,0))*parametros_manuales!$H$100+parametros_manuales!$F$34*(datos_base!$J$4+datos_base!$J$20+IF(parametros_manuales!$H$34="Todos",datos_base!$J$11+datos_base!$J$25,0))*parametros_manuales!$H$105+parametros_manuales!$G$34*(datos_base!$J$5+datos_base!$J$21+IF(parametros_manuales!$H$34="Todos",datos_base!$J$12+datos_base!$J$26,0))*parametros_manuales!$H$110)*parametros_manuales!$I$34*parametros_manuales!$J$34</f>
        <v>18822.79407826</v>
      </c>
      <c r="I233" s="9" t="n">
        <f aca="false">(parametros_manuales!$D$34*(datos_base!$J$2+datos_base!$J$18+IF(parametros_manuales!$H$34="Todos",datos_base!$J$9+datos_base!$J$23,0))*parametros_manuales!$I$95+parametros_manuales!$E$34*(datos_base!$J$3+datos_base!$J$19+IF(parametros_manuales!$H$34="Todos",datos_base!$J$10+datos_base!$J$24,0))*parametros_manuales!$I$100+parametros_manuales!$F$34*(datos_base!$J$4+datos_base!$J$20+IF(parametros_manuales!$H$34="Todos",datos_base!$J$11+datos_base!$J$25,0))*parametros_manuales!$I$105+parametros_manuales!$G$34*(datos_base!$J$5+datos_base!$J$21+IF(parametros_manuales!$H$34="Todos",datos_base!$J$12+datos_base!$J$26,0))*parametros_manuales!$I$110)*parametros_manuales!$I$34*parametros_manuales!$J$34</f>
        <v>21453.69112036</v>
      </c>
      <c r="J233" s="9" t="n">
        <f aca="false">(parametros_manuales!$D$34*(datos_base!$J$2+datos_base!$J$18+IF(parametros_manuales!$H$34="Todos",datos_base!$J$9+datos_base!$J$23,0))*parametros_manuales!$J$95+parametros_manuales!$E$34*(datos_base!$J$3+datos_base!$J$19+IF(parametros_manuales!$H$34="Todos",datos_base!$J$10+datos_base!$J$24,0))*parametros_manuales!$J$100+parametros_manuales!$F$34*(datos_base!$J$4+datos_base!$J$20+IF(parametros_manuales!$H$34="Todos",datos_base!$J$11+datos_base!$J$25,0))*parametros_manuales!$J$105+parametros_manuales!$G$34*(datos_base!$J$5+datos_base!$J$21+IF(parametros_manuales!$H$34="Todos",datos_base!$J$12+datos_base!$J$26,0))*parametros_manuales!$J$110)*parametros_manuales!$I$34*parametros_manuales!$J$34</f>
        <v>21453.69112036</v>
      </c>
      <c r="K233" s="9" t="n">
        <f aca="false">(parametros_manuales!$D$34*(datos_base!$J$2+datos_base!$J$18+IF(parametros_manuales!$H$34="Todos",datos_base!$J$9+datos_base!$J$23,0))*parametros_manuales!$K$95+parametros_manuales!$E$34*(datos_base!$J$3+datos_base!$J$19+IF(parametros_manuales!$H$34="Todos",datos_base!$J$10+datos_base!$J$24,0))*parametros_manuales!$K$100+parametros_manuales!$F$34*(datos_base!$J$4+datos_base!$J$20+IF(parametros_manuales!$H$34="Todos",datos_base!$J$11+datos_base!$J$25,0))*parametros_manuales!$K$105+parametros_manuales!$G$34*(datos_base!$J$5+datos_base!$J$21+IF(parametros_manuales!$H$34="Todos",datos_base!$J$12+datos_base!$J$26,0))*parametros_manuales!$K$110)*parametros_manuales!$I$34*parametros_manuales!$J$34</f>
        <v>21807.960424595</v>
      </c>
      <c r="L233" s="9" t="n">
        <f aca="false">(parametros_manuales!$D$34*(datos_base!$J$2+datos_base!$J$18+IF(parametros_manuales!$H$34="Todos",datos_base!$J$9+datos_base!$J$23,0))*parametros_manuales!$L$95+parametros_manuales!$E$34*(datos_base!$J$3+datos_base!$J$19+IF(parametros_manuales!$H$34="Todos",datos_base!$J$10+datos_base!$J$24,0))*parametros_manuales!$L$100+parametros_manuales!$F$34*(datos_base!$J$4+datos_base!$J$20+IF(parametros_manuales!$H$34="Todos",datos_base!$J$11+datos_base!$J$25,0))*parametros_manuales!$L$105+parametros_manuales!$G$34*(datos_base!$J$5+datos_base!$J$21+IF(parametros_manuales!$H$34="Todos",datos_base!$J$12+datos_base!$J$26,0))*parametros_manuales!$L$110)*parametros_manuales!$I$34*parametros_manuales!$J$34</f>
        <v>22162.22972883</v>
      </c>
      <c r="M233" s="9" t="n">
        <f aca="false">(parametros_manuales!$D$34*(datos_base!$J$2+datos_base!$J$18+IF(parametros_manuales!$H$34="Todos",datos_base!$J$9+datos_base!$J$23,0))*parametros_manuales!$M$95+parametros_manuales!$E$34*(datos_base!$J$3+datos_base!$J$19+IF(parametros_manuales!$H$34="Todos",datos_base!$J$10+datos_base!$J$24,0))*parametros_manuales!$M$100+parametros_manuales!$F$34*(datos_base!$J$4+datos_base!$J$20+IF(parametros_manuales!$H$34="Todos",datos_base!$J$11+datos_base!$J$25,0))*parametros_manuales!$M$105+parametros_manuales!$G$34*(datos_base!$J$5+datos_base!$J$21+IF(parametros_manuales!$H$34="Todos",datos_base!$J$12+datos_base!$J$26,0))*parametros_manuales!$M$110)*parametros_manuales!$I$34*parametros_manuales!$J$34</f>
        <v>22162.22972883</v>
      </c>
      <c r="N233" s="9" t="n">
        <f aca="false">SUM(B233:M233)</f>
        <v>246246.996987</v>
      </c>
      <c r="O233" s="9" t="n">
        <f aca="false">MAX(B233:M233)</f>
        <v>22162.22972883</v>
      </c>
      <c r="P233" s="43" t="n">
        <f aca="false">O233/(parametros_manuales!$B$7)</f>
        <v>147.7481981922</v>
      </c>
      <c r="Q233" s="8" t="str">
        <f aca="false">IF(O233=0,"-",INDEX($B$217:$M$217,MATCH(O233,B233:M233,0)))</f>
        <v>Ene</v>
      </c>
    </row>
    <row r="234" customFormat="false" ht="14.25" hidden="false" customHeight="true" outlineLevel="0" collapsed="false">
      <c r="A234" s="8" t="str">
        <f aca="false">parametros_manuales!$B$35</f>
        <v>Detección de defectos</v>
      </c>
      <c r="B234" s="9" t="n">
        <f aca="false">(parametros_manuales!$D$35*(datos_base!$J$2+datos_base!$J$18+IF(parametros_manuales!$H$35="Todos",datos_base!$J$9+datos_base!$J$23,0))*parametros_manuales!$B$95+parametros_manuales!$E$35*(datos_base!$J$3+datos_base!$J$19+IF(parametros_manuales!$H$35="Todos",datos_base!$J$10+datos_base!$J$24,0))*parametros_manuales!$B$100+parametros_manuales!$F$35*(datos_base!$J$4+datos_base!$J$20+IF(parametros_manuales!$H$35="Todos",datos_base!$J$11+datos_base!$J$25,0))*parametros_manuales!$B$105+parametros_manuales!$G$35*(datos_base!$J$5+datos_base!$J$21+IF(parametros_manuales!$H$35="Todos",datos_base!$J$12+datos_base!$J$26,0))*parametros_manuales!$B$110)*parametros_manuales!$I$35*parametros_manuales!$J$35</f>
        <v>22162.22972883</v>
      </c>
      <c r="C234" s="9" t="n">
        <f aca="false">(parametros_manuales!$D$35*(datos_base!$J$2+datos_base!$J$18+IF(parametros_manuales!$H$35="Todos",datos_base!$J$9+datos_base!$J$23,0))*parametros_manuales!$C$95+parametros_manuales!$E$35*(datos_base!$J$3+datos_base!$J$19+IF(parametros_manuales!$H$35="Todos",datos_base!$J$10+datos_base!$J$24,0))*parametros_manuales!$C$100+parametros_manuales!$F$35*(datos_base!$J$4+datos_base!$J$20+IF(parametros_manuales!$H$35="Todos",datos_base!$J$11+datos_base!$J$25,0))*parametros_manuales!$C$105+parametros_manuales!$G$35*(datos_base!$J$5+datos_base!$J$21+IF(parametros_manuales!$H$35="Todos",datos_base!$J$12+datos_base!$J$26,0))*parametros_manuales!$C$110)*parametros_manuales!$I$35*parametros_manuales!$J$35</f>
        <v>21453.69112036</v>
      </c>
      <c r="D234" s="9" t="n">
        <f aca="false">(parametros_manuales!$D$35*(datos_base!$J$2+datos_base!$J$18+IF(parametros_manuales!$H$35="Todos",datos_base!$J$9+datos_base!$J$23,0))*parametros_manuales!$D$95+parametros_manuales!$E$35*(datos_base!$J$3+datos_base!$J$19+IF(parametros_manuales!$H$35="Todos",datos_base!$J$10+datos_base!$J$24,0))*parametros_manuales!$D$100+parametros_manuales!$F$35*(datos_base!$J$4+datos_base!$J$20+IF(parametros_manuales!$H$35="Todos",datos_base!$J$11+datos_base!$J$25,0))*parametros_manuales!$D$105+parametros_manuales!$G$35*(datos_base!$J$5+datos_base!$J$21+IF(parametros_manuales!$H$35="Todos",datos_base!$J$12+datos_base!$J$26,0))*parametros_manuales!$D$110)*parametros_manuales!$I$35*parametros_manuales!$J$35</f>
        <v>20054.029063195</v>
      </c>
      <c r="E234" s="9" t="n">
        <f aca="false">(parametros_manuales!$D$35*(datos_base!$J$2+datos_base!$J$18+IF(parametros_manuales!$H$35="Todos",datos_base!$J$9+datos_base!$J$23,0))*parametros_manuales!$E$95+parametros_manuales!$E$35*(datos_base!$J$3+datos_base!$J$19+IF(parametros_manuales!$H$35="Todos",datos_base!$J$10+datos_base!$J$24,0))*parametros_manuales!$E$100+parametros_manuales!$F$35*(datos_base!$J$4+datos_base!$J$20+IF(parametros_manuales!$H$35="Todos",datos_base!$J$11+datos_base!$J$25,0))*parametros_manuales!$E$105+parametros_manuales!$G$35*(datos_base!$J$5+datos_base!$J$21+IF(parametros_manuales!$H$35="Todos",datos_base!$J$12+datos_base!$J$26,0))*parametros_manuales!$E$110)*parametros_manuales!$I$35*parametros_manuales!$J$35</f>
        <v>19177.063382495</v>
      </c>
      <c r="F234" s="9" t="n">
        <f aca="false">(parametros_manuales!$D$35*(datos_base!$J$2+datos_base!$J$18+IF(parametros_manuales!$H$35="Todos",datos_base!$J$9+datos_base!$J$23,0))*parametros_manuales!$F$95+parametros_manuales!$E$35*(datos_base!$J$3+datos_base!$J$19+IF(parametros_manuales!$H$35="Todos",datos_base!$J$10+datos_base!$J$24,0))*parametros_manuales!$F$100+parametros_manuales!$F$35*(datos_base!$J$4+datos_base!$J$20+IF(parametros_manuales!$H$35="Todos",datos_base!$J$11+datos_base!$J$25,0))*parametros_manuales!$F$105+parametros_manuales!$G$35*(datos_base!$J$5+datos_base!$J$21+IF(parametros_manuales!$H$35="Todos",datos_base!$J$12+datos_base!$J$26,0))*parametros_manuales!$F$110)*parametros_manuales!$I$35*parametros_manuales!$J$35</f>
        <v>17945.82839756</v>
      </c>
      <c r="G234" s="9" t="n">
        <f aca="false">(parametros_manuales!$D$35*(datos_base!$J$2+datos_base!$J$18+IF(parametros_manuales!$H$35="Todos",datos_base!$J$9+datos_base!$J$23,0))*parametros_manuales!$G$95+parametros_manuales!$E$35*(datos_base!$J$3+datos_base!$J$19+IF(parametros_manuales!$H$35="Todos",datos_base!$J$10+datos_base!$J$24,0))*parametros_manuales!$G$100+parametros_manuales!$F$35*(datos_base!$J$4+datos_base!$J$20+IF(parametros_manuales!$H$35="Todos",datos_base!$J$11+datos_base!$J$25,0))*parametros_manuales!$G$105+parametros_manuales!$G$35*(datos_base!$J$5+datos_base!$J$21+IF(parametros_manuales!$H$35="Todos",datos_base!$J$12+datos_base!$J$26,0))*parametros_manuales!$G$110)*parametros_manuales!$I$35*parametros_manuales!$J$35</f>
        <v>17591.559093325</v>
      </c>
      <c r="H234" s="9" t="n">
        <f aca="false">(parametros_manuales!$D$35*(datos_base!$J$2+datos_base!$J$18+IF(parametros_manuales!$H$35="Todos",datos_base!$J$9+datos_base!$J$23,0))*parametros_manuales!$H$95+parametros_manuales!$E$35*(datos_base!$J$3+datos_base!$J$19+IF(parametros_manuales!$H$35="Todos",datos_base!$J$10+datos_base!$J$24,0))*parametros_manuales!$H$100+parametros_manuales!$F$35*(datos_base!$J$4+datos_base!$J$20+IF(parametros_manuales!$H$35="Todos",datos_base!$J$11+datos_base!$J$25,0))*parametros_manuales!$H$105+parametros_manuales!$G$35*(datos_base!$J$5+datos_base!$J$21+IF(parametros_manuales!$H$35="Todos",datos_base!$J$12+datos_base!$J$26,0))*parametros_manuales!$H$110)*parametros_manuales!$I$35*parametros_manuales!$J$35</f>
        <v>18822.79407826</v>
      </c>
      <c r="I234" s="9" t="n">
        <f aca="false">(parametros_manuales!$D$35*(datos_base!$J$2+datos_base!$J$18+IF(parametros_manuales!$H$35="Todos",datos_base!$J$9+datos_base!$J$23,0))*parametros_manuales!$I$95+parametros_manuales!$E$35*(datos_base!$J$3+datos_base!$J$19+IF(parametros_manuales!$H$35="Todos",datos_base!$J$10+datos_base!$J$24,0))*parametros_manuales!$I$100+parametros_manuales!$F$35*(datos_base!$J$4+datos_base!$J$20+IF(parametros_manuales!$H$35="Todos",datos_base!$J$11+datos_base!$J$25,0))*parametros_manuales!$I$105+parametros_manuales!$G$35*(datos_base!$J$5+datos_base!$J$21+IF(parametros_manuales!$H$35="Todos",datos_base!$J$12+datos_base!$J$26,0))*parametros_manuales!$I$110)*parametros_manuales!$I$35*parametros_manuales!$J$35</f>
        <v>21453.69112036</v>
      </c>
      <c r="J234" s="9" t="n">
        <f aca="false">(parametros_manuales!$D$35*(datos_base!$J$2+datos_base!$J$18+IF(parametros_manuales!$H$35="Todos",datos_base!$J$9+datos_base!$J$23,0))*parametros_manuales!$J$95+parametros_manuales!$E$35*(datos_base!$J$3+datos_base!$J$19+IF(parametros_manuales!$H$35="Todos",datos_base!$J$10+datos_base!$J$24,0))*parametros_manuales!$J$100+parametros_manuales!$F$35*(datos_base!$J$4+datos_base!$J$20+IF(parametros_manuales!$H$35="Todos",datos_base!$J$11+datos_base!$J$25,0))*parametros_manuales!$J$105+parametros_manuales!$G$35*(datos_base!$J$5+datos_base!$J$21+IF(parametros_manuales!$H$35="Todos",datos_base!$J$12+datos_base!$J$26,0))*parametros_manuales!$J$110)*parametros_manuales!$I$35*parametros_manuales!$J$35</f>
        <v>21453.69112036</v>
      </c>
      <c r="K234" s="9" t="n">
        <f aca="false">(parametros_manuales!$D$35*(datos_base!$J$2+datos_base!$J$18+IF(parametros_manuales!$H$35="Todos",datos_base!$J$9+datos_base!$J$23,0))*parametros_manuales!$K$95+parametros_manuales!$E$35*(datos_base!$J$3+datos_base!$J$19+IF(parametros_manuales!$H$35="Todos",datos_base!$J$10+datos_base!$J$24,0))*parametros_manuales!$K$100+parametros_manuales!$F$35*(datos_base!$J$4+datos_base!$J$20+IF(parametros_manuales!$H$35="Todos",datos_base!$J$11+datos_base!$J$25,0))*parametros_manuales!$K$105+parametros_manuales!$G$35*(datos_base!$J$5+datos_base!$J$21+IF(parametros_manuales!$H$35="Todos",datos_base!$J$12+datos_base!$J$26,0))*parametros_manuales!$K$110)*parametros_manuales!$I$35*parametros_manuales!$J$35</f>
        <v>21807.960424595</v>
      </c>
      <c r="L234" s="9" t="n">
        <f aca="false">(parametros_manuales!$D$35*(datos_base!$J$2+datos_base!$J$18+IF(parametros_manuales!$H$35="Todos",datos_base!$J$9+datos_base!$J$23,0))*parametros_manuales!$L$95+parametros_manuales!$E$35*(datos_base!$J$3+datos_base!$J$19+IF(parametros_manuales!$H$35="Todos",datos_base!$J$10+datos_base!$J$24,0))*parametros_manuales!$L$100+parametros_manuales!$F$35*(datos_base!$J$4+datos_base!$J$20+IF(parametros_manuales!$H$35="Todos",datos_base!$J$11+datos_base!$J$25,0))*parametros_manuales!$L$105+parametros_manuales!$G$35*(datos_base!$J$5+datos_base!$J$21+IF(parametros_manuales!$H$35="Todos",datos_base!$J$12+datos_base!$J$26,0))*parametros_manuales!$L$110)*parametros_manuales!$I$35*parametros_manuales!$J$35</f>
        <v>22162.22972883</v>
      </c>
      <c r="M234" s="9" t="n">
        <f aca="false">(parametros_manuales!$D$35*(datos_base!$J$2+datos_base!$J$18+IF(parametros_manuales!$H$35="Todos",datos_base!$J$9+datos_base!$J$23,0))*parametros_manuales!$M$95+parametros_manuales!$E$35*(datos_base!$J$3+datos_base!$J$19+IF(parametros_manuales!$H$35="Todos",datos_base!$J$10+datos_base!$J$24,0))*parametros_manuales!$M$100+parametros_manuales!$F$35*(datos_base!$J$4+datos_base!$J$20+IF(parametros_manuales!$H$35="Todos",datos_base!$J$11+datos_base!$J$25,0))*parametros_manuales!$M$105+parametros_manuales!$G$35*(datos_base!$J$5+datos_base!$J$21+IF(parametros_manuales!$H$35="Todos",datos_base!$J$12+datos_base!$J$26,0))*parametros_manuales!$M$110)*parametros_manuales!$I$35*parametros_manuales!$J$35</f>
        <v>22162.22972883</v>
      </c>
      <c r="N234" s="9" t="n">
        <f aca="false">SUM(B234:M234)</f>
        <v>246246.996987</v>
      </c>
      <c r="O234" s="9" t="n">
        <f aca="false">MAX(B234:M234)</f>
        <v>22162.22972883</v>
      </c>
      <c r="P234" s="43" t="n">
        <f aca="false">O234/(parametros_manuales!$B$7)</f>
        <v>147.7481981922</v>
      </c>
      <c r="Q234" s="8" t="str">
        <f aca="false">IF(O234=0,"-",INDEX($B$217:$M$217,MATCH(O234,B234:M234,0)))</f>
        <v>Ene</v>
      </c>
    </row>
    <row r="235" customFormat="false" ht="14.25" hidden="false" customHeight="true" outlineLevel="0" collapsed="false">
      <c r="A235" s="8" t="str">
        <f aca="false">parametros_manuales!$B$36</f>
        <v>Corrección de defectos</v>
      </c>
      <c r="B235" s="9" t="n">
        <f aca="false">(parametros_manuales!$D$36*(datos_base!$J$2+datos_base!$J$18+IF(parametros_manuales!$H$36="Todos",datos_base!$J$9+datos_base!$J$23,0))*parametros_manuales!$B$95+parametros_manuales!$E$36*(datos_base!$J$3+datos_base!$J$19+IF(parametros_manuales!$H$36="Todos",datos_base!$J$10+datos_base!$J$24,0))*parametros_manuales!$B$100+parametros_manuales!$F$36*(datos_base!$J$4+datos_base!$J$20+IF(parametros_manuales!$H$36="Todos",datos_base!$J$11+datos_base!$J$25,0))*parametros_manuales!$B$105+parametros_manuales!$G$36*(datos_base!$J$5+datos_base!$J$21+IF(parametros_manuales!$H$36="Todos",datos_base!$J$12+datos_base!$J$26,0))*parametros_manuales!$B$110)*parametros_manuales!$I$36*parametros_manuales!$J$36</f>
        <v>1108.1114864415</v>
      </c>
      <c r="C235" s="9" t="n">
        <f aca="false">(parametros_manuales!$D$36*(datos_base!$J$2+datos_base!$J$18+IF(parametros_manuales!$H$36="Todos",datos_base!$J$9+datos_base!$J$23,0))*parametros_manuales!$C$95+parametros_manuales!$E$36*(datos_base!$J$3+datos_base!$J$19+IF(parametros_manuales!$H$36="Todos",datos_base!$J$10+datos_base!$J$24,0))*parametros_manuales!$C$100+parametros_manuales!$F$36*(datos_base!$J$4+datos_base!$J$20+IF(parametros_manuales!$H$36="Todos",datos_base!$J$11+datos_base!$J$25,0))*parametros_manuales!$C$105+parametros_manuales!$G$36*(datos_base!$J$5+datos_base!$J$21+IF(parametros_manuales!$H$36="Todos",datos_base!$J$12+datos_base!$J$26,0))*parametros_manuales!$C$110)*parametros_manuales!$I$36*parametros_manuales!$J$36</f>
        <v>1072.684556018</v>
      </c>
      <c r="D235" s="9" t="n">
        <f aca="false">(parametros_manuales!$D$36*(datos_base!$J$2+datos_base!$J$18+IF(parametros_manuales!$H$36="Todos",datos_base!$J$9+datos_base!$J$23,0))*parametros_manuales!$D$95+parametros_manuales!$E$36*(datos_base!$J$3+datos_base!$J$19+IF(parametros_manuales!$H$36="Todos",datos_base!$J$10+datos_base!$J$24,0))*parametros_manuales!$D$100+parametros_manuales!$F$36*(datos_base!$J$4+datos_base!$J$20+IF(parametros_manuales!$H$36="Todos",datos_base!$J$11+datos_base!$J$25,0))*parametros_manuales!$D$105+parametros_manuales!$G$36*(datos_base!$J$5+datos_base!$J$21+IF(parametros_manuales!$H$36="Todos",datos_base!$J$12+datos_base!$J$26,0))*parametros_manuales!$D$110)*parametros_manuales!$I$36*parametros_manuales!$J$36</f>
        <v>1002.70145315975</v>
      </c>
      <c r="E235" s="9" t="n">
        <f aca="false">(parametros_manuales!$D$36*(datos_base!$J$2+datos_base!$J$18+IF(parametros_manuales!$H$36="Todos",datos_base!$J$9+datos_base!$J$23,0))*parametros_manuales!$E$95+parametros_manuales!$E$36*(datos_base!$J$3+datos_base!$J$19+IF(parametros_manuales!$H$36="Todos",datos_base!$J$10+datos_base!$J$24,0))*parametros_manuales!$E$100+parametros_manuales!$F$36*(datos_base!$J$4+datos_base!$J$20+IF(parametros_manuales!$H$36="Todos",datos_base!$J$11+datos_base!$J$25,0))*parametros_manuales!$E$105+parametros_manuales!$G$36*(datos_base!$J$5+datos_base!$J$21+IF(parametros_manuales!$H$36="Todos",datos_base!$J$12+datos_base!$J$26,0))*parametros_manuales!$E$110)*parametros_manuales!$I$36*parametros_manuales!$J$36</f>
        <v>958.85316912475</v>
      </c>
      <c r="F235" s="9" t="n">
        <f aca="false">(parametros_manuales!$D$36*(datos_base!$J$2+datos_base!$J$18+IF(parametros_manuales!$H$36="Todos",datos_base!$J$9+datos_base!$J$23,0))*parametros_manuales!$F$95+parametros_manuales!$E$36*(datos_base!$J$3+datos_base!$J$19+IF(parametros_manuales!$H$36="Todos",datos_base!$J$10+datos_base!$J$24,0))*parametros_manuales!$F$100+parametros_manuales!$F$36*(datos_base!$J$4+datos_base!$J$20+IF(parametros_manuales!$H$36="Todos",datos_base!$J$11+datos_base!$J$25,0))*parametros_manuales!$F$105+parametros_manuales!$G$36*(datos_base!$J$5+datos_base!$J$21+IF(parametros_manuales!$H$36="Todos",datos_base!$J$12+datos_base!$J$26,0))*parametros_manuales!$F$110)*parametros_manuales!$I$36*parametros_manuales!$J$36</f>
        <v>897.291419878</v>
      </c>
      <c r="G235" s="9" t="n">
        <f aca="false">(parametros_manuales!$D$36*(datos_base!$J$2+datos_base!$J$18+IF(parametros_manuales!$H$36="Todos",datos_base!$J$9+datos_base!$J$23,0))*parametros_manuales!$G$95+parametros_manuales!$E$36*(datos_base!$J$3+datos_base!$J$19+IF(parametros_manuales!$H$36="Todos",datos_base!$J$10+datos_base!$J$24,0))*parametros_manuales!$G$100+parametros_manuales!$F$36*(datos_base!$J$4+datos_base!$J$20+IF(parametros_manuales!$H$36="Todos",datos_base!$J$11+datos_base!$J$25,0))*parametros_manuales!$G$105+parametros_manuales!$G$36*(datos_base!$J$5+datos_base!$J$21+IF(parametros_manuales!$H$36="Todos",datos_base!$J$12+datos_base!$J$26,0))*parametros_manuales!$G$110)*parametros_manuales!$I$36*parametros_manuales!$J$36</f>
        <v>879.57795466625</v>
      </c>
      <c r="H235" s="9" t="n">
        <f aca="false">(parametros_manuales!$D$36*(datos_base!$J$2+datos_base!$J$18+IF(parametros_manuales!$H$36="Todos",datos_base!$J$9+datos_base!$J$23,0))*parametros_manuales!$H$95+parametros_manuales!$E$36*(datos_base!$J$3+datos_base!$J$19+IF(parametros_manuales!$H$36="Todos",datos_base!$J$10+datos_base!$J$24,0))*parametros_manuales!$H$100+parametros_manuales!$F$36*(datos_base!$J$4+datos_base!$J$20+IF(parametros_manuales!$H$36="Todos",datos_base!$J$11+datos_base!$J$25,0))*parametros_manuales!$H$105+parametros_manuales!$G$36*(datos_base!$J$5+datos_base!$J$21+IF(parametros_manuales!$H$36="Todos",datos_base!$J$12+datos_base!$J$26,0))*parametros_manuales!$H$110)*parametros_manuales!$I$36*parametros_manuales!$J$36</f>
        <v>941.139703913</v>
      </c>
      <c r="I235" s="9" t="n">
        <f aca="false">(parametros_manuales!$D$36*(datos_base!$J$2+datos_base!$J$18+IF(parametros_manuales!$H$36="Todos",datos_base!$J$9+datos_base!$J$23,0))*parametros_manuales!$I$95+parametros_manuales!$E$36*(datos_base!$J$3+datos_base!$J$19+IF(parametros_manuales!$H$36="Todos",datos_base!$J$10+datos_base!$J$24,0))*parametros_manuales!$I$100+parametros_manuales!$F$36*(datos_base!$J$4+datos_base!$J$20+IF(parametros_manuales!$H$36="Todos",datos_base!$J$11+datos_base!$J$25,0))*parametros_manuales!$I$105+parametros_manuales!$G$36*(datos_base!$J$5+datos_base!$J$21+IF(parametros_manuales!$H$36="Todos",datos_base!$J$12+datos_base!$J$26,0))*parametros_manuales!$I$110)*parametros_manuales!$I$36*parametros_manuales!$J$36</f>
        <v>1072.684556018</v>
      </c>
      <c r="J235" s="9" t="n">
        <f aca="false">(parametros_manuales!$D$36*(datos_base!$J$2+datos_base!$J$18+IF(parametros_manuales!$H$36="Todos",datos_base!$J$9+datos_base!$J$23,0))*parametros_manuales!$J$95+parametros_manuales!$E$36*(datos_base!$J$3+datos_base!$J$19+IF(parametros_manuales!$H$36="Todos",datos_base!$J$10+datos_base!$J$24,0))*parametros_manuales!$J$100+parametros_manuales!$F$36*(datos_base!$J$4+datos_base!$J$20+IF(parametros_manuales!$H$36="Todos",datos_base!$J$11+datos_base!$J$25,0))*parametros_manuales!$J$105+parametros_manuales!$G$36*(datos_base!$J$5+datos_base!$J$21+IF(parametros_manuales!$H$36="Todos",datos_base!$J$12+datos_base!$J$26,0))*parametros_manuales!$J$110)*parametros_manuales!$I$36*parametros_manuales!$J$36</f>
        <v>1072.684556018</v>
      </c>
      <c r="K235" s="9" t="n">
        <f aca="false">(parametros_manuales!$D$36*(datos_base!$J$2+datos_base!$J$18+IF(parametros_manuales!$H$36="Todos",datos_base!$J$9+datos_base!$J$23,0))*parametros_manuales!$K$95+parametros_manuales!$E$36*(datos_base!$J$3+datos_base!$J$19+IF(parametros_manuales!$H$36="Todos",datos_base!$J$10+datos_base!$J$24,0))*parametros_manuales!$K$100+parametros_manuales!$F$36*(datos_base!$J$4+datos_base!$J$20+IF(parametros_manuales!$H$36="Todos",datos_base!$J$11+datos_base!$J$25,0))*parametros_manuales!$K$105+parametros_manuales!$G$36*(datos_base!$J$5+datos_base!$J$21+IF(parametros_manuales!$H$36="Todos",datos_base!$J$12+datos_base!$J$26,0))*parametros_manuales!$K$110)*parametros_manuales!$I$36*parametros_manuales!$J$36</f>
        <v>1090.39802122975</v>
      </c>
      <c r="L235" s="9" t="n">
        <f aca="false">(parametros_manuales!$D$36*(datos_base!$J$2+datos_base!$J$18+IF(parametros_manuales!$H$36="Todos",datos_base!$J$9+datos_base!$J$23,0))*parametros_manuales!$L$95+parametros_manuales!$E$36*(datos_base!$J$3+datos_base!$J$19+IF(parametros_manuales!$H$36="Todos",datos_base!$J$10+datos_base!$J$24,0))*parametros_manuales!$L$100+parametros_manuales!$F$36*(datos_base!$J$4+datos_base!$J$20+IF(parametros_manuales!$H$36="Todos",datos_base!$J$11+datos_base!$J$25,0))*parametros_manuales!$L$105+parametros_manuales!$G$36*(datos_base!$J$5+datos_base!$J$21+IF(parametros_manuales!$H$36="Todos",datos_base!$J$12+datos_base!$J$26,0))*parametros_manuales!$L$110)*parametros_manuales!$I$36*parametros_manuales!$J$36</f>
        <v>1108.1114864415</v>
      </c>
      <c r="M235" s="9" t="n">
        <f aca="false">(parametros_manuales!$D$36*(datos_base!$J$2+datos_base!$J$18+IF(parametros_manuales!$H$36="Todos",datos_base!$J$9+datos_base!$J$23,0))*parametros_manuales!$M$95+parametros_manuales!$E$36*(datos_base!$J$3+datos_base!$J$19+IF(parametros_manuales!$H$36="Todos",datos_base!$J$10+datos_base!$J$24,0))*parametros_manuales!$M$100+parametros_manuales!$F$36*(datos_base!$J$4+datos_base!$J$20+IF(parametros_manuales!$H$36="Todos",datos_base!$J$11+datos_base!$J$25,0))*parametros_manuales!$M$105+parametros_manuales!$G$36*(datos_base!$J$5+datos_base!$J$21+IF(parametros_manuales!$H$36="Todos",datos_base!$J$12+datos_base!$J$26,0))*parametros_manuales!$M$110)*parametros_manuales!$I$36*parametros_manuales!$J$36</f>
        <v>1108.1114864415</v>
      </c>
      <c r="N235" s="9" t="n">
        <f aca="false">SUM(B235:M235)</f>
        <v>12312.34984935</v>
      </c>
      <c r="O235" s="9" t="n">
        <f aca="false">MAX(B235:M235)</f>
        <v>1108.1114864415</v>
      </c>
      <c r="P235" s="43" t="n">
        <f aca="false">O235/(parametros_manuales!$B$7)</f>
        <v>7.38740990961</v>
      </c>
      <c r="Q235" s="8" t="str">
        <f aca="false">IF(O235=0,"-",INDEX($B$217:$M$217,MATCH(O235,B235:M235,0)))</f>
        <v>Ene</v>
      </c>
    </row>
    <row r="236" customFormat="false" ht="14.25" hidden="false" customHeight="true" outlineLevel="0" collapsed="false">
      <c r="A236" s="8" t="str">
        <f aca="false">parametros_manuales!$B$37</f>
        <v>Pintura en polvo + horno</v>
      </c>
      <c r="B236" s="9" t="n">
        <f aca="false">(parametros_manuales!$D$37*(datos_base!$J$2+datos_base!$J$18+IF(parametros_manuales!$H$37="Todos",datos_base!$J$9+datos_base!$J$23,0))*parametros_manuales!$B$95+parametros_manuales!$E$37*(datos_base!$J$3+datos_base!$J$19+IF(parametros_manuales!$H$37="Todos",datos_base!$J$10+datos_base!$J$24,0))*parametros_manuales!$B$100+parametros_manuales!$F$37*(datos_base!$J$4+datos_base!$J$20+IF(parametros_manuales!$H$37="Todos",datos_base!$J$11+datos_base!$J$25,0))*parametros_manuales!$B$105+parametros_manuales!$G$37*(datos_base!$J$5+datos_base!$J$21+IF(parametros_manuales!$H$37="Todos",datos_base!$J$12+datos_base!$J$26,0))*parametros_manuales!$B$110)*parametros_manuales!$I$37*parametros_manuales!$J$37</f>
        <v>22162.22972883</v>
      </c>
      <c r="C236" s="9" t="n">
        <f aca="false">(parametros_manuales!$D$37*(datos_base!$J$2+datos_base!$J$18+IF(parametros_manuales!$H$37="Todos",datos_base!$J$9+datos_base!$J$23,0))*parametros_manuales!$C$95+parametros_manuales!$E$37*(datos_base!$J$3+datos_base!$J$19+IF(parametros_manuales!$H$37="Todos",datos_base!$J$10+datos_base!$J$24,0))*parametros_manuales!$C$100+parametros_manuales!$F$37*(datos_base!$J$4+datos_base!$J$20+IF(parametros_manuales!$H$37="Todos",datos_base!$J$11+datos_base!$J$25,0))*parametros_manuales!$C$105+parametros_manuales!$G$37*(datos_base!$J$5+datos_base!$J$21+IF(parametros_manuales!$H$37="Todos",datos_base!$J$12+datos_base!$J$26,0))*parametros_manuales!$C$110)*parametros_manuales!$I$37*parametros_manuales!$J$37</f>
        <v>21453.69112036</v>
      </c>
      <c r="D236" s="9" t="n">
        <f aca="false">(parametros_manuales!$D$37*(datos_base!$J$2+datos_base!$J$18+IF(parametros_manuales!$H$37="Todos",datos_base!$J$9+datos_base!$J$23,0))*parametros_manuales!$D$95+parametros_manuales!$E$37*(datos_base!$J$3+datos_base!$J$19+IF(parametros_manuales!$H$37="Todos",datos_base!$J$10+datos_base!$J$24,0))*parametros_manuales!$D$100+parametros_manuales!$F$37*(datos_base!$J$4+datos_base!$J$20+IF(parametros_manuales!$H$37="Todos",datos_base!$J$11+datos_base!$J$25,0))*parametros_manuales!$D$105+parametros_manuales!$G$37*(datos_base!$J$5+datos_base!$J$21+IF(parametros_manuales!$H$37="Todos",datos_base!$J$12+datos_base!$J$26,0))*parametros_manuales!$D$110)*parametros_manuales!$I$37*parametros_manuales!$J$37</f>
        <v>20054.029063195</v>
      </c>
      <c r="E236" s="9" t="n">
        <f aca="false">(parametros_manuales!$D$37*(datos_base!$J$2+datos_base!$J$18+IF(parametros_manuales!$H$37="Todos",datos_base!$J$9+datos_base!$J$23,0))*parametros_manuales!$E$95+parametros_manuales!$E$37*(datos_base!$J$3+datos_base!$J$19+IF(parametros_manuales!$H$37="Todos",datos_base!$J$10+datos_base!$J$24,0))*parametros_manuales!$E$100+parametros_manuales!$F$37*(datos_base!$J$4+datos_base!$J$20+IF(parametros_manuales!$H$37="Todos",datos_base!$J$11+datos_base!$J$25,0))*parametros_manuales!$E$105+parametros_manuales!$G$37*(datos_base!$J$5+datos_base!$J$21+IF(parametros_manuales!$H$37="Todos",datos_base!$J$12+datos_base!$J$26,0))*parametros_manuales!$E$110)*parametros_manuales!$I$37*parametros_manuales!$J$37</f>
        <v>19177.063382495</v>
      </c>
      <c r="F236" s="9" t="n">
        <f aca="false">(parametros_manuales!$D$37*(datos_base!$J$2+datos_base!$J$18+IF(parametros_manuales!$H$37="Todos",datos_base!$J$9+datos_base!$J$23,0))*parametros_manuales!$F$95+parametros_manuales!$E$37*(datos_base!$J$3+datos_base!$J$19+IF(parametros_manuales!$H$37="Todos",datos_base!$J$10+datos_base!$J$24,0))*parametros_manuales!$F$100+parametros_manuales!$F$37*(datos_base!$J$4+datos_base!$J$20+IF(parametros_manuales!$H$37="Todos",datos_base!$J$11+datos_base!$J$25,0))*parametros_manuales!$F$105+parametros_manuales!$G$37*(datos_base!$J$5+datos_base!$J$21+IF(parametros_manuales!$H$37="Todos",datos_base!$J$12+datos_base!$J$26,0))*parametros_manuales!$F$110)*parametros_manuales!$I$37*parametros_manuales!$J$37</f>
        <v>17945.82839756</v>
      </c>
      <c r="G236" s="9" t="n">
        <f aca="false">(parametros_manuales!$D$37*(datos_base!$J$2+datos_base!$J$18+IF(parametros_manuales!$H$37="Todos",datos_base!$J$9+datos_base!$J$23,0))*parametros_manuales!$G$95+parametros_manuales!$E$37*(datos_base!$J$3+datos_base!$J$19+IF(parametros_manuales!$H$37="Todos",datos_base!$J$10+datos_base!$J$24,0))*parametros_manuales!$G$100+parametros_manuales!$F$37*(datos_base!$J$4+datos_base!$J$20+IF(parametros_manuales!$H$37="Todos",datos_base!$J$11+datos_base!$J$25,0))*parametros_manuales!$G$105+parametros_manuales!$G$37*(datos_base!$J$5+datos_base!$J$21+IF(parametros_manuales!$H$37="Todos",datos_base!$J$12+datos_base!$J$26,0))*parametros_manuales!$G$110)*parametros_manuales!$I$37*parametros_manuales!$J$37</f>
        <v>17591.559093325</v>
      </c>
      <c r="H236" s="9" t="n">
        <f aca="false">(parametros_manuales!$D$37*(datos_base!$J$2+datos_base!$J$18+IF(parametros_manuales!$H$37="Todos",datos_base!$J$9+datos_base!$J$23,0))*parametros_manuales!$H$95+parametros_manuales!$E$37*(datos_base!$J$3+datos_base!$J$19+IF(parametros_manuales!$H$37="Todos",datos_base!$J$10+datos_base!$J$24,0))*parametros_manuales!$H$100+parametros_manuales!$F$37*(datos_base!$J$4+datos_base!$J$20+IF(parametros_manuales!$H$37="Todos",datos_base!$J$11+datos_base!$J$25,0))*parametros_manuales!$H$105+parametros_manuales!$G$37*(datos_base!$J$5+datos_base!$J$21+IF(parametros_manuales!$H$37="Todos",datos_base!$J$12+datos_base!$J$26,0))*parametros_manuales!$H$110)*parametros_manuales!$I$37*parametros_manuales!$J$37</f>
        <v>18822.79407826</v>
      </c>
      <c r="I236" s="9" t="n">
        <f aca="false">(parametros_manuales!$D$37*(datos_base!$J$2+datos_base!$J$18+IF(parametros_manuales!$H$37="Todos",datos_base!$J$9+datos_base!$J$23,0))*parametros_manuales!$I$95+parametros_manuales!$E$37*(datos_base!$J$3+datos_base!$J$19+IF(parametros_manuales!$H$37="Todos",datos_base!$J$10+datos_base!$J$24,0))*parametros_manuales!$I$100+parametros_manuales!$F$37*(datos_base!$J$4+datos_base!$J$20+IF(parametros_manuales!$H$37="Todos",datos_base!$J$11+datos_base!$J$25,0))*parametros_manuales!$I$105+parametros_manuales!$G$37*(datos_base!$J$5+datos_base!$J$21+IF(parametros_manuales!$H$37="Todos",datos_base!$J$12+datos_base!$J$26,0))*parametros_manuales!$I$110)*parametros_manuales!$I$37*parametros_manuales!$J$37</f>
        <v>21453.69112036</v>
      </c>
      <c r="J236" s="9" t="n">
        <f aca="false">(parametros_manuales!$D$37*(datos_base!$J$2+datos_base!$J$18+IF(parametros_manuales!$H$37="Todos",datos_base!$J$9+datos_base!$J$23,0))*parametros_manuales!$J$95+parametros_manuales!$E$37*(datos_base!$J$3+datos_base!$J$19+IF(parametros_manuales!$H$37="Todos",datos_base!$J$10+datos_base!$J$24,0))*parametros_manuales!$J$100+parametros_manuales!$F$37*(datos_base!$J$4+datos_base!$J$20+IF(parametros_manuales!$H$37="Todos",datos_base!$J$11+datos_base!$J$25,0))*parametros_manuales!$J$105+parametros_manuales!$G$37*(datos_base!$J$5+datos_base!$J$21+IF(parametros_manuales!$H$37="Todos",datos_base!$J$12+datos_base!$J$26,0))*parametros_manuales!$J$110)*parametros_manuales!$I$37*parametros_manuales!$J$37</f>
        <v>21453.69112036</v>
      </c>
      <c r="K236" s="9" t="n">
        <f aca="false">(parametros_manuales!$D$37*(datos_base!$J$2+datos_base!$J$18+IF(parametros_manuales!$H$37="Todos",datos_base!$J$9+datos_base!$J$23,0))*parametros_manuales!$K$95+parametros_manuales!$E$37*(datos_base!$J$3+datos_base!$J$19+IF(parametros_manuales!$H$37="Todos",datos_base!$J$10+datos_base!$J$24,0))*parametros_manuales!$K$100+parametros_manuales!$F$37*(datos_base!$J$4+datos_base!$J$20+IF(parametros_manuales!$H$37="Todos",datos_base!$J$11+datos_base!$J$25,0))*parametros_manuales!$K$105+parametros_manuales!$G$37*(datos_base!$J$5+datos_base!$J$21+IF(parametros_manuales!$H$37="Todos",datos_base!$J$12+datos_base!$J$26,0))*parametros_manuales!$K$110)*parametros_manuales!$I$37*parametros_manuales!$J$37</f>
        <v>21807.960424595</v>
      </c>
      <c r="L236" s="9" t="n">
        <f aca="false">(parametros_manuales!$D$37*(datos_base!$J$2+datos_base!$J$18+IF(parametros_manuales!$H$37="Todos",datos_base!$J$9+datos_base!$J$23,0))*parametros_manuales!$L$95+parametros_manuales!$E$37*(datos_base!$J$3+datos_base!$J$19+IF(parametros_manuales!$H$37="Todos",datos_base!$J$10+datos_base!$J$24,0))*parametros_manuales!$L$100+parametros_manuales!$F$37*(datos_base!$J$4+datos_base!$J$20+IF(parametros_manuales!$H$37="Todos",datos_base!$J$11+datos_base!$J$25,0))*parametros_manuales!$L$105+parametros_manuales!$G$37*(datos_base!$J$5+datos_base!$J$21+IF(parametros_manuales!$H$37="Todos",datos_base!$J$12+datos_base!$J$26,0))*parametros_manuales!$L$110)*parametros_manuales!$I$37*parametros_manuales!$J$37</f>
        <v>22162.22972883</v>
      </c>
      <c r="M236" s="9" t="n">
        <f aca="false">(parametros_manuales!$D$37*(datos_base!$J$2+datos_base!$J$18+IF(parametros_manuales!$H$37="Todos",datos_base!$J$9+datos_base!$J$23,0))*parametros_manuales!$M$95+parametros_manuales!$E$37*(datos_base!$J$3+datos_base!$J$19+IF(parametros_manuales!$H$37="Todos",datos_base!$J$10+datos_base!$J$24,0))*parametros_manuales!$M$100+parametros_manuales!$F$37*(datos_base!$J$4+datos_base!$J$20+IF(parametros_manuales!$H$37="Todos",datos_base!$J$11+datos_base!$J$25,0))*parametros_manuales!$M$105+parametros_manuales!$G$37*(datos_base!$J$5+datos_base!$J$21+IF(parametros_manuales!$H$37="Todos",datos_base!$J$12+datos_base!$J$26,0))*parametros_manuales!$M$110)*parametros_manuales!$I$37*parametros_manuales!$J$37</f>
        <v>22162.22972883</v>
      </c>
      <c r="N236" s="9" t="n">
        <f aca="false">SUM(B236:M236)</f>
        <v>246246.996987</v>
      </c>
      <c r="O236" s="9" t="n">
        <f aca="false">MAX(B236:M236)</f>
        <v>22162.22972883</v>
      </c>
      <c r="P236" s="43" t="n">
        <f aca="false">O236/(parametros_manuales!$B$7)</f>
        <v>147.7481981922</v>
      </c>
      <c r="Q236" s="8" t="str">
        <f aca="false">IF(O236=0,"-",INDEX($B$217:$M$217,MATCH(O236,B236:M236,0)))</f>
        <v>Ene</v>
      </c>
    </row>
    <row r="237" customFormat="false" ht="14.25" hidden="false" customHeight="true" outlineLevel="0" collapsed="false">
      <c r="A237" s="8" t="str">
        <f aca="false">parametros_manuales!$B$38</f>
        <v>Carga de polvo</v>
      </c>
      <c r="B237" s="9" t="n">
        <f aca="false">(parametros_manuales!$D$38*(datos_base!$J$2+datos_base!$J$18+IF(parametros_manuales!$H$38="Todos",datos_base!$J$9+datos_base!$J$23,0))*parametros_manuales!$B$95+parametros_manuales!$E$38*(datos_base!$J$3+datos_base!$J$19+IF(parametros_manuales!$H$38="Todos",datos_base!$J$10+datos_base!$J$24,0))*parametros_manuales!$B$100+parametros_manuales!$F$38*(datos_base!$J$4+datos_base!$J$20+IF(parametros_manuales!$H$38="Todos",datos_base!$J$11+datos_base!$J$25,0))*parametros_manuales!$B$105+parametros_manuales!$G$38*(datos_base!$J$5+datos_base!$J$21+IF(parametros_manuales!$H$38="Todos",datos_base!$J$12+datos_base!$J$26,0))*parametros_manuales!$B$110)*parametros_manuales!$I$38*parametros_manuales!$J$38</f>
        <v>5709.93812883</v>
      </c>
      <c r="C237" s="9" t="n">
        <f aca="false">(parametros_manuales!$D$38*(datos_base!$J$2+datos_base!$J$18+IF(parametros_manuales!$H$38="Todos",datos_base!$J$9+datos_base!$J$23,0))*parametros_manuales!$C$95+parametros_manuales!$E$38*(datos_base!$J$3+datos_base!$J$19+IF(parametros_manuales!$H$38="Todos",datos_base!$J$10+datos_base!$J$24,0))*parametros_manuales!$C$100+parametros_manuales!$F$38*(datos_base!$J$4+datos_base!$J$20+IF(parametros_manuales!$H$38="Todos",datos_base!$J$11+datos_base!$J$25,0))*parametros_manuales!$C$105+parametros_manuales!$G$38*(datos_base!$J$5+datos_base!$J$21+IF(parametros_manuales!$H$38="Todos",datos_base!$J$12+datos_base!$J$26,0))*parametros_manuales!$C$110)*parametros_manuales!$I$38*parametros_manuales!$J$38</f>
        <v>5361.23392036</v>
      </c>
      <c r="D237" s="9" t="n">
        <f aca="false">(parametros_manuales!$D$38*(datos_base!$J$2+datos_base!$J$18+IF(parametros_manuales!$H$38="Todos",datos_base!$J$9+datos_base!$J$23,0))*parametros_manuales!$D$95+parametros_manuales!$E$38*(datos_base!$J$3+datos_base!$J$19+IF(parametros_manuales!$H$38="Todos",datos_base!$J$10+datos_base!$J$24,0))*parametros_manuales!$D$100+parametros_manuales!$F$38*(datos_base!$J$4+datos_base!$J$20+IF(parametros_manuales!$H$38="Todos",datos_base!$J$11+datos_base!$J$25,0))*parametros_manuales!$D$105+parametros_manuales!$G$38*(datos_base!$J$5+datos_base!$J$21+IF(parametros_manuales!$H$38="Todos",datos_base!$J$12+datos_base!$J$26,0))*parametros_manuales!$D$110)*parametros_manuales!$I$38*parametros_manuales!$J$38</f>
        <v>5249.852663195</v>
      </c>
      <c r="E237" s="9" t="n">
        <f aca="false">(parametros_manuales!$D$38*(datos_base!$J$2+datos_base!$J$18+IF(parametros_manuales!$H$38="Todos",datos_base!$J$9+datos_base!$J$23,0))*parametros_manuales!$E$95+parametros_manuales!$E$38*(datos_base!$J$3+datos_base!$J$19+IF(parametros_manuales!$H$38="Todos",datos_base!$J$10+datos_base!$J$24,0))*parametros_manuales!$E$100+parametros_manuales!$F$38*(datos_base!$J$4+datos_base!$J$20+IF(parametros_manuales!$H$38="Todos",datos_base!$J$11+datos_base!$J$25,0))*parametros_manuales!$E$105+parametros_manuales!$G$38*(datos_base!$J$5+datos_base!$J$21+IF(parametros_manuales!$H$38="Todos",datos_base!$J$12+datos_base!$J$26,0))*parametros_manuales!$E$110)*parametros_manuales!$I$38*parametros_manuales!$J$38</f>
        <v>5106.985982495</v>
      </c>
      <c r="F237" s="9" t="n">
        <f aca="false">(parametros_manuales!$D$38*(datos_base!$J$2+datos_base!$J$18+IF(parametros_manuales!$H$38="Todos",datos_base!$J$9+datos_base!$J$23,0))*parametros_manuales!$F$95+parametros_manuales!$E$38*(datos_base!$J$3+datos_base!$J$19+IF(parametros_manuales!$H$38="Todos",datos_base!$J$10+datos_base!$J$24,0))*parametros_manuales!$F$100+parametros_manuales!$F$38*(datos_base!$J$4+datos_base!$J$20+IF(parametros_manuales!$H$38="Todos",datos_base!$J$11+datos_base!$J$25,0))*parametros_manuales!$F$105+parametros_manuales!$G$38*(datos_base!$J$5+datos_base!$J$21+IF(parametros_manuales!$H$38="Todos",datos_base!$J$12+datos_base!$J$26,0))*parametros_manuales!$F$110)*parametros_manuales!$I$38*parametros_manuales!$J$38</f>
        <v>4789.76719756</v>
      </c>
      <c r="G237" s="9" t="n">
        <f aca="false">(parametros_manuales!$D$38*(datos_base!$J$2+datos_base!$J$18+IF(parametros_manuales!$H$38="Todos",datos_base!$J$9+datos_base!$J$23,0))*parametros_manuales!$G$95+parametros_manuales!$E$38*(datos_base!$J$3+datos_base!$J$19+IF(parametros_manuales!$H$38="Todos",datos_base!$J$10+datos_base!$J$24,0))*parametros_manuales!$G$100+parametros_manuales!$F$38*(datos_base!$J$4+datos_base!$J$20+IF(parametros_manuales!$H$38="Todos",datos_base!$J$11+datos_base!$J$25,0))*parametros_manuales!$G$105+parametros_manuales!$G$38*(datos_base!$J$5+datos_base!$J$21+IF(parametros_manuales!$H$38="Todos",datos_base!$J$12+datos_base!$J$26,0))*parametros_manuales!$G$110)*parametros_manuales!$I$38*parametros_manuales!$J$38</f>
        <v>4615.415093325</v>
      </c>
      <c r="H237" s="9" t="n">
        <f aca="false">(parametros_manuales!$D$38*(datos_base!$J$2+datos_base!$J$18+IF(parametros_manuales!$H$38="Todos",datos_base!$J$9+datos_base!$J$23,0))*parametros_manuales!$H$95+parametros_manuales!$E$38*(datos_base!$J$3+datos_base!$J$19+IF(parametros_manuales!$H$38="Todos",datos_base!$J$10+datos_base!$J$24,0))*parametros_manuales!$H$100+parametros_manuales!$F$38*(datos_base!$J$4+datos_base!$J$20+IF(parametros_manuales!$H$38="Todos",datos_base!$J$11+datos_base!$J$25,0))*parametros_manuales!$H$105+parametros_manuales!$G$38*(datos_base!$J$5+datos_base!$J$21+IF(parametros_manuales!$H$38="Todos",datos_base!$J$12+datos_base!$J$26,0))*parametros_manuales!$H$110)*parametros_manuales!$I$38*parametros_manuales!$J$38</f>
        <v>4932.63387826</v>
      </c>
      <c r="I237" s="9" t="n">
        <f aca="false">(parametros_manuales!$D$38*(datos_base!$J$2+datos_base!$J$18+IF(parametros_manuales!$H$38="Todos",datos_base!$J$9+datos_base!$J$23,0))*parametros_manuales!$I$95+parametros_manuales!$E$38*(datos_base!$J$3+datos_base!$J$19+IF(parametros_manuales!$H$38="Todos",datos_base!$J$10+datos_base!$J$24,0))*parametros_manuales!$I$100+parametros_manuales!$F$38*(datos_base!$J$4+datos_base!$J$20+IF(parametros_manuales!$H$38="Todos",datos_base!$J$11+datos_base!$J$25,0))*parametros_manuales!$I$105+parametros_manuales!$G$38*(datos_base!$J$5+datos_base!$J$21+IF(parametros_manuales!$H$38="Todos",datos_base!$J$12+datos_base!$J$26,0))*parametros_manuales!$I$110)*parametros_manuales!$I$38*parametros_manuales!$J$38</f>
        <v>5361.23392036</v>
      </c>
      <c r="J237" s="9" t="n">
        <f aca="false">(parametros_manuales!$D$38*(datos_base!$J$2+datos_base!$J$18+IF(parametros_manuales!$H$38="Todos",datos_base!$J$9+datos_base!$J$23,0))*parametros_manuales!$J$95+parametros_manuales!$E$38*(datos_base!$J$3+datos_base!$J$19+IF(parametros_manuales!$H$38="Todos",datos_base!$J$10+datos_base!$J$24,0))*parametros_manuales!$J$100+parametros_manuales!$F$38*(datos_base!$J$4+datos_base!$J$20+IF(parametros_manuales!$H$38="Todos",datos_base!$J$11+datos_base!$J$25,0))*parametros_manuales!$J$105+parametros_manuales!$G$38*(datos_base!$J$5+datos_base!$J$21+IF(parametros_manuales!$H$38="Todos",datos_base!$J$12+datos_base!$J$26,0))*parametros_manuales!$J$110)*parametros_manuales!$I$38*parametros_manuales!$J$38</f>
        <v>5361.23392036</v>
      </c>
      <c r="K237" s="9" t="n">
        <f aca="false">(parametros_manuales!$D$38*(datos_base!$J$2+datos_base!$J$18+IF(parametros_manuales!$H$38="Todos",datos_base!$J$9+datos_base!$J$23,0))*parametros_manuales!$K$95+parametros_manuales!$E$38*(datos_base!$J$3+datos_base!$J$19+IF(parametros_manuales!$H$38="Todos",datos_base!$J$10+datos_base!$J$24,0))*parametros_manuales!$K$100+parametros_manuales!$F$38*(datos_base!$J$4+datos_base!$J$20+IF(parametros_manuales!$H$38="Todos",datos_base!$J$11+datos_base!$J$25,0))*parametros_manuales!$K$105+parametros_manuales!$G$38*(datos_base!$J$5+datos_base!$J$21+IF(parametros_manuales!$H$38="Todos",datos_base!$J$12+datos_base!$J$26,0))*parametros_manuales!$K$110)*parametros_manuales!$I$38*parametros_manuales!$J$38</f>
        <v>5535.586024595</v>
      </c>
      <c r="L237" s="9" t="n">
        <f aca="false">(parametros_manuales!$D$38*(datos_base!$J$2+datos_base!$J$18+IF(parametros_manuales!$H$38="Todos",datos_base!$J$9+datos_base!$J$23,0))*parametros_manuales!$L$95+parametros_manuales!$E$38*(datos_base!$J$3+datos_base!$J$19+IF(parametros_manuales!$H$38="Todos",datos_base!$J$10+datos_base!$J$24,0))*parametros_manuales!$L$100+parametros_manuales!$F$38*(datos_base!$J$4+datos_base!$J$20+IF(parametros_manuales!$H$38="Todos",datos_base!$J$11+datos_base!$J$25,0))*parametros_manuales!$L$105+parametros_manuales!$G$38*(datos_base!$J$5+datos_base!$J$21+IF(parametros_manuales!$H$38="Todos",datos_base!$J$12+datos_base!$J$26,0))*parametros_manuales!$L$110)*parametros_manuales!$I$38*parametros_manuales!$J$38</f>
        <v>5709.93812883</v>
      </c>
      <c r="M237" s="9" t="n">
        <f aca="false">(parametros_manuales!$D$38*(datos_base!$J$2+datos_base!$J$18+IF(parametros_manuales!$H$38="Todos",datos_base!$J$9+datos_base!$J$23,0))*parametros_manuales!$M$95+parametros_manuales!$E$38*(datos_base!$J$3+datos_base!$J$19+IF(parametros_manuales!$H$38="Todos",datos_base!$J$10+datos_base!$J$24,0))*parametros_manuales!$M$100+parametros_manuales!$F$38*(datos_base!$J$4+datos_base!$J$20+IF(parametros_manuales!$H$38="Todos",datos_base!$J$11+datos_base!$J$25,0))*parametros_manuales!$M$105+parametros_manuales!$G$38*(datos_base!$J$5+datos_base!$J$21+IF(parametros_manuales!$H$38="Todos",datos_base!$J$12+datos_base!$J$26,0))*parametros_manuales!$M$110)*parametros_manuales!$I$38*parametros_manuales!$J$38</f>
        <v>5709.93812883</v>
      </c>
      <c r="N237" s="9" t="n">
        <f aca="false">SUM(B237:M237)</f>
        <v>63443.756987</v>
      </c>
      <c r="O237" s="9" t="n">
        <f aca="false">MAX(B237:M237)</f>
        <v>5709.93812883</v>
      </c>
      <c r="P237" s="43" t="n">
        <f aca="false">O237/(parametros_manuales!$B$7)</f>
        <v>38.0662541922</v>
      </c>
      <c r="Q237" s="8" t="str">
        <f aca="false">IF(O237=0,"-",INDEX($B$217:$M$217,MATCH(O237,B237:M237,0)))</f>
        <v>Ene</v>
      </c>
    </row>
    <row r="238" customFormat="false" ht="14.25" hidden="false" customHeight="true" outlineLevel="0" collapsed="false">
      <c r="A238" s="8" t="str">
        <f aca="false">parametros_manuales!$B$39</f>
        <v>Ensamblaje</v>
      </c>
      <c r="B238" s="9" t="n">
        <f aca="false">(parametros_manuales!$D$39*(datos_base!$J$2+datos_base!$J$18+IF(parametros_manuales!$H$39="Todos",datos_base!$J$9+datos_base!$J$23,0))*parametros_manuales!$B$95+parametros_manuales!$E$39*(datos_base!$J$3+datos_base!$J$19+IF(parametros_manuales!$H$39="Todos",datos_base!$J$10+datos_base!$J$24,0))*parametros_manuales!$B$100+parametros_manuales!$F$39*(datos_base!$J$4+datos_base!$J$20+IF(parametros_manuales!$H$39="Todos",datos_base!$J$11+datos_base!$J$25,0))*parametros_manuales!$B$105+parametros_manuales!$G$39*(datos_base!$J$5+datos_base!$J$21+IF(parametros_manuales!$H$39="Todos",datos_base!$J$12+datos_base!$J$26,0))*parametros_manuales!$B$110)*parametros_manuales!$I$39*parametros_manuales!$J$39</f>
        <v>5709.93812883</v>
      </c>
      <c r="C238" s="9" t="n">
        <f aca="false">(parametros_manuales!$D$39*(datos_base!$J$2+datos_base!$J$18+IF(parametros_manuales!$H$39="Todos",datos_base!$J$9+datos_base!$J$23,0))*parametros_manuales!$C$95+parametros_manuales!$E$39*(datos_base!$J$3+datos_base!$J$19+IF(parametros_manuales!$H$39="Todos",datos_base!$J$10+datos_base!$J$24,0))*parametros_manuales!$C$100+parametros_manuales!$F$39*(datos_base!$J$4+datos_base!$J$20+IF(parametros_manuales!$H$39="Todos",datos_base!$J$11+datos_base!$J$25,0))*parametros_manuales!$C$105+parametros_manuales!$G$39*(datos_base!$J$5+datos_base!$J$21+IF(parametros_manuales!$H$39="Todos",datos_base!$J$12+datos_base!$J$26,0))*parametros_manuales!$C$110)*parametros_manuales!$I$39*parametros_manuales!$J$39</f>
        <v>5361.23392036</v>
      </c>
      <c r="D238" s="9" t="n">
        <f aca="false">(parametros_manuales!$D$39*(datos_base!$J$2+datos_base!$J$18+IF(parametros_manuales!$H$39="Todos",datos_base!$J$9+datos_base!$J$23,0))*parametros_manuales!$D$95+parametros_manuales!$E$39*(datos_base!$J$3+datos_base!$J$19+IF(parametros_manuales!$H$39="Todos",datos_base!$J$10+datos_base!$J$24,0))*parametros_manuales!$D$100+parametros_manuales!$F$39*(datos_base!$J$4+datos_base!$J$20+IF(parametros_manuales!$H$39="Todos",datos_base!$J$11+datos_base!$J$25,0))*parametros_manuales!$D$105+parametros_manuales!$G$39*(datos_base!$J$5+datos_base!$J$21+IF(parametros_manuales!$H$39="Todos",datos_base!$J$12+datos_base!$J$26,0))*parametros_manuales!$D$110)*parametros_manuales!$I$39*parametros_manuales!$J$39</f>
        <v>5249.852663195</v>
      </c>
      <c r="E238" s="9" t="n">
        <f aca="false">(parametros_manuales!$D$39*(datos_base!$J$2+datos_base!$J$18+IF(parametros_manuales!$H$39="Todos",datos_base!$J$9+datos_base!$J$23,0))*parametros_manuales!$E$95+parametros_manuales!$E$39*(datos_base!$J$3+datos_base!$J$19+IF(parametros_manuales!$H$39="Todos",datos_base!$J$10+datos_base!$J$24,0))*parametros_manuales!$E$100+parametros_manuales!$F$39*(datos_base!$J$4+datos_base!$J$20+IF(parametros_manuales!$H$39="Todos",datos_base!$J$11+datos_base!$J$25,0))*parametros_manuales!$E$105+parametros_manuales!$G$39*(datos_base!$J$5+datos_base!$J$21+IF(parametros_manuales!$H$39="Todos",datos_base!$J$12+datos_base!$J$26,0))*parametros_manuales!$E$110)*parametros_manuales!$I$39*parametros_manuales!$J$39</f>
        <v>5106.985982495</v>
      </c>
      <c r="F238" s="9" t="n">
        <f aca="false">(parametros_manuales!$D$39*(datos_base!$J$2+datos_base!$J$18+IF(parametros_manuales!$H$39="Todos",datos_base!$J$9+datos_base!$J$23,0))*parametros_manuales!$F$95+parametros_manuales!$E$39*(datos_base!$J$3+datos_base!$J$19+IF(parametros_manuales!$H$39="Todos",datos_base!$J$10+datos_base!$J$24,0))*parametros_manuales!$F$100+parametros_manuales!$F$39*(datos_base!$J$4+datos_base!$J$20+IF(parametros_manuales!$H$39="Todos",datos_base!$J$11+datos_base!$J$25,0))*parametros_manuales!$F$105+parametros_manuales!$G$39*(datos_base!$J$5+datos_base!$J$21+IF(parametros_manuales!$H$39="Todos",datos_base!$J$12+datos_base!$J$26,0))*parametros_manuales!$F$110)*parametros_manuales!$I$39*parametros_manuales!$J$39</f>
        <v>4789.76719756</v>
      </c>
      <c r="G238" s="9" t="n">
        <f aca="false">(parametros_manuales!$D$39*(datos_base!$J$2+datos_base!$J$18+IF(parametros_manuales!$H$39="Todos",datos_base!$J$9+datos_base!$J$23,0))*parametros_manuales!$G$95+parametros_manuales!$E$39*(datos_base!$J$3+datos_base!$J$19+IF(parametros_manuales!$H$39="Todos",datos_base!$J$10+datos_base!$J$24,0))*parametros_manuales!$G$100+parametros_manuales!$F$39*(datos_base!$J$4+datos_base!$J$20+IF(parametros_manuales!$H$39="Todos",datos_base!$J$11+datos_base!$J$25,0))*parametros_manuales!$G$105+parametros_manuales!$G$39*(datos_base!$J$5+datos_base!$J$21+IF(parametros_manuales!$H$39="Todos",datos_base!$J$12+datos_base!$J$26,0))*parametros_manuales!$G$110)*parametros_manuales!$I$39*parametros_manuales!$J$39</f>
        <v>4615.415093325</v>
      </c>
      <c r="H238" s="9" t="n">
        <f aca="false">(parametros_manuales!$D$39*(datos_base!$J$2+datos_base!$J$18+IF(parametros_manuales!$H$39="Todos",datos_base!$J$9+datos_base!$J$23,0))*parametros_manuales!$H$95+parametros_manuales!$E$39*(datos_base!$J$3+datos_base!$J$19+IF(parametros_manuales!$H$39="Todos",datos_base!$J$10+datos_base!$J$24,0))*parametros_manuales!$H$100+parametros_manuales!$F$39*(datos_base!$J$4+datos_base!$J$20+IF(parametros_manuales!$H$39="Todos",datos_base!$J$11+datos_base!$J$25,0))*parametros_manuales!$H$105+parametros_manuales!$G$39*(datos_base!$J$5+datos_base!$J$21+IF(parametros_manuales!$H$39="Todos",datos_base!$J$12+datos_base!$J$26,0))*parametros_manuales!$H$110)*parametros_manuales!$I$39*parametros_manuales!$J$39</f>
        <v>4932.63387826</v>
      </c>
      <c r="I238" s="9" t="n">
        <f aca="false">(parametros_manuales!$D$39*(datos_base!$J$2+datos_base!$J$18+IF(parametros_manuales!$H$39="Todos",datos_base!$J$9+datos_base!$J$23,0))*parametros_manuales!$I$95+parametros_manuales!$E$39*(datos_base!$J$3+datos_base!$J$19+IF(parametros_manuales!$H$39="Todos",datos_base!$J$10+datos_base!$J$24,0))*parametros_manuales!$I$100+parametros_manuales!$F$39*(datos_base!$J$4+datos_base!$J$20+IF(parametros_manuales!$H$39="Todos",datos_base!$J$11+datos_base!$J$25,0))*parametros_manuales!$I$105+parametros_manuales!$G$39*(datos_base!$J$5+datos_base!$J$21+IF(parametros_manuales!$H$39="Todos",datos_base!$J$12+datos_base!$J$26,0))*parametros_manuales!$I$110)*parametros_manuales!$I$39*parametros_manuales!$J$39</f>
        <v>5361.23392036</v>
      </c>
      <c r="J238" s="9" t="n">
        <f aca="false">(parametros_manuales!$D$39*(datos_base!$J$2+datos_base!$J$18+IF(parametros_manuales!$H$39="Todos",datos_base!$J$9+datos_base!$J$23,0))*parametros_manuales!$J$95+parametros_manuales!$E$39*(datos_base!$J$3+datos_base!$J$19+IF(parametros_manuales!$H$39="Todos",datos_base!$J$10+datos_base!$J$24,0))*parametros_manuales!$J$100+parametros_manuales!$F$39*(datos_base!$J$4+datos_base!$J$20+IF(parametros_manuales!$H$39="Todos",datos_base!$J$11+datos_base!$J$25,0))*parametros_manuales!$J$105+parametros_manuales!$G$39*(datos_base!$J$5+datos_base!$J$21+IF(parametros_manuales!$H$39="Todos",datos_base!$J$12+datos_base!$J$26,0))*parametros_manuales!$J$110)*parametros_manuales!$I$39*parametros_manuales!$J$39</f>
        <v>5361.23392036</v>
      </c>
      <c r="K238" s="9" t="n">
        <f aca="false">(parametros_manuales!$D$39*(datos_base!$J$2+datos_base!$J$18+IF(parametros_manuales!$H$39="Todos",datos_base!$J$9+datos_base!$J$23,0))*parametros_manuales!$K$95+parametros_manuales!$E$39*(datos_base!$J$3+datos_base!$J$19+IF(parametros_manuales!$H$39="Todos",datos_base!$J$10+datos_base!$J$24,0))*parametros_manuales!$K$100+parametros_manuales!$F$39*(datos_base!$J$4+datos_base!$J$20+IF(parametros_manuales!$H$39="Todos",datos_base!$J$11+datos_base!$J$25,0))*parametros_manuales!$K$105+parametros_manuales!$G$39*(datos_base!$J$5+datos_base!$J$21+IF(parametros_manuales!$H$39="Todos",datos_base!$J$12+datos_base!$J$26,0))*parametros_manuales!$K$110)*parametros_manuales!$I$39*parametros_manuales!$J$39</f>
        <v>5535.586024595</v>
      </c>
      <c r="L238" s="9" t="n">
        <f aca="false">(parametros_manuales!$D$39*(datos_base!$J$2+datos_base!$J$18+IF(parametros_manuales!$H$39="Todos",datos_base!$J$9+datos_base!$J$23,0))*parametros_manuales!$L$95+parametros_manuales!$E$39*(datos_base!$J$3+datos_base!$J$19+IF(parametros_manuales!$H$39="Todos",datos_base!$J$10+datos_base!$J$24,0))*parametros_manuales!$L$100+parametros_manuales!$F$39*(datos_base!$J$4+datos_base!$J$20+IF(parametros_manuales!$H$39="Todos",datos_base!$J$11+datos_base!$J$25,0))*parametros_manuales!$L$105+parametros_manuales!$G$39*(datos_base!$J$5+datos_base!$J$21+IF(parametros_manuales!$H$39="Todos",datos_base!$J$12+datos_base!$J$26,0))*parametros_manuales!$L$110)*parametros_manuales!$I$39*parametros_manuales!$J$39</f>
        <v>5709.93812883</v>
      </c>
      <c r="M238" s="9" t="n">
        <f aca="false">(parametros_manuales!$D$39*(datos_base!$J$2+datos_base!$J$18+IF(parametros_manuales!$H$39="Todos",datos_base!$J$9+datos_base!$J$23,0))*parametros_manuales!$M$95+parametros_manuales!$E$39*(datos_base!$J$3+datos_base!$J$19+IF(parametros_manuales!$H$39="Todos",datos_base!$J$10+datos_base!$J$24,0))*parametros_manuales!$M$100+parametros_manuales!$F$39*(datos_base!$J$4+datos_base!$J$20+IF(parametros_manuales!$H$39="Todos",datos_base!$J$11+datos_base!$J$25,0))*parametros_manuales!$M$105+parametros_manuales!$G$39*(datos_base!$J$5+datos_base!$J$21+IF(parametros_manuales!$H$39="Todos",datos_base!$J$12+datos_base!$J$26,0))*parametros_manuales!$M$110)*parametros_manuales!$I$39*parametros_manuales!$J$39</f>
        <v>5709.93812883</v>
      </c>
      <c r="N238" s="9" t="n">
        <f aca="false">SUM(B238:M238)</f>
        <v>63443.756987</v>
      </c>
      <c r="O238" s="9" t="n">
        <f aca="false">MAX(B238:M238)</f>
        <v>5709.93812883</v>
      </c>
      <c r="P238" s="43" t="n">
        <f aca="false">O238/(parametros_manuales!$B$7)</f>
        <v>38.0662541922</v>
      </c>
      <c r="Q238" s="8" t="str">
        <f aca="false">IF(O238=0,"-",INDEX($B$217:$M$217,MATCH(O238,B238:M238,0)))</f>
        <v>Ene</v>
      </c>
    </row>
    <row r="239" customFormat="false" ht="14.25" hidden="false" customHeight="true" outlineLevel="0" collapsed="false">
      <c r="A239" s="8" t="str">
        <f aca="false">parametros_manuales!$B$40</f>
        <v>Presurización</v>
      </c>
      <c r="B239" s="9" t="n">
        <f aca="false">(parametros_manuales!$D$40*(datos_base!$J$2+datos_base!$J$18+IF(parametros_manuales!$H$40="Todos",datos_base!$J$9+datos_base!$J$23,0))*parametros_manuales!$B$95+parametros_manuales!$E$40*(datos_base!$J$3+datos_base!$J$19+IF(parametros_manuales!$H$40="Todos",datos_base!$J$10+datos_base!$J$24,0))*parametros_manuales!$B$100+parametros_manuales!$F$40*(datos_base!$J$4+datos_base!$J$20+IF(parametros_manuales!$H$40="Todos",datos_base!$J$11+datos_base!$J$25,0))*parametros_manuales!$B$105+parametros_manuales!$G$40*(datos_base!$J$5+datos_base!$J$21+IF(parametros_manuales!$H$40="Todos",datos_base!$J$12+datos_base!$J$26,0))*parametros_manuales!$B$110)*parametros_manuales!$I$40*parametros_manuales!$J$40</f>
        <v>5709.93812883</v>
      </c>
      <c r="C239" s="9" t="n">
        <f aca="false">(parametros_manuales!$D$40*(datos_base!$J$2+datos_base!$J$18+IF(parametros_manuales!$H$40="Todos",datos_base!$J$9+datos_base!$J$23,0))*parametros_manuales!$C$95+parametros_manuales!$E$40*(datos_base!$J$3+datos_base!$J$19+IF(parametros_manuales!$H$40="Todos",datos_base!$J$10+datos_base!$J$24,0))*parametros_manuales!$C$100+parametros_manuales!$F$40*(datos_base!$J$4+datos_base!$J$20+IF(parametros_manuales!$H$40="Todos",datos_base!$J$11+datos_base!$J$25,0))*parametros_manuales!$C$105+parametros_manuales!$G$40*(datos_base!$J$5+datos_base!$J$21+IF(parametros_manuales!$H$40="Todos",datos_base!$J$12+datos_base!$J$26,0))*parametros_manuales!$C$110)*parametros_manuales!$I$40*parametros_manuales!$J$40</f>
        <v>5361.23392036</v>
      </c>
      <c r="D239" s="9" t="n">
        <f aca="false">(parametros_manuales!$D$40*(datos_base!$J$2+datos_base!$J$18+IF(parametros_manuales!$H$40="Todos",datos_base!$J$9+datos_base!$J$23,0))*parametros_manuales!$D$95+parametros_manuales!$E$40*(datos_base!$J$3+datos_base!$J$19+IF(parametros_manuales!$H$40="Todos",datos_base!$J$10+datos_base!$J$24,0))*parametros_manuales!$D$100+parametros_manuales!$F$40*(datos_base!$J$4+datos_base!$J$20+IF(parametros_manuales!$H$40="Todos",datos_base!$J$11+datos_base!$J$25,0))*parametros_manuales!$D$105+parametros_manuales!$G$40*(datos_base!$J$5+datos_base!$J$21+IF(parametros_manuales!$H$40="Todos",datos_base!$J$12+datos_base!$J$26,0))*parametros_manuales!$D$110)*parametros_manuales!$I$40*parametros_manuales!$J$40</f>
        <v>5249.852663195</v>
      </c>
      <c r="E239" s="9" t="n">
        <f aca="false">(parametros_manuales!$D$40*(datos_base!$J$2+datos_base!$J$18+IF(parametros_manuales!$H$40="Todos",datos_base!$J$9+datos_base!$J$23,0))*parametros_manuales!$E$95+parametros_manuales!$E$40*(datos_base!$J$3+datos_base!$J$19+IF(parametros_manuales!$H$40="Todos",datos_base!$J$10+datos_base!$J$24,0))*parametros_manuales!$E$100+parametros_manuales!$F$40*(datos_base!$J$4+datos_base!$J$20+IF(parametros_manuales!$H$40="Todos",datos_base!$J$11+datos_base!$J$25,0))*parametros_manuales!$E$105+parametros_manuales!$G$40*(datos_base!$J$5+datos_base!$J$21+IF(parametros_manuales!$H$40="Todos",datos_base!$J$12+datos_base!$J$26,0))*parametros_manuales!$E$110)*parametros_manuales!$I$40*parametros_manuales!$J$40</f>
        <v>5106.985982495</v>
      </c>
      <c r="F239" s="9" t="n">
        <f aca="false">(parametros_manuales!$D$40*(datos_base!$J$2+datos_base!$J$18+IF(parametros_manuales!$H$40="Todos",datos_base!$J$9+datos_base!$J$23,0))*parametros_manuales!$F$95+parametros_manuales!$E$40*(datos_base!$J$3+datos_base!$J$19+IF(parametros_manuales!$H$40="Todos",datos_base!$J$10+datos_base!$J$24,0))*parametros_manuales!$F$100+parametros_manuales!$F$40*(datos_base!$J$4+datos_base!$J$20+IF(parametros_manuales!$H$40="Todos",datos_base!$J$11+datos_base!$J$25,0))*parametros_manuales!$F$105+parametros_manuales!$G$40*(datos_base!$J$5+datos_base!$J$21+IF(parametros_manuales!$H$40="Todos",datos_base!$J$12+datos_base!$J$26,0))*parametros_manuales!$F$110)*parametros_manuales!$I$40*parametros_manuales!$J$40</f>
        <v>4789.76719756</v>
      </c>
      <c r="G239" s="9" t="n">
        <f aca="false">(parametros_manuales!$D$40*(datos_base!$J$2+datos_base!$J$18+IF(parametros_manuales!$H$40="Todos",datos_base!$J$9+datos_base!$J$23,0))*parametros_manuales!$G$95+parametros_manuales!$E$40*(datos_base!$J$3+datos_base!$J$19+IF(parametros_manuales!$H$40="Todos",datos_base!$J$10+datos_base!$J$24,0))*parametros_manuales!$G$100+parametros_manuales!$F$40*(datos_base!$J$4+datos_base!$J$20+IF(parametros_manuales!$H$40="Todos",datos_base!$J$11+datos_base!$J$25,0))*parametros_manuales!$G$105+parametros_manuales!$G$40*(datos_base!$J$5+datos_base!$J$21+IF(parametros_manuales!$H$40="Todos",datos_base!$J$12+datos_base!$J$26,0))*parametros_manuales!$G$110)*parametros_manuales!$I$40*parametros_manuales!$J$40</f>
        <v>4615.415093325</v>
      </c>
      <c r="H239" s="9" t="n">
        <f aca="false">(parametros_manuales!$D$40*(datos_base!$J$2+datos_base!$J$18+IF(parametros_manuales!$H$40="Todos",datos_base!$J$9+datos_base!$J$23,0))*parametros_manuales!$H$95+parametros_manuales!$E$40*(datos_base!$J$3+datos_base!$J$19+IF(parametros_manuales!$H$40="Todos",datos_base!$J$10+datos_base!$J$24,0))*parametros_manuales!$H$100+parametros_manuales!$F$40*(datos_base!$J$4+datos_base!$J$20+IF(parametros_manuales!$H$40="Todos",datos_base!$J$11+datos_base!$J$25,0))*parametros_manuales!$H$105+parametros_manuales!$G$40*(datos_base!$J$5+datos_base!$J$21+IF(parametros_manuales!$H$40="Todos",datos_base!$J$12+datos_base!$J$26,0))*parametros_manuales!$H$110)*parametros_manuales!$I$40*parametros_manuales!$J$40</f>
        <v>4932.63387826</v>
      </c>
      <c r="I239" s="9" t="n">
        <f aca="false">(parametros_manuales!$D$40*(datos_base!$J$2+datos_base!$J$18+IF(parametros_manuales!$H$40="Todos",datos_base!$J$9+datos_base!$J$23,0))*parametros_manuales!$I$95+parametros_manuales!$E$40*(datos_base!$J$3+datos_base!$J$19+IF(parametros_manuales!$H$40="Todos",datos_base!$J$10+datos_base!$J$24,0))*parametros_manuales!$I$100+parametros_manuales!$F$40*(datos_base!$J$4+datos_base!$J$20+IF(parametros_manuales!$H$40="Todos",datos_base!$J$11+datos_base!$J$25,0))*parametros_manuales!$I$105+parametros_manuales!$G$40*(datos_base!$J$5+datos_base!$J$21+IF(parametros_manuales!$H$40="Todos",datos_base!$J$12+datos_base!$J$26,0))*parametros_manuales!$I$110)*parametros_manuales!$I$40*parametros_manuales!$J$40</f>
        <v>5361.23392036</v>
      </c>
      <c r="J239" s="9" t="n">
        <f aca="false">(parametros_manuales!$D$40*(datos_base!$J$2+datos_base!$J$18+IF(parametros_manuales!$H$40="Todos",datos_base!$J$9+datos_base!$J$23,0))*parametros_manuales!$J$95+parametros_manuales!$E$40*(datos_base!$J$3+datos_base!$J$19+IF(parametros_manuales!$H$40="Todos",datos_base!$J$10+datos_base!$J$24,0))*parametros_manuales!$J$100+parametros_manuales!$F$40*(datos_base!$J$4+datos_base!$J$20+IF(parametros_manuales!$H$40="Todos",datos_base!$J$11+datos_base!$J$25,0))*parametros_manuales!$J$105+parametros_manuales!$G$40*(datos_base!$J$5+datos_base!$J$21+IF(parametros_manuales!$H$40="Todos",datos_base!$J$12+datos_base!$J$26,0))*parametros_manuales!$J$110)*parametros_manuales!$I$40*parametros_manuales!$J$40</f>
        <v>5361.23392036</v>
      </c>
      <c r="K239" s="9" t="n">
        <f aca="false">(parametros_manuales!$D$40*(datos_base!$J$2+datos_base!$J$18+IF(parametros_manuales!$H$40="Todos",datos_base!$J$9+datos_base!$J$23,0))*parametros_manuales!$K$95+parametros_manuales!$E$40*(datos_base!$J$3+datos_base!$J$19+IF(parametros_manuales!$H$40="Todos",datos_base!$J$10+datos_base!$J$24,0))*parametros_manuales!$K$100+parametros_manuales!$F$40*(datos_base!$J$4+datos_base!$J$20+IF(parametros_manuales!$H$40="Todos",datos_base!$J$11+datos_base!$J$25,0))*parametros_manuales!$K$105+parametros_manuales!$G$40*(datos_base!$J$5+datos_base!$J$21+IF(parametros_manuales!$H$40="Todos",datos_base!$J$12+datos_base!$J$26,0))*parametros_manuales!$K$110)*parametros_manuales!$I$40*parametros_manuales!$J$40</f>
        <v>5535.586024595</v>
      </c>
      <c r="L239" s="9" t="n">
        <f aca="false">(parametros_manuales!$D$40*(datos_base!$J$2+datos_base!$J$18+IF(parametros_manuales!$H$40="Todos",datos_base!$J$9+datos_base!$J$23,0))*parametros_manuales!$L$95+parametros_manuales!$E$40*(datos_base!$J$3+datos_base!$J$19+IF(parametros_manuales!$H$40="Todos",datos_base!$J$10+datos_base!$J$24,0))*parametros_manuales!$L$100+parametros_manuales!$F$40*(datos_base!$J$4+datos_base!$J$20+IF(parametros_manuales!$H$40="Todos",datos_base!$J$11+datos_base!$J$25,0))*parametros_manuales!$L$105+parametros_manuales!$G$40*(datos_base!$J$5+datos_base!$J$21+IF(parametros_manuales!$H$40="Todos",datos_base!$J$12+datos_base!$J$26,0))*parametros_manuales!$L$110)*parametros_manuales!$I$40*parametros_manuales!$J$40</f>
        <v>5709.93812883</v>
      </c>
      <c r="M239" s="9" t="n">
        <f aca="false">(parametros_manuales!$D$40*(datos_base!$J$2+datos_base!$J$18+IF(parametros_manuales!$H$40="Todos",datos_base!$J$9+datos_base!$J$23,0))*parametros_manuales!$M$95+parametros_manuales!$E$40*(datos_base!$J$3+datos_base!$J$19+IF(parametros_manuales!$H$40="Todos",datos_base!$J$10+datos_base!$J$24,0))*parametros_manuales!$M$100+parametros_manuales!$F$40*(datos_base!$J$4+datos_base!$J$20+IF(parametros_manuales!$H$40="Todos",datos_base!$J$11+datos_base!$J$25,0))*parametros_manuales!$M$105+parametros_manuales!$G$40*(datos_base!$J$5+datos_base!$J$21+IF(parametros_manuales!$H$40="Todos",datos_base!$J$12+datos_base!$J$26,0))*parametros_manuales!$M$110)*parametros_manuales!$I$40*parametros_manuales!$J$40</f>
        <v>5709.93812883</v>
      </c>
      <c r="N239" s="9" t="n">
        <f aca="false">SUM(B239:M239)</f>
        <v>63443.756987</v>
      </c>
      <c r="O239" s="9" t="n">
        <f aca="false">MAX(B239:M239)</f>
        <v>5709.93812883</v>
      </c>
      <c r="P239" s="43" t="n">
        <f aca="false">O239/(parametros_manuales!$B$7)</f>
        <v>38.0662541922</v>
      </c>
      <c r="Q239" s="8" t="str">
        <f aca="false">IF(O239=0,"-",INDEX($B$217:$M$217,MATCH(O239,B239:M239,0)))</f>
        <v>Ene</v>
      </c>
    </row>
    <row r="240" customFormat="false" ht="14.25" hidden="false" customHeight="true" outlineLevel="0" collapsed="false">
      <c r="A240" s="8" t="str">
        <f aca="false">parametros_manuales!$B$41</f>
        <v>Control de calidad — Ensayo de pérdidas</v>
      </c>
      <c r="B240" s="9" t="n">
        <f aca="false">(parametros_manuales!$D$41*(datos_base!$J$2+datos_base!$J$18+IF(parametros_manuales!$H$41="Todos",datos_base!$J$9+datos_base!$J$23,0))*parametros_manuales!$B$95+parametros_manuales!$E$41*(datos_base!$J$3+datos_base!$J$19+IF(parametros_manuales!$H$41="Todos",datos_base!$J$10+datos_base!$J$24,0))*parametros_manuales!$B$100+parametros_manuales!$F$41*(datos_base!$J$4+datos_base!$J$20+IF(parametros_manuales!$H$41="Todos",datos_base!$J$11+datos_base!$J$25,0))*parametros_manuales!$B$105+parametros_manuales!$G$41*(datos_base!$J$5+datos_base!$J$21+IF(parametros_manuales!$H$41="Todos",datos_base!$J$12+datos_base!$J$26,0))*parametros_manuales!$B$110)*parametros_manuales!$I$41*parametros_manuales!$J$41</f>
        <v>5709.93812883</v>
      </c>
      <c r="C240" s="9" t="n">
        <f aca="false">(parametros_manuales!$D$41*(datos_base!$J$2+datos_base!$J$18+IF(parametros_manuales!$H$41="Todos",datos_base!$J$9+datos_base!$J$23,0))*parametros_manuales!$C$95+parametros_manuales!$E$41*(datos_base!$J$3+datos_base!$J$19+IF(parametros_manuales!$H$41="Todos",datos_base!$J$10+datos_base!$J$24,0))*parametros_manuales!$C$100+parametros_manuales!$F$41*(datos_base!$J$4+datos_base!$J$20+IF(parametros_manuales!$H$41="Todos",datos_base!$J$11+datos_base!$J$25,0))*parametros_manuales!$C$105+parametros_manuales!$G$41*(datos_base!$J$5+datos_base!$J$21+IF(parametros_manuales!$H$41="Todos",datos_base!$J$12+datos_base!$J$26,0))*parametros_manuales!$C$110)*parametros_manuales!$I$41*parametros_manuales!$J$41</f>
        <v>5361.23392036</v>
      </c>
      <c r="D240" s="9" t="n">
        <f aca="false">(parametros_manuales!$D$41*(datos_base!$J$2+datos_base!$J$18+IF(parametros_manuales!$H$41="Todos",datos_base!$J$9+datos_base!$J$23,0))*parametros_manuales!$D$95+parametros_manuales!$E$41*(datos_base!$J$3+datos_base!$J$19+IF(parametros_manuales!$H$41="Todos",datos_base!$J$10+datos_base!$J$24,0))*parametros_manuales!$D$100+parametros_manuales!$F$41*(datos_base!$J$4+datos_base!$J$20+IF(parametros_manuales!$H$41="Todos",datos_base!$J$11+datos_base!$J$25,0))*parametros_manuales!$D$105+parametros_manuales!$G$41*(datos_base!$J$5+datos_base!$J$21+IF(parametros_manuales!$H$41="Todos",datos_base!$J$12+datos_base!$J$26,0))*parametros_manuales!$D$110)*parametros_manuales!$I$41*parametros_manuales!$J$41</f>
        <v>5249.852663195</v>
      </c>
      <c r="E240" s="9" t="n">
        <f aca="false">(parametros_manuales!$D$41*(datos_base!$J$2+datos_base!$J$18+IF(parametros_manuales!$H$41="Todos",datos_base!$J$9+datos_base!$J$23,0))*parametros_manuales!$E$95+parametros_manuales!$E$41*(datos_base!$J$3+datos_base!$J$19+IF(parametros_manuales!$H$41="Todos",datos_base!$J$10+datos_base!$J$24,0))*parametros_manuales!$E$100+parametros_manuales!$F$41*(datos_base!$J$4+datos_base!$J$20+IF(parametros_manuales!$H$41="Todos",datos_base!$J$11+datos_base!$J$25,0))*parametros_manuales!$E$105+parametros_manuales!$G$41*(datos_base!$J$5+datos_base!$J$21+IF(parametros_manuales!$H$41="Todos",datos_base!$J$12+datos_base!$J$26,0))*parametros_manuales!$E$110)*parametros_manuales!$I$41*parametros_manuales!$J$41</f>
        <v>5106.985982495</v>
      </c>
      <c r="F240" s="9" t="n">
        <f aca="false">(parametros_manuales!$D$41*(datos_base!$J$2+datos_base!$J$18+IF(parametros_manuales!$H$41="Todos",datos_base!$J$9+datos_base!$J$23,0))*parametros_manuales!$F$95+parametros_manuales!$E$41*(datos_base!$J$3+datos_base!$J$19+IF(parametros_manuales!$H$41="Todos",datos_base!$J$10+datos_base!$J$24,0))*parametros_manuales!$F$100+parametros_manuales!$F$41*(datos_base!$J$4+datos_base!$J$20+IF(parametros_manuales!$H$41="Todos",datos_base!$J$11+datos_base!$J$25,0))*parametros_manuales!$F$105+parametros_manuales!$G$41*(datos_base!$J$5+datos_base!$J$21+IF(parametros_manuales!$H$41="Todos",datos_base!$J$12+datos_base!$J$26,0))*parametros_manuales!$F$110)*parametros_manuales!$I$41*parametros_manuales!$J$41</f>
        <v>4789.76719756</v>
      </c>
      <c r="G240" s="9" t="n">
        <f aca="false">(parametros_manuales!$D$41*(datos_base!$J$2+datos_base!$J$18+IF(parametros_manuales!$H$41="Todos",datos_base!$J$9+datos_base!$J$23,0))*parametros_manuales!$G$95+parametros_manuales!$E$41*(datos_base!$J$3+datos_base!$J$19+IF(parametros_manuales!$H$41="Todos",datos_base!$J$10+datos_base!$J$24,0))*parametros_manuales!$G$100+parametros_manuales!$F$41*(datos_base!$J$4+datos_base!$J$20+IF(parametros_manuales!$H$41="Todos",datos_base!$J$11+datos_base!$J$25,0))*parametros_manuales!$G$105+parametros_manuales!$G$41*(datos_base!$J$5+datos_base!$J$21+IF(parametros_manuales!$H$41="Todos",datos_base!$J$12+datos_base!$J$26,0))*parametros_manuales!$G$110)*parametros_manuales!$I$41*parametros_manuales!$J$41</f>
        <v>4615.415093325</v>
      </c>
      <c r="H240" s="9" t="n">
        <f aca="false">(parametros_manuales!$D$41*(datos_base!$J$2+datos_base!$J$18+IF(parametros_manuales!$H$41="Todos",datos_base!$J$9+datos_base!$J$23,0))*parametros_manuales!$H$95+parametros_manuales!$E$41*(datos_base!$J$3+datos_base!$J$19+IF(parametros_manuales!$H$41="Todos",datos_base!$J$10+datos_base!$J$24,0))*parametros_manuales!$H$100+parametros_manuales!$F$41*(datos_base!$J$4+datos_base!$J$20+IF(parametros_manuales!$H$41="Todos",datos_base!$J$11+datos_base!$J$25,0))*parametros_manuales!$H$105+parametros_manuales!$G$41*(datos_base!$J$5+datos_base!$J$21+IF(parametros_manuales!$H$41="Todos",datos_base!$J$12+datos_base!$J$26,0))*parametros_manuales!$H$110)*parametros_manuales!$I$41*parametros_manuales!$J$41</f>
        <v>4932.63387826</v>
      </c>
      <c r="I240" s="9" t="n">
        <f aca="false">(parametros_manuales!$D$41*(datos_base!$J$2+datos_base!$J$18+IF(parametros_manuales!$H$41="Todos",datos_base!$J$9+datos_base!$J$23,0))*parametros_manuales!$I$95+parametros_manuales!$E$41*(datos_base!$J$3+datos_base!$J$19+IF(parametros_manuales!$H$41="Todos",datos_base!$J$10+datos_base!$J$24,0))*parametros_manuales!$I$100+parametros_manuales!$F$41*(datos_base!$J$4+datos_base!$J$20+IF(parametros_manuales!$H$41="Todos",datos_base!$J$11+datos_base!$J$25,0))*parametros_manuales!$I$105+parametros_manuales!$G$41*(datos_base!$J$5+datos_base!$J$21+IF(parametros_manuales!$H$41="Todos",datos_base!$J$12+datos_base!$J$26,0))*parametros_manuales!$I$110)*parametros_manuales!$I$41*parametros_manuales!$J$41</f>
        <v>5361.23392036</v>
      </c>
      <c r="J240" s="9" t="n">
        <f aca="false">(parametros_manuales!$D$41*(datos_base!$J$2+datos_base!$J$18+IF(parametros_manuales!$H$41="Todos",datos_base!$J$9+datos_base!$J$23,0))*parametros_manuales!$J$95+parametros_manuales!$E$41*(datos_base!$J$3+datos_base!$J$19+IF(parametros_manuales!$H$41="Todos",datos_base!$J$10+datos_base!$J$24,0))*parametros_manuales!$J$100+parametros_manuales!$F$41*(datos_base!$J$4+datos_base!$J$20+IF(parametros_manuales!$H$41="Todos",datos_base!$J$11+datos_base!$J$25,0))*parametros_manuales!$J$105+parametros_manuales!$G$41*(datos_base!$J$5+datos_base!$J$21+IF(parametros_manuales!$H$41="Todos",datos_base!$J$12+datos_base!$J$26,0))*parametros_manuales!$J$110)*parametros_manuales!$I$41*parametros_manuales!$J$41</f>
        <v>5361.23392036</v>
      </c>
      <c r="K240" s="9" t="n">
        <f aca="false">(parametros_manuales!$D$41*(datos_base!$J$2+datos_base!$J$18+IF(parametros_manuales!$H$41="Todos",datos_base!$J$9+datos_base!$J$23,0))*parametros_manuales!$K$95+parametros_manuales!$E$41*(datos_base!$J$3+datos_base!$J$19+IF(parametros_manuales!$H$41="Todos",datos_base!$J$10+datos_base!$J$24,0))*parametros_manuales!$K$100+parametros_manuales!$F$41*(datos_base!$J$4+datos_base!$J$20+IF(parametros_manuales!$H$41="Todos",datos_base!$J$11+datos_base!$J$25,0))*parametros_manuales!$K$105+parametros_manuales!$G$41*(datos_base!$J$5+datos_base!$J$21+IF(parametros_manuales!$H$41="Todos",datos_base!$J$12+datos_base!$J$26,0))*parametros_manuales!$K$110)*parametros_manuales!$I$41*parametros_manuales!$J$41</f>
        <v>5535.586024595</v>
      </c>
      <c r="L240" s="9" t="n">
        <f aca="false">(parametros_manuales!$D$41*(datos_base!$J$2+datos_base!$J$18+IF(parametros_manuales!$H$41="Todos",datos_base!$J$9+datos_base!$J$23,0))*parametros_manuales!$L$95+parametros_manuales!$E$41*(datos_base!$J$3+datos_base!$J$19+IF(parametros_manuales!$H$41="Todos",datos_base!$J$10+datos_base!$J$24,0))*parametros_manuales!$L$100+parametros_manuales!$F$41*(datos_base!$J$4+datos_base!$J$20+IF(parametros_manuales!$H$41="Todos",datos_base!$J$11+datos_base!$J$25,0))*parametros_manuales!$L$105+parametros_manuales!$G$41*(datos_base!$J$5+datos_base!$J$21+IF(parametros_manuales!$H$41="Todos",datos_base!$J$12+datos_base!$J$26,0))*parametros_manuales!$L$110)*parametros_manuales!$I$41*parametros_manuales!$J$41</f>
        <v>5709.93812883</v>
      </c>
      <c r="M240" s="9" t="n">
        <f aca="false">(parametros_manuales!$D$41*(datos_base!$J$2+datos_base!$J$18+IF(parametros_manuales!$H$41="Todos",datos_base!$J$9+datos_base!$J$23,0))*parametros_manuales!$M$95+parametros_manuales!$E$41*(datos_base!$J$3+datos_base!$J$19+IF(parametros_manuales!$H$41="Todos",datos_base!$J$10+datos_base!$J$24,0))*parametros_manuales!$M$100+parametros_manuales!$F$41*(datos_base!$J$4+datos_base!$J$20+IF(parametros_manuales!$H$41="Todos",datos_base!$J$11+datos_base!$J$25,0))*parametros_manuales!$M$105+parametros_manuales!$G$41*(datos_base!$J$5+datos_base!$J$21+IF(parametros_manuales!$H$41="Todos",datos_base!$J$12+datos_base!$J$26,0))*parametros_manuales!$M$110)*parametros_manuales!$I$41*parametros_manuales!$J$41</f>
        <v>5709.93812883</v>
      </c>
      <c r="N240" s="9" t="n">
        <f aca="false">SUM(B240:M240)</f>
        <v>63443.756987</v>
      </c>
      <c r="O240" s="9" t="n">
        <f aca="false">MAX(B240:M240)</f>
        <v>5709.93812883</v>
      </c>
      <c r="P240" s="43" t="n">
        <f aca="false">O240/(parametros_manuales!$B$7)</f>
        <v>38.0662541922</v>
      </c>
      <c r="Q240" s="8" t="str">
        <f aca="false">IF(O240=0,"-",INDEX($B$217:$M$217,MATCH(O240,B240:M240,0)))</f>
        <v>Ene</v>
      </c>
    </row>
    <row r="241" customFormat="false" ht="14.25" hidden="false" customHeight="true" outlineLevel="0" collapsed="false">
      <c r="A241" s="8" t="str">
        <f aca="false">parametros_manuales!$B$42</f>
        <v>Etiquetado</v>
      </c>
      <c r="B241" s="9" t="n">
        <f aca="false">(parametros_manuales!$D$42*(datos_base!$J$2+datos_base!$J$18+IF(parametros_manuales!$H$42="Todos",datos_base!$J$9+datos_base!$J$23,0))*parametros_manuales!$B$95+parametros_manuales!$E$42*(datos_base!$J$3+datos_base!$J$19+IF(parametros_manuales!$H$42="Todos",datos_base!$J$10+datos_base!$J$24,0))*parametros_manuales!$B$100+parametros_manuales!$F$42*(datos_base!$J$4+datos_base!$J$20+IF(parametros_manuales!$H$42="Todos",datos_base!$J$11+datos_base!$J$25,0))*parametros_manuales!$B$105+parametros_manuales!$G$42*(datos_base!$J$5+datos_base!$J$21+IF(parametros_manuales!$H$42="Todos",datos_base!$J$12+datos_base!$J$26,0))*parametros_manuales!$B$110)*parametros_manuales!$I$42*parametros_manuales!$J$42</f>
        <v>5709.93812883</v>
      </c>
      <c r="C241" s="9" t="n">
        <f aca="false">(parametros_manuales!$D$42*(datos_base!$J$2+datos_base!$J$18+IF(parametros_manuales!$H$42="Todos",datos_base!$J$9+datos_base!$J$23,0))*parametros_manuales!$C$95+parametros_manuales!$E$42*(datos_base!$J$3+datos_base!$J$19+IF(parametros_manuales!$H$42="Todos",datos_base!$J$10+datos_base!$J$24,0))*parametros_manuales!$C$100+parametros_manuales!$F$42*(datos_base!$J$4+datos_base!$J$20+IF(parametros_manuales!$H$42="Todos",datos_base!$J$11+datos_base!$J$25,0))*parametros_manuales!$C$105+parametros_manuales!$G$42*(datos_base!$J$5+datos_base!$J$21+IF(parametros_manuales!$H$42="Todos",datos_base!$J$12+datos_base!$J$26,0))*parametros_manuales!$C$110)*parametros_manuales!$I$42*parametros_manuales!$J$42</f>
        <v>5361.23392036</v>
      </c>
      <c r="D241" s="9" t="n">
        <f aca="false">(parametros_manuales!$D$42*(datos_base!$J$2+datos_base!$J$18+IF(parametros_manuales!$H$42="Todos",datos_base!$J$9+datos_base!$J$23,0))*parametros_manuales!$D$95+parametros_manuales!$E$42*(datos_base!$J$3+datos_base!$J$19+IF(parametros_manuales!$H$42="Todos",datos_base!$J$10+datos_base!$J$24,0))*parametros_manuales!$D$100+parametros_manuales!$F$42*(datos_base!$J$4+datos_base!$J$20+IF(parametros_manuales!$H$42="Todos",datos_base!$J$11+datos_base!$J$25,0))*parametros_manuales!$D$105+parametros_manuales!$G$42*(datos_base!$J$5+datos_base!$J$21+IF(parametros_manuales!$H$42="Todos",datos_base!$J$12+datos_base!$J$26,0))*parametros_manuales!$D$110)*parametros_manuales!$I$42*parametros_manuales!$J$42</f>
        <v>5249.852663195</v>
      </c>
      <c r="E241" s="9" t="n">
        <f aca="false">(parametros_manuales!$D$42*(datos_base!$J$2+datos_base!$J$18+IF(parametros_manuales!$H$42="Todos",datos_base!$J$9+datos_base!$J$23,0))*parametros_manuales!$E$95+parametros_manuales!$E$42*(datos_base!$J$3+datos_base!$J$19+IF(parametros_manuales!$H$42="Todos",datos_base!$J$10+datos_base!$J$24,0))*parametros_manuales!$E$100+parametros_manuales!$F$42*(datos_base!$J$4+datos_base!$J$20+IF(parametros_manuales!$H$42="Todos",datos_base!$J$11+datos_base!$J$25,0))*parametros_manuales!$E$105+parametros_manuales!$G$42*(datos_base!$J$5+datos_base!$J$21+IF(parametros_manuales!$H$42="Todos",datos_base!$J$12+datos_base!$J$26,0))*parametros_manuales!$E$110)*parametros_manuales!$I$42*parametros_manuales!$J$42</f>
        <v>5106.985982495</v>
      </c>
      <c r="F241" s="9" t="n">
        <f aca="false">(parametros_manuales!$D$42*(datos_base!$J$2+datos_base!$J$18+IF(parametros_manuales!$H$42="Todos",datos_base!$J$9+datos_base!$J$23,0))*parametros_manuales!$F$95+parametros_manuales!$E$42*(datos_base!$J$3+datos_base!$J$19+IF(parametros_manuales!$H$42="Todos",datos_base!$J$10+datos_base!$J$24,0))*parametros_manuales!$F$100+parametros_manuales!$F$42*(datos_base!$J$4+datos_base!$J$20+IF(parametros_manuales!$H$42="Todos",datos_base!$J$11+datos_base!$J$25,0))*parametros_manuales!$F$105+parametros_manuales!$G$42*(datos_base!$J$5+datos_base!$J$21+IF(parametros_manuales!$H$42="Todos",datos_base!$J$12+datos_base!$J$26,0))*parametros_manuales!$F$110)*parametros_manuales!$I$42*parametros_manuales!$J$42</f>
        <v>4789.76719756</v>
      </c>
      <c r="G241" s="9" t="n">
        <f aca="false">(parametros_manuales!$D$42*(datos_base!$J$2+datos_base!$J$18+IF(parametros_manuales!$H$42="Todos",datos_base!$J$9+datos_base!$J$23,0))*parametros_manuales!$G$95+parametros_manuales!$E$42*(datos_base!$J$3+datos_base!$J$19+IF(parametros_manuales!$H$42="Todos",datos_base!$J$10+datos_base!$J$24,0))*parametros_manuales!$G$100+parametros_manuales!$F$42*(datos_base!$J$4+datos_base!$J$20+IF(parametros_manuales!$H$42="Todos",datos_base!$J$11+datos_base!$J$25,0))*parametros_manuales!$G$105+parametros_manuales!$G$42*(datos_base!$J$5+datos_base!$J$21+IF(parametros_manuales!$H$42="Todos",datos_base!$J$12+datos_base!$J$26,0))*parametros_manuales!$G$110)*parametros_manuales!$I$42*parametros_manuales!$J$42</f>
        <v>4615.415093325</v>
      </c>
      <c r="H241" s="9" t="n">
        <f aca="false">(parametros_manuales!$D$42*(datos_base!$J$2+datos_base!$J$18+IF(parametros_manuales!$H$42="Todos",datos_base!$J$9+datos_base!$J$23,0))*parametros_manuales!$H$95+parametros_manuales!$E$42*(datos_base!$J$3+datos_base!$J$19+IF(parametros_manuales!$H$42="Todos",datos_base!$J$10+datos_base!$J$24,0))*parametros_manuales!$H$100+parametros_manuales!$F$42*(datos_base!$J$4+datos_base!$J$20+IF(parametros_manuales!$H$42="Todos",datos_base!$J$11+datos_base!$J$25,0))*parametros_manuales!$H$105+parametros_manuales!$G$42*(datos_base!$J$5+datos_base!$J$21+IF(parametros_manuales!$H$42="Todos",datos_base!$J$12+datos_base!$J$26,0))*parametros_manuales!$H$110)*parametros_manuales!$I$42*parametros_manuales!$J$42</f>
        <v>4932.63387826</v>
      </c>
      <c r="I241" s="9" t="n">
        <f aca="false">(parametros_manuales!$D$42*(datos_base!$J$2+datos_base!$J$18+IF(parametros_manuales!$H$42="Todos",datos_base!$J$9+datos_base!$J$23,0))*parametros_manuales!$I$95+parametros_manuales!$E$42*(datos_base!$J$3+datos_base!$J$19+IF(parametros_manuales!$H$42="Todos",datos_base!$J$10+datos_base!$J$24,0))*parametros_manuales!$I$100+parametros_manuales!$F$42*(datos_base!$J$4+datos_base!$J$20+IF(parametros_manuales!$H$42="Todos",datos_base!$J$11+datos_base!$J$25,0))*parametros_manuales!$I$105+parametros_manuales!$G$42*(datos_base!$J$5+datos_base!$J$21+IF(parametros_manuales!$H$42="Todos",datos_base!$J$12+datos_base!$J$26,0))*parametros_manuales!$I$110)*parametros_manuales!$I$42*parametros_manuales!$J$42</f>
        <v>5361.23392036</v>
      </c>
      <c r="J241" s="9" t="n">
        <f aca="false">(parametros_manuales!$D$42*(datos_base!$J$2+datos_base!$J$18+IF(parametros_manuales!$H$42="Todos",datos_base!$J$9+datos_base!$J$23,0))*parametros_manuales!$J$95+parametros_manuales!$E$42*(datos_base!$J$3+datos_base!$J$19+IF(parametros_manuales!$H$42="Todos",datos_base!$J$10+datos_base!$J$24,0))*parametros_manuales!$J$100+parametros_manuales!$F$42*(datos_base!$J$4+datos_base!$J$20+IF(parametros_manuales!$H$42="Todos",datos_base!$J$11+datos_base!$J$25,0))*parametros_manuales!$J$105+parametros_manuales!$G$42*(datos_base!$J$5+datos_base!$J$21+IF(parametros_manuales!$H$42="Todos",datos_base!$J$12+datos_base!$J$26,0))*parametros_manuales!$J$110)*parametros_manuales!$I$42*parametros_manuales!$J$42</f>
        <v>5361.23392036</v>
      </c>
      <c r="K241" s="9" t="n">
        <f aca="false">(parametros_manuales!$D$42*(datos_base!$J$2+datos_base!$J$18+IF(parametros_manuales!$H$42="Todos",datos_base!$J$9+datos_base!$J$23,0))*parametros_manuales!$K$95+parametros_manuales!$E$42*(datos_base!$J$3+datos_base!$J$19+IF(parametros_manuales!$H$42="Todos",datos_base!$J$10+datos_base!$J$24,0))*parametros_manuales!$K$100+parametros_manuales!$F$42*(datos_base!$J$4+datos_base!$J$20+IF(parametros_manuales!$H$42="Todos",datos_base!$J$11+datos_base!$J$25,0))*parametros_manuales!$K$105+parametros_manuales!$G$42*(datos_base!$J$5+datos_base!$J$21+IF(parametros_manuales!$H$42="Todos",datos_base!$J$12+datos_base!$J$26,0))*parametros_manuales!$K$110)*parametros_manuales!$I$42*parametros_manuales!$J$42</f>
        <v>5535.586024595</v>
      </c>
      <c r="L241" s="9" t="n">
        <f aca="false">(parametros_manuales!$D$42*(datos_base!$J$2+datos_base!$J$18+IF(parametros_manuales!$H$42="Todos",datos_base!$J$9+datos_base!$J$23,0))*parametros_manuales!$L$95+parametros_manuales!$E$42*(datos_base!$J$3+datos_base!$J$19+IF(parametros_manuales!$H$42="Todos",datos_base!$J$10+datos_base!$J$24,0))*parametros_manuales!$L$100+parametros_manuales!$F$42*(datos_base!$J$4+datos_base!$J$20+IF(parametros_manuales!$H$42="Todos",datos_base!$J$11+datos_base!$J$25,0))*parametros_manuales!$L$105+parametros_manuales!$G$42*(datos_base!$J$5+datos_base!$J$21+IF(parametros_manuales!$H$42="Todos",datos_base!$J$12+datos_base!$J$26,0))*parametros_manuales!$L$110)*parametros_manuales!$I$42*parametros_manuales!$J$42</f>
        <v>5709.93812883</v>
      </c>
      <c r="M241" s="9" t="n">
        <f aca="false">(parametros_manuales!$D$42*(datos_base!$J$2+datos_base!$J$18+IF(parametros_manuales!$H$42="Todos",datos_base!$J$9+datos_base!$J$23,0))*parametros_manuales!$M$95+parametros_manuales!$E$42*(datos_base!$J$3+datos_base!$J$19+IF(parametros_manuales!$H$42="Todos",datos_base!$J$10+datos_base!$J$24,0))*parametros_manuales!$M$100+parametros_manuales!$F$42*(datos_base!$J$4+datos_base!$J$20+IF(parametros_manuales!$H$42="Todos",datos_base!$J$11+datos_base!$J$25,0))*parametros_manuales!$M$105+parametros_manuales!$G$42*(datos_base!$J$5+datos_base!$J$21+IF(parametros_manuales!$H$42="Todos",datos_base!$J$12+datos_base!$J$26,0))*parametros_manuales!$M$110)*parametros_manuales!$I$42*parametros_manuales!$J$42</f>
        <v>5709.93812883</v>
      </c>
      <c r="N241" s="9" t="n">
        <f aca="false">SUM(B241:M241)</f>
        <v>63443.756987</v>
      </c>
      <c r="O241" s="9" t="n">
        <f aca="false">MAX(B241:M241)</f>
        <v>5709.93812883</v>
      </c>
      <c r="P241" s="43" t="n">
        <f aca="false">O241/(parametros_manuales!$B$7)</f>
        <v>38.0662541922</v>
      </c>
      <c r="Q241" s="8" t="str">
        <f aca="false">IF(O241=0,"-",INDEX($B$217:$M$217,MATCH(O241,B241:M241,0)))</f>
        <v>Ene</v>
      </c>
    </row>
    <row r="242" customFormat="false" ht="14.25" hidden="false" customHeight="true" outlineLevel="0" collapsed="false">
      <c r="A242" s="8" t="str">
        <f aca="false">parametros_manuales!$B$43</f>
        <v>Embalaje y paletizado</v>
      </c>
      <c r="B242" s="9" t="n">
        <f aca="false">(parametros_manuales!$D$43*(datos_base!$J$2+datos_base!$J$18+IF(parametros_manuales!$H$43="Todos",datos_base!$J$9+datos_base!$J$23,0))*parametros_manuales!$B$95+parametros_manuales!$E$43*(datos_base!$J$3+datos_base!$J$19+IF(parametros_manuales!$H$43="Todos",datos_base!$J$10+datos_base!$J$24,0))*parametros_manuales!$B$100+parametros_manuales!$F$43*(datos_base!$J$4+datos_base!$J$20+IF(parametros_manuales!$H$43="Todos",datos_base!$J$11+datos_base!$J$25,0))*parametros_manuales!$B$105+parametros_manuales!$G$43*(datos_base!$J$5+datos_base!$J$21+IF(parametros_manuales!$H$43="Todos",datos_base!$J$12+datos_base!$J$26,0))*parametros_manuales!$B$110)*parametros_manuales!$I$43*parametros_manuales!$J$43</f>
        <v>22162.22972883</v>
      </c>
      <c r="C242" s="9" t="n">
        <f aca="false">(parametros_manuales!$D$43*(datos_base!$J$2+datos_base!$J$18+IF(parametros_manuales!$H$43="Todos",datos_base!$J$9+datos_base!$J$23,0))*parametros_manuales!$C$95+parametros_manuales!$E$43*(datos_base!$J$3+datos_base!$J$19+IF(parametros_manuales!$H$43="Todos",datos_base!$J$10+datos_base!$J$24,0))*parametros_manuales!$C$100+parametros_manuales!$F$43*(datos_base!$J$4+datos_base!$J$20+IF(parametros_manuales!$H$43="Todos",datos_base!$J$11+datos_base!$J$25,0))*parametros_manuales!$C$105+parametros_manuales!$G$43*(datos_base!$J$5+datos_base!$J$21+IF(parametros_manuales!$H$43="Todos",datos_base!$J$12+datos_base!$J$26,0))*parametros_manuales!$C$110)*parametros_manuales!$I$43*parametros_manuales!$J$43</f>
        <v>21453.69112036</v>
      </c>
      <c r="D242" s="9" t="n">
        <f aca="false">(parametros_manuales!$D$43*(datos_base!$J$2+datos_base!$J$18+IF(parametros_manuales!$H$43="Todos",datos_base!$J$9+datos_base!$J$23,0))*parametros_manuales!$D$95+parametros_manuales!$E$43*(datos_base!$J$3+datos_base!$J$19+IF(parametros_manuales!$H$43="Todos",datos_base!$J$10+datos_base!$J$24,0))*parametros_manuales!$D$100+parametros_manuales!$F$43*(datos_base!$J$4+datos_base!$J$20+IF(parametros_manuales!$H$43="Todos",datos_base!$J$11+datos_base!$J$25,0))*parametros_manuales!$D$105+parametros_manuales!$G$43*(datos_base!$J$5+datos_base!$J$21+IF(parametros_manuales!$H$43="Todos",datos_base!$J$12+datos_base!$J$26,0))*parametros_manuales!$D$110)*parametros_manuales!$I$43*parametros_manuales!$J$43</f>
        <v>20054.029063195</v>
      </c>
      <c r="E242" s="9" t="n">
        <f aca="false">(parametros_manuales!$D$43*(datos_base!$J$2+datos_base!$J$18+IF(parametros_manuales!$H$43="Todos",datos_base!$J$9+datos_base!$J$23,0))*parametros_manuales!$E$95+parametros_manuales!$E$43*(datos_base!$J$3+datos_base!$J$19+IF(parametros_manuales!$H$43="Todos",datos_base!$J$10+datos_base!$J$24,0))*parametros_manuales!$E$100+parametros_manuales!$F$43*(datos_base!$J$4+datos_base!$J$20+IF(parametros_manuales!$H$43="Todos",datos_base!$J$11+datos_base!$J$25,0))*parametros_manuales!$E$105+parametros_manuales!$G$43*(datos_base!$J$5+datos_base!$J$21+IF(parametros_manuales!$H$43="Todos",datos_base!$J$12+datos_base!$J$26,0))*parametros_manuales!$E$110)*parametros_manuales!$I$43*parametros_manuales!$J$43</f>
        <v>19177.063382495</v>
      </c>
      <c r="F242" s="9" t="n">
        <f aca="false">(parametros_manuales!$D$43*(datos_base!$J$2+datos_base!$J$18+IF(parametros_manuales!$H$43="Todos",datos_base!$J$9+datos_base!$J$23,0))*parametros_manuales!$F$95+parametros_manuales!$E$43*(datos_base!$J$3+datos_base!$J$19+IF(parametros_manuales!$H$43="Todos",datos_base!$J$10+datos_base!$J$24,0))*parametros_manuales!$F$100+parametros_manuales!$F$43*(datos_base!$J$4+datos_base!$J$20+IF(parametros_manuales!$H$43="Todos",datos_base!$J$11+datos_base!$J$25,0))*parametros_manuales!$F$105+parametros_manuales!$G$43*(datos_base!$J$5+datos_base!$J$21+IF(parametros_manuales!$H$43="Todos",datos_base!$J$12+datos_base!$J$26,0))*parametros_manuales!$F$110)*parametros_manuales!$I$43*parametros_manuales!$J$43</f>
        <v>17945.82839756</v>
      </c>
      <c r="G242" s="9" t="n">
        <f aca="false">(parametros_manuales!$D$43*(datos_base!$J$2+datos_base!$J$18+IF(parametros_manuales!$H$43="Todos",datos_base!$J$9+datos_base!$J$23,0))*parametros_manuales!$G$95+parametros_manuales!$E$43*(datos_base!$J$3+datos_base!$J$19+IF(parametros_manuales!$H$43="Todos",datos_base!$J$10+datos_base!$J$24,0))*parametros_manuales!$G$100+parametros_manuales!$F$43*(datos_base!$J$4+datos_base!$J$20+IF(parametros_manuales!$H$43="Todos",datos_base!$J$11+datos_base!$J$25,0))*parametros_manuales!$G$105+parametros_manuales!$G$43*(datos_base!$J$5+datos_base!$J$21+IF(parametros_manuales!$H$43="Todos",datos_base!$J$12+datos_base!$J$26,0))*parametros_manuales!$G$110)*parametros_manuales!$I$43*parametros_manuales!$J$43</f>
        <v>17591.559093325</v>
      </c>
      <c r="H242" s="9" t="n">
        <f aca="false">(parametros_manuales!$D$43*(datos_base!$J$2+datos_base!$J$18+IF(parametros_manuales!$H$43="Todos",datos_base!$J$9+datos_base!$J$23,0))*parametros_manuales!$H$95+parametros_manuales!$E$43*(datos_base!$J$3+datos_base!$J$19+IF(parametros_manuales!$H$43="Todos",datos_base!$J$10+datos_base!$J$24,0))*parametros_manuales!$H$100+parametros_manuales!$F$43*(datos_base!$J$4+datos_base!$J$20+IF(parametros_manuales!$H$43="Todos",datos_base!$J$11+datos_base!$J$25,0))*parametros_manuales!$H$105+parametros_manuales!$G$43*(datos_base!$J$5+datos_base!$J$21+IF(parametros_manuales!$H$43="Todos",datos_base!$J$12+datos_base!$J$26,0))*parametros_manuales!$H$110)*parametros_manuales!$I$43*parametros_manuales!$J$43</f>
        <v>18822.79407826</v>
      </c>
      <c r="I242" s="9" t="n">
        <f aca="false">(parametros_manuales!$D$43*(datos_base!$J$2+datos_base!$J$18+IF(parametros_manuales!$H$43="Todos",datos_base!$J$9+datos_base!$J$23,0))*parametros_manuales!$I$95+parametros_manuales!$E$43*(datos_base!$J$3+datos_base!$J$19+IF(parametros_manuales!$H$43="Todos",datos_base!$J$10+datos_base!$J$24,0))*parametros_manuales!$I$100+parametros_manuales!$F$43*(datos_base!$J$4+datos_base!$J$20+IF(parametros_manuales!$H$43="Todos",datos_base!$J$11+datos_base!$J$25,0))*parametros_manuales!$I$105+parametros_manuales!$G$43*(datos_base!$J$5+datos_base!$J$21+IF(parametros_manuales!$H$43="Todos",datos_base!$J$12+datos_base!$J$26,0))*parametros_manuales!$I$110)*parametros_manuales!$I$43*parametros_manuales!$J$43</f>
        <v>21453.69112036</v>
      </c>
      <c r="J242" s="9" t="n">
        <f aca="false">(parametros_manuales!$D$43*(datos_base!$J$2+datos_base!$J$18+IF(parametros_manuales!$H$43="Todos",datos_base!$J$9+datos_base!$J$23,0))*parametros_manuales!$J$95+parametros_manuales!$E$43*(datos_base!$J$3+datos_base!$J$19+IF(parametros_manuales!$H$43="Todos",datos_base!$J$10+datos_base!$J$24,0))*parametros_manuales!$J$100+parametros_manuales!$F$43*(datos_base!$J$4+datos_base!$J$20+IF(parametros_manuales!$H$43="Todos",datos_base!$J$11+datos_base!$J$25,0))*parametros_manuales!$J$105+parametros_manuales!$G$43*(datos_base!$J$5+datos_base!$J$21+IF(parametros_manuales!$H$43="Todos",datos_base!$J$12+datos_base!$J$26,0))*parametros_manuales!$J$110)*parametros_manuales!$I$43*parametros_manuales!$J$43</f>
        <v>21453.69112036</v>
      </c>
      <c r="K242" s="9" t="n">
        <f aca="false">(parametros_manuales!$D$43*(datos_base!$J$2+datos_base!$J$18+IF(parametros_manuales!$H$43="Todos",datos_base!$J$9+datos_base!$J$23,0))*parametros_manuales!$K$95+parametros_manuales!$E$43*(datos_base!$J$3+datos_base!$J$19+IF(parametros_manuales!$H$43="Todos",datos_base!$J$10+datos_base!$J$24,0))*parametros_manuales!$K$100+parametros_manuales!$F$43*(datos_base!$J$4+datos_base!$J$20+IF(parametros_manuales!$H$43="Todos",datos_base!$J$11+datos_base!$J$25,0))*parametros_manuales!$K$105+parametros_manuales!$G$43*(datos_base!$J$5+datos_base!$J$21+IF(parametros_manuales!$H$43="Todos",datos_base!$J$12+datos_base!$J$26,0))*parametros_manuales!$K$110)*parametros_manuales!$I$43*parametros_manuales!$J$43</f>
        <v>21807.960424595</v>
      </c>
      <c r="L242" s="9" t="n">
        <f aca="false">(parametros_manuales!$D$43*(datos_base!$J$2+datos_base!$J$18+IF(parametros_manuales!$H$43="Todos",datos_base!$J$9+datos_base!$J$23,0))*parametros_manuales!$L$95+parametros_manuales!$E$43*(datos_base!$J$3+datos_base!$J$19+IF(parametros_manuales!$H$43="Todos",datos_base!$J$10+datos_base!$J$24,0))*parametros_manuales!$L$100+parametros_manuales!$F$43*(datos_base!$J$4+datos_base!$J$20+IF(parametros_manuales!$H$43="Todos",datos_base!$J$11+datos_base!$J$25,0))*parametros_manuales!$L$105+parametros_manuales!$G$43*(datos_base!$J$5+datos_base!$J$21+IF(parametros_manuales!$H$43="Todos",datos_base!$J$12+datos_base!$J$26,0))*parametros_manuales!$L$110)*parametros_manuales!$I$43*parametros_manuales!$J$43</f>
        <v>22162.22972883</v>
      </c>
      <c r="M242" s="9" t="n">
        <f aca="false">(parametros_manuales!$D$43*(datos_base!$J$2+datos_base!$J$18+IF(parametros_manuales!$H$43="Todos",datos_base!$J$9+datos_base!$J$23,0))*parametros_manuales!$M$95+parametros_manuales!$E$43*(datos_base!$J$3+datos_base!$J$19+IF(parametros_manuales!$H$43="Todos",datos_base!$J$10+datos_base!$J$24,0))*parametros_manuales!$M$100+parametros_manuales!$F$43*(datos_base!$J$4+datos_base!$J$20+IF(parametros_manuales!$H$43="Todos",datos_base!$J$11+datos_base!$J$25,0))*parametros_manuales!$M$105+parametros_manuales!$G$43*(datos_base!$J$5+datos_base!$J$21+IF(parametros_manuales!$H$43="Todos",datos_base!$J$12+datos_base!$J$26,0))*parametros_manuales!$M$110)*parametros_manuales!$I$43*parametros_manuales!$J$43</f>
        <v>22162.22972883</v>
      </c>
      <c r="N242" s="9" t="n">
        <f aca="false">SUM(B242:M242)</f>
        <v>246246.996987</v>
      </c>
      <c r="O242" s="9" t="n">
        <f aca="false">MAX(B242:M242)</f>
        <v>22162.22972883</v>
      </c>
      <c r="P242" s="43" t="n">
        <f aca="false">O242/(parametros_manuales!$B$7)</f>
        <v>147.7481981922</v>
      </c>
      <c r="Q242" s="8" t="str">
        <f aca="false">IF(O242=0,"-",INDEX($B$217:$M$217,MATCH(O242,B242:M242,0)))</f>
        <v>Ene</v>
      </c>
    </row>
    <row r="243" customFormat="false" ht="14.25" hidden="false" customHeight="true" outlineLevel="0" collapsed="false"/>
    <row r="244" customFormat="false" ht="14.25" hidden="false" customHeight="true" outlineLevel="0" collapsed="false">
      <c r="A244" s="7" t="s">
        <v>199</v>
      </c>
      <c r="B244" s="7" t="s">
        <v>61</v>
      </c>
      <c r="C244" s="7" t="s">
        <v>62</v>
      </c>
      <c r="D244" s="7" t="s">
        <v>63</v>
      </c>
      <c r="E244" s="7" t="s">
        <v>64</v>
      </c>
      <c r="F244" s="7" t="s">
        <v>65</v>
      </c>
      <c r="G244" s="7" t="s">
        <v>66</v>
      </c>
      <c r="H244" s="7" t="s">
        <v>67</v>
      </c>
      <c r="I244" s="7" t="s">
        <v>68</v>
      </c>
      <c r="J244" s="7" t="s">
        <v>69</v>
      </c>
      <c r="K244" s="7" t="s">
        <v>70</v>
      </c>
      <c r="L244" s="7" t="s">
        <v>71</v>
      </c>
      <c r="M244" s="7" t="s">
        <v>72</v>
      </c>
      <c r="N244" s="7" t="s">
        <v>183</v>
      </c>
      <c r="O244" s="7" t="s">
        <v>188</v>
      </c>
      <c r="P244" s="7" t="s">
        <v>189</v>
      </c>
      <c r="Q244" s="7" t="s">
        <v>190</v>
      </c>
    </row>
    <row r="245" customFormat="false" ht="14.25" hidden="false" customHeight="true" outlineLevel="0" collapsed="false">
      <c r="A245" s="8" t="str">
        <f aca="false">parametros_manuales!$B$19</f>
        <v>Recepción de materia prima</v>
      </c>
      <c r="B245" s="9" t="n">
        <f aca="false">(parametros_manuales!$D$19*(datos_base!$K$2+datos_base!$K$18+IF(parametros_manuales!$H$19="Todos",datos_base!$K$9+datos_base!$K$23,0))*parametros_manuales!$B$95+parametros_manuales!$E$19*(datos_base!$K$3+datos_base!$K$19+IF(parametros_manuales!$H$19="Todos",datos_base!$K$10+datos_base!$K$24,0))*parametros_manuales!$B$100+parametros_manuales!$F$19*(datos_base!$K$4+datos_base!$K$20+IF(parametros_manuales!$H$19="Todos",datos_base!$K$11+datos_base!$K$25,0))*parametros_manuales!$B$105+parametros_manuales!$G$19*(datos_base!$K$5+datos_base!$K$21+IF(parametros_manuales!$H$19="Todos",datos_base!$K$12+datos_base!$K$26,0))*parametros_manuales!$B$110)*parametros_manuales!$I$19*parametros_manuales!$J$19</f>
        <v>25606.33599357</v>
      </c>
      <c r="C245" s="9" t="n">
        <f aca="false">(parametros_manuales!$D$19*(datos_base!$K$2+datos_base!$K$18+IF(parametros_manuales!$H$19="Todos",datos_base!$K$9+datos_base!$K$23,0))*parametros_manuales!$C$95+parametros_manuales!$E$19*(datos_base!$K$3+datos_base!$K$19+IF(parametros_manuales!$H$19="Todos",datos_base!$K$10+datos_base!$K$24,0))*parametros_manuales!$C$100+parametros_manuales!$F$19*(datos_base!$K$4+datos_base!$K$20+IF(parametros_manuales!$H$19="Todos",datos_base!$K$11+datos_base!$K$25,0))*parametros_manuales!$C$105+parametros_manuales!$G$19*(datos_base!$K$5+datos_base!$K$21+IF(parametros_manuales!$H$19="Todos",datos_base!$K$12+datos_base!$K$26,0))*parametros_manuales!$C$110)*parametros_manuales!$I$19*parametros_manuales!$J$19</f>
        <v>24787.39394114</v>
      </c>
      <c r="D245" s="9" t="n">
        <f aca="false">(parametros_manuales!$D$19*(datos_base!$K$2+datos_base!$K$18+IF(parametros_manuales!$H$19="Todos",datos_base!$K$9+datos_base!$K$23,0))*parametros_manuales!$D$95+parametros_manuales!$E$19*(datos_base!$K$3+datos_base!$K$19+IF(parametros_manuales!$H$19="Todos",datos_base!$K$10+datos_base!$K$24,0))*parametros_manuales!$D$100+parametros_manuales!$F$19*(datos_base!$K$4+datos_base!$K$20+IF(parametros_manuales!$H$19="Todos",datos_base!$K$11+datos_base!$K$25,0))*parametros_manuales!$D$105+parametros_manuales!$G$19*(datos_base!$K$5+datos_base!$K$21+IF(parametros_manuales!$H$19="Todos",datos_base!$K$12+datos_base!$K$26,0))*parametros_manuales!$D$110)*parametros_manuales!$I$19*parametros_manuales!$J$19</f>
        <v>23170.658576055</v>
      </c>
      <c r="E245" s="9" t="n">
        <f aca="false">(parametros_manuales!$D$19*(datos_base!$K$2+datos_base!$K$18+IF(parametros_manuales!$H$19="Todos",datos_base!$K$9+datos_base!$K$23,0))*parametros_manuales!$E$95+parametros_manuales!$E$19*(datos_base!$K$3+datos_base!$K$19+IF(parametros_manuales!$H$19="Todos",datos_base!$K$10+datos_base!$K$24,0))*parametros_manuales!$E$100+parametros_manuales!$F$19*(datos_base!$K$4+datos_base!$K$20+IF(parametros_manuales!$H$19="Todos",datos_base!$K$11+datos_base!$K$25,0))*parametros_manuales!$E$105+parametros_manuales!$G$19*(datos_base!$K$5+datos_base!$K$21+IF(parametros_manuales!$H$19="Todos",datos_base!$K$12+datos_base!$K$26,0))*parametros_manuales!$E$110)*parametros_manuales!$I$19*parametros_manuales!$J$19</f>
        <v>22157.555380405</v>
      </c>
      <c r="F245" s="9" t="n">
        <f aca="false">(parametros_manuales!$D$19*(datos_base!$K$2+datos_base!$K$18+IF(parametros_manuales!$H$19="Todos",datos_base!$K$9+datos_base!$K$23,0))*parametros_manuales!$F$95+parametros_manuales!$E$19*(datos_base!$K$3+datos_base!$K$19+IF(parametros_manuales!$H$19="Todos",datos_base!$K$10+datos_base!$K$24,0))*parametros_manuales!$F$100+parametros_manuales!$F$19*(datos_base!$K$4+datos_base!$K$20+IF(parametros_manuales!$H$19="Todos",datos_base!$K$11+datos_base!$K$25,0))*parametros_manuales!$F$105+parametros_manuales!$G$19*(datos_base!$K$5+datos_base!$K$21+IF(parametros_manuales!$H$19="Todos",datos_base!$K$12+datos_base!$K$26,0))*parametros_manuales!$F$110)*parametros_manuales!$I$19*parametros_manuales!$J$19</f>
        <v>20734.98115854</v>
      </c>
      <c r="G245" s="9" t="n">
        <f aca="false">(parametros_manuales!$D$19*(datos_base!$K$2+datos_base!$K$18+IF(parametros_manuales!$H$19="Todos",datos_base!$K$9+datos_base!$K$23,0))*parametros_manuales!$G$95+parametros_manuales!$E$19*(datos_base!$K$3+datos_base!$K$19+IF(parametros_manuales!$H$19="Todos",datos_base!$K$10+datos_base!$K$24,0))*parametros_manuales!$G$100+parametros_manuales!$F$19*(datos_base!$K$4+datos_base!$K$20+IF(parametros_manuales!$H$19="Todos",datos_base!$K$11+datos_base!$K$25,0))*parametros_manuales!$G$105+parametros_manuales!$G$19*(datos_base!$K$5+datos_base!$K$21+IF(parametros_manuales!$H$19="Todos",datos_base!$K$12+datos_base!$K$26,0))*parametros_manuales!$G$110)*parametros_manuales!$I$19*parametros_manuales!$J$19</f>
        <v>20325.510132325</v>
      </c>
      <c r="H245" s="9" t="n">
        <f aca="false">(parametros_manuales!$D$19*(datos_base!$K$2+datos_base!$K$18+IF(parametros_manuales!$H$19="Todos",datos_base!$K$9+datos_base!$K$23,0))*parametros_manuales!$H$95+parametros_manuales!$E$19*(datos_base!$K$3+datos_base!$K$19+IF(parametros_manuales!$H$19="Todos",datos_base!$K$10+datos_base!$K$24,0))*parametros_manuales!$H$100+parametros_manuales!$F$19*(datos_base!$K$4+datos_base!$K$20+IF(parametros_manuales!$H$19="Todos",datos_base!$K$11+datos_base!$K$25,0))*parametros_manuales!$H$105+parametros_manuales!$G$19*(datos_base!$K$5+datos_base!$K$21+IF(parametros_manuales!$H$19="Todos",datos_base!$K$12+datos_base!$K$26,0))*parametros_manuales!$H$110)*parametros_manuales!$I$19*parametros_manuales!$J$19</f>
        <v>21748.08435419</v>
      </c>
      <c r="I245" s="9" t="n">
        <f aca="false">(parametros_manuales!$D$19*(datos_base!$K$2+datos_base!$K$18+IF(parametros_manuales!$H$19="Todos",datos_base!$K$9+datos_base!$K$23,0))*parametros_manuales!$I$95+parametros_manuales!$E$19*(datos_base!$K$3+datos_base!$K$19+IF(parametros_manuales!$H$19="Todos",datos_base!$K$10+datos_base!$K$24,0))*parametros_manuales!$I$100+parametros_manuales!$F$19*(datos_base!$K$4+datos_base!$K$20+IF(parametros_manuales!$H$19="Todos",datos_base!$K$11+datos_base!$K$25,0))*parametros_manuales!$I$105+parametros_manuales!$G$19*(datos_base!$K$5+datos_base!$K$21+IF(parametros_manuales!$H$19="Todos",datos_base!$K$12+datos_base!$K$26,0))*parametros_manuales!$I$110)*parametros_manuales!$I$19*parametros_manuales!$J$19</f>
        <v>24787.39394114</v>
      </c>
      <c r="J245" s="9" t="n">
        <f aca="false">(parametros_manuales!$D$19*(datos_base!$K$2+datos_base!$K$18+IF(parametros_manuales!$H$19="Todos",datos_base!$K$9+datos_base!$K$23,0))*parametros_manuales!$J$95+parametros_manuales!$E$19*(datos_base!$K$3+datos_base!$K$19+IF(parametros_manuales!$H$19="Todos",datos_base!$K$10+datos_base!$K$24,0))*parametros_manuales!$J$100+parametros_manuales!$F$19*(datos_base!$K$4+datos_base!$K$20+IF(parametros_manuales!$H$19="Todos",datos_base!$K$11+datos_base!$K$25,0))*parametros_manuales!$J$105+parametros_manuales!$G$19*(datos_base!$K$5+datos_base!$K$21+IF(parametros_manuales!$H$19="Todos",datos_base!$K$12+datos_base!$K$26,0))*parametros_manuales!$J$110)*parametros_manuales!$I$19*parametros_manuales!$J$19</f>
        <v>24787.39394114</v>
      </c>
      <c r="K245" s="9" t="n">
        <f aca="false">(parametros_manuales!$D$19*(datos_base!$K$2+datos_base!$K$18+IF(parametros_manuales!$H$19="Todos",datos_base!$K$9+datos_base!$K$23,0))*parametros_manuales!$K$95+parametros_manuales!$E$19*(datos_base!$K$3+datos_base!$K$19+IF(parametros_manuales!$H$19="Todos",datos_base!$K$10+datos_base!$K$24,0))*parametros_manuales!$K$100+parametros_manuales!$F$19*(datos_base!$K$4+datos_base!$K$20+IF(parametros_manuales!$H$19="Todos",datos_base!$K$11+datos_base!$K$25,0))*parametros_manuales!$K$105+parametros_manuales!$G$19*(datos_base!$K$5+datos_base!$K$21+IF(parametros_manuales!$H$19="Todos",datos_base!$K$12+datos_base!$K$26,0))*parametros_manuales!$K$110)*parametros_manuales!$I$19*parametros_manuales!$J$19</f>
        <v>25196.864967355</v>
      </c>
      <c r="L245" s="9" t="n">
        <f aca="false">(parametros_manuales!$D$19*(datos_base!$K$2+datos_base!$K$18+IF(parametros_manuales!$H$19="Todos",datos_base!$K$9+datos_base!$K$23,0))*parametros_manuales!$L$95+parametros_manuales!$E$19*(datos_base!$K$3+datos_base!$K$19+IF(parametros_manuales!$H$19="Todos",datos_base!$K$10+datos_base!$K$24,0))*parametros_manuales!$L$100+parametros_manuales!$F$19*(datos_base!$K$4+datos_base!$K$20+IF(parametros_manuales!$H$19="Todos",datos_base!$K$11+datos_base!$K$25,0))*parametros_manuales!$L$105+parametros_manuales!$G$19*(datos_base!$K$5+datos_base!$K$21+IF(parametros_manuales!$H$19="Todos",datos_base!$K$12+datos_base!$K$26,0))*parametros_manuales!$L$110)*parametros_manuales!$I$19*parametros_manuales!$J$19</f>
        <v>25606.33599357</v>
      </c>
      <c r="M245" s="9" t="n">
        <f aca="false">(parametros_manuales!$D$19*(datos_base!$K$2+datos_base!$K$18+IF(parametros_manuales!$H$19="Todos",datos_base!$K$9+datos_base!$K$23,0))*parametros_manuales!$M$95+parametros_manuales!$E$19*(datos_base!$K$3+datos_base!$K$19+IF(parametros_manuales!$H$19="Todos",datos_base!$K$10+datos_base!$K$24,0))*parametros_manuales!$M$100+parametros_manuales!$F$19*(datos_base!$K$4+datos_base!$K$20+IF(parametros_manuales!$H$19="Todos",datos_base!$K$11+datos_base!$K$25,0))*parametros_manuales!$M$105+parametros_manuales!$G$19*(datos_base!$K$5+datos_base!$K$21+IF(parametros_manuales!$H$19="Todos",datos_base!$K$12+datos_base!$K$26,0))*parametros_manuales!$M$110)*parametros_manuales!$I$19*parametros_manuales!$J$19</f>
        <v>25606.33599357</v>
      </c>
      <c r="N245" s="9" t="n">
        <f aca="false">SUM(B245:M245)</f>
        <v>284514.844373</v>
      </c>
      <c r="O245" s="9" t="n">
        <f aca="false">MAX(B245:M245)</f>
        <v>25606.33599357</v>
      </c>
      <c r="P245" s="43" t="n">
        <f aca="false">O245/(parametros_manuales!$B$7)</f>
        <v>170.7089066238</v>
      </c>
      <c r="Q245" s="8" t="str">
        <f aca="false">IF(O245=0,"-",INDEX($B$244:$M$244,MATCH(O245,B245:M245,0)))</f>
        <v>Ene</v>
      </c>
    </row>
    <row r="246" customFormat="false" ht="14.25" hidden="false" customHeight="true" outlineLevel="0" collapsed="false">
      <c r="A246" s="8" t="str">
        <f aca="false">parametros_manuales!$B$20</f>
        <v>Corte de chapa (guillotina) — 2,5 a 10 kg</v>
      </c>
      <c r="B246" s="9" t="n">
        <f aca="false">(parametros_manuales!$D$20*(datos_base!$K$2+datos_base!$K$18+IF(parametros_manuales!$H$20="Todos",datos_base!$K$9+datos_base!$K$23,0))*parametros_manuales!$B$95+parametros_manuales!$E$20*(datos_base!$K$3+datos_base!$K$19+IF(parametros_manuales!$H$20="Todos",datos_base!$K$10+datos_base!$K$24,0))*parametros_manuales!$B$100+parametros_manuales!$F$20*(datos_base!$K$4+datos_base!$K$20+IF(parametros_manuales!$H$20="Todos",datos_base!$K$11+datos_base!$K$25,0))*parametros_manuales!$B$105+parametros_manuales!$G$20*(datos_base!$K$5+datos_base!$K$21+IF(parametros_manuales!$H$20="Todos",datos_base!$K$12+datos_base!$K$26,0))*parametros_manuales!$B$110)*parametros_manuales!$I$20*parametros_manuales!$J$20</f>
        <v>7370.47847187</v>
      </c>
      <c r="C246" s="9" t="n">
        <f aca="false">(parametros_manuales!$D$20*(datos_base!$K$2+datos_base!$K$18+IF(parametros_manuales!$H$20="Todos",datos_base!$K$9+datos_base!$K$23,0))*parametros_manuales!$C$95+parametros_manuales!$E$20*(datos_base!$K$3+datos_base!$K$19+IF(parametros_manuales!$H$20="Todos",datos_base!$K$10+datos_base!$K$24,0))*parametros_manuales!$C$100+parametros_manuales!$F$20*(datos_base!$K$4+datos_base!$K$20+IF(parametros_manuales!$H$20="Todos",datos_base!$K$11+datos_base!$K$25,0))*parametros_manuales!$C$105+parametros_manuales!$G$20*(datos_base!$K$5+datos_base!$K$21+IF(parametros_manuales!$H$20="Todos",datos_base!$K$12+datos_base!$K$26,0))*parametros_manuales!$C$110)*parametros_manuales!$I$20*parametros_manuales!$J$20</f>
        <v>6551.53641944</v>
      </c>
      <c r="D246" s="9" t="n">
        <f aca="false">(parametros_manuales!$D$20*(datos_base!$K$2+datos_base!$K$18+IF(parametros_manuales!$H$20="Todos",datos_base!$K$9+datos_base!$K$23,0))*parametros_manuales!$D$95+parametros_manuales!$E$20*(datos_base!$K$3+datos_base!$K$19+IF(parametros_manuales!$H$20="Todos",datos_base!$K$10+datos_base!$K$24,0))*parametros_manuales!$D$100+parametros_manuales!$F$20*(datos_base!$K$4+datos_base!$K$20+IF(parametros_manuales!$H$20="Todos",datos_base!$K$11+datos_base!$K$25,0))*parametros_manuales!$D$105+parametros_manuales!$G$20*(datos_base!$K$5+datos_base!$K$21+IF(parametros_manuales!$H$20="Todos",datos_base!$K$12+datos_base!$K$26,0))*parametros_manuales!$D$110)*parametros_manuales!$I$20*parametros_manuales!$J$20</f>
        <v>6961.007445655</v>
      </c>
      <c r="E246" s="9" t="n">
        <f aca="false">(parametros_manuales!$D$20*(datos_base!$K$2+datos_base!$K$18+IF(parametros_manuales!$H$20="Todos",datos_base!$K$9+datos_base!$K$23,0))*parametros_manuales!$E$95+parametros_manuales!$E$20*(datos_base!$K$3+datos_base!$K$19+IF(parametros_manuales!$H$20="Todos",datos_base!$K$10+datos_base!$K$24,0))*parametros_manuales!$E$100+parametros_manuales!$F$20*(datos_base!$K$4+datos_base!$K$20+IF(parametros_manuales!$H$20="Todos",datos_base!$K$11+datos_base!$K$25,0))*parametros_manuales!$E$105+parametros_manuales!$G$20*(datos_base!$K$5+datos_base!$K$21+IF(parametros_manuales!$H$20="Todos",datos_base!$K$12+datos_base!$K$26,0))*parametros_manuales!$E$110)*parametros_manuales!$I$20*parametros_manuales!$J$20</f>
        <v>6961.007445655</v>
      </c>
      <c r="F246" s="9" t="n">
        <f aca="false">(parametros_manuales!$D$20*(datos_base!$K$2+datos_base!$K$18+IF(parametros_manuales!$H$20="Todos",datos_base!$K$9+datos_base!$K$23,0))*parametros_manuales!$F$95+parametros_manuales!$E$20*(datos_base!$K$3+datos_base!$K$19+IF(parametros_manuales!$H$20="Todos",datos_base!$K$10+datos_base!$K$24,0))*parametros_manuales!$F$100+parametros_manuales!$F$20*(datos_base!$K$4+datos_base!$K$20+IF(parametros_manuales!$H$20="Todos",datos_base!$K$11+datos_base!$K$25,0))*parametros_manuales!$F$105+parametros_manuales!$G$20*(datos_base!$K$5+datos_base!$K$21+IF(parametros_manuales!$H$20="Todos",datos_base!$K$12+datos_base!$K$26,0))*parametros_manuales!$F$110)*parametros_manuales!$I$20*parametros_manuales!$J$20</f>
        <v>6551.53641944</v>
      </c>
      <c r="G246" s="9" t="n">
        <f aca="false">(parametros_manuales!$D$20*(datos_base!$K$2+datos_base!$K$18+IF(parametros_manuales!$H$20="Todos",datos_base!$K$9+datos_base!$K$23,0))*parametros_manuales!$G$95+parametros_manuales!$E$20*(datos_base!$K$3+datos_base!$K$19+IF(parametros_manuales!$H$20="Todos",datos_base!$K$10+datos_base!$K$24,0))*parametros_manuales!$G$100+parametros_manuales!$F$20*(datos_base!$K$4+datos_base!$K$20+IF(parametros_manuales!$H$20="Todos",datos_base!$K$11+datos_base!$K$25,0))*parametros_manuales!$G$105+parametros_manuales!$G$20*(datos_base!$K$5+datos_base!$K$21+IF(parametros_manuales!$H$20="Todos",datos_base!$K$12+datos_base!$K$26,0))*parametros_manuales!$G$110)*parametros_manuales!$I$20*parametros_manuales!$J$20</f>
        <v>6142.065393225</v>
      </c>
      <c r="H246" s="9" t="n">
        <f aca="false">(parametros_manuales!$D$20*(datos_base!$K$2+datos_base!$K$18+IF(parametros_manuales!$H$20="Todos",datos_base!$K$9+datos_base!$K$23,0))*parametros_manuales!$H$95+parametros_manuales!$E$20*(datos_base!$K$3+datos_base!$K$19+IF(parametros_manuales!$H$20="Todos",datos_base!$K$10+datos_base!$K$24,0))*parametros_manuales!$H$100+parametros_manuales!$F$20*(datos_base!$K$4+datos_base!$K$20+IF(parametros_manuales!$H$20="Todos",datos_base!$K$11+datos_base!$K$25,0))*parametros_manuales!$H$105+parametros_manuales!$G$20*(datos_base!$K$5+datos_base!$K$21+IF(parametros_manuales!$H$20="Todos",datos_base!$K$12+datos_base!$K$26,0))*parametros_manuales!$H$110)*parametros_manuales!$I$20*parametros_manuales!$J$20</f>
        <v>6551.53641944</v>
      </c>
      <c r="I246" s="9" t="n">
        <f aca="false">(parametros_manuales!$D$20*(datos_base!$K$2+datos_base!$K$18+IF(parametros_manuales!$H$20="Todos",datos_base!$K$9+datos_base!$K$23,0))*parametros_manuales!$I$95+parametros_manuales!$E$20*(datos_base!$K$3+datos_base!$K$19+IF(parametros_manuales!$H$20="Todos",datos_base!$K$10+datos_base!$K$24,0))*parametros_manuales!$I$100+parametros_manuales!$F$20*(datos_base!$K$4+datos_base!$K$20+IF(parametros_manuales!$H$20="Todos",datos_base!$K$11+datos_base!$K$25,0))*parametros_manuales!$I$105+parametros_manuales!$G$20*(datos_base!$K$5+datos_base!$K$21+IF(parametros_manuales!$H$20="Todos",datos_base!$K$12+datos_base!$K$26,0))*parametros_manuales!$I$110)*parametros_manuales!$I$20*parametros_manuales!$J$20</f>
        <v>6551.53641944</v>
      </c>
      <c r="J246" s="9" t="n">
        <f aca="false">(parametros_manuales!$D$20*(datos_base!$K$2+datos_base!$K$18+IF(parametros_manuales!$H$20="Todos",datos_base!$K$9+datos_base!$K$23,0))*parametros_manuales!$J$95+parametros_manuales!$E$20*(datos_base!$K$3+datos_base!$K$19+IF(parametros_manuales!$H$20="Todos",datos_base!$K$10+datos_base!$K$24,0))*parametros_manuales!$J$100+parametros_manuales!$F$20*(datos_base!$K$4+datos_base!$K$20+IF(parametros_manuales!$H$20="Todos",datos_base!$K$11+datos_base!$K$25,0))*parametros_manuales!$J$105+parametros_manuales!$G$20*(datos_base!$K$5+datos_base!$K$21+IF(parametros_manuales!$H$20="Todos",datos_base!$K$12+datos_base!$K$26,0))*parametros_manuales!$J$110)*parametros_manuales!$I$20*parametros_manuales!$J$20</f>
        <v>6551.53641944</v>
      </c>
      <c r="K246" s="9" t="n">
        <f aca="false">(parametros_manuales!$D$20*(datos_base!$K$2+datos_base!$K$18+IF(parametros_manuales!$H$20="Todos",datos_base!$K$9+datos_base!$K$23,0))*parametros_manuales!$K$95+parametros_manuales!$E$20*(datos_base!$K$3+datos_base!$K$19+IF(parametros_manuales!$H$20="Todos",datos_base!$K$10+datos_base!$K$24,0))*parametros_manuales!$K$100+parametros_manuales!$F$20*(datos_base!$K$4+datos_base!$K$20+IF(parametros_manuales!$H$20="Todos",datos_base!$K$11+datos_base!$K$25,0))*parametros_manuales!$K$105+parametros_manuales!$G$20*(datos_base!$K$5+datos_base!$K$21+IF(parametros_manuales!$H$20="Todos",datos_base!$K$12+datos_base!$K$26,0))*parametros_manuales!$K$110)*parametros_manuales!$I$20*parametros_manuales!$J$20</f>
        <v>6961.007445655</v>
      </c>
      <c r="L246" s="9" t="n">
        <f aca="false">(parametros_manuales!$D$20*(datos_base!$K$2+datos_base!$K$18+IF(parametros_manuales!$H$20="Todos",datos_base!$K$9+datos_base!$K$23,0))*parametros_manuales!$L$95+parametros_manuales!$E$20*(datos_base!$K$3+datos_base!$K$19+IF(parametros_manuales!$H$20="Todos",datos_base!$K$10+datos_base!$K$24,0))*parametros_manuales!$L$100+parametros_manuales!$F$20*(datos_base!$K$4+datos_base!$K$20+IF(parametros_manuales!$H$20="Todos",datos_base!$K$11+datos_base!$K$25,0))*parametros_manuales!$L$105+parametros_manuales!$G$20*(datos_base!$K$5+datos_base!$K$21+IF(parametros_manuales!$H$20="Todos",datos_base!$K$12+datos_base!$K$26,0))*parametros_manuales!$L$110)*parametros_manuales!$I$20*parametros_manuales!$J$20</f>
        <v>7370.47847187</v>
      </c>
      <c r="M246" s="9" t="n">
        <f aca="false">(parametros_manuales!$D$20*(datos_base!$K$2+datos_base!$K$18+IF(parametros_manuales!$H$20="Todos",datos_base!$K$9+datos_base!$K$23,0))*parametros_manuales!$M$95+parametros_manuales!$E$20*(datos_base!$K$3+datos_base!$K$19+IF(parametros_manuales!$H$20="Todos",datos_base!$K$10+datos_base!$K$24,0))*parametros_manuales!$M$100+parametros_manuales!$F$20*(datos_base!$K$4+datos_base!$K$20+IF(parametros_manuales!$H$20="Todos",datos_base!$K$11+datos_base!$K$25,0))*parametros_manuales!$M$105+parametros_manuales!$G$20*(datos_base!$K$5+datos_base!$K$21+IF(parametros_manuales!$H$20="Todos",datos_base!$K$12+datos_base!$K$26,0))*parametros_manuales!$M$110)*parametros_manuales!$I$20*parametros_manuales!$J$20</f>
        <v>7370.47847187</v>
      </c>
      <c r="N246" s="9" t="n">
        <f aca="false">SUM(B246:M246)</f>
        <v>81894.205243</v>
      </c>
      <c r="O246" s="9" t="n">
        <f aca="false">MAX(B246:M246)</f>
        <v>7370.47847187</v>
      </c>
      <c r="P246" s="43" t="n">
        <f aca="false">O246/(parametros_manuales!$B$7)</f>
        <v>49.1365231458</v>
      </c>
      <c r="Q246" s="8" t="str">
        <f aca="false">IF(O246=0,"-",INDEX($B$244:$M$244,MATCH(O246,B246:M246,0)))</f>
        <v>Ene</v>
      </c>
    </row>
    <row r="247" customFormat="false" ht="14.25" hidden="false" customHeight="true" outlineLevel="0" collapsed="false">
      <c r="A247" s="8" t="str">
        <f aca="false">parametros_manuales!$B$21</f>
        <v>Corte de tubo — 1 kg</v>
      </c>
      <c r="B247" s="9" t="n">
        <f aca="false">(parametros_manuales!$D$21*(datos_base!$K$2+datos_base!$K$18+IF(parametros_manuales!$H$21="Todos",datos_base!$K$9+datos_base!$K$23,0))*parametros_manuales!$B$95+parametros_manuales!$E$21*(datos_base!$K$3+datos_base!$K$19+IF(parametros_manuales!$H$21="Todos",datos_base!$K$10+datos_base!$K$24,0))*parametros_manuales!$B$100+parametros_manuales!$F$21*(datos_base!$K$4+datos_base!$K$20+IF(parametros_manuales!$H$21="Todos",datos_base!$K$11+datos_base!$K$25,0))*parametros_manuales!$B$105+parametros_manuales!$G$21*(datos_base!$K$5+datos_base!$K$21+IF(parametros_manuales!$H$21="Todos",datos_base!$K$12+datos_base!$K$26,0))*parametros_manuales!$B$110)*parametros_manuales!$I$21*parametros_manuales!$J$21</f>
        <v>18235.8575217</v>
      </c>
      <c r="C247" s="9" t="n">
        <f aca="false">(parametros_manuales!$D$21*(datos_base!$K$2+datos_base!$K$18+IF(parametros_manuales!$H$21="Todos",datos_base!$K$9+datos_base!$K$23,0))*parametros_manuales!$C$95+parametros_manuales!$E$21*(datos_base!$K$3+datos_base!$K$19+IF(parametros_manuales!$H$21="Todos",datos_base!$K$10+datos_base!$K$24,0))*parametros_manuales!$C$100+parametros_manuales!$F$21*(datos_base!$K$4+datos_base!$K$20+IF(parametros_manuales!$H$21="Todos",datos_base!$K$11+datos_base!$K$25,0))*parametros_manuales!$C$105+parametros_manuales!$G$21*(datos_base!$K$5+datos_base!$K$21+IF(parametros_manuales!$H$21="Todos",datos_base!$K$12+datos_base!$K$26,0))*parametros_manuales!$C$110)*parametros_manuales!$I$21*parametros_manuales!$J$21</f>
        <v>18235.8575217</v>
      </c>
      <c r="D247" s="9" t="n">
        <f aca="false">(parametros_manuales!$D$21*(datos_base!$K$2+datos_base!$K$18+IF(parametros_manuales!$H$21="Todos",datos_base!$K$9+datos_base!$K$23,0))*parametros_manuales!$D$95+parametros_manuales!$E$21*(datos_base!$K$3+datos_base!$K$19+IF(parametros_manuales!$H$21="Todos",datos_base!$K$10+datos_base!$K$24,0))*parametros_manuales!$D$100+parametros_manuales!$F$21*(datos_base!$K$4+datos_base!$K$20+IF(parametros_manuales!$H$21="Todos",datos_base!$K$11+datos_base!$K$25,0))*parametros_manuales!$D$105+parametros_manuales!$G$21*(datos_base!$K$5+datos_base!$K$21+IF(parametros_manuales!$H$21="Todos",datos_base!$K$12+datos_base!$K$26,0))*parametros_manuales!$D$110)*parametros_manuales!$I$21*parametros_manuales!$J$21</f>
        <v>16209.6511304</v>
      </c>
      <c r="E247" s="9" t="n">
        <f aca="false">(parametros_manuales!$D$21*(datos_base!$K$2+datos_base!$K$18+IF(parametros_manuales!$H$21="Todos",datos_base!$K$9+datos_base!$K$23,0))*parametros_manuales!$E$95+parametros_manuales!$E$21*(datos_base!$K$3+datos_base!$K$19+IF(parametros_manuales!$H$21="Todos",datos_base!$K$10+datos_base!$K$24,0))*parametros_manuales!$E$100+parametros_manuales!$F$21*(datos_base!$K$4+datos_base!$K$20+IF(parametros_manuales!$H$21="Todos",datos_base!$K$11+datos_base!$K$25,0))*parametros_manuales!$E$105+parametros_manuales!$G$21*(datos_base!$K$5+datos_base!$K$21+IF(parametros_manuales!$H$21="Todos",datos_base!$K$12+datos_base!$K$26,0))*parametros_manuales!$E$110)*parametros_manuales!$I$21*parametros_manuales!$J$21</f>
        <v>15196.54793475</v>
      </c>
      <c r="F247" s="9" t="n">
        <f aca="false">(parametros_manuales!$D$21*(datos_base!$K$2+datos_base!$K$18+IF(parametros_manuales!$H$21="Todos",datos_base!$K$9+datos_base!$K$23,0))*parametros_manuales!$F$95+parametros_manuales!$E$21*(datos_base!$K$3+datos_base!$K$19+IF(parametros_manuales!$H$21="Todos",datos_base!$K$10+datos_base!$K$24,0))*parametros_manuales!$F$100+parametros_manuales!$F$21*(datos_base!$K$4+datos_base!$K$20+IF(parametros_manuales!$H$21="Todos",datos_base!$K$11+datos_base!$K$25,0))*parametros_manuales!$F$105+parametros_manuales!$G$21*(datos_base!$K$5+datos_base!$K$21+IF(parametros_manuales!$H$21="Todos",datos_base!$K$12+datos_base!$K$26,0))*parametros_manuales!$F$110)*parametros_manuales!$I$21*parametros_manuales!$J$21</f>
        <v>14183.4447391</v>
      </c>
      <c r="G247" s="9" t="n">
        <f aca="false">(parametros_manuales!$D$21*(datos_base!$K$2+datos_base!$K$18+IF(parametros_manuales!$H$21="Todos",datos_base!$K$9+datos_base!$K$23,0))*parametros_manuales!$G$95+parametros_manuales!$E$21*(datos_base!$K$3+datos_base!$K$19+IF(parametros_manuales!$H$21="Todos",datos_base!$K$10+datos_base!$K$24,0))*parametros_manuales!$G$100+parametros_manuales!$F$21*(datos_base!$K$4+datos_base!$K$20+IF(parametros_manuales!$H$21="Todos",datos_base!$K$11+datos_base!$K$25,0))*parametros_manuales!$G$105+parametros_manuales!$G$21*(datos_base!$K$5+datos_base!$K$21+IF(parametros_manuales!$H$21="Todos",datos_base!$K$12+datos_base!$K$26,0))*parametros_manuales!$G$110)*parametros_manuales!$I$21*parametros_manuales!$J$21</f>
        <v>14183.4447391</v>
      </c>
      <c r="H247" s="9" t="n">
        <f aca="false">(parametros_manuales!$D$21*(datos_base!$K$2+datos_base!$K$18+IF(parametros_manuales!$H$21="Todos",datos_base!$K$9+datos_base!$K$23,0))*parametros_manuales!$H$95+parametros_manuales!$E$21*(datos_base!$K$3+datos_base!$K$19+IF(parametros_manuales!$H$21="Todos",datos_base!$K$10+datos_base!$K$24,0))*parametros_manuales!$H$100+parametros_manuales!$F$21*(datos_base!$K$4+datos_base!$K$20+IF(parametros_manuales!$H$21="Todos",datos_base!$K$11+datos_base!$K$25,0))*parametros_manuales!$H$105+parametros_manuales!$G$21*(datos_base!$K$5+datos_base!$K$21+IF(parametros_manuales!$H$21="Todos",datos_base!$K$12+datos_base!$K$26,0))*parametros_manuales!$H$110)*parametros_manuales!$I$21*parametros_manuales!$J$21</f>
        <v>15196.54793475</v>
      </c>
      <c r="I247" s="9" t="n">
        <f aca="false">(parametros_manuales!$D$21*(datos_base!$K$2+datos_base!$K$18+IF(parametros_manuales!$H$21="Todos",datos_base!$K$9+datos_base!$K$23,0))*parametros_manuales!$I$95+parametros_manuales!$E$21*(datos_base!$K$3+datos_base!$K$19+IF(parametros_manuales!$H$21="Todos",datos_base!$K$10+datos_base!$K$24,0))*parametros_manuales!$I$100+parametros_manuales!$F$21*(datos_base!$K$4+datos_base!$K$20+IF(parametros_manuales!$H$21="Todos",datos_base!$K$11+datos_base!$K$25,0))*parametros_manuales!$I$105+parametros_manuales!$G$21*(datos_base!$K$5+datos_base!$K$21+IF(parametros_manuales!$H$21="Todos",datos_base!$K$12+datos_base!$K$26,0))*parametros_manuales!$I$110)*parametros_manuales!$I$21*parametros_manuales!$J$21</f>
        <v>18235.8575217</v>
      </c>
      <c r="J247" s="9" t="n">
        <f aca="false">(parametros_manuales!$D$21*(datos_base!$K$2+datos_base!$K$18+IF(parametros_manuales!$H$21="Todos",datos_base!$K$9+datos_base!$K$23,0))*parametros_manuales!$J$95+parametros_manuales!$E$21*(datos_base!$K$3+datos_base!$K$19+IF(parametros_manuales!$H$21="Todos",datos_base!$K$10+datos_base!$K$24,0))*parametros_manuales!$J$100+parametros_manuales!$F$21*(datos_base!$K$4+datos_base!$K$20+IF(parametros_manuales!$H$21="Todos",datos_base!$K$11+datos_base!$K$25,0))*parametros_manuales!$J$105+parametros_manuales!$G$21*(datos_base!$K$5+datos_base!$K$21+IF(parametros_manuales!$H$21="Todos",datos_base!$K$12+datos_base!$K$26,0))*parametros_manuales!$J$110)*parametros_manuales!$I$21*parametros_manuales!$J$21</f>
        <v>18235.8575217</v>
      </c>
      <c r="K247" s="9" t="n">
        <f aca="false">(parametros_manuales!$D$21*(datos_base!$K$2+datos_base!$K$18+IF(parametros_manuales!$H$21="Todos",datos_base!$K$9+datos_base!$K$23,0))*parametros_manuales!$K$95+parametros_manuales!$E$21*(datos_base!$K$3+datos_base!$K$19+IF(parametros_manuales!$H$21="Todos",datos_base!$K$10+datos_base!$K$24,0))*parametros_manuales!$K$100+parametros_manuales!$F$21*(datos_base!$K$4+datos_base!$K$20+IF(parametros_manuales!$H$21="Todos",datos_base!$K$11+datos_base!$K$25,0))*parametros_manuales!$K$105+parametros_manuales!$G$21*(datos_base!$K$5+datos_base!$K$21+IF(parametros_manuales!$H$21="Todos",datos_base!$K$12+datos_base!$K$26,0))*parametros_manuales!$K$110)*parametros_manuales!$I$21*parametros_manuales!$J$21</f>
        <v>18235.8575217</v>
      </c>
      <c r="L247" s="9" t="n">
        <f aca="false">(parametros_manuales!$D$21*(datos_base!$K$2+datos_base!$K$18+IF(parametros_manuales!$H$21="Todos",datos_base!$K$9+datos_base!$K$23,0))*parametros_manuales!$L$95+parametros_manuales!$E$21*(datos_base!$K$3+datos_base!$K$19+IF(parametros_manuales!$H$21="Todos",datos_base!$K$10+datos_base!$K$24,0))*parametros_manuales!$L$100+parametros_manuales!$F$21*(datos_base!$K$4+datos_base!$K$20+IF(parametros_manuales!$H$21="Todos",datos_base!$K$11+datos_base!$K$25,0))*parametros_manuales!$L$105+parametros_manuales!$G$21*(datos_base!$K$5+datos_base!$K$21+IF(parametros_manuales!$H$21="Todos",datos_base!$K$12+datos_base!$K$26,0))*parametros_manuales!$L$110)*parametros_manuales!$I$21*parametros_manuales!$J$21</f>
        <v>18235.8575217</v>
      </c>
      <c r="M247" s="9" t="n">
        <f aca="false">(parametros_manuales!$D$21*(datos_base!$K$2+datos_base!$K$18+IF(parametros_manuales!$H$21="Todos",datos_base!$K$9+datos_base!$K$23,0))*parametros_manuales!$M$95+parametros_manuales!$E$21*(datos_base!$K$3+datos_base!$K$19+IF(parametros_manuales!$H$21="Todos",datos_base!$K$10+datos_base!$K$24,0))*parametros_manuales!$M$100+parametros_manuales!$F$21*(datos_base!$K$4+datos_base!$K$20+IF(parametros_manuales!$H$21="Todos",datos_base!$K$11+datos_base!$K$25,0))*parametros_manuales!$M$105+parametros_manuales!$G$21*(datos_base!$K$5+datos_base!$K$21+IF(parametros_manuales!$H$21="Todos",datos_base!$K$12+datos_base!$K$26,0))*parametros_manuales!$M$110)*parametros_manuales!$I$21*parametros_manuales!$J$21</f>
        <v>18235.8575217</v>
      </c>
      <c r="N247" s="9" t="n">
        <f aca="false">SUM(B247:M247)</f>
        <v>202620.63913</v>
      </c>
      <c r="O247" s="9" t="n">
        <f aca="false">MAX(B247:M247)</f>
        <v>18235.8575217</v>
      </c>
      <c r="P247" s="43" t="n">
        <f aca="false">O247/(parametros_manuales!$B$7)</f>
        <v>121.572383478</v>
      </c>
      <c r="Q247" s="8" t="str">
        <f aca="false">IF(O247=0,"-",INDEX($B$244:$M$244,MATCH(O247,B247:M247,0)))</f>
        <v>Ene</v>
      </c>
    </row>
    <row r="248" customFormat="false" ht="14.25" hidden="false" customHeight="true" outlineLevel="0" collapsed="false">
      <c r="A248" s="8" t="str">
        <f aca="false">parametros_manuales!$B$22</f>
        <v>Corte de disco y embutido (cúpula y fondo)</v>
      </c>
      <c r="B248" s="9" t="n">
        <f aca="false">(parametros_manuales!$D$22*(datos_base!$K$2+datos_base!$K$18+IF(parametros_manuales!$H$22="Todos",datos_base!$K$9+datos_base!$K$23,0))*parametros_manuales!$B$95+parametros_manuales!$E$22*(datos_base!$K$3+datos_base!$K$19+IF(parametros_manuales!$H$22="Todos",datos_base!$K$10+datos_base!$K$24,0))*parametros_manuales!$B$100+parametros_manuales!$F$22*(datos_base!$K$4+datos_base!$K$20+IF(parametros_manuales!$H$22="Todos",datos_base!$K$11+datos_base!$K$25,0))*parametros_manuales!$B$105+parametros_manuales!$G$22*(datos_base!$K$5+datos_base!$K$21+IF(parametros_manuales!$H$22="Todos",datos_base!$K$12+datos_base!$K$26,0))*parametros_manuales!$B$110)*parametros_manuales!$I$22*parametros_manuales!$J$22</f>
        <v>51212.67198714</v>
      </c>
      <c r="C248" s="9" t="n">
        <f aca="false">(parametros_manuales!$D$22*(datos_base!$K$2+datos_base!$K$18+IF(parametros_manuales!$H$22="Todos",datos_base!$K$9+datos_base!$K$23,0))*parametros_manuales!$C$95+parametros_manuales!$E$22*(datos_base!$K$3+datos_base!$K$19+IF(parametros_manuales!$H$22="Todos",datos_base!$K$10+datos_base!$K$24,0))*parametros_manuales!$C$100+parametros_manuales!$F$22*(datos_base!$K$4+datos_base!$K$20+IF(parametros_manuales!$H$22="Todos",datos_base!$K$11+datos_base!$K$25,0))*parametros_manuales!$C$105+parametros_manuales!$G$22*(datos_base!$K$5+datos_base!$K$21+IF(parametros_manuales!$H$22="Todos",datos_base!$K$12+datos_base!$K$26,0))*parametros_manuales!$C$110)*parametros_manuales!$I$22*parametros_manuales!$J$22</f>
        <v>49574.78788228</v>
      </c>
      <c r="D248" s="9" t="n">
        <f aca="false">(parametros_manuales!$D$22*(datos_base!$K$2+datos_base!$K$18+IF(parametros_manuales!$H$22="Todos",datos_base!$K$9+datos_base!$K$23,0))*parametros_manuales!$D$95+parametros_manuales!$E$22*(datos_base!$K$3+datos_base!$K$19+IF(parametros_manuales!$H$22="Todos",datos_base!$K$10+datos_base!$K$24,0))*parametros_manuales!$D$100+parametros_manuales!$F$22*(datos_base!$K$4+datos_base!$K$20+IF(parametros_manuales!$H$22="Todos",datos_base!$K$11+datos_base!$K$25,0))*parametros_manuales!$D$105+parametros_manuales!$G$22*(datos_base!$K$5+datos_base!$K$21+IF(parametros_manuales!$H$22="Todos",datos_base!$K$12+datos_base!$K$26,0))*parametros_manuales!$D$110)*parametros_manuales!$I$22*parametros_manuales!$J$22</f>
        <v>46341.31715211</v>
      </c>
      <c r="E248" s="9" t="n">
        <f aca="false">(parametros_manuales!$D$22*(datos_base!$K$2+datos_base!$K$18+IF(parametros_manuales!$H$22="Todos",datos_base!$K$9+datos_base!$K$23,0))*parametros_manuales!$E$95+parametros_manuales!$E$22*(datos_base!$K$3+datos_base!$K$19+IF(parametros_manuales!$H$22="Todos",datos_base!$K$10+datos_base!$K$24,0))*parametros_manuales!$E$100+parametros_manuales!$F$22*(datos_base!$K$4+datos_base!$K$20+IF(parametros_manuales!$H$22="Todos",datos_base!$K$11+datos_base!$K$25,0))*parametros_manuales!$E$105+parametros_manuales!$G$22*(datos_base!$K$5+datos_base!$K$21+IF(parametros_manuales!$H$22="Todos",datos_base!$K$12+datos_base!$K$26,0))*parametros_manuales!$E$110)*parametros_manuales!$I$22*parametros_manuales!$J$22</f>
        <v>44315.11076081</v>
      </c>
      <c r="F248" s="9" t="n">
        <f aca="false">(parametros_manuales!$D$22*(datos_base!$K$2+datos_base!$K$18+IF(parametros_manuales!$H$22="Todos",datos_base!$K$9+datos_base!$K$23,0))*parametros_manuales!$F$95+parametros_manuales!$E$22*(datos_base!$K$3+datos_base!$K$19+IF(parametros_manuales!$H$22="Todos",datos_base!$K$10+datos_base!$K$24,0))*parametros_manuales!$F$100+parametros_manuales!$F$22*(datos_base!$K$4+datos_base!$K$20+IF(parametros_manuales!$H$22="Todos",datos_base!$K$11+datos_base!$K$25,0))*parametros_manuales!$F$105+parametros_manuales!$G$22*(datos_base!$K$5+datos_base!$K$21+IF(parametros_manuales!$H$22="Todos",datos_base!$K$12+datos_base!$K$26,0))*parametros_manuales!$F$110)*parametros_manuales!$I$22*parametros_manuales!$J$22</f>
        <v>41469.96231708</v>
      </c>
      <c r="G248" s="9" t="n">
        <f aca="false">(parametros_manuales!$D$22*(datos_base!$K$2+datos_base!$K$18+IF(parametros_manuales!$H$22="Todos",datos_base!$K$9+datos_base!$K$23,0))*parametros_manuales!$G$95+parametros_manuales!$E$22*(datos_base!$K$3+datos_base!$K$19+IF(parametros_manuales!$H$22="Todos",datos_base!$K$10+datos_base!$K$24,0))*parametros_manuales!$G$100+parametros_manuales!$F$22*(datos_base!$K$4+datos_base!$K$20+IF(parametros_manuales!$H$22="Todos",datos_base!$K$11+datos_base!$K$25,0))*parametros_manuales!$G$105+parametros_manuales!$G$22*(datos_base!$K$5+datos_base!$K$21+IF(parametros_manuales!$H$22="Todos",datos_base!$K$12+datos_base!$K$26,0))*parametros_manuales!$G$110)*parametros_manuales!$I$22*parametros_manuales!$J$22</f>
        <v>40651.02026465</v>
      </c>
      <c r="H248" s="9" t="n">
        <f aca="false">(parametros_manuales!$D$22*(datos_base!$K$2+datos_base!$K$18+IF(parametros_manuales!$H$22="Todos",datos_base!$K$9+datos_base!$K$23,0))*parametros_manuales!$H$95+parametros_manuales!$E$22*(datos_base!$K$3+datos_base!$K$19+IF(parametros_manuales!$H$22="Todos",datos_base!$K$10+datos_base!$K$24,0))*parametros_manuales!$H$100+parametros_manuales!$F$22*(datos_base!$K$4+datos_base!$K$20+IF(parametros_manuales!$H$22="Todos",datos_base!$K$11+datos_base!$K$25,0))*parametros_manuales!$H$105+parametros_manuales!$G$22*(datos_base!$K$5+datos_base!$K$21+IF(parametros_manuales!$H$22="Todos",datos_base!$K$12+datos_base!$K$26,0))*parametros_manuales!$H$110)*parametros_manuales!$I$22*parametros_manuales!$J$22</f>
        <v>43496.16870838</v>
      </c>
      <c r="I248" s="9" t="n">
        <f aca="false">(parametros_manuales!$D$22*(datos_base!$K$2+datos_base!$K$18+IF(parametros_manuales!$H$22="Todos",datos_base!$K$9+datos_base!$K$23,0))*parametros_manuales!$I$95+parametros_manuales!$E$22*(datos_base!$K$3+datos_base!$K$19+IF(parametros_manuales!$H$22="Todos",datos_base!$K$10+datos_base!$K$24,0))*parametros_manuales!$I$100+parametros_manuales!$F$22*(datos_base!$K$4+datos_base!$K$20+IF(parametros_manuales!$H$22="Todos",datos_base!$K$11+datos_base!$K$25,0))*parametros_manuales!$I$105+parametros_manuales!$G$22*(datos_base!$K$5+datos_base!$K$21+IF(parametros_manuales!$H$22="Todos",datos_base!$K$12+datos_base!$K$26,0))*parametros_manuales!$I$110)*parametros_manuales!$I$22*parametros_manuales!$J$22</f>
        <v>49574.78788228</v>
      </c>
      <c r="J248" s="9" t="n">
        <f aca="false">(parametros_manuales!$D$22*(datos_base!$K$2+datos_base!$K$18+IF(parametros_manuales!$H$22="Todos",datos_base!$K$9+datos_base!$K$23,0))*parametros_manuales!$J$95+parametros_manuales!$E$22*(datos_base!$K$3+datos_base!$K$19+IF(parametros_manuales!$H$22="Todos",datos_base!$K$10+datos_base!$K$24,0))*parametros_manuales!$J$100+parametros_manuales!$F$22*(datos_base!$K$4+datos_base!$K$20+IF(parametros_manuales!$H$22="Todos",datos_base!$K$11+datos_base!$K$25,0))*parametros_manuales!$J$105+parametros_manuales!$G$22*(datos_base!$K$5+datos_base!$K$21+IF(parametros_manuales!$H$22="Todos",datos_base!$K$12+datos_base!$K$26,0))*parametros_manuales!$J$110)*parametros_manuales!$I$22*parametros_manuales!$J$22</f>
        <v>49574.78788228</v>
      </c>
      <c r="K248" s="9" t="n">
        <f aca="false">(parametros_manuales!$D$22*(datos_base!$K$2+datos_base!$K$18+IF(parametros_manuales!$H$22="Todos",datos_base!$K$9+datos_base!$K$23,0))*parametros_manuales!$K$95+parametros_manuales!$E$22*(datos_base!$K$3+datos_base!$K$19+IF(parametros_manuales!$H$22="Todos",datos_base!$K$10+datos_base!$K$24,0))*parametros_manuales!$K$100+parametros_manuales!$F$22*(datos_base!$K$4+datos_base!$K$20+IF(parametros_manuales!$H$22="Todos",datos_base!$K$11+datos_base!$K$25,0))*parametros_manuales!$K$105+parametros_manuales!$G$22*(datos_base!$K$5+datos_base!$K$21+IF(parametros_manuales!$H$22="Todos",datos_base!$K$12+datos_base!$K$26,0))*parametros_manuales!$K$110)*parametros_manuales!$I$22*parametros_manuales!$J$22</f>
        <v>50393.72993471</v>
      </c>
      <c r="L248" s="9" t="n">
        <f aca="false">(parametros_manuales!$D$22*(datos_base!$K$2+datos_base!$K$18+IF(parametros_manuales!$H$22="Todos",datos_base!$K$9+datos_base!$K$23,0))*parametros_manuales!$L$95+parametros_manuales!$E$22*(datos_base!$K$3+datos_base!$K$19+IF(parametros_manuales!$H$22="Todos",datos_base!$K$10+datos_base!$K$24,0))*parametros_manuales!$L$100+parametros_manuales!$F$22*(datos_base!$K$4+datos_base!$K$20+IF(parametros_manuales!$H$22="Todos",datos_base!$K$11+datos_base!$K$25,0))*parametros_manuales!$L$105+parametros_manuales!$G$22*(datos_base!$K$5+datos_base!$K$21+IF(parametros_manuales!$H$22="Todos",datos_base!$K$12+datos_base!$K$26,0))*parametros_manuales!$L$110)*parametros_manuales!$I$22*parametros_manuales!$J$22</f>
        <v>51212.67198714</v>
      </c>
      <c r="M248" s="9" t="n">
        <f aca="false">(parametros_manuales!$D$22*(datos_base!$K$2+datos_base!$K$18+IF(parametros_manuales!$H$22="Todos",datos_base!$K$9+datos_base!$K$23,0))*parametros_manuales!$M$95+parametros_manuales!$E$22*(datos_base!$K$3+datos_base!$K$19+IF(parametros_manuales!$H$22="Todos",datos_base!$K$10+datos_base!$K$24,0))*parametros_manuales!$M$100+parametros_manuales!$F$22*(datos_base!$K$4+datos_base!$K$20+IF(parametros_manuales!$H$22="Todos",datos_base!$K$11+datos_base!$K$25,0))*parametros_manuales!$M$105+parametros_manuales!$G$22*(datos_base!$K$5+datos_base!$K$21+IF(parametros_manuales!$H$22="Todos",datos_base!$K$12+datos_base!$K$26,0))*parametros_manuales!$M$110)*parametros_manuales!$I$22*parametros_manuales!$J$22</f>
        <v>51212.67198714</v>
      </c>
      <c r="N248" s="9" t="n">
        <f aca="false">SUM(B248:M248)</f>
        <v>569029.688746</v>
      </c>
      <c r="O248" s="9" t="n">
        <f aca="false">MAX(B248:M248)</f>
        <v>51212.67198714</v>
      </c>
      <c r="P248" s="43" t="n">
        <f aca="false">O248/(parametros_manuales!$B$7)</f>
        <v>341.4178132476</v>
      </c>
      <c r="Q248" s="8" t="str">
        <f aca="false">IF(O248=0,"-",INDEX($B$244:$M$244,MATCH(O248,B248:M248,0)))</f>
        <v>Ene</v>
      </c>
    </row>
    <row r="249" customFormat="false" ht="14.25" hidden="false" customHeight="true" outlineLevel="0" collapsed="false">
      <c r="A249" s="8" t="str">
        <f aca="false">parametros_manuales!$B$23</f>
        <v>Preparación de cuello</v>
      </c>
      <c r="B249" s="9" t="n">
        <f aca="false">(parametros_manuales!$D$23*(datos_base!$K$2+datos_base!$K$18+IF(parametros_manuales!$H$23="Todos",datos_base!$K$9+datos_base!$K$23,0))*parametros_manuales!$B$95+parametros_manuales!$E$23*(datos_base!$K$3+datos_base!$K$19+IF(parametros_manuales!$H$23="Todos",datos_base!$K$10+datos_base!$K$24,0))*parametros_manuales!$B$100+parametros_manuales!$F$23*(datos_base!$K$4+datos_base!$K$20+IF(parametros_manuales!$H$23="Todos",datos_base!$K$11+datos_base!$K$25,0))*parametros_manuales!$B$105+parametros_manuales!$G$23*(datos_base!$K$5+datos_base!$K$21+IF(parametros_manuales!$H$23="Todos",datos_base!$K$12+datos_base!$K$26,0))*parametros_manuales!$B$110)*parametros_manuales!$I$23*parametros_manuales!$J$23</f>
        <v>25606.33599357</v>
      </c>
      <c r="C249" s="9" t="n">
        <f aca="false">(parametros_manuales!$D$23*(datos_base!$K$2+datos_base!$K$18+IF(parametros_manuales!$H$23="Todos",datos_base!$K$9+datos_base!$K$23,0))*parametros_manuales!$C$95+parametros_manuales!$E$23*(datos_base!$K$3+datos_base!$K$19+IF(parametros_manuales!$H$23="Todos",datos_base!$K$10+datos_base!$K$24,0))*parametros_manuales!$C$100+parametros_manuales!$F$23*(datos_base!$K$4+datos_base!$K$20+IF(parametros_manuales!$H$23="Todos",datos_base!$K$11+datos_base!$K$25,0))*parametros_manuales!$C$105+parametros_manuales!$G$23*(datos_base!$K$5+datos_base!$K$21+IF(parametros_manuales!$H$23="Todos",datos_base!$K$12+datos_base!$K$26,0))*parametros_manuales!$C$110)*parametros_manuales!$I$23*parametros_manuales!$J$23</f>
        <v>24787.39394114</v>
      </c>
      <c r="D249" s="9" t="n">
        <f aca="false">(parametros_manuales!$D$23*(datos_base!$K$2+datos_base!$K$18+IF(parametros_manuales!$H$23="Todos",datos_base!$K$9+datos_base!$K$23,0))*parametros_manuales!$D$95+parametros_manuales!$E$23*(datos_base!$K$3+datos_base!$K$19+IF(parametros_manuales!$H$23="Todos",datos_base!$K$10+datos_base!$K$24,0))*parametros_manuales!$D$100+parametros_manuales!$F$23*(datos_base!$K$4+datos_base!$K$20+IF(parametros_manuales!$H$23="Todos",datos_base!$K$11+datos_base!$K$25,0))*parametros_manuales!$D$105+parametros_manuales!$G$23*(datos_base!$K$5+datos_base!$K$21+IF(parametros_manuales!$H$23="Todos",datos_base!$K$12+datos_base!$K$26,0))*parametros_manuales!$D$110)*parametros_manuales!$I$23*parametros_manuales!$J$23</f>
        <v>23170.658576055</v>
      </c>
      <c r="E249" s="9" t="n">
        <f aca="false">(parametros_manuales!$D$23*(datos_base!$K$2+datos_base!$K$18+IF(parametros_manuales!$H$23="Todos",datos_base!$K$9+datos_base!$K$23,0))*parametros_manuales!$E$95+parametros_manuales!$E$23*(datos_base!$K$3+datos_base!$K$19+IF(parametros_manuales!$H$23="Todos",datos_base!$K$10+datos_base!$K$24,0))*parametros_manuales!$E$100+parametros_manuales!$F$23*(datos_base!$K$4+datos_base!$K$20+IF(parametros_manuales!$H$23="Todos",datos_base!$K$11+datos_base!$K$25,0))*parametros_manuales!$E$105+parametros_manuales!$G$23*(datos_base!$K$5+datos_base!$K$21+IF(parametros_manuales!$H$23="Todos",datos_base!$K$12+datos_base!$K$26,0))*parametros_manuales!$E$110)*parametros_manuales!$I$23*parametros_manuales!$J$23</f>
        <v>22157.555380405</v>
      </c>
      <c r="F249" s="9" t="n">
        <f aca="false">(parametros_manuales!$D$23*(datos_base!$K$2+datos_base!$K$18+IF(parametros_manuales!$H$23="Todos",datos_base!$K$9+datos_base!$K$23,0))*parametros_manuales!$F$95+parametros_manuales!$E$23*(datos_base!$K$3+datos_base!$K$19+IF(parametros_manuales!$H$23="Todos",datos_base!$K$10+datos_base!$K$24,0))*parametros_manuales!$F$100+parametros_manuales!$F$23*(datos_base!$K$4+datos_base!$K$20+IF(parametros_manuales!$H$23="Todos",datos_base!$K$11+datos_base!$K$25,0))*parametros_manuales!$F$105+parametros_manuales!$G$23*(datos_base!$K$5+datos_base!$K$21+IF(parametros_manuales!$H$23="Todos",datos_base!$K$12+datos_base!$K$26,0))*parametros_manuales!$F$110)*parametros_manuales!$I$23*parametros_manuales!$J$23</f>
        <v>20734.98115854</v>
      </c>
      <c r="G249" s="9" t="n">
        <f aca="false">(parametros_manuales!$D$23*(datos_base!$K$2+datos_base!$K$18+IF(parametros_manuales!$H$23="Todos",datos_base!$K$9+datos_base!$K$23,0))*parametros_manuales!$G$95+parametros_manuales!$E$23*(datos_base!$K$3+datos_base!$K$19+IF(parametros_manuales!$H$23="Todos",datos_base!$K$10+datos_base!$K$24,0))*parametros_manuales!$G$100+parametros_manuales!$F$23*(datos_base!$K$4+datos_base!$K$20+IF(parametros_manuales!$H$23="Todos",datos_base!$K$11+datos_base!$K$25,0))*parametros_manuales!$G$105+parametros_manuales!$G$23*(datos_base!$K$5+datos_base!$K$21+IF(parametros_manuales!$H$23="Todos",datos_base!$K$12+datos_base!$K$26,0))*parametros_manuales!$G$110)*parametros_manuales!$I$23*parametros_manuales!$J$23</f>
        <v>20325.510132325</v>
      </c>
      <c r="H249" s="9" t="n">
        <f aca="false">(parametros_manuales!$D$23*(datos_base!$K$2+datos_base!$K$18+IF(parametros_manuales!$H$23="Todos",datos_base!$K$9+datos_base!$K$23,0))*parametros_manuales!$H$95+parametros_manuales!$E$23*(datos_base!$K$3+datos_base!$K$19+IF(parametros_manuales!$H$23="Todos",datos_base!$K$10+datos_base!$K$24,0))*parametros_manuales!$H$100+parametros_manuales!$F$23*(datos_base!$K$4+datos_base!$K$20+IF(parametros_manuales!$H$23="Todos",datos_base!$K$11+datos_base!$K$25,0))*parametros_manuales!$H$105+parametros_manuales!$G$23*(datos_base!$K$5+datos_base!$K$21+IF(parametros_manuales!$H$23="Todos",datos_base!$K$12+datos_base!$K$26,0))*parametros_manuales!$H$110)*parametros_manuales!$I$23*parametros_manuales!$J$23</f>
        <v>21748.08435419</v>
      </c>
      <c r="I249" s="9" t="n">
        <f aca="false">(parametros_manuales!$D$23*(datos_base!$K$2+datos_base!$K$18+IF(parametros_manuales!$H$23="Todos",datos_base!$K$9+datos_base!$K$23,0))*parametros_manuales!$I$95+parametros_manuales!$E$23*(datos_base!$K$3+datos_base!$K$19+IF(parametros_manuales!$H$23="Todos",datos_base!$K$10+datos_base!$K$24,0))*parametros_manuales!$I$100+parametros_manuales!$F$23*(datos_base!$K$4+datos_base!$K$20+IF(parametros_manuales!$H$23="Todos",datos_base!$K$11+datos_base!$K$25,0))*parametros_manuales!$I$105+parametros_manuales!$G$23*(datos_base!$K$5+datos_base!$K$21+IF(parametros_manuales!$H$23="Todos",datos_base!$K$12+datos_base!$K$26,0))*parametros_manuales!$I$110)*parametros_manuales!$I$23*parametros_manuales!$J$23</f>
        <v>24787.39394114</v>
      </c>
      <c r="J249" s="9" t="n">
        <f aca="false">(parametros_manuales!$D$23*(datos_base!$K$2+datos_base!$K$18+IF(parametros_manuales!$H$23="Todos",datos_base!$K$9+datos_base!$K$23,0))*parametros_manuales!$J$95+parametros_manuales!$E$23*(datos_base!$K$3+datos_base!$K$19+IF(parametros_manuales!$H$23="Todos",datos_base!$K$10+datos_base!$K$24,0))*parametros_manuales!$J$100+parametros_manuales!$F$23*(datos_base!$K$4+datos_base!$K$20+IF(parametros_manuales!$H$23="Todos",datos_base!$K$11+datos_base!$K$25,0))*parametros_manuales!$J$105+parametros_manuales!$G$23*(datos_base!$K$5+datos_base!$K$21+IF(parametros_manuales!$H$23="Todos",datos_base!$K$12+datos_base!$K$26,0))*parametros_manuales!$J$110)*parametros_manuales!$I$23*parametros_manuales!$J$23</f>
        <v>24787.39394114</v>
      </c>
      <c r="K249" s="9" t="n">
        <f aca="false">(parametros_manuales!$D$23*(datos_base!$K$2+datos_base!$K$18+IF(parametros_manuales!$H$23="Todos",datos_base!$K$9+datos_base!$K$23,0))*parametros_manuales!$K$95+parametros_manuales!$E$23*(datos_base!$K$3+datos_base!$K$19+IF(parametros_manuales!$H$23="Todos",datos_base!$K$10+datos_base!$K$24,0))*parametros_manuales!$K$100+parametros_manuales!$F$23*(datos_base!$K$4+datos_base!$K$20+IF(parametros_manuales!$H$23="Todos",datos_base!$K$11+datos_base!$K$25,0))*parametros_manuales!$K$105+parametros_manuales!$G$23*(datos_base!$K$5+datos_base!$K$21+IF(parametros_manuales!$H$23="Todos",datos_base!$K$12+datos_base!$K$26,0))*parametros_manuales!$K$110)*parametros_manuales!$I$23*parametros_manuales!$J$23</f>
        <v>25196.864967355</v>
      </c>
      <c r="L249" s="9" t="n">
        <f aca="false">(parametros_manuales!$D$23*(datos_base!$K$2+datos_base!$K$18+IF(parametros_manuales!$H$23="Todos",datos_base!$K$9+datos_base!$K$23,0))*parametros_manuales!$L$95+parametros_manuales!$E$23*(datos_base!$K$3+datos_base!$K$19+IF(parametros_manuales!$H$23="Todos",datos_base!$K$10+datos_base!$K$24,0))*parametros_manuales!$L$100+parametros_manuales!$F$23*(datos_base!$K$4+datos_base!$K$20+IF(parametros_manuales!$H$23="Todos",datos_base!$K$11+datos_base!$K$25,0))*parametros_manuales!$L$105+parametros_manuales!$G$23*(datos_base!$K$5+datos_base!$K$21+IF(parametros_manuales!$H$23="Todos",datos_base!$K$12+datos_base!$K$26,0))*parametros_manuales!$L$110)*parametros_manuales!$I$23*parametros_manuales!$J$23</f>
        <v>25606.33599357</v>
      </c>
      <c r="M249" s="9" t="n">
        <f aca="false">(parametros_manuales!$D$23*(datos_base!$K$2+datos_base!$K$18+IF(parametros_manuales!$H$23="Todos",datos_base!$K$9+datos_base!$K$23,0))*parametros_manuales!$M$95+parametros_manuales!$E$23*(datos_base!$K$3+datos_base!$K$19+IF(parametros_manuales!$H$23="Todos",datos_base!$K$10+datos_base!$K$24,0))*parametros_manuales!$M$100+parametros_manuales!$F$23*(datos_base!$K$4+datos_base!$K$20+IF(parametros_manuales!$H$23="Todos",datos_base!$K$11+datos_base!$K$25,0))*parametros_manuales!$M$105+parametros_manuales!$G$23*(datos_base!$K$5+datos_base!$K$21+IF(parametros_manuales!$H$23="Todos",datos_base!$K$12+datos_base!$K$26,0))*parametros_manuales!$M$110)*parametros_manuales!$I$23*parametros_manuales!$J$23</f>
        <v>25606.33599357</v>
      </c>
      <c r="N249" s="9" t="n">
        <f aca="false">SUM(B249:M249)</f>
        <v>284514.844373</v>
      </c>
      <c r="O249" s="9" t="n">
        <f aca="false">MAX(B249:M249)</f>
        <v>25606.33599357</v>
      </c>
      <c r="P249" s="43" t="n">
        <f aca="false">O249/(parametros_manuales!$B$7)</f>
        <v>170.7089066238</v>
      </c>
      <c r="Q249" s="8" t="str">
        <f aca="false">IF(O249=0,"-",INDEX($B$244:$M$244,MATCH(O249,B249:M249,0)))</f>
        <v>Ene</v>
      </c>
    </row>
    <row r="250" customFormat="false" ht="14.25" hidden="false" customHeight="true" outlineLevel="0" collapsed="false">
      <c r="A250" s="8" t="str">
        <f aca="false">parametros_manuales!$B$24</f>
        <v>Numerado de cúpula</v>
      </c>
      <c r="B250" s="9" t="n">
        <f aca="false">(parametros_manuales!$D$24*(datos_base!$K$2+datos_base!$K$18+IF(parametros_manuales!$H$24="Todos",datos_base!$K$9+datos_base!$K$23,0))*parametros_manuales!$B$95+parametros_manuales!$E$24*(datos_base!$K$3+datos_base!$K$19+IF(parametros_manuales!$H$24="Todos",datos_base!$K$10+datos_base!$K$24,0))*parametros_manuales!$B$100+parametros_manuales!$F$24*(datos_base!$K$4+datos_base!$K$20+IF(parametros_manuales!$H$24="Todos",datos_base!$K$11+datos_base!$K$25,0))*parametros_manuales!$B$105+parametros_manuales!$G$24*(datos_base!$K$5+datos_base!$K$21+IF(parametros_manuales!$H$24="Todos",datos_base!$K$12+datos_base!$K$26,0))*parametros_manuales!$B$110)*parametros_manuales!$I$24*parametros_manuales!$J$24</f>
        <v>25606.33599357</v>
      </c>
      <c r="C250" s="9" t="n">
        <f aca="false">(parametros_manuales!$D$24*(datos_base!$K$2+datos_base!$K$18+IF(parametros_manuales!$H$24="Todos",datos_base!$K$9+datos_base!$K$23,0))*parametros_manuales!$C$95+parametros_manuales!$E$24*(datos_base!$K$3+datos_base!$K$19+IF(parametros_manuales!$H$24="Todos",datos_base!$K$10+datos_base!$K$24,0))*parametros_manuales!$C$100+parametros_manuales!$F$24*(datos_base!$K$4+datos_base!$K$20+IF(parametros_manuales!$H$24="Todos",datos_base!$K$11+datos_base!$K$25,0))*parametros_manuales!$C$105+parametros_manuales!$G$24*(datos_base!$K$5+datos_base!$K$21+IF(parametros_manuales!$H$24="Todos",datos_base!$K$12+datos_base!$K$26,0))*parametros_manuales!$C$110)*parametros_manuales!$I$24*parametros_manuales!$J$24</f>
        <v>24787.39394114</v>
      </c>
      <c r="D250" s="9" t="n">
        <f aca="false">(parametros_manuales!$D$24*(datos_base!$K$2+datos_base!$K$18+IF(parametros_manuales!$H$24="Todos",datos_base!$K$9+datos_base!$K$23,0))*parametros_manuales!$D$95+parametros_manuales!$E$24*(datos_base!$K$3+datos_base!$K$19+IF(parametros_manuales!$H$24="Todos",datos_base!$K$10+datos_base!$K$24,0))*parametros_manuales!$D$100+parametros_manuales!$F$24*(datos_base!$K$4+datos_base!$K$20+IF(parametros_manuales!$H$24="Todos",datos_base!$K$11+datos_base!$K$25,0))*parametros_manuales!$D$105+parametros_manuales!$G$24*(datos_base!$K$5+datos_base!$K$21+IF(parametros_manuales!$H$24="Todos",datos_base!$K$12+datos_base!$K$26,0))*parametros_manuales!$D$110)*parametros_manuales!$I$24*parametros_manuales!$J$24</f>
        <v>23170.658576055</v>
      </c>
      <c r="E250" s="9" t="n">
        <f aca="false">(parametros_manuales!$D$24*(datos_base!$K$2+datos_base!$K$18+IF(parametros_manuales!$H$24="Todos",datos_base!$K$9+datos_base!$K$23,0))*parametros_manuales!$E$95+parametros_manuales!$E$24*(datos_base!$K$3+datos_base!$K$19+IF(parametros_manuales!$H$24="Todos",datos_base!$K$10+datos_base!$K$24,0))*parametros_manuales!$E$100+parametros_manuales!$F$24*(datos_base!$K$4+datos_base!$K$20+IF(parametros_manuales!$H$24="Todos",datos_base!$K$11+datos_base!$K$25,0))*parametros_manuales!$E$105+parametros_manuales!$G$24*(datos_base!$K$5+datos_base!$K$21+IF(parametros_manuales!$H$24="Todos",datos_base!$K$12+datos_base!$K$26,0))*parametros_manuales!$E$110)*parametros_manuales!$I$24*parametros_manuales!$J$24</f>
        <v>22157.555380405</v>
      </c>
      <c r="F250" s="9" t="n">
        <f aca="false">(parametros_manuales!$D$24*(datos_base!$K$2+datos_base!$K$18+IF(parametros_manuales!$H$24="Todos",datos_base!$K$9+datos_base!$K$23,0))*parametros_manuales!$F$95+parametros_manuales!$E$24*(datos_base!$K$3+datos_base!$K$19+IF(parametros_manuales!$H$24="Todos",datos_base!$K$10+datos_base!$K$24,0))*parametros_manuales!$F$100+parametros_manuales!$F$24*(datos_base!$K$4+datos_base!$K$20+IF(parametros_manuales!$H$24="Todos",datos_base!$K$11+datos_base!$K$25,0))*parametros_manuales!$F$105+parametros_manuales!$G$24*(datos_base!$K$5+datos_base!$K$21+IF(parametros_manuales!$H$24="Todos",datos_base!$K$12+datos_base!$K$26,0))*parametros_manuales!$F$110)*parametros_manuales!$I$24*parametros_manuales!$J$24</f>
        <v>20734.98115854</v>
      </c>
      <c r="G250" s="9" t="n">
        <f aca="false">(parametros_manuales!$D$24*(datos_base!$K$2+datos_base!$K$18+IF(parametros_manuales!$H$24="Todos",datos_base!$K$9+datos_base!$K$23,0))*parametros_manuales!$G$95+parametros_manuales!$E$24*(datos_base!$K$3+datos_base!$K$19+IF(parametros_manuales!$H$24="Todos",datos_base!$K$10+datos_base!$K$24,0))*parametros_manuales!$G$100+parametros_manuales!$F$24*(datos_base!$K$4+datos_base!$K$20+IF(parametros_manuales!$H$24="Todos",datos_base!$K$11+datos_base!$K$25,0))*parametros_manuales!$G$105+parametros_manuales!$G$24*(datos_base!$K$5+datos_base!$K$21+IF(parametros_manuales!$H$24="Todos",datos_base!$K$12+datos_base!$K$26,0))*parametros_manuales!$G$110)*parametros_manuales!$I$24*parametros_manuales!$J$24</f>
        <v>20325.510132325</v>
      </c>
      <c r="H250" s="9" t="n">
        <f aca="false">(parametros_manuales!$D$24*(datos_base!$K$2+datos_base!$K$18+IF(parametros_manuales!$H$24="Todos",datos_base!$K$9+datos_base!$K$23,0))*parametros_manuales!$H$95+parametros_manuales!$E$24*(datos_base!$K$3+datos_base!$K$19+IF(parametros_manuales!$H$24="Todos",datos_base!$K$10+datos_base!$K$24,0))*parametros_manuales!$H$100+parametros_manuales!$F$24*(datos_base!$K$4+datos_base!$K$20+IF(parametros_manuales!$H$24="Todos",datos_base!$K$11+datos_base!$K$25,0))*parametros_manuales!$H$105+parametros_manuales!$G$24*(datos_base!$K$5+datos_base!$K$21+IF(parametros_manuales!$H$24="Todos",datos_base!$K$12+datos_base!$K$26,0))*parametros_manuales!$H$110)*parametros_manuales!$I$24*parametros_manuales!$J$24</f>
        <v>21748.08435419</v>
      </c>
      <c r="I250" s="9" t="n">
        <f aca="false">(parametros_manuales!$D$24*(datos_base!$K$2+datos_base!$K$18+IF(parametros_manuales!$H$24="Todos",datos_base!$K$9+datos_base!$K$23,0))*parametros_manuales!$I$95+parametros_manuales!$E$24*(datos_base!$K$3+datos_base!$K$19+IF(parametros_manuales!$H$24="Todos",datos_base!$K$10+datos_base!$K$24,0))*parametros_manuales!$I$100+parametros_manuales!$F$24*(datos_base!$K$4+datos_base!$K$20+IF(parametros_manuales!$H$24="Todos",datos_base!$K$11+datos_base!$K$25,0))*parametros_manuales!$I$105+parametros_manuales!$G$24*(datos_base!$K$5+datos_base!$K$21+IF(parametros_manuales!$H$24="Todos",datos_base!$K$12+datos_base!$K$26,0))*parametros_manuales!$I$110)*parametros_manuales!$I$24*parametros_manuales!$J$24</f>
        <v>24787.39394114</v>
      </c>
      <c r="J250" s="9" t="n">
        <f aca="false">(parametros_manuales!$D$24*(datos_base!$K$2+datos_base!$K$18+IF(parametros_manuales!$H$24="Todos",datos_base!$K$9+datos_base!$K$23,0))*parametros_manuales!$J$95+parametros_manuales!$E$24*(datos_base!$K$3+datos_base!$K$19+IF(parametros_manuales!$H$24="Todos",datos_base!$K$10+datos_base!$K$24,0))*parametros_manuales!$J$100+parametros_manuales!$F$24*(datos_base!$K$4+datos_base!$K$20+IF(parametros_manuales!$H$24="Todos",datos_base!$K$11+datos_base!$K$25,0))*parametros_manuales!$J$105+parametros_manuales!$G$24*(datos_base!$K$5+datos_base!$K$21+IF(parametros_manuales!$H$24="Todos",datos_base!$K$12+datos_base!$K$26,0))*parametros_manuales!$J$110)*parametros_manuales!$I$24*parametros_manuales!$J$24</f>
        <v>24787.39394114</v>
      </c>
      <c r="K250" s="9" t="n">
        <f aca="false">(parametros_manuales!$D$24*(datos_base!$K$2+datos_base!$K$18+IF(parametros_manuales!$H$24="Todos",datos_base!$K$9+datos_base!$K$23,0))*parametros_manuales!$K$95+parametros_manuales!$E$24*(datos_base!$K$3+datos_base!$K$19+IF(parametros_manuales!$H$24="Todos",datos_base!$K$10+datos_base!$K$24,0))*parametros_manuales!$K$100+parametros_manuales!$F$24*(datos_base!$K$4+datos_base!$K$20+IF(parametros_manuales!$H$24="Todos",datos_base!$K$11+datos_base!$K$25,0))*parametros_manuales!$K$105+parametros_manuales!$G$24*(datos_base!$K$5+datos_base!$K$21+IF(parametros_manuales!$H$24="Todos",datos_base!$K$12+datos_base!$K$26,0))*parametros_manuales!$K$110)*parametros_manuales!$I$24*parametros_manuales!$J$24</f>
        <v>25196.864967355</v>
      </c>
      <c r="L250" s="9" t="n">
        <f aca="false">(parametros_manuales!$D$24*(datos_base!$K$2+datos_base!$K$18+IF(parametros_manuales!$H$24="Todos",datos_base!$K$9+datos_base!$K$23,0))*parametros_manuales!$L$95+parametros_manuales!$E$24*(datos_base!$K$3+datos_base!$K$19+IF(parametros_manuales!$H$24="Todos",datos_base!$K$10+datos_base!$K$24,0))*parametros_manuales!$L$100+parametros_manuales!$F$24*(datos_base!$K$4+datos_base!$K$20+IF(parametros_manuales!$H$24="Todos",datos_base!$K$11+datos_base!$K$25,0))*parametros_manuales!$L$105+parametros_manuales!$G$24*(datos_base!$K$5+datos_base!$K$21+IF(parametros_manuales!$H$24="Todos",datos_base!$K$12+datos_base!$K$26,0))*parametros_manuales!$L$110)*parametros_manuales!$I$24*parametros_manuales!$J$24</f>
        <v>25606.33599357</v>
      </c>
      <c r="M250" s="9" t="n">
        <f aca="false">(parametros_manuales!$D$24*(datos_base!$K$2+datos_base!$K$18+IF(parametros_manuales!$H$24="Todos",datos_base!$K$9+datos_base!$K$23,0))*parametros_manuales!$M$95+parametros_manuales!$E$24*(datos_base!$K$3+datos_base!$K$19+IF(parametros_manuales!$H$24="Todos",datos_base!$K$10+datos_base!$K$24,0))*parametros_manuales!$M$100+parametros_manuales!$F$24*(datos_base!$K$4+datos_base!$K$20+IF(parametros_manuales!$H$24="Todos",datos_base!$K$11+datos_base!$K$25,0))*parametros_manuales!$M$105+parametros_manuales!$G$24*(datos_base!$K$5+datos_base!$K$21+IF(parametros_manuales!$H$24="Todos",datos_base!$K$12+datos_base!$K$26,0))*parametros_manuales!$M$110)*parametros_manuales!$I$24*parametros_manuales!$J$24</f>
        <v>25606.33599357</v>
      </c>
      <c r="N250" s="9" t="n">
        <f aca="false">SUM(B250:M250)</f>
        <v>284514.844373</v>
      </c>
      <c r="O250" s="9" t="n">
        <f aca="false">MAX(B250:M250)</f>
        <v>25606.33599357</v>
      </c>
      <c r="P250" s="43" t="n">
        <f aca="false">O250/(parametros_manuales!$B$7)</f>
        <v>170.7089066238</v>
      </c>
      <c r="Q250" s="8" t="str">
        <f aca="false">IF(O250=0,"-",INDEX($B$244:$M$244,MATCH(O250,B250:M250,0)))</f>
        <v>Ene</v>
      </c>
    </row>
    <row r="251" customFormat="false" ht="14.25" hidden="false" customHeight="true" outlineLevel="0" collapsed="false">
      <c r="A251" s="8" t="str">
        <f aca="false">parametros_manuales!$B$25</f>
        <v>Soldadura del cuello a la cúpula</v>
      </c>
      <c r="B251" s="9" t="n">
        <f aca="false">(parametros_manuales!$D$25*(datos_base!$K$2+datos_base!$K$18+IF(parametros_manuales!$H$25="Todos",datos_base!$K$9+datos_base!$K$23,0))*parametros_manuales!$B$95+parametros_manuales!$E$25*(datos_base!$K$3+datos_base!$K$19+IF(parametros_manuales!$H$25="Todos",datos_base!$K$10+datos_base!$K$24,0))*parametros_manuales!$B$100+parametros_manuales!$F$25*(datos_base!$K$4+datos_base!$K$20+IF(parametros_manuales!$H$25="Todos",datos_base!$K$11+datos_base!$K$25,0))*parametros_manuales!$B$105+parametros_manuales!$G$25*(datos_base!$K$5+datos_base!$K$21+IF(parametros_manuales!$H$25="Todos",datos_base!$K$12+datos_base!$K$26,0))*parametros_manuales!$B$110)*parametros_manuales!$I$25*parametros_manuales!$J$25</f>
        <v>25606.33599357</v>
      </c>
      <c r="C251" s="9" t="n">
        <f aca="false">(parametros_manuales!$D$25*(datos_base!$K$2+datos_base!$K$18+IF(parametros_manuales!$H$25="Todos",datos_base!$K$9+datos_base!$K$23,0))*parametros_manuales!$C$95+parametros_manuales!$E$25*(datos_base!$K$3+datos_base!$K$19+IF(parametros_manuales!$H$25="Todos",datos_base!$K$10+datos_base!$K$24,0))*parametros_manuales!$C$100+parametros_manuales!$F$25*(datos_base!$K$4+datos_base!$K$20+IF(parametros_manuales!$H$25="Todos",datos_base!$K$11+datos_base!$K$25,0))*parametros_manuales!$C$105+parametros_manuales!$G$25*(datos_base!$K$5+datos_base!$K$21+IF(parametros_manuales!$H$25="Todos",datos_base!$K$12+datos_base!$K$26,0))*parametros_manuales!$C$110)*parametros_manuales!$I$25*parametros_manuales!$J$25</f>
        <v>24787.39394114</v>
      </c>
      <c r="D251" s="9" t="n">
        <f aca="false">(parametros_manuales!$D$25*(datos_base!$K$2+datos_base!$K$18+IF(parametros_manuales!$H$25="Todos",datos_base!$K$9+datos_base!$K$23,0))*parametros_manuales!$D$95+parametros_manuales!$E$25*(datos_base!$K$3+datos_base!$K$19+IF(parametros_manuales!$H$25="Todos",datos_base!$K$10+datos_base!$K$24,0))*parametros_manuales!$D$100+parametros_manuales!$F$25*(datos_base!$K$4+datos_base!$K$20+IF(parametros_manuales!$H$25="Todos",datos_base!$K$11+datos_base!$K$25,0))*parametros_manuales!$D$105+parametros_manuales!$G$25*(datos_base!$K$5+datos_base!$K$21+IF(parametros_manuales!$H$25="Todos",datos_base!$K$12+datos_base!$K$26,0))*parametros_manuales!$D$110)*parametros_manuales!$I$25*parametros_manuales!$J$25</f>
        <v>23170.658576055</v>
      </c>
      <c r="E251" s="9" t="n">
        <f aca="false">(parametros_manuales!$D$25*(datos_base!$K$2+datos_base!$K$18+IF(parametros_manuales!$H$25="Todos",datos_base!$K$9+datos_base!$K$23,0))*parametros_manuales!$E$95+parametros_manuales!$E$25*(datos_base!$K$3+datos_base!$K$19+IF(parametros_manuales!$H$25="Todos",datos_base!$K$10+datos_base!$K$24,0))*parametros_manuales!$E$100+parametros_manuales!$F$25*(datos_base!$K$4+datos_base!$K$20+IF(parametros_manuales!$H$25="Todos",datos_base!$K$11+datos_base!$K$25,0))*parametros_manuales!$E$105+parametros_manuales!$G$25*(datos_base!$K$5+datos_base!$K$21+IF(parametros_manuales!$H$25="Todos",datos_base!$K$12+datos_base!$K$26,0))*parametros_manuales!$E$110)*parametros_manuales!$I$25*parametros_manuales!$J$25</f>
        <v>22157.555380405</v>
      </c>
      <c r="F251" s="9" t="n">
        <f aca="false">(parametros_manuales!$D$25*(datos_base!$K$2+datos_base!$K$18+IF(parametros_manuales!$H$25="Todos",datos_base!$K$9+datos_base!$K$23,0))*parametros_manuales!$F$95+parametros_manuales!$E$25*(datos_base!$K$3+datos_base!$K$19+IF(parametros_manuales!$H$25="Todos",datos_base!$K$10+datos_base!$K$24,0))*parametros_manuales!$F$100+parametros_manuales!$F$25*(datos_base!$K$4+datos_base!$K$20+IF(parametros_manuales!$H$25="Todos",datos_base!$K$11+datos_base!$K$25,0))*parametros_manuales!$F$105+parametros_manuales!$G$25*(datos_base!$K$5+datos_base!$K$21+IF(parametros_manuales!$H$25="Todos",datos_base!$K$12+datos_base!$K$26,0))*parametros_manuales!$F$110)*parametros_manuales!$I$25*parametros_manuales!$J$25</f>
        <v>20734.98115854</v>
      </c>
      <c r="G251" s="9" t="n">
        <f aca="false">(parametros_manuales!$D$25*(datos_base!$K$2+datos_base!$K$18+IF(parametros_manuales!$H$25="Todos",datos_base!$K$9+datos_base!$K$23,0))*parametros_manuales!$G$95+parametros_manuales!$E$25*(datos_base!$K$3+datos_base!$K$19+IF(parametros_manuales!$H$25="Todos",datos_base!$K$10+datos_base!$K$24,0))*parametros_manuales!$G$100+parametros_manuales!$F$25*(datos_base!$K$4+datos_base!$K$20+IF(parametros_manuales!$H$25="Todos",datos_base!$K$11+datos_base!$K$25,0))*parametros_manuales!$G$105+parametros_manuales!$G$25*(datos_base!$K$5+datos_base!$K$21+IF(parametros_manuales!$H$25="Todos",datos_base!$K$12+datos_base!$K$26,0))*parametros_manuales!$G$110)*parametros_manuales!$I$25*parametros_manuales!$J$25</f>
        <v>20325.510132325</v>
      </c>
      <c r="H251" s="9" t="n">
        <f aca="false">(parametros_manuales!$D$25*(datos_base!$K$2+datos_base!$K$18+IF(parametros_manuales!$H$25="Todos",datos_base!$K$9+datos_base!$K$23,0))*parametros_manuales!$H$95+parametros_manuales!$E$25*(datos_base!$K$3+datos_base!$K$19+IF(parametros_manuales!$H$25="Todos",datos_base!$K$10+datos_base!$K$24,0))*parametros_manuales!$H$100+parametros_manuales!$F$25*(datos_base!$K$4+datos_base!$K$20+IF(parametros_manuales!$H$25="Todos",datos_base!$K$11+datos_base!$K$25,0))*parametros_manuales!$H$105+parametros_manuales!$G$25*(datos_base!$K$5+datos_base!$K$21+IF(parametros_manuales!$H$25="Todos",datos_base!$K$12+datos_base!$K$26,0))*parametros_manuales!$H$110)*parametros_manuales!$I$25*parametros_manuales!$J$25</f>
        <v>21748.08435419</v>
      </c>
      <c r="I251" s="9" t="n">
        <f aca="false">(parametros_manuales!$D$25*(datos_base!$K$2+datos_base!$K$18+IF(parametros_manuales!$H$25="Todos",datos_base!$K$9+datos_base!$K$23,0))*parametros_manuales!$I$95+parametros_manuales!$E$25*(datos_base!$K$3+datos_base!$K$19+IF(parametros_manuales!$H$25="Todos",datos_base!$K$10+datos_base!$K$24,0))*parametros_manuales!$I$100+parametros_manuales!$F$25*(datos_base!$K$4+datos_base!$K$20+IF(parametros_manuales!$H$25="Todos",datos_base!$K$11+datos_base!$K$25,0))*parametros_manuales!$I$105+parametros_manuales!$G$25*(datos_base!$K$5+datos_base!$K$21+IF(parametros_manuales!$H$25="Todos",datos_base!$K$12+datos_base!$K$26,0))*parametros_manuales!$I$110)*parametros_manuales!$I$25*parametros_manuales!$J$25</f>
        <v>24787.39394114</v>
      </c>
      <c r="J251" s="9" t="n">
        <f aca="false">(parametros_manuales!$D$25*(datos_base!$K$2+datos_base!$K$18+IF(parametros_manuales!$H$25="Todos",datos_base!$K$9+datos_base!$K$23,0))*parametros_manuales!$J$95+parametros_manuales!$E$25*(datos_base!$K$3+datos_base!$K$19+IF(parametros_manuales!$H$25="Todos",datos_base!$K$10+datos_base!$K$24,0))*parametros_manuales!$J$100+parametros_manuales!$F$25*(datos_base!$K$4+datos_base!$K$20+IF(parametros_manuales!$H$25="Todos",datos_base!$K$11+datos_base!$K$25,0))*parametros_manuales!$J$105+parametros_manuales!$G$25*(datos_base!$K$5+datos_base!$K$21+IF(parametros_manuales!$H$25="Todos",datos_base!$K$12+datos_base!$K$26,0))*parametros_manuales!$J$110)*parametros_manuales!$I$25*parametros_manuales!$J$25</f>
        <v>24787.39394114</v>
      </c>
      <c r="K251" s="9" t="n">
        <f aca="false">(parametros_manuales!$D$25*(datos_base!$K$2+datos_base!$K$18+IF(parametros_manuales!$H$25="Todos",datos_base!$K$9+datos_base!$K$23,0))*parametros_manuales!$K$95+parametros_manuales!$E$25*(datos_base!$K$3+datos_base!$K$19+IF(parametros_manuales!$H$25="Todos",datos_base!$K$10+datos_base!$K$24,0))*parametros_manuales!$K$100+parametros_manuales!$F$25*(datos_base!$K$4+datos_base!$K$20+IF(parametros_manuales!$H$25="Todos",datos_base!$K$11+datos_base!$K$25,0))*parametros_manuales!$K$105+parametros_manuales!$G$25*(datos_base!$K$5+datos_base!$K$21+IF(parametros_manuales!$H$25="Todos",datos_base!$K$12+datos_base!$K$26,0))*parametros_manuales!$K$110)*parametros_manuales!$I$25*parametros_manuales!$J$25</f>
        <v>25196.864967355</v>
      </c>
      <c r="L251" s="9" t="n">
        <f aca="false">(parametros_manuales!$D$25*(datos_base!$K$2+datos_base!$K$18+IF(parametros_manuales!$H$25="Todos",datos_base!$K$9+datos_base!$K$23,0))*parametros_manuales!$L$95+parametros_manuales!$E$25*(datos_base!$K$3+datos_base!$K$19+IF(parametros_manuales!$H$25="Todos",datos_base!$K$10+datos_base!$K$24,0))*parametros_manuales!$L$100+parametros_manuales!$F$25*(datos_base!$K$4+datos_base!$K$20+IF(parametros_manuales!$H$25="Todos",datos_base!$K$11+datos_base!$K$25,0))*parametros_manuales!$L$105+parametros_manuales!$G$25*(datos_base!$K$5+datos_base!$K$21+IF(parametros_manuales!$H$25="Todos",datos_base!$K$12+datos_base!$K$26,0))*parametros_manuales!$L$110)*parametros_manuales!$I$25*parametros_manuales!$J$25</f>
        <v>25606.33599357</v>
      </c>
      <c r="M251" s="9" t="n">
        <f aca="false">(parametros_manuales!$D$25*(datos_base!$K$2+datos_base!$K$18+IF(parametros_manuales!$H$25="Todos",datos_base!$K$9+datos_base!$K$23,0))*parametros_manuales!$M$95+parametros_manuales!$E$25*(datos_base!$K$3+datos_base!$K$19+IF(parametros_manuales!$H$25="Todos",datos_base!$K$10+datos_base!$K$24,0))*parametros_manuales!$M$100+parametros_manuales!$F$25*(datos_base!$K$4+datos_base!$K$20+IF(parametros_manuales!$H$25="Todos",datos_base!$K$11+datos_base!$K$25,0))*parametros_manuales!$M$105+parametros_manuales!$G$25*(datos_base!$K$5+datos_base!$K$21+IF(parametros_manuales!$H$25="Todos",datos_base!$K$12+datos_base!$K$26,0))*parametros_manuales!$M$110)*parametros_manuales!$I$25*parametros_manuales!$J$25</f>
        <v>25606.33599357</v>
      </c>
      <c r="N251" s="9" t="n">
        <f aca="false">SUM(B251:M251)</f>
        <v>284514.844373</v>
      </c>
      <c r="O251" s="9" t="n">
        <f aca="false">MAX(B251:M251)</f>
        <v>25606.33599357</v>
      </c>
      <c r="P251" s="43" t="n">
        <f aca="false">O251/(parametros_manuales!$B$7)</f>
        <v>170.7089066238</v>
      </c>
      <c r="Q251" s="8" t="str">
        <f aca="false">IF(O251=0,"-",INDEX($B$244:$M$244,MATCH(O251,B251:M251,0)))</f>
        <v>Ene</v>
      </c>
    </row>
    <row r="252" customFormat="false" ht="14.25" hidden="false" customHeight="true" outlineLevel="0" collapsed="false">
      <c r="A252" s="8" t="str">
        <f aca="false">parametros_manuales!$B$26</f>
        <v>Cilindrado</v>
      </c>
      <c r="B252" s="9" t="n">
        <f aca="false">(parametros_manuales!$D$26*(datos_base!$K$2+datos_base!$K$18+IF(parametros_manuales!$H$26="Todos",datos_base!$K$9+datos_base!$K$23,0))*parametros_manuales!$B$95+parametros_manuales!$E$26*(datos_base!$K$3+datos_base!$K$19+IF(parametros_manuales!$H$26="Todos",datos_base!$K$10+datos_base!$K$24,0))*parametros_manuales!$B$100+parametros_manuales!$F$26*(datos_base!$K$4+datos_base!$K$20+IF(parametros_manuales!$H$26="Todos",datos_base!$K$11+datos_base!$K$25,0))*parametros_manuales!$B$105+parametros_manuales!$G$26*(datos_base!$K$5+datos_base!$K$21+IF(parametros_manuales!$H$26="Todos",datos_base!$K$12+datos_base!$K$26,0))*parametros_manuales!$B$110)*parametros_manuales!$I$26*parametros_manuales!$J$26</f>
        <v>7370.47847187</v>
      </c>
      <c r="C252" s="9" t="n">
        <f aca="false">(parametros_manuales!$D$26*(datos_base!$K$2+datos_base!$K$18+IF(parametros_manuales!$H$26="Todos",datos_base!$K$9+datos_base!$K$23,0))*parametros_manuales!$C$95+parametros_manuales!$E$26*(datos_base!$K$3+datos_base!$K$19+IF(parametros_manuales!$H$26="Todos",datos_base!$K$10+datos_base!$K$24,0))*parametros_manuales!$C$100+parametros_manuales!$F$26*(datos_base!$K$4+datos_base!$K$20+IF(parametros_manuales!$H$26="Todos",datos_base!$K$11+datos_base!$K$25,0))*parametros_manuales!$C$105+parametros_manuales!$G$26*(datos_base!$K$5+datos_base!$K$21+IF(parametros_manuales!$H$26="Todos",datos_base!$K$12+datos_base!$K$26,0))*parametros_manuales!$C$110)*parametros_manuales!$I$26*parametros_manuales!$J$26</f>
        <v>6551.53641944</v>
      </c>
      <c r="D252" s="9" t="n">
        <f aca="false">(parametros_manuales!$D$26*(datos_base!$K$2+datos_base!$K$18+IF(parametros_manuales!$H$26="Todos",datos_base!$K$9+datos_base!$K$23,0))*parametros_manuales!$D$95+parametros_manuales!$E$26*(datos_base!$K$3+datos_base!$K$19+IF(parametros_manuales!$H$26="Todos",datos_base!$K$10+datos_base!$K$24,0))*parametros_manuales!$D$100+parametros_manuales!$F$26*(datos_base!$K$4+datos_base!$K$20+IF(parametros_manuales!$H$26="Todos",datos_base!$K$11+datos_base!$K$25,0))*parametros_manuales!$D$105+parametros_manuales!$G$26*(datos_base!$K$5+datos_base!$K$21+IF(parametros_manuales!$H$26="Todos",datos_base!$K$12+datos_base!$K$26,0))*parametros_manuales!$D$110)*parametros_manuales!$I$26*parametros_manuales!$J$26</f>
        <v>6961.007445655</v>
      </c>
      <c r="E252" s="9" t="n">
        <f aca="false">(parametros_manuales!$D$26*(datos_base!$K$2+datos_base!$K$18+IF(parametros_manuales!$H$26="Todos",datos_base!$K$9+datos_base!$K$23,0))*parametros_manuales!$E$95+parametros_manuales!$E$26*(datos_base!$K$3+datos_base!$K$19+IF(parametros_manuales!$H$26="Todos",datos_base!$K$10+datos_base!$K$24,0))*parametros_manuales!$E$100+parametros_manuales!$F$26*(datos_base!$K$4+datos_base!$K$20+IF(parametros_manuales!$H$26="Todos",datos_base!$K$11+datos_base!$K$25,0))*parametros_manuales!$E$105+parametros_manuales!$G$26*(datos_base!$K$5+datos_base!$K$21+IF(parametros_manuales!$H$26="Todos",datos_base!$K$12+datos_base!$K$26,0))*parametros_manuales!$E$110)*parametros_manuales!$I$26*parametros_manuales!$J$26</f>
        <v>6961.007445655</v>
      </c>
      <c r="F252" s="9" t="n">
        <f aca="false">(parametros_manuales!$D$26*(datos_base!$K$2+datos_base!$K$18+IF(parametros_manuales!$H$26="Todos",datos_base!$K$9+datos_base!$K$23,0))*parametros_manuales!$F$95+parametros_manuales!$E$26*(datos_base!$K$3+datos_base!$K$19+IF(parametros_manuales!$H$26="Todos",datos_base!$K$10+datos_base!$K$24,0))*parametros_manuales!$F$100+parametros_manuales!$F$26*(datos_base!$K$4+datos_base!$K$20+IF(parametros_manuales!$H$26="Todos",datos_base!$K$11+datos_base!$K$25,0))*parametros_manuales!$F$105+parametros_manuales!$G$26*(datos_base!$K$5+datos_base!$K$21+IF(parametros_manuales!$H$26="Todos",datos_base!$K$12+datos_base!$K$26,0))*parametros_manuales!$F$110)*parametros_manuales!$I$26*parametros_manuales!$J$26</f>
        <v>6551.53641944</v>
      </c>
      <c r="G252" s="9" t="n">
        <f aca="false">(parametros_manuales!$D$26*(datos_base!$K$2+datos_base!$K$18+IF(parametros_manuales!$H$26="Todos",datos_base!$K$9+datos_base!$K$23,0))*parametros_manuales!$G$95+parametros_manuales!$E$26*(datos_base!$K$3+datos_base!$K$19+IF(parametros_manuales!$H$26="Todos",datos_base!$K$10+datos_base!$K$24,0))*parametros_manuales!$G$100+parametros_manuales!$F$26*(datos_base!$K$4+datos_base!$K$20+IF(parametros_manuales!$H$26="Todos",datos_base!$K$11+datos_base!$K$25,0))*parametros_manuales!$G$105+parametros_manuales!$G$26*(datos_base!$K$5+datos_base!$K$21+IF(parametros_manuales!$H$26="Todos",datos_base!$K$12+datos_base!$K$26,0))*parametros_manuales!$G$110)*parametros_manuales!$I$26*parametros_manuales!$J$26</f>
        <v>6142.065393225</v>
      </c>
      <c r="H252" s="9" t="n">
        <f aca="false">(parametros_manuales!$D$26*(datos_base!$K$2+datos_base!$K$18+IF(parametros_manuales!$H$26="Todos",datos_base!$K$9+datos_base!$K$23,0))*parametros_manuales!$H$95+parametros_manuales!$E$26*(datos_base!$K$3+datos_base!$K$19+IF(parametros_manuales!$H$26="Todos",datos_base!$K$10+datos_base!$K$24,0))*parametros_manuales!$H$100+parametros_manuales!$F$26*(datos_base!$K$4+datos_base!$K$20+IF(parametros_manuales!$H$26="Todos",datos_base!$K$11+datos_base!$K$25,0))*parametros_manuales!$H$105+parametros_manuales!$G$26*(datos_base!$K$5+datos_base!$K$21+IF(parametros_manuales!$H$26="Todos",datos_base!$K$12+datos_base!$K$26,0))*parametros_manuales!$H$110)*parametros_manuales!$I$26*parametros_manuales!$J$26</f>
        <v>6551.53641944</v>
      </c>
      <c r="I252" s="9" t="n">
        <f aca="false">(parametros_manuales!$D$26*(datos_base!$K$2+datos_base!$K$18+IF(parametros_manuales!$H$26="Todos",datos_base!$K$9+datos_base!$K$23,0))*parametros_manuales!$I$95+parametros_manuales!$E$26*(datos_base!$K$3+datos_base!$K$19+IF(parametros_manuales!$H$26="Todos",datos_base!$K$10+datos_base!$K$24,0))*parametros_manuales!$I$100+parametros_manuales!$F$26*(datos_base!$K$4+datos_base!$K$20+IF(parametros_manuales!$H$26="Todos",datos_base!$K$11+datos_base!$K$25,0))*parametros_manuales!$I$105+parametros_manuales!$G$26*(datos_base!$K$5+datos_base!$K$21+IF(parametros_manuales!$H$26="Todos",datos_base!$K$12+datos_base!$K$26,0))*parametros_manuales!$I$110)*parametros_manuales!$I$26*parametros_manuales!$J$26</f>
        <v>6551.53641944</v>
      </c>
      <c r="J252" s="9" t="n">
        <f aca="false">(parametros_manuales!$D$26*(datos_base!$K$2+datos_base!$K$18+IF(parametros_manuales!$H$26="Todos",datos_base!$K$9+datos_base!$K$23,0))*parametros_manuales!$J$95+parametros_manuales!$E$26*(datos_base!$K$3+datos_base!$K$19+IF(parametros_manuales!$H$26="Todos",datos_base!$K$10+datos_base!$K$24,0))*parametros_manuales!$J$100+parametros_manuales!$F$26*(datos_base!$K$4+datos_base!$K$20+IF(parametros_manuales!$H$26="Todos",datos_base!$K$11+datos_base!$K$25,0))*parametros_manuales!$J$105+parametros_manuales!$G$26*(datos_base!$K$5+datos_base!$K$21+IF(parametros_manuales!$H$26="Todos",datos_base!$K$12+datos_base!$K$26,0))*parametros_manuales!$J$110)*parametros_manuales!$I$26*parametros_manuales!$J$26</f>
        <v>6551.53641944</v>
      </c>
      <c r="K252" s="9" t="n">
        <f aca="false">(parametros_manuales!$D$26*(datos_base!$K$2+datos_base!$K$18+IF(parametros_manuales!$H$26="Todos",datos_base!$K$9+datos_base!$K$23,0))*parametros_manuales!$K$95+parametros_manuales!$E$26*(datos_base!$K$3+datos_base!$K$19+IF(parametros_manuales!$H$26="Todos",datos_base!$K$10+datos_base!$K$24,0))*parametros_manuales!$K$100+parametros_manuales!$F$26*(datos_base!$K$4+datos_base!$K$20+IF(parametros_manuales!$H$26="Todos",datos_base!$K$11+datos_base!$K$25,0))*parametros_manuales!$K$105+parametros_manuales!$G$26*(datos_base!$K$5+datos_base!$K$21+IF(parametros_manuales!$H$26="Todos",datos_base!$K$12+datos_base!$K$26,0))*parametros_manuales!$K$110)*parametros_manuales!$I$26*parametros_manuales!$J$26</f>
        <v>6961.007445655</v>
      </c>
      <c r="L252" s="9" t="n">
        <f aca="false">(parametros_manuales!$D$26*(datos_base!$K$2+datos_base!$K$18+IF(parametros_manuales!$H$26="Todos",datos_base!$K$9+datos_base!$K$23,0))*parametros_manuales!$L$95+parametros_manuales!$E$26*(datos_base!$K$3+datos_base!$K$19+IF(parametros_manuales!$H$26="Todos",datos_base!$K$10+datos_base!$K$24,0))*parametros_manuales!$L$100+parametros_manuales!$F$26*(datos_base!$K$4+datos_base!$K$20+IF(parametros_manuales!$H$26="Todos",datos_base!$K$11+datos_base!$K$25,0))*parametros_manuales!$L$105+parametros_manuales!$G$26*(datos_base!$K$5+datos_base!$K$21+IF(parametros_manuales!$H$26="Todos",datos_base!$K$12+datos_base!$K$26,0))*parametros_manuales!$L$110)*parametros_manuales!$I$26*parametros_manuales!$J$26</f>
        <v>7370.47847187</v>
      </c>
      <c r="M252" s="9" t="n">
        <f aca="false">(parametros_manuales!$D$26*(datos_base!$K$2+datos_base!$K$18+IF(parametros_manuales!$H$26="Todos",datos_base!$K$9+datos_base!$K$23,0))*parametros_manuales!$M$95+parametros_manuales!$E$26*(datos_base!$K$3+datos_base!$K$19+IF(parametros_manuales!$H$26="Todos",datos_base!$K$10+datos_base!$K$24,0))*parametros_manuales!$M$100+parametros_manuales!$F$26*(datos_base!$K$4+datos_base!$K$20+IF(parametros_manuales!$H$26="Todos",datos_base!$K$11+datos_base!$K$25,0))*parametros_manuales!$M$105+parametros_manuales!$G$26*(datos_base!$K$5+datos_base!$K$21+IF(parametros_manuales!$H$26="Todos",datos_base!$K$12+datos_base!$K$26,0))*parametros_manuales!$M$110)*parametros_manuales!$I$26*parametros_manuales!$J$26</f>
        <v>7370.47847187</v>
      </c>
      <c r="N252" s="9" t="n">
        <f aca="false">SUM(B252:M252)</f>
        <v>81894.205243</v>
      </c>
      <c r="O252" s="9" t="n">
        <f aca="false">MAX(B252:M252)</f>
        <v>7370.47847187</v>
      </c>
      <c r="P252" s="43" t="n">
        <f aca="false">O252/(parametros_manuales!$B$7)</f>
        <v>49.1365231458</v>
      </c>
      <c r="Q252" s="8" t="str">
        <f aca="false">IF(O252=0,"-",INDEX($B$244:$M$244,MATCH(O252,B252:M252,0)))</f>
        <v>Ene</v>
      </c>
    </row>
    <row r="253" customFormat="false" ht="14.25" hidden="false" customHeight="true" outlineLevel="0" collapsed="false">
      <c r="A253" s="8" t="str">
        <f aca="false">parametros_manuales!$B$27</f>
        <v>Soldadura longitudinal</v>
      </c>
      <c r="B253" s="9" t="n">
        <f aca="false">(parametros_manuales!$D$27*(datos_base!$K$2+datos_base!$K$18+IF(parametros_manuales!$H$27="Todos",datos_base!$K$9+datos_base!$K$23,0))*parametros_manuales!$B$95+parametros_manuales!$E$27*(datos_base!$K$3+datos_base!$K$19+IF(parametros_manuales!$H$27="Todos",datos_base!$K$10+datos_base!$K$24,0))*parametros_manuales!$B$100+parametros_manuales!$F$27*(datos_base!$K$4+datos_base!$K$20+IF(parametros_manuales!$H$27="Todos",datos_base!$K$11+datos_base!$K$25,0))*parametros_manuales!$B$105+parametros_manuales!$G$27*(datos_base!$K$5+datos_base!$K$21+IF(parametros_manuales!$H$27="Todos",datos_base!$K$12+datos_base!$K$26,0))*parametros_manuales!$B$110)*parametros_manuales!$I$27*parametros_manuales!$J$27</f>
        <v>7370.47847187</v>
      </c>
      <c r="C253" s="9" t="n">
        <f aca="false">(parametros_manuales!$D$27*(datos_base!$K$2+datos_base!$K$18+IF(parametros_manuales!$H$27="Todos",datos_base!$K$9+datos_base!$K$23,0))*parametros_manuales!$C$95+parametros_manuales!$E$27*(datos_base!$K$3+datos_base!$K$19+IF(parametros_manuales!$H$27="Todos",datos_base!$K$10+datos_base!$K$24,0))*parametros_manuales!$C$100+parametros_manuales!$F$27*(datos_base!$K$4+datos_base!$K$20+IF(parametros_manuales!$H$27="Todos",datos_base!$K$11+datos_base!$K$25,0))*parametros_manuales!$C$105+parametros_manuales!$G$27*(datos_base!$K$5+datos_base!$K$21+IF(parametros_manuales!$H$27="Todos",datos_base!$K$12+datos_base!$K$26,0))*parametros_manuales!$C$110)*parametros_manuales!$I$27*parametros_manuales!$J$27</f>
        <v>6551.53641944</v>
      </c>
      <c r="D253" s="9" t="n">
        <f aca="false">(parametros_manuales!$D$27*(datos_base!$K$2+datos_base!$K$18+IF(parametros_manuales!$H$27="Todos",datos_base!$K$9+datos_base!$K$23,0))*parametros_manuales!$D$95+parametros_manuales!$E$27*(datos_base!$K$3+datos_base!$K$19+IF(parametros_manuales!$H$27="Todos",datos_base!$K$10+datos_base!$K$24,0))*parametros_manuales!$D$100+parametros_manuales!$F$27*(datos_base!$K$4+datos_base!$K$20+IF(parametros_manuales!$H$27="Todos",datos_base!$K$11+datos_base!$K$25,0))*parametros_manuales!$D$105+parametros_manuales!$G$27*(datos_base!$K$5+datos_base!$K$21+IF(parametros_manuales!$H$27="Todos",datos_base!$K$12+datos_base!$K$26,0))*parametros_manuales!$D$110)*parametros_manuales!$I$27*parametros_manuales!$J$27</f>
        <v>6961.007445655</v>
      </c>
      <c r="E253" s="9" t="n">
        <f aca="false">(parametros_manuales!$D$27*(datos_base!$K$2+datos_base!$K$18+IF(parametros_manuales!$H$27="Todos",datos_base!$K$9+datos_base!$K$23,0))*parametros_manuales!$E$95+parametros_manuales!$E$27*(datos_base!$K$3+datos_base!$K$19+IF(parametros_manuales!$H$27="Todos",datos_base!$K$10+datos_base!$K$24,0))*parametros_manuales!$E$100+parametros_manuales!$F$27*(datos_base!$K$4+datos_base!$K$20+IF(parametros_manuales!$H$27="Todos",datos_base!$K$11+datos_base!$K$25,0))*parametros_manuales!$E$105+parametros_manuales!$G$27*(datos_base!$K$5+datos_base!$K$21+IF(parametros_manuales!$H$27="Todos",datos_base!$K$12+datos_base!$K$26,0))*parametros_manuales!$E$110)*parametros_manuales!$I$27*parametros_manuales!$J$27</f>
        <v>6961.007445655</v>
      </c>
      <c r="F253" s="9" t="n">
        <f aca="false">(parametros_manuales!$D$27*(datos_base!$K$2+datos_base!$K$18+IF(parametros_manuales!$H$27="Todos",datos_base!$K$9+datos_base!$K$23,0))*parametros_manuales!$F$95+parametros_manuales!$E$27*(datos_base!$K$3+datos_base!$K$19+IF(parametros_manuales!$H$27="Todos",datos_base!$K$10+datos_base!$K$24,0))*parametros_manuales!$F$100+parametros_manuales!$F$27*(datos_base!$K$4+datos_base!$K$20+IF(parametros_manuales!$H$27="Todos",datos_base!$K$11+datos_base!$K$25,0))*parametros_manuales!$F$105+parametros_manuales!$G$27*(datos_base!$K$5+datos_base!$K$21+IF(parametros_manuales!$H$27="Todos",datos_base!$K$12+datos_base!$K$26,0))*parametros_manuales!$F$110)*parametros_manuales!$I$27*parametros_manuales!$J$27</f>
        <v>6551.53641944</v>
      </c>
      <c r="G253" s="9" t="n">
        <f aca="false">(parametros_manuales!$D$27*(datos_base!$K$2+datos_base!$K$18+IF(parametros_manuales!$H$27="Todos",datos_base!$K$9+datos_base!$K$23,0))*parametros_manuales!$G$95+parametros_manuales!$E$27*(datos_base!$K$3+datos_base!$K$19+IF(parametros_manuales!$H$27="Todos",datos_base!$K$10+datos_base!$K$24,0))*parametros_manuales!$G$100+parametros_manuales!$F$27*(datos_base!$K$4+datos_base!$K$20+IF(parametros_manuales!$H$27="Todos",datos_base!$K$11+datos_base!$K$25,0))*parametros_manuales!$G$105+parametros_manuales!$G$27*(datos_base!$K$5+datos_base!$K$21+IF(parametros_manuales!$H$27="Todos",datos_base!$K$12+datos_base!$K$26,0))*parametros_manuales!$G$110)*parametros_manuales!$I$27*parametros_manuales!$J$27</f>
        <v>6142.065393225</v>
      </c>
      <c r="H253" s="9" t="n">
        <f aca="false">(parametros_manuales!$D$27*(datos_base!$K$2+datos_base!$K$18+IF(parametros_manuales!$H$27="Todos",datos_base!$K$9+datos_base!$K$23,0))*parametros_manuales!$H$95+parametros_manuales!$E$27*(datos_base!$K$3+datos_base!$K$19+IF(parametros_manuales!$H$27="Todos",datos_base!$K$10+datos_base!$K$24,0))*parametros_manuales!$H$100+parametros_manuales!$F$27*(datos_base!$K$4+datos_base!$K$20+IF(parametros_manuales!$H$27="Todos",datos_base!$K$11+datos_base!$K$25,0))*parametros_manuales!$H$105+parametros_manuales!$G$27*(datos_base!$K$5+datos_base!$K$21+IF(parametros_manuales!$H$27="Todos",datos_base!$K$12+datos_base!$K$26,0))*parametros_manuales!$H$110)*parametros_manuales!$I$27*parametros_manuales!$J$27</f>
        <v>6551.53641944</v>
      </c>
      <c r="I253" s="9" t="n">
        <f aca="false">(parametros_manuales!$D$27*(datos_base!$K$2+datos_base!$K$18+IF(parametros_manuales!$H$27="Todos",datos_base!$K$9+datos_base!$K$23,0))*parametros_manuales!$I$95+parametros_manuales!$E$27*(datos_base!$K$3+datos_base!$K$19+IF(parametros_manuales!$H$27="Todos",datos_base!$K$10+datos_base!$K$24,0))*parametros_manuales!$I$100+parametros_manuales!$F$27*(datos_base!$K$4+datos_base!$K$20+IF(parametros_manuales!$H$27="Todos",datos_base!$K$11+datos_base!$K$25,0))*parametros_manuales!$I$105+parametros_manuales!$G$27*(datos_base!$K$5+datos_base!$K$21+IF(parametros_manuales!$H$27="Todos",datos_base!$K$12+datos_base!$K$26,0))*parametros_manuales!$I$110)*parametros_manuales!$I$27*parametros_manuales!$J$27</f>
        <v>6551.53641944</v>
      </c>
      <c r="J253" s="9" t="n">
        <f aca="false">(parametros_manuales!$D$27*(datos_base!$K$2+datos_base!$K$18+IF(parametros_manuales!$H$27="Todos",datos_base!$K$9+datos_base!$K$23,0))*parametros_manuales!$J$95+parametros_manuales!$E$27*(datos_base!$K$3+datos_base!$K$19+IF(parametros_manuales!$H$27="Todos",datos_base!$K$10+datos_base!$K$24,0))*parametros_manuales!$J$100+parametros_manuales!$F$27*(datos_base!$K$4+datos_base!$K$20+IF(parametros_manuales!$H$27="Todos",datos_base!$K$11+datos_base!$K$25,0))*parametros_manuales!$J$105+parametros_manuales!$G$27*(datos_base!$K$5+datos_base!$K$21+IF(parametros_manuales!$H$27="Todos",datos_base!$K$12+datos_base!$K$26,0))*parametros_manuales!$J$110)*parametros_manuales!$I$27*parametros_manuales!$J$27</f>
        <v>6551.53641944</v>
      </c>
      <c r="K253" s="9" t="n">
        <f aca="false">(parametros_manuales!$D$27*(datos_base!$K$2+datos_base!$K$18+IF(parametros_manuales!$H$27="Todos",datos_base!$K$9+datos_base!$K$23,0))*parametros_manuales!$K$95+parametros_manuales!$E$27*(datos_base!$K$3+datos_base!$K$19+IF(parametros_manuales!$H$27="Todos",datos_base!$K$10+datos_base!$K$24,0))*parametros_manuales!$K$100+parametros_manuales!$F$27*(datos_base!$K$4+datos_base!$K$20+IF(parametros_manuales!$H$27="Todos",datos_base!$K$11+datos_base!$K$25,0))*parametros_manuales!$K$105+parametros_manuales!$G$27*(datos_base!$K$5+datos_base!$K$21+IF(parametros_manuales!$H$27="Todos",datos_base!$K$12+datos_base!$K$26,0))*parametros_manuales!$K$110)*parametros_manuales!$I$27*parametros_manuales!$J$27</f>
        <v>6961.007445655</v>
      </c>
      <c r="L253" s="9" t="n">
        <f aca="false">(parametros_manuales!$D$27*(datos_base!$K$2+datos_base!$K$18+IF(parametros_manuales!$H$27="Todos",datos_base!$K$9+datos_base!$K$23,0))*parametros_manuales!$L$95+parametros_manuales!$E$27*(datos_base!$K$3+datos_base!$K$19+IF(parametros_manuales!$H$27="Todos",datos_base!$K$10+datos_base!$K$24,0))*parametros_manuales!$L$100+parametros_manuales!$F$27*(datos_base!$K$4+datos_base!$K$20+IF(parametros_manuales!$H$27="Todos",datos_base!$K$11+datos_base!$K$25,0))*parametros_manuales!$L$105+parametros_manuales!$G$27*(datos_base!$K$5+datos_base!$K$21+IF(parametros_manuales!$H$27="Todos",datos_base!$K$12+datos_base!$K$26,0))*parametros_manuales!$L$110)*parametros_manuales!$I$27*parametros_manuales!$J$27</f>
        <v>7370.47847187</v>
      </c>
      <c r="M253" s="9" t="n">
        <f aca="false">(parametros_manuales!$D$27*(datos_base!$K$2+datos_base!$K$18+IF(parametros_manuales!$H$27="Todos",datos_base!$K$9+datos_base!$K$23,0))*parametros_manuales!$M$95+parametros_manuales!$E$27*(datos_base!$K$3+datos_base!$K$19+IF(parametros_manuales!$H$27="Todos",datos_base!$K$10+datos_base!$K$24,0))*parametros_manuales!$M$100+parametros_manuales!$F$27*(datos_base!$K$4+datos_base!$K$20+IF(parametros_manuales!$H$27="Todos",datos_base!$K$11+datos_base!$K$25,0))*parametros_manuales!$M$105+parametros_manuales!$G$27*(datos_base!$K$5+datos_base!$K$21+IF(parametros_manuales!$H$27="Todos",datos_base!$K$12+datos_base!$K$26,0))*parametros_manuales!$M$110)*parametros_manuales!$I$27*parametros_manuales!$J$27</f>
        <v>7370.47847187</v>
      </c>
      <c r="N253" s="9" t="n">
        <f aca="false">SUM(B253:M253)</f>
        <v>81894.205243</v>
      </c>
      <c r="O253" s="9" t="n">
        <f aca="false">MAX(B253:M253)</f>
        <v>7370.47847187</v>
      </c>
      <c r="P253" s="43" t="n">
        <f aca="false">O253/(parametros_manuales!$B$7)</f>
        <v>49.1365231458</v>
      </c>
      <c r="Q253" s="8" t="str">
        <f aca="false">IF(O253=0,"-",INDEX($B$244:$M$244,MATCH(O253,B253:M253,0)))</f>
        <v>Ene</v>
      </c>
    </row>
    <row r="254" customFormat="false" ht="14.25" hidden="false" customHeight="true" outlineLevel="0" collapsed="false">
      <c r="A254" s="8" t="str">
        <f aca="false">parametros_manuales!$B$28</f>
        <v>Encastre de fondo</v>
      </c>
      <c r="B254" s="9" t="n">
        <f aca="false">(parametros_manuales!$D$28*(datos_base!$K$2+datos_base!$K$18+IF(parametros_manuales!$H$28="Todos",datos_base!$K$9+datos_base!$K$23,0))*parametros_manuales!$B$95+parametros_manuales!$E$28*(datos_base!$K$3+datos_base!$K$19+IF(parametros_manuales!$H$28="Todos",datos_base!$K$10+datos_base!$K$24,0))*parametros_manuales!$B$100+parametros_manuales!$F$28*(datos_base!$K$4+datos_base!$K$20+IF(parametros_manuales!$H$28="Todos",datos_base!$K$11+datos_base!$K$25,0))*parametros_manuales!$B$105+parametros_manuales!$G$28*(datos_base!$K$5+datos_base!$K$21+IF(parametros_manuales!$H$28="Todos",datos_base!$K$12+datos_base!$K$26,0))*parametros_manuales!$B$110)*parametros_manuales!$I$28*parametros_manuales!$J$28</f>
        <v>25606.33599357</v>
      </c>
      <c r="C254" s="9" t="n">
        <f aca="false">(parametros_manuales!$D$28*(datos_base!$K$2+datos_base!$K$18+IF(parametros_manuales!$H$28="Todos",datos_base!$K$9+datos_base!$K$23,0))*parametros_manuales!$C$95+parametros_manuales!$E$28*(datos_base!$K$3+datos_base!$K$19+IF(parametros_manuales!$H$28="Todos",datos_base!$K$10+datos_base!$K$24,0))*parametros_manuales!$C$100+parametros_manuales!$F$28*(datos_base!$K$4+datos_base!$K$20+IF(parametros_manuales!$H$28="Todos",datos_base!$K$11+datos_base!$K$25,0))*parametros_manuales!$C$105+parametros_manuales!$G$28*(datos_base!$K$5+datos_base!$K$21+IF(parametros_manuales!$H$28="Todos",datos_base!$K$12+datos_base!$K$26,0))*parametros_manuales!$C$110)*parametros_manuales!$I$28*parametros_manuales!$J$28</f>
        <v>24787.39394114</v>
      </c>
      <c r="D254" s="9" t="n">
        <f aca="false">(parametros_manuales!$D$28*(datos_base!$K$2+datos_base!$K$18+IF(parametros_manuales!$H$28="Todos",datos_base!$K$9+datos_base!$K$23,0))*parametros_manuales!$D$95+parametros_manuales!$E$28*(datos_base!$K$3+datos_base!$K$19+IF(parametros_manuales!$H$28="Todos",datos_base!$K$10+datos_base!$K$24,0))*parametros_manuales!$D$100+parametros_manuales!$F$28*(datos_base!$K$4+datos_base!$K$20+IF(parametros_manuales!$H$28="Todos",datos_base!$K$11+datos_base!$K$25,0))*parametros_manuales!$D$105+parametros_manuales!$G$28*(datos_base!$K$5+datos_base!$K$21+IF(parametros_manuales!$H$28="Todos",datos_base!$K$12+datos_base!$K$26,0))*parametros_manuales!$D$110)*parametros_manuales!$I$28*parametros_manuales!$J$28</f>
        <v>23170.658576055</v>
      </c>
      <c r="E254" s="9" t="n">
        <f aca="false">(parametros_manuales!$D$28*(datos_base!$K$2+datos_base!$K$18+IF(parametros_manuales!$H$28="Todos",datos_base!$K$9+datos_base!$K$23,0))*parametros_manuales!$E$95+parametros_manuales!$E$28*(datos_base!$K$3+datos_base!$K$19+IF(parametros_manuales!$H$28="Todos",datos_base!$K$10+datos_base!$K$24,0))*parametros_manuales!$E$100+parametros_manuales!$F$28*(datos_base!$K$4+datos_base!$K$20+IF(parametros_manuales!$H$28="Todos",datos_base!$K$11+datos_base!$K$25,0))*parametros_manuales!$E$105+parametros_manuales!$G$28*(datos_base!$K$5+datos_base!$K$21+IF(parametros_manuales!$H$28="Todos",datos_base!$K$12+datos_base!$K$26,0))*parametros_manuales!$E$110)*parametros_manuales!$I$28*parametros_manuales!$J$28</f>
        <v>22157.555380405</v>
      </c>
      <c r="F254" s="9" t="n">
        <f aca="false">(parametros_manuales!$D$28*(datos_base!$K$2+datos_base!$K$18+IF(parametros_manuales!$H$28="Todos",datos_base!$K$9+datos_base!$K$23,0))*parametros_manuales!$F$95+parametros_manuales!$E$28*(datos_base!$K$3+datos_base!$K$19+IF(parametros_manuales!$H$28="Todos",datos_base!$K$10+datos_base!$K$24,0))*parametros_manuales!$F$100+parametros_manuales!$F$28*(datos_base!$K$4+datos_base!$K$20+IF(parametros_manuales!$H$28="Todos",datos_base!$K$11+datos_base!$K$25,0))*parametros_manuales!$F$105+parametros_manuales!$G$28*(datos_base!$K$5+datos_base!$K$21+IF(parametros_manuales!$H$28="Todos",datos_base!$K$12+datos_base!$K$26,0))*parametros_manuales!$F$110)*parametros_manuales!$I$28*parametros_manuales!$J$28</f>
        <v>20734.98115854</v>
      </c>
      <c r="G254" s="9" t="n">
        <f aca="false">(parametros_manuales!$D$28*(datos_base!$K$2+datos_base!$K$18+IF(parametros_manuales!$H$28="Todos",datos_base!$K$9+datos_base!$K$23,0))*parametros_manuales!$G$95+parametros_manuales!$E$28*(datos_base!$K$3+datos_base!$K$19+IF(parametros_manuales!$H$28="Todos",datos_base!$K$10+datos_base!$K$24,0))*parametros_manuales!$G$100+parametros_manuales!$F$28*(datos_base!$K$4+datos_base!$K$20+IF(parametros_manuales!$H$28="Todos",datos_base!$K$11+datos_base!$K$25,0))*parametros_manuales!$G$105+parametros_manuales!$G$28*(datos_base!$K$5+datos_base!$K$21+IF(parametros_manuales!$H$28="Todos",datos_base!$K$12+datos_base!$K$26,0))*parametros_manuales!$G$110)*parametros_manuales!$I$28*parametros_manuales!$J$28</f>
        <v>20325.510132325</v>
      </c>
      <c r="H254" s="9" t="n">
        <f aca="false">(parametros_manuales!$D$28*(datos_base!$K$2+datos_base!$K$18+IF(parametros_manuales!$H$28="Todos",datos_base!$K$9+datos_base!$K$23,0))*parametros_manuales!$H$95+parametros_manuales!$E$28*(datos_base!$K$3+datos_base!$K$19+IF(parametros_manuales!$H$28="Todos",datos_base!$K$10+datos_base!$K$24,0))*parametros_manuales!$H$100+parametros_manuales!$F$28*(datos_base!$K$4+datos_base!$K$20+IF(parametros_manuales!$H$28="Todos",datos_base!$K$11+datos_base!$K$25,0))*parametros_manuales!$H$105+parametros_manuales!$G$28*(datos_base!$K$5+datos_base!$K$21+IF(parametros_manuales!$H$28="Todos",datos_base!$K$12+datos_base!$K$26,0))*parametros_manuales!$H$110)*parametros_manuales!$I$28*parametros_manuales!$J$28</f>
        <v>21748.08435419</v>
      </c>
      <c r="I254" s="9" t="n">
        <f aca="false">(parametros_manuales!$D$28*(datos_base!$K$2+datos_base!$K$18+IF(parametros_manuales!$H$28="Todos",datos_base!$K$9+datos_base!$K$23,0))*parametros_manuales!$I$95+parametros_manuales!$E$28*(datos_base!$K$3+datos_base!$K$19+IF(parametros_manuales!$H$28="Todos",datos_base!$K$10+datos_base!$K$24,0))*parametros_manuales!$I$100+parametros_manuales!$F$28*(datos_base!$K$4+datos_base!$K$20+IF(parametros_manuales!$H$28="Todos",datos_base!$K$11+datos_base!$K$25,0))*parametros_manuales!$I$105+parametros_manuales!$G$28*(datos_base!$K$5+datos_base!$K$21+IF(parametros_manuales!$H$28="Todos",datos_base!$K$12+datos_base!$K$26,0))*parametros_manuales!$I$110)*parametros_manuales!$I$28*parametros_manuales!$J$28</f>
        <v>24787.39394114</v>
      </c>
      <c r="J254" s="9" t="n">
        <f aca="false">(parametros_manuales!$D$28*(datos_base!$K$2+datos_base!$K$18+IF(parametros_manuales!$H$28="Todos",datos_base!$K$9+datos_base!$K$23,0))*parametros_manuales!$J$95+parametros_manuales!$E$28*(datos_base!$K$3+datos_base!$K$19+IF(parametros_manuales!$H$28="Todos",datos_base!$K$10+datos_base!$K$24,0))*parametros_manuales!$J$100+parametros_manuales!$F$28*(datos_base!$K$4+datos_base!$K$20+IF(parametros_manuales!$H$28="Todos",datos_base!$K$11+datos_base!$K$25,0))*parametros_manuales!$J$105+parametros_manuales!$G$28*(datos_base!$K$5+datos_base!$K$21+IF(parametros_manuales!$H$28="Todos",datos_base!$K$12+datos_base!$K$26,0))*parametros_manuales!$J$110)*parametros_manuales!$I$28*parametros_manuales!$J$28</f>
        <v>24787.39394114</v>
      </c>
      <c r="K254" s="9" t="n">
        <f aca="false">(parametros_manuales!$D$28*(datos_base!$K$2+datos_base!$K$18+IF(parametros_manuales!$H$28="Todos",datos_base!$K$9+datos_base!$K$23,0))*parametros_manuales!$K$95+parametros_manuales!$E$28*(datos_base!$K$3+datos_base!$K$19+IF(parametros_manuales!$H$28="Todos",datos_base!$K$10+datos_base!$K$24,0))*parametros_manuales!$K$100+parametros_manuales!$F$28*(datos_base!$K$4+datos_base!$K$20+IF(parametros_manuales!$H$28="Todos",datos_base!$K$11+datos_base!$K$25,0))*parametros_manuales!$K$105+parametros_manuales!$G$28*(datos_base!$K$5+datos_base!$K$21+IF(parametros_manuales!$H$28="Todos",datos_base!$K$12+datos_base!$K$26,0))*parametros_manuales!$K$110)*parametros_manuales!$I$28*parametros_manuales!$J$28</f>
        <v>25196.864967355</v>
      </c>
      <c r="L254" s="9" t="n">
        <f aca="false">(parametros_manuales!$D$28*(datos_base!$K$2+datos_base!$K$18+IF(parametros_manuales!$H$28="Todos",datos_base!$K$9+datos_base!$K$23,0))*parametros_manuales!$L$95+parametros_manuales!$E$28*(datos_base!$K$3+datos_base!$K$19+IF(parametros_manuales!$H$28="Todos",datos_base!$K$10+datos_base!$K$24,0))*parametros_manuales!$L$100+parametros_manuales!$F$28*(datos_base!$K$4+datos_base!$K$20+IF(parametros_manuales!$H$28="Todos",datos_base!$K$11+datos_base!$K$25,0))*parametros_manuales!$L$105+parametros_manuales!$G$28*(datos_base!$K$5+datos_base!$K$21+IF(parametros_manuales!$H$28="Todos",datos_base!$K$12+datos_base!$K$26,0))*parametros_manuales!$L$110)*parametros_manuales!$I$28*parametros_manuales!$J$28</f>
        <v>25606.33599357</v>
      </c>
      <c r="M254" s="9" t="n">
        <f aca="false">(parametros_manuales!$D$28*(datos_base!$K$2+datos_base!$K$18+IF(parametros_manuales!$H$28="Todos",datos_base!$K$9+datos_base!$K$23,0))*parametros_manuales!$M$95+parametros_manuales!$E$28*(datos_base!$K$3+datos_base!$K$19+IF(parametros_manuales!$H$28="Todos",datos_base!$K$10+datos_base!$K$24,0))*parametros_manuales!$M$100+parametros_manuales!$F$28*(datos_base!$K$4+datos_base!$K$20+IF(parametros_manuales!$H$28="Todos",datos_base!$K$11+datos_base!$K$25,0))*parametros_manuales!$M$105+parametros_manuales!$G$28*(datos_base!$K$5+datos_base!$K$21+IF(parametros_manuales!$H$28="Todos",datos_base!$K$12+datos_base!$K$26,0))*parametros_manuales!$M$110)*parametros_manuales!$I$28*parametros_manuales!$J$28</f>
        <v>25606.33599357</v>
      </c>
      <c r="N254" s="9" t="n">
        <f aca="false">SUM(B254:M254)</f>
        <v>284514.844373</v>
      </c>
      <c r="O254" s="9" t="n">
        <f aca="false">MAX(B254:M254)</f>
        <v>25606.33599357</v>
      </c>
      <c r="P254" s="43" t="n">
        <f aca="false">O254/(parametros_manuales!$B$7)</f>
        <v>170.7089066238</v>
      </c>
      <c r="Q254" s="8" t="str">
        <f aca="false">IF(O254=0,"-",INDEX($B$244:$M$244,MATCH(O254,B254:M254,0)))</f>
        <v>Ene</v>
      </c>
    </row>
    <row r="255" customFormat="false" ht="14.25" hidden="false" customHeight="true" outlineLevel="0" collapsed="false">
      <c r="A255" s="8" t="str">
        <f aca="false">parametros_manuales!$B$29</f>
        <v>Bordoneado</v>
      </c>
      <c r="B255" s="9" t="n">
        <f aca="false">(parametros_manuales!$D$29*(datos_base!$K$2+datos_base!$K$18+IF(parametros_manuales!$H$29="Todos",datos_base!$K$9+datos_base!$K$23,0))*parametros_manuales!$B$95+parametros_manuales!$E$29*(datos_base!$K$3+datos_base!$K$19+IF(parametros_manuales!$H$29="Todos",datos_base!$K$10+datos_base!$K$24,0))*parametros_manuales!$B$100+parametros_manuales!$F$29*(datos_base!$K$4+datos_base!$K$20+IF(parametros_manuales!$H$29="Todos",datos_base!$K$11+datos_base!$K$25,0))*parametros_manuales!$B$105+parametros_manuales!$G$29*(datos_base!$K$5+datos_base!$K$21+IF(parametros_manuales!$H$29="Todos",datos_base!$K$12+datos_base!$K$26,0))*parametros_manuales!$B$110)*parametros_manuales!$I$29*parametros_manuales!$J$29</f>
        <v>25606.33599357</v>
      </c>
      <c r="C255" s="9" t="n">
        <f aca="false">(parametros_manuales!$D$29*(datos_base!$K$2+datos_base!$K$18+IF(parametros_manuales!$H$29="Todos",datos_base!$K$9+datos_base!$K$23,0))*parametros_manuales!$C$95+parametros_manuales!$E$29*(datos_base!$K$3+datos_base!$K$19+IF(parametros_manuales!$H$29="Todos",datos_base!$K$10+datos_base!$K$24,0))*parametros_manuales!$C$100+parametros_manuales!$F$29*(datos_base!$K$4+datos_base!$K$20+IF(parametros_manuales!$H$29="Todos",datos_base!$K$11+datos_base!$K$25,0))*parametros_manuales!$C$105+parametros_manuales!$G$29*(datos_base!$K$5+datos_base!$K$21+IF(parametros_manuales!$H$29="Todos",datos_base!$K$12+datos_base!$K$26,0))*parametros_manuales!$C$110)*parametros_manuales!$I$29*parametros_manuales!$J$29</f>
        <v>24787.39394114</v>
      </c>
      <c r="D255" s="9" t="n">
        <f aca="false">(parametros_manuales!$D$29*(datos_base!$K$2+datos_base!$K$18+IF(parametros_manuales!$H$29="Todos",datos_base!$K$9+datos_base!$K$23,0))*parametros_manuales!$D$95+parametros_manuales!$E$29*(datos_base!$K$3+datos_base!$K$19+IF(parametros_manuales!$H$29="Todos",datos_base!$K$10+datos_base!$K$24,0))*parametros_manuales!$D$100+parametros_manuales!$F$29*(datos_base!$K$4+datos_base!$K$20+IF(parametros_manuales!$H$29="Todos",datos_base!$K$11+datos_base!$K$25,0))*parametros_manuales!$D$105+parametros_manuales!$G$29*(datos_base!$K$5+datos_base!$K$21+IF(parametros_manuales!$H$29="Todos",datos_base!$K$12+datos_base!$K$26,0))*parametros_manuales!$D$110)*parametros_manuales!$I$29*parametros_manuales!$J$29</f>
        <v>23170.658576055</v>
      </c>
      <c r="E255" s="9" t="n">
        <f aca="false">(parametros_manuales!$D$29*(datos_base!$K$2+datos_base!$K$18+IF(parametros_manuales!$H$29="Todos",datos_base!$K$9+datos_base!$K$23,0))*parametros_manuales!$E$95+parametros_manuales!$E$29*(datos_base!$K$3+datos_base!$K$19+IF(parametros_manuales!$H$29="Todos",datos_base!$K$10+datos_base!$K$24,0))*parametros_manuales!$E$100+parametros_manuales!$F$29*(datos_base!$K$4+datos_base!$K$20+IF(parametros_manuales!$H$29="Todos",datos_base!$K$11+datos_base!$K$25,0))*parametros_manuales!$E$105+parametros_manuales!$G$29*(datos_base!$K$5+datos_base!$K$21+IF(parametros_manuales!$H$29="Todos",datos_base!$K$12+datos_base!$K$26,0))*parametros_manuales!$E$110)*parametros_manuales!$I$29*parametros_manuales!$J$29</f>
        <v>22157.555380405</v>
      </c>
      <c r="F255" s="9" t="n">
        <f aca="false">(parametros_manuales!$D$29*(datos_base!$K$2+datos_base!$K$18+IF(parametros_manuales!$H$29="Todos",datos_base!$K$9+datos_base!$K$23,0))*parametros_manuales!$F$95+parametros_manuales!$E$29*(datos_base!$K$3+datos_base!$K$19+IF(parametros_manuales!$H$29="Todos",datos_base!$K$10+datos_base!$K$24,0))*parametros_manuales!$F$100+parametros_manuales!$F$29*(datos_base!$K$4+datos_base!$K$20+IF(parametros_manuales!$H$29="Todos",datos_base!$K$11+datos_base!$K$25,0))*parametros_manuales!$F$105+parametros_manuales!$G$29*(datos_base!$K$5+datos_base!$K$21+IF(parametros_manuales!$H$29="Todos",datos_base!$K$12+datos_base!$K$26,0))*parametros_manuales!$F$110)*parametros_manuales!$I$29*parametros_manuales!$J$29</f>
        <v>20734.98115854</v>
      </c>
      <c r="G255" s="9" t="n">
        <f aca="false">(parametros_manuales!$D$29*(datos_base!$K$2+datos_base!$K$18+IF(parametros_manuales!$H$29="Todos",datos_base!$K$9+datos_base!$K$23,0))*parametros_manuales!$G$95+parametros_manuales!$E$29*(datos_base!$K$3+datos_base!$K$19+IF(parametros_manuales!$H$29="Todos",datos_base!$K$10+datos_base!$K$24,0))*parametros_manuales!$G$100+parametros_manuales!$F$29*(datos_base!$K$4+datos_base!$K$20+IF(parametros_manuales!$H$29="Todos",datos_base!$K$11+datos_base!$K$25,0))*parametros_manuales!$G$105+parametros_manuales!$G$29*(datos_base!$K$5+datos_base!$K$21+IF(parametros_manuales!$H$29="Todos",datos_base!$K$12+datos_base!$K$26,0))*parametros_manuales!$G$110)*parametros_manuales!$I$29*parametros_manuales!$J$29</f>
        <v>20325.510132325</v>
      </c>
      <c r="H255" s="9" t="n">
        <f aca="false">(parametros_manuales!$D$29*(datos_base!$K$2+datos_base!$K$18+IF(parametros_manuales!$H$29="Todos",datos_base!$K$9+datos_base!$K$23,0))*parametros_manuales!$H$95+parametros_manuales!$E$29*(datos_base!$K$3+datos_base!$K$19+IF(parametros_manuales!$H$29="Todos",datos_base!$K$10+datos_base!$K$24,0))*parametros_manuales!$H$100+parametros_manuales!$F$29*(datos_base!$K$4+datos_base!$K$20+IF(parametros_manuales!$H$29="Todos",datos_base!$K$11+datos_base!$K$25,0))*parametros_manuales!$H$105+parametros_manuales!$G$29*(datos_base!$K$5+datos_base!$K$21+IF(parametros_manuales!$H$29="Todos",datos_base!$K$12+datos_base!$K$26,0))*parametros_manuales!$H$110)*parametros_manuales!$I$29*parametros_manuales!$J$29</f>
        <v>21748.08435419</v>
      </c>
      <c r="I255" s="9" t="n">
        <f aca="false">(parametros_manuales!$D$29*(datos_base!$K$2+datos_base!$K$18+IF(parametros_manuales!$H$29="Todos",datos_base!$K$9+datos_base!$K$23,0))*parametros_manuales!$I$95+parametros_manuales!$E$29*(datos_base!$K$3+datos_base!$K$19+IF(parametros_manuales!$H$29="Todos",datos_base!$K$10+datos_base!$K$24,0))*parametros_manuales!$I$100+parametros_manuales!$F$29*(datos_base!$K$4+datos_base!$K$20+IF(parametros_manuales!$H$29="Todos",datos_base!$K$11+datos_base!$K$25,0))*parametros_manuales!$I$105+parametros_manuales!$G$29*(datos_base!$K$5+datos_base!$K$21+IF(parametros_manuales!$H$29="Todos",datos_base!$K$12+datos_base!$K$26,0))*parametros_manuales!$I$110)*parametros_manuales!$I$29*parametros_manuales!$J$29</f>
        <v>24787.39394114</v>
      </c>
      <c r="J255" s="9" t="n">
        <f aca="false">(parametros_manuales!$D$29*(datos_base!$K$2+datos_base!$K$18+IF(parametros_manuales!$H$29="Todos",datos_base!$K$9+datos_base!$K$23,0))*parametros_manuales!$J$95+parametros_manuales!$E$29*(datos_base!$K$3+datos_base!$K$19+IF(parametros_manuales!$H$29="Todos",datos_base!$K$10+datos_base!$K$24,0))*parametros_manuales!$J$100+parametros_manuales!$F$29*(datos_base!$K$4+datos_base!$K$20+IF(parametros_manuales!$H$29="Todos",datos_base!$K$11+datos_base!$K$25,0))*parametros_manuales!$J$105+parametros_manuales!$G$29*(datos_base!$K$5+datos_base!$K$21+IF(parametros_manuales!$H$29="Todos",datos_base!$K$12+datos_base!$K$26,0))*parametros_manuales!$J$110)*parametros_manuales!$I$29*parametros_manuales!$J$29</f>
        <v>24787.39394114</v>
      </c>
      <c r="K255" s="9" t="n">
        <f aca="false">(parametros_manuales!$D$29*(datos_base!$K$2+datos_base!$K$18+IF(parametros_manuales!$H$29="Todos",datos_base!$K$9+datos_base!$K$23,0))*parametros_manuales!$K$95+parametros_manuales!$E$29*(datos_base!$K$3+datos_base!$K$19+IF(parametros_manuales!$H$29="Todos",datos_base!$K$10+datos_base!$K$24,0))*parametros_manuales!$K$100+parametros_manuales!$F$29*(datos_base!$K$4+datos_base!$K$20+IF(parametros_manuales!$H$29="Todos",datos_base!$K$11+datos_base!$K$25,0))*parametros_manuales!$K$105+parametros_manuales!$G$29*(datos_base!$K$5+datos_base!$K$21+IF(parametros_manuales!$H$29="Todos",datos_base!$K$12+datos_base!$K$26,0))*parametros_manuales!$K$110)*parametros_manuales!$I$29*parametros_manuales!$J$29</f>
        <v>25196.864967355</v>
      </c>
      <c r="L255" s="9" t="n">
        <f aca="false">(parametros_manuales!$D$29*(datos_base!$K$2+datos_base!$K$18+IF(parametros_manuales!$H$29="Todos",datos_base!$K$9+datos_base!$K$23,0))*parametros_manuales!$L$95+parametros_manuales!$E$29*(datos_base!$K$3+datos_base!$K$19+IF(parametros_manuales!$H$29="Todos",datos_base!$K$10+datos_base!$K$24,0))*parametros_manuales!$L$100+parametros_manuales!$F$29*(datos_base!$K$4+datos_base!$K$20+IF(parametros_manuales!$H$29="Todos",datos_base!$K$11+datos_base!$K$25,0))*parametros_manuales!$L$105+parametros_manuales!$G$29*(datos_base!$K$5+datos_base!$K$21+IF(parametros_manuales!$H$29="Todos",datos_base!$K$12+datos_base!$K$26,0))*parametros_manuales!$L$110)*parametros_manuales!$I$29*parametros_manuales!$J$29</f>
        <v>25606.33599357</v>
      </c>
      <c r="M255" s="9" t="n">
        <f aca="false">(parametros_manuales!$D$29*(datos_base!$K$2+datos_base!$K$18+IF(parametros_manuales!$H$29="Todos",datos_base!$K$9+datos_base!$K$23,0))*parametros_manuales!$M$95+parametros_manuales!$E$29*(datos_base!$K$3+datos_base!$K$19+IF(parametros_manuales!$H$29="Todos",datos_base!$K$10+datos_base!$K$24,0))*parametros_manuales!$M$100+parametros_manuales!$F$29*(datos_base!$K$4+datos_base!$K$20+IF(parametros_manuales!$H$29="Todos",datos_base!$K$11+datos_base!$K$25,0))*parametros_manuales!$M$105+parametros_manuales!$G$29*(datos_base!$K$5+datos_base!$K$21+IF(parametros_manuales!$H$29="Todos",datos_base!$K$12+datos_base!$K$26,0))*parametros_manuales!$M$110)*parametros_manuales!$I$29*parametros_manuales!$J$29</f>
        <v>25606.33599357</v>
      </c>
      <c r="N255" s="9" t="n">
        <f aca="false">SUM(B255:M255)</f>
        <v>284514.844373</v>
      </c>
      <c r="O255" s="9" t="n">
        <f aca="false">MAX(B255:M255)</f>
        <v>25606.33599357</v>
      </c>
      <c r="P255" s="43" t="n">
        <f aca="false">O255/(parametros_manuales!$B$7)</f>
        <v>170.7089066238</v>
      </c>
      <c r="Q255" s="8" t="str">
        <f aca="false">IF(O255=0,"-",INDEX($B$244:$M$244,MATCH(O255,B255:M255,0)))</f>
        <v>Ene</v>
      </c>
    </row>
    <row r="256" customFormat="false" ht="14.25" hidden="false" customHeight="true" outlineLevel="0" collapsed="false">
      <c r="A256" s="8" t="str">
        <f aca="false">parametros_manuales!$B$30</f>
        <v>Soldadura circunferencial de cúpula y fondo</v>
      </c>
      <c r="B256" s="9" t="n">
        <f aca="false">(parametros_manuales!$D$30*(datos_base!$K$2+datos_base!$K$18+IF(parametros_manuales!$H$30="Todos",datos_base!$K$9+datos_base!$K$23,0))*parametros_manuales!$B$95+parametros_manuales!$E$30*(datos_base!$K$3+datos_base!$K$19+IF(parametros_manuales!$H$30="Todos",datos_base!$K$10+datos_base!$K$24,0))*parametros_manuales!$B$100+parametros_manuales!$F$30*(datos_base!$K$4+datos_base!$K$20+IF(parametros_manuales!$H$30="Todos",datos_base!$K$11+datos_base!$K$25,0))*parametros_manuales!$B$105+parametros_manuales!$G$30*(datos_base!$K$5+datos_base!$K$21+IF(parametros_manuales!$H$30="Todos",datos_base!$K$12+datos_base!$K$26,0))*parametros_manuales!$B$110)*parametros_manuales!$I$30*parametros_manuales!$J$30</f>
        <v>25606.33599357</v>
      </c>
      <c r="C256" s="9" t="n">
        <f aca="false">(parametros_manuales!$D$30*(datos_base!$K$2+datos_base!$K$18+IF(parametros_manuales!$H$30="Todos",datos_base!$K$9+datos_base!$K$23,0))*parametros_manuales!$C$95+parametros_manuales!$E$30*(datos_base!$K$3+datos_base!$K$19+IF(parametros_manuales!$H$30="Todos",datos_base!$K$10+datos_base!$K$24,0))*parametros_manuales!$C$100+parametros_manuales!$F$30*(datos_base!$K$4+datos_base!$K$20+IF(parametros_manuales!$H$30="Todos",datos_base!$K$11+datos_base!$K$25,0))*parametros_manuales!$C$105+parametros_manuales!$G$30*(datos_base!$K$5+datos_base!$K$21+IF(parametros_manuales!$H$30="Todos",datos_base!$K$12+datos_base!$K$26,0))*parametros_manuales!$C$110)*parametros_manuales!$I$30*parametros_manuales!$J$30</f>
        <v>24787.39394114</v>
      </c>
      <c r="D256" s="9" t="n">
        <f aca="false">(parametros_manuales!$D$30*(datos_base!$K$2+datos_base!$K$18+IF(parametros_manuales!$H$30="Todos",datos_base!$K$9+datos_base!$K$23,0))*parametros_manuales!$D$95+parametros_manuales!$E$30*(datos_base!$K$3+datos_base!$K$19+IF(parametros_manuales!$H$30="Todos",datos_base!$K$10+datos_base!$K$24,0))*parametros_manuales!$D$100+parametros_manuales!$F$30*(datos_base!$K$4+datos_base!$K$20+IF(parametros_manuales!$H$30="Todos",datos_base!$K$11+datos_base!$K$25,0))*parametros_manuales!$D$105+parametros_manuales!$G$30*(datos_base!$K$5+datos_base!$K$21+IF(parametros_manuales!$H$30="Todos",datos_base!$K$12+datos_base!$K$26,0))*parametros_manuales!$D$110)*parametros_manuales!$I$30*parametros_manuales!$J$30</f>
        <v>23170.658576055</v>
      </c>
      <c r="E256" s="9" t="n">
        <f aca="false">(parametros_manuales!$D$30*(datos_base!$K$2+datos_base!$K$18+IF(parametros_manuales!$H$30="Todos",datos_base!$K$9+datos_base!$K$23,0))*parametros_manuales!$E$95+parametros_manuales!$E$30*(datos_base!$K$3+datos_base!$K$19+IF(parametros_manuales!$H$30="Todos",datos_base!$K$10+datos_base!$K$24,0))*parametros_manuales!$E$100+parametros_manuales!$F$30*(datos_base!$K$4+datos_base!$K$20+IF(parametros_manuales!$H$30="Todos",datos_base!$K$11+datos_base!$K$25,0))*parametros_manuales!$E$105+parametros_manuales!$G$30*(datos_base!$K$5+datos_base!$K$21+IF(parametros_manuales!$H$30="Todos",datos_base!$K$12+datos_base!$K$26,0))*parametros_manuales!$E$110)*parametros_manuales!$I$30*parametros_manuales!$J$30</f>
        <v>22157.555380405</v>
      </c>
      <c r="F256" s="9" t="n">
        <f aca="false">(parametros_manuales!$D$30*(datos_base!$K$2+datos_base!$K$18+IF(parametros_manuales!$H$30="Todos",datos_base!$K$9+datos_base!$K$23,0))*parametros_manuales!$F$95+parametros_manuales!$E$30*(datos_base!$K$3+datos_base!$K$19+IF(parametros_manuales!$H$30="Todos",datos_base!$K$10+datos_base!$K$24,0))*parametros_manuales!$F$100+parametros_manuales!$F$30*(datos_base!$K$4+datos_base!$K$20+IF(parametros_manuales!$H$30="Todos",datos_base!$K$11+datos_base!$K$25,0))*parametros_manuales!$F$105+parametros_manuales!$G$30*(datos_base!$K$5+datos_base!$K$21+IF(parametros_manuales!$H$30="Todos",datos_base!$K$12+datos_base!$K$26,0))*parametros_manuales!$F$110)*parametros_manuales!$I$30*parametros_manuales!$J$30</f>
        <v>20734.98115854</v>
      </c>
      <c r="G256" s="9" t="n">
        <f aca="false">(parametros_manuales!$D$30*(datos_base!$K$2+datos_base!$K$18+IF(parametros_manuales!$H$30="Todos",datos_base!$K$9+datos_base!$K$23,0))*parametros_manuales!$G$95+parametros_manuales!$E$30*(datos_base!$K$3+datos_base!$K$19+IF(parametros_manuales!$H$30="Todos",datos_base!$K$10+datos_base!$K$24,0))*parametros_manuales!$G$100+parametros_manuales!$F$30*(datos_base!$K$4+datos_base!$K$20+IF(parametros_manuales!$H$30="Todos",datos_base!$K$11+datos_base!$K$25,0))*parametros_manuales!$G$105+parametros_manuales!$G$30*(datos_base!$K$5+datos_base!$K$21+IF(parametros_manuales!$H$30="Todos",datos_base!$K$12+datos_base!$K$26,0))*parametros_manuales!$G$110)*parametros_manuales!$I$30*parametros_manuales!$J$30</f>
        <v>20325.510132325</v>
      </c>
      <c r="H256" s="9" t="n">
        <f aca="false">(parametros_manuales!$D$30*(datos_base!$K$2+datos_base!$K$18+IF(parametros_manuales!$H$30="Todos",datos_base!$K$9+datos_base!$K$23,0))*parametros_manuales!$H$95+parametros_manuales!$E$30*(datos_base!$K$3+datos_base!$K$19+IF(parametros_manuales!$H$30="Todos",datos_base!$K$10+datos_base!$K$24,0))*parametros_manuales!$H$100+parametros_manuales!$F$30*(datos_base!$K$4+datos_base!$K$20+IF(parametros_manuales!$H$30="Todos",datos_base!$K$11+datos_base!$K$25,0))*parametros_manuales!$H$105+parametros_manuales!$G$30*(datos_base!$K$5+datos_base!$K$21+IF(parametros_manuales!$H$30="Todos",datos_base!$K$12+datos_base!$K$26,0))*parametros_manuales!$H$110)*parametros_manuales!$I$30*parametros_manuales!$J$30</f>
        <v>21748.08435419</v>
      </c>
      <c r="I256" s="9" t="n">
        <f aca="false">(parametros_manuales!$D$30*(datos_base!$K$2+datos_base!$K$18+IF(parametros_manuales!$H$30="Todos",datos_base!$K$9+datos_base!$K$23,0))*parametros_manuales!$I$95+parametros_manuales!$E$30*(datos_base!$K$3+datos_base!$K$19+IF(parametros_manuales!$H$30="Todos",datos_base!$K$10+datos_base!$K$24,0))*parametros_manuales!$I$100+parametros_manuales!$F$30*(datos_base!$K$4+datos_base!$K$20+IF(parametros_manuales!$H$30="Todos",datos_base!$K$11+datos_base!$K$25,0))*parametros_manuales!$I$105+parametros_manuales!$G$30*(datos_base!$K$5+datos_base!$K$21+IF(parametros_manuales!$H$30="Todos",datos_base!$K$12+datos_base!$K$26,0))*parametros_manuales!$I$110)*parametros_manuales!$I$30*parametros_manuales!$J$30</f>
        <v>24787.39394114</v>
      </c>
      <c r="J256" s="9" t="n">
        <f aca="false">(parametros_manuales!$D$30*(datos_base!$K$2+datos_base!$K$18+IF(parametros_manuales!$H$30="Todos",datos_base!$K$9+datos_base!$K$23,0))*parametros_manuales!$J$95+parametros_manuales!$E$30*(datos_base!$K$3+datos_base!$K$19+IF(parametros_manuales!$H$30="Todos",datos_base!$K$10+datos_base!$K$24,0))*parametros_manuales!$J$100+parametros_manuales!$F$30*(datos_base!$K$4+datos_base!$K$20+IF(parametros_manuales!$H$30="Todos",datos_base!$K$11+datos_base!$K$25,0))*parametros_manuales!$J$105+parametros_manuales!$G$30*(datos_base!$K$5+datos_base!$K$21+IF(parametros_manuales!$H$30="Todos",datos_base!$K$12+datos_base!$K$26,0))*parametros_manuales!$J$110)*parametros_manuales!$I$30*parametros_manuales!$J$30</f>
        <v>24787.39394114</v>
      </c>
      <c r="K256" s="9" t="n">
        <f aca="false">(parametros_manuales!$D$30*(datos_base!$K$2+datos_base!$K$18+IF(parametros_manuales!$H$30="Todos",datos_base!$K$9+datos_base!$K$23,0))*parametros_manuales!$K$95+parametros_manuales!$E$30*(datos_base!$K$3+datos_base!$K$19+IF(parametros_manuales!$H$30="Todos",datos_base!$K$10+datos_base!$K$24,0))*parametros_manuales!$K$100+parametros_manuales!$F$30*(datos_base!$K$4+datos_base!$K$20+IF(parametros_manuales!$H$30="Todos",datos_base!$K$11+datos_base!$K$25,0))*parametros_manuales!$K$105+parametros_manuales!$G$30*(datos_base!$K$5+datos_base!$K$21+IF(parametros_manuales!$H$30="Todos",datos_base!$K$12+datos_base!$K$26,0))*parametros_manuales!$K$110)*parametros_manuales!$I$30*parametros_manuales!$J$30</f>
        <v>25196.864967355</v>
      </c>
      <c r="L256" s="9" t="n">
        <f aca="false">(parametros_manuales!$D$30*(datos_base!$K$2+datos_base!$K$18+IF(parametros_manuales!$H$30="Todos",datos_base!$K$9+datos_base!$K$23,0))*parametros_manuales!$L$95+parametros_manuales!$E$30*(datos_base!$K$3+datos_base!$K$19+IF(parametros_manuales!$H$30="Todos",datos_base!$K$10+datos_base!$K$24,0))*parametros_manuales!$L$100+parametros_manuales!$F$30*(datos_base!$K$4+datos_base!$K$20+IF(parametros_manuales!$H$30="Todos",datos_base!$K$11+datos_base!$K$25,0))*parametros_manuales!$L$105+parametros_manuales!$G$30*(datos_base!$K$5+datos_base!$K$21+IF(parametros_manuales!$H$30="Todos",datos_base!$K$12+datos_base!$K$26,0))*parametros_manuales!$L$110)*parametros_manuales!$I$30*parametros_manuales!$J$30</f>
        <v>25606.33599357</v>
      </c>
      <c r="M256" s="9" t="n">
        <f aca="false">(parametros_manuales!$D$30*(datos_base!$K$2+datos_base!$K$18+IF(parametros_manuales!$H$30="Todos",datos_base!$K$9+datos_base!$K$23,0))*parametros_manuales!$M$95+parametros_manuales!$E$30*(datos_base!$K$3+datos_base!$K$19+IF(parametros_manuales!$H$30="Todos",datos_base!$K$10+datos_base!$K$24,0))*parametros_manuales!$M$100+parametros_manuales!$F$30*(datos_base!$K$4+datos_base!$K$20+IF(parametros_manuales!$H$30="Todos",datos_base!$K$11+datos_base!$K$25,0))*parametros_manuales!$M$105+parametros_manuales!$G$30*(datos_base!$K$5+datos_base!$K$21+IF(parametros_manuales!$H$30="Todos",datos_base!$K$12+datos_base!$K$26,0))*parametros_manuales!$M$110)*parametros_manuales!$I$30*parametros_manuales!$J$30</f>
        <v>25606.33599357</v>
      </c>
      <c r="N256" s="9" t="n">
        <f aca="false">SUM(B256:M256)</f>
        <v>284514.844373</v>
      </c>
      <c r="O256" s="9" t="n">
        <f aca="false">MAX(B256:M256)</f>
        <v>25606.33599357</v>
      </c>
      <c r="P256" s="43" t="n">
        <f aca="false">O256/(parametros_manuales!$B$7)</f>
        <v>170.7089066238</v>
      </c>
      <c r="Q256" s="8" t="str">
        <f aca="false">IF(O256=0,"-",INDEX($B$244:$M$244,MATCH(O256,B256:M256,0)))</f>
        <v>Ene</v>
      </c>
    </row>
    <row r="257" customFormat="false" ht="14.25" hidden="false" customHeight="true" outlineLevel="0" collapsed="false">
      <c r="A257" s="8" t="str">
        <f aca="false">parametros_manuales!$B$31</f>
        <v>Control de calidad — Espesor</v>
      </c>
      <c r="B257" s="9" t="n">
        <f aca="false">(parametros_manuales!$D$31*(datos_base!$K$2+datos_base!$K$18+IF(parametros_manuales!$H$31="Todos",datos_base!$K$9+datos_base!$K$23,0))*parametros_manuales!$B$95+parametros_manuales!$E$31*(datos_base!$K$3+datos_base!$K$19+IF(parametros_manuales!$H$31="Todos",datos_base!$K$10+datos_base!$K$24,0))*parametros_manuales!$B$100+parametros_manuales!$F$31*(datos_base!$K$4+datos_base!$K$20+IF(parametros_manuales!$H$31="Todos",datos_base!$K$11+datos_base!$K$25,0))*parametros_manuales!$B$105+parametros_manuales!$G$31*(datos_base!$K$5+datos_base!$K$21+IF(parametros_manuales!$H$31="Todos",datos_base!$K$12+datos_base!$K$26,0))*parametros_manuales!$B$110)*parametros_manuales!$I$31*parametros_manuales!$J$31</f>
        <v>512.1267198714</v>
      </c>
      <c r="C257" s="9" t="n">
        <f aca="false">(parametros_manuales!$D$31*(datos_base!$K$2+datos_base!$K$18+IF(parametros_manuales!$H$31="Todos",datos_base!$K$9+datos_base!$K$23,0))*parametros_manuales!$C$95+parametros_manuales!$E$31*(datos_base!$K$3+datos_base!$K$19+IF(parametros_manuales!$H$31="Todos",datos_base!$K$10+datos_base!$K$24,0))*parametros_manuales!$C$100+parametros_manuales!$F$31*(datos_base!$K$4+datos_base!$K$20+IF(parametros_manuales!$H$31="Todos",datos_base!$K$11+datos_base!$K$25,0))*parametros_manuales!$C$105+parametros_manuales!$G$31*(datos_base!$K$5+datos_base!$K$21+IF(parametros_manuales!$H$31="Todos",datos_base!$K$12+datos_base!$K$26,0))*parametros_manuales!$C$110)*parametros_manuales!$I$31*parametros_manuales!$J$31</f>
        <v>495.7478788228</v>
      </c>
      <c r="D257" s="9" t="n">
        <f aca="false">(parametros_manuales!$D$31*(datos_base!$K$2+datos_base!$K$18+IF(parametros_manuales!$H$31="Todos",datos_base!$K$9+datos_base!$K$23,0))*parametros_manuales!$D$95+parametros_manuales!$E$31*(datos_base!$K$3+datos_base!$K$19+IF(parametros_manuales!$H$31="Todos",datos_base!$K$10+datos_base!$K$24,0))*parametros_manuales!$D$100+parametros_manuales!$F$31*(datos_base!$K$4+datos_base!$K$20+IF(parametros_manuales!$H$31="Todos",datos_base!$K$11+datos_base!$K$25,0))*parametros_manuales!$D$105+parametros_manuales!$G$31*(datos_base!$K$5+datos_base!$K$21+IF(parametros_manuales!$H$31="Todos",datos_base!$K$12+datos_base!$K$26,0))*parametros_manuales!$D$110)*parametros_manuales!$I$31*parametros_manuales!$J$31</f>
        <v>463.4131715211</v>
      </c>
      <c r="E257" s="9" t="n">
        <f aca="false">(parametros_manuales!$D$31*(datos_base!$K$2+datos_base!$K$18+IF(parametros_manuales!$H$31="Todos",datos_base!$K$9+datos_base!$K$23,0))*parametros_manuales!$E$95+parametros_manuales!$E$31*(datos_base!$K$3+datos_base!$K$19+IF(parametros_manuales!$H$31="Todos",datos_base!$K$10+datos_base!$K$24,0))*parametros_manuales!$E$100+parametros_manuales!$F$31*(datos_base!$K$4+datos_base!$K$20+IF(parametros_manuales!$H$31="Todos",datos_base!$K$11+datos_base!$K$25,0))*parametros_manuales!$E$105+parametros_manuales!$G$31*(datos_base!$K$5+datos_base!$K$21+IF(parametros_manuales!$H$31="Todos",datos_base!$K$12+datos_base!$K$26,0))*parametros_manuales!$E$110)*parametros_manuales!$I$31*parametros_manuales!$J$31</f>
        <v>443.1511076081</v>
      </c>
      <c r="F257" s="9" t="n">
        <f aca="false">(parametros_manuales!$D$31*(datos_base!$K$2+datos_base!$K$18+IF(parametros_manuales!$H$31="Todos",datos_base!$K$9+datos_base!$K$23,0))*parametros_manuales!$F$95+parametros_manuales!$E$31*(datos_base!$K$3+datos_base!$K$19+IF(parametros_manuales!$H$31="Todos",datos_base!$K$10+datos_base!$K$24,0))*parametros_manuales!$F$100+parametros_manuales!$F$31*(datos_base!$K$4+datos_base!$K$20+IF(parametros_manuales!$H$31="Todos",datos_base!$K$11+datos_base!$K$25,0))*parametros_manuales!$F$105+parametros_manuales!$G$31*(datos_base!$K$5+datos_base!$K$21+IF(parametros_manuales!$H$31="Todos",datos_base!$K$12+datos_base!$K$26,0))*parametros_manuales!$F$110)*parametros_manuales!$I$31*parametros_manuales!$J$31</f>
        <v>414.6996231708</v>
      </c>
      <c r="G257" s="9" t="n">
        <f aca="false">(parametros_manuales!$D$31*(datos_base!$K$2+datos_base!$K$18+IF(parametros_manuales!$H$31="Todos",datos_base!$K$9+datos_base!$K$23,0))*parametros_manuales!$G$95+parametros_manuales!$E$31*(datos_base!$K$3+datos_base!$K$19+IF(parametros_manuales!$H$31="Todos",datos_base!$K$10+datos_base!$K$24,0))*parametros_manuales!$G$100+parametros_manuales!$F$31*(datos_base!$K$4+datos_base!$K$20+IF(parametros_manuales!$H$31="Todos",datos_base!$K$11+datos_base!$K$25,0))*parametros_manuales!$G$105+parametros_manuales!$G$31*(datos_base!$K$5+datos_base!$K$21+IF(parametros_manuales!$H$31="Todos",datos_base!$K$12+datos_base!$K$26,0))*parametros_manuales!$G$110)*parametros_manuales!$I$31*parametros_manuales!$J$31</f>
        <v>406.5102026465</v>
      </c>
      <c r="H257" s="9" t="n">
        <f aca="false">(parametros_manuales!$D$31*(datos_base!$K$2+datos_base!$K$18+IF(parametros_manuales!$H$31="Todos",datos_base!$K$9+datos_base!$K$23,0))*parametros_manuales!$H$95+parametros_manuales!$E$31*(datos_base!$K$3+datos_base!$K$19+IF(parametros_manuales!$H$31="Todos",datos_base!$K$10+datos_base!$K$24,0))*parametros_manuales!$H$100+parametros_manuales!$F$31*(datos_base!$K$4+datos_base!$K$20+IF(parametros_manuales!$H$31="Todos",datos_base!$K$11+datos_base!$K$25,0))*parametros_manuales!$H$105+parametros_manuales!$G$31*(datos_base!$K$5+datos_base!$K$21+IF(parametros_manuales!$H$31="Todos",datos_base!$K$12+datos_base!$K$26,0))*parametros_manuales!$H$110)*parametros_manuales!$I$31*parametros_manuales!$J$31</f>
        <v>434.9616870838</v>
      </c>
      <c r="I257" s="9" t="n">
        <f aca="false">(parametros_manuales!$D$31*(datos_base!$K$2+datos_base!$K$18+IF(parametros_manuales!$H$31="Todos",datos_base!$K$9+datos_base!$K$23,0))*parametros_manuales!$I$95+parametros_manuales!$E$31*(datos_base!$K$3+datos_base!$K$19+IF(parametros_manuales!$H$31="Todos",datos_base!$K$10+datos_base!$K$24,0))*parametros_manuales!$I$100+parametros_manuales!$F$31*(datos_base!$K$4+datos_base!$K$20+IF(parametros_manuales!$H$31="Todos",datos_base!$K$11+datos_base!$K$25,0))*parametros_manuales!$I$105+parametros_manuales!$G$31*(datos_base!$K$5+datos_base!$K$21+IF(parametros_manuales!$H$31="Todos",datos_base!$K$12+datos_base!$K$26,0))*parametros_manuales!$I$110)*parametros_manuales!$I$31*parametros_manuales!$J$31</f>
        <v>495.7478788228</v>
      </c>
      <c r="J257" s="9" t="n">
        <f aca="false">(parametros_manuales!$D$31*(datos_base!$K$2+datos_base!$K$18+IF(parametros_manuales!$H$31="Todos",datos_base!$K$9+datos_base!$K$23,0))*parametros_manuales!$J$95+parametros_manuales!$E$31*(datos_base!$K$3+datos_base!$K$19+IF(parametros_manuales!$H$31="Todos",datos_base!$K$10+datos_base!$K$24,0))*parametros_manuales!$J$100+parametros_manuales!$F$31*(datos_base!$K$4+datos_base!$K$20+IF(parametros_manuales!$H$31="Todos",datos_base!$K$11+datos_base!$K$25,0))*parametros_manuales!$J$105+parametros_manuales!$G$31*(datos_base!$K$5+datos_base!$K$21+IF(parametros_manuales!$H$31="Todos",datos_base!$K$12+datos_base!$K$26,0))*parametros_manuales!$J$110)*parametros_manuales!$I$31*parametros_manuales!$J$31</f>
        <v>495.7478788228</v>
      </c>
      <c r="K257" s="9" t="n">
        <f aca="false">(parametros_manuales!$D$31*(datos_base!$K$2+datos_base!$K$18+IF(parametros_manuales!$H$31="Todos",datos_base!$K$9+datos_base!$K$23,0))*parametros_manuales!$K$95+parametros_manuales!$E$31*(datos_base!$K$3+datos_base!$K$19+IF(parametros_manuales!$H$31="Todos",datos_base!$K$10+datos_base!$K$24,0))*parametros_manuales!$K$100+parametros_manuales!$F$31*(datos_base!$K$4+datos_base!$K$20+IF(parametros_manuales!$H$31="Todos",datos_base!$K$11+datos_base!$K$25,0))*parametros_manuales!$K$105+parametros_manuales!$G$31*(datos_base!$K$5+datos_base!$K$21+IF(parametros_manuales!$H$31="Todos",datos_base!$K$12+datos_base!$K$26,0))*parametros_manuales!$K$110)*parametros_manuales!$I$31*parametros_manuales!$J$31</f>
        <v>503.9372993471</v>
      </c>
      <c r="L257" s="9" t="n">
        <f aca="false">(parametros_manuales!$D$31*(datos_base!$K$2+datos_base!$K$18+IF(parametros_manuales!$H$31="Todos",datos_base!$K$9+datos_base!$K$23,0))*parametros_manuales!$L$95+parametros_manuales!$E$31*(datos_base!$K$3+datos_base!$K$19+IF(parametros_manuales!$H$31="Todos",datos_base!$K$10+datos_base!$K$24,0))*parametros_manuales!$L$100+parametros_manuales!$F$31*(datos_base!$K$4+datos_base!$K$20+IF(parametros_manuales!$H$31="Todos",datos_base!$K$11+datos_base!$K$25,0))*parametros_manuales!$L$105+parametros_manuales!$G$31*(datos_base!$K$5+datos_base!$K$21+IF(parametros_manuales!$H$31="Todos",datos_base!$K$12+datos_base!$K$26,0))*parametros_manuales!$L$110)*parametros_manuales!$I$31*parametros_manuales!$J$31</f>
        <v>512.1267198714</v>
      </c>
      <c r="M257" s="9" t="n">
        <f aca="false">(parametros_manuales!$D$31*(datos_base!$K$2+datos_base!$K$18+IF(parametros_manuales!$H$31="Todos",datos_base!$K$9+datos_base!$K$23,0))*parametros_manuales!$M$95+parametros_manuales!$E$31*(datos_base!$K$3+datos_base!$K$19+IF(parametros_manuales!$H$31="Todos",datos_base!$K$10+datos_base!$K$24,0))*parametros_manuales!$M$100+parametros_manuales!$F$31*(datos_base!$K$4+datos_base!$K$20+IF(parametros_manuales!$H$31="Todos",datos_base!$K$11+datos_base!$K$25,0))*parametros_manuales!$M$105+parametros_manuales!$G$31*(datos_base!$K$5+datos_base!$K$21+IF(parametros_manuales!$H$31="Todos",datos_base!$K$12+datos_base!$K$26,0))*parametros_manuales!$M$110)*parametros_manuales!$I$31*parametros_manuales!$J$31</f>
        <v>512.1267198714</v>
      </c>
      <c r="N257" s="9" t="n">
        <f aca="false">SUM(B257:M257)</f>
        <v>5690.29688746</v>
      </c>
      <c r="O257" s="9" t="n">
        <f aca="false">MAX(B257:M257)</f>
        <v>512.1267198714</v>
      </c>
      <c r="P257" s="43" t="n">
        <f aca="false">O257/(parametros_manuales!$B$7)</f>
        <v>3.414178132476</v>
      </c>
      <c r="Q257" s="8" t="str">
        <f aca="false">IF(O257=0,"-",INDEX($B$244:$M$244,MATCH(O257,B257:M257,0)))</f>
        <v>Ene</v>
      </c>
    </row>
    <row r="258" customFormat="false" ht="14.25" hidden="false" customHeight="true" outlineLevel="0" collapsed="false">
      <c r="A258" s="8" t="str">
        <f aca="false">parametros_manuales!$B$32</f>
        <v>Prueba hidráulica</v>
      </c>
      <c r="B258" s="9" t="n">
        <f aca="false">(parametros_manuales!$D$32*(datos_base!$K$2+datos_base!$K$18+IF(parametros_manuales!$H$32="Todos",datos_base!$K$9+datos_base!$K$23,0))*parametros_manuales!$B$95+parametros_manuales!$E$32*(datos_base!$K$3+datos_base!$K$19+IF(parametros_manuales!$H$32="Todos",datos_base!$K$10+datos_base!$K$24,0))*parametros_manuales!$B$100+parametros_manuales!$F$32*(datos_base!$K$4+datos_base!$K$20+IF(parametros_manuales!$H$32="Todos",datos_base!$K$11+datos_base!$K$25,0))*parametros_manuales!$B$105+parametros_manuales!$G$32*(datos_base!$K$5+datos_base!$K$21+IF(parametros_manuales!$H$32="Todos",datos_base!$K$12+datos_base!$K$26,0))*parametros_manuales!$B$110)*parametros_manuales!$I$32*parametros_manuales!$J$32</f>
        <v>25606.33599357</v>
      </c>
      <c r="C258" s="9" t="n">
        <f aca="false">(parametros_manuales!$D$32*(datos_base!$K$2+datos_base!$K$18+IF(parametros_manuales!$H$32="Todos",datos_base!$K$9+datos_base!$K$23,0))*parametros_manuales!$C$95+parametros_manuales!$E$32*(datos_base!$K$3+datos_base!$K$19+IF(parametros_manuales!$H$32="Todos",datos_base!$K$10+datos_base!$K$24,0))*parametros_manuales!$C$100+parametros_manuales!$F$32*(datos_base!$K$4+datos_base!$K$20+IF(parametros_manuales!$H$32="Todos",datos_base!$K$11+datos_base!$K$25,0))*parametros_manuales!$C$105+parametros_manuales!$G$32*(datos_base!$K$5+datos_base!$K$21+IF(parametros_manuales!$H$32="Todos",datos_base!$K$12+datos_base!$K$26,0))*parametros_manuales!$C$110)*parametros_manuales!$I$32*parametros_manuales!$J$32</f>
        <v>24787.39394114</v>
      </c>
      <c r="D258" s="9" t="n">
        <f aca="false">(parametros_manuales!$D$32*(datos_base!$K$2+datos_base!$K$18+IF(parametros_manuales!$H$32="Todos",datos_base!$K$9+datos_base!$K$23,0))*parametros_manuales!$D$95+parametros_manuales!$E$32*(datos_base!$K$3+datos_base!$K$19+IF(parametros_manuales!$H$32="Todos",datos_base!$K$10+datos_base!$K$24,0))*parametros_manuales!$D$100+parametros_manuales!$F$32*(datos_base!$K$4+datos_base!$K$20+IF(parametros_manuales!$H$32="Todos",datos_base!$K$11+datos_base!$K$25,0))*parametros_manuales!$D$105+parametros_manuales!$G$32*(datos_base!$K$5+datos_base!$K$21+IF(parametros_manuales!$H$32="Todos",datos_base!$K$12+datos_base!$K$26,0))*parametros_manuales!$D$110)*parametros_manuales!$I$32*parametros_manuales!$J$32</f>
        <v>23170.658576055</v>
      </c>
      <c r="E258" s="9" t="n">
        <f aca="false">(parametros_manuales!$D$32*(datos_base!$K$2+datos_base!$K$18+IF(parametros_manuales!$H$32="Todos",datos_base!$K$9+datos_base!$K$23,0))*parametros_manuales!$E$95+parametros_manuales!$E$32*(datos_base!$K$3+datos_base!$K$19+IF(parametros_manuales!$H$32="Todos",datos_base!$K$10+datos_base!$K$24,0))*parametros_manuales!$E$100+parametros_manuales!$F$32*(datos_base!$K$4+datos_base!$K$20+IF(parametros_manuales!$H$32="Todos",datos_base!$K$11+datos_base!$K$25,0))*parametros_manuales!$E$105+parametros_manuales!$G$32*(datos_base!$K$5+datos_base!$K$21+IF(parametros_manuales!$H$32="Todos",datos_base!$K$12+datos_base!$K$26,0))*parametros_manuales!$E$110)*parametros_manuales!$I$32*parametros_manuales!$J$32</f>
        <v>22157.555380405</v>
      </c>
      <c r="F258" s="9" t="n">
        <f aca="false">(parametros_manuales!$D$32*(datos_base!$K$2+datos_base!$K$18+IF(parametros_manuales!$H$32="Todos",datos_base!$K$9+datos_base!$K$23,0))*parametros_manuales!$F$95+parametros_manuales!$E$32*(datos_base!$K$3+datos_base!$K$19+IF(parametros_manuales!$H$32="Todos",datos_base!$K$10+datos_base!$K$24,0))*parametros_manuales!$F$100+parametros_manuales!$F$32*(datos_base!$K$4+datos_base!$K$20+IF(parametros_manuales!$H$32="Todos",datos_base!$K$11+datos_base!$K$25,0))*parametros_manuales!$F$105+parametros_manuales!$G$32*(datos_base!$K$5+datos_base!$K$21+IF(parametros_manuales!$H$32="Todos",datos_base!$K$12+datos_base!$K$26,0))*parametros_manuales!$F$110)*parametros_manuales!$I$32*parametros_manuales!$J$32</f>
        <v>20734.98115854</v>
      </c>
      <c r="G258" s="9" t="n">
        <f aca="false">(parametros_manuales!$D$32*(datos_base!$K$2+datos_base!$K$18+IF(parametros_manuales!$H$32="Todos",datos_base!$K$9+datos_base!$K$23,0))*parametros_manuales!$G$95+parametros_manuales!$E$32*(datos_base!$K$3+datos_base!$K$19+IF(parametros_manuales!$H$32="Todos",datos_base!$K$10+datos_base!$K$24,0))*parametros_manuales!$G$100+parametros_manuales!$F$32*(datos_base!$K$4+datos_base!$K$20+IF(parametros_manuales!$H$32="Todos",datos_base!$K$11+datos_base!$K$25,0))*parametros_manuales!$G$105+parametros_manuales!$G$32*(datos_base!$K$5+datos_base!$K$21+IF(parametros_manuales!$H$32="Todos",datos_base!$K$12+datos_base!$K$26,0))*parametros_manuales!$G$110)*parametros_manuales!$I$32*parametros_manuales!$J$32</f>
        <v>20325.510132325</v>
      </c>
      <c r="H258" s="9" t="n">
        <f aca="false">(parametros_manuales!$D$32*(datos_base!$K$2+datos_base!$K$18+IF(parametros_manuales!$H$32="Todos",datos_base!$K$9+datos_base!$K$23,0))*parametros_manuales!$H$95+parametros_manuales!$E$32*(datos_base!$K$3+datos_base!$K$19+IF(parametros_manuales!$H$32="Todos",datos_base!$K$10+datos_base!$K$24,0))*parametros_manuales!$H$100+parametros_manuales!$F$32*(datos_base!$K$4+datos_base!$K$20+IF(parametros_manuales!$H$32="Todos",datos_base!$K$11+datos_base!$K$25,0))*parametros_manuales!$H$105+parametros_manuales!$G$32*(datos_base!$K$5+datos_base!$K$21+IF(parametros_manuales!$H$32="Todos",datos_base!$K$12+datos_base!$K$26,0))*parametros_manuales!$H$110)*parametros_manuales!$I$32*parametros_manuales!$J$32</f>
        <v>21748.08435419</v>
      </c>
      <c r="I258" s="9" t="n">
        <f aca="false">(parametros_manuales!$D$32*(datos_base!$K$2+datos_base!$K$18+IF(parametros_manuales!$H$32="Todos",datos_base!$K$9+datos_base!$K$23,0))*parametros_manuales!$I$95+parametros_manuales!$E$32*(datos_base!$K$3+datos_base!$K$19+IF(parametros_manuales!$H$32="Todos",datos_base!$K$10+datos_base!$K$24,0))*parametros_manuales!$I$100+parametros_manuales!$F$32*(datos_base!$K$4+datos_base!$K$20+IF(parametros_manuales!$H$32="Todos",datos_base!$K$11+datos_base!$K$25,0))*parametros_manuales!$I$105+parametros_manuales!$G$32*(datos_base!$K$5+datos_base!$K$21+IF(parametros_manuales!$H$32="Todos",datos_base!$K$12+datos_base!$K$26,0))*parametros_manuales!$I$110)*parametros_manuales!$I$32*parametros_manuales!$J$32</f>
        <v>24787.39394114</v>
      </c>
      <c r="J258" s="9" t="n">
        <f aca="false">(parametros_manuales!$D$32*(datos_base!$K$2+datos_base!$K$18+IF(parametros_manuales!$H$32="Todos",datos_base!$K$9+datos_base!$K$23,0))*parametros_manuales!$J$95+parametros_manuales!$E$32*(datos_base!$K$3+datos_base!$K$19+IF(parametros_manuales!$H$32="Todos",datos_base!$K$10+datos_base!$K$24,0))*parametros_manuales!$J$100+parametros_manuales!$F$32*(datos_base!$K$4+datos_base!$K$20+IF(parametros_manuales!$H$32="Todos",datos_base!$K$11+datos_base!$K$25,0))*parametros_manuales!$J$105+parametros_manuales!$G$32*(datos_base!$K$5+datos_base!$K$21+IF(parametros_manuales!$H$32="Todos",datos_base!$K$12+datos_base!$K$26,0))*parametros_manuales!$J$110)*parametros_manuales!$I$32*parametros_manuales!$J$32</f>
        <v>24787.39394114</v>
      </c>
      <c r="K258" s="9" t="n">
        <f aca="false">(parametros_manuales!$D$32*(datos_base!$K$2+datos_base!$K$18+IF(parametros_manuales!$H$32="Todos",datos_base!$K$9+datos_base!$K$23,0))*parametros_manuales!$K$95+parametros_manuales!$E$32*(datos_base!$K$3+datos_base!$K$19+IF(parametros_manuales!$H$32="Todos",datos_base!$K$10+datos_base!$K$24,0))*parametros_manuales!$K$100+parametros_manuales!$F$32*(datos_base!$K$4+datos_base!$K$20+IF(parametros_manuales!$H$32="Todos",datos_base!$K$11+datos_base!$K$25,0))*parametros_manuales!$K$105+parametros_manuales!$G$32*(datos_base!$K$5+datos_base!$K$21+IF(parametros_manuales!$H$32="Todos",datos_base!$K$12+datos_base!$K$26,0))*parametros_manuales!$K$110)*parametros_manuales!$I$32*parametros_manuales!$J$32</f>
        <v>25196.864967355</v>
      </c>
      <c r="L258" s="9" t="n">
        <f aca="false">(parametros_manuales!$D$32*(datos_base!$K$2+datos_base!$K$18+IF(parametros_manuales!$H$32="Todos",datos_base!$K$9+datos_base!$K$23,0))*parametros_manuales!$L$95+parametros_manuales!$E$32*(datos_base!$K$3+datos_base!$K$19+IF(parametros_manuales!$H$32="Todos",datos_base!$K$10+datos_base!$K$24,0))*parametros_manuales!$L$100+parametros_manuales!$F$32*(datos_base!$K$4+datos_base!$K$20+IF(parametros_manuales!$H$32="Todos",datos_base!$K$11+datos_base!$K$25,0))*parametros_manuales!$L$105+parametros_manuales!$G$32*(datos_base!$K$5+datos_base!$K$21+IF(parametros_manuales!$H$32="Todos",datos_base!$K$12+datos_base!$K$26,0))*parametros_manuales!$L$110)*parametros_manuales!$I$32*parametros_manuales!$J$32</f>
        <v>25606.33599357</v>
      </c>
      <c r="M258" s="9" t="n">
        <f aca="false">(parametros_manuales!$D$32*(datos_base!$K$2+datos_base!$K$18+IF(parametros_manuales!$H$32="Todos",datos_base!$K$9+datos_base!$K$23,0))*parametros_manuales!$M$95+parametros_manuales!$E$32*(datos_base!$K$3+datos_base!$K$19+IF(parametros_manuales!$H$32="Todos",datos_base!$K$10+datos_base!$K$24,0))*parametros_manuales!$M$100+parametros_manuales!$F$32*(datos_base!$K$4+datos_base!$K$20+IF(parametros_manuales!$H$32="Todos",datos_base!$K$11+datos_base!$K$25,0))*parametros_manuales!$M$105+parametros_manuales!$G$32*(datos_base!$K$5+datos_base!$K$21+IF(parametros_manuales!$H$32="Todos",datos_base!$K$12+datos_base!$K$26,0))*parametros_manuales!$M$110)*parametros_manuales!$I$32*parametros_manuales!$J$32</f>
        <v>25606.33599357</v>
      </c>
      <c r="N258" s="9" t="n">
        <f aca="false">SUM(B258:M258)</f>
        <v>284514.844373</v>
      </c>
      <c r="O258" s="9" t="n">
        <f aca="false">MAX(B258:M258)</f>
        <v>25606.33599357</v>
      </c>
      <c r="P258" s="43" t="n">
        <f aca="false">O258/(parametros_manuales!$B$7)</f>
        <v>170.7089066238</v>
      </c>
      <c r="Q258" s="8" t="str">
        <f aca="false">IF(O258=0,"-",INDEX($B$244:$M$244,MATCH(O258,B258:M258,0)))</f>
        <v>Ene</v>
      </c>
    </row>
    <row r="259" customFormat="false" ht="14.25" hidden="false" customHeight="true" outlineLevel="0" collapsed="false">
      <c r="A259" s="8" t="str">
        <f aca="false">parametros_manuales!$B$33</f>
        <v>Secado</v>
      </c>
      <c r="B259" s="9" t="n">
        <f aca="false">(parametros_manuales!$D$33*(datos_base!$K$2+datos_base!$K$18+IF(parametros_manuales!$H$33="Todos",datos_base!$K$9+datos_base!$K$23,0))*parametros_manuales!$B$95+parametros_manuales!$E$33*(datos_base!$K$3+datos_base!$K$19+IF(parametros_manuales!$H$33="Todos",datos_base!$K$10+datos_base!$K$24,0))*parametros_manuales!$B$100+parametros_manuales!$F$33*(datos_base!$K$4+datos_base!$K$20+IF(parametros_manuales!$H$33="Todos",datos_base!$K$11+datos_base!$K$25,0))*parametros_manuales!$B$105+parametros_manuales!$G$33*(datos_base!$K$5+datos_base!$K$21+IF(parametros_manuales!$H$33="Todos",datos_base!$K$12+datos_base!$K$26,0))*parametros_manuales!$B$110)*parametros_manuales!$I$33*parametros_manuales!$J$33</f>
        <v>25606.33599357</v>
      </c>
      <c r="C259" s="9" t="n">
        <f aca="false">(parametros_manuales!$D$33*(datos_base!$K$2+datos_base!$K$18+IF(parametros_manuales!$H$33="Todos",datos_base!$K$9+datos_base!$K$23,0))*parametros_manuales!$C$95+parametros_manuales!$E$33*(datos_base!$K$3+datos_base!$K$19+IF(parametros_manuales!$H$33="Todos",datos_base!$K$10+datos_base!$K$24,0))*parametros_manuales!$C$100+parametros_manuales!$F$33*(datos_base!$K$4+datos_base!$K$20+IF(parametros_manuales!$H$33="Todos",datos_base!$K$11+datos_base!$K$25,0))*parametros_manuales!$C$105+parametros_manuales!$G$33*(datos_base!$K$5+datos_base!$K$21+IF(parametros_manuales!$H$33="Todos",datos_base!$K$12+datos_base!$K$26,0))*parametros_manuales!$C$110)*parametros_manuales!$I$33*parametros_manuales!$J$33</f>
        <v>24787.39394114</v>
      </c>
      <c r="D259" s="9" t="n">
        <f aca="false">(parametros_manuales!$D$33*(datos_base!$K$2+datos_base!$K$18+IF(parametros_manuales!$H$33="Todos",datos_base!$K$9+datos_base!$K$23,0))*parametros_manuales!$D$95+parametros_manuales!$E$33*(datos_base!$K$3+datos_base!$K$19+IF(parametros_manuales!$H$33="Todos",datos_base!$K$10+datos_base!$K$24,0))*parametros_manuales!$D$100+parametros_manuales!$F$33*(datos_base!$K$4+datos_base!$K$20+IF(parametros_manuales!$H$33="Todos",datos_base!$K$11+datos_base!$K$25,0))*parametros_manuales!$D$105+parametros_manuales!$G$33*(datos_base!$K$5+datos_base!$K$21+IF(parametros_manuales!$H$33="Todos",datos_base!$K$12+datos_base!$K$26,0))*parametros_manuales!$D$110)*parametros_manuales!$I$33*parametros_manuales!$J$33</f>
        <v>23170.658576055</v>
      </c>
      <c r="E259" s="9" t="n">
        <f aca="false">(parametros_manuales!$D$33*(datos_base!$K$2+datos_base!$K$18+IF(parametros_manuales!$H$33="Todos",datos_base!$K$9+datos_base!$K$23,0))*parametros_manuales!$E$95+parametros_manuales!$E$33*(datos_base!$K$3+datos_base!$K$19+IF(parametros_manuales!$H$33="Todos",datos_base!$K$10+datos_base!$K$24,0))*parametros_manuales!$E$100+parametros_manuales!$F$33*(datos_base!$K$4+datos_base!$K$20+IF(parametros_manuales!$H$33="Todos",datos_base!$K$11+datos_base!$K$25,0))*parametros_manuales!$E$105+parametros_manuales!$G$33*(datos_base!$K$5+datos_base!$K$21+IF(parametros_manuales!$H$33="Todos",datos_base!$K$12+datos_base!$K$26,0))*parametros_manuales!$E$110)*parametros_manuales!$I$33*parametros_manuales!$J$33</f>
        <v>22157.555380405</v>
      </c>
      <c r="F259" s="9" t="n">
        <f aca="false">(parametros_manuales!$D$33*(datos_base!$K$2+datos_base!$K$18+IF(parametros_manuales!$H$33="Todos",datos_base!$K$9+datos_base!$K$23,0))*parametros_manuales!$F$95+parametros_manuales!$E$33*(datos_base!$K$3+datos_base!$K$19+IF(parametros_manuales!$H$33="Todos",datos_base!$K$10+datos_base!$K$24,0))*parametros_manuales!$F$100+parametros_manuales!$F$33*(datos_base!$K$4+datos_base!$K$20+IF(parametros_manuales!$H$33="Todos",datos_base!$K$11+datos_base!$K$25,0))*parametros_manuales!$F$105+parametros_manuales!$G$33*(datos_base!$K$5+datos_base!$K$21+IF(parametros_manuales!$H$33="Todos",datos_base!$K$12+datos_base!$K$26,0))*parametros_manuales!$F$110)*parametros_manuales!$I$33*parametros_manuales!$J$33</f>
        <v>20734.98115854</v>
      </c>
      <c r="G259" s="9" t="n">
        <f aca="false">(parametros_manuales!$D$33*(datos_base!$K$2+datos_base!$K$18+IF(parametros_manuales!$H$33="Todos",datos_base!$K$9+datos_base!$K$23,0))*parametros_manuales!$G$95+parametros_manuales!$E$33*(datos_base!$K$3+datos_base!$K$19+IF(parametros_manuales!$H$33="Todos",datos_base!$K$10+datos_base!$K$24,0))*parametros_manuales!$G$100+parametros_manuales!$F$33*(datos_base!$K$4+datos_base!$K$20+IF(parametros_manuales!$H$33="Todos",datos_base!$K$11+datos_base!$K$25,0))*parametros_manuales!$G$105+parametros_manuales!$G$33*(datos_base!$K$5+datos_base!$K$21+IF(parametros_manuales!$H$33="Todos",datos_base!$K$12+datos_base!$K$26,0))*parametros_manuales!$G$110)*parametros_manuales!$I$33*parametros_manuales!$J$33</f>
        <v>20325.510132325</v>
      </c>
      <c r="H259" s="9" t="n">
        <f aca="false">(parametros_manuales!$D$33*(datos_base!$K$2+datos_base!$K$18+IF(parametros_manuales!$H$33="Todos",datos_base!$K$9+datos_base!$K$23,0))*parametros_manuales!$H$95+parametros_manuales!$E$33*(datos_base!$K$3+datos_base!$K$19+IF(parametros_manuales!$H$33="Todos",datos_base!$K$10+datos_base!$K$24,0))*parametros_manuales!$H$100+parametros_manuales!$F$33*(datos_base!$K$4+datos_base!$K$20+IF(parametros_manuales!$H$33="Todos",datos_base!$K$11+datos_base!$K$25,0))*parametros_manuales!$H$105+parametros_manuales!$G$33*(datos_base!$K$5+datos_base!$K$21+IF(parametros_manuales!$H$33="Todos",datos_base!$K$12+datos_base!$K$26,0))*parametros_manuales!$H$110)*parametros_manuales!$I$33*parametros_manuales!$J$33</f>
        <v>21748.08435419</v>
      </c>
      <c r="I259" s="9" t="n">
        <f aca="false">(parametros_manuales!$D$33*(datos_base!$K$2+datos_base!$K$18+IF(parametros_manuales!$H$33="Todos",datos_base!$K$9+datos_base!$K$23,0))*parametros_manuales!$I$95+parametros_manuales!$E$33*(datos_base!$K$3+datos_base!$K$19+IF(parametros_manuales!$H$33="Todos",datos_base!$K$10+datos_base!$K$24,0))*parametros_manuales!$I$100+parametros_manuales!$F$33*(datos_base!$K$4+datos_base!$K$20+IF(parametros_manuales!$H$33="Todos",datos_base!$K$11+datos_base!$K$25,0))*parametros_manuales!$I$105+parametros_manuales!$G$33*(datos_base!$K$5+datos_base!$K$21+IF(parametros_manuales!$H$33="Todos",datos_base!$K$12+datos_base!$K$26,0))*parametros_manuales!$I$110)*parametros_manuales!$I$33*parametros_manuales!$J$33</f>
        <v>24787.39394114</v>
      </c>
      <c r="J259" s="9" t="n">
        <f aca="false">(parametros_manuales!$D$33*(datos_base!$K$2+datos_base!$K$18+IF(parametros_manuales!$H$33="Todos",datos_base!$K$9+datos_base!$K$23,0))*parametros_manuales!$J$95+parametros_manuales!$E$33*(datos_base!$K$3+datos_base!$K$19+IF(parametros_manuales!$H$33="Todos",datos_base!$K$10+datos_base!$K$24,0))*parametros_manuales!$J$100+parametros_manuales!$F$33*(datos_base!$K$4+datos_base!$K$20+IF(parametros_manuales!$H$33="Todos",datos_base!$K$11+datos_base!$K$25,0))*parametros_manuales!$J$105+parametros_manuales!$G$33*(datos_base!$K$5+datos_base!$K$21+IF(parametros_manuales!$H$33="Todos",datos_base!$K$12+datos_base!$K$26,0))*parametros_manuales!$J$110)*parametros_manuales!$I$33*parametros_manuales!$J$33</f>
        <v>24787.39394114</v>
      </c>
      <c r="K259" s="9" t="n">
        <f aca="false">(parametros_manuales!$D$33*(datos_base!$K$2+datos_base!$K$18+IF(parametros_manuales!$H$33="Todos",datos_base!$K$9+datos_base!$K$23,0))*parametros_manuales!$K$95+parametros_manuales!$E$33*(datos_base!$K$3+datos_base!$K$19+IF(parametros_manuales!$H$33="Todos",datos_base!$K$10+datos_base!$K$24,0))*parametros_manuales!$K$100+parametros_manuales!$F$33*(datos_base!$K$4+datos_base!$K$20+IF(parametros_manuales!$H$33="Todos",datos_base!$K$11+datos_base!$K$25,0))*parametros_manuales!$K$105+parametros_manuales!$G$33*(datos_base!$K$5+datos_base!$K$21+IF(parametros_manuales!$H$33="Todos",datos_base!$K$12+datos_base!$K$26,0))*parametros_manuales!$K$110)*parametros_manuales!$I$33*parametros_manuales!$J$33</f>
        <v>25196.864967355</v>
      </c>
      <c r="L259" s="9" t="n">
        <f aca="false">(parametros_manuales!$D$33*(datos_base!$K$2+datos_base!$K$18+IF(parametros_manuales!$H$33="Todos",datos_base!$K$9+datos_base!$K$23,0))*parametros_manuales!$L$95+parametros_manuales!$E$33*(datos_base!$K$3+datos_base!$K$19+IF(parametros_manuales!$H$33="Todos",datos_base!$K$10+datos_base!$K$24,0))*parametros_manuales!$L$100+parametros_manuales!$F$33*(datos_base!$K$4+datos_base!$K$20+IF(parametros_manuales!$H$33="Todos",datos_base!$K$11+datos_base!$K$25,0))*parametros_manuales!$L$105+parametros_manuales!$G$33*(datos_base!$K$5+datos_base!$K$21+IF(parametros_manuales!$H$33="Todos",datos_base!$K$12+datos_base!$K$26,0))*parametros_manuales!$L$110)*parametros_manuales!$I$33*parametros_manuales!$J$33</f>
        <v>25606.33599357</v>
      </c>
      <c r="M259" s="9" t="n">
        <f aca="false">(parametros_manuales!$D$33*(datos_base!$K$2+datos_base!$K$18+IF(parametros_manuales!$H$33="Todos",datos_base!$K$9+datos_base!$K$23,0))*parametros_manuales!$M$95+parametros_manuales!$E$33*(datos_base!$K$3+datos_base!$K$19+IF(parametros_manuales!$H$33="Todos",datos_base!$K$10+datos_base!$K$24,0))*parametros_manuales!$M$100+parametros_manuales!$F$33*(datos_base!$K$4+datos_base!$K$20+IF(parametros_manuales!$H$33="Todos",datos_base!$K$11+datos_base!$K$25,0))*parametros_manuales!$M$105+parametros_manuales!$G$33*(datos_base!$K$5+datos_base!$K$21+IF(parametros_manuales!$H$33="Todos",datos_base!$K$12+datos_base!$K$26,0))*parametros_manuales!$M$110)*parametros_manuales!$I$33*parametros_manuales!$J$33</f>
        <v>25606.33599357</v>
      </c>
      <c r="N259" s="9" t="n">
        <f aca="false">SUM(B259:M259)</f>
        <v>284514.844373</v>
      </c>
      <c r="O259" s="9" t="n">
        <f aca="false">MAX(B259:M259)</f>
        <v>25606.33599357</v>
      </c>
      <c r="P259" s="43" t="n">
        <f aca="false">O259/(parametros_manuales!$B$7)</f>
        <v>170.7089066238</v>
      </c>
      <c r="Q259" s="8" t="str">
        <f aca="false">IF(O259=0,"-",INDEX($B$244:$M$244,MATCH(O259,B259:M259,0)))</f>
        <v>Ene</v>
      </c>
    </row>
    <row r="260" customFormat="false" ht="14.25" hidden="false" customHeight="true" outlineLevel="0" collapsed="false">
      <c r="A260" s="8" t="str">
        <f aca="false">parametros_manuales!$B$34</f>
        <v>Granallado</v>
      </c>
      <c r="B260" s="9" t="n">
        <f aca="false">(parametros_manuales!$D$34*(datos_base!$K$2+datos_base!$K$18+IF(parametros_manuales!$H$34="Todos",datos_base!$K$9+datos_base!$K$23,0))*parametros_manuales!$B$95+parametros_manuales!$E$34*(datos_base!$K$3+datos_base!$K$19+IF(parametros_manuales!$H$34="Todos",datos_base!$K$10+datos_base!$K$24,0))*parametros_manuales!$B$100+parametros_manuales!$F$34*(datos_base!$K$4+datos_base!$K$20+IF(parametros_manuales!$H$34="Todos",datos_base!$K$11+datos_base!$K$25,0))*parametros_manuales!$B$105+parametros_manuales!$G$34*(datos_base!$K$5+datos_base!$K$21+IF(parametros_manuales!$H$34="Todos",datos_base!$K$12+datos_base!$K$26,0))*parametros_manuales!$B$110)*parametros_manuales!$I$34*parametros_manuales!$J$34</f>
        <v>25606.33599357</v>
      </c>
      <c r="C260" s="9" t="n">
        <f aca="false">(parametros_manuales!$D$34*(datos_base!$K$2+datos_base!$K$18+IF(parametros_manuales!$H$34="Todos",datos_base!$K$9+datos_base!$K$23,0))*parametros_manuales!$C$95+parametros_manuales!$E$34*(datos_base!$K$3+datos_base!$K$19+IF(parametros_manuales!$H$34="Todos",datos_base!$K$10+datos_base!$K$24,0))*parametros_manuales!$C$100+parametros_manuales!$F$34*(datos_base!$K$4+datos_base!$K$20+IF(parametros_manuales!$H$34="Todos",datos_base!$K$11+datos_base!$K$25,0))*parametros_manuales!$C$105+parametros_manuales!$G$34*(datos_base!$K$5+datos_base!$K$21+IF(parametros_manuales!$H$34="Todos",datos_base!$K$12+datos_base!$K$26,0))*parametros_manuales!$C$110)*parametros_manuales!$I$34*parametros_manuales!$J$34</f>
        <v>24787.39394114</v>
      </c>
      <c r="D260" s="9" t="n">
        <f aca="false">(parametros_manuales!$D$34*(datos_base!$K$2+datos_base!$K$18+IF(parametros_manuales!$H$34="Todos",datos_base!$K$9+datos_base!$K$23,0))*parametros_manuales!$D$95+parametros_manuales!$E$34*(datos_base!$K$3+datos_base!$K$19+IF(parametros_manuales!$H$34="Todos",datos_base!$K$10+datos_base!$K$24,0))*parametros_manuales!$D$100+parametros_manuales!$F$34*(datos_base!$K$4+datos_base!$K$20+IF(parametros_manuales!$H$34="Todos",datos_base!$K$11+datos_base!$K$25,0))*parametros_manuales!$D$105+parametros_manuales!$G$34*(datos_base!$K$5+datos_base!$K$21+IF(parametros_manuales!$H$34="Todos",datos_base!$K$12+datos_base!$K$26,0))*parametros_manuales!$D$110)*parametros_manuales!$I$34*parametros_manuales!$J$34</f>
        <v>23170.658576055</v>
      </c>
      <c r="E260" s="9" t="n">
        <f aca="false">(parametros_manuales!$D$34*(datos_base!$K$2+datos_base!$K$18+IF(parametros_manuales!$H$34="Todos",datos_base!$K$9+datos_base!$K$23,0))*parametros_manuales!$E$95+parametros_manuales!$E$34*(datos_base!$K$3+datos_base!$K$19+IF(parametros_manuales!$H$34="Todos",datos_base!$K$10+datos_base!$K$24,0))*parametros_manuales!$E$100+parametros_manuales!$F$34*(datos_base!$K$4+datos_base!$K$20+IF(parametros_manuales!$H$34="Todos",datos_base!$K$11+datos_base!$K$25,0))*parametros_manuales!$E$105+parametros_manuales!$G$34*(datos_base!$K$5+datos_base!$K$21+IF(parametros_manuales!$H$34="Todos",datos_base!$K$12+datos_base!$K$26,0))*parametros_manuales!$E$110)*parametros_manuales!$I$34*parametros_manuales!$J$34</f>
        <v>22157.555380405</v>
      </c>
      <c r="F260" s="9" t="n">
        <f aca="false">(parametros_manuales!$D$34*(datos_base!$K$2+datos_base!$K$18+IF(parametros_manuales!$H$34="Todos",datos_base!$K$9+datos_base!$K$23,0))*parametros_manuales!$F$95+parametros_manuales!$E$34*(datos_base!$K$3+datos_base!$K$19+IF(parametros_manuales!$H$34="Todos",datos_base!$K$10+datos_base!$K$24,0))*parametros_manuales!$F$100+parametros_manuales!$F$34*(datos_base!$K$4+datos_base!$K$20+IF(parametros_manuales!$H$34="Todos",datos_base!$K$11+datos_base!$K$25,0))*parametros_manuales!$F$105+parametros_manuales!$G$34*(datos_base!$K$5+datos_base!$K$21+IF(parametros_manuales!$H$34="Todos",datos_base!$K$12+datos_base!$K$26,0))*parametros_manuales!$F$110)*parametros_manuales!$I$34*parametros_manuales!$J$34</f>
        <v>20734.98115854</v>
      </c>
      <c r="G260" s="9" t="n">
        <f aca="false">(parametros_manuales!$D$34*(datos_base!$K$2+datos_base!$K$18+IF(parametros_manuales!$H$34="Todos",datos_base!$K$9+datos_base!$K$23,0))*parametros_manuales!$G$95+parametros_manuales!$E$34*(datos_base!$K$3+datos_base!$K$19+IF(parametros_manuales!$H$34="Todos",datos_base!$K$10+datos_base!$K$24,0))*parametros_manuales!$G$100+parametros_manuales!$F$34*(datos_base!$K$4+datos_base!$K$20+IF(parametros_manuales!$H$34="Todos",datos_base!$K$11+datos_base!$K$25,0))*parametros_manuales!$G$105+parametros_manuales!$G$34*(datos_base!$K$5+datos_base!$K$21+IF(parametros_manuales!$H$34="Todos",datos_base!$K$12+datos_base!$K$26,0))*parametros_manuales!$G$110)*parametros_manuales!$I$34*parametros_manuales!$J$34</f>
        <v>20325.510132325</v>
      </c>
      <c r="H260" s="9" t="n">
        <f aca="false">(parametros_manuales!$D$34*(datos_base!$K$2+datos_base!$K$18+IF(parametros_manuales!$H$34="Todos",datos_base!$K$9+datos_base!$K$23,0))*parametros_manuales!$H$95+parametros_manuales!$E$34*(datos_base!$K$3+datos_base!$K$19+IF(parametros_manuales!$H$34="Todos",datos_base!$K$10+datos_base!$K$24,0))*parametros_manuales!$H$100+parametros_manuales!$F$34*(datos_base!$K$4+datos_base!$K$20+IF(parametros_manuales!$H$34="Todos",datos_base!$K$11+datos_base!$K$25,0))*parametros_manuales!$H$105+parametros_manuales!$G$34*(datos_base!$K$5+datos_base!$K$21+IF(parametros_manuales!$H$34="Todos",datos_base!$K$12+datos_base!$K$26,0))*parametros_manuales!$H$110)*parametros_manuales!$I$34*parametros_manuales!$J$34</f>
        <v>21748.08435419</v>
      </c>
      <c r="I260" s="9" t="n">
        <f aca="false">(parametros_manuales!$D$34*(datos_base!$K$2+datos_base!$K$18+IF(parametros_manuales!$H$34="Todos",datos_base!$K$9+datos_base!$K$23,0))*parametros_manuales!$I$95+parametros_manuales!$E$34*(datos_base!$K$3+datos_base!$K$19+IF(parametros_manuales!$H$34="Todos",datos_base!$K$10+datos_base!$K$24,0))*parametros_manuales!$I$100+parametros_manuales!$F$34*(datos_base!$K$4+datos_base!$K$20+IF(parametros_manuales!$H$34="Todos",datos_base!$K$11+datos_base!$K$25,0))*parametros_manuales!$I$105+parametros_manuales!$G$34*(datos_base!$K$5+datos_base!$K$21+IF(parametros_manuales!$H$34="Todos",datos_base!$K$12+datos_base!$K$26,0))*parametros_manuales!$I$110)*parametros_manuales!$I$34*parametros_manuales!$J$34</f>
        <v>24787.39394114</v>
      </c>
      <c r="J260" s="9" t="n">
        <f aca="false">(parametros_manuales!$D$34*(datos_base!$K$2+datos_base!$K$18+IF(parametros_manuales!$H$34="Todos",datos_base!$K$9+datos_base!$K$23,0))*parametros_manuales!$J$95+parametros_manuales!$E$34*(datos_base!$K$3+datos_base!$K$19+IF(parametros_manuales!$H$34="Todos",datos_base!$K$10+datos_base!$K$24,0))*parametros_manuales!$J$100+parametros_manuales!$F$34*(datos_base!$K$4+datos_base!$K$20+IF(parametros_manuales!$H$34="Todos",datos_base!$K$11+datos_base!$K$25,0))*parametros_manuales!$J$105+parametros_manuales!$G$34*(datos_base!$K$5+datos_base!$K$21+IF(parametros_manuales!$H$34="Todos",datos_base!$K$12+datos_base!$K$26,0))*parametros_manuales!$J$110)*parametros_manuales!$I$34*parametros_manuales!$J$34</f>
        <v>24787.39394114</v>
      </c>
      <c r="K260" s="9" t="n">
        <f aca="false">(parametros_manuales!$D$34*(datos_base!$K$2+datos_base!$K$18+IF(parametros_manuales!$H$34="Todos",datos_base!$K$9+datos_base!$K$23,0))*parametros_manuales!$K$95+parametros_manuales!$E$34*(datos_base!$K$3+datos_base!$K$19+IF(parametros_manuales!$H$34="Todos",datos_base!$K$10+datos_base!$K$24,0))*parametros_manuales!$K$100+parametros_manuales!$F$34*(datos_base!$K$4+datos_base!$K$20+IF(parametros_manuales!$H$34="Todos",datos_base!$K$11+datos_base!$K$25,0))*parametros_manuales!$K$105+parametros_manuales!$G$34*(datos_base!$K$5+datos_base!$K$21+IF(parametros_manuales!$H$34="Todos",datos_base!$K$12+datos_base!$K$26,0))*parametros_manuales!$K$110)*parametros_manuales!$I$34*parametros_manuales!$J$34</f>
        <v>25196.864967355</v>
      </c>
      <c r="L260" s="9" t="n">
        <f aca="false">(parametros_manuales!$D$34*(datos_base!$K$2+datos_base!$K$18+IF(parametros_manuales!$H$34="Todos",datos_base!$K$9+datos_base!$K$23,0))*parametros_manuales!$L$95+parametros_manuales!$E$34*(datos_base!$K$3+datos_base!$K$19+IF(parametros_manuales!$H$34="Todos",datos_base!$K$10+datos_base!$K$24,0))*parametros_manuales!$L$100+parametros_manuales!$F$34*(datos_base!$K$4+datos_base!$K$20+IF(parametros_manuales!$H$34="Todos",datos_base!$K$11+datos_base!$K$25,0))*parametros_manuales!$L$105+parametros_manuales!$G$34*(datos_base!$K$5+datos_base!$K$21+IF(parametros_manuales!$H$34="Todos",datos_base!$K$12+datos_base!$K$26,0))*parametros_manuales!$L$110)*parametros_manuales!$I$34*parametros_manuales!$J$34</f>
        <v>25606.33599357</v>
      </c>
      <c r="M260" s="9" t="n">
        <f aca="false">(parametros_manuales!$D$34*(datos_base!$K$2+datos_base!$K$18+IF(parametros_manuales!$H$34="Todos",datos_base!$K$9+datos_base!$K$23,0))*parametros_manuales!$M$95+parametros_manuales!$E$34*(datos_base!$K$3+datos_base!$K$19+IF(parametros_manuales!$H$34="Todos",datos_base!$K$10+datos_base!$K$24,0))*parametros_manuales!$M$100+parametros_manuales!$F$34*(datos_base!$K$4+datos_base!$K$20+IF(parametros_manuales!$H$34="Todos",datos_base!$K$11+datos_base!$K$25,0))*parametros_manuales!$M$105+parametros_manuales!$G$34*(datos_base!$K$5+datos_base!$K$21+IF(parametros_manuales!$H$34="Todos",datos_base!$K$12+datos_base!$K$26,0))*parametros_manuales!$M$110)*parametros_manuales!$I$34*parametros_manuales!$J$34</f>
        <v>25606.33599357</v>
      </c>
      <c r="N260" s="9" t="n">
        <f aca="false">SUM(B260:M260)</f>
        <v>284514.844373</v>
      </c>
      <c r="O260" s="9" t="n">
        <f aca="false">MAX(B260:M260)</f>
        <v>25606.33599357</v>
      </c>
      <c r="P260" s="43" t="n">
        <f aca="false">O260/(parametros_manuales!$B$7)</f>
        <v>170.7089066238</v>
      </c>
      <c r="Q260" s="8" t="str">
        <f aca="false">IF(O260=0,"-",INDEX($B$244:$M$244,MATCH(O260,B260:M260,0)))</f>
        <v>Ene</v>
      </c>
    </row>
    <row r="261" customFormat="false" ht="14.25" hidden="false" customHeight="true" outlineLevel="0" collapsed="false">
      <c r="A261" s="8" t="str">
        <f aca="false">parametros_manuales!$B$35</f>
        <v>Detección de defectos</v>
      </c>
      <c r="B261" s="9" t="n">
        <f aca="false">(parametros_manuales!$D$35*(datos_base!$K$2+datos_base!$K$18+IF(parametros_manuales!$H$35="Todos",datos_base!$K$9+datos_base!$K$23,0))*parametros_manuales!$B$95+parametros_manuales!$E$35*(datos_base!$K$3+datos_base!$K$19+IF(parametros_manuales!$H$35="Todos",datos_base!$K$10+datos_base!$K$24,0))*parametros_manuales!$B$100+parametros_manuales!$F$35*(datos_base!$K$4+datos_base!$K$20+IF(parametros_manuales!$H$35="Todos",datos_base!$K$11+datos_base!$K$25,0))*parametros_manuales!$B$105+parametros_manuales!$G$35*(datos_base!$K$5+datos_base!$K$21+IF(parametros_manuales!$H$35="Todos",datos_base!$K$12+datos_base!$K$26,0))*parametros_manuales!$B$110)*parametros_manuales!$I$35*parametros_manuales!$J$35</f>
        <v>25606.33599357</v>
      </c>
      <c r="C261" s="9" t="n">
        <f aca="false">(parametros_manuales!$D$35*(datos_base!$K$2+datos_base!$K$18+IF(parametros_manuales!$H$35="Todos",datos_base!$K$9+datos_base!$K$23,0))*parametros_manuales!$C$95+parametros_manuales!$E$35*(datos_base!$K$3+datos_base!$K$19+IF(parametros_manuales!$H$35="Todos",datos_base!$K$10+datos_base!$K$24,0))*parametros_manuales!$C$100+parametros_manuales!$F$35*(datos_base!$K$4+datos_base!$K$20+IF(parametros_manuales!$H$35="Todos",datos_base!$K$11+datos_base!$K$25,0))*parametros_manuales!$C$105+parametros_manuales!$G$35*(datos_base!$K$5+datos_base!$K$21+IF(parametros_manuales!$H$35="Todos",datos_base!$K$12+datos_base!$K$26,0))*parametros_manuales!$C$110)*parametros_manuales!$I$35*parametros_manuales!$J$35</f>
        <v>24787.39394114</v>
      </c>
      <c r="D261" s="9" t="n">
        <f aca="false">(parametros_manuales!$D$35*(datos_base!$K$2+datos_base!$K$18+IF(parametros_manuales!$H$35="Todos",datos_base!$K$9+datos_base!$K$23,0))*parametros_manuales!$D$95+parametros_manuales!$E$35*(datos_base!$K$3+datos_base!$K$19+IF(parametros_manuales!$H$35="Todos",datos_base!$K$10+datos_base!$K$24,0))*parametros_manuales!$D$100+parametros_manuales!$F$35*(datos_base!$K$4+datos_base!$K$20+IF(parametros_manuales!$H$35="Todos",datos_base!$K$11+datos_base!$K$25,0))*parametros_manuales!$D$105+parametros_manuales!$G$35*(datos_base!$K$5+datos_base!$K$21+IF(parametros_manuales!$H$35="Todos",datos_base!$K$12+datos_base!$K$26,0))*parametros_manuales!$D$110)*parametros_manuales!$I$35*parametros_manuales!$J$35</f>
        <v>23170.658576055</v>
      </c>
      <c r="E261" s="9" t="n">
        <f aca="false">(parametros_manuales!$D$35*(datos_base!$K$2+datos_base!$K$18+IF(parametros_manuales!$H$35="Todos",datos_base!$K$9+datos_base!$K$23,0))*parametros_manuales!$E$95+parametros_manuales!$E$35*(datos_base!$K$3+datos_base!$K$19+IF(parametros_manuales!$H$35="Todos",datos_base!$K$10+datos_base!$K$24,0))*parametros_manuales!$E$100+parametros_manuales!$F$35*(datos_base!$K$4+datos_base!$K$20+IF(parametros_manuales!$H$35="Todos",datos_base!$K$11+datos_base!$K$25,0))*parametros_manuales!$E$105+parametros_manuales!$G$35*(datos_base!$K$5+datos_base!$K$21+IF(parametros_manuales!$H$35="Todos",datos_base!$K$12+datos_base!$K$26,0))*parametros_manuales!$E$110)*parametros_manuales!$I$35*parametros_manuales!$J$35</f>
        <v>22157.555380405</v>
      </c>
      <c r="F261" s="9" t="n">
        <f aca="false">(parametros_manuales!$D$35*(datos_base!$K$2+datos_base!$K$18+IF(parametros_manuales!$H$35="Todos",datos_base!$K$9+datos_base!$K$23,0))*parametros_manuales!$F$95+parametros_manuales!$E$35*(datos_base!$K$3+datos_base!$K$19+IF(parametros_manuales!$H$35="Todos",datos_base!$K$10+datos_base!$K$24,0))*parametros_manuales!$F$100+parametros_manuales!$F$35*(datos_base!$K$4+datos_base!$K$20+IF(parametros_manuales!$H$35="Todos",datos_base!$K$11+datos_base!$K$25,0))*parametros_manuales!$F$105+parametros_manuales!$G$35*(datos_base!$K$5+datos_base!$K$21+IF(parametros_manuales!$H$35="Todos",datos_base!$K$12+datos_base!$K$26,0))*parametros_manuales!$F$110)*parametros_manuales!$I$35*parametros_manuales!$J$35</f>
        <v>20734.98115854</v>
      </c>
      <c r="G261" s="9" t="n">
        <f aca="false">(parametros_manuales!$D$35*(datos_base!$K$2+datos_base!$K$18+IF(parametros_manuales!$H$35="Todos",datos_base!$K$9+datos_base!$K$23,0))*parametros_manuales!$G$95+parametros_manuales!$E$35*(datos_base!$K$3+datos_base!$K$19+IF(parametros_manuales!$H$35="Todos",datos_base!$K$10+datos_base!$K$24,0))*parametros_manuales!$G$100+parametros_manuales!$F$35*(datos_base!$K$4+datos_base!$K$20+IF(parametros_manuales!$H$35="Todos",datos_base!$K$11+datos_base!$K$25,0))*parametros_manuales!$G$105+parametros_manuales!$G$35*(datos_base!$K$5+datos_base!$K$21+IF(parametros_manuales!$H$35="Todos",datos_base!$K$12+datos_base!$K$26,0))*parametros_manuales!$G$110)*parametros_manuales!$I$35*parametros_manuales!$J$35</f>
        <v>20325.510132325</v>
      </c>
      <c r="H261" s="9" t="n">
        <f aca="false">(parametros_manuales!$D$35*(datos_base!$K$2+datos_base!$K$18+IF(parametros_manuales!$H$35="Todos",datos_base!$K$9+datos_base!$K$23,0))*parametros_manuales!$H$95+parametros_manuales!$E$35*(datos_base!$K$3+datos_base!$K$19+IF(parametros_manuales!$H$35="Todos",datos_base!$K$10+datos_base!$K$24,0))*parametros_manuales!$H$100+parametros_manuales!$F$35*(datos_base!$K$4+datos_base!$K$20+IF(parametros_manuales!$H$35="Todos",datos_base!$K$11+datos_base!$K$25,0))*parametros_manuales!$H$105+parametros_manuales!$G$35*(datos_base!$K$5+datos_base!$K$21+IF(parametros_manuales!$H$35="Todos",datos_base!$K$12+datos_base!$K$26,0))*parametros_manuales!$H$110)*parametros_manuales!$I$35*parametros_manuales!$J$35</f>
        <v>21748.08435419</v>
      </c>
      <c r="I261" s="9" t="n">
        <f aca="false">(parametros_manuales!$D$35*(datos_base!$K$2+datos_base!$K$18+IF(parametros_manuales!$H$35="Todos",datos_base!$K$9+datos_base!$K$23,0))*parametros_manuales!$I$95+parametros_manuales!$E$35*(datos_base!$K$3+datos_base!$K$19+IF(parametros_manuales!$H$35="Todos",datos_base!$K$10+datos_base!$K$24,0))*parametros_manuales!$I$100+parametros_manuales!$F$35*(datos_base!$K$4+datos_base!$K$20+IF(parametros_manuales!$H$35="Todos",datos_base!$K$11+datos_base!$K$25,0))*parametros_manuales!$I$105+parametros_manuales!$G$35*(datos_base!$K$5+datos_base!$K$21+IF(parametros_manuales!$H$35="Todos",datos_base!$K$12+datos_base!$K$26,0))*parametros_manuales!$I$110)*parametros_manuales!$I$35*parametros_manuales!$J$35</f>
        <v>24787.39394114</v>
      </c>
      <c r="J261" s="9" t="n">
        <f aca="false">(parametros_manuales!$D$35*(datos_base!$K$2+datos_base!$K$18+IF(parametros_manuales!$H$35="Todos",datos_base!$K$9+datos_base!$K$23,0))*parametros_manuales!$J$95+parametros_manuales!$E$35*(datos_base!$K$3+datos_base!$K$19+IF(parametros_manuales!$H$35="Todos",datos_base!$K$10+datos_base!$K$24,0))*parametros_manuales!$J$100+parametros_manuales!$F$35*(datos_base!$K$4+datos_base!$K$20+IF(parametros_manuales!$H$35="Todos",datos_base!$K$11+datos_base!$K$25,0))*parametros_manuales!$J$105+parametros_manuales!$G$35*(datos_base!$K$5+datos_base!$K$21+IF(parametros_manuales!$H$35="Todos",datos_base!$K$12+datos_base!$K$26,0))*parametros_manuales!$J$110)*parametros_manuales!$I$35*parametros_manuales!$J$35</f>
        <v>24787.39394114</v>
      </c>
      <c r="K261" s="9" t="n">
        <f aca="false">(parametros_manuales!$D$35*(datos_base!$K$2+datos_base!$K$18+IF(parametros_manuales!$H$35="Todos",datos_base!$K$9+datos_base!$K$23,0))*parametros_manuales!$K$95+parametros_manuales!$E$35*(datos_base!$K$3+datos_base!$K$19+IF(parametros_manuales!$H$35="Todos",datos_base!$K$10+datos_base!$K$24,0))*parametros_manuales!$K$100+parametros_manuales!$F$35*(datos_base!$K$4+datos_base!$K$20+IF(parametros_manuales!$H$35="Todos",datos_base!$K$11+datos_base!$K$25,0))*parametros_manuales!$K$105+parametros_manuales!$G$35*(datos_base!$K$5+datos_base!$K$21+IF(parametros_manuales!$H$35="Todos",datos_base!$K$12+datos_base!$K$26,0))*parametros_manuales!$K$110)*parametros_manuales!$I$35*parametros_manuales!$J$35</f>
        <v>25196.864967355</v>
      </c>
      <c r="L261" s="9" t="n">
        <f aca="false">(parametros_manuales!$D$35*(datos_base!$K$2+datos_base!$K$18+IF(parametros_manuales!$H$35="Todos",datos_base!$K$9+datos_base!$K$23,0))*parametros_manuales!$L$95+parametros_manuales!$E$35*(datos_base!$K$3+datos_base!$K$19+IF(parametros_manuales!$H$35="Todos",datos_base!$K$10+datos_base!$K$24,0))*parametros_manuales!$L$100+parametros_manuales!$F$35*(datos_base!$K$4+datos_base!$K$20+IF(parametros_manuales!$H$35="Todos",datos_base!$K$11+datos_base!$K$25,0))*parametros_manuales!$L$105+parametros_manuales!$G$35*(datos_base!$K$5+datos_base!$K$21+IF(parametros_manuales!$H$35="Todos",datos_base!$K$12+datos_base!$K$26,0))*parametros_manuales!$L$110)*parametros_manuales!$I$35*parametros_manuales!$J$35</f>
        <v>25606.33599357</v>
      </c>
      <c r="M261" s="9" t="n">
        <f aca="false">(parametros_manuales!$D$35*(datos_base!$K$2+datos_base!$K$18+IF(parametros_manuales!$H$35="Todos",datos_base!$K$9+datos_base!$K$23,0))*parametros_manuales!$M$95+parametros_manuales!$E$35*(datos_base!$K$3+datos_base!$K$19+IF(parametros_manuales!$H$35="Todos",datos_base!$K$10+datos_base!$K$24,0))*parametros_manuales!$M$100+parametros_manuales!$F$35*(datos_base!$K$4+datos_base!$K$20+IF(parametros_manuales!$H$35="Todos",datos_base!$K$11+datos_base!$K$25,0))*parametros_manuales!$M$105+parametros_manuales!$G$35*(datos_base!$K$5+datos_base!$K$21+IF(parametros_manuales!$H$35="Todos",datos_base!$K$12+datos_base!$K$26,0))*parametros_manuales!$M$110)*parametros_manuales!$I$35*parametros_manuales!$J$35</f>
        <v>25606.33599357</v>
      </c>
      <c r="N261" s="9" t="n">
        <f aca="false">SUM(B261:M261)</f>
        <v>284514.844373</v>
      </c>
      <c r="O261" s="9" t="n">
        <f aca="false">MAX(B261:M261)</f>
        <v>25606.33599357</v>
      </c>
      <c r="P261" s="43" t="n">
        <f aca="false">O261/(parametros_manuales!$B$7)</f>
        <v>170.7089066238</v>
      </c>
      <c r="Q261" s="8" t="str">
        <f aca="false">IF(O261=0,"-",INDEX($B$244:$M$244,MATCH(O261,B261:M261,0)))</f>
        <v>Ene</v>
      </c>
    </row>
    <row r="262" customFormat="false" ht="14.25" hidden="false" customHeight="true" outlineLevel="0" collapsed="false">
      <c r="A262" s="8" t="str">
        <f aca="false">parametros_manuales!$B$36</f>
        <v>Corrección de defectos</v>
      </c>
      <c r="B262" s="9" t="n">
        <f aca="false">(parametros_manuales!$D$36*(datos_base!$K$2+datos_base!$K$18+IF(parametros_manuales!$H$36="Todos",datos_base!$K$9+datos_base!$K$23,0))*parametros_manuales!$B$95+parametros_manuales!$E$36*(datos_base!$K$3+datos_base!$K$19+IF(parametros_manuales!$H$36="Todos",datos_base!$K$10+datos_base!$K$24,0))*parametros_manuales!$B$100+parametros_manuales!$F$36*(datos_base!$K$4+datos_base!$K$20+IF(parametros_manuales!$H$36="Todos",datos_base!$K$11+datos_base!$K$25,0))*parametros_manuales!$B$105+parametros_manuales!$G$36*(datos_base!$K$5+datos_base!$K$21+IF(parametros_manuales!$H$36="Todos",datos_base!$K$12+datos_base!$K$26,0))*parametros_manuales!$B$110)*parametros_manuales!$I$36*parametros_manuales!$J$36</f>
        <v>1280.3167996785</v>
      </c>
      <c r="C262" s="9" t="n">
        <f aca="false">(parametros_manuales!$D$36*(datos_base!$K$2+datos_base!$K$18+IF(parametros_manuales!$H$36="Todos",datos_base!$K$9+datos_base!$K$23,0))*parametros_manuales!$C$95+parametros_manuales!$E$36*(datos_base!$K$3+datos_base!$K$19+IF(parametros_manuales!$H$36="Todos",datos_base!$K$10+datos_base!$K$24,0))*parametros_manuales!$C$100+parametros_manuales!$F$36*(datos_base!$K$4+datos_base!$K$20+IF(parametros_manuales!$H$36="Todos",datos_base!$K$11+datos_base!$K$25,0))*parametros_manuales!$C$105+parametros_manuales!$G$36*(datos_base!$K$5+datos_base!$K$21+IF(parametros_manuales!$H$36="Todos",datos_base!$K$12+datos_base!$K$26,0))*parametros_manuales!$C$110)*parametros_manuales!$I$36*parametros_manuales!$J$36</f>
        <v>1239.369697057</v>
      </c>
      <c r="D262" s="9" t="n">
        <f aca="false">(parametros_manuales!$D$36*(datos_base!$K$2+datos_base!$K$18+IF(parametros_manuales!$H$36="Todos",datos_base!$K$9+datos_base!$K$23,0))*parametros_manuales!$D$95+parametros_manuales!$E$36*(datos_base!$K$3+datos_base!$K$19+IF(parametros_manuales!$H$36="Todos",datos_base!$K$10+datos_base!$K$24,0))*parametros_manuales!$D$100+parametros_manuales!$F$36*(datos_base!$K$4+datos_base!$K$20+IF(parametros_manuales!$H$36="Todos",datos_base!$K$11+datos_base!$K$25,0))*parametros_manuales!$D$105+parametros_manuales!$G$36*(datos_base!$K$5+datos_base!$K$21+IF(parametros_manuales!$H$36="Todos",datos_base!$K$12+datos_base!$K$26,0))*parametros_manuales!$D$110)*parametros_manuales!$I$36*parametros_manuales!$J$36</f>
        <v>1158.53292880275</v>
      </c>
      <c r="E262" s="9" t="n">
        <f aca="false">(parametros_manuales!$D$36*(datos_base!$K$2+datos_base!$K$18+IF(parametros_manuales!$H$36="Todos",datos_base!$K$9+datos_base!$K$23,0))*parametros_manuales!$E$95+parametros_manuales!$E$36*(datos_base!$K$3+datos_base!$K$19+IF(parametros_manuales!$H$36="Todos",datos_base!$K$10+datos_base!$K$24,0))*parametros_manuales!$E$100+parametros_manuales!$F$36*(datos_base!$K$4+datos_base!$K$20+IF(parametros_manuales!$H$36="Todos",datos_base!$K$11+datos_base!$K$25,0))*parametros_manuales!$E$105+parametros_manuales!$G$36*(datos_base!$K$5+datos_base!$K$21+IF(parametros_manuales!$H$36="Todos",datos_base!$K$12+datos_base!$K$26,0))*parametros_manuales!$E$110)*parametros_manuales!$I$36*parametros_manuales!$J$36</f>
        <v>1107.87776902025</v>
      </c>
      <c r="F262" s="9" t="n">
        <f aca="false">(parametros_manuales!$D$36*(datos_base!$K$2+datos_base!$K$18+IF(parametros_manuales!$H$36="Todos",datos_base!$K$9+datos_base!$K$23,0))*parametros_manuales!$F$95+parametros_manuales!$E$36*(datos_base!$K$3+datos_base!$K$19+IF(parametros_manuales!$H$36="Todos",datos_base!$K$10+datos_base!$K$24,0))*parametros_manuales!$F$100+parametros_manuales!$F$36*(datos_base!$K$4+datos_base!$K$20+IF(parametros_manuales!$H$36="Todos",datos_base!$K$11+datos_base!$K$25,0))*parametros_manuales!$F$105+parametros_manuales!$G$36*(datos_base!$K$5+datos_base!$K$21+IF(parametros_manuales!$H$36="Todos",datos_base!$K$12+datos_base!$K$26,0))*parametros_manuales!$F$110)*parametros_manuales!$I$36*parametros_manuales!$J$36</f>
        <v>1036.749057927</v>
      </c>
      <c r="G262" s="9" t="n">
        <f aca="false">(parametros_manuales!$D$36*(datos_base!$K$2+datos_base!$K$18+IF(parametros_manuales!$H$36="Todos",datos_base!$K$9+datos_base!$K$23,0))*parametros_manuales!$G$95+parametros_manuales!$E$36*(datos_base!$K$3+datos_base!$K$19+IF(parametros_manuales!$H$36="Todos",datos_base!$K$10+datos_base!$K$24,0))*parametros_manuales!$G$100+parametros_manuales!$F$36*(datos_base!$K$4+datos_base!$K$20+IF(parametros_manuales!$H$36="Todos",datos_base!$K$11+datos_base!$K$25,0))*parametros_manuales!$G$105+parametros_manuales!$G$36*(datos_base!$K$5+datos_base!$K$21+IF(parametros_manuales!$H$36="Todos",datos_base!$K$12+datos_base!$K$26,0))*parametros_manuales!$G$110)*parametros_manuales!$I$36*parametros_manuales!$J$36</f>
        <v>1016.27550661625</v>
      </c>
      <c r="H262" s="9" t="n">
        <f aca="false">(parametros_manuales!$D$36*(datos_base!$K$2+datos_base!$K$18+IF(parametros_manuales!$H$36="Todos",datos_base!$K$9+datos_base!$K$23,0))*parametros_manuales!$H$95+parametros_manuales!$E$36*(datos_base!$K$3+datos_base!$K$19+IF(parametros_manuales!$H$36="Todos",datos_base!$K$10+datos_base!$K$24,0))*parametros_manuales!$H$100+parametros_manuales!$F$36*(datos_base!$K$4+datos_base!$K$20+IF(parametros_manuales!$H$36="Todos",datos_base!$K$11+datos_base!$K$25,0))*parametros_manuales!$H$105+parametros_manuales!$G$36*(datos_base!$K$5+datos_base!$K$21+IF(parametros_manuales!$H$36="Todos",datos_base!$K$12+datos_base!$K$26,0))*parametros_manuales!$H$110)*parametros_manuales!$I$36*parametros_manuales!$J$36</f>
        <v>1087.4042177095</v>
      </c>
      <c r="I262" s="9" t="n">
        <f aca="false">(parametros_manuales!$D$36*(datos_base!$K$2+datos_base!$K$18+IF(parametros_manuales!$H$36="Todos",datos_base!$K$9+datos_base!$K$23,0))*parametros_manuales!$I$95+parametros_manuales!$E$36*(datos_base!$K$3+datos_base!$K$19+IF(parametros_manuales!$H$36="Todos",datos_base!$K$10+datos_base!$K$24,0))*parametros_manuales!$I$100+parametros_manuales!$F$36*(datos_base!$K$4+datos_base!$K$20+IF(parametros_manuales!$H$36="Todos",datos_base!$K$11+datos_base!$K$25,0))*parametros_manuales!$I$105+parametros_manuales!$G$36*(datos_base!$K$5+datos_base!$K$21+IF(parametros_manuales!$H$36="Todos",datos_base!$K$12+datos_base!$K$26,0))*parametros_manuales!$I$110)*parametros_manuales!$I$36*parametros_manuales!$J$36</f>
        <v>1239.369697057</v>
      </c>
      <c r="J262" s="9" t="n">
        <f aca="false">(parametros_manuales!$D$36*(datos_base!$K$2+datos_base!$K$18+IF(parametros_manuales!$H$36="Todos",datos_base!$K$9+datos_base!$K$23,0))*parametros_manuales!$J$95+parametros_manuales!$E$36*(datos_base!$K$3+datos_base!$K$19+IF(parametros_manuales!$H$36="Todos",datos_base!$K$10+datos_base!$K$24,0))*parametros_manuales!$J$100+parametros_manuales!$F$36*(datos_base!$K$4+datos_base!$K$20+IF(parametros_manuales!$H$36="Todos",datos_base!$K$11+datos_base!$K$25,0))*parametros_manuales!$J$105+parametros_manuales!$G$36*(datos_base!$K$5+datos_base!$K$21+IF(parametros_manuales!$H$36="Todos",datos_base!$K$12+datos_base!$K$26,0))*parametros_manuales!$J$110)*parametros_manuales!$I$36*parametros_manuales!$J$36</f>
        <v>1239.369697057</v>
      </c>
      <c r="K262" s="9" t="n">
        <f aca="false">(parametros_manuales!$D$36*(datos_base!$K$2+datos_base!$K$18+IF(parametros_manuales!$H$36="Todos",datos_base!$K$9+datos_base!$K$23,0))*parametros_manuales!$K$95+parametros_manuales!$E$36*(datos_base!$K$3+datos_base!$K$19+IF(parametros_manuales!$H$36="Todos",datos_base!$K$10+datos_base!$K$24,0))*parametros_manuales!$K$100+parametros_manuales!$F$36*(datos_base!$K$4+datos_base!$K$20+IF(parametros_manuales!$H$36="Todos",datos_base!$K$11+datos_base!$K$25,0))*parametros_manuales!$K$105+parametros_manuales!$G$36*(datos_base!$K$5+datos_base!$K$21+IF(parametros_manuales!$H$36="Todos",datos_base!$K$12+datos_base!$K$26,0))*parametros_manuales!$K$110)*parametros_manuales!$I$36*parametros_manuales!$J$36</f>
        <v>1259.84324836775</v>
      </c>
      <c r="L262" s="9" t="n">
        <f aca="false">(parametros_manuales!$D$36*(datos_base!$K$2+datos_base!$K$18+IF(parametros_manuales!$H$36="Todos",datos_base!$K$9+datos_base!$K$23,0))*parametros_manuales!$L$95+parametros_manuales!$E$36*(datos_base!$K$3+datos_base!$K$19+IF(parametros_manuales!$H$36="Todos",datos_base!$K$10+datos_base!$K$24,0))*parametros_manuales!$L$100+parametros_manuales!$F$36*(datos_base!$K$4+datos_base!$K$20+IF(parametros_manuales!$H$36="Todos",datos_base!$K$11+datos_base!$K$25,0))*parametros_manuales!$L$105+parametros_manuales!$G$36*(datos_base!$K$5+datos_base!$K$21+IF(parametros_manuales!$H$36="Todos",datos_base!$K$12+datos_base!$K$26,0))*parametros_manuales!$L$110)*parametros_manuales!$I$36*parametros_manuales!$J$36</f>
        <v>1280.3167996785</v>
      </c>
      <c r="M262" s="9" t="n">
        <f aca="false">(parametros_manuales!$D$36*(datos_base!$K$2+datos_base!$K$18+IF(parametros_manuales!$H$36="Todos",datos_base!$K$9+datos_base!$K$23,0))*parametros_manuales!$M$95+parametros_manuales!$E$36*(datos_base!$K$3+datos_base!$K$19+IF(parametros_manuales!$H$36="Todos",datos_base!$K$10+datos_base!$K$24,0))*parametros_manuales!$M$100+parametros_manuales!$F$36*(datos_base!$K$4+datos_base!$K$20+IF(parametros_manuales!$H$36="Todos",datos_base!$K$11+datos_base!$K$25,0))*parametros_manuales!$M$105+parametros_manuales!$G$36*(datos_base!$K$5+datos_base!$K$21+IF(parametros_manuales!$H$36="Todos",datos_base!$K$12+datos_base!$K$26,0))*parametros_manuales!$M$110)*parametros_manuales!$I$36*parametros_manuales!$J$36</f>
        <v>1280.3167996785</v>
      </c>
      <c r="N262" s="9" t="n">
        <f aca="false">SUM(B262:M262)</f>
        <v>14225.74221865</v>
      </c>
      <c r="O262" s="9" t="n">
        <f aca="false">MAX(B262:M262)</f>
        <v>1280.3167996785</v>
      </c>
      <c r="P262" s="43" t="n">
        <f aca="false">O262/(parametros_manuales!$B$7)</f>
        <v>8.53544533119</v>
      </c>
      <c r="Q262" s="8" t="str">
        <f aca="false">IF(O262=0,"-",INDEX($B$244:$M$244,MATCH(O262,B262:M262,0)))</f>
        <v>Ene</v>
      </c>
    </row>
    <row r="263" customFormat="false" ht="14.25" hidden="false" customHeight="true" outlineLevel="0" collapsed="false">
      <c r="A263" s="8" t="str">
        <f aca="false">parametros_manuales!$B$37</f>
        <v>Pintura en polvo + horno</v>
      </c>
      <c r="B263" s="9" t="n">
        <f aca="false">(parametros_manuales!$D$37*(datos_base!$K$2+datos_base!$K$18+IF(parametros_manuales!$H$37="Todos",datos_base!$K$9+datos_base!$K$23,0))*parametros_manuales!$B$95+parametros_manuales!$E$37*(datos_base!$K$3+datos_base!$K$19+IF(parametros_manuales!$H$37="Todos",datos_base!$K$10+datos_base!$K$24,0))*parametros_manuales!$B$100+parametros_manuales!$F$37*(datos_base!$K$4+datos_base!$K$20+IF(parametros_manuales!$H$37="Todos",datos_base!$K$11+datos_base!$K$25,0))*parametros_manuales!$B$105+parametros_manuales!$G$37*(datos_base!$K$5+datos_base!$K$21+IF(parametros_manuales!$H$37="Todos",datos_base!$K$12+datos_base!$K$26,0))*parametros_manuales!$B$110)*parametros_manuales!$I$37*parametros_manuales!$J$37</f>
        <v>25606.33599357</v>
      </c>
      <c r="C263" s="9" t="n">
        <f aca="false">(parametros_manuales!$D$37*(datos_base!$K$2+datos_base!$K$18+IF(parametros_manuales!$H$37="Todos",datos_base!$K$9+datos_base!$K$23,0))*parametros_manuales!$C$95+parametros_manuales!$E$37*(datos_base!$K$3+datos_base!$K$19+IF(parametros_manuales!$H$37="Todos",datos_base!$K$10+datos_base!$K$24,0))*parametros_manuales!$C$100+parametros_manuales!$F$37*(datos_base!$K$4+datos_base!$K$20+IF(parametros_manuales!$H$37="Todos",datos_base!$K$11+datos_base!$K$25,0))*parametros_manuales!$C$105+parametros_manuales!$G$37*(datos_base!$K$5+datos_base!$K$21+IF(parametros_manuales!$H$37="Todos",datos_base!$K$12+datos_base!$K$26,0))*parametros_manuales!$C$110)*parametros_manuales!$I$37*parametros_manuales!$J$37</f>
        <v>24787.39394114</v>
      </c>
      <c r="D263" s="9" t="n">
        <f aca="false">(parametros_manuales!$D$37*(datos_base!$K$2+datos_base!$K$18+IF(parametros_manuales!$H$37="Todos",datos_base!$K$9+datos_base!$K$23,0))*parametros_manuales!$D$95+parametros_manuales!$E$37*(datos_base!$K$3+datos_base!$K$19+IF(parametros_manuales!$H$37="Todos",datos_base!$K$10+datos_base!$K$24,0))*parametros_manuales!$D$100+parametros_manuales!$F$37*(datos_base!$K$4+datos_base!$K$20+IF(parametros_manuales!$H$37="Todos",datos_base!$K$11+datos_base!$K$25,0))*parametros_manuales!$D$105+parametros_manuales!$G$37*(datos_base!$K$5+datos_base!$K$21+IF(parametros_manuales!$H$37="Todos",datos_base!$K$12+datos_base!$K$26,0))*parametros_manuales!$D$110)*parametros_manuales!$I$37*parametros_manuales!$J$37</f>
        <v>23170.658576055</v>
      </c>
      <c r="E263" s="9" t="n">
        <f aca="false">(parametros_manuales!$D$37*(datos_base!$K$2+datos_base!$K$18+IF(parametros_manuales!$H$37="Todos",datos_base!$K$9+datos_base!$K$23,0))*parametros_manuales!$E$95+parametros_manuales!$E$37*(datos_base!$K$3+datos_base!$K$19+IF(parametros_manuales!$H$37="Todos",datos_base!$K$10+datos_base!$K$24,0))*parametros_manuales!$E$100+parametros_manuales!$F$37*(datos_base!$K$4+datos_base!$K$20+IF(parametros_manuales!$H$37="Todos",datos_base!$K$11+datos_base!$K$25,0))*parametros_manuales!$E$105+parametros_manuales!$G$37*(datos_base!$K$5+datos_base!$K$21+IF(parametros_manuales!$H$37="Todos",datos_base!$K$12+datos_base!$K$26,0))*parametros_manuales!$E$110)*parametros_manuales!$I$37*parametros_manuales!$J$37</f>
        <v>22157.555380405</v>
      </c>
      <c r="F263" s="9" t="n">
        <f aca="false">(parametros_manuales!$D$37*(datos_base!$K$2+datos_base!$K$18+IF(parametros_manuales!$H$37="Todos",datos_base!$K$9+datos_base!$K$23,0))*parametros_manuales!$F$95+parametros_manuales!$E$37*(datos_base!$K$3+datos_base!$K$19+IF(parametros_manuales!$H$37="Todos",datos_base!$K$10+datos_base!$K$24,0))*parametros_manuales!$F$100+parametros_manuales!$F$37*(datos_base!$K$4+datos_base!$K$20+IF(parametros_manuales!$H$37="Todos",datos_base!$K$11+datos_base!$K$25,0))*parametros_manuales!$F$105+parametros_manuales!$G$37*(datos_base!$K$5+datos_base!$K$21+IF(parametros_manuales!$H$37="Todos",datos_base!$K$12+datos_base!$K$26,0))*parametros_manuales!$F$110)*parametros_manuales!$I$37*parametros_manuales!$J$37</f>
        <v>20734.98115854</v>
      </c>
      <c r="G263" s="9" t="n">
        <f aca="false">(parametros_manuales!$D$37*(datos_base!$K$2+datos_base!$K$18+IF(parametros_manuales!$H$37="Todos",datos_base!$K$9+datos_base!$K$23,0))*parametros_manuales!$G$95+parametros_manuales!$E$37*(datos_base!$K$3+datos_base!$K$19+IF(parametros_manuales!$H$37="Todos",datos_base!$K$10+datos_base!$K$24,0))*parametros_manuales!$G$100+parametros_manuales!$F$37*(datos_base!$K$4+datos_base!$K$20+IF(parametros_manuales!$H$37="Todos",datos_base!$K$11+datos_base!$K$25,0))*parametros_manuales!$G$105+parametros_manuales!$G$37*(datos_base!$K$5+datos_base!$K$21+IF(parametros_manuales!$H$37="Todos",datos_base!$K$12+datos_base!$K$26,0))*parametros_manuales!$G$110)*parametros_manuales!$I$37*parametros_manuales!$J$37</f>
        <v>20325.510132325</v>
      </c>
      <c r="H263" s="9" t="n">
        <f aca="false">(parametros_manuales!$D$37*(datos_base!$K$2+datos_base!$K$18+IF(parametros_manuales!$H$37="Todos",datos_base!$K$9+datos_base!$K$23,0))*parametros_manuales!$H$95+parametros_manuales!$E$37*(datos_base!$K$3+datos_base!$K$19+IF(parametros_manuales!$H$37="Todos",datos_base!$K$10+datos_base!$K$24,0))*parametros_manuales!$H$100+parametros_manuales!$F$37*(datos_base!$K$4+datos_base!$K$20+IF(parametros_manuales!$H$37="Todos",datos_base!$K$11+datos_base!$K$25,0))*parametros_manuales!$H$105+parametros_manuales!$G$37*(datos_base!$K$5+datos_base!$K$21+IF(parametros_manuales!$H$37="Todos",datos_base!$K$12+datos_base!$K$26,0))*parametros_manuales!$H$110)*parametros_manuales!$I$37*parametros_manuales!$J$37</f>
        <v>21748.08435419</v>
      </c>
      <c r="I263" s="9" t="n">
        <f aca="false">(parametros_manuales!$D$37*(datos_base!$K$2+datos_base!$K$18+IF(parametros_manuales!$H$37="Todos",datos_base!$K$9+datos_base!$K$23,0))*parametros_manuales!$I$95+parametros_manuales!$E$37*(datos_base!$K$3+datos_base!$K$19+IF(parametros_manuales!$H$37="Todos",datos_base!$K$10+datos_base!$K$24,0))*parametros_manuales!$I$100+parametros_manuales!$F$37*(datos_base!$K$4+datos_base!$K$20+IF(parametros_manuales!$H$37="Todos",datos_base!$K$11+datos_base!$K$25,0))*parametros_manuales!$I$105+parametros_manuales!$G$37*(datos_base!$K$5+datos_base!$K$21+IF(parametros_manuales!$H$37="Todos",datos_base!$K$12+datos_base!$K$26,0))*parametros_manuales!$I$110)*parametros_manuales!$I$37*parametros_manuales!$J$37</f>
        <v>24787.39394114</v>
      </c>
      <c r="J263" s="9" t="n">
        <f aca="false">(parametros_manuales!$D$37*(datos_base!$K$2+datos_base!$K$18+IF(parametros_manuales!$H$37="Todos",datos_base!$K$9+datos_base!$K$23,0))*parametros_manuales!$J$95+parametros_manuales!$E$37*(datos_base!$K$3+datos_base!$K$19+IF(parametros_manuales!$H$37="Todos",datos_base!$K$10+datos_base!$K$24,0))*parametros_manuales!$J$100+parametros_manuales!$F$37*(datos_base!$K$4+datos_base!$K$20+IF(parametros_manuales!$H$37="Todos",datos_base!$K$11+datos_base!$K$25,0))*parametros_manuales!$J$105+parametros_manuales!$G$37*(datos_base!$K$5+datos_base!$K$21+IF(parametros_manuales!$H$37="Todos",datos_base!$K$12+datos_base!$K$26,0))*parametros_manuales!$J$110)*parametros_manuales!$I$37*parametros_manuales!$J$37</f>
        <v>24787.39394114</v>
      </c>
      <c r="K263" s="9" t="n">
        <f aca="false">(parametros_manuales!$D$37*(datos_base!$K$2+datos_base!$K$18+IF(parametros_manuales!$H$37="Todos",datos_base!$K$9+datos_base!$K$23,0))*parametros_manuales!$K$95+parametros_manuales!$E$37*(datos_base!$K$3+datos_base!$K$19+IF(parametros_manuales!$H$37="Todos",datos_base!$K$10+datos_base!$K$24,0))*parametros_manuales!$K$100+parametros_manuales!$F$37*(datos_base!$K$4+datos_base!$K$20+IF(parametros_manuales!$H$37="Todos",datos_base!$K$11+datos_base!$K$25,0))*parametros_manuales!$K$105+parametros_manuales!$G$37*(datos_base!$K$5+datos_base!$K$21+IF(parametros_manuales!$H$37="Todos",datos_base!$K$12+datos_base!$K$26,0))*parametros_manuales!$K$110)*parametros_manuales!$I$37*parametros_manuales!$J$37</f>
        <v>25196.864967355</v>
      </c>
      <c r="L263" s="9" t="n">
        <f aca="false">(parametros_manuales!$D$37*(datos_base!$K$2+datos_base!$K$18+IF(parametros_manuales!$H$37="Todos",datos_base!$K$9+datos_base!$K$23,0))*parametros_manuales!$L$95+parametros_manuales!$E$37*(datos_base!$K$3+datos_base!$K$19+IF(parametros_manuales!$H$37="Todos",datos_base!$K$10+datos_base!$K$24,0))*parametros_manuales!$L$100+parametros_manuales!$F$37*(datos_base!$K$4+datos_base!$K$20+IF(parametros_manuales!$H$37="Todos",datos_base!$K$11+datos_base!$K$25,0))*parametros_manuales!$L$105+parametros_manuales!$G$37*(datos_base!$K$5+datos_base!$K$21+IF(parametros_manuales!$H$37="Todos",datos_base!$K$12+datos_base!$K$26,0))*parametros_manuales!$L$110)*parametros_manuales!$I$37*parametros_manuales!$J$37</f>
        <v>25606.33599357</v>
      </c>
      <c r="M263" s="9" t="n">
        <f aca="false">(parametros_manuales!$D$37*(datos_base!$K$2+datos_base!$K$18+IF(parametros_manuales!$H$37="Todos",datos_base!$K$9+datos_base!$K$23,0))*parametros_manuales!$M$95+parametros_manuales!$E$37*(datos_base!$K$3+datos_base!$K$19+IF(parametros_manuales!$H$37="Todos",datos_base!$K$10+datos_base!$K$24,0))*parametros_manuales!$M$100+parametros_manuales!$F$37*(datos_base!$K$4+datos_base!$K$20+IF(parametros_manuales!$H$37="Todos",datos_base!$K$11+datos_base!$K$25,0))*parametros_manuales!$M$105+parametros_manuales!$G$37*(datos_base!$K$5+datos_base!$K$21+IF(parametros_manuales!$H$37="Todos",datos_base!$K$12+datos_base!$K$26,0))*parametros_manuales!$M$110)*parametros_manuales!$I$37*parametros_manuales!$J$37</f>
        <v>25606.33599357</v>
      </c>
      <c r="N263" s="9" t="n">
        <f aca="false">SUM(B263:M263)</f>
        <v>284514.844373</v>
      </c>
      <c r="O263" s="9" t="n">
        <f aca="false">MAX(B263:M263)</f>
        <v>25606.33599357</v>
      </c>
      <c r="P263" s="43" t="n">
        <f aca="false">O263/(parametros_manuales!$B$7)</f>
        <v>170.7089066238</v>
      </c>
      <c r="Q263" s="8" t="str">
        <f aca="false">IF(O263=0,"-",INDEX($B$244:$M$244,MATCH(O263,B263:M263,0)))</f>
        <v>Ene</v>
      </c>
    </row>
    <row r="264" customFormat="false" ht="14.25" hidden="false" customHeight="true" outlineLevel="0" collapsed="false">
      <c r="A264" s="8" t="str">
        <f aca="false">parametros_manuales!$B$38</f>
        <v>Carga de polvo</v>
      </c>
      <c r="B264" s="9" t="n">
        <f aca="false">(parametros_manuales!$D$38*(datos_base!$K$2+datos_base!$K$18+IF(parametros_manuales!$H$38="Todos",datos_base!$K$9+datos_base!$K$23,0))*parametros_manuales!$B$95+parametros_manuales!$E$38*(datos_base!$K$3+datos_base!$K$19+IF(parametros_manuales!$H$38="Todos",datos_base!$K$10+datos_base!$K$24,0))*parametros_manuales!$B$100+parametros_manuales!$F$38*(datos_base!$K$4+datos_base!$K$20+IF(parametros_manuales!$H$38="Todos",datos_base!$K$11+datos_base!$K$25,0))*parametros_manuales!$B$105+parametros_manuales!$G$38*(datos_base!$K$5+datos_base!$K$21+IF(parametros_manuales!$H$38="Todos",datos_base!$K$12+datos_base!$K$26,0))*parametros_manuales!$B$110)*parametros_manuales!$I$38*parametros_manuales!$J$38</f>
        <v>6497.01399357</v>
      </c>
      <c r="C264" s="9" t="n">
        <f aca="false">(parametros_manuales!$D$38*(datos_base!$K$2+datos_base!$K$18+IF(parametros_manuales!$H$38="Todos",datos_base!$K$9+datos_base!$K$23,0))*parametros_manuales!$C$95+parametros_manuales!$E$38*(datos_base!$K$3+datos_base!$K$19+IF(parametros_manuales!$H$38="Todos",datos_base!$K$10+datos_base!$K$24,0))*parametros_manuales!$C$100+parametros_manuales!$F$38*(datos_base!$K$4+datos_base!$K$20+IF(parametros_manuales!$H$38="Todos",datos_base!$K$11+datos_base!$K$25,0))*parametros_manuales!$C$105+parametros_manuales!$G$38*(datos_base!$K$5+datos_base!$K$21+IF(parametros_manuales!$H$38="Todos",datos_base!$K$12+datos_base!$K$26,0))*parametros_manuales!$C$110)*parametros_manuales!$I$38*parametros_manuales!$J$38</f>
        <v>6095.84994114</v>
      </c>
      <c r="D264" s="9" t="n">
        <f aca="false">(parametros_manuales!$D$38*(datos_base!$K$2+datos_base!$K$18+IF(parametros_manuales!$H$38="Todos",datos_base!$K$9+datos_base!$K$23,0))*parametros_manuales!$D$95+parametros_manuales!$E$38*(datos_base!$K$3+datos_base!$K$19+IF(parametros_manuales!$H$38="Todos",datos_base!$K$10+datos_base!$K$24,0))*parametros_manuales!$D$100+parametros_manuales!$F$38*(datos_base!$K$4+datos_base!$K$20+IF(parametros_manuales!$H$38="Todos",datos_base!$K$11+datos_base!$K$25,0))*parametros_manuales!$D$105+parametros_manuales!$G$38*(datos_base!$K$5+datos_base!$K$21+IF(parametros_manuales!$H$38="Todos",datos_base!$K$12+datos_base!$K$26,0))*parametros_manuales!$D$110)*parametros_manuales!$I$38*parametros_manuales!$J$38</f>
        <v>5975.705576055</v>
      </c>
      <c r="E264" s="9" t="n">
        <f aca="false">(parametros_manuales!$D$38*(datos_base!$K$2+datos_base!$K$18+IF(parametros_manuales!$H$38="Todos",datos_base!$K$9+datos_base!$K$23,0))*parametros_manuales!$E$95+parametros_manuales!$E$38*(datos_base!$K$3+datos_base!$K$19+IF(parametros_manuales!$H$38="Todos",datos_base!$K$10+datos_base!$K$24,0))*parametros_manuales!$E$100+parametros_manuales!$F$38*(datos_base!$K$4+datos_base!$K$20+IF(parametros_manuales!$H$38="Todos",datos_base!$K$11+datos_base!$K$25,0))*parametros_manuales!$E$105+parametros_manuales!$G$38*(datos_base!$K$5+datos_base!$K$21+IF(parametros_manuales!$H$38="Todos",datos_base!$K$12+datos_base!$K$26,0))*parametros_manuales!$E$110)*parametros_manuales!$I$38*parametros_manuales!$J$38</f>
        <v>5815.342380405</v>
      </c>
      <c r="F264" s="9" t="n">
        <f aca="false">(parametros_manuales!$D$38*(datos_base!$K$2+datos_base!$K$18+IF(parametros_manuales!$H$38="Todos",datos_base!$K$9+datos_base!$K$23,0))*parametros_manuales!$F$95+parametros_manuales!$E$38*(datos_base!$K$3+datos_base!$K$19+IF(parametros_manuales!$H$38="Todos",datos_base!$K$10+datos_base!$K$24,0))*parametros_manuales!$F$100+parametros_manuales!$F$38*(datos_base!$K$4+datos_base!$K$20+IF(parametros_manuales!$H$38="Todos",datos_base!$K$11+datos_base!$K$25,0))*parametros_manuales!$F$105+parametros_manuales!$G$38*(datos_base!$K$5+datos_base!$K$21+IF(parametros_manuales!$H$38="Todos",datos_base!$K$12+datos_base!$K$26,0))*parametros_manuales!$F$110)*parametros_manuales!$I$38*parametros_manuales!$J$38</f>
        <v>5454.39715854</v>
      </c>
      <c r="G264" s="9" t="n">
        <f aca="false">(parametros_manuales!$D$38*(datos_base!$K$2+datos_base!$K$18+IF(parametros_manuales!$H$38="Todos",datos_base!$K$9+datos_base!$K$23,0))*parametros_manuales!$G$95+parametros_manuales!$E$38*(datos_base!$K$3+datos_base!$K$19+IF(parametros_manuales!$H$38="Todos",datos_base!$K$10+datos_base!$K$24,0))*parametros_manuales!$G$100+parametros_manuales!$F$38*(datos_base!$K$4+datos_base!$K$20+IF(parametros_manuales!$H$38="Todos",datos_base!$K$11+datos_base!$K$25,0))*parametros_manuales!$G$105+parametros_manuales!$G$38*(datos_base!$K$5+datos_base!$K$21+IF(parametros_manuales!$H$38="Todos",datos_base!$K$12+datos_base!$K$26,0))*parametros_manuales!$G$110)*parametros_manuales!$I$38*parametros_manuales!$J$38</f>
        <v>5253.815132325</v>
      </c>
      <c r="H264" s="9" t="n">
        <f aca="false">(parametros_manuales!$D$38*(datos_base!$K$2+datos_base!$K$18+IF(parametros_manuales!$H$38="Todos",datos_base!$K$9+datos_base!$K$23,0))*parametros_manuales!$H$95+parametros_manuales!$E$38*(datos_base!$K$3+datos_base!$K$19+IF(parametros_manuales!$H$38="Todos",datos_base!$K$10+datos_base!$K$24,0))*parametros_manuales!$H$100+parametros_manuales!$F$38*(datos_base!$K$4+datos_base!$K$20+IF(parametros_manuales!$H$38="Todos",datos_base!$K$11+datos_base!$K$25,0))*parametros_manuales!$H$105+parametros_manuales!$G$38*(datos_base!$K$5+datos_base!$K$21+IF(parametros_manuales!$H$38="Todos",datos_base!$K$12+datos_base!$K$26,0))*parametros_manuales!$H$110)*parametros_manuales!$I$38*parametros_manuales!$J$38</f>
        <v>5614.76035419</v>
      </c>
      <c r="I264" s="9" t="n">
        <f aca="false">(parametros_manuales!$D$38*(datos_base!$K$2+datos_base!$K$18+IF(parametros_manuales!$H$38="Todos",datos_base!$K$9+datos_base!$K$23,0))*parametros_manuales!$I$95+parametros_manuales!$E$38*(datos_base!$K$3+datos_base!$K$19+IF(parametros_manuales!$H$38="Todos",datos_base!$K$10+datos_base!$K$24,0))*parametros_manuales!$I$100+parametros_manuales!$F$38*(datos_base!$K$4+datos_base!$K$20+IF(parametros_manuales!$H$38="Todos",datos_base!$K$11+datos_base!$K$25,0))*parametros_manuales!$I$105+parametros_manuales!$G$38*(datos_base!$K$5+datos_base!$K$21+IF(parametros_manuales!$H$38="Todos",datos_base!$K$12+datos_base!$K$26,0))*parametros_manuales!$I$110)*parametros_manuales!$I$38*parametros_manuales!$J$38</f>
        <v>6095.84994114</v>
      </c>
      <c r="J264" s="9" t="n">
        <f aca="false">(parametros_manuales!$D$38*(datos_base!$K$2+datos_base!$K$18+IF(parametros_manuales!$H$38="Todos",datos_base!$K$9+datos_base!$K$23,0))*parametros_manuales!$J$95+parametros_manuales!$E$38*(datos_base!$K$3+datos_base!$K$19+IF(parametros_manuales!$H$38="Todos",datos_base!$K$10+datos_base!$K$24,0))*parametros_manuales!$J$100+parametros_manuales!$F$38*(datos_base!$K$4+datos_base!$K$20+IF(parametros_manuales!$H$38="Todos",datos_base!$K$11+datos_base!$K$25,0))*parametros_manuales!$J$105+parametros_manuales!$G$38*(datos_base!$K$5+datos_base!$K$21+IF(parametros_manuales!$H$38="Todos",datos_base!$K$12+datos_base!$K$26,0))*parametros_manuales!$J$110)*parametros_manuales!$I$38*parametros_manuales!$J$38</f>
        <v>6095.84994114</v>
      </c>
      <c r="K264" s="9" t="n">
        <f aca="false">(parametros_manuales!$D$38*(datos_base!$K$2+datos_base!$K$18+IF(parametros_manuales!$H$38="Todos",datos_base!$K$9+datos_base!$K$23,0))*parametros_manuales!$K$95+parametros_manuales!$E$38*(datos_base!$K$3+datos_base!$K$19+IF(parametros_manuales!$H$38="Todos",datos_base!$K$10+datos_base!$K$24,0))*parametros_manuales!$K$100+parametros_manuales!$F$38*(datos_base!$K$4+datos_base!$K$20+IF(parametros_manuales!$H$38="Todos",datos_base!$K$11+datos_base!$K$25,0))*parametros_manuales!$K$105+parametros_manuales!$G$38*(datos_base!$K$5+datos_base!$K$21+IF(parametros_manuales!$H$38="Todos",datos_base!$K$12+datos_base!$K$26,0))*parametros_manuales!$K$110)*parametros_manuales!$I$38*parametros_manuales!$J$38</f>
        <v>6296.431967355</v>
      </c>
      <c r="L264" s="9" t="n">
        <f aca="false">(parametros_manuales!$D$38*(datos_base!$K$2+datos_base!$K$18+IF(parametros_manuales!$H$38="Todos",datos_base!$K$9+datos_base!$K$23,0))*parametros_manuales!$L$95+parametros_manuales!$E$38*(datos_base!$K$3+datos_base!$K$19+IF(parametros_manuales!$H$38="Todos",datos_base!$K$10+datos_base!$K$24,0))*parametros_manuales!$L$100+parametros_manuales!$F$38*(datos_base!$K$4+datos_base!$K$20+IF(parametros_manuales!$H$38="Todos",datos_base!$K$11+datos_base!$K$25,0))*parametros_manuales!$L$105+parametros_manuales!$G$38*(datos_base!$K$5+datos_base!$K$21+IF(parametros_manuales!$H$38="Todos",datos_base!$K$12+datos_base!$K$26,0))*parametros_manuales!$L$110)*parametros_manuales!$I$38*parametros_manuales!$J$38</f>
        <v>6497.01399357</v>
      </c>
      <c r="M264" s="9" t="n">
        <f aca="false">(parametros_manuales!$D$38*(datos_base!$K$2+datos_base!$K$18+IF(parametros_manuales!$H$38="Todos",datos_base!$K$9+datos_base!$K$23,0))*parametros_manuales!$M$95+parametros_manuales!$E$38*(datos_base!$K$3+datos_base!$K$19+IF(parametros_manuales!$H$38="Todos",datos_base!$K$10+datos_base!$K$24,0))*parametros_manuales!$M$100+parametros_manuales!$F$38*(datos_base!$K$4+datos_base!$K$20+IF(parametros_manuales!$H$38="Todos",datos_base!$K$11+datos_base!$K$25,0))*parametros_manuales!$M$105+parametros_manuales!$G$38*(datos_base!$K$5+datos_base!$K$21+IF(parametros_manuales!$H$38="Todos",datos_base!$K$12+datos_base!$K$26,0))*parametros_manuales!$M$110)*parametros_manuales!$I$38*parametros_manuales!$J$38</f>
        <v>6497.01399357</v>
      </c>
      <c r="N264" s="9" t="n">
        <f aca="false">SUM(B264:M264)</f>
        <v>72189.044373</v>
      </c>
      <c r="O264" s="9" t="n">
        <f aca="false">MAX(B264:M264)</f>
        <v>6497.01399357</v>
      </c>
      <c r="P264" s="43" t="n">
        <f aca="false">O264/(parametros_manuales!$B$7)</f>
        <v>43.3134266238</v>
      </c>
      <c r="Q264" s="8" t="str">
        <f aca="false">IF(O264=0,"-",INDEX($B$244:$M$244,MATCH(O264,B264:M264,0)))</f>
        <v>Ene</v>
      </c>
    </row>
    <row r="265" customFormat="false" ht="14.25" hidden="false" customHeight="true" outlineLevel="0" collapsed="false">
      <c r="A265" s="8" t="str">
        <f aca="false">parametros_manuales!$B$39</f>
        <v>Ensamblaje</v>
      </c>
      <c r="B265" s="9" t="n">
        <f aca="false">(parametros_manuales!$D$39*(datos_base!$K$2+datos_base!$K$18+IF(parametros_manuales!$H$39="Todos",datos_base!$K$9+datos_base!$K$23,0))*parametros_manuales!$B$95+parametros_manuales!$E$39*(datos_base!$K$3+datos_base!$K$19+IF(parametros_manuales!$H$39="Todos",datos_base!$K$10+datos_base!$K$24,0))*parametros_manuales!$B$100+parametros_manuales!$F$39*(datos_base!$K$4+datos_base!$K$20+IF(parametros_manuales!$H$39="Todos",datos_base!$K$11+datos_base!$K$25,0))*parametros_manuales!$B$105+parametros_manuales!$G$39*(datos_base!$K$5+datos_base!$K$21+IF(parametros_manuales!$H$39="Todos",datos_base!$K$12+datos_base!$K$26,0))*parametros_manuales!$B$110)*parametros_manuales!$I$39*parametros_manuales!$J$39</f>
        <v>6497.01399357</v>
      </c>
      <c r="C265" s="9" t="n">
        <f aca="false">(parametros_manuales!$D$39*(datos_base!$K$2+datos_base!$K$18+IF(parametros_manuales!$H$39="Todos",datos_base!$K$9+datos_base!$K$23,0))*parametros_manuales!$C$95+parametros_manuales!$E$39*(datos_base!$K$3+datos_base!$K$19+IF(parametros_manuales!$H$39="Todos",datos_base!$K$10+datos_base!$K$24,0))*parametros_manuales!$C$100+parametros_manuales!$F$39*(datos_base!$K$4+datos_base!$K$20+IF(parametros_manuales!$H$39="Todos",datos_base!$K$11+datos_base!$K$25,0))*parametros_manuales!$C$105+parametros_manuales!$G$39*(datos_base!$K$5+datos_base!$K$21+IF(parametros_manuales!$H$39="Todos",datos_base!$K$12+datos_base!$K$26,0))*parametros_manuales!$C$110)*parametros_manuales!$I$39*parametros_manuales!$J$39</f>
        <v>6095.84994114</v>
      </c>
      <c r="D265" s="9" t="n">
        <f aca="false">(parametros_manuales!$D$39*(datos_base!$K$2+datos_base!$K$18+IF(parametros_manuales!$H$39="Todos",datos_base!$K$9+datos_base!$K$23,0))*parametros_manuales!$D$95+parametros_manuales!$E$39*(datos_base!$K$3+datos_base!$K$19+IF(parametros_manuales!$H$39="Todos",datos_base!$K$10+datos_base!$K$24,0))*parametros_manuales!$D$100+parametros_manuales!$F$39*(datos_base!$K$4+datos_base!$K$20+IF(parametros_manuales!$H$39="Todos",datos_base!$K$11+datos_base!$K$25,0))*parametros_manuales!$D$105+parametros_manuales!$G$39*(datos_base!$K$5+datos_base!$K$21+IF(parametros_manuales!$H$39="Todos",datos_base!$K$12+datos_base!$K$26,0))*parametros_manuales!$D$110)*parametros_manuales!$I$39*parametros_manuales!$J$39</f>
        <v>5975.705576055</v>
      </c>
      <c r="E265" s="9" t="n">
        <f aca="false">(parametros_manuales!$D$39*(datos_base!$K$2+datos_base!$K$18+IF(parametros_manuales!$H$39="Todos",datos_base!$K$9+datos_base!$K$23,0))*parametros_manuales!$E$95+parametros_manuales!$E$39*(datos_base!$K$3+datos_base!$K$19+IF(parametros_manuales!$H$39="Todos",datos_base!$K$10+datos_base!$K$24,0))*parametros_manuales!$E$100+parametros_manuales!$F$39*(datos_base!$K$4+datos_base!$K$20+IF(parametros_manuales!$H$39="Todos",datos_base!$K$11+datos_base!$K$25,0))*parametros_manuales!$E$105+parametros_manuales!$G$39*(datos_base!$K$5+datos_base!$K$21+IF(parametros_manuales!$H$39="Todos",datos_base!$K$12+datos_base!$K$26,0))*parametros_manuales!$E$110)*parametros_manuales!$I$39*parametros_manuales!$J$39</f>
        <v>5815.342380405</v>
      </c>
      <c r="F265" s="9" t="n">
        <f aca="false">(parametros_manuales!$D$39*(datos_base!$K$2+datos_base!$K$18+IF(parametros_manuales!$H$39="Todos",datos_base!$K$9+datos_base!$K$23,0))*parametros_manuales!$F$95+parametros_manuales!$E$39*(datos_base!$K$3+datos_base!$K$19+IF(parametros_manuales!$H$39="Todos",datos_base!$K$10+datos_base!$K$24,0))*parametros_manuales!$F$100+parametros_manuales!$F$39*(datos_base!$K$4+datos_base!$K$20+IF(parametros_manuales!$H$39="Todos",datos_base!$K$11+datos_base!$K$25,0))*parametros_manuales!$F$105+parametros_manuales!$G$39*(datos_base!$K$5+datos_base!$K$21+IF(parametros_manuales!$H$39="Todos",datos_base!$K$12+datos_base!$K$26,0))*parametros_manuales!$F$110)*parametros_manuales!$I$39*parametros_manuales!$J$39</f>
        <v>5454.39715854</v>
      </c>
      <c r="G265" s="9" t="n">
        <f aca="false">(parametros_manuales!$D$39*(datos_base!$K$2+datos_base!$K$18+IF(parametros_manuales!$H$39="Todos",datos_base!$K$9+datos_base!$K$23,0))*parametros_manuales!$G$95+parametros_manuales!$E$39*(datos_base!$K$3+datos_base!$K$19+IF(parametros_manuales!$H$39="Todos",datos_base!$K$10+datos_base!$K$24,0))*parametros_manuales!$G$100+parametros_manuales!$F$39*(datos_base!$K$4+datos_base!$K$20+IF(parametros_manuales!$H$39="Todos",datos_base!$K$11+datos_base!$K$25,0))*parametros_manuales!$G$105+parametros_manuales!$G$39*(datos_base!$K$5+datos_base!$K$21+IF(parametros_manuales!$H$39="Todos",datos_base!$K$12+datos_base!$K$26,0))*parametros_manuales!$G$110)*parametros_manuales!$I$39*parametros_manuales!$J$39</f>
        <v>5253.815132325</v>
      </c>
      <c r="H265" s="9" t="n">
        <f aca="false">(parametros_manuales!$D$39*(datos_base!$K$2+datos_base!$K$18+IF(parametros_manuales!$H$39="Todos",datos_base!$K$9+datos_base!$K$23,0))*parametros_manuales!$H$95+parametros_manuales!$E$39*(datos_base!$K$3+datos_base!$K$19+IF(parametros_manuales!$H$39="Todos",datos_base!$K$10+datos_base!$K$24,0))*parametros_manuales!$H$100+parametros_manuales!$F$39*(datos_base!$K$4+datos_base!$K$20+IF(parametros_manuales!$H$39="Todos",datos_base!$K$11+datos_base!$K$25,0))*parametros_manuales!$H$105+parametros_manuales!$G$39*(datos_base!$K$5+datos_base!$K$21+IF(parametros_manuales!$H$39="Todos",datos_base!$K$12+datos_base!$K$26,0))*parametros_manuales!$H$110)*parametros_manuales!$I$39*parametros_manuales!$J$39</f>
        <v>5614.76035419</v>
      </c>
      <c r="I265" s="9" t="n">
        <f aca="false">(parametros_manuales!$D$39*(datos_base!$K$2+datos_base!$K$18+IF(parametros_manuales!$H$39="Todos",datos_base!$K$9+datos_base!$K$23,0))*parametros_manuales!$I$95+parametros_manuales!$E$39*(datos_base!$K$3+datos_base!$K$19+IF(parametros_manuales!$H$39="Todos",datos_base!$K$10+datos_base!$K$24,0))*parametros_manuales!$I$100+parametros_manuales!$F$39*(datos_base!$K$4+datos_base!$K$20+IF(parametros_manuales!$H$39="Todos",datos_base!$K$11+datos_base!$K$25,0))*parametros_manuales!$I$105+parametros_manuales!$G$39*(datos_base!$K$5+datos_base!$K$21+IF(parametros_manuales!$H$39="Todos",datos_base!$K$12+datos_base!$K$26,0))*parametros_manuales!$I$110)*parametros_manuales!$I$39*parametros_manuales!$J$39</f>
        <v>6095.84994114</v>
      </c>
      <c r="J265" s="9" t="n">
        <f aca="false">(parametros_manuales!$D$39*(datos_base!$K$2+datos_base!$K$18+IF(parametros_manuales!$H$39="Todos",datos_base!$K$9+datos_base!$K$23,0))*parametros_manuales!$J$95+parametros_manuales!$E$39*(datos_base!$K$3+datos_base!$K$19+IF(parametros_manuales!$H$39="Todos",datos_base!$K$10+datos_base!$K$24,0))*parametros_manuales!$J$100+parametros_manuales!$F$39*(datos_base!$K$4+datos_base!$K$20+IF(parametros_manuales!$H$39="Todos",datos_base!$K$11+datos_base!$K$25,0))*parametros_manuales!$J$105+parametros_manuales!$G$39*(datos_base!$K$5+datos_base!$K$21+IF(parametros_manuales!$H$39="Todos",datos_base!$K$12+datos_base!$K$26,0))*parametros_manuales!$J$110)*parametros_manuales!$I$39*parametros_manuales!$J$39</f>
        <v>6095.84994114</v>
      </c>
      <c r="K265" s="9" t="n">
        <f aca="false">(parametros_manuales!$D$39*(datos_base!$K$2+datos_base!$K$18+IF(parametros_manuales!$H$39="Todos",datos_base!$K$9+datos_base!$K$23,0))*parametros_manuales!$K$95+parametros_manuales!$E$39*(datos_base!$K$3+datos_base!$K$19+IF(parametros_manuales!$H$39="Todos",datos_base!$K$10+datos_base!$K$24,0))*parametros_manuales!$K$100+parametros_manuales!$F$39*(datos_base!$K$4+datos_base!$K$20+IF(parametros_manuales!$H$39="Todos",datos_base!$K$11+datos_base!$K$25,0))*parametros_manuales!$K$105+parametros_manuales!$G$39*(datos_base!$K$5+datos_base!$K$21+IF(parametros_manuales!$H$39="Todos",datos_base!$K$12+datos_base!$K$26,0))*parametros_manuales!$K$110)*parametros_manuales!$I$39*parametros_manuales!$J$39</f>
        <v>6296.431967355</v>
      </c>
      <c r="L265" s="9" t="n">
        <f aca="false">(parametros_manuales!$D$39*(datos_base!$K$2+datos_base!$K$18+IF(parametros_manuales!$H$39="Todos",datos_base!$K$9+datos_base!$K$23,0))*parametros_manuales!$L$95+parametros_manuales!$E$39*(datos_base!$K$3+datos_base!$K$19+IF(parametros_manuales!$H$39="Todos",datos_base!$K$10+datos_base!$K$24,0))*parametros_manuales!$L$100+parametros_manuales!$F$39*(datos_base!$K$4+datos_base!$K$20+IF(parametros_manuales!$H$39="Todos",datos_base!$K$11+datos_base!$K$25,0))*parametros_manuales!$L$105+parametros_manuales!$G$39*(datos_base!$K$5+datos_base!$K$21+IF(parametros_manuales!$H$39="Todos",datos_base!$K$12+datos_base!$K$26,0))*parametros_manuales!$L$110)*parametros_manuales!$I$39*parametros_manuales!$J$39</f>
        <v>6497.01399357</v>
      </c>
      <c r="M265" s="9" t="n">
        <f aca="false">(parametros_manuales!$D$39*(datos_base!$K$2+datos_base!$K$18+IF(parametros_manuales!$H$39="Todos",datos_base!$K$9+datos_base!$K$23,0))*parametros_manuales!$M$95+parametros_manuales!$E$39*(datos_base!$K$3+datos_base!$K$19+IF(parametros_manuales!$H$39="Todos",datos_base!$K$10+datos_base!$K$24,0))*parametros_manuales!$M$100+parametros_manuales!$F$39*(datos_base!$K$4+datos_base!$K$20+IF(parametros_manuales!$H$39="Todos",datos_base!$K$11+datos_base!$K$25,0))*parametros_manuales!$M$105+parametros_manuales!$G$39*(datos_base!$K$5+datos_base!$K$21+IF(parametros_manuales!$H$39="Todos",datos_base!$K$12+datos_base!$K$26,0))*parametros_manuales!$M$110)*parametros_manuales!$I$39*parametros_manuales!$J$39</f>
        <v>6497.01399357</v>
      </c>
      <c r="N265" s="9" t="n">
        <f aca="false">SUM(B265:M265)</f>
        <v>72189.044373</v>
      </c>
      <c r="O265" s="9" t="n">
        <f aca="false">MAX(B265:M265)</f>
        <v>6497.01399357</v>
      </c>
      <c r="P265" s="43" t="n">
        <f aca="false">O265/(parametros_manuales!$B$7)</f>
        <v>43.3134266238</v>
      </c>
      <c r="Q265" s="8" t="str">
        <f aca="false">IF(O265=0,"-",INDEX($B$244:$M$244,MATCH(O265,B265:M265,0)))</f>
        <v>Ene</v>
      </c>
    </row>
    <row r="266" customFormat="false" ht="14.25" hidden="false" customHeight="true" outlineLevel="0" collapsed="false">
      <c r="A266" s="8" t="str">
        <f aca="false">parametros_manuales!$B$40</f>
        <v>Presurización</v>
      </c>
      <c r="B266" s="9" t="n">
        <f aca="false">(parametros_manuales!$D$40*(datos_base!$K$2+datos_base!$K$18+IF(parametros_manuales!$H$40="Todos",datos_base!$K$9+datos_base!$K$23,0))*parametros_manuales!$B$95+parametros_manuales!$E$40*(datos_base!$K$3+datos_base!$K$19+IF(parametros_manuales!$H$40="Todos",datos_base!$K$10+datos_base!$K$24,0))*parametros_manuales!$B$100+parametros_manuales!$F$40*(datos_base!$K$4+datos_base!$K$20+IF(parametros_manuales!$H$40="Todos",datos_base!$K$11+datos_base!$K$25,0))*parametros_manuales!$B$105+parametros_manuales!$G$40*(datos_base!$K$5+datos_base!$K$21+IF(parametros_manuales!$H$40="Todos",datos_base!$K$12+datos_base!$K$26,0))*parametros_manuales!$B$110)*parametros_manuales!$I$40*parametros_manuales!$J$40</f>
        <v>6497.01399357</v>
      </c>
      <c r="C266" s="9" t="n">
        <f aca="false">(parametros_manuales!$D$40*(datos_base!$K$2+datos_base!$K$18+IF(parametros_manuales!$H$40="Todos",datos_base!$K$9+datos_base!$K$23,0))*parametros_manuales!$C$95+parametros_manuales!$E$40*(datos_base!$K$3+datos_base!$K$19+IF(parametros_manuales!$H$40="Todos",datos_base!$K$10+datos_base!$K$24,0))*parametros_manuales!$C$100+parametros_manuales!$F$40*(datos_base!$K$4+datos_base!$K$20+IF(parametros_manuales!$H$40="Todos",datos_base!$K$11+datos_base!$K$25,0))*parametros_manuales!$C$105+parametros_manuales!$G$40*(datos_base!$K$5+datos_base!$K$21+IF(parametros_manuales!$H$40="Todos",datos_base!$K$12+datos_base!$K$26,0))*parametros_manuales!$C$110)*parametros_manuales!$I$40*parametros_manuales!$J$40</f>
        <v>6095.84994114</v>
      </c>
      <c r="D266" s="9" t="n">
        <f aca="false">(parametros_manuales!$D$40*(datos_base!$K$2+datos_base!$K$18+IF(parametros_manuales!$H$40="Todos",datos_base!$K$9+datos_base!$K$23,0))*parametros_manuales!$D$95+parametros_manuales!$E$40*(datos_base!$K$3+datos_base!$K$19+IF(parametros_manuales!$H$40="Todos",datos_base!$K$10+datos_base!$K$24,0))*parametros_manuales!$D$100+parametros_manuales!$F$40*(datos_base!$K$4+datos_base!$K$20+IF(parametros_manuales!$H$40="Todos",datos_base!$K$11+datos_base!$K$25,0))*parametros_manuales!$D$105+parametros_manuales!$G$40*(datos_base!$K$5+datos_base!$K$21+IF(parametros_manuales!$H$40="Todos",datos_base!$K$12+datos_base!$K$26,0))*parametros_manuales!$D$110)*parametros_manuales!$I$40*parametros_manuales!$J$40</f>
        <v>5975.705576055</v>
      </c>
      <c r="E266" s="9" t="n">
        <f aca="false">(parametros_manuales!$D$40*(datos_base!$K$2+datos_base!$K$18+IF(parametros_manuales!$H$40="Todos",datos_base!$K$9+datos_base!$K$23,0))*parametros_manuales!$E$95+parametros_manuales!$E$40*(datos_base!$K$3+datos_base!$K$19+IF(parametros_manuales!$H$40="Todos",datos_base!$K$10+datos_base!$K$24,0))*parametros_manuales!$E$100+parametros_manuales!$F$40*(datos_base!$K$4+datos_base!$K$20+IF(parametros_manuales!$H$40="Todos",datos_base!$K$11+datos_base!$K$25,0))*parametros_manuales!$E$105+parametros_manuales!$G$40*(datos_base!$K$5+datos_base!$K$21+IF(parametros_manuales!$H$40="Todos",datos_base!$K$12+datos_base!$K$26,0))*parametros_manuales!$E$110)*parametros_manuales!$I$40*parametros_manuales!$J$40</f>
        <v>5815.342380405</v>
      </c>
      <c r="F266" s="9" t="n">
        <f aca="false">(parametros_manuales!$D$40*(datos_base!$K$2+datos_base!$K$18+IF(parametros_manuales!$H$40="Todos",datos_base!$K$9+datos_base!$K$23,0))*parametros_manuales!$F$95+parametros_manuales!$E$40*(datos_base!$K$3+datos_base!$K$19+IF(parametros_manuales!$H$40="Todos",datos_base!$K$10+datos_base!$K$24,0))*parametros_manuales!$F$100+parametros_manuales!$F$40*(datos_base!$K$4+datos_base!$K$20+IF(parametros_manuales!$H$40="Todos",datos_base!$K$11+datos_base!$K$25,0))*parametros_manuales!$F$105+parametros_manuales!$G$40*(datos_base!$K$5+datos_base!$K$21+IF(parametros_manuales!$H$40="Todos",datos_base!$K$12+datos_base!$K$26,0))*parametros_manuales!$F$110)*parametros_manuales!$I$40*parametros_manuales!$J$40</f>
        <v>5454.39715854</v>
      </c>
      <c r="G266" s="9" t="n">
        <f aca="false">(parametros_manuales!$D$40*(datos_base!$K$2+datos_base!$K$18+IF(parametros_manuales!$H$40="Todos",datos_base!$K$9+datos_base!$K$23,0))*parametros_manuales!$G$95+parametros_manuales!$E$40*(datos_base!$K$3+datos_base!$K$19+IF(parametros_manuales!$H$40="Todos",datos_base!$K$10+datos_base!$K$24,0))*parametros_manuales!$G$100+parametros_manuales!$F$40*(datos_base!$K$4+datos_base!$K$20+IF(parametros_manuales!$H$40="Todos",datos_base!$K$11+datos_base!$K$25,0))*parametros_manuales!$G$105+parametros_manuales!$G$40*(datos_base!$K$5+datos_base!$K$21+IF(parametros_manuales!$H$40="Todos",datos_base!$K$12+datos_base!$K$26,0))*parametros_manuales!$G$110)*parametros_manuales!$I$40*parametros_manuales!$J$40</f>
        <v>5253.815132325</v>
      </c>
      <c r="H266" s="9" t="n">
        <f aca="false">(parametros_manuales!$D$40*(datos_base!$K$2+datos_base!$K$18+IF(parametros_manuales!$H$40="Todos",datos_base!$K$9+datos_base!$K$23,0))*parametros_manuales!$H$95+parametros_manuales!$E$40*(datos_base!$K$3+datos_base!$K$19+IF(parametros_manuales!$H$40="Todos",datos_base!$K$10+datos_base!$K$24,0))*parametros_manuales!$H$100+parametros_manuales!$F$40*(datos_base!$K$4+datos_base!$K$20+IF(parametros_manuales!$H$40="Todos",datos_base!$K$11+datos_base!$K$25,0))*parametros_manuales!$H$105+parametros_manuales!$G$40*(datos_base!$K$5+datos_base!$K$21+IF(parametros_manuales!$H$40="Todos",datos_base!$K$12+datos_base!$K$26,0))*parametros_manuales!$H$110)*parametros_manuales!$I$40*parametros_manuales!$J$40</f>
        <v>5614.76035419</v>
      </c>
      <c r="I266" s="9" t="n">
        <f aca="false">(parametros_manuales!$D$40*(datos_base!$K$2+datos_base!$K$18+IF(parametros_manuales!$H$40="Todos",datos_base!$K$9+datos_base!$K$23,0))*parametros_manuales!$I$95+parametros_manuales!$E$40*(datos_base!$K$3+datos_base!$K$19+IF(parametros_manuales!$H$40="Todos",datos_base!$K$10+datos_base!$K$24,0))*parametros_manuales!$I$100+parametros_manuales!$F$40*(datos_base!$K$4+datos_base!$K$20+IF(parametros_manuales!$H$40="Todos",datos_base!$K$11+datos_base!$K$25,0))*parametros_manuales!$I$105+parametros_manuales!$G$40*(datos_base!$K$5+datos_base!$K$21+IF(parametros_manuales!$H$40="Todos",datos_base!$K$12+datos_base!$K$26,0))*parametros_manuales!$I$110)*parametros_manuales!$I$40*parametros_manuales!$J$40</f>
        <v>6095.84994114</v>
      </c>
      <c r="J266" s="9" t="n">
        <f aca="false">(parametros_manuales!$D$40*(datos_base!$K$2+datos_base!$K$18+IF(parametros_manuales!$H$40="Todos",datos_base!$K$9+datos_base!$K$23,0))*parametros_manuales!$J$95+parametros_manuales!$E$40*(datos_base!$K$3+datos_base!$K$19+IF(parametros_manuales!$H$40="Todos",datos_base!$K$10+datos_base!$K$24,0))*parametros_manuales!$J$100+parametros_manuales!$F$40*(datos_base!$K$4+datos_base!$K$20+IF(parametros_manuales!$H$40="Todos",datos_base!$K$11+datos_base!$K$25,0))*parametros_manuales!$J$105+parametros_manuales!$G$40*(datos_base!$K$5+datos_base!$K$21+IF(parametros_manuales!$H$40="Todos",datos_base!$K$12+datos_base!$K$26,0))*parametros_manuales!$J$110)*parametros_manuales!$I$40*parametros_manuales!$J$40</f>
        <v>6095.84994114</v>
      </c>
      <c r="K266" s="9" t="n">
        <f aca="false">(parametros_manuales!$D$40*(datos_base!$K$2+datos_base!$K$18+IF(parametros_manuales!$H$40="Todos",datos_base!$K$9+datos_base!$K$23,0))*parametros_manuales!$K$95+parametros_manuales!$E$40*(datos_base!$K$3+datos_base!$K$19+IF(parametros_manuales!$H$40="Todos",datos_base!$K$10+datos_base!$K$24,0))*parametros_manuales!$K$100+parametros_manuales!$F$40*(datos_base!$K$4+datos_base!$K$20+IF(parametros_manuales!$H$40="Todos",datos_base!$K$11+datos_base!$K$25,0))*parametros_manuales!$K$105+parametros_manuales!$G$40*(datos_base!$K$5+datos_base!$K$21+IF(parametros_manuales!$H$40="Todos",datos_base!$K$12+datos_base!$K$26,0))*parametros_manuales!$K$110)*parametros_manuales!$I$40*parametros_manuales!$J$40</f>
        <v>6296.431967355</v>
      </c>
      <c r="L266" s="9" t="n">
        <f aca="false">(parametros_manuales!$D$40*(datos_base!$K$2+datos_base!$K$18+IF(parametros_manuales!$H$40="Todos",datos_base!$K$9+datos_base!$K$23,0))*parametros_manuales!$L$95+parametros_manuales!$E$40*(datos_base!$K$3+datos_base!$K$19+IF(parametros_manuales!$H$40="Todos",datos_base!$K$10+datos_base!$K$24,0))*parametros_manuales!$L$100+parametros_manuales!$F$40*(datos_base!$K$4+datos_base!$K$20+IF(parametros_manuales!$H$40="Todos",datos_base!$K$11+datos_base!$K$25,0))*parametros_manuales!$L$105+parametros_manuales!$G$40*(datos_base!$K$5+datos_base!$K$21+IF(parametros_manuales!$H$40="Todos",datos_base!$K$12+datos_base!$K$26,0))*parametros_manuales!$L$110)*parametros_manuales!$I$40*parametros_manuales!$J$40</f>
        <v>6497.01399357</v>
      </c>
      <c r="M266" s="9" t="n">
        <f aca="false">(parametros_manuales!$D$40*(datos_base!$K$2+datos_base!$K$18+IF(parametros_manuales!$H$40="Todos",datos_base!$K$9+datos_base!$K$23,0))*parametros_manuales!$M$95+parametros_manuales!$E$40*(datos_base!$K$3+datos_base!$K$19+IF(parametros_manuales!$H$40="Todos",datos_base!$K$10+datos_base!$K$24,0))*parametros_manuales!$M$100+parametros_manuales!$F$40*(datos_base!$K$4+datos_base!$K$20+IF(parametros_manuales!$H$40="Todos",datos_base!$K$11+datos_base!$K$25,0))*parametros_manuales!$M$105+parametros_manuales!$G$40*(datos_base!$K$5+datos_base!$K$21+IF(parametros_manuales!$H$40="Todos",datos_base!$K$12+datos_base!$K$26,0))*parametros_manuales!$M$110)*parametros_manuales!$I$40*parametros_manuales!$J$40</f>
        <v>6497.01399357</v>
      </c>
      <c r="N266" s="9" t="n">
        <f aca="false">SUM(B266:M266)</f>
        <v>72189.044373</v>
      </c>
      <c r="O266" s="9" t="n">
        <f aca="false">MAX(B266:M266)</f>
        <v>6497.01399357</v>
      </c>
      <c r="P266" s="43" t="n">
        <f aca="false">O266/(parametros_manuales!$B$7)</f>
        <v>43.3134266238</v>
      </c>
      <c r="Q266" s="8" t="str">
        <f aca="false">IF(O266=0,"-",INDEX($B$244:$M$244,MATCH(O266,B266:M266,0)))</f>
        <v>Ene</v>
      </c>
    </row>
    <row r="267" customFormat="false" ht="14.25" hidden="false" customHeight="true" outlineLevel="0" collapsed="false">
      <c r="A267" s="8" t="str">
        <f aca="false">parametros_manuales!$B$41</f>
        <v>Control de calidad — Ensayo de pérdidas</v>
      </c>
      <c r="B267" s="9" t="n">
        <f aca="false">(parametros_manuales!$D$41*(datos_base!$K$2+datos_base!$K$18+IF(parametros_manuales!$H$41="Todos",datos_base!$K$9+datos_base!$K$23,0))*parametros_manuales!$B$95+parametros_manuales!$E$41*(datos_base!$K$3+datos_base!$K$19+IF(parametros_manuales!$H$41="Todos",datos_base!$K$10+datos_base!$K$24,0))*parametros_manuales!$B$100+parametros_manuales!$F$41*(datos_base!$K$4+datos_base!$K$20+IF(parametros_manuales!$H$41="Todos",datos_base!$K$11+datos_base!$K$25,0))*parametros_manuales!$B$105+parametros_manuales!$G$41*(datos_base!$K$5+datos_base!$K$21+IF(parametros_manuales!$H$41="Todos",datos_base!$K$12+datos_base!$K$26,0))*parametros_manuales!$B$110)*parametros_manuales!$I$41*parametros_manuales!$J$41</f>
        <v>6497.01399357</v>
      </c>
      <c r="C267" s="9" t="n">
        <f aca="false">(parametros_manuales!$D$41*(datos_base!$K$2+datos_base!$K$18+IF(parametros_manuales!$H$41="Todos",datos_base!$K$9+datos_base!$K$23,0))*parametros_manuales!$C$95+parametros_manuales!$E$41*(datos_base!$K$3+datos_base!$K$19+IF(parametros_manuales!$H$41="Todos",datos_base!$K$10+datos_base!$K$24,0))*parametros_manuales!$C$100+parametros_manuales!$F$41*(datos_base!$K$4+datos_base!$K$20+IF(parametros_manuales!$H$41="Todos",datos_base!$K$11+datos_base!$K$25,0))*parametros_manuales!$C$105+parametros_manuales!$G$41*(datos_base!$K$5+datos_base!$K$21+IF(parametros_manuales!$H$41="Todos",datos_base!$K$12+datos_base!$K$26,0))*parametros_manuales!$C$110)*parametros_manuales!$I$41*parametros_manuales!$J$41</f>
        <v>6095.84994114</v>
      </c>
      <c r="D267" s="9" t="n">
        <f aca="false">(parametros_manuales!$D$41*(datos_base!$K$2+datos_base!$K$18+IF(parametros_manuales!$H$41="Todos",datos_base!$K$9+datos_base!$K$23,0))*parametros_manuales!$D$95+parametros_manuales!$E$41*(datos_base!$K$3+datos_base!$K$19+IF(parametros_manuales!$H$41="Todos",datos_base!$K$10+datos_base!$K$24,0))*parametros_manuales!$D$100+parametros_manuales!$F$41*(datos_base!$K$4+datos_base!$K$20+IF(parametros_manuales!$H$41="Todos",datos_base!$K$11+datos_base!$K$25,0))*parametros_manuales!$D$105+parametros_manuales!$G$41*(datos_base!$K$5+datos_base!$K$21+IF(parametros_manuales!$H$41="Todos",datos_base!$K$12+datos_base!$K$26,0))*parametros_manuales!$D$110)*parametros_manuales!$I$41*parametros_manuales!$J$41</f>
        <v>5975.705576055</v>
      </c>
      <c r="E267" s="9" t="n">
        <f aca="false">(parametros_manuales!$D$41*(datos_base!$K$2+datos_base!$K$18+IF(parametros_manuales!$H$41="Todos",datos_base!$K$9+datos_base!$K$23,0))*parametros_manuales!$E$95+parametros_manuales!$E$41*(datos_base!$K$3+datos_base!$K$19+IF(parametros_manuales!$H$41="Todos",datos_base!$K$10+datos_base!$K$24,0))*parametros_manuales!$E$100+parametros_manuales!$F$41*(datos_base!$K$4+datos_base!$K$20+IF(parametros_manuales!$H$41="Todos",datos_base!$K$11+datos_base!$K$25,0))*parametros_manuales!$E$105+parametros_manuales!$G$41*(datos_base!$K$5+datos_base!$K$21+IF(parametros_manuales!$H$41="Todos",datos_base!$K$12+datos_base!$K$26,0))*parametros_manuales!$E$110)*parametros_manuales!$I$41*parametros_manuales!$J$41</f>
        <v>5815.342380405</v>
      </c>
      <c r="F267" s="9" t="n">
        <f aca="false">(parametros_manuales!$D$41*(datos_base!$K$2+datos_base!$K$18+IF(parametros_manuales!$H$41="Todos",datos_base!$K$9+datos_base!$K$23,0))*parametros_manuales!$F$95+parametros_manuales!$E$41*(datos_base!$K$3+datos_base!$K$19+IF(parametros_manuales!$H$41="Todos",datos_base!$K$10+datos_base!$K$24,0))*parametros_manuales!$F$100+parametros_manuales!$F$41*(datos_base!$K$4+datos_base!$K$20+IF(parametros_manuales!$H$41="Todos",datos_base!$K$11+datos_base!$K$25,0))*parametros_manuales!$F$105+parametros_manuales!$G$41*(datos_base!$K$5+datos_base!$K$21+IF(parametros_manuales!$H$41="Todos",datos_base!$K$12+datos_base!$K$26,0))*parametros_manuales!$F$110)*parametros_manuales!$I$41*parametros_manuales!$J$41</f>
        <v>5454.39715854</v>
      </c>
      <c r="G267" s="9" t="n">
        <f aca="false">(parametros_manuales!$D$41*(datos_base!$K$2+datos_base!$K$18+IF(parametros_manuales!$H$41="Todos",datos_base!$K$9+datos_base!$K$23,0))*parametros_manuales!$G$95+parametros_manuales!$E$41*(datos_base!$K$3+datos_base!$K$19+IF(parametros_manuales!$H$41="Todos",datos_base!$K$10+datos_base!$K$24,0))*parametros_manuales!$G$100+parametros_manuales!$F$41*(datos_base!$K$4+datos_base!$K$20+IF(parametros_manuales!$H$41="Todos",datos_base!$K$11+datos_base!$K$25,0))*parametros_manuales!$G$105+parametros_manuales!$G$41*(datos_base!$K$5+datos_base!$K$21+IF(parametros_manuales!$H$41="Todos",datos_base!$K$12+datos_base!$K$26,0))*parametros_manuales!$G$110)*parametros_manuales!$I$41*parametros_manuales!$J$41</f>
        <v>5253.815132325</v>
      </c>
      <c r="H267" s="9" t="n">
        <f aca="false">(parametros_manuales!$D$41*(datos_base!$K$2+datos_base!$K$18+IF(parametros_manuales!$H$41="Todos",datos_base!$K$9+datos_base!$K$23,0))*parametros_manuales!$H$95+parametros_manuales!$E$41*(datos_base!$K$3+datos_base!$K$19+IF(parametros_manuales!$H$41="Todos",datos_base!$K$10+datos_base!$K$24,0))*parametros_manuales!$H$100+parametros_manuales!$F$41*(datos_base!$K$4+datos_base!$K$20+IF(parametros_manuales!$H$41="Todos",datos_base!$K$11+datos_base!$K$25,0))*parametros_manuales!$H$105+parametros_manuales!$G$41*(datos_base!$K$5+datos_base!$K$21+IF(parametros_manuales!$H$41="Todos",datos_base!$K$12+datos_base!$K$26,0))*parametros_manuales!$H$110)*parametros_manuales!$I$41*parametros_manuales!$J$41</f>
        <v>5614.76035419</v>
      </c>
      <c r="I267" s="9" t="n">
        <f aca="false">(parametros_manuales!$D$41*(datos_base!$K$2+datos_base!$K$18+IF(parametros_manuales!$H$41="Todos",datos_base!$K$9+datos_base!$K$23,0))*parametros_manuales!$I$95+parametros_manuales!$E$41*(datos_base!$K$3+datos_base!$K$19+IF(parametros_manuales!$H$41="Todos",datos_base!$K$10+datos_base!$K$24,0))*parametros_manuales!$I$100+parametros_manuales!$F$41*(datos_base!$K$4+datos_base!$K$20+IF(parametros_manuales!$H$41="Todos",datos_base!$K$11+datos_base!$K$25,0))*parametros_manuales!$I$105+parametros_manuales!$G$41*(datos_base!$K$5+datos_base!$K$21+IF(parametros_manuales!$H$41="Todos",datos_base!$K$12+datos_base!$K$26,0))*parametros_manuales!$I$110)*parametros_manuales!$I$41*parametros_manuales!$J$41</f>
        <v>6095.84994114</v>
      </c>
      <c r="J267" s="9" t="n">
        <f aca="false">(parametros_manuales!$D$41*(datos_base!$K$2+datos_base!$K$18+IF(parametros_manuales!$H$41="Todos",datos_base!$K$9+datos_base!$K$23,0))*parametros_manuales!$J$95+parametros_manuales!$E$41*(datos_base!$K$3+datos_base!$K$19+IF(parametros_manuales!$H$41="Todos",datos_base!$K$10+datos_base!$K$24,0))*parametros_manuales!$J$100+parametros_manuales!$F$41*(datos_base!$K$4+datos_base!$K$20+IF(parametros_manuales!$H$41="Todos",datos_base!$K$11+datos_base!$K$25,0))*parametros_manuales!$J$105+parametros_manuales!$G$41*(datos_base!$K$5+datos_base!$K$21+IF(parametros_manuales!$H$41="Todos",datos_base!$K$12+datos_base!$K$26,0))*parametros_manuales!$J$110)*parametros_manuales!$I$41*parametros_manuales!$J$41</f>
        <v>6095.84994114</v>
      </c>
      <c r="K267" s="9" t="n">
        <f aca="false">(parametros_manuales!$D$41*(datos_base!$K$2+datos_base!$K$18+IF(parametros_manuales!$H$41="Todos",datos_base!$K$9+datos_base!$K$23,0))*parametros_manuales!$K$95+parametros_manuales!$E$41*(datos_base!$K$3+datos_base!$K$19+IF(parametros_manuales!$H$41="Todos",datos_base!$K$10+datos_base!$K$24,0))*parametros_manuales!$K$100+parametros_manuales!$F$41*(datos_base!$K$4+datos_base!$K$20+IF(parametros_manuales!$H$41="Todos",datos_base!$K$11+datos_base!$K$25,0))*parametros_manuales!$K$105+parametros_manuales!$G$41*(datos_base!$K$5+datos_base!$K$21+IF(parametros_manuales!$H$41="Todos",datos_base!$K$12+datos_base!$K$26,0))*parametros_manuales!$K$110)*parametros_manuales!$I$41*parametros_manuales!$J$41</f>
        <v>6296.431967355</v>
      </c>
      <c r="L267" s="9" t="n">
        <f aca="false">(parametros_manuales!$D$41*(datos_base!$K$2+datos_base!$K$18+IF(parametros_manuales!$H$41="Todos",datos_base!$K$9+datos_base!$K$23,0))*parametros_manuales!$L$95+parametros_manuales!$E$41*(datos_base!$K$3+datos_base!$K$19+IF(parametros_manuales!$H$41="Todos",datos_base!$K$10+datos_base!$K$24,0))*parametros_manuales!$L$100+parametros_manuales!$F$41*(datos_base!$K$4+datos_base!$K$20+IF(parametros_manuales!$H$41="Todos",datos_base!$K$11+datos_base!$K$25,0))*parametros_manuales!$L$105+parametros_manuales!$G$41*(datos_base!$K$5+datos_base!$K$21+IF(parametros_manuales!$H$41="Todos",datos_base!$K$12+datos_base!$K$26,0))*parametros_manuales!$L$110)*parametros_manuales!$I$41*parametros_manuales!$J$41</f>
        <v>6497.01399357</v>
      </c>
      <c r="M267" s="9" t="n">
        <f aca="false">(parametros_manuales!$D$41*(datos_base!$K$2+datos_base!$K$18+IF(parametros_manuales!$H$41="Todos",datos_base!$K$9+datos_base!$K$23,0))*parametros_manuales!$M$95+parametros_manuales!$E$41*(datos_base!$K$3+datos_base!$K$19+IF(parametros_manuales!$H$41="Todos",datos_base!$K$10+datos_base!$K$24,0))*parametros_manuales!$M$100+parametros_manuales!$F$41*(datos_base!$K$4+datos_base!$K$20+IF(parametros_manuales!$H$41="Todos",datos_base!$K$11+datos_base!$K$25,0))*parametros_manuales!$M$105+parametros_manuales!$G$41*(datos_base!$K$5+datos_base!$K$21+IF(parametros_manuales!$H$41="Todos",datos_base!$K$12+datos_base!$K$26,0))*parametros_manuales!$M$110)*parametros_manuales!$I$41*parametros_manuales!$J$41</f>
        <v>6497.01399357</v>
      </c>
      <c r="N267" s="9" t="n">
        <f aca="false">SUM(B267:M267)</f>
        <v>72189.044373</v>
      </c>
      <c r="O267" s="9" t="n">
        <f aca="false">MAX(B267:M267)</f>
        <v>6497.01399357</v>
      </c>
      <c r="P267" s="43" t="n">
        <f aca="false">O267/(parametros_manuales!$B$7)</f>
        <v>43.3134266238</v>
      </c>
      <c r="Q267" s="8" t="str">
        <f aca="false">IF(O267=0,"-",INDEX($B$244:$M$244,MATCH(O267,B267:M267,0)))</f>
        <v>Ene</v>
      </c>
    </row>
    <row r="268" customFormat="false" ht="14.25" hidden="false" customHeight="true" outlineLevel="0" collapsed="false">
      <c r="A268" s="8" t="str">
        <f aca="false">parametros_manuales!$B$42</f>
        <v>Etiquetado</v>
      </c>
      <c r="B268" s="9" t="n">
        <f aca="false">(parametros_manuales!$D$42*(datos_base!$K$2+datos_base!$K$18+IF(parametros_manuales!$H$42="Todos",datos_base!$K$9+datos_base!$K$23,0))*parametros_manuales!$B$95+parametros_manuales!$E$42*(datos_base!$K$3+datos_base!$K$19+IF(parametros_manuales!$H$42="Todos",datos_base!$K$10+datos_base!$K$24,0))*parametros_manuales!$B$100+parametros_manuales!$F$42*(datos_base!$K$4+datos_base!$K$20+IF(parametros_manuales!$H$42="Todos",datos_base!$K$11+datos_base!$K$25,0))*parametros_manuales!$B$105+parametros_manuales!$G$42*(datos_base!$K$5+datos_base!$K$21+IF(parametros_manuales!$H$42="Todos",datos_base!$K$12+datos_base!$K$26,0))*parametros_manuales!$B$110)*parametros_manuales!$I$42*parametros_manuales!$J$42</f>
        <v>6497.01399357</v>
      </c>
      <c r="C268" s="9" t="n">
        <f aca="false">(parametros_manuales!$D$42*(datos_base!$K$2+datos_base!$K$18+IF(parametros_manuales!$H$42="Todos",datos_base!$K$9+datos_base!$K$23,0))*parametros_manuales!$C$95+parametros_manuales!$E$42*(datos_base!$K$3+datos_base!$K$19+IF(parametros_manuales!$H$42="Todos",datos_base!$K$10+datos_base!$K$24,0))*parametros_manuales!$C$100+parametros_manuales!$F$42*(datos_base!$K$4+datos_base!$K$20+IF(parametros_manuales!$H$42="Todos",datos_base!$K$11+datos_base!$K$25,0))*parametros_manuales!$C$105+parametros_manuales!$G$42*(datos_base!$K$5+datos_base!$K$21+IF(parametros_manuales!$H$42="Todos",datos_base!$K$12+datos_base!$K$26,0))*parametros_manuales!$C$110)*parametros_manuales!$I$42*parametros_manuales!$J$42</f>
        <v>6095.84994114</v>
      </c>
      <c r="D268" s="9" t="n">
        <f aca="false">(parametros_manuales!$D$42*(datos_base!$K$2+datos_base!$K$18+IF(parametros_manuales!$H$42="Todos",datos_base!$K$9+datos_base!$K$23,0))*parametros_manuales!$D$95+parametros_manuales!$E$42*(datos_base!$K$3+datos_base!$K$19+IF(parametros_manuales!$H$42="Todos",datos_base!$K$10+datos_base!$K$24,0))*parametros_manuales!$D$100+parametros_manuales!$F$42*(datos_base!$K$4+datos_base!$K$20+IF(parametros_manuales!$H$42="Todos",datos_base!$K$11+datos_base!$K$25,0))*parametros_manuales!$D$105+parametros_manuales!$G$42*(datos_base!$K$5+datos_base!$K$21+IF(parametros_manuales!$H$42="Todos",datos_base!$K$12+datos_base!$K$26,0))*parametros_manuales!$D$110)*parametros_manuales!$I$42*parametros_manuales!$J$42</f>
        <v>5975.705576055</v>
      </c>
      <c r="E268" s="9" t="n">
        <f aca="false">(parametros_manuales!$D$42*(datos_base!$K$2+datos_base!$K$18+IF(parametros_manuales!$H$42="Todos",datos_base!$K$9+datos_base!$K$23,0))*parametros_manuales!$E$95+parametros_manuales!$E$42*(datos_base!$K$3+datos_base!$K$19+IF(parametros_manuales!$H$42="Todos",datos_base!$K$10+datos_base!$K$24,0))*parametros_manuales!$E$100+parametros_manuales!$F$42*(datos_base!$K$4+datos_base!$K$20+IF(parametros_manuales!$H$42="Todos",datos_base!$K$11+datos_base!$K$25,0))*parametros_manuales!$E$105+parametros_manuales!$G$42*(datos_base!$K$5+datos_base!$K$21+IF(parametros_manuales!$H$42="Todos",datos_base!$K$12+datos_base!$K$26,0))*parametros_manuales!$E$110)*parametros_manuales!$I$42*parametros_manuales!$J$42</f>
        <v>5815.342380405</v>
      </c>
      <c r="F268" s="9" t="n">
        <f aca="false">(parametros_manuales!$D$42*(datos_base!$K$2+datos_base!$K$18+IF(parametros_manuales!$H$42="Todos",datos_base!$K$9+datos_base!$K$23,0))*parametros_manuales!$F$95+parametros_manuales!$E$42*(datos_base!$K$3+datos_base!$K$19+IF(parametros_manuales!$H$42="Todos",datos_base!$K$10+datos_base!$K$24,0))*parametros_manuales!$F$100+parametros_manuales!$F$42*(datos_base!$K$4+datos_base!$K$20+IF(parametros_manuales!$H$42="Todos",datos_base!$K$11+datos_base!$K$25,0))*parametros_manuales!$F$105+parametros_manuales!$G$42*(datos_base!$K$5+datos_base!$K$21+IF(parametros_manuales!$H$42="Todos",datos_base!$K$12+datos_base!$K$26,0))*parametros_manuales!$F$110)*parametros_manuales!$I$42*parametros_manuales!$J$42</f>
        <v>5454.39715854</v>
      </c>
      <c r="G268" s="9" t="n">
        <f aca="false">(parametros_manuales!$D$42*(datos_base!$K$2+datos_base!$K$18+IF(parametros_manuales!$H$42="Todos",datos_base!$K$9+datos_base!$K$23,0))*parametros_manuales!$G$95+parametros_manuales!$E$42*(datos_base!$K$3+datos_base!$K$19+IF(parametros_manuales!$H$42="Todos",datos_base!$K$10+datos_base!$K$24,0))*parametros_manuales!$G$100+parametros_manuales!$F$42*(datos_base!$K$4+datos_base!$K$20+IF(parametros_manuales!$H$42="Todos",datos_base!$K$11+datos_base!$K$25,0))*parametros_manuales!$G$105+parametros_manuales!$G$42*(datos_base!$K$5+datos_base!$K$21+IF(parametros_manuales!$H$42="Todos",datos_base!$K$12+datos_base!$K$26,0))*parametros_manuales!$G$110)*parametros_manuales!$I$42*parametros_manuales!$J$42</f>
        <v>5253.815132325</v>
      </c>
      <c r="H268" s="9" t="n">
        <f aca="false">(parametros_manuales!$D$42*(datos_base!$K$2+datos_base!$K$18+IF(parametros_manuales!$H$42="Todos",datos_base!$K$9+datos_base!$K$23,0))*parametros_manuales!$H$95+parametros_manuales!$E$42*(datos_base!$K$3+datos_base!$K$19+IF(parametros_manuales!$H$42="Todos",datos_base!$K$10+datos_base!$K$24,0))*parametros_manuales!$H$100+parametros_manuales!$F$42*(datos_base!$K$4+datos_base!$K$20+IF(parametros_manuales!$H$42="Todos",datos_base!$K$11+datos_base!$K$25,0))*parametros_manuales!$H$105+parametros_manuales!$G$42*(datos_base!$K$5+datos_base!$K$21+IF(parametros_manuales!$H$42="Todos",datos_base!$K$12+datos_base!$K$26,0))*parametros_manuales!$H$110)*parametros_manuales!$I$42*parametros_manuales!$J$42</f>
        <v>5614.76035419</v>
      </c>
      <c r="I268" s="9" t="n">
        <f aca="false">(parametros_manuales!$D$42*(datos_base!$K$2+datos_base!$K$18+IF(parametros_manuales!$H$42="Todos",datos_base!$K$9+datos_base!$K$23,0))*parametros_manuales!$I$95+parametros_manuales!$E$42*(datos_base!$K$3+datos_base!$K$19+IF(parametros_manuales!$H$42="Todos",datos_base!$K$10+datos_base!$K$24,0))*parametros_manuales!$I$100+parametros_manuales!$F$42*(datos_base!$K$4+datos_base!$K$20+IF(parametros_manuales!$H$42="Todos",datos_base!$K$11+datos_base!$K$25,0))*parametros_manuales!$I$105+parametros_manuales!$G$42*(datos_base!$K$5+datos_base!$K$21+IF(parametros_manuales!$H$42="Todos",datos_base!$K$12+datos_base!$K$26,0))*parametros_manuales!$I$110)*parametros_manuales!$I$42*parametros_manuales!$J$42</f>
        <v>6095.84994114</v>
      </c>
      <c r="J268" s="9" t="n">
        <f aca="false">(parametros_manuales!$D$42*(datos_base!$K$2+datos_base!$K$18+IF(parametros_manuales!$H$42="Todos",datos_base!$K$9+datos_base!$K$23,0))*parametros_manuales!$J$95+parametros_manuales!$E$42*(datos_base!$K$3+datos_base!$K$19+IF(parametros_manuales!$H$42="Todos",datos_base!$K$10+datos_base!$K$24,0))*parametros_manuales!$J$100+parametros_manuales!$F$42*(datos_base!$K$4+datos_base!$K$20+IF(parametros_manuales!$H$42="Todos",datos_base!$K$11+datos_base!$K$25,0))*parametros_manuales!$J$105+parametros_manuales!$G$42*(datos_base!$K$5+datos_base!$K$21+IF(parametros_manuales!$H$42="Todos",datos_base!$K$12+datos_base!$K$26,0))*parametros_manuales!$J$110)*parametros_manuales!$I$42*parametros_manuales!$J$42</f>
        <v>6095.84994114</v>
      </c>
      <c r="K268" s="9" t="n">
        <f aca="false">(parametros_manuales!$D$42*(datos_base!$K$2+datos_base!$K$18+IF(parametros_manuales!$H$42="Todos",datos_base!$K$9+datos_base!$K$23,0))*parametros_manuales!$K$95+parametros_manuales!$E$42*(datos_base!$K$3+datos_base!$K$19+IF(parametros_manuales!$H$42="Todos",datos_base!$K$10+datos_base!$K$24,0))*parametros_manuales!$K$100+parametros_manuales!$F$42*(datos_base!$K$4+datos_base!$K$20+IF(parametros_manuales!$H$42="Todos",datos_base!$K$11+datos_base!$K$25,0))*parametros_manuales!$K$105+parametros_manuales!$G$42*(datos_base!$K$5+datos_base!$K$21+IF(parametros_manuales!$H$42="Todos",datos_base!$K$12+datos_base!$K$26,0))*parametros_manuales!$K$110)*parametros_manuales!$I$42*parametros_manuales!$J$42</f>
        <v>6296.431967355</v>
      </c>
      <c r="L268" s="9" t="n">
        <f aca="false">(parametros_manuales!$D$42*(datos_base!$K$2+datos_base!$K$18+IF(parametros_manuales!$H$42="Todos",datos_base!$K$9+datos_base!$K$23,0))*parametros_manuales!$L$95+parametros_manuales!$E$42*(datos_base!$K$3+datos_base!$K$19+IF(parametros_manuales!$H$42="Todos",datos_base!$K$10+datos_base!$K$24,0))*parametros_manuales!$L$100+parametros_manuales!$F$42*(datos_base!$K$4+datos_base!$K$20+IF(parametros_manuales!$H$42="Todos",datos_base!$K$11+datos_base!$K$25,0))*parametros_manuales!$L$105+parametros_manuales!$G$42*(datos_base!$K$5+datos_base!$K$21+IF(parametros_manuales!$H$42="Todos",datos_base!$K$12+datos_base!$K$26,0))*parametros_manuales!$L$110)*parametros_manuales!$I$42*parametros_manuales!$J$42</f>
        <v>6497.01399357</v>
      </c>
      <c r="M268" s="9" t="n">
        <f aca="false">(parametros_manuales!$D$42*(datos_base!$K$2+datos_base!$K$18+IF(parametros_manuales!$H$42="Todos",datos_base!$K$9+datos_base!$K$23,0))*parametros_manuales!$M$95+parametros_manuales!$E$42*(datos_base!$K$3+datos_base!$K$19+IF(parametros_manuales!$H$42="Todos",datos_base!$K$10+datos_base!$K$24,0))*parametros_manuales!$M$100+parametros_manuales!$F$42*(datos_base!$K$4+datos_base!$K$20+IF(parametros_manuales!$H$42="Todos",datos_base!$K$11+datos_base!$K$25,0))*parametros_manuales!$M$105+parametros_manuales!$G$42*(datos_base!$K$5+datos_base!$K$21+IF(parametros_manuales!$H$42="Todos",datos_base!$K$12+datos_base!$K$26,0))*parametros_manuales!$M$110)*parametros_manuales!$I$42*parametros_manuales!$J$42</f>
        <v>6497.01399357</v>
      </c>
      <c r="N268" s="9" t="n">
        <f aca="false">SUM(B268:M268)</f>
        <v>72189.044373</v>
      </c>
      <c r="O268" s="9" t="n">
        <f aca="false">MAX(B268:M268)</f>
        <v>6497.01399357</v>
      </c>
      <c r="P268" s="43" t="n">
        <f aca="false">O268/(parametros_manuales!$B$7)</f>
        <v>43.3134266238</v>
      </c>
      <c r="Q268" s="8" t="str">
        <f aca="false">IF(O268=0,"-",INDEX($B$244:$M$244,MATCH(O268,B268:M268,0)))</f>
        <v>Ene</v>
      </c>
    </row>
    <row r="269" customFormat="false" ht="14.25" hidden="false" customHeight="true" outlineLevel="0" collapsed="false">
      <c r="A269" s="8" t="str">
        <f aca="false">parametros_manuales!$B$43</f>
        <v>Embalaje y paletizado</v>
      </c>
      <c r="B269" s="9" t="n">
        <f aca="false">(parametros_manuales!$D$43*(datos_base!$K$2+datos_base!$K$18+IF(parametros_manuales!$H$43="Todos",datos_base!$K$9+datos_base!$K$23,0))*parametros_manuales!$B$95+parametros_manuales!$E$43*(datos_base!$K$3+datos_base!$K$19+IF(parametros_manuales!$H$43="Todos",datos_base!$K$10+datos_base!$K$24,0))*parametros_manuales!$B$100+parametros_manuales!$F$43*(datos_base!$K$4+datos_base!$K$20+IF(parametros_manuales!$H$43="Todos",datos_base!$K$11+datos_base!$K$25,0))*parametros_manuales!$B$105+parametros_manuales!$G$43*(datos_base!$K$5+datos_base!$K$21+IF(parametros_manuales!$H$43="Todos",datos_base!$K$12+datos_base!$K$26,0))*parametros_manuales!$B$110)*parametros_manuales!$I$43*parametros_manuales!$J$43</f>
        <v>25606.33599357</v>
      </c>
      <c r="C269" s="9" t="n">
        <f aca="false">(parametros_manuales!$D$43*(datos_base!$K$2+datos_base!$K$18+IF(parametros_manuales!$H$43="Todos",datos_base!$K$9+datos_base!$K$23,0))*parametros_manuales!$C$95+parametros_manuales!$E$43*(datos_base!$K$3+datos_base!$K$19+IF(parametros_manuales!$H$43="Todos",datos_base!$K$10+datos_base!$K$24,0))*parametros_manuales!$C$100+parametros_manuales!$F$43*(datos_base!$K$4+datos_base!$K$20+IF(parametros_manuales!$H$43="Todos",datos_base!$K$11+datos_base!$K$25,0))*parametros_manuales!$C$105+parametros_manuales!$G$43*(datos_base!$K$5+datos_base!$K$21+IF(parametros_manuales!$H$43="Todos",datos_base!$K$12+datos_base!$K$26,0))*parametros_manuales!$C$110)*parametros_manuales!$I$43*parametros_manuales!$J$43</f>
        <v>24787.39394114</v>
      </c>
      <c r="D269" s="9" t="n">
        <f aca="false">(parametros_manuales!$D$43*(datos_base!$K$2+datos_base!$K$18+IF(parametros_manuales!$H$43="Todos",datos_base!$K$9+datos_base!$K$23,0))*parametros_manuales!$D$95+parametros_manuales!$E$43*(datos_base!$K$3+datos_base!$K$19+IF(parametros_manuales!$H$43="Todos",datos_base!$K$10+datos_base!$K$24,0))*parametros_manuales!$D$100+parametros_manuales!$F$43*(datos_base!$K$4+datos_base!$K$20+IF(parametros_manuales!$H$43="Todos",datos_base!$K$11+datos_base!$K$25,0))*parametros_manuales!$D$105+parametros_manuales!$G$43*(datos_base!$K$5+datos_base!$K$21+IF(parametros_manuales!$H$43="Todos",datos_base!$K$12+datos_base!$K$26,0))*parametros_manuales!$D$110)*parametros_manuales!$I$43*parametros_manuales!$J$43</f>
        <v>23170.658576055</v>
      </c>
      <c r="E269" s="9" t="n">
        <f aca="false">(parametros_manuales!$D$43*(datos_base!$K$2+datos_base!$K$18+IF(parametros_manuales!$H$43="Todos",datos_base!$K$9+datos_base!$K$23,0))*parametros_manuales!$E$95+parametros_manuales!$E$43*(datos_base!$K$3+datos_base!$K$19+IF(parametros_manuales!$H$43="Todos",datos_base!$K$10+datos_base!$K$24,0))*parametros_manuales!$E$100+parametros_manuales!$F$43*(datos_base!$K$4+datos_base!$K$20+IF(parametros_manuales!$H$43="Todos",datos_base!$K$11+datos_base!$K$25,0))*parametros_manuales!$E$105+parametros_manuales!$G$43*(datos_base!$K$5+datos_base!$K$21+IF(parametros_manuales!$H$43="Todos",datos_base!$K$12+datos_base!$K$26,0))*parametros_manuales!$E$110)*parametros_manuales!$I$43*parametros_manuales!$J$43</f>
        <v>22157.555380405</v>
      </c>
      <c r="F269" s="9" t="n">
        <f aca="false">(parametros_manuales!$D$43*(datos_base!$K$2+datos_base!$K$18+IF(parametros_manuales!$H$43="Todos",datos_base!$K$9+datos_base!$K$23,0))*parametros_manuales!$F$95+parametros_manuales!$E$43*(datos_base!$K$3+datos_base!$K$19+IF(parametros_manuales!$H$43="Todos",datos_base!$K$10+datos_base!$K$24,0))*parametros_manuales!$F$100+parametros_manuales!$F$43*(datos_base!$K$4+datos_base!$K$20+IF(parametros_manuales!$H$43="Todos",datos_base!$K$11+datos_base!$K$25,0))*parametros_manuales!$F$105+parametros_manuales!$G$43*(datos_base!$K$5+datos_base!$K$21+IF(parametros_manuales!$H$43="Todos",datos_base!$K$12+datos_base!$K$26,0))*parametros_manuales!$F$110)*parametros_manuales!$I$43*parametros_manuales!$J$43</f>
        <v>20734.98115854</v>
      </c>
      <c r="G269" s="9" t="n">
        <f aca="false">(parametros_manuales!$D$43*(datos_base!$K$2+datos_base!$K$18+IF(parametros_manuales!$H$43="Todos",datos_base!$K$9+datos_base!$K$23,0))*parametros_manuales!$G$95+parametros_manuales!$E$43*(datos_base!$K$3+datos_base!$K$19+IF(parametros_manuales!$H$43="Todos",datos_base!$K$10+datos_base!$K$24,0))*parametros_manuales!$G$100+parametros_manuales!$F$43*(datos_base!$K$4+datos_base!$K$20+IF(parametros_manuales!$H$43="Todos",datos_base!$K$11+datos_base!$K$25,0))*parametros_manuales!$G$105+parametros_manuales!$G$43*(datos_base!$K$5+datos_base!$K$21+IF(parametros_manuales!$H$43="Todos",datos_base!$K$12+datos_base!$K$26,0))*parametros_manuales!$G$110)*parametros_manuales!$I$43*parametros_manuales!$J$43</f>
        <v>20325.510132325</v>
      </c>
      <c r="H269" s="9" t="n">
        <f aca="false">(parametros_manuales!$D$43*(datos_base!$K$2+datos_base!$K$18+IF(parametros_manuales!$H$43="Todos",datos_base!$K$9+datos_base!$K$23,0))*parametros_manuales!$H$95+parametros_manuales!$E$43*(datos_base!$K$3+datos_base!$K$19+IF(parametros_manuales!$H$43="Todos",datos_base!$K$10+datos_base!$K$24,0))*parametros_manuales!$H$100+parametros_manuales!$F$43*(datos_base!$K$4+datos_base!$K$20+IF(parametros_manuales!$H$43="Todos",datos_base!$K$11+datos_base!$K$25,0))*parametros_manuales!$H$105+parametros_manuales!$G$43*(datos_base!$K$5+datos_base!$K$21+IF(parametros_manuales!$H$43="Todos",datos_base!$K$12+datos_base!$K$26,0))*parametros_manuales!$H$110)*parametros_manuales!$I$43*parametros_manuales!$J$43</f>
        <v>21748.08435419</v>
      </c>
      <c r="I269" s="9" t="n">
        <f aca="false">(parametros_manuales!$D$43*(datos_base!$K$2+datos_base!$K$18+IF(parametros_manuales!$H$43="Todos",datos_base!$K$9+datos_base!$K$23,0))*parametros_manuales!$I$95+parametros_manuales!$E$43*(datos_base!$K$3+datos_base!$K$19+IF(parametros_manuales!$H$43="Todos",datos_base!$K$10+datos_base!$K$24,0))*parametros_manuales!$I$100+parametros_manuales!$F$43*(datos_base!$K$4+datos_base!$K$20+IF(parametros_manuales!$H$43="Todos",datos_base!$K$11+datos_base!$K$25,0))*parametros_manuales!$I$105+parametros_manuales!$G$43*(datos_base!$K$5+datos_base!$K$21+IF(parametros_manuales!$H$43="Todos",datos_base!$K$12+datos_base!$K$26,0))*parametros_manuales!$I$110)*parametros_manuales!$I$43*parametros_manuales!$J$43</f>
        <v>24787.39394114</v>
      </c>
      <c r="J269" s="9" t="n">
        <f aca="false">(parametros_manuales!$D$43*(datos_base!$K$2+datos_base!$K$18+IF(parametros_manuales!$H$43="Todos",datos_base!$K$9+datos_base!$K$23,0))*parametros_manuales!$J$95+parametros_manuales!$E$43*(datos_base!$K$3+datos_base!$K$19+IF(parametros_manuales!$H$43="Todos",datos_base!$K$10+datos_base!$K$24,0))*parametros_manuales!$J$100+parametros_manuales!$F$43*(datos_base!$K$4+datos_base!$K$20+IF(parametros_manuales!$H$43="Todos",datos_base!$K$11+datos_base!$K$25,0))*parametros_manuales!$J$105+parametros_manuales!$G$43*(datos_base!$K$5+datos_base!$K$21+IF(parametros_manuales!$H$43="Todos",datos_base!$K$12+datos_base!$K$26,0))*parametros_manuales!$J$110)*parametros_manuales!$I$43*parametros_manuales!$J$43</f>
        <v>24787.39394114</v>
      </c>
      <c r="K269" s="9" t="n">
        <f aca="false">(parametros_manuales!$D$43*(datos_base!$K$2+datos_base!$K$18+IF(parametros_manuales!$H$43="Todos",datos_base!$K$9+datos_base!$K$23,0))*parametros_manuales!$K$95+parametros_manuales!$E$43*(datos_base!$K$3+datos_base!$K$19+IF(parametros_manuales!$H$43="Todos",datos_base!$K$10+datos_base!$K$24,0))*parametros_manuales!$K$100+parametros_manuales!$F$43*(datos_base!$K$4+datos_base!$K$20+IF(parametros_manuales!$H$43="Todos",datos_base!$K$11+datos_base!$K$25,0))*parametros_manuales!$K$105+parametros_manuales!$G$43*(datos_base!$K$5+datos_base!$K$21+IF(parametros_manuales!$H$43="Todos",datos_base!$K$12+datos_base!$K$26,0))*parametros_manuales!$K$110)*parametros_manuales!$I$43*parametros_manuales!$J$43</f>
        <v>25196.864967355</v>
      </c>
      <c r="L269" s="9" t="n">
        <f aca="false">(parametros_manuales!$D$43*(datos_base!$K$2+datos_base!$K$18+IF(parametros_manuales!$H$43="Todos",datos_base!$K$9+datos_base!$K$23,0))*parametros_manuales!$L$95+parametros_manuales!$E$43*(datos_base!$K$3+datos_base!$K$19+IF(parametros_manuales!$H$43="Todos",datos_base!$K$10+datos_base!$K$24,0))*parametros_manuales!$L$100+parametros_manuales!$F$43*(datos_base!$K$4+datos_base!$K$20+IF(parametros_manuales!$H$43="Todos",datos_base!$K$11+datos_base!$K$25,0))*parametros_manuales!$L$105+parametros_manuales!$G$43*(datos_base!$K$5+datos_base!$K$21+IF(parametros_manuales!$H$43="Todos",datos_base!$K$12+datos_base!$K$26,0))*parametros_manuales!$L$110)*parametros_manuales!$I$43*parametros_manuales!$J$43</f>
        <v>25606.33599357</v>
      </c>
      <c r="M269" s="9" t="n">
        <f aca="false">(parametros_manuales!$D$43*(datos_base!$K$2+datos_base!$K$18+IF(parametros_manuales!$H$43="Todos",datos_base!$K$9+datos_base!$K$23,0))*parametros_manuales!$M$95+parametros_manuales!$E$43*(datos_base!$K$3+datos_base!$K$19+IF(parametros_manuales!$H$43="Todos",datos_base!$K$10+datos_base!$K$24,0))*parametros_manuales!$M$100+parametros_manuales!$F$43*(datos_base!$K$4+datos_base!$K$20+IF(parametros_manuales!$H$43="Todos",datos_base!$K$11+datos_base!$K$25,0))*parametros_manuales!$M$105+parametros_manuales!$G$43*(datos_base!$K$5+datos_base!$K$21+IF(parametros_manuales!$H$43="Todos",datos_base!$K$12+datos_base!$K$26,0))*parametros_manuales!$M$110)*parametros_manuales!$I$43*parametros_manuales!$J$43</f>
        <v>25606.33599357</v>
      </c>
      <c r="N269" s="9" t="n">
        <f aca="false">SUM(B269:M269)</f>
        <v>284514.844373</v>
      </c>
      <c r="O269" s="9" t="n">
        <f aca="false">MAX(B269:M269)</f>
        <v>25606.33599357</v>
      </c>
      <c r="P269" s="43" t="n">
        <f aca="false">O269/(parametros_manuales!$B$7)</f>
        <v>170.7089066238</v>
      </c>
      <c r="Q269" s="8" t="str">
        <f aca="false">IF(O269=0,"-",INDEX($B$244:$M$244,MATCH(O269,B269:M269,0)))</f>
        <v>Ene</v>
      </c>
    </row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11" min="2" style="1" width="10"/>
    <col collapsed="false" customWidth="true" hidden="false" outlineLevel="0" max="12" min="12" style="1" width="8.57"/>
    <col collapsed="false" customWidth="true" hidden="false" outlineLevel="0" max="13" min="13" style="1" width="34.71"/>
    <col collapsed="false" customWidth="true" hidden="false" outlineLevel="0" max="15" min="14" style="1" width="8.57"/>
  </cols>
  <sheetData>
    <row r="1" customFormat="false" ht="14.25" hidden="false" customHeight="true" outlineLevel="0" collapsed="false">
      <c r="A1" s="57" t="s">
        <v>200</v>
      </c>
      <c r="B1" s="57" t="n">
        <v>2026</v>
      </c>
      <c r="C1" s="57" t="n">
        <v>2027</v>
      </c>
      <c r="D1" s="57" t="n">
        <v>2028</v>
      </c>
      <c r="E1" s="57" t="n">
        <v>2029</v>
      </c>
      <c r="F1" s="57" t="n">
        <v>2030</v>
      </c>
      <c r="G1" s="57" t="n">
        <v>2031</v>
      </c>
      <c r="H1" s="57" t="n">
        <v>2032</v>
      </c>
      <c r="I1" s="57" t="n">
        <v>2033</v>
      </c>
      <c r="J1" s="57" t="n">
        <v>2034</v>
      </c>
      <c r="K1" s="57" t="n">
        <v>2035</v>
      </c>
      <c r="L1" s="57" t="s">
        <v>201</v>
      </c>
      <c r="O1" s="56" t="s">
        <v>215</v>
      </c>
    </row>
    <row r="2" customFormat="false" ht="14.25" hidden="false" customHeight="true" outlineLevel="0" collapsed="false">
      <c r="A2" s="8" t="str">
        <f aca="false">parametros_manuales!$B$19</f>
        <v>Recepción de materia prima</v>
      </c>
      <c r="B2" s="45" t="n">
        <f aca="false">IF(B30*B58*parametros_manuales!$M$19*parametros_manuales!$B$6=0,0,'Demanda puesto con sobrestock'!$P$2/(parametros_manuales!$M$19*B30*B58*parametros_manuales!$B$6))</f>
        <v>0.0686537310673</v>
      </c>
      <c r="C2" s="45" t="n">
        <f aca="false">IF(C30*C58*parametros_manuales!$M$19*parametros_manuales!$B$6=0,0,'Demanda puesto con sobrestock'!$P$29/(parametros_manuales!$M$19*C30*C58*parametros_manuales!$B$6))</f>
        <v>0.10859777605</v>
      </c>
      <c r="D2" s="45" t="n">
        <f aca="false">IF(D30*D58*parametros_manuales!$M$19*parametros_manuales!$B$6=0,0,'Demanda puesto con sobrestock'!$P$56/(parametros_manuales!$M$19*D30*D58*parametros_manuales!$B$6))</f>
        <v>0.229398521864</v>
      </c>
      <c r="E2" s="45" t="n">
        <f aca="false">IF(E30*E58*parametros_manuales!$M$19*parametros_manuales!$B$6=0,0,'Demanda puesto con sobrestock'!$P$83/(parametros_manuales!$M$19*E30*E58*parametros_manuales!$B$6))</f>
        <v>0.507178295301</v>
      </c>
      <c r="F2" s="46" t="n">
        <f aca="false">IF(F30*F58*parametros_manuales!$M$19*parametros_manuales!$B$6=0,0,'Demanda puesto con sobrestock'!$P$110/(parametros_manuales!$M$19*F30*F58*parametros_manuales!$B$6))</f>
        <v>0.4413762276395</v>
      </c>
      <c r="G2" s="58" t="n">
        <f aca="false">IF(G30*G58*parametros_manuales!$M$19*parametros_manuales!$B$6=0,0,'Demanda puesto con sobrestock'!$P$137/(parametros_manuales!$M$19*G30*G58*parametros_manuales!$B$6))</f>
        <v>0.619673660495</v>
      </c>
      <c r="H2" s="46" t="n">
        <f aca="false">IF(H30*H58*parametros_manuales!$M$19*parametros_manuales!$B$6=0,0,'Demanda puesto con sobrestock'!$P$164/(parametros_manuales!$M$19*H30*H58*parametros_manuales!$B$6))</f>
        <v>0.4269456729225</v>
      </c>
      <c r="I2" s="58" t="n">
        <f aca="false">IF(I30*I58*parametros_manuales!$M$19*parametros_manuales!$B$6=0,0,'Demanda puesto con sobrestock'!$P$191/(parametros_manuales!$M$19*I30*I58*parametros_manuales!$B$6))</f>
        <v>0.5456041406225</v>
      </c>
      <c r="J2" s="45" t="n">
        <f aca="false">IF(J30*J58*parametros_manuales!$M$19*parametros_manuales!$B$6=0,0,'Demanda puesto con sobrestock'!$P$218/(parametros_manuales!$M$19*J30*J58*parametros_manuales!$B$6))</f>
        <v>0.6156174924675</v>
      </c>
      <c r="K2" s="45" t="n">
        <f aca="false">IF(K30*K58*parametros_manuales!$M$19*parametros_manuales!$B$6=0,0,'Demanda puesto con sobrestock'!$P$245/(parametros_manuales!$M$19*K30*K58*parametros_manuales!$B$6))</f>
        <v>0.7112871109325</v>
      </c>
      <c r="L2" s="8" t="s">
        <v>202</v>
      </c>
    </row>
    <row r="3" customFormat="false" ht="14.25" hidden="false" customHeight="true" outlineLevel="0" collapsed="false">
      <c r="A3" s="8" t="str">
        <f aca="false">parametros_manuales!$B$20</f>
        <v>Corte de chapa (guillotina) — 2,5 a 10 kg</v>
      </c>
      <c r="B3" s="45" t="n">
        <f aca="false">IF(B31*B59*parametros_manuales!$M$20*parametros_manuales!$B$6=0,0,'Demanda puesto con sobrestock'!$P$3/(parametros_manuales!$M$20*B31*B59*parametros_manuales!$B$6))</f>
        <v>0.0405700152241107</v>
      </c>
      <c r="C3" s="45" t="n">
        <f aca="false">IF(C31*C59*parametros_manuales!$M$20*parametros_manuales!$B$6=0,0,'Demanda puesto con sobrestock'!$P$30/(parametros_manuales!$M$20*C31*C59*parametros_manuales!$B$6))</f>
        <v>0.0734266151879195</v>
      </c>
      <c r="D3" s="45" t="n">
        <f aca="false">IF(D31*D59*parametros_manuales!$M$20*parametros_manuales!$B$6=0,0,'Demanda puesto con sobrestock'!$P$57/(parametros_manuales!$M$20*D31*D59*parametros_manuales!$B$6))</f>
        <v>0.127233791704027</v>
      </c>
      <c r="E3" s="45" t="n">
        <f aca="false">IF(E31*E59*parametros_manuales!$M$20*parametros_manuales!$B$6=0,0,'Demanda puesto con sobrestock'!$P$84/(parametros_manuales!$M$20*E31*E59*parametros_manuales!$B$6))</f>
        <v>0.234904439311913</v>
      </c>
      <c r="F3" s="45" t="n">
        <f aca="false">IF(F31*F59*parametros_manuales!$M$20*parametros_manuales!$B$6=0,0,'Demanda puesto con sobrestock'!$P$111/(parametros_manuales!$M$20*F31*F59*parametros_manuales!$B$6))</f>
        <v>0.395030730471644</v>
      </c>
      <c r="G3" s="45" t="n">
        <f aca="false">IF(G31*G59*parametros_manuales!$M$20*parametros_manuales!$B$6=0,0,'Demanda puesto con sobrestock'!$P$138/(parametros_manuales!$M$20*G31*G59*parametros_manuales!$B$6))</f>
        <v>0.553202200102349</v>
      </c>
      <c r="H3" s="45" t="n">
        <f aca="false">IF(H31*H59*parametros_manuales!$M$20*parametros_manuales!$B$6=0,0,'Demanda puesto con sobrestock'!$P$165/(parametros_manuales!$M$20*H31*H59*parametros_manuales!$B$6))</f>
        <v>0.370760103339765</v>
      </c>
      <c r="I3" s="46" t="n">
        <f aca="false">IF(I31*I59*parametros_manuales!$M$20*parametros_manuales!$B$6=0,0,'Demanda puesto con sobrestock'!$P$192/(parametros_manuales!$M$20*I31*I59*parametros_manuales!$B$6))</f>
        <v>0.468940603960571</v>
      </c>
      <c r="J3" s="45" t="n">
        <f aca="false">IF(J31*J59*parametros_manuales!$M$20*parametros_manuales!$B$6=0,0,'Demanda puesto con sobrestock'!$P$219/(parametros_manuales!$M$20*J31*J59*parametros_manuales!$B$6))</f>
        <v>0.534970425858222</v>
      </c>
      <c r="K3" s="45" t="n">
        <f aca="false">IF(K31*K59*parametros_manuales!$M$20*parametros_manuales!$B$6=0,0,'Demanda puesto con sobrestock'!$P$246/(parametros_manuales!$M$20*K31*K59*parametros_manuales!$B$6))</f>
        <v>0.618328730861577</v>
      </c>
      <c r="L3" s="8" t="s">
        <v>83</v>
      </c>
    </row>
    <row r="4" customFormat="false" ht="14.25" hidden="false" customHeight="true" outlineLevel="0" collapsed="false">
      <c r="A4" s="8" t="str">
        <f aca="false">parametros_manuales!$B$21</f>
        <v>Corte de tubo — 1 kg</v>
      </c>
      <c r="B4" s="45" t="n">
        <f aca="false">IF(B32*B60*parametros_manuales!$M$21*parametros_manuales!$B$6=0,0,'Demanda puesto con sobrestock'!$P$4/(parametros_manuales!$M$21*B32*B60*parametros_manuales!$B$6))</f>
        <v>0.020893682715</v>
      </c>
      <c r="C4" s="45" t="n">
        <f aca="false">IF(C32*C60*parametros_manuales!$M$21*parametros_manuales!$B$6=0,0,'Demanda puesto con sobrestock'!$P$31/(parametros_manuales!$M$21*C32*C60*parametros_manuales!$B$6))</f>
        <v>0.029986519885</v>
      </c>
      <c r="D4" s="45" t="n">
        <f aca="false">IF(D32*D60*parametros_manuales!$M$21*parametros_manuales!$B$6=0,0,'Demanda puesto con sobrestock'!$P$58/(parametros_manuales!$M$21*D32*D60*parametros_manuales!$B$6))</f>
        <v>0.07257073879</v>
      </c>
      <c r="E4" s="45" t="n">
        <f aca="false">IF(E32*E60*parametros_manuales!$M$21*parametros_manuales!$B$6=0,0,'Demanda puesto con sobrestock'!$P$85/(parametros_manuales!$M$21*E32*E60*parametros_manuales!$B$6))</f>
        <v>0.175809677745</v>
      </c>
      <c r="F4" s="45" t="n">
        <f aca="false">IF(F32*F60*parametros_manuales!$M$21*parametros_manuales!$B$6=0,0,'Demanda puesto con sobrestock'!$P$112/(parametros_manuales!$M$21*F32*F60*parametros_manuales!$B$6))</f>
        <v>0.31057716355</v>
      </c>
      <c r="G4" s="45" t="n">
        <f aca="false">IF(G32*G60*parametros_manuales!$M$21*parametros_manuales!$B$6=0,0,'Demanda puesto con sobrestock'!$P$139/(parametros_manuales!$M$21*G32*G60*parametros_manuales!$B$6))</f>
        <v>0.43650226535</v>
      </c>
      <c r="H4" s="45" t="n">
        <f aca="false">IF(H32*H60*parametros_manuales!$M$21*parametros_manuales!$B$6=0,0,'Demanda puesto con sobrestock'!$P$166/(parametros_manuales!$M$21*H32*H60*parametros_manuales!$B$6))</f>
        <v>0.30418288315</v>
      </c>
      <c r="I4" s="46" t="n">
        <f aca="false">IF(I32*I60*parametros_manuales!$M$21*parametros_manuales!$B$6=0,0,'Demanda puesto con sobrestock'!$P$193/(parametros_manuales!$M$21*I32*I60*parametros_manuales!$B$6))</f>
        <v>0.3903326962</v>
      </c>
      <c r="J4" s="45" t="n">
        <f aca="false">IF(J32*J60*parametros_manuales!$M$21*parametros_manuales!$B$6=0,0,'Demanda puesto con sobrestock'!$P$220/(parametros_manuales!$M$21*J32*J60*parametros_manuales!$B$6))</f>
        <v>0.43848284035</v>
      </c>
      <c r="K4" s="45" t="n">
        <f aca="false">IF(K32*K60*parametros_manuales!$M$21*parametros_manuales!$B$6=0,0,'Demanda puesto con sobrestock'!$P$247/(parametros_manuales!$M$21*K32*K60*parametros_manuales!$B$6))</f>
        <v>0.506551597825</v>
      </c>
      <c r="L4" s="8" t="s">
        <v>83</v>
      </c>
    </row>
    <row r="5" customFormat="false" ht="14.25" hidden="false" customHeight="true" outlineLevel="0" collapsed="false">
      <c r="A5" s="8" t="str">
        <f aca="false">parametros_manuales!$B$22</f>
        <v>Corte de disco y embutido (cúpula y fondo)</v>
      </c>
      <c r="B5" s="45" t="n">
        <f aca="false">IF(B33*B61*parametros_manuales!$M$22*parametros_manuales!$B$6=0,0,'Demanda puesto con sobrestock'!$P$5/(parametros_manuales!$M$22*B33*B61*parametros_manuales!$B$6))</f>
        <v>0.026923031791098</v>
      </c>
      <c r="C5" s="45" t="n">
        <f aca="false">IF(C33*C61*parametros_manuales!$M$22*parametros_manuales!$B$6=0,0,'Demanda puesto con sobrestock'!$P$32/(parametros_manuales!$M$22*C33*C61*parametros_manuales!$B$6))</f>
        <v>0.0425873631568628</v>
      </c>
      <c r="D5" s="45" t="n">
        <f aca="false">IF(D33*D61*parametros_manuales!$M$22*parametros_manuales!$B$6=0,0,'Demanda puesto con sobrestock'!$P$59/(parametros_manuales!$M$22*D33*D61*parametros_manuales!$B$6))</f>
        <v>0.089960204652549</v>
      </c>
      <c r="E5" s="45" t="n">
        <f aca="false">IF(E33*E61*parametros_manuales!$M$22*parametros_manuales!$B$6=0,0,'Demanda puesto con sobrestock'!$P$86/(parametros_manuales!$M$22*E33*E61*parametros_manuales!$B$6))</f>
        <v>0.198893449137647</v>
      </c>
      <c r="F5" s="45" t="n">
        <f aca="false">IF(F33*F61*parametros_manuales!$M$22*parametros_manuales!$B$6=0,0,'Demanda puesto con sobrestock'!$P$113/(parametros_manuales!$M$22*F33*F61*parametros_manuales!$B$6))</f>
        <v>0.346177433442745</v>
      </c>
      <c r="G5" s="45" t="n">
        <f aca="false">IF(G33*G61*parametros_manuales!$M$22*parametros_manuales!$B$6=0,0,'Demanda puesto con sobrestock'!$P$140/(parametros_manuales!$M$22*G33*G61*parametros_manuales!$B$6))</f>
        <v>0.486018557250981</v>
      </c>
      <c r="H5" s="45" t="n">
        <f aca="false">IF(H33*H61*parametros_manuales!$M$22*parametros_manuales!$B$6=0,0,'Demanda puesto con sobrestock'!$P$167/(parametros_manuales!$M$22*H33*H61*parametros_manuales!$B$6))</f>
        <v>0.334859351311765</v>
      </c>
      <c r="I5" s="46" t="n">
        <f aca="false">IF(I33*I61*parametros_manuales!$M$22*parametros_manuales!$B$6=0,0,'Demanda puesto con sobrestock'!$P$194/(parametros_manuales!$M$22*I33*I61*parametros_manuales!$B$6))</f>
        <v>0.42792481617451</v>
      </c>
      <c r="J5" s="45" t="n">
        <f aca="false">IF(J33*J61*parametros_manuales!$M$22*parametros_manuales!$B$6=0,0,'Demanda puesto con sobrestock'!$P$221/(parametros_manuales!$M$22*J33*J61*parametros_manuales!$B$6))</f>
        <v>0.482837248994118</v>
      </c>
      <c r="K5" s="45" t="n">
        <f aca="false">IF(K33*K61*parametros_manuales!$M$22*parametros_manuales!$B$6=0,0,'Demanda puesto con sobrestock'!$P$248/(parametros_manuales!$M$22*K33*K61*parametros_manuales!$B$6))</f>
        <v>0.557872243868627</v>
      </c>
      <c r="L5" s="8" t="s">
        <v>83</v>
      </c>
    </row>
    <row r="6" customFormat="false" ht="14.25" hidden="false" customHeight="true" outlineLevel="0" collapsed="false">
      <c r="A6" s="8" t="str">
        <f aca="false">parametros_manuales!$B$23</f>
        <v>Preparación de cuello</v>
      </c>
      <c r="B6" s="45" t="n">
        <f aca="false">IF(B34*B62*parametros_manuales!$M$23*parametros_manuales!$B$6=0,0,'Demanda puesto con sobrestock'!$P$6/(parametros_manuales!$M$23*B34*B62*parametros_manuales!$B$6))</f>
        <v>0.0686537310673</v>
      </c>
      <c r="C6" s="45" t="n">
        <f aca="false">IF(C34*C62*parametros_manuales!$M$23*parametros_manuales!$B$6=0,0,'Demanda puesto con sobrestock'!$P$33/(parametros_manuales!$M$23*C34*C62*parametros_manuales!$B$6))</f>
        <v>0.10859777605</v>
      </c>
      <c r="D6" s="45" t="n">
        <f aca="false">IF(D34*D62*parametros_manuales!$M$23*parametros_manuales!$B$6=0,0,'Demanda puesto con sobrestock'!$P$60/(parametros_manuales!$M$23*D34*D62*parametros_manuales!$B$6))</f>
        <v>0.229398521864</v>
      </c>
      <c r="E6" s="45" t="n">
        <f aca="false">IF(E34*E62*parametros_manuales!$M$23*parametros_manuales!$B$6=0,0,'Demanda puesto con sobrestock'!$P$87/(parametros_manuales!$M$23*E34*E62*parametros_manuales!$B$6))</f>
        <v>0.507178295301</v>
      </c>
      <c r="F6" s="58" t="n">
        <f aca="false">IF(F34*F62*parametros_manuales!$M$23*parametros_manuales!$B$6=0,0,'Demanda puesto con sobrestock'!$P$114/(parametros_manuales!$M$23*F34*F62*parametros_manuales!$B$6))</f>
        <v>0.882752455279</v>
      </c>
      <c r="G6" s="46" t="n">
        <f aca="false">IF(G34*G62*parametros_manuales!$M$23*parametros_manuales!$B$6=0,0,'Demanda puesto con sobrestock'!$P$141/(parametros_manuales!$M$23*G34*G62*parametros_manuales!$B$6))</f>
        <v>0.619673660495</v>
      </c>
      <c r="H6" s="58" t="n">
        <f aca="false">IF(H34*H62*parametros_manuales!$M$23*parametros_manuales!$B$6=0,0,'Demanda puesto con sobrestock'!$P$168/(parametros_manuales!$M$23*H34*H62*parametros_manuales!$B$6))</f>
        <v>0.4269456729225</v>
      </c>
      <c r="I6" s="46" t="n">
        <f aca="false">IF(I34*I62*parametros_manuales!$M$23*parametros_manuales!$B$6=0,0,'Demanda puesto con sobrestock'!$P$195/(parametros_manuales!$M$23*I34*I62*parametros_manuales!$B$6))</f>
        <v>0.5456041406225</v>
      </c>
      <c r="J6" s="45" t="n">
        <f aca="false">IF(J34*J62*parametros_manuales!$M$23*parametros_manuales!$B$6=0,0,'Demanda puesto con sobrestock'!$P$222/(parametros_manuales!$M$23*J34*J62*parametros_manuales!$B$6))</f>
        <v>0.6156174924675</v>
      </c>
      <c r="K6" s="45" t="n">
        <f aca="false">IF(K34*K62*parametros_manuales!$M$23*parametros_manuales!$B$6=0,0,'Demanda puesto con sobrestock'!$P$249/(parametros_manuales!$M$23*K34*K62*parametros_manuales!$B$6))</f>
        <v>0.7112871109325</v>
      </c>
      <c r="L6" s="8" t="s">
        <v>83</v>
      </c>
    </row>
    <row r="7" customFormat="false" ht="14.25" hidden="false" customHeight="true" outlineLevel="0" collapsed="false">
      <c r="A7" s="8" t="str">
        <f aca="false">parametros_manuales!$B$24</f>
        <v>Numerado de cúpula</v>
      </c>
      <c r="B7" s="45" t="n">
        <f aca="false">IF(B35*B63*parametros_manuales!$M$24*parametros_manuales!$B$6=0,0,'Demanda puesto con sobrestock'!$P$7/(parametros_manuales!$M$24*B35*B63*parametros_manuales!$B$6))</f>
        <v>0.0228845770224333</v>
      </c>
      <c r="C7" s="45" t="n">
        <f aca="false">IF(C35*C63*parametros_manuales!$M$24*parametros_manuales!$B$6=0,0,'Demanda puesto con sobrestock'!$P$34/(parametros_manuales!$M$24*C35*C63*parametros_manuales!$B$6))</f>
        <v>0.0361992586833333</v>
      </c>
      <c r="D7" s="45" t="n">
        <f aca="false">IF(D35*D63*parametros_manuales!$M$24*parametros_manuales!$B$6=0,0,'Demanda puesto con sobrestock'!$P$61/(parametros_manuales!$M$24*D35*D63*parametros_manuales!$B$6))</f>
        <v>0.0764661739546667</v>
      </c>
      <c r="E7" s="45" t="n">
        <f aca="false">IF(E35*E63*parametros_manuales!$M$24*parametros_manuales!$B$6=0,0,'Demanda puesto con sobrestock'!$P$88/(parametros_manuales!$M$24*E35*E63*parametros_manuales!$B$6))</f>
        <v>0.169059431767</v>
      </c>
      <c r="F7" s="45" t="n">
        <f aca="false">IF(F35*F63*parametros_manuales!$M$24*parametros_manuales!$B$6=0,0,'Demanda puesto con sobrestock'!$P$115/(parametros_manuales!$M$24*F35*F63*parametros_manuales!$B$6))</f>
        <v>0.294250818426333</v>
      </c>
      <c r="G7" s="45" t="n">
        <f aca="false">IF(G35*G63*parametros_manuales!$M$24*parametros_manuales!$B$6=0,0,'Demanda puesto con sobrestock'!$P$142/(parametros_manuales!$M$24*G35*G63*parametros_manuales!$B$6))</f>
        <v>0.413115773663333</v>
      </c>
      <c r="H7" s="45" t="n">
        <f aca="false">IF(H35*H63*parametros_manuales!$M$24*parametros_manuales!$B$6=0,0,'Demanda puesto con sobrestock'!$P$169/(parametros_manuales!$M$24*H35*H63*parametros_manuales!$B$6))</f>
        <v>0.284630448615</v>
      </c>
      <c r="I7" s="59" t="n">
        <f aca="false">IF(I35*I63*parametros_manuales!$M$24*parametros_manuales!$B$6=0,0,'Demanda puesto con sobrestock'!$P$196/(parametros_manuales!$M$24*I35*I63*parametros_manuales!$B$6))</f>
        <v>0.363736093748334</v>
      </c>
      <c r="J7" s="45" t="n">
        <f aca="false">IF(J35*J63*parametros_manuales!$M$24*parametros_manuales!$B$6=0,0,'Demanda puesto con sobrestock'!$P$223/(parametros_manuales!$M$24*J35*J63*parametros_manuales!$B$6))</f>
        <v>0.410411661645</v>
      </c>
      <c r="K7" s="45" t="n">
        <f aca="false">IF(K35*K63*parametros_manuales!$M$24*parametros_manuales!$B$6=0,0,'Demanda puesto con sobrestock'!$P$250/(parametros_manuales!$M$24*K35*K63*parametros_manuales!$B$6))</f>
        <v>0.474191407288333</v>
      </c>
      <c r="L7" s="8" t="s">
        <v>83</v>
      </c>
      <c r="M7" s="47" t="s">
        <v>203</v>
      </c>
    </row>
    <row r="8" customFormat="false" ht="14.25" hidden="false" customHeight="true" outlineLevel="0" collapsed="false">
      <c r="A8" s="8" t="str">
        <f aca="false">parametros_manuales!$B$25</f>
        <v>Soldadura del cuello a la cúpula</v>
      </c>
      <c r="B8" s="45" t="n">
        <f aca="false">IF(B36*B64*parametros_manuales!$M$25*parametros_manuales!$B$6=0,0,'Demanda puesto con sobrestock'!$P$8/(parametros_manuales!$M$25*B36*B64*parametros_manuales!$B$6))</f>
        <v>0.0293894396692209</v>
      </c>
      <c r="C8" s="45" t="n">
        <f aca="false">IF(C36*C64*parametros_manuales!$M$25*parametros_manuales!$B$6=0,0,'Demanda puesto con sobrestock'!$P$35/(parametros_manuales!$M$25*C36*C64*parametros_manuales!$B$6))</f>
        <v>0.0464887739940069</v>
      </c>
      <c r="D8" s="45" t="n">
        <f aca="false">IF(D36*D64*parametros_manuales!$M$25*parametros_manuales!$B$6=0,0,'Demanda puesto con sobrestock'!$P$62/(parametros_manuales!$M$25*D36*D64*parametros_manuales!$B$6))</f>
        <v>0.0982014220308219</v>
      </c>
      <c r="E8" s="45" t="n">
        <f aca="false">IF(E36*E64*parametros_manuales!$M$25*parametros_manuales!$B$6=0,0,'Demanda puesto con sobrestock'!$P$89/(parametros_manuales!$M$25*E36*E64*parametros_manuales!$B$6))</f>
        <v>0.217113996276113</v>
      </c>
      <c r="F8" s="45" t="n">
        <f aca="false">IF(F36*F64*parametros_manuales!$M$25*parametros_manuales!$B$6=0,0,'Demanda puesto con sobrestock'!$P$116/(parametros_manuales!$M$25*F36*F64*parametros_manuales!$B$6))</f>
        <v>0.377890605855736</v>
      </c>
      <c r="G8" s="45" t="n">
        <f aca="false">IF(G36*G64*parametros_manuales!$M$25*parametros_manuales!$B$6=0,0,'Demanda puesto con sobrestock'!$P$143/(parametros_manuales!$M$25*G36*G64*parametros_manuales!$B$6))</f>
        <v>0.530542517547089</v>
      </c>
      <c r="H8" s="58" t="n">
        <f aca="false">IF(H36*H64*parametros_manuales!$M$25*parametros_manuales!$B$6=0,0,'Demanda puesto con sobrestock'!$P$170/(parametros_manuales!$M$25*H36*H64*parametros_manuales!$B$6))</f>
        <v>0.365535678872003</v>
      </c>
      <c r="I8" s="46" t="n">
        <f aca="false">IF(I36*I64*parametros_manuales!$M$25*parametros_manuales!$B$6=0,0,'Demanda puesto con sobrestock'!$P$197/(parametros_manuales!$M$25*I36*I64*parametros_manuales!$B$6))</f>
        <v>0.467126832724743</v>
      </c>
      <c r="J8" s="45" t="n">
        <f aca="false">IF(J36*J64*parametros_manuales!$M$25*parametros_manuales!$B$6=0,0,'Demanda puesto con sobrestock'!$P$224/(parametros_manuales!$M$25*J36*J64*parametros_manuales!$B$6))</f>
        <v>0.527069770948202</v>
      </c>
      <c r="K8" s="45" t="n">
        <f aca="false">IF(K36*K64*parametros_manuales!$M$25*parametros_manuales!$B$6=0,0,'Demanda puesto con sobrestock'!$P$251/(parametros_manuales!$M$25*K36*K64*parametros_manuales!$B$6))</f>
        <v>0.608978690866867</v>
      </c>
      <c r="L8" s="8" t="s">
        <v>83</v>
      </c>
      <c r="M8" s="48" t="s">
        <v>204</v>
      </c>
    </row>
    <row r="9" customFormat="false" ht="14.25" hidden="false" customHeight="true" outlineLevel="0" collapsed="false">
      <c r="A9" s="8" t="str">
        <f aca="false">parametros_manuales!$B$26</f>
        <v>Cilindrado</v>
      </c>
      <c r="B9" s="45" t="n">
        <f aca="false">IF(B37*B65*parametros_manuales!$M$26*parametros_manuales!$B$6=0,0,'Demanda puesto con sobrestock'!$P$9/(parametros_manuales!$M$26*B37*B65*parametros_manuales!$B$6))</f>
        <v>0.0363058995098649</v>
      </c>
      <c r="C9" s="45" t="n">
        <f aca="false">IF(C37*C65*parametros_manuales!$M$26*parametros_manuales!$B$6=0,0,'Demanda puesto con sobrestock'!$P$36/(parametros_manuales!$M$26*C37*C65*parametros_manuales!$B$6))</f>
        <v>0.0657091030810811</v>
      </c>
      <c r="D9" s="45" t="n">
        <f aca="false">IF(D37*D65*parametros_manuales!$M$26*parametros_manuales!$B$6=0,0,'Demanda puesto con sobrestock'!$P$63/(parametros_manuales!$M$26*D37*D65*parametros_manuales!$B$6))</f>
        <v>0.113860870654054</v>
      </c>
      <c r="E9" s="45" t="n">
        <f aca="false">IF(E37*E65*parametros_manuales!$M$26*parametros_manuales!$B$6=0,0,'Demanda puesto con sobrestock'!$P$90/(parametros_manuales!$M$26*E37*E65*parametros_manuales!$B$6))</f>
        <v>0.210214783528378</v>
      </c>
      <c r="F9" s="45" t="n">
        <f aca="false">IF(F37*F65*parametros_manuales!$M$26*parametros_manuales!$B$6=0,0,'Demanda puesto con sobrestock'!$P$117/(parametros_manuales!$M$26*F37*F65*parametros_manuales!$B$6))</f>
        <v>0.353510984025676</v>
      </c>
      <c r="G9" s="45" t="n">
        <f aca="false">IF(G37*G65*parametros_manuales!$M$26*parametros_manuales!$B$6=0,0,'Demanda puesto con sobrestock'!$P$144/(parametros_manuales!$M$26*G37*G65*parametros_manuales!$B$6))</f>
        <v>0.495057824716216</v>
      </c>
      <c r="H9" s="45" t="n">
        <f aca="false">IF(H37*H65*parametros_manuales!$M$26*parametros_manuales!$B$6=0,0,'Demanda puesto con sobrestock'!$P$171/(parametros_manuales!$M$26*H37*H65*parametros_manuales!$B$6))</f>
        <v>0.331791323709459</v>
      </c>
      <c r="I9" s="46" t="n">
        <f aca="false">IF(I37*I65*parametros_manuales!$M$26*parametros_manuales!$B$6=0,0,'Demanda puesto con sobrestock'!$P$198/(parametros_manuales!$M$26*I37*I65*parametros_manuales!$B$6))</f>
        <v>0.419652552493243</v>
      </c>
      <c r="J9" s="45" t="n">
        <f aca="false">IF(J37*J65*parametros_manuales!$M$26*parametros_manuales!$B$6=0,0,'Demanda puesto con sobrestock'!$P$225/(parametros_manuales!$M$26*J37*J65*parametros_manuales!$B$6))</f>
        <v>0.47874230302027</v>
      </c>
      <c r="K9" s="45" t="n">
        <f aca="false">IF(K37*K65*parametros_manuales!$M$26*parametros_manuales!$B$6=0,0,'Demanda puesto con sobrestock'!$P$252/(parametros_manuales!$M$26*K37*K65*parametros_manuales!$B$6))</f>
        <v>0.553339224614865</v>
      </c>
      <c r="L9" s="8" t="s">
        <v>83</v>
      </c>
      <c r="M9" s="49" t="s">
        <v>205</v>
      </c>
    </row>
    <row r="10" customFormat="false" ht="14.25" hidden="false" customHeight="true" outlineLevel="0" collapsed="false">
      <c r="A10" s="8" t="str">
        <f aca="false">parametros_manuales!$B$27</f>
        <v>Soldadura longitudinal</v>
      </c>
      <c r="B10" s="45" t="n">
        <f aca="false">IF(B38*B66*parametros_manuales!$M$27*parametros_manuales!$B$6=0,0,'Demanda puesto con sobrestock'!$P$10/(parametros_manuales!$M$27*B38*B66*parametros_manuales!$B$6))</f>
        <v>0.0521897305454307</v>
      </c>
      <c r="C10" s="45" t="n">
        <f aca="false">IF(C38*C66*parametros_manuales!$M$27*parametros_manuales!$B$6=0,0,'Demanda puesto con sobrestock'!$P$37/(parametros_manuales!$M$27*C38*C66*parametros_manuales!$B$6))</f>
        <v>0.0944568356790541</v>
      </c>
      <c r="D10" s="45" t="n">
        <f aca="false">IF(D38*D66*parametros_manuales!$M$27*parametros_manuales!$B$6=0,0,'Demanda puesto con sobrestock'!$P$64/(parametros_manuales!$M$27*D38*D66*parametros_manuales!$B$6))</f>
        <v>0.163675001565203</v>
      </c>
      <c r="E10" s="45" t="n">
        <f aca="false">IF(E38*E66*parametros_manuales!$M$27*parametros_manuales!$B$6=0,0,'Demanda puesto con sobrestock'!$P$91/(parametros_manuales!$M$27*E38*E66*parametros_manuales!$B$6))</f>
        <v>0.302183751322044</v>
      </c>
      <c r="F10" s="45" t="n">
        <f aca="false">IF(F38*F66*parametros_manuales!$M$27*parametros_manuales!$B$6=0,0,'Demanda puesto con sobrestock'!$P$118/(parametros_manuales!$M$27*F38*F66*parametros_manuales!$B$6))</f>
        <v>0.508172039536909</v>
      </c>
      <c r="G10" s="45" t="n">
        <f aca="false">IF(G38*G66*parametros_manuales!$M$27*parametros_manuales!$B$6=0,0,'Demanda puesto con sobrestock'!$P$145/(parametros_manuales!$M$27*G38*G66*parametros_manuales!$B$6))</f>
        <v>0.711645623029561</v>
      </c>
      <c r="H10" s="58" t="n">
        <f aca="false">IF(H38*H66*parametros_manuales!$M$27*parametros_manuales!$B$6=0,0,'Demanda puesto con sobrestock'!$P$172/(parametros_manuales!$M$27*H38*H66*parametros_manuales!$B$6))</f>
        <v>0.476950027832348</v>
      </c>
      <c r="I10" s="46" t="n">
        <f aca="false">IF(I38*I66*parametros_manuales!$M$27*parametros_manuales!$B$6=0,0,'Demanda puesto con sobrestock'!$P$199/(parametros_manuales!$M$27*I38*I66*parametros_manuales!$B$6))</f>
        <v>0.603250544209037</v>
      </c>
      <c r="J10" s="45" t="n">
        <f aca="false">IF(J38*J66*parametros_manuales!$M$27*parametros_manuales!$B$6=0,0,'Demanda puesto con sobrestock'!$P$226/(parametros_manuales!$M$27*J38*J66*parametros_manuales!$B$6))</f>
        <v>0.688192060591639</v>
      </c>
      <c r="K10" s="45" t="n">
        <f aca="false">IF(K38*K66*parametros_manuales!$M$27*parametros_manuales!$B$6=0,0,'Demanda puesto con sobrestock'!$P$253/(parametros_manuales!$M$27*K38*K66*parametros_manuales!$B$6))</f>
        <v>0.795425135383868</v>
      </c>
      <c r="L10" s="8" t="s">
        <v>83</v>
      </c>
      <c r="M10" s="50" t="s">
        <v>206</v>
      </c>
    </row>
    <row r="11" customFormat="false" ht="14.25" hidden="false" customHeight="true" outlineLevel="0" collapsed="false">
      <c r="A11" s="8" t="str">
        <f aca="false">parametros_manuales!$B$28</f>
        <v>Encastre de fondo</v>
      </c>
      <c r="B11" s="45" t="n">
        <f aca="false">IF(B39*B67*parametros_manuales!$M$28*parametros_manuales!$B$6=0,0,'Demanda puesto con sobrestock'!$P$11/(parametros_manuales!$M$28*B39*B67*parametros_manuales!$B$6))</f>
        <v>0.0349481662672907</v>
      </c>
      <c r="C11" s="45" t="n">
        <f aca="false">IF(C39*C67*parametros_manuales!$M$28*parametros_manuales!$B$6=0,0,'Demanda puesto con sobrestock'!$P$38/(parametros_manuales!$M$28*C39*C67*parametros_manuales!$B$6))</f>
        <v>0.0552816733286199</v>
      </c>
      <c r="D11" s="45" t="n">
        <f aca="false">IF(D39*D67*parametros_manuales!$M$28*parametros_manuales!$B$6=0,0,'Demanda puesto con sobrestock'!$P$65/(parametros_manuales!$M$28*D39*D67*parametros_manuales!$B$6))</f>
        <v>0.116775265654751</v>
      </c>
      <c r="E11" s="45" t="n">
        <f aca="false">IF(E39*E67*parametros_manuales!$M$28*parametros_manuales!$B$6=0,0,'Demanda puesto con sobrestock'!$P$92/(parametros_manuales!$M$28*E39*E67*parametros_manuales!$B$6))</f>
        <v>0.258178996476753</v>
      </c>
      <c r="F11" s="45" t="n">
        <f aca="false">IF(F39*F67*parametros_manuales!$M$28*parametros_manuales!$B$6=0,0,'Demanda puesto con sobrestock'!$P$119/(parametros_manuales!$M$28*F39*F67*parametros_manuales!$B$6))</f>
        <v>0.449364937642025</v>
      </c>
      <c r="G11" s="45" t="n">
        <f aca="false">IF(G39*G67*parametros_manuales!$M$28*parametros_manuales!$B$6=0,0,'Demanda puesto con sobrestock'!$P$146/(parametros_manuales!$M$28*G39*G67*parametros_manuales!$B$6))</f>
        <v>0.630889473354638</v>
      </c>
      <c r="H11" s="58" t="n">
        <f aca="false">IF(H39*H67*parametros_manuales!$M$28*parametros_manuales!$B$6=0,0,'Demanda puesto con sobrestock'!$P$173/(parametros_manuales!$M$28*H39*H67*parametros_manuales!$B$6))</f>
        <v>0.43467319641431</v>
      </c>
      <c r="I11" s="46" t="n">
        <f aca="false">IF(I39*I67*parametros_manuales!$M$28*parametros_manuales!$B$6=0,0,'Demanda puesto con sobrestock'!$P$200/(parametros_manuales!$M$28*I39*I67*parametros_manuales!$B$6))</f>
        <v>0.555479328688066</v>
      </c>
      <c r="J11" s="45" t="n">
        <f aca="false">IF(J39*J67*parametros_manuales!$M$28*parametros_manuales!$B$6=0,0,'Demanda puesto con sobrestock'!$P$227/(parametros_manuales!$M$28*J39*J67*parametros_manuales!$B$6))</f>
        <v>0.62675989052121</v>
      </c>
      <c r="K11" s="45" t="n">
        <f aca="false">IF(K39*K67*parametros_manuales!$M$28*parametros_manuales!$B$6=0,0,'Demanda puesto con sobrestock'!$P$254/(parametros_manuales!$M$28*K39*K67*parametros_manuales!$B$6))</f>
        <v>0.724161085791007</v>
      </c>
      <c r="L11" s="8" t="s">
        <v>83</v>
      </c>
      <c r="M11" s="51" t="s">
        <v>207</v>
      </c>
    </row>
    <row r="12" customFormat="false" ht="14.25" hidden="false" customHeight="true" outlineLevel="0" collapsed="false">
      <c r="A12" s="8" t="str">
        <f aca="false">parametros_manuales!$B$29</f>
        <v>Bordoneado</v>
      </c>
      <c r="B12" s="45" t="n">
        <f aca="false">IF(B40*B68*parametros_manuales!$M$29*parametros_manuales!$B$6=0,0,'Demanda puesto con sobrestock'!$P$12/(parametros_manuales!$M$29*B40*B68*parametros_manuales!$B$6))</f>
        <v>0.0232987775115272</v>
      </c>
      <c r="C12" s="45" t="n">
        <f aca="false">IF(C40*C68*parametros_manuales!$M$29*parametros_manuales!$B$6=0,0,'Demanda puesto con sobrestock'!$P$39/(parametros_manuales!$M$29*C40*C68*parametros_manuales!$B$6))</f>
        <v>0.0368544488857466</v>
      </c>
      <c r="D12" s="45" t="n">
        <f aca="false">IF(D40*D68*parametros_manuales!$M$29*parametros_manuales!$B$6=0,0,'Demanda puesto con sobrestock'!$P$66/(parametros_manuales!$M$29*D40*D68*parametros_manuales!$B$6))</f>
        <v>0.0778501771031674</v>
      </c>
      <c r="E12" s="45" t="n">
        <f aca="false">IF(E40*E68*parametros_manuales!$M$29*parametros_manuales!$B$6=0,0,'Demanda puesto con sobrestock'!$P$93/(parametros_manuales!$M$29*E40*E68*parametros_manuales!$B$6))</f>
        <v>0.172119330984502</v>
      </c>
      <c r="F12" s="45" t="n">
        <f aca="false">IF(F40*F68*parametros_manuales!$M$29*parametros_manuales!$B$6=0,0,'Demanda puesto con sobrestock'!$P$120/(parametros_manuales!$M$29*F40*F68*parametros_manuales!$B$6))</f>
        <v>0.299576625094683</v>
      </c>
      <c r="G12" s="45" t="n">
        <f aca="false">IF(G40*G68*parametros_manuales!$M$29*parametros_manuales!$B$6=0,0,'Demanda puesto con sobrestock'!$P$147/(parametros_manuales!$M$29*G40*G68*parametros_manuales!$B$6))</f>
        <v>0.420592982236425</v>
      </c>
      <c r="H12" s="45" t="n">
        <f aca="false">IF(H40*H68*parametros_manuales!$M$29*parametros_manuales!$B$6=0,0,'Demanda puesto con sobrestock'!$P$174/(parametros_manuales!$M$29*H40*H68*parametros_manuales!$B$6))</f>
        <v>0.289782130942873</v>
      </c>
      <c r="I12" s="46" t="n">
        <f aca="false">IF(I40*I68*parametros_manuales!$M$29*parametros_manuales!$B$6=0,0,'Demanda puesto con sobrestock'!$P$201/(parametros_manuales!$M$29*I40*I68*parametros_manuales!$B$6))</f>
        <v>0.370319552458711</v>
      </c>
      <c r="J12" s="58" t="n">
        <f aca="false">IF(J40*J68*parametros_manuales!$M$29*parametros_manuales!$B$6=0,0,'Demanda puesto con sobrestock'!$P$228/(parametros_manuales!$M$29*J40*J68*parametros_manuales!$B$6))</f>
        <v>0.41783992701414</v>
      </c>
      <c r="K12" s="45" t="n">
        <f aca="false">IF(K40*K68*parametros_manuales!$M$29*parametros_manuales!$B$6=0,0,'Demanda puesto con sobrestock'!$P$255/(parametros_manuales!$M$29*K40*K68*parametros_manuales!$B$6))</f>
        <v>0.482774057194005</v>
      </c>
      <c r="L12" s="8" t="s">
        <v>83</v>
      </c>
    </row>
    <row r="13" customFormat="false" ht="14.25" hidden="false" customHeight="true" outlineLevel="0" collapsed="false">
      <c r="A13" s="8" t="str">
        <f aca="false">parametros_manuales!$B$30</f>
        <v>Soldadura circunferencial de cúpula y fondo</v>
      </c>
      <c r="B13" s="45" t="n">
        <f aca="false">IF(B41*B69*parametros_manuales!$M$30*parametros_manuales!$B$6=0,0,'Demanda puesto con sobrestock'!$P$13/(parametros_manuales!$M$30*B41*B69*parametros_manuales!$B$6))</f>
        <v>0.0698963325345815</v>
      </c>
      <c r="C13" s="45" t="n">
        <f aca="false">IF(C41*C69*parametros_manuales!$M$30*parametros_manuales!$B$6=0,0,'Demanda puesto con sobrestock'!$P$40/(parametros_manuales!$M$30*C41*C69*parametros_manuales!$B$6))</f>
        <v>0.11056334665724</v>
      </c>
      <c r="D13" s="45" t="n">
        <f aca="false">IF(D41*D69*parametros_manuales!$M$30*parametros_manuales!$B$6=0,0,'Demanda puesto con sobrestock'!$P$67/(parametros_manuales!$M$30*D41*D69*parametros_manuales!$B$6))</f>
        <v>0.233550531309502</v>
      </c>
      <c r="E13" s="45" t="n">
        <f aca="false">IF(E41*E69*parametros_manuales!$M$30*parametros_manuales!$B$6=0,0,'Demanda puesto con sobrestock'!$P$94/(parametros_manuales!$M$30*E41*E69*parametros_manuales!$B$6))</f>
        <v>0.516357992953507</v>
      </c>
      <c r="F13" s="58" t="n">
        <f aca="false">IF(F41*F69*parametros_manuales!$M$30*parametros_manuales!$B$6=0,0,'Demanda puesto con sobrestock'!$P$121/(parametros_manuales!$M$30*F41*F69*parametros_manuales!$B$6))</f>
        <v>0.89872987528405</v>
      </c>
      <c r="G13" s="46" t="n">
        <f aca="false">IF(G41*G69*parametros_manuales!$M$30*parametros_manuales!$B$6=0,0,'Demanda puesto con sobrestock'!$P$148/(parametros_manuales!$M$30*G41*G69*parametros_manuales!$B$6))</f>
        <v>0.630889473354638</v>
      </c>
      <c r="H13" s="58" t="n">
        <f aca="false">IF(H41*H69*parametros_manuales!$M$30*parametros_manuales!$B$6=0,0,'Demanda puesto con sobrestock'!$P$175/(parametros_manuales!$M$30*H41*H69*parametros_manuales!$B$6))</f>
        <v>0.43467319641431</v>
      </c>
      <c r="I13" s="46" t="n">
        <f aca="false">IF(I41*I69*parametros_manuales!$M$30*parametros_manuales!$B$6=0,0,'Demanda puesto con sobrestock'!$P$202/(parametros_manuales!$M$30*I41*I69*parametros_manuales!$B$6))</f>
        <v>0.555479328688066</v>
      </c>
      <c r="J13" s="45" t="n">
        <f aca="false">IF(J41*J69*parametros_manuales!$M$30*parametros_manuales!$B$6=0,0,'Demanda puesto con sobrestock'!$P$229/(parametros_manuales!$M$30*J41*J69*parametros_manuales!$B$6))</f>
        <v>0.62675989052121</v>
      </c>
      <c r="K13" s="45" t="n">
        <f aca="false">IF(K41*K69*parametros_manuales!$M$30*parametros_manuales!$B$6=0,0,'Demanda puesto con sobrestock'!$P$256/(parametros_manuales!$M$30*K41*K69*parametros_manuales!$B$6))</f>
        <v>0.724161085791007</v>
      </c>
      <c r="L13" s="8" t="s">
        <v>83</v>
      </c>
      <c r="M13" s="52" t="s">
        <v>55</v>
      </c>
      <c r="N13" s="53" t="n">
        <f aca="false">parametros_manuales!$B$8</f>
        <v>0.9</v>
      </c>
    </row>
    <row r="14" customFormat="false" ht="14.25" hidden="false" customHeight="true" outlineLevel="0" collapsed="false">
      <c r="A14" s="8" t="str">
        <f aca="false">parametros_manuales!$B$31</f>
        <v>Control de calidad — Espesor</v>
      </c>
      <c r="B14" s="45" t="n">
        <f aca="false">IF(B42*B70*parametros_manuales!$M$31*parametros_manuales!$B$6=0,0,'Demanda puesto con sobrestock'!$P$14/(parametros_manuales!$M$31*B42*B70*parametros_manuales!$B$6))</f>
        <v>0.002746149242692</v>
      </c>
      <c r="C14" s="45" t="n">
        <f aca="false">IF(C42*C70*parametros_manuales!$M$31*parametros_manuales!$B$6=0,0,'Demanda puesto con sobrestock'!$P$41/(parametros_manuales!$M$31*C42*C70*parametros_manuales!$B$6))</f>
        <v>0.004343911042</v>
      </c>
      <c r="D14" s="45" t="n">
        <f aca="false">IF(D42*D70*parametros_manuales!$M$31*parametros_manuales!$B$6=0,0,'Demanda puesto con sobrestock'!$P$68/(parametros_manuales!$M$31*D42*D70*parametros_manuales!$B$6))</f>
        <v>0.00917594087456</v>
      </c>
      <c r="E14" s="45" t="n">
        <f aca="false">IF(E42*E70*parametros_manuales!$M$31*parametros_manuales!$B$6=0,0,'Demanda puesto con sobrestock'!$P$95/(parametros_manuales!$M$31*E42*E70*parametros_manuales!$B$6))</f>
        <v>0.02028713181204</v>
      </c>
      <c r="F14" s="45" t="n">
        <f aca="false">IF(F42*F70*parametros_manuales!$M$31*parametros_manuales!$B$6=0,0,'Demanda puesto con sobrestock'!$P$122/(parametros_manuales!$M$31*F42*F70*parametros_manuales!$B$6))</f>
        <v>0.03531009821116</v>
      </c>
      <c r="G14" s="45" t="n">
        <f aca="false">IF(G42*G70*parametros_manuales!$M$31*parametros_manuales!$B$6=0,0,'Demanda puesto con sobrestock'!$P$149/(parametros_manuales!$M$31*G42*G70*parametros_manuales!$B$6))</f>
        <v>0.0495738928396</v>
      </c>
      <c r="H14" s="45" t="n">
        <f aca="false">IF(H42*H70*parametros_manuales!$M$31*parametros_manuales!$B$6=0,0,'Demanda puesto con sobrestock'!$P$176/(parametros_manuales!$M$31*H42*H70*parametros_manuales!$B$6))</f>
        <v>0.0683113076676</v>
      </c>
      <c r="I14" s="45" t="n">
        <f aca="false">IF(I42*I70*parametros_manuales!$M$31*parametros_manuales!$B$6=0,0,'Demanda puesto con sobrestock'!$P$203/(parametros_manuales!$M$31*I42*I70*parametros_manuales!$B$6))</f>
        <v>0.0872966624996</v>
      </c>
      <c r="J14" s="45" t="n">
        <f aca="false">IF(J42*J70*parametros_manuales!$M$31*parametros_manuales!$B$6=0,0,'Demanda puesto con sobrestock'!$P$230/(parametros_manuales!$M$31*J42*J70*parametros_manuales!$B$6))</f>
        <v>0.0984987987948</v>
      </c>
      <c r="K14" s="45" t="n">
        <f aca="false">IF(K42*K70*parametros_manuales!$M$31*parametros_manuales!$B$6=0,0,'Demanda puesto con sobrestock'!$P$257/(parametros_manuales!$M$31*K42*K70*parametros_manuales!$B$6))</f>
        <v>0.1138059377492</v>
      </c>
      <c r="L14" s="8" t="s">
        <v>202</v>
      </c>
      <c r="M14" s="12" t="s">
        <v>208</v>
      </c>
    </row>
    <row r="15" customFormat="false" ht="14.25" hidden="false" customHeight="true" outlineLevel="0" collapsed="false">
      <c r="A15" s="8" t="str">
        <f aca="false">parametros_manuales!$B$32</f>
        <v>Prueba hidráulica</v>
      </c>
      <c r="B15" s="45" t="n">
        <f aca="false">IF(B43*B71*parametros_manuales!$M$32*parametros_manuales!$B$6=0,0,'Demanda puesto con sobrestock'!$P$15/(parametros_manuales!$M$32*B43*B71*parametros_manuales!$B$6))</f>
        <v>0.0698963325345815</v>
      </c>
      <c r="C15" s="45" t="n">
        <f aca="false">IF(C43*C71*parametros_manuales!$M$32*parametros_manuales!$B$6=0,0,'Demanda puesto con sobrestock'!$P$42/(parametros_manuales!$M$32*C43*C71*parametros_manuales!$B$6))</f>
        <v>0.11056334665724</v>
      </c>
      <c r="D15" s="45" t="n">
        <f aca="false">IF(D43*D71*parametros_manuales!$M$32*parametros_manuales!$B$6=0,0,'Demanda puesto con sobrestock'!$P$69/(parametros_manuales!$M$32*D43*D71*parametros_manuales!$B$6))</f>
        <v>0.233550531309502</v>
      </c>
      <c r="E15" s="45" t="n">
        <f aca="false">IF(E43*E71*parametros_manuales!$M$32*parametros_manuales!$B$6=0,0,'Demanda puesto con sobrestock'!$P$96/(parametros_manuales!$M$32*E43*E71*parametros_manuales!$B$6))</f>
        <v>0.516357992953507</v>
      </c>
      <c r="F15" s="58" t="n">
        <f aca="false">IF(F43*F71*parametros_manuales!$M$32*parametros_manuales!$B$6=0,0,'Demanda puesto con sobrestock'!$P$123/(parametros_manuales!$M$32*F43*F71*parametros_manuales!$B$6))</f>
        <v>0.89872987528405</v>
      </c>
      <c r="G15" s="46" t="n">
        <f aca="false">IF(G43*G71*parametros_manuales!$M$32*parametros_manuales!$B$6=0,0,'Demanda puesto con sobrestock'!$P$150/(parametros_manuales!$M$32*G43*G71*parametros_manuales!$B$6))</f>
        <v>0.630889473354638</v>
      </c>
      <c r="H15" s="58" t="n">
        <f aca="false">IF(H43*H71*parametros_manuales!$M$32*parametros_manuales!$B$6=0,0,'Demanda puesto con sobrestock'!$P$177/(parametros_manuales!$M$32*H43*H71*parametros_manuales!$B$6))</f>
        <v>0.43467319641431</v>
      </c>
      <c r="I15" s="46" t="n">
        <f aca="false">IF(I43*I71*parametros_manuales!$M$32*parametros_manuales!$B$6=0,0,'Demanda puesto con sobrestock'!$P$204/(parametros_manuales!$M$32*I43*I71*parametros_manuales!$B$6))</f>
        <v>0.555479328688066</v>
      </c>
      <c r="J15" s="45" t="n">
        <f aca="false">IF(J43*J71*parametros_manuales!$M$32*parametros_manuales!$B$6=0,0,'Demanda puesto con sobrestock'!$P$231/(parametros_manuales!$M$32*J43*J71*parametros_manuales!$B$6))</f>
        <v>0.62675989052121</v>
      </c>
      <c r="K15" s="45" t="n">
        <f aca="false">IF(K43*K71*parametros_manuales!$M$32*parametros_manuales!$B$6=0,0,'Demanda puesto con sobrestock'!$P$258/(parametros_manuales!$M$32*K43*K71*parametros_manuales!$B$6))</f>
        <v>0.724161085791007</v>
      </c>
      <c r="L15" s="8" t="s">
        <v>83</v>
      </c>
    </row>
    <row r="16" customFormat="false" ht="14.25" hidden="false" customHeight="true" outlineLevel="0" collapsed="false">
      <c r="A16" s="8" t="str">
        <f aca="false">parametros_manuales!$B$33</f>
        <v>Secado</v>
      </c>
      <c r="B16" s="45" t="n">
        <f aca="false">IF(B44*B72*parametros_manuales!$M$33*parametros_manuales!$B$6=0,0,'Demanda puesto con sobrestock'!$P$16/(parametros_manuales!$M$33*B44*B72*parametros_manuales!$B$6))</f>
        <v>0.1373074621346</v>
      </c>
      <c r="C16" s="45" t="n">
        <f aca="false">IF(C44*C72*parametros_manuales!$M$33*parametros_manuales!$B$6=0,0,'Demanda puesto con sobrestock'!$P$43/(parametros_manuales!$M$33*C44*C72*parametros_manuales!$B$6))</f>
        <v>0.2171955521</v>
      </c>
      <c r="D16" s="45" t="n">
        <f aca="false">IF(D44*D72*parametros_manuales!$M$33*parametros_manuales!$B$6=0,0,'Demanda puesto con sobrestock'!$P$70/(parametros_manuales!$M$33*D44*D72*parametros_manuales!$B$6))</f>
        <v>0.458797043728</v>
      </c>
      <c r="E16" s="46" t="n">
        <f aca="false">IF(E44*E72*parametros_manuales!$M$33*parametros_manuales!$B$6=0,0,'Demanda puesto con sobrestock'!$P$97/(parametros_manuales!$M$33*E44*E72*parametros_manuales!$B$6))</f>
        <v>0.507178295301</v>
      </c>
      <c r="F16" s="58" t="n">
        <f aca="false">IF(F44*F72*parametros_manuales!$M$33*parametros_manuales!$B$6=0,0,'Demanda puesto con sobrestock'!$P$124/(parametros_manuales!$M$33*F44*F72*parametros_manuales!$B$6))</f>
        <v>0.882752455279</v>
      </c>
      <c r="G16" s="46" t="n">
        <f aca="false">IF(G44*G72*parametros_manuales!$M$33*parametros_manuales!$B$6=0,0,'Demanda puesto con sobrestock'!$P$151/(parametros_manuales!$M$33*G44*G72*parametros_manuales!$B$6))</f>
        <v>0.826231547326667</v>
      </c>
      <c r="H16" s="46" t="n">
        <f aca="false">IF(H44*H72*parametros_manuales!$M$33*parametros_manuales!$B$6=0,0,'Demanda puesto con sobrestock'!$P$178/(parametros_manuales!$M$33*H44*H72*parametros_manuales!$B$6))</f>
        <v>0.4269456729225</v>
      </c>
      <c r="I16" s="46" t="n">
        <f aca="false">IF(I44*I72*parametros_manuales!$M$33*parametros_manuales!$B$6=0,0,'Demanda puesto con sobrestock'!$P$205/(parametros_manuales!$M$33*I44*I72*parametros_manuales!$B$6))</f>
        <v>0.5456041406225</v>
      </c>
      <c r="J16" s="45" t="n">
        <f aca="false">IF(J44*J72*parametros_manuales!$M$33*parametros_manuales!$B$6=0,0,'Demanda puesto con sobrestock'!$P$232/(parametros_manuales!$M$33*J44*J72*parametros_manuales!$B$6))</f>
        <v>0.6156174924675</v>
      </c>
      <c r="K16" s="45" t="n">
        <f aca="false">IF(K44*K72*parametros_manuales!$M$33*parametros_manuales!$B$6=0,0,'Demanda puesto con sobrestock'!$P$259/(parametros_manuales!$M$33*K44*K72*parametros_manuales!$B$6))</f>
        <v>0.7112871109325</v>
      </c>
      <c r="L16" s="8" t="s">
        <v>83</v>
      </c>
    </row>
    <row r="17" customFormat="false" ht="14.25" hidden="false" customHeight="true" outlineLevel="0" collapsed="false">
      <c r="A17" s="8" t="str">
        <f aca="false">parametros_manuales!$B$34</f>
        <v>Granallado</v>
      </c>
      <c r="B17" s="45" t="n">
        <f aca="false">IF(B45*B73*parametros_manuales!$M$34*parametros_manuales!$B$6=0,0,'Demanda puesto con sobrestock'!$P$17/(parametros_manuales!$M$34*B45*B73*parametros_manuales!$B$6))</f>
        <v>0.03432686553365</v>
      </c>
      <c r="C17" s="45" t="n">
        <f aca="false">IF(C45*C73*parametros_manuales!$M$34*parametros_manuales!$B$6=0,0,'Demanda puesto con sobrestock'!$P$44/(parametros_manuales!$M$34*C45*C73*parametros_manuales!$B$6))</f>
        <v>0.054298888025</v>
      </c>
      <c r="D17" s="45" t="n">
        <f aca="false">IF(D45*D73*parametros_manuales!$M$34*parametros_manuales!$B$6=0,0,'Demanda puesto con sobrestock'!$P$71/(parametros_manuales!$M$34*D45*D73*parametros_manuales!$B$6))</f>
        <v>0.114699260932</v>
      </c>
      <c r="E17" s="45" t="n">
        <f aca="false">IF(E45*E73*parametros_manuales!$M$34*parametros_manuales!$B$6=0,0,'Demanda puesto con sobrestock'!$P$98/(parametros_manuales!$M$34*E45*E73*parametros_manuales!$B$6))</f>
        <v>0.2535891476505</v>
      </c>
      <c r="F17" s="45" t="n">
        <f aca="false">IF(F45*F73*parametros_manuales!$M$34*parametros_manuales!$B$6=0,0,'Demanda puesto con sobrestock'!$P$125/(parametros_manuales!$M$34*F45*F73*parametros_manuales!$B$6))</f>
        <v>0.4413762276395</v>
      </c>
      <c r="G17" s="45" t="n">
        <f aca="false">IF(G45*G73*parametros_manuales!$M$34*parametros_manuales!$B$6=0,0,'Demanda puesto con sobrestock'!$P$152/(parametros_manuales!$M$34*G45*G73*parametros_manuales!$B$6))</f>
        <v>0.619673660495</v>
      </c>
      <c r="H17" s="58" t="n">
        <f aca="false">IF(H45*H73*parametros_manuales!$M$34*parametros_manuales!$B$6=0,0,'Demanda puesto con sobrestock'!$P$179/(parametros_manuales!$M$34*H45*H73*parametros_manuales!$B$6))</f>
        <v>0.4269456729225</v>
      </c>
      <c r="I17" s="46" t="n">
        <f aca="false">IF(I45*I73*parametros_manuales!$M$34*parametros_manuales!$B$6=0,0,'Demanda puesto con sobrestock'!$P$206/(parametros_manuales!$M$34*I45*I73*parametros_manuales!$B$6))</f>
        <v>0.5456041406225</v>
      </c>
      <c r="J17" s="45" t="n">
        <f aca="false">IF(J45*J73*parametros_manuales!$M$34*parametros_manuales!$B$6=0,0,'Demanda puesto con sobrestock'!$P$233/(parametros_manuales!$M$34*J45*J73*parametros_manuales!$B$6))</f>
        <v>0.6156174924675</v>
      </c>
      <c r="K17" s="45" t="n">
        <f aca="false">IF(K45*K73*parametros_manuales!$M$34*parametros_manuales!$B$6=0,0,'Demanda puesto con sobrestock'!$P$260/(parametros_manuales!$M$34*K45*K73*parametros_manuales!$B$6))</f>
        <v>0.7112871109325</v>
      </c>
      <c r="L17" s="8" t="s">
        <v>83</v>
      </c>
    </row>
    <row r="18" customFormat="false" ht="14.25" hidden="false" customHeight="true" outlineLevel="0" collapsed="false">
      <c r="A18" s="8" t="str">
        <f aca="false">parametros_manuales!$B$35</f>
        <v>Detección de defectos</v>
      </c>
      <c r="B18" s="45" t="n">
        <f aca="false">IF(B46*B74*parametros_manuales!$M$35*parametros_manuales!$B$6=0,0,'Demanda puesto con sobrestock'!$P$18/(parametros_manuales!$M$35*B46*B74*parametros_manuales!$B$6))</f>
        <v>0.0228845770224333</v>
      </c>
      <c r="C18" s="45" t="n">
        <f aca="false">IF(C46*C74*parametros_manuales!$M$35*parametros_manuales!$B$6=0,0,'Demanda puesto con sobrestock'!$P$45/(parametros_manuales!$M$35*C46*C74*parametros_manuales!$B$6))</f>
        <v>0.0361992586833333</v>
      </c>
      <c r="D18" s="45" t="n">
        <f aca="false">IF(D46*D74*parametros_manuales!$M$35*parametros_manuales!$B$6=0,0,'Demanda puesto con sobrestock'!$P$72/(parametros_manuales!$M$35*D46*D74*parametros_manuales!$B$6))</f>
        <v>0.0764661739546667</v>
      </c>
      <c r="E18" s="45" t="n">
        <f aca="false">IF(E46*E74*parametros_manuales!$M$35*parametros_manuales!$B$6=0,0,'Demanda puesto con sobrestock'!$P$99/(parametros_manuales!$M$35*E46*E74*parametros_manuales!$B$6))</f>
        <v>0.169059431767</v>
      </c>
      <c r="F18" s="45" t="n">
        <f aca="false">IF(F46*F74*parametros_manuales!$M$35*parametros_manuales!$B$6=0,0,'Demanda puesto con sobrestock'!$P$126/(parametros_manuales!$M$35*F46*F74*parametros_manuales!$B$6))</f>
        <v>0.294250818426333</v>
      </c>
      <c r="G18" s="45" t="n">
        <f aca="false">IF(G46*G74*parametros_manuales!$M$35*parametros_manuales!$B$6=0,0,'Demanda puesto con sobrestock'!$P$153/(parametros_manuales!$M$35*G46*G74*parametros_manuales!$B$6))</f>
        <v>0.413115773663333</v>
      </c>
      <c r="H18" s="45" t="n">
        <f aca="false">IF(H46*H74*parametros_manuales!$M$35*parametros_manuales!$B$6=0,0,'Demanda puesto con sobrestock'!$P$180/(parametros_manuales!$M$35*H46*H74*parametros_manuales!$B$6))</f>
        <v>0.284630448615</v>
      </c>
      <c r="I18" s="46" t="n">
        <f aca="false">IF(I46*I74*parametros_manuales!$M$35*parametros_manuales!$B$6=0,0,'Demanda puesto con sobrestock'!$P$207/(parametros_manuales!$M$35*I46*I74*parametros_manuales!$B$6))</f>
        <v>0.363736093748334</v>
      </c>
      <c r="J18" s="45" t="n">
        <f aca="false">IF(J46*J74*parametros_manuales!$M$35*parametros_manuales!$B$6=0,0,'Demanda puesto con sobrestock'!$P$234/(parametros_manuales!$M$35*J46*J74*parametros_manuales!$B$6))</f>
        <v>0.410411661645</v>
      </c>
      <c r="K18" s="45" t="n">
        <f aca="false">IF(K46*K74*parametros_manuales!$M$35*parametros_manuales!$B$6=0,0,'Demanda puesto con sobrestock'!$P$261/(parametros_manuales!$M$35*K46*K74*parametros_manuales!$B$6))</f>
        <v>0.474191407288333</v>
      </c>
      <c r="L18" s="8" t="s">
        <v>202</v>
      </c>
    </row>
    <row r="19" customFormat="false" ht="14.25" hidden="false" customHeight="true" outlineLevel="0" collapsed="false">
      <c r="A19" s="8" t="str">
        <f aca="false">parametros_manuales!$B$36</f>
        <v>Corrección de defectos</v>
      </c>
      <c r="B19" s="45" t="n">
        <f aca="false">IF(B47*B75*parametros_manuales!$M$36*parametros_manuales!$B$6=0,0,'Demanda puesto con sobrestock'!$P$19/(parametros_manuales!$M$36*B47*B75*parametros_manuales!$B$6))</f>
        <v>0.010298059660095</v>
      </c>
      <c r="C19" s="45" t="n">
        <f aca="false">IF(C47*C75*parametros_manuales!$M$36*parametros_manuales!$B$6=0,0,'Demanda puesto con sobrestock'!$P$46/(parametros_manuales!$M$36*C47*C75*parametros_manuales!$B$6))</f>
        <v>0.0162896664075</v>
      </c>
      <c r="D19" s="45" t="n">
        <f aca="false">IF(D47*D75*parametros_manuales!$M$36*parametros_manuales!$B$6=0,0,'Demanda puesto con sobrestock'!$P$73/(parametros_manuales!$M$36*D47*D75*parametros_manuales!$B$6))</f>
        <v>0.0344097782796</v>
      </c>
      <c r="E19" s="45" t="n">
        <f aca="false">IF(E47*E75*parametros_manuales!$M$36*parametros_manuales!$B$6=0,0,'Demanda puesto con sobrestock'!$P$100/(parametros_manuales!$M$36*E47*E75*parametros_manuales!$B$6))</f>
        <v>0.07607674429515</v>
      </c>
      <c r="F19" s="45" t="n">
        <f aca="false">IF(F47*F75*parametros_manuales!$M$36*parametros_manuales!$B$6=0,0,'Demanda puesto con sobrestock'!$P$127/(parametros_manuales!$M$36*F47*F75*parametros_manuales!$B$6))</f>
        <v>0.13241286829185</v>
      </c>
      <c r="G19" s="45" t="n">
        <f aca="false">IF(G47*G75*parametros_manuales!$M$36*parametros_manuales!$B$6=0,0,'Demanda puesto con sobrestock'!$P$154/(parametros_manuales!$M$36*G47*G75*parametros_manuales!$B$6))</f>
        <v>0.1859020981485</v>
      </c>
      <c r="H19" s="45" t="n">
        <f aca="false">IF(H47*H75*parametros_manuales!$M$36*parametros_manuales!$B$6=0,0,'Demanda puesto con sobrestock'!$P$181/(parametros_manuales!$M$36*H47*H75*parametros_manuales!$B$6))</f>
        <v>0.2561674037535</v>
      </c>
      <c r="I19" s="45" t="n">
        <f aca="false">IF(I47*I75*parametros_manuales!$M$36*parametros_manuales!$B$6=0,0,'Demanda puesto con sobrestock'!$P$208/(parametros_manuales!$M$36*I47*I75*parametros_manuales!$B$6))</f>
        <v>0.3273624843735</v>
      </c>
      <c r="J19" s="45" t="n">
        <f aca="false">IF(J47*J75*parametros_manuales!$M$36*parametros_manuales!$B$6=0,0,'Demanda puesto con sobrestock'!$P$235/(parametros_manuales!$M$36*J47*J75*parametros_manuales!$B$6))</f>
        <v>0.3693704954805</v>
      </c>
      <c r="K19" s="45" t="n">
        <f aca="false">IF(K47*K75*parametros_manuales!$M$36*parametros_manuales!$B$6=0,0,'Demanda puesto con sobrestock'!$P$262/(parametros_manuales!$M$36*K47*K75*parametros_manuales!$B$6))</f>
        <v>0.4267722665595</v>
      </c>
      <c r="L19" s="8" t="s">
        <v>202</v>
      </c>
    </row>
    <row r="20" customFormat="false" ht="14.25" hidden="false" customHeight="true" outlineLevel="0" collapsed="false">
      <c r="A20" s="8" t="str">
        <f aca="false">parametros_manuales!$B$37</f>
        <v>Pintura en polvo + horno</v>
      </c>
      <c r="B20" s="58" t="n">
        <f aca="false">IF(B48*B76*parametros_manuales!$M$37*parametros_manuales!$B$6=0,0,'Demanda puesto con sobrestock'!$P$20/(parametros_manuales!$M$37*B48*B76*parametros_manuales!$B$6))</f>
        <v>0.030217311209199</v>
      </c>
      <c r="C20" s="58" t="n">
        <f aca="false">IF(C48*C76*parametros_manuales!$M$37*parametros_manuales!$B$6=0,0,'Demanda puesto con sobrestock'!$P$47/(parametros_manuales!$M$37*C48*C76*parametros_manuales!$B$6))</f>
        <v>0.0477983169234155</v>
      </c>
      <c r="D20" s="58" t="n">
        <f aca="false">IF(D48*D76*parametros_manuales!$M$37*parametros_manuales!$B$6=0,0,'Demanda puesto con sobrestock'!$P$74/(parametros_manuales!$M$37*D48*D76*parametros_manuales!$B$6))</f>
        <v>0.100967659271127</v>
      </c>
      <c r="E20" s="58" t="n">
        <f aca="false">IF(E48*E76*parametros_manuales!$M$37*parametros_manuales!$B$6=0,0,'Demanda puesto con sobrestock'!$P$101/(parametros_manuales!$M$37*E48*E76*parametros_manuales!$B$6))</f>
        <v>0.223229883495159</v>
      </c>
      <c r="F20" s="45" t="n">
        <f aca="false">IF(F48*F76*parametros_manuales!$M$37*parametros_manuales!$B$6=0,0,'Demanda puesto con sobrestock'!$P$128/(parametros_manuales!$M$37*F48*F76*parametros_manuales!$B$6))</f>
        <v>0.388535411654489</v>
      </c>
      <c r="G20" s="45" t="n">
        <f aca="false">IF(G48*G76*parametros_manuales!$M$37*parametros_manuales!$B$6=0,0,'Demanda puesto con sobrestock'!$P$155/(parametros_manuales!$M$37*G48*G76*parametros_manuales!$B$6))</f>
        <v>0.545487377196303</v>
      </c>
      <c r="H20" s="58" t="n">
        <f aca="false">IF(H48*H76*parametros_manuales!$M$37*parametros_manuales!$B$6=0,0,'Demanda puesto con sobrestock'!$P$182/(parametros_manuales!$M$37*H48*H76*parametros_manuales!$B$6))</f>
        <v>0.375832458558539</v>
      </c>
      <c r="I20" s="46" t="n">
        <f aca="false">IF(I48*I76*parametros_manuales!$M$37*parametros_manuales!$B$6=0,0,'Demanda puesto con sobrestock'!$P$209/(parametros_manuales!$M$37*I48*I76*parametros_manuales!$B$6))</f>
        <v>0.480285335055018</v>
      </c>
      <c r="J20" s="45" t="n">
        <f aca="false">IF(J48*J76*parametros_manuales!$M$37*parametros_manuales!$B$6=0,0,'Demanda puesto con sobrestock'!$P$236/(parametros_manuales!$M$37*J48*J76*parametros_manuales!$B$6))</f>
        <v>0.54191680674956</v>
      </c>
      <c r="K20" s="45" t="n">
        <f aca="false">IF(K48*K76*parametros_manuales!$M$37*parametros_manuales!$B$6=0,0,'Demanda puesto con sobrestock'!$P$263/(parametros_manuales!$M$37*K48*K76*parametros_manuales!$B$6))</f>
        <v>0.62613302018706</v>
      </c>
      <c r="L20" s="8" t="s">
        <v>83</v>
      </c>
    </row>
    <row r="21" customFormat="false" ht="14.25" hidden="false" customHeight="true" outlineLevel="0" collapsed="false">
      <c r="A21" s="8" t="str">
        <f aca="false">parametros_manuales!$B$38</f>
        <v>Carga de polvo</v>
      </c>
      <c r="B21" s="45" t="n">
        <f aca="false">IF(B49*B77*parametros_manuales!$M$38*parametros_manuales!$B$6=0,0,'Demanda puesto con sobrestock'!$P$21/(parametros_manuales!$M$38*B49*B77*parametros_manuales!$B$6))</f>
        <v>0.051280298300475</v>
      </c>
      <c r="C21" s="45" t="n">
        <f aca="false">IF(C49*C77*parametros_manuales!$M$38*parametros_manuales!$B$6=0,0,'Demanda puesto con sobrestock'!$P$48/(parametros_manuales!$M$38*C49*C77*parametros_manuales!$B$6))</f>
        <v>0.0808240320375</v>
      </c>
      <c r="D21" s="45" t="n">
        <f aca="false">IF(D49*D77*parametros_manuales!$M$38*parametros_manuales!$B$6=0,0,'Demanda puesto con sobrestock'!$P$75/(parametros_manuales!$M$38*D49*D77*parametros_manuales!$B$6))</f>
        <v>0.099479491398</v>
      </c>
      <c r="E21" s="45" t="n">
        <f aca="false">IF(E49*E77*parametros_manuales!$M$38*parametros_manuales!$B$6=0,0,'Demanda puesto con sobrestock'!$P$102/(parametros_manuales!$M$38*E49*E77*parametros_manuales!$B$6))</f>
        <v>0.12957472147575</v>
      </c>
      <c r="F21" s="45" t="n">
        <f aca="false">IF(F49*F77*parametros_manuales!$M$38*parametros_manuales!$B$6=0,0,'Demanda puesto con sobrestock'!$P$129/(parametros_manuales!$M$38*F49*F77*parametros_manuales!$B$6))</f>
        <v>0.19908274145925</v>
      </c>
      <c r="G21" s="45" t="n">
        <f aca="false">IF(G49*G77*parametros_manuales!$M$38*parametros_manuales!$B$6=0,0,'Demanda puesto con sobrestock'!$P$156/(parametros_manuales!$M$38*G49*G77*parametros_manuales!$B$6))</f>
        <v>0.2587461907425</v>
      </c>
      <c r="H21" s="45" t="n">
        <f aca="false">IF(H49*H77*parametros_manuales!$M$38*parametros_manuales!$B$6=0,0,'Demanda puesto con sobrestock'!$P$183/(parametros_manuales!$M$38*H49*H77*parametros_manuales!$B$6))</f>
        <v>0.3340583187675</v>
      </c>
      <c r="I21" s="45" t="n">
        <f aca="false">IF(I49*I77*parametros_manuales!$M$38*parametros_manuales!$B$6=0,0,'Demanda puesto con sobrestock'!$P$210/(parametros_manuales!$M$38*I49*I77*parametros_manuales!$B$6))</f>
        <v>0.4132753218675</v>
      </c>
      <c r="J21" s="45" t="n">
        <f aca="false">IF(J49*J77*parametros_manuales!$M$38*parametros_manuales!$B$6=0,0,'Demanda puesto con sobrestock'!$P$237/(parametros_manuales!$M$38*J49*J77*parametros_manuales!$B$6))</f>
        <v>0.4758281774025</v>
      </c>
      <c r="K21" s="45" t="n">
        <f aca="false">IF(K49*K77*parametros_manuales!$M$38*parametros_manuales!$B$6=0,0,'Demanda puesto con sobrestock'!$P$264/(parametros_manuales!$M$38*K49*K77*parametros_manuales!$B$6))</f>
        <v>0.5414178327975</v>
      </c>
      <c r="L21" s="8" t="s">
        <v>83</v>
      </c>
    </row>
    <row r="22" customFormat="false" ht="14.25" hidden="false" customHeight="true" outlineLevel="0" collapsed="false">
      <c r="A22" s="8" t="str">
        <f aca="false">parametros_manuales!$B$39</f>
        <v>Ensamblaje</v>
      </c>
      <c r="B22" s="45" t="n">
        <f aca="false">IF(B50*B78*parametros_manuales!$M$39*parametros_manuales!$B$6=0,0,'Demanda puesto con sobrestock'!$P$22/(parametros_manuales!$M$39*B50*B78*parametros_manuales!$B$6))</f>
        <v>0.116018774435464</v>
      </c>
      <c r="C22" s="45" t="n">
        <f aca="false">IF(C50*C78*parametros_manuales!$M$39*parametros_manuales!$B$6=0,0,'Demanda puesto con sobrestock'!$P$49/(parametros_manuales!$M$39*C50*C78*parametros_manuales!$B$6))</f>
        <v>0.182859800989819</v>
      </c>
      <c r="D22" s="45" t="n">
        <f aca="false">IF(D50*D78*parametros_manuales!$M$39*parametros_manuales!$B$6=0,0,'Demanda puesto con sobrestock'!$P$76/(parametros_manuales!$M$39*D50*D78*parametros_manuales!$B$6))</f>
        <v>0.22506672261991</v>
      </c>
      <c r="E22" s="45" t="n">
        <f aca="false">IF(E50*E78*parametros_manuales!$M$39*parametros_manuales!$B$6=0,0,'Demanda puesto con sobrestock'!$P$103/(parametros_manuales!$M$39*E50*E78*parametros_manuales!$B$6))</f>
        <v>0.293155478451923</v>
      </c>
      <c r="F22" s="45" t="n">
        <f aca="false">IF(F50*F78*parametros_manuales!$M$39*parametros_manuales!$B$6=0,0,'Demanda puesto con sobrestock'!$P$130/(parametros_manuales!$M$39*F50*F78*parametros_manuales!$B$6))</f>
        <v>0.450413442215498</v>
      </c>
      <c r="G22" s="45" t="n">
        <f aca="false">IF(G50*G78*parametros_manuales!$M$39*parametros_manuales!$B$6=0,0,'Demanda puesto con sobrestock'!$P$157/(parametros_manuales!$M$39*G50*G78*parametros_manuales!$B$6))</f>
        <v>0.585398621589367</v>
      </c>
      <c r="H22" s="58" t="n">
        <f aca="false">IF(H50*H78*parametros_manuales!$M$39*parametros_manuales!$B$6=0,0,'Demanda puesto con sobrestock'!$P$184/(parametros_manuales!$M$39*H50*H78*parametros_manuales!$B$6))</f>
        <v>0.377894025755091</v>
      </c>
      <c r="I22" s="46" t="n">
        <f aca="false">IF(I50*I78*parametros_manuales!$M$39*parametros_manuales!$B$6=0,0,'Demanda puesto con sobrestock'!$P$211/(parametros_manuales!$M$39*I50*I78*parametros_manuales!$B$6))</f>
        <v>0.467506020212104</v>
      </c>
      <c r="J22" s="45" t="n">
        <f aca="false">IF(J50*J78*parametros_manuales!$M$39*parametros_manuales!$B$6=0,0,'Demanda puesto con sobrestock'!$P$238/(parametros_manuales!$M$39*J50*J78*parametros_manuales!$B$6))</f>
        <v>0.538267169007353</v>
      </c>
      <c r="K22" s="45" t="n">
        <f aca="false">IF(K50*K78*parametros_manuales!$M$39*parametros_manuales!$B$6=0,0,'Demanda puesto con sobrestock'!$P$265/(parametros_manuales!$M$39*K50*K78*parametros_manuales!$B$6))</f>
        <v>0.612463611761878</v>
      </c>
      <c r="L22" s="8" t="s">
        <v>202</v>
      </c>
    </row>
    <row r="23" customFormat="false" ht="14.25" hidden="false" customHeight="true" outlineLevel="0" collapsed="false">
      <c r="A23" s="8" t="str">
        <f aca="false">parametros_manuales!$B$40</f>
        <v>Presurización</v>
      </c>
      <c r="B23" s="45" t="n">
        <f aca="false">IF(B51*B79*parametros_manuales!$M$40*parametros_manuales!$B$6=0,0,'Demanda puesto con sobrestock'!$P$23/(parametros_manuales!$M$40*B51*B79*parametros_manuales!$B$6))</f>
        <v>0.03418686553365</v>
      </c>
      <c r="C23" s="45" t="n">
        <f aca="false">IF(C51*C79*parametros_manuales!$M$40*parametros_manuales!$B$6=0,0,'Demanda puesto con sobrestock'!$P$50/(parametros_manuales!$M$40*C51*C79*parametros_manuales!$B$6))</f>
        <v>0.053882688025</v>
      </c>
      <c r="D23" s="45" t="n">
        <f aca="false">IF(D51*D79*parametros_manuales!$M$40*parametros_manuales!$B$6=0,0,'Demanda puesto con sobrestock'!$P$77/(parametros_manuales!$M$40*D51*D79*parametros_manuales!$B$6))</f>
        <v>0.066319660932</v>
      </c>
      <c r="E23" s="45" t="n">
        <f aca="false">IF(E51*E79*parametros_manuales!$M$40*parametros_manuales!$B$6=0,0,'Demanda puesto con sobrestock'!$P$104/(parametros_manuales!$M$40*E51*E79*parametros_manuales!$B$6))</f>
        <v>0.0863831476505</v>
      </c>
      <c r="F23" s="45" t="n">
        <f aca="false">IF(F51*F79*parametros_manuales!$M$40*parametros_manuales!$B$6=0,0,'Demanda puesto con sobrestock'!$P$131/(parametros_manuales!$M$40*F51*F79*parametros_manuales!$B$6))</f>
        <v>0.1327218276395</v>
      </c>
      <c r="G23" s="45" t="n">
        <f aca="false">IF(G51*G79*parametros_manuales!$M$40*parametros_manuales!$B$6=0,0,'Demanda puesto con sobrestock'!$P$158/(parametros_manuales!$M$40*G51*G79*parametros_manuales!$B$6))</f>
        <v>0.172497460495</v>
      </c>
      <c r="H23" s="45" t="n">
        <f aca="false">IF(H51*H79*parametros_manuales!$M$40*parametros_manuales!$B$6=0,0,'Demanda puesto con sobrestock'!$P$185/(parametros_manuales!$M$40*H51*H79*parametros_manuales!$B$6))</f>
        <v>0.222705545845</v>
      </c>
      <c r="I23" s="45" t="n">
        <f aca="false">IF(I51*I79*parametros_manuales!$M$40*parametros_manuales!$B$6=0,0,'Demanda puesto con sobrestock'!$P$212/(parametros_manuales!$M$40*I51*I79*parametros_manuales!$B$6))</f>
        <v>0.275516881245</v>
      </c>
      <c r="J23" s="45" t="n">
        <f aca="false">IF(J51*J79*parametros_manuales!$M$40*parametros_manuales!$B$6=0,0,'Demanda puesto con sobrestock'!$P$239/(parametros_manuales!$M$40*J51*J79*parametros_manuales!$B$6))</f>
        <v>0.317218784935</v>
      </c>
      <c r="K23" s="45" t="n">
        <f aca="false">IF(K51*K79*parametros_manuales!$M$40*parametros_manuales!$B$6=0,0,'Demanda puesto con sobrestock'!$P$266/(parametros_manuales!$M$40*K51*K79*parametros_manuales!$B$6))</f>
        <v>0.360945221865</v>
      </c>
      <c r="L23" s="8" t="s">
        <v>83</v>
      </c>
    </row>
    <row r="24" customFormat="false" ht="14.25" hidden="false" customHeight="true" outlineLevel="0" collapsed="false">
      <c r="A24" s="8" t="str">
        <f aca="false">parametros_manuales!$B$41</f>
        <v>Control de calidad — Ensayo de pérdidas</v>
      </c>
      <c r="B24" s="45" t="n">
        <f aca="false">IF(B52*B80*parametros_manuales!$M$41*parametros_manuales!$B$6=0,0,'Demanda puesto con sobrestock'!$P$24/(parametros_manuales!$M$41*B52*B80*parametros_manuales!$B$6))</f>
        <v>0.062675920145025</v>
      </c>
      <c r="C24" s="45" t="n">
        <f aca="false">IF(C52*C80*parametros_manuales!$M$41*parametros_manuales!$B$6=0,0,'Demanda puesto con sobrestock'!$P$51/(parametros_manuales!$M$41*C52*C80*parametros_manuales!$B$6))</f>
        <v>0.0987849280458333</v>
      </c>
      <c r="D24" s="45" t="n">
        <f aca="false">IF(D52*D80*parametros_manuales!$M$41*parametros_manuales!$B$6=0,0,'Demanda puesto con sobrestock'!$P$78/(parametros_manuales!$M$41*D52*D80*parametros_manuales!$B$6))</f>
        <v>0.121586045042</v>
      </c>
      <c r="E24" s="45" t="n">
        <f aca="false">IF(E52*E80*parametros_manuales!$M$41*parametros_manuales!$B$6=0,0,'Demanda puesto con sobrestock'!$P$105/(parametros_manuales!$M$41*E52*E80*parametros_manuales!$B$6))</f>
        <v>0.158369104025917</v>
      </c>
      <c r="F24" s="45" t="n">
        <f aca="false">IF(F52*F80*parametros_manuales!$M$41*parametros_manuales!$B$6=0,0,'Demanda puesto con sobrestock'!$P$132/(parametros_manuales!$M$41*F52*F80*parametros_manuales!$B$6))</f>
        <v>0.243323350672417</v>
      </c>
      <c r="G24" s="45" t="n">
        <f aca="false">IF(G52*G80*parametros_manuales!$M$41*parametros_manuales!$B$6=0,0,'Demanda puesto con sobrestock'!$P$159/(parametros_manuales!$M$41*G52*G80*parametros_manuales!$B$6))</f>
        <v>0.316245344240833</v>
      </c>
      <c r="H24" s="45" t="n">
        <f aca="false">IF(H52*H80*parametros_manuales!$M$41*parametros_manuales!$B$6=0,0,'Demanda puesto con sobrestock'!$P$186/(parametros_manuales!$M$41*H52*H80*parametros_manuales!$B$6))</f>
        <v>0.408293500715833</v>
      </c>
      <c r="I24" s="45" t="n">
        <f aca="false">IF(I52*I80*parametros_manuales!$M$41*parametros_manuales!$B$6=0,0,'Demanda puesto con sobrestock'!$P$213/(parametros_manuales!$M$41*I52*I80*parametros_manuales!$B$6))</f>
        <v>0.5051142822825</v>
      </c>
      <c r="J24" s="58" t="n">
        <f aca="false">IF(J52*J80*parametros_manuales!$M$41*parametros_manuales!$B$6=0,0,'Demanda puesto con sobrestock'!$P$240/(parametros_manuales!$M$41*J52*J80*parametros_manuales!$B$6))</f>
        <v>0.581567772380834</v>
      </c>
      <c r="K24" s="45" t="n">
        <f aca="false">IF(K52*K80*parametros_manuales!$M$41*parametros_manuales!$B$6=0,0,'Demanda puesto con sobrestock'!$P$267/(parametros_manuales!$M$41*K52*K80*parametros_manuales!$B$6))</f>
        <v>0.6617329067525</v>
      </c>
      <c r="L24" s="8" t="s">
        <v>83</v>
      </c>
    </row>
    <row r="25" customFormat="false" ht="14.25" hidden="false" customHeight="true" outlineLevel="0" collapsed="false">
      <c r="A25" s="8" t="str">
        <f aca="false">parametros_manuales!$B$42</f>
        <v>Etiquetado</v>
      </c>
      <c r="B25" s="45" t="n">
        <f aca="false">IF(B53*B81*parametros_manuales!$M$42*parametros_manuales!$B$6=0,0,'Demanda puesto con sobrestock'!$P$25/(parametros_manuales!$M$42*B53*B81*parametros_manuales!$B$6))</f>
        <v>0.0683737310673</v>
      </c>
      <c r="C25" s="45" t="n">
        <f aca="false">IF(C53*C81*parametros_manuales!$M$42*parametros_manuales!$B$6=0,0,'Demanda puesto con sobrestock'!$P$52/(parametros_manuales!$M$42*C53*C81*parametros_manuales!$B$6))</f>
        <v>0.10776537605</v>
      </c>
      <c r="D25" s="45" t="n">
        <f aca="false">IF(D53*D81*parametros_manuales!$M$42*parametros_manuales!$B$6=0,0,'Demanda puesto con sobrestock'!$P$79/(parametros_manuales!$M$42*D53*D81*parametros_manuales!$B$6))</f>
        <v>0.132639321864</v>
      </c>
      <c r="E25" s="45" t="n">
        <f aca="false">IF(E53*E81*parametros_manuales!$M$42*parametros_manuales!$B$6=0,0,'Demanda puesto con sobrestock'!$P$106/(parametros_manuales!$M$42*E53*E81*parametros_manuales!$B$6))</f>
        <v>0.172766295301</v>
      </c>
      <c r="F25" s="45" t="n">
        <f aca="false">IF(F53*F81*parametros_manuales!$M$42*parametros_manuales!$B$6=0,0,'Demanda puesto con sobrestock'!$P$133/(parametros_manuales!$M$42*F53*F81*parametros_manuales!$B$6))</f>
        <v>0.265443655279</v>
      </c>
      <c r="G25" s="45" t="n">
        <f aca="false">IF(G53*G81*parametros_manuales!$M$42*parametros_manuales!$B$6=0,0,'Demanda puesto con sobrestock'!$P$160/(parametros_manuales!$M$42*G53*G81*parametros_manuales!$B$6))</f>
        <v>0.34499492099</v>
      </c>
      <c r="H25" s="45" t="n">
        <f aca="false">IF(H53*H81*parametros_manuales!$M$42*parametros_manuales!$B$6=0,0,'Demanda puesto con sobrestock'!$P$187/(parametros_manuales!$M$42*H53*H81*parametros_manuales!$B$6))</f>
        <v>0.44541109169</v>
      </c>
      <c r="I25" s="45" t="n">
        <f aca="false">IF(I53*I81*parametros_manuales!$M$42*parametros_manuales!$B$6=0,0,'Demanda puesto con sobrestock'!$P$214/(parametros_manuales!$M$42*I53*I81*parametros_manuales!$B$6))</f>
        <v>0.55103376249</v>
      </c>
      <c r="J25" s="45" t="n">
        <f aca="false">IF(J53*J81*parametros_manuales!$M$42*parametros_manuales!$B$6=0,0,'Demanda puesto con sobrestock'!$P$241/(parametros_manuales!$M$42*J53*J81*parametros_manuales!$B$6))</f>
        <v>0.63443756987</v>
      </c>
      <c r="K25" s="45" t="n">
        <f aca="false">IF(K53*K81*parametros_manuales!$M$42*parametros_manuales!$B$6=0,0,'Demanda puesto con sobrestock'!$P$268/(parametros_manuales!$M$42*K53*K81*parametros_manuales!$B$6))</f>
        <v>0.72189044373</v>
      </c>
      <c r="L25" s="8" t="s">
        <v>83</v>
      </c>
    </row>
    <row r="26" customFormat="false" ht="14.25" hidden="false" customHeight="true" outlineLevel="0" collapsed="false">
      <c r="A26" s="8" t="str">
        <f aca="false">parametros_manuales!$B$43</f>
        <v>Embalaje y paletizado</v>
      </c>
      <c r="B26" s="45" t="n">
        <f aca="false">IF(B54*B82*parametros_manuales!$M$43*parametros_manuales!$B$6=0,0,'Demanda puesto con sobrestock'!$P$26/(parametros_manuales!$M$43*B54*B82*parametros_manuales!$B$6))</f>
        <v>0.0519520946977887</v>
      </c>
      <c r="C26" s="45" t="n">
        <f aca="false">IF(C54*C82*parametros_manuales!$M$43*parametros_manuales!$B$6=0,0,'Demanda puesto con sobrestock'!$P$53/(parametros_manuales!$M$43*C54*C82*parametros_manuales!$B$6))</f>
        <v>0.0821788103517377</v>
      </c>
      <c r="D26" s="45" t="n">
        <f aca="false">IF(D54*D82*parametros_manuales!$M$43*parametros_manuales!$B$6=0,0,'Demanda puesto con sobrestock'!$P$80/(parametros_manuales!$M$43*D54*D82*parametros_manuales!$B$6))</f>
        <v>0.173591930782735</v>
      </c>
      <c r="E26" s="45" t="n">
        <f aca="false">IF(E54*E82*parametros_manuales!$M$43*parametros_manuales!$B$6=0,0,'Demanda puesto con sobrestock'!$P$107/(parametros_manuales!$M$43*E54*E82*parametros_manuales!$B$6))</f>
        <v>0.383795234672842</v>
      </c>
      <c r="F26" s="45" t="n">
        <f aca="false">IF(F54*F82*parametros_manuales!$M$43*parametros_manuales!$B$6=0,0,'Demanda puesto con sobrestock'!$P$134/(parametros_manuales!$M$43*F54*F82*parametros_manuales!$B$6))</f>
        <v>0.668002138243638</v>
      </c>
      <c r="G26" s="58" t="n">
        <f aca="false">IF(G54*G82*parametros_manuales!$M$43*parametros_manuales!$B$6=0,0,'Demanda puesto con sobrestock'!$P$161/(parametros_manuales!$M$43*G54*G82*parametros_manuales!$B$6))</f>
        <v>0.468923453849916</v>
      </c>
      <c r="H26" s="46" t="n">
        <f aca="false">IF(H54*H82*parametros_manuales!$M$43*parametros_manuales!$B$6=0,0,'Demanda puesto con sobrestock'!$P$188/(parametros_manuales!$M$43*H54*H82*parametros_manuales!$B$6))</f>
        <v>0.32308108657252</v>
      </c>
      <c r="I26" s="46" t="n">
        <f aca="false">IF(I54*I82*parametros_manuales!$M$43*parametros_manuales!$B$6=0,0,'Demanda puesto con sobrestock'!$P$215/(parametros_manuales!$M$43*I54*I82*parametros_manuales!$B$6))</f>
        <v>0.412873088475547</v>
      </c>
      <c r="J26" s="45" t="n">
        <f aca="false">IF(J54*J82*parametros_manuales!$M$43*parametros_manuales!$B$6=0,0,'Demanda puesto con sobrestock'!$P$242/(parametros_manuales!$M$43*J54*J82*parametros_manuales!$B$6))</f>
        <v>0.46585404418785</v>
      </c>
      <c r="K26" s="45" t="n">
        <f aca="false">IF(K54*K82*parametros_manuales!$M$43*parametros_manuales!$B$6=0,0,'Demanda puesto con sobrestock'!$P$269/(parametros_manuales!$M$43*K54*K82*parametros_manuales!$B$6))</f>
        <v>0.538249775649594</v>
      </c>
      <c r="L26" s="8" t="s">
        <v>202</v>
      </c>
    </row>
    <row r="27" customFormat="false" ht="14.25" hidden="false" customHeight="true" outlineLevel="0" collapsed="false">
      <c r="A27" s="10" t="s">
        <v>209</v>
      </c>
      <c r="B27" s="60" t="n">
        <f aca="false">MAX(B2:B26)</f>
        <v>0.1373074621346</v>
      </c>
      <c r="C27" s="60" t="n">
        <f aca="false">MAX(C2:C26)</f>
        <v>0.2171955521</v>
      </c>
      <c r="D27" s="60" t="n">
        <f aca="false">MAX(D2:D26)</f>
        <v>0.458797043728</v>
      </c>
      <c r="E27" s="60" t="n">
        <f aca="false">MAX(E2:E26)</f>
        <v>0.516357992953507</v>
      </c>
      <c r="F27" s="60" t="n">
        <f aca="false">MAX(F2:F26)</f>
        <v>0.89872987528405</v>
      </c>
      <c r="G27" s="60" t="n">
        <f aca="false">MAX(G2:G26)</f>
        <v>0.826231547326667</v>
      </c>
      <c r="H27" s="60" t="n">
        <f aca="false">MAX(H2:H26)</f>
        <v>0.476950027832348</v>
      </c>
      <c r="I27" s="60" t="n">
        <f aca="false">MAX(I2:I26)</f>
        <v>0.603250544209037</v>
      </c>
      <c r="J27" s="60" t="n">
        <f aca="false">MAX(J2:J26)</f>
        <v>0.688192060591639</v>
      </c>
      <c r="K27" s="60" t="n">
        <f aca="false">MAX(K2:K26)</f>
        <v>0.795425135383868</v>
      </c>
    </row>
    <row r="28" customFormat="false" ht="14.25" hidden="false" customHeight="true" outlineLevel="0" collapsed="false"/>
    <row r="29" customFormat="false" ht="14.25" hidden="false" customHeight="true" outlineLevel="0" collapsed="false">
      <c r="A29" s="57" t="s">
        <v>210</v>
      </c>
      <c r="B29" s="57" t="n">
        <v>2026</v>
      </c>
      <c r="C29" s="57" t="n">
        <v>2027</v>
      </c>
      <c r="D29" s="57" t="n">
        <v>2028</v>
      </c>
      <c r="E29" s="57" t="n">
        <v>2029</v>
      </c>
      <c r="F29" s="57" t="n">
        <v>2030</v>
      </c>
      <c r="G29" s="57" t="n">
        <v>2031</v>
      </c>
      <c r="H29" s="57" t="n">
        <v>2032</v>
      </c>
      <c r="I29" s="57" t="n">
        <v>2033</v>
      </c>
      <c r="J29" s="57" t="n">
        <v>2034</v>
      </c>
      <c r="K29" s="57" t="n">
        <v>2035</v>
      </c>
    </row>
    <row r="30" customFormat="false" ht="14.25" hidden="false" customHeight="true" outlineLevel="0" collapsed="false">
      <c r="A30" s="8" t="str">
        <f aca="false">parametros_manuales!$B$19</f>
        <v>Recepción de materia prima</v>
      </c>
      <c r="B30" s="41" t="n">
        <v>1</v>
      </c>
      <c r="C30" s="41" t="n">
        <v>1</v>
      </c>
      <c r="D30" s="41" t="n">
        <v>1</v>
      </c>
      <c r="E30" s="41" t="n">
        <v>1</v>
      </c>
      <c r="F30" s="41" t="n">
        <v>2</v>
      </c>
      <c r="G30" s="41" t="n">
        <v>2</v>
      </c>
      <c r="H30" s="41" t="n">
        <v>2</v>
      </c>
      <c r="I30" s="41" t="n">
        <v>2</v>
      </c>
      <c r="J30" s="41" t="n">
        <v>2</v>
      </c>
      <c r="K30" s="41" t="n">
        <v>2</v>
      </c>
    </row>
    <row r="31" customFormat="false" ht="14.25" hidden="false" customHeight="true" outlineLevel="0" collapsed="false">
      <c r="A31" s="8" t="str">
        <f aca="false">parametros_manuales!$B$20</f>
        <v>Corte de chapa (guillotina) — 2,5 a 10 kg</v>
      </c>
      <c r="B31" s="41" t="n">
        <v>1</v>
      </c>
      <c r="C31" s="41" t="n">
        <v>1</v>
      </c>
      <c r="D31" s="41" t="n">
        <v>1</v>
      </c>
      <c r="E31" s="41" t="n">
        <v>1</v>
      </c>
      <c r="F31" s="41" t="n">
        <v>1</v>
      </c>
      <c r="G31" s="41" t="n">
        <v>1</v>
      </c>
      <c r="H31" s="41" t="n">
        <v>1</v>
      </c>
      <c r="I31" s="41" t="n">
        <v>1</v>
      </c>
      <c r="J31" s="41" t="n">
        <v>1</v>
      </c>
      <c r="K31" s="41" t="n">
        <v>1</v>
      </c>
    </row>
    <row r="32" customFormat="false" ht="14.25" hidden="false" customHeight="true" outlineLevel="0" collapsed="false">
      <c r="A32" s="8" t="str">
        <f aca="false">parametros_manuales!$B$21</f>
        <v>Corte de tubo — 1 kg</v>
      </c>
      <c r="B32" s="41" t="n">
        <v>1</v>
      </c>
      <c r="C32" s="41" t="n">
        <v>1</v>
      </c>
      <c r="D32" s="41" t="n">
        <v>1</v>
      </c>
      <c r="E32" s="41" t="n">
        <v>1</v>
      </c>
      <c r="F32" s="41" t="n">
        <v>1</v>
      </c>
      <c r="G32" s="41" t="n">
        <v>1</v>
      </c>
      <c r="H32" s="41" t="n">
        <v>1</v>
      </c>
      <c r="I32" s="41" t="n">
        <v>1</v>
      </c>
      <c r="J32" s="41" t="n">
        <v>1</v>
      </c>
      <c r="K32" s="41" t="n">
        <v>1</v>
      </c>
    </row>
    <row r="33" customFormat="false" ht="14.25" hidden="false" customHeight="true" outlineLevel="0" collapsed="false">
      <c r="A33" s="8" t="str">
        <f aca="false">parametros_manuales!$B$22</f>
        <v>Corte de disco y embutido (cúpula y fondo)</v>
      </c>
      <c r="B33" s="41" t="n">
        <v>1</v>
      </c>
      <c r="C33" s="41" t="n">
        <v>1</v>
      </c>
      <c r="D33" s="41" t="n">
        <v>1</v>
      </c>
      <c r="E33" s="41" t="n">
        <v>1</v>
      </c>
      <c r="F33" s="41" t="n">
        <v>1</v>
      </c>
      <c r="G33" s="41" t="n">
        <v>1</v>
      </c>
      <c r="H33" s="41" t="n">
        <v>1</v>
      </c>
      <c r="I33" s="41" t="n">
        <v>1</v>
      </c>
      <c r="J33" s="41" t="n">
        <v>1</v>
      </c>
      <c r="K33" s="41" t="n">
        <v>1</v>
      </c>
    </row>
    <row r="34" customFormat="false" ht="14.25" hidden="false" customHeight="true" outlineLevel="0" collapsed="false">
      <c r="A34" s="8" t="str">
        <f aca="false">parametros_manuales!$B$23</f>
        <v>Preparación de cuello</v>
      </c>
      <c r="B34" s="41" t="n">
        <v>1</v>
      </c>
      <c r="C34" s="41" t="n">
        <v>1</v>
      </c>
      <c r="D34" s="41" t="n">
        <v>1</v>
      </c>
      <c r="E34" s="41" t="n">
        <v>1</v>
      </c>
      <c r="F34" s="41" t="n">
        <v>1</v>
      </c>
      <c r="G34" s="41" t="n">
        <v>2</v>
      </c>
      <c r="H34" s="41" t="n">
        <v>2</v>
      </c>
      <c r="I34" s="41" t="n">
        <v>2</v>
      </c>
      <c r="J34" s="41" t="n">
        <v>2</v>
      </c>
      <c r="K34" s="41" t="n">
        <v>2</v>
      </c>
    </row>
    <row r="35" customFormat="false" ht="14.25" hidden="false" customHeight="true" outlineLevel="0" collapsed="false">
      <c r="A35" s="8" t="str">
        <f aca="false">parametros_manuales!$B$24</f>
        <v>Numerado de cúpula</v>
      </c>
      <c r="B35" s="41" t="n">
        <v>1</v>
      </c>
      <c r="C35" s="41" t="n">
        <v>1</v>
      </c>
      <c r="D35" s="41" t="n">
        <v>1</v>
      </c>
      <c r="E35" s="41" t="n">
        <v>1</v>
      </c>
      <c r="F35" s="41" t="n">
        <v>1</v>
      </c>
      <c r="G35" s="41" t="n">
        <v>1</v>
      </c>
      <c r="H35" s="41" t="n">
        <v>1</v>
      </c>
      <c r="I35" s="41" t="n">
        <v>1</v>
      </c>
      <c r="J35" s="41" t="n">
        <v>1</v>
      </c>
      <c r="K35" s="41" t="n">
        <v>1</v>
      </c>
    </row>
    <row r="36" customFormat="false" ht="14.25" hidden="false" customHeight="true" outlineLevel="0" collapsed="false">
      <c r="A36" s="8" t="str">
        <f aca="false">parametros_manuales!$B$25</f>
        <v>Soldadura del cuello a la cúpula</v>
      </c>
      <c r="B36" s="41" t="n">
        <v>1</v>
      </c>
      <c r="C36" s="41" t="n">
        <v>1</v>
      </c>
      <c r="D36" s="41" t="n">
        <v>1</v>
      </c>
      <c r="E36" s="41" t="n">
        <v>1</v>
      </c>
      <c r="F36" s="41" t="n">
        <v>1</v>
      </c>
      <c r="G36" s="41" t="n">
        <v>1</v>
      </c>
      <c r="H36" s="41" t="n">
        <v>1</v>
      </c>
      <c r="I36" s="41" t="n">
        <v>1</v>
      </c>
      <c r="J36" s="41" t="n">
        <v>1</v>
      </c>
      <c r="K36" s="41" t="n">
        <v>1</v>
      </c>
    </row>
    <row r="37" customFormat="false" ht="14.25" hidden="false" customHeight="true" outlineLevel="0" collapsed="false">
      <c r="A37" s="8" t="str">
        <f aca="false">parametros_manuales!$B$26</f>
        <v>Cilindrado</v>
      </c>
      <c r="B37" s="41" t="n">
        <v>1</v>
      </c>
      <c r="C37" s="41" t="n">
        <v>1</v>
      </c>
      <c r="D37" s="41" t="n">
        <v>1</v>
      </c>
      <c r="E37" s="41" t="n">
        <v>1</v>
      </c>
      <c r="F37" s="41" t="n">
        <v>1</v>
      </c>
      <c r="G37" s="41" t="n">
        <v>1</v>
      </c>
      <c r="H37" s="41" t="n">
        <v>1</v>
      </c>
      <c r="I37" s="41" t="n">
        <v>1</v>
      </c>
      <c r="J37" s="41" t="n">
        <v>1</v>
      </c>
      <c r="K37" s="41" t="n">
        <v>1</v>
      </c>
    </row>
    <row r="38" customFormat="false" ht="14.25" hidden="false" customHeight="true" outlineLevel="0" collapsed="false">
      <c r="A38" s="8" t="str">
        <f aca="false">parametros_manuales!$B$27</f>
        <v>Soldadura longitudinal</v>
      </c>
      <c r="B38" s="41" t="n">
        <v>1</v>
      </c>
      <c r="C38" s="41" t="n">
        <v>1</v>
      </c>
      <c r="D38" s="41" t="n">
        <v>1</v>
      </c>
      <c r="E38" s="41" t="n">
        <v>1</v>
      </c>
      <c r="F38" s="41" t="n">
        <v>1</v>
      </c>
      <c r="G38" s="41" t="n">
        <v>1</v>
      </c>
      <c r="H38" s="41" t="n">
        <v>1</v>
      </c>
      <c r="I38" s="41" t="n">
        <v>1</v>
      </c>
      <c r="J38" s="41" t="n">
        <v>1</v>
      </c>
      <c r="K38" s="41" t="n">
        <v>1</v>
      </c>
    </row>
    <row r="39" customFormat="false" ht="14.25" hidden="false" customHeight="true" outlineLevel="0" collapsed="false">
      <c r="A39" s="8" t="str">
        <f aca="false">parametros_manuales!$B$28</f>
        <v>Encastre de fondo</v>
      </c>
      <c r="B39" s="41" t="n">
        <v>1</v>
      </c>
      <c r="C39" s="41" t="n">
        <v>1</v>
      </c>
      <c r="D39" s="41" t="n">
        <v>1</v>
      </c>
      <c r="E39" s="41" t="n">
        <v>1</v>
      </c>
      <c r="F39" s="41" t="n">
        <v>1</v>
      </c>
      <c r="G39" s="41" t="n">
        <v>1</v>
      </c>
      <c r="H39" s="41" t="n">
        <v>1</v>
      </c>
      <c r="I39" s="41" t="n">
        <v>1</v>
      </c>
      <c r="J39" s="41" t="n">
        <v>1</v>
      </c>
      <c r="K39" s="41" t="n">
        <v>1</v>
      </c>
    </row>
    <row r="40" customFormat="false" ht="14.25" hidden="false" customHeight="true" outlineLevel="0" collapsed="false">
      <c r="A40" s="8" t="str">
        <f aca="false">parametros_manuales!$B$29</f>
        <v>Bordoneado</v>
      </c>
      <c r="B40" s="41" t="n">
        <v>1</v>
      </c>
      <c r="C40" s="41" t="n">
        <v>1</v>
      </c>
      <c r="D40" s="41" t="n">
        <v>1</v>
      </c>
      <c r="E40" s="41" t="n">
        <v>1</v>
      </c>
      <c r="F40" s="41" t="n">
        <v>1</v>
      </c>
      <c r="G40" s="41" t="n">
        <v>1</v>
      </c>
      <c r="H40" s="41" t="n">
        <v>1</v>
      </c>
      <c r="I40" s="41" t="n">
        <v>1</v>
      </c>
      <c r="J40" s="41" t="n">
        <v>1</v>
      </c>
      <c r="K40" s="41" t="n">
        <v>1</v>
      </c>
    </row>
    <row r="41" customFormat="false" ht="14.25" hidden="false" customHeight="true" outlineLevel="0" collapsed="false">
      <c r="A41" s="8" t="str">
        <f aca="false">parametros_manuales!$B$30</f>
        <v>Soldadura circunferencial de cúpula y fondo</v>
      </c>
      <c r="B41" s="41" t="n">
        <v>1</v>
      </c>
      <c r="C41" s="41" t="n">
        <v>1</v>
      </c>
      <c r="D41" s="41" t="n">
        <v>1</v>
      </c>
      <c r="E41" s="41" t="n">
        <v>1</v>
      </c>
      <c r="F41" s="41" t="n">
        <v>1</v>
      </c>
      <c r="G41" s="41" t="n">
        <v>2</v>
      </c>
      <c r="H41" s="41" t="n">
        <v>2</v>
      </c>
      <c r="I41" s="41" t="n">
        <v>2</v>
      </c>
      <c r="J41" s="41" t="n">
        <v>2</v>
      </c>
      <c r="K41" s="41" t="n">
        <v>2</v>
      </c>
    </row>
    <row r="42" customFormat="false" ht="14.25" hidden="false" customHeight="true" outlineLevel="0" collapsed="false">
      <c r="A42" s="8" t="str">
        <f aca="false">parametros_manuales!$B$31</f>
        <v>Control de calidad — Espesor</v>
      </c>
      <c r="B42" s="41" t="n">
        <v>1</v>
      </c>
      <c r="C42" s="41" t="n">
        <v>1</v>
      </c>
      <c r="D42" s="41" t="n">
        <v>1</v>
      </c>
      <c r="E42" s="41" t="n">
        <v>1</v>
      </c>
      <c r="F42" s="41" t="n">
        <v>1</v>
      </c>
      <c r="G42" s="41" t="n">
        <v>1</v>
      </c>
      <c r="H42" s="41" t="n">
        <v>1</v>
      </c>
      <c r="I42" s="41" t="n">
        <v>1</v>
      </c>
      <c r="J42" s="41" t="n">
        <v>1</v>
      </c>
      <c r="K42" s="41" t="n">
        <v>1</v>
      </c>
    </row>
    <row r="43" customFormat="false" ht="14.25" hidden="false" customHeight="true" outlineLevel="0" collapsed="false">
      <c r="A43" s="8" t="str">
        <f aca="false">parametros_manuales!$B$32</f>
        <v>Prueba hidráulica</v>
      </c>
      <c r="B43" s="41" t="n">
        <v>1</v>
      </c>
      <c r="C43" s="41" t="n">
        <v>1</v>
      </c>
      <c r="D43" s="41" t="n">
        <v>1</v>
      </c>
      <c r="E43" s="41" t="n">
        <v>1</v>
      </c>
      <c r="F43" s="41" t="n">
        <v>1</v>
      </c>
      <c r="G43" s="41" t="n">
        <v>2</v>
      </c>
      <c r="H43" s="41" t="n">
        <v>2</v>
      </c>
      <c r="I43" s="41" t="n">
        <v>2</v>
      </c>
      <c r="J43" s="41" t="n">
        <v>2</v>
      </c>
      <c r="K43" s="41" t="n">
        <v>2</v>
      </c>
    </row>
    <row r="44" customFormat="false" ht="14.25" hidden="false" customHeight="true" outlineLevel="0" collapsed="false">
      <c r="A44" s="8" t="str">
        <f aca="false">parametros_manuales!$B$33</f>
        <v>Secado</v>
      </c>
      <c r="B44" s="41" t="n">
        <v>1</v>
      </c>
      <c r="C44" s="41" t="n">
        <v>1</v>
      </c>
      <c r="D44" s="41" t="n">
        <v>1</v>
      </c>
      <c r="E44" s="41" t="n">
        <v>2</v>
      </c>
      <c r="F44" s="41" t="n">
        <v>2</v>
      </c>
      <c r="G44" s="41" t="n">
        <v>3</v>
      </c>
      <c r="H44" s="41" t="n">
        <v>4</v>
      </c>
      <c r="I44" s="41" t="n">
        <v>4</v>
      </c>
      <c r="J44" s="41" t="n">
        <v>4</v>
      </c>
      <c r="K44" s="41" t="n">
        <v>4</v>
      </c>
    </row>
    <row r="45" customFormat="false" ht="14.25" hidden="false" customHeight="true" outlineLevel="0" collapsed="false">
      <c r="A45" s="8" t="str">
        <f aca="false">parametros_manuales!$B$34</f>
        <v>Granallado</v>
      </c>
      <c r="B45" s="41" t="n">
        <v>1</v>
      </c>
      <c r="C45" s="41" t="n">
        <v>1</v>
      </c>
      <c r="D45" s="41" t="n">
        <v>1</v>
      </c>
      <c r="E45" s="41" t="n">
        <v>1</v>
      </c>
      <c r="F45" s="41" t="n">
        <v>1</v>
      </c>
      <c r="G45" s="41" t="n">
        <v>1</v>
      </c>
      <c r="H45" s="41" t="n">
        <v>1</v>
      </c>
      <c r="I45" s="41" t="n">
        <v>1</v>
      </c>
      <c r="J45" s="41" t="n">
        <v>1</v>
      </c>
      <c r="K45" s="41" t="n">
        <v>1</v>
      </c>
    </row>
    <row r="46" customFormat="false" ht="14.25" hidden="false" customHeight="true" outlineLevel="0" collapsed="false">
      <c r="A46" s="8" t="str">
        <f aca="false">parametros_manuales!$B$35</f>
        <v>Detección de defectos</v>
      </c>
      <c r="B46" s="41" t="n">
        <v>1</v>
      </c>
      <c r="C46" s="41" t="n">
        <v>1</v>
      </c>
      <c r="D46" s="41" t="n">
        <v>1</v>
      </c>
      <c r="E46" s="41" t="n">
        <v>1</v>
      </c>
      <c r="F46" s="41" t="n">
        <v>1</v>
      </c>
      <c r="G46" s="41" t="n">
        <v>1</v>
      </c>
      <c r="H46" s="41" t="n">
        <v>1</v>
      </c>
      <c r="I46" s="41" t="n">
        <v>1</v>
      </c>
      <c r="J46" s="41" t="n">
        <v>1</v>
      </c>
      <c r="K46" s="41" t="n">
        <v>1</v>
      </c>
    </row>
    <row r="47" customFormat="false" ht="14.25" hidden="false" customHeight="true" outlineLevel="0" collapsed="false">
      <c r="A47" s="8" t="str">
        <f aca="false">parametros_manuales!$B$36</f>
        <v>Corrección de defectos</v>
      </c>
      <c r="B47" s="41" t="n">
        <v>1</v>
      </c>
      <c r="C47" s="41" t="n">
        <v>1</v>
      </c>
      <c r="D47" s="41" t="n">
        <v>1</v>
      </c>
      <c r="E47" s="41" t="n">
        <v>1</v>
      </c>
      <c r="F47" s="41" t="n">
        <v>1</v>
      </c>
      <c r="G47" s="41" t="n">
        <v>1</v>
      </c>
      <c r="H47" s="41" t="n">
        <v>1</v>
      </c>
      <c r="I47" s="41" t="n">
        <v>1</v>
      </c>
      <c r="J47" s="41" t="n">
        <v>1</v>
      </c>
      <c r="K47" s="41" t="n">
        <v>1</v>
      </c>
    </row>
    <row r="48" customFormat="false" ht="14.25" hidden="false" customHeight="true" outlineLevel="0" collapsed="false">
      <c r="A48" s="8" t="str">
        <f aca="false">parametros_manuales!$B$37</f>
        <v>Pintura en polvo + horno</v>
      </c>
      <c r="B48" s="41" t="n">
        <v>1</v>
      </c>
      <c r="C48" s="41" t="n">
        <v>1</v>
      </c>
      <c r="D48" s="41" t="n">
        <v>1</v>
      </c>
      <c r="E48" s="41" t="n">
        <v>1</v>
      </c>
      <c r="F48" s="41" t="n">
        <v>1</v>
      </c>
      <c r="G48" s="41" t="n">
        <v>1</v>
      </c>
      <c r="H48" s="41" t="n">
        <v>1</v>
      </c>
      <c r="I48" s="41" t="n">
        <v>1</v>
      </c>
      <c r="J48" s="41" t="n">
        <v>1</v>
      </c>
      <c r="K48" s="41" t="n">
        <v>1</v>
      </c>
    </row>
    <row r="49" customFormat="false" ht="14.25" hidden="false" customHeight="true" outlineLevel="0" collapsed="false">
      <c r="A49" s="8" t="str">
        <f aca="false">parametros_manuales!$B$38</f>
        <v>Carga de polvo</v>
      </c>
      <c r="B49" s="41" t="n">
        <v>1</v>
      </c>
      <c r="C49" s="41" t="n">
        <v>1</v>
      </c>
      <c r="D49" s="41" t="n">
        <v>1</v>
      </c>
      <c r="E49" s="41" t="n">
        <v>1</v>
      </c>
      <c r="F49" s="41" t="n">
        <v>1</v>
      </c>
      <c r="G49" s="41" t="n">
        <v>1</v>
      </c>
      <c r="H49" s="41" t="n">
        <v>1</v>
      </c>
      <c r="I49" s="41" t="n">
        <v>1</v>
      </c>
      <c r="J49" s="41" t="n">
        <v>1</v>
      </c>
      <c r="K49" s="41" t="n">
        <v>1</v>
      </c>
    </row>
    <row r="50" customFormat="false" ht="14.25" hidden="false" customHeight="true" outlineLevel="0" collapsed="false">
      <c r="A50" s="8" t="str">
        <f aca="false">parametros_manuales!$B$39</f>
        <v>Ensamblaje</v>
      </c>
      <c r="B50" s="41" t="n">
        <v>1</v>
      </c>
      <c r="C50" s="41" t="n">
        <v>1</v>
      </c>
      <c r="D50" s="41" t="n">
        <v>1</v>
      </c>
      <c r="E50" s="41" t="n">
        <v>1</v>
      </c>
      <c r="F50" s="41" t="n">
        <v>1</v>
      </c>
      <c r="G50" s="41" t="n">
        <v>1</v>
      </c>
      <c r="H50" s="41" t="n">
        <v>1</v>
      </c>
      <c r="I50" s="41" t="n">
        <v>1</v>
      </c>
      <c r="J50" s="41" t="n">
        <v>1</v>
      </c>
      <c r="K50" s="41" t="n">
        <v>1</v>
      </c>
    </row>
    <row r="51" customFormat="false" ht="14.25" hidden="false" customHeight="true" outlineLevel="0" collapsed="false">
      <c r="A51" s="8" t="str">
        <f aca="false">parametros_manuales!$B$40</f>
        <v>Presurización</v>
      </c>
      <c r="B51" s="41" t="n">
        <v>1</v>
      </c>
      <c r="C51" s="41" t="n">
        <v>1</v>
      </c>
      <c r="D51" s="41" t="n">
        <v>1</v>
      </c>
      <c r="E51" s="41" t="n">
        <v>1</v>
      </c>
      <c r="F51" s="41" t="n">
        <v>1</v>
      </c>
      <c r="G51" s="41" t="n">
        <v>1</v>
      </c>
      <c r="H51" s="41" t="n">
        <v>1</v>
      </c>
      <c r="I51" s="41" t="n">
        <v>1</v>
      </c>
      <c r="J51" s="41" t="n">
        <v>1</v>
      </c>
      <c r="K51" s="41" t="n">
        <v>1</v>
      </c>
    </row>
    <row r="52" customFormat="false" ht="14.25" hidden="false" customHeight="true" outlineLevel="0" collapsed="false">
      <c r="A52" s="8" t="str">
        <f aca="false">parametros_manuales!$B$41</f>
        <v>Control de calidad — Ensayo de pérdidas</v>
      </c>
      <c r="B52" s="41" t="n">
        <v>1</v>
      </c>
      <c r="C52" s="41" t="n">
        <v>1</v>
      </c>
      <c r="D52" s="41" t="n">
        <v>1</v>
      </c>
      <c r="E52" s="41" t="n">
        <v>1</v>
      </c>
      <c r="F52" s="41" t="n">
        <v>1</v>
      </c>
      <c r="G52" s="41" t="n">
        <v>1</v>
      </c>
      <c r="H52" s="41" t="n">
        <v>1</v>
      </c>
      <c r="I52" s="41" t="n">
        <v>1</v>
      </c>
      <c r="J52" s="41" t="n">
        <v>1</v>
      </c>
      <c r="K52" s="41" t="n">
        <v>1</v>
      </c>
    </row>
    <row r="53" customFormat="false" ht="14.25" hidden="false" customHeight="true" outlineLevel="0" collapsed="false">
      <c r="A53" s="8" t="str">
        <f aca="false">parametros_manuales!$B$42</f>
        <v>Etiquetado</v>
      </c>
      <c r="B53" s="41" t="n">
        <v>1</v>
      </c>
      <c r="C53" s="41" t="n">
        <v>1</v>
      </c>
      <c r="D53" s="41" t="n">
        <v>1</v>
      </c>
      <c r="E53" s="41" t="n">
        <v>1</v>
      </c>
      <c r="F53" s="41" t="n">
        <v>1</v>
      </c>
      <c r="G53" s="41" t="n">
        <v>1</v>
      </c>
      <c r="H53" s="41" t="n">
        <v>1</v>
      </c>
      <c r="I53" s="41" t="n">
        <v>1</v>
      </c>
      <c r="J53" s="41" t="n">
        <v>1</v>
      </c>
      <c r="K53" s="41" t="n">
        <v>1</v>
      </c>
    </row>
    <row r="54" customFormat="false" ht="14.25" hidden="false" customHeight="true" outlineLevel="0" collapsed="false">
      <c r="A54" s="8" t="str">
        <f aca="false">parametros_manuales!$B$43</f>
        <v>Embalaje y paletizado</v>
      </c>
      <c r="B54" s="41" t="n">
        <v>1</v>
      </c>
      <c r="C54" s="41" t="n">
        <v>1</v>
      </c>
      <c r="D54" s="41" t="n">
        <v>1</v>
      </c>
      <c r="E54" s="41" t="n">
        <v>1</v>
      </c>
      <c r="F54" s="41" t="n">
        <v>1</v>
      </c>
      <c r="G54" s="41" t="n">
        <v>2</v>
      </c>
      <c r="H54" s="41" t="n">
        <v>2</v>
      </c>
      <c r="I54" s="41" t="n">
        <v>2</v>
      </c>
      <c r="J54" s="41" t="n">
        <v>2</v>
      </c>
      <c r="K54" s="41" t="n">
        <v>2</v>
      </c>
    </row>
    <row r="55" customFormat="false" ht="14.25" hidden="false" customHeight="true" outlineLevel="0" collapsed="false">
      <c r="A55" s="10" t="s">
        <v>211</v>
      </c>
      <c r="B55" s="55" t="n">
        <f aca="false">SUM(B30:B54)</f>
        <v>25</v>
      </c>
      <c r="C55" s="55" t="n">
        <f aca="false">SUM(C30:C54)</f>
        <v>25</v>
      </c>
      <c r="D55" s="55" t="n">
        <f aca="false">SUM(D30:D54)</f>
        <v>25</v>
      </c>
      <c r="E55" s="55" t="n">
        <f aca="false">SUM(E30:E54)</f>
        <v>26</v>
      </c>
      <c r="F55" s="55" t="n">
        <f aca="false">SUM(F30:F54)</f>
        <v>27</v>
      </c>
      <c r="G55" s="55" t="n">
        <f aca="false">SUM(G30:G54)</f>
        <v>32</v>
      </c>
      <c r="H55" s="55" t="n">
        <f aca="false">SUM(H30:H54)</f>
        <v>33</v>
      </c>
      <c r="I55" s="55" t="n">
        <f aca="false">SUM(I30:I54)</f>
        <v>33</v>
      </c>
      <c r="J55" s="55" t="n">
        <f aca="false">SUM(J30:J54)</f>
        <v>33</v>
      </c>
      <c r="K55" s="55" t="n">
        <f aca="false">SUM(K30:K54)</f>
        <v>33</v>
      </c>
    </row>
    <row r="56" customFormat="false" ht="14.25" hidden="false" customHeight="true" outlineLevel="0" collapsed="false"/>
    <row r="57" customFormat="false" ht="14.25" hidden="false" customHeight="true" outlineLevel="0" collapsed="false">
      <c r="A57" s="57" t="s">
        <v>212</v>
      </c>
      <c r="B57" s="57" t="n">
        <v>2026</v>
      </c>
      <c r="C57" s="57" t="n">
        <v>2027</v>
      </c>
      <c r="D57" s="57" t="n">
        <v>2028</v>
      </c>
      <c r="E57" s="57" t="n">
        <v>2029</v>
      </c>
      <c r="F57" s="57" t="n">
        <v>2030</v>
      </c>
      <c r="G57" s="57" t="n">
        <v>2031</v>
      </c>
      <c r="H57" s="57" t="n">
        <v>2032</v>
      </c>
      <c r="I57" s="57" t="n">
        <v>2033</v>
      </c>
      <c r="J57" s="57" t="n">
        <v>2034</v>
      </c>
      <c r="K57" s="57" t="n">
        <v>2035</v>
      </c>
    </row>
    <row r="58" customFormat="false" ht="14.25" hidden="false" customHeight="true" outlineLevel="0" collapsed="false">
      <c r="A58" s="8" t="str">
        <f aca="false">parametros_manuales!$B$19</f>
        <v>Recepción de materia prima</v>
      </c>
      <c r="B58" s="41" t="n">
        <v>1</v>
      </c>
      <c r="C58" s="41" t="n">
        <v>1</v>
      </c>
      <c r="D58" s="41" t="n">
        <v>1</v>
      </c>
      <c r="E58" s="41" t="n">
        <v>1</v>
      </c>
      <c r="F58" s="41" t="n">
        <v>1</v>
      </c>
      <c r="G58" s="41" t="n">
        <v>1</v>
      </c>
      <c r="H58" s="41" t="n">
        <v>2</v>
      </c>
      <c r="I58" s="41" t="n">
        <v>2</v>
      </c>
      <c r="J58" s="41" t="n">
        <v>2</v>
      </c>
      <c r="K58" s="41" t="n">
        <v>2</v>
      </c>
    </row>
    <row r="59" customFormat="false" ht="14.25" hidden="false" customHeight="true" outlineLevel="0" collapsed="false">
      <c r="A59" s="8" t="str">
        <f aca="false">parametros_manuales!$B$20</f>
        <v>Corte de chapa (guillotina) — 2,5 a 10 kg</v>
      </c>
      <c r="B59" s="41" t="n">
        <v>1</v>
      </c>
      <c r="C59" s="41" t="n">
        <v>1</v>
      </c>
      <c r="D59" s="41" t="n">
        <v>1</v>
      </c>
      <c r="E59" s="41" t="n">
        <v>1</v>
      </c>
      <c r="F59" s="41" t="n">
        <v>1</v>
      </c>
      <c r="G59" s="41" t="n">
        <v>1</v>
      </c>
      <c r="H59" s="41" t="n">
        <v>2</v>
      </c>
      <c r="I59" s="41" t="n">
        <v>2</v>
      </c>
      <c r="J59" s="41" t="n">
        <v>2</v>
      </c>
      <c r="K59" s="41" t="n">
        <v>2</v>
      </c>
    </row>
    <row r="60" customFormat="false" ht="14.25" hidden="false" customHeight="true" outlineLevel="0" collapsed="false">
      <c r="A60" s="8" t="str">
        <f aca="false">parametros_manuales!$B$21</f>
        <v>Corte de tubo — 1 kg</v>
      </c>
      <c r="B60" s="41" t="n">
        <v>1</v>
      </c>
      <c r="C60" s="41" t="n">
        <v>1</v>
      </c>
      <c r="D60" s="41" t="n">
        <v>1</v>
      </c>
      <c r="E60" s="41" t="n">
        <v>1</v>
      </c>
      <c r="F60" s="41" t="n">
        <v>1</v>
      </c>
      <c r="G60" s="41" t="n">
        <v>1</v>
      </c>
      <c r="H60" s="41" t="n">
        <v>2</v>
      </c>
      <c r="I60" s="41" t="n">
        <v>2</v>
      </c>
      <c r="J60" s="41" t="n">
        <v>2</v>
      </c>
      <c r="K60" s="41" t="n">
        <v>2</v>
      </c>
    </row>
    <row r="61" customFormat="false" ht="14.25" hidden="false" customHeight="true" outlineLevel="0" collapsed="false">
      <c r="A61" s="8" t="str">
        <f aca="false">parametros_manuales!$B$22</f>
        <v>Corte de disco y embutido (cúpula y fondo)</v>
      </c>
      <c r="B61" s="41" t="n">
        <v>1</v>
      </c>
      <c r="C61" s="41" t="n">
        <v>1</v>
      </c>
      <c r="D61" s="41" t="n">
        <v>1</v>
      </c>
      <c r="E61" s="41" t="n">
        <v>1</v>
      </c>
      <c r="F61" s="41" t="n">
        <v>1</v>
      </c>
      <c r="G61" s="41" t="n">
        <v>1</v>
      </c>
      <c r="H61" s="41" t="n">
        <v>2</v>
      </c>
      <c r="I61" s="41" t="n">
        <v>2</v>
      </c>
      <c r="J61" s="41" t="n">
        <v>2</v>
      </c>
      <c r="K61" s="41" t="n">
        <v>2</v>
      </c>
    </row>
    <row r="62" customFormat="false" ht="14.25" hidden="false" customHeight="true" outlineLevel="0" collapsed="false">
      <c r="A62" s="8" t="str">
        <f aca="false">parametros_manuales!$B$23</f>
        <v>Preparación de cuello</v>
      </c>
      <c r="B62" s="41" t="n">
        <v>1</v>
      </c>
      <c r="C62" s="41" t="n">
        <v>1</v>
      </c>
      <c r="D62" s="41" t="n">
        <v>1</v>
      </c>
      <c r="E62" s="41" t="n">
        <v>1</v>
      </c>
      <c r="F62" s="41" t="n">
        <v>1</v>
      </c>
      <c r="G62" s="41" t="n">
        <v>1</v>
      </c>
      <c r="H62" s="41" t="n">
        <v>2</v>
      </c>
      <c r="I62" s="41" t="n">
        <v>2</v>
      </c>
      <c r="J62" s="41" t="n">
        <v>2</v>
      </c>
      <c r="K62" s="41" t="n">
        <v>2</v>
      </c>
    </row>
    <row r="63" customFormat="false" ht="14.25" hidden="false" customHeight="true" outlineLevel="0" collapsed="false">
      <c r="A63" s="8" t="str">
        <f aca="false">parametros_manuales!$B$24</f>
        <v>Numerado de cúpula</v>
      </c>
      <c r="B63" s="41" t="n">
        <v>1</v>
      </c>
      <c r="C63" s="41" t="n">
        <v>1</v>
      </c>
      <c r="D63" s="41" t="n">
        <v>1</v>
      </c>
      <c r="E63" s="41" t="n">
        <v>1</v>
      </c>
      <c r="F63" s="41" t="n">
        <v>1</v>
      </c>
      <c r="G63" s="41" t="n">
        <v>1</v>
      </c>
      <c r="H63" s="41" t="n">
        <v>2</v>
      </c>
      <c r="I63" s="41" t="n">
        <v>2</v>
      </c>
      <c r="J63" s="41" t="n">
        <v>2</v>
      </c>
      <c r="K63" s="41" t="n">
        <v>2</v>
      </c>
    </row>
    <row r="64" customFormat="false" ht="14.25" hidden="false" customHeight="true" outlineLevel="0" collapsed="false">
      <c r="A64" s="8" t="str">
        <f aca="false">parametros_manuales!$B$25</f>
        <v>Soldadura del cuello a la cúpula</v>
      </c>
      <c r="B64" s="41" t="n">
        <v>1</v>
      </c>
      <c r="C64" s="41" t="n">
        <v>1</v>
      </c>
      <c r="D64" s="41" t="n">
        <v>1</v>
      </c>
      <c r="E64" s="41" t="n">
        <v>1</v>
      </c>
      <c r="F64" s="41" t="n">
        <v>1</v>
      </c>
      <c r="G64" s="41" t="n">
        <v>1</v>
      </c>
      <c r="H64" s="41" t="n">
        <v>2</v>
      </c>
      <c r="I64" s="41" t="n">
        <v>2</v>
      </c>
      <c r="J64" s="41" t="n">
        <v>2</v>
      </c>
      <c r="K64" s="41" t="n">
        <v>2</v>
      </c>
    </row>
    <row r="65" customFormat="false" ht="14.25" hidden="false" customHeight="true" outlineLevel="0" collapsed="false">
      <c r="A65" s="8" t="str">
        <f aca="false">parametros_manuales!$B$26</f>
        <v>Cilindrado</v>
      </c>
      <c r="B65" s="41" t="n">
        <v>1</v>
      </c>
      <c r="C65" s="41" t="n">
        <v>1</v>
      </c>
      <c r="D65" s="41" t="n">
        <v>1</v>
      </c>
      <c r="E65" s="41" t="n">
        <v>1</v>
      </c>
      <c r="F65" s="41" t="n">
        <v>1</v>
      </c>
      <c r="G65" s="41" t="n">
        <v>1</v>
      </c>
      <c r="H65" s="41" t="n">
        <v>2</v>
      </c>
      <c r="I65" s="41" t="n">
        <v>2</v>
      </c>
      <c r="J65" s="41" t="n">
        <v>2</v>
      </c>
      <c r="K65" s="41" t="n">
        <v>2</v>
      </c>
    </row>
    <row r="66" customFormat="false" ht="14.25" hidden="false" customHeight="true" outlineLevel="0" collapsed="false">
      <c r="A66" s="8" t="str">
        <f aca="false">parametros_manuales!$B$27</f>
        <v>Soldadura longitudinal</v>
      </c>
      <c r="B66" s="41" t="n">
        <v>1</v>
      </c>
      <c r="C66" s="41" t="n">
        <v>1</v>
      </c>
      <c r="D66" s="41" t="n">
        <v>1</v>
      </c>
      <c r="E66" s="41" t="n">
        <v>1</v>
      </c>
      <c r="F66" s="41" t="n">
        <v>1</v>
      </c>
      <c r="G66" s="41" t="n">
        <v>1</v>
      </c>
      <c r="H66" s="41" t="n">
        <v>2</v>
      </c>
      <c r="I66" s="41" t="n">
        <v>2</v>
      </c>
      <c r="J66" s="41" t="n">
        <v>2</v>
      </c>
      <c r="K66" s="41" t="n">
        <v>2</v>
      </c>
    </row>
    <row r="67" customFormat="false" ht="14.25" hidden="false" customHeight="true" outlineLevel="0" collapsed="false">
      <c r="A67" s="8" t="str">
        <f aca="false">parametros_manuales!$B$28</f>
        <v>Encastre de fondo</v>
      </c>
      <c r="B67" s="41" t="n">
        <v>1</v>
      </c>
      <c r="C67" s="41" t="n">
        <v>1</v>
      </c>
      <c r="D67" s="41" t="n">
        <v>1</v>
      </c>
      <c r="E67" s="41" t="n">
        <v>1</v>
      </c>
      <c r="F67" s="41" t="n">
        <v>1</v>
      </c>
      <c r="G67" s="41" t="n">
        <v>1</v>
      </c>
      <c r="H67" s="41" t="n">
        <v>2</v>
      </c>
      <c r="I67" s="41" t="n">
        <v>2</v>
      </c>
      <c r="J67" s="41" t="n">
        <v>2</v>
      </c>
      <c r="K67" s="41" t="n">
        <v>2</v>
      </c>
    </row>
    <row r="68" customFormat="false" ht="14.25" hidden="false" customHeight="true" outlineLevel="0" collapsed="false">
      <c r="A68" s="8" t="str">
        <f aca="false">parametros_manuales!$B$29</f>
        <v>Bordoneado</v>
      </c>
      <c r="B68" s="41" t="n">
        <v>1</v>
      </c>
      <c r="C68" s="41" t="n">
        <v>1</v>
      </c>
      <c r="D68" s="41" t="n">
        <v>1</v>
      </c>
      <c r="E68" s="41" t="n">
        <v>1</v>
      </c>
      <c r="F68" s="41" t="n">
        <v>1</v>
      </c>
      <c r="G68" s="41" t="n">
        <v>1</v>
      </c>
      <c r="H68" s="41" t="n">
        <v>2</v>
      </c>
      <c r="I68" s="41" t="n">
        <v>2</v>
      </c>
      <c r="J68" s="41" t="n">
        <v>2</v>
      </c>
      <c r="K68" s="41" t="n">
        <v>2</v>
      </c>
    </row>
    <row r="69" customFormat="false" ht="14.25" hidden="false" customHeight="true" outlineLevel="0" collapsed="false">
      <c r="A69" s="8" t="str">
        <f aca="false">parametros_manuales!$B$30</f>
        <v>Soldadura circunferencial de cúpula y fondo</v>
      </c>
      <c r="B69" s="41" t="n">
        <v>1</v>
      </c>
      <c r="C69" s="41" t="n">
        <v>1</v>
      </c>
      <c r="D69" s="41" t="n">
        <v>1</v>
      </c>
      <c r="E69" s="41" t="n">
        <v>1</v>
      </c>
      <c r="F69" s="41" t="n">
        <v>1</v>
      </c>
      <c r="G69" s="41" t="n">
        <v>1</v>
      </c>
      <c r="H69" s="41" t="n">
        <v>2</v>
      </c>
      <c r="I69" s="41" t="n">
        <v>2</v>
      </c>
      <c r="J69" s="41" t="n">
        <v>2</v>
      </c>
      <c r="K69" s="41" t="n">
        <v>2</v>
      </c>
    </row>
    <row r="70" customFormat="false" ht="14.25" hidden="false" customHeight="true" outlineLevel="0" collapsed="false">
      <c r="A70" s="8" t="str">
        <f aca="false">parametros_manuales!$B$31</f>
        <v>Control de calidad — Espesor</v>
      </c>
      <c r="B70" s="41" t="n">
        <v>1</v>
      </c>
      <c r="C70" s="41" t="n">
        <v>1</v>
      </c>
      <c r="D70" s="41" t="n">
        <v>1</v>
      </c>
      <c r="E70" s="41" t="n">
        <v>1</v>
      </c>
      <c r="F70" s="41" t="n">
        <v>1</v>
      </c>
      <c r="G70" s="41" t="n">
        <v>1</v>
      </c>
      <c r="H70" s="41" t="n">
        <v>1</v>
      </c>
      <c r="I70" s="41" t="n">
        <v>1</v>
      </c>
      <c r="J70" s="41" t="n">
        <v>1</v>
      </c>
      <c r="K70" s="41" t="n">
        <v>1</v>
      </c>
    </row>
    <row r="71" customFormat="false" ht="14.25" hidden="false" customHeight="true" outlineLevel="0" collapsed="false">
      <c r="A71" s="8" t="str">
        <f aca="false">parametros_manuales!$B$32</f>
        <v>Prueba hidráulica</v>
      </c>
      <c r="B71" s="41" t="n">
        <v>1</v>
      </c>
      <c r="C71" s="41" t="n">
        <v>1</v>
      </c>
      <c r="D71" s="41" t="n">
        <v>1</v>
      </c>
      <c r="E71" s="41" t="n">
        <v>1</v>
      </c>
      <c r="F71" s="41" t="n">
        <v>1</v>
      </c>
      <c r="G71" s="41" t="n">
        <v>1</v>
      </c>
      <c r="H71" s="41" t="n">
        <v>2</v>
      </c>
      <c r="I71" s="41" t="n">
        <v>2</v>
      </c>
      <c r="J71" s="41" t="n">
        <v>2</v>
      </c>
      <c r="K71" s="41" t="n">
        <v>2</v>
      </c>
    </row>
    <row r="72" customFormat="false" ht="14.25" hidden="false" customHeight="true" outlineLevel="0" collapsed="false">
      <c r="A72" s="8" t="str">
        <f aca="false">parametros_manuales!$B$33</f>
        <v>Secado</v>
      </c>
      <c r="B72" s="41" t="n">
        <v>1</v>
      </c>
      <c r="C72" s="41" t="n">
        <v>1</v>
      </c>
      <c r="D72" s="41" t="n">
        <v>1</v>
      </c>
      <c r="E72" s="41" t="n">
        <v>1</v>
      </c>
      <c r="F72" s="41" t="n">
        <v>1</v>
      </c>
      <c r="G72" s="41" t="n">
        <v>1</v>
      </c>
      <c r="H72" s="41" t="n">
        <v>2</v>
      </c>
      <c r="I72" s="41" t="n">
        <v>2</v>
      </c>
      <c r="J72" s="41" t="n">
        <v>2</v>
      </c>
      <c r="K72" s="41" t="n">
        <v>2</v>
      </c>
    </row>
    <row r="73" customFormat="false" ht="14.25" hidden="false" customHeight="true" outlineLevel="0" collapsed="false">
      <c r="A73" s="8" t="str">
        <f aca="false">parametros_manuales!$B$34</f>
        <v>Granallado</v>
      </c>
      <c r="B73" s="41" t="n">
        <v>1</v>
      </c>
      <c r="C73" s="41" t="n">
        <v>1</v>
      </c>
      <c r="D73" s="41" t="n">
        <v>1</v>
      </c>
      <c r="E73" s="41" t="n">
        <v>1</v>
      </c>
      <c r="F73" s="41" t="n">
        <v>1</v>
      </c>
      <c r="G73" s="41" t="n">
        <v>1</v>
      </c>
      <c r="H73" s="41" t="n">
        <v>2</v>
      </c>
      <c r="I73" s="41" t="n">
        <v>2</v>
      </c>
      <c r="J73" s="41" t="n">
        <v>2</v>
      </c>
      <c r="K73" s="41" t="n">
        <v>2</v>
      </c>
    </row>
    <row r="74" customFormat="false" ht="14.25" hidden="false" customHeight="true" outlineLevel="0" collapsed="false">
      <c r="A74" s="8" t="str">
        <f aca="false">parametros_manuales!$B$35</f>
        <v>Detección de defectos</v>
      </c>
      <c r="B74" s="41" t="n">
        <v>1</v>
      </c>
      <c r="C74" s="41" t="n">
        <v>1</v>
      </c>
      <c r="D74" s="41" t="n">
        <v>1</v>
      </c>
      <c r="E74" s="41" t="n">
        <v>1</v>
      </c>
      <c r="F74" s="41" t="n">
        <v>1</v>
      </c>
      <c r="G74" s="41" t="n">
        <v>1</v>
      </c>
      <c r="H74" s="41" t="n">
        <v>2</v>
      </c>
      <c r="I74" s="41" t="n">
        <v>2</v>
      </c>
      <c r="J74" s="41" t="n">
        <v>2</v>
      </c>
      <c r="K74" s="41" t="n">
        <v>2</v>
      </c>
    </row>
    <row r="75" customFormat="false" ht="14.25" hidden="false" customHeight="true" outlineLevel="0" collapsed="false">
      <c r="A75" s="8" t="str">
        <f aca="false">parametros_manuales!$B$36</f>
        <v>Corrección de defectos</v>
      </c>
      <c r="B75" s="41" t="n">
        <v>1</v>
      </c>
      <c r="C75" s="41" t="n">
        <v>1</v>
      </c>
      <c r="D75" s="41" t="n">
        <v>1</v>
      </c>
      <c r="E75" s="41" t="n">
        <v>1</v>
      </c>
      <c r="F75" s="41" t="n">
        <v>1</v>
      </c>
      <c r="G75" s="41" t="n">
        <v>1</v>
      </c>
      <c r="H75" s="41" t="n">
        <v>1</v>
      </c>
      <c r="I75" s="41" t="n">
        <v>1</v>
      </c>
      <c r="J75" s="41" t="n">
        <v>1</v>
      </c>
      <c r="K75" s="41" t="n">
        <v>1</v>
      </c>
    </row>
    <row r="76" customFormat="false" ht="14.25" hidden="false" customHeight="true" outlineLevel="0" collapsed="false">
      <c r="A76" s="8" t="str">
        <f aca="false">parametros_manuales!$B$37</f>
        <v>Pintura en polvo + horno</v>
      </c>
      <c r="B76" s="41" t="n">
        <v>1</v>
      </c>
      <c r="C76" s="41" t="n">
        <v>1</v>
      </c>
      <c r="D76" s="41" t="n">
        <v>1</v>
      </c>
      <c r="E76" s="41" t="n">
        <v>1</v>
      </c>
      <c r="F76" s="41" t="n">
        <v>1</v>
      </c>
      <c r="G76" s="41" t="n">
        <v>1</v>
      </c>
      <c r="H76" s="41" t="n">
        <v>2</v>
      </c>
      <c r="I76" s="41" t="n">
        <v>2</v>
      </c>
      <c r="J76" s="41" t="n">
        <v>2</v>
      </c>
      <c r="K76" s="41" t="n">
        <v>2</v>
      </c>
    </row>
    <row r="77" customFormat="false" ht="14.25" hidden="false" customHeight="true" outlineLevel="0" collapsed="false">
      <c r="A77" s="8" t="str">
        <f aca="false">parametros_manuales!$B$38</f>
        <v>Carga de polvo</v>
      </c>
      <c r="B77" s="41" t="n">
        <v>1</v>
      </c>
      <c r="C77" s="41" t="n">
        <v>1</v>
      </c>
      <c r="D77" s="41" t="n">
        <v>1</v>
      </c>
      <c r="E77" s="41" t="n">
        <v>1</v>
      </c>
      <c r="F77" s="41" t="n">
        <v>1</v>
      </c>
      <c r="G77" s="41" t="n">
        <v>1</v>
      </c>
      <c r="H77" s="41" t="n">
        <v>1</v>
      </c>
      <c r="I77" s="41" t="n">
        <v>1</v>
      </c>
      <c r="J77" s="41" t="n">
        <v>1</v>
      </c>
      <c r="K77" s="41" t="n">
        <v>1</v>
      </c>
    </row>
    <row r="78" customFormat="false" ht="14.25" hidden="false" customHeight="true" outlineLevel="0" collapsed="false">
      <c r="A78" s="8" t="str">
        <f aca="false">parametros_manuales!$B$39</f>
        <v>Ensamblaje</v>
      </c>
      <c r="B78" s="41" t="n">
        <v>1</v>
      </c>
      <c r="C78" s="41" t="n">
        <v>1</v>
      </c>
      <c r="D78" s="41" t="n">
        <v>1</v>
      </c>
      <c r="E78" s="41" t="n">
        <v>1</v>
      </c>
      <c r="F78" s="41" t="n">
        <v>1</v>
      </c>
      <c r="G78" s="41" t="n">
        <v>1</v>
      </c>
      <c r="H78" s="41" t="n">
        <v>2</v>
      </c>
      <c r="I78" s="41" t="n">
        <v>2</v>
      </c>
      <c r="J78" s="41" t="n">
        <v>2</v>
      </c>
      <c r="K78" s="41" t="n">
        <v>2</v>
      </c>
    </row>
    <row r="79" customFormat="false" ht="14.25" hidden="false" customHeight="true" outlineLevel="0" collapsed="false">
      <c r="A79" s="8" t="str">
        <f aca="false">parametros_manuales!$B$40</f>
        <v>Presurización</v>
      </c>
      <c r="B79" s="41" t="n">
        <v>1</v>
      </c>
      <c r="C79" s="41" t="n">
        <v>1</v>
      </c>
      <c r="D79" s="41" t="n">
        <v>1</v>
      </c>
      <c r="E79" s="41" t="n">
        <v>1</v>
      </c>
      <c r="F79" s="41" t="n">
        <v>1</v>
      </c>
      <c r="G79" s="41" t="n">
        <v>1</v>
      </c>
      <c r="H79" s="41" t="n">
        <v>1</v>
      </c>
      <c r="I79" s="41" t="n">
        <v>1</v>
      </c>
      <c r="J79" s="41" t="n">
        <v>1</v>
      </c>
      <c r="K79" s="41" t="n">
        <v>1</v>
      </c>
    </row>
    <row r="80" customFormat="false" ht="14.25" hidden="false" customHeight="true" outlineLevel="0" collapsed="false">
      <c r="A80" s="8" t="str">
        <f aca="false">parametros_manuales!$B$41</f>
        <v>Control de calidad — Ensayo de pérdidas</v>
      </c>
      <c r="B80" s="41" t="n">
        <v>1</v>
      </c>
      <c r="C80" s="41" t="n">
        <v>1</v>
      </c>
      <c r="D80" s="41" t="n">
        <v>1</v>
      </c>
      <c r="E80" s="41" t="n">
        <v>1</v>
      </c>
      <c r="F80" s="41" t="n">
        <v>1</v>
      </c>
      <c r="G80" s="41" t="n">
        <v>1</v>
      </c>
      <c r="H80" s="41" t="n">
        <v>1</v>
      </c>
      <c r="I80" s="41" t="n">
        <v>1</v>
      </c>
      <c r="J80" s="41" t="n">
        <v>1</v>
      </c>
      <c r="K80" s="41" t="n">
        <v>1</v>
      </c>
    </row>
    <row r="81" customFormat="false" ht="14.25" hidden="false" customHeight="true" outlineLevel="0" collapsed="false">
      <c r="A81" s="8" t="str">
        <f aca="false">parametros_manuales!$B$42</f>
        <v>Etiquetado</v>
      </c>
      <c r="B81" s="41" t="n">
        <v>1</v>
      </c>
      <c r="C81" s="41" t="n">
        <v>1</v>
      </c>
      <c r="D81" s="41" t="n">
        <v>1</v>
      </c>
      <c r="E81" s="41" t="n">
        <v>1</v>
      </c>
      <c r="F81" s="41" t="n">
        <v>1</v>
      </c>
      <c r="G81" s="41" t="n">
        <v>1</v>
      </c>
      <c r="H81" s="41" t="n">
        <v>1</v>
      </c>
      <c r="I81" s="41" t="n">
        <v>1</v>
      </c>
      <c r="J81" s="41" t="n">
        <v>1</v>
      </c>
      <c r="K81" s="41" t="n">
        <v>1</v>
      </c>
    </row>
    <row r="82" customFormat="false" ht="14.25" hidden="false" customHeight="true" outlineLevel="0" collapsed="false">
      <c r="A82" s="8" t="str">
        <f aca="false">parametros_manuales!$B$43</f>
        <v>Embalaje y paletizado</v>
      </c>
      <c r="B82" s="41" t="n">
        <v>1</v>
      </c>
      <c r="C82" s="41" t="n">
        <v>1</v>
      </c>
      <c r="D82" s="41" t="n">
        <v>1</v>
      </c>
      <c r="E82" s="41" t="n">
        <v>1</v>
      </c>
      <c r="F82" s="41" t="n">
        <v>1</v>
      </c>
      <c r="G82" s="41" t="n">
        <v>1</v>
      </c>
      <c r="H82" s="41" t="n">
        <v>2</v>
      </c>
      <c r="I82" s="41" t="n">
        <v>2</v>
      </c>
      <c r="J82" s="41" t="n">
        <v>2</v>
      </c>
      <c r="K82" s="41" t="n">
        <v>2</v>
      </c>
    </row>
    <row r="83" customFormat="false" ht="14.25" hidden="false" customHeight="true" outlineLevel="0" collapsed="false">
      <c r="A83" s="10" t="s">
        <v>213</v>
      </c>
      <c r="B83" s="55" t="n">
        <f aca="false">MAX(B58:B82)</f>
        <v>1</v>
      </c>
      <c r="C83" s="55" t="n">
        <f aca="false">MAX(C58:C82)</f>
        <v>1</v>
      </c>
      <c r="D83" s="55" t="n">
        <f aca="false">MAX(D58:D82)</f>
        <v>1</v>
      </c>
      <c r="E83" s="55" t="n">
        <f aca="false">MAX(E58:E82)</f>
        <v>1</v>
      </c>
      <c r="F83" s="55" t="n">
        <f aca="false">MAX(F58:F82)</f>
        <v>1</v>
      </c>
      <c r="G83" s="55" t="n">
        <f aca="false">MAX(G58:G82)</f>
        <v>1</v>
      </c>
      <c r="H83" s="55" t="n">
        <f aca="false">MAX(H58:H82)</f>
        <v>2</v>
      </c>
      <c r="I83" s="55" t="n">
        <f aca="false">MAX(I58:I82)</f>
        <v>2</v>
      </c>
      <c r="J83" s="55" t="n">
        <f aca="false">MAX(J58:J82)</f>
        <v>2</v>
      </c>
      <c r="K83" s="55" t="n">
        <f aca="false">MAX(K58:K82)</f>
        <v>2</v>
      </c>
    </row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>
      <c r="A86" s="61" t="s">
        <v>216</v>
      </c>
    </row>
    <row r="87" customFormat="false" ht="14.25" hidden="false" customHeight="true" outlineLevel="0" collapsed="false">
      <c r="A87" s="57" t="s">
        <v>209</v>
      </c>
      <c r="B87" s="57" t="n">
        <v>2026</v>
      </c>
      <c r="C87" s="57" t="n">
        <v>2027</v>
      </c>
      <c r="D87" s="57" t="n">
        <v>2028</v>
      </c>
      <c r="E87" s="57" t="n">
        <v>2029</v>
      </c>
      <c r="F87" s="57" t="n">
        <v>2030</v>
      </c>
      <c r="G87" s="57" t="n">
        <v>2031</v>
      </c>
      <c r="H87" s="57" t="n">
        <v>2032</v>
      </c>
      <c r="I87" s="57" t="n">
        <v>2033</v>
      </c>
      <c r="J87" s="57" t="n">
        <v>2034</v>
      </c>
      <c r="K87" s="57" t="n">
        <v>2035</v>
      </c>
    </row>
    <row r="88" customFormat="false" ht="14.25" hidden="false" customHeight="true" outlineLevel="0" collapsed="false">
      <c r="A88" s="8" t="s">
        <v>217</v>
      </c>
      <c r="B88" s="62" t="n">
        <f aca="false">'Resumen cap. sin sobrestock'!B27</f>
        <v>0.177106312704511</v>
      </c>
      <c r="C88" s="62" t="n">
        <f aca="false">'Resumen cap. sin sobrestock'!C27</f>
        <v>0.278788572515556</v>
      </c>
      <c r="D88" s="62" t="n">
        <f aca="false">'Resumen cap. sin sobrestock'!D27</f>
        <v>0.593005604018667</v>
      </c>
      <c r="E88" s="62" t="n">
        <f aca="false">'Resumen cap. sin sobrestock'!E27</f>
        <v>0.670880158801018</v>
      </c>
      <c r="F88" s="62" t="n">
        <f aca="false">'Resumen cap. sin sobrestock'!F27</f>
        <v>0.868674159347169</v>
      </c>
      <c r="G88" s="62" t="n">
        <f aca="false">'Resumen cap. sin sobrestock'!G27</f>
        <v>0.869789094813908</v>
      </c>
      <c r="H88" s="62" t="n">
        <f aca="false">'Resumen cap. sin sobrestock'!H27</f>
        <v>0.489102629626125</v>
      </c>
      <c r="I88" s="62" t="n">
        <f aca="false">'Resumen cap. sin sobrestock'!I27</f>
        <v>0.625193490125929</v>
      </c>
      <c r="J88" s="62" t="n">
        <f aca="false">'Resumen cap. sin sobrestock'!J27</f>
        <v>0.70523036556069</v>
      </c>
      <c r="K88" s="62" t="n">
        <f aca="false">'Resumen cap. sin sobrestock'!K27</f>
        <v>0.814819035414955</v>
      </c>
    </row>
    <row r="89" customFormat="false" ht="14.25" hidden="false" customHeight="true" outlineLevel="0" collapsed="false">
      <c r="A89" s="8" t="s">
        <v>218</v>
      </c>
      <c r="B89" s="59" t="n">
        <f aca="false">B27</f>
        <v>0.1373074621346</v>
      </c>
      <c r="C89" s="59" t="n">
        <f aca="false">C27</f>
        <v>0.2171955521</v>
      </c>
      <c r="D89" s="59" t="n">
        <f aca="false">D27</f>
        <v>0.458797043728</v>
      </c>
      <c r="E89" s="59" t="n">
        <f aca="false">E27</f>
        <v>0.516357992953507</v>
      </c>
      <c r="F89" s="59" t="n">
        <f aca="false">F27</f>
        <v>0.89872987528405</v>
      </c>
      <c r="G89" s="59" t="n">
        <f aca="false">G27</f>
        <v>0.826231547326667</v>
      </c>
      <c r="H89" s="59" t="n">
        <f aca="false">H27</f>
        <v>0.476950027832348</v>
      </c>
      <c r="I89" s="59" t="n">
        <f aca="false">I27</f>
        <v>0.603250544209037</v>
      </c>
      <c r="J89" s="59" t="n">
        <f aca="false">J27</f>
        <v>0.688192060591639</v>
      </c>
      <c r="K89" s="59" t="n">
        <f aca="false">K27</f>
        <v>0.795425135383868</v>
      </c>
    </row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conditionalFormatting sqref="B2:B26">
    <cfRule type="expression" priority="2" aboveAverage="0" equalAverage="0" bottom="0" percent="0" rank="0" text="" dxfId="0">
      <formula>B2&gt;$N$13</formula>
    </cfRule>
    <cfRule type="expression" priority="3" aboveAverage="0" equalAverage="0" bottom="0" percent="0" rank="0" text="" dxfId="1">
      <formula>B30=0</formula>
    </cfRule>
    <cfRule type="expression" priority="4" aboveAverage="0" equalAverage="0" bottom="0" percent="0" rank="0" text="" dxfId="2">
      <formula>B58&gt;1</formula>
    </cfRule>
    <cfRule type="expression" priority="5" aboveAverage="0" equalAverage="0" bottom="0" percent="0" rank="0" text="" dxfId="3">
      <formula>AND(B30&gt;1,$L2&lt;&gt;"Manual")</formula>
    </cfRule>
    <cfRule type="expression" priority="6" aboveAverage="0" equalAverage="0" bottom="0" percent="0" rank="0" text="" dxfId="4">
      <formula>AND(B30&gt;1,$L2="Manual")</formula>
    </cfRule>
  </conditionalFormatting>
  <conditionalFormatting sqref="C2:K26">
    <cfRule type="expression" priority="7" aboveAverage="0" equalAverage="0" bottom="0" percent="0" rank="0" text="" dxfId="0">
      <formula>C2&gt;$N$13</formula>
    </cfRule>
    <cfRule type="expression" priority="8" aboveAverage="0" equalAverage="0" bottom="0" percent="0" rank="0" text="" dxfId="1">
      <formula>C30=0</formula>
    </cfRule>
    <cfRule type="expression" priority="9" aboveAverage="0" equalAverage="0" bottom="0" percent="0" rank="0" text="" dxfId="2">
      <formula>C58&gt;B58</formula>
    </cfRule>
    <cfRule type="expression" priority="10" aboveAverage="0" equalAverage="0" bottom="0" percent="0" rank="0" text="" dxfId="3">
      <formula>AND(C30&gt;B30,$L2&lt;&gt;"Manual")</formula>
    </cfRule>
    <cfRule type="expression" priority="11" aboveAverage="0" equalAverage="0" bottom="0" percent="0" rank="0" text="" dxfId="4">
      <formula>AND(C30&gt;B30,$L2="Manual")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2026-10-13T18:29:11Z</dcterms:created>
  <dc:creator>openpyxl</dc:creator>
  <dc:description/>
  <dc:language>en-US</dc:language>
  <cp:lastModifiedBy/>
  <dcterms:modified xsi:type="dcterms:W3CDTF">2026-10-19T00:26:31Z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