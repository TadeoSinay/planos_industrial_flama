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Links" sheetId="1" state="visible" r:id="rId3"/>
    <sheet name="Resumen" sheetId="2" state="visible" r:id="rId4"/>
    <sheet name="Importados" sheetId="3" state="visible" r:id="rId5"/>
    <sheet name="Supuestos" sheetId="4" state="visible" r:id="rId6"/>
    <sheet name="Demanda y mix" sheetId="5" state="visible" r:id="rId7"/>
    <sheet name="Camión y viajes" sheetId="6" state="visible" r:id="rId8"/>
    <sheet name="Sustitutos y pulmón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<sst xmlns="http://schemas.openxmlformats.org/spreadsheetml/2006/main" count="650" uniqueCount="241">
  <si>
    <t xml:space="preserve">Links de los IMPORTRANGE</t>
  </si>
  <si>
    <t xml:space="preserve">Pegar en la columna B el link del Google Sheet de cada archivo; todas las fórmulas IMPORTRANGE leen el link de esta hoja. Hasta que se pegue, esas celdas muestran el último valor conocido o un error de referencia.</t>
  </si>
  <si>
    <t xml:space="preserve">Archivo</t>
  </si>
  <si>
    <t xml:space="preserve">Link</t>
  </si>
  <si>
    <t xml:space="preserve">Qué se importa</t>
  </si>
  <si>
    <t xml:space="preserve">Dimensionamiento Recargas Planta Comercial</t>
  </si>
  <si>
    <t xml:space="preserve">PEGAR ACÁ EL LINK DEL GOOGLE SHEET</t>
  </si>
  <si>
    <t xml:space="preserve">datos_base, PROY_Indexado, sobrestock_sustitutos y parametros_recargas de la planta comercial</t>
  </si>
  <si>
    <t xml:space="preserve">Dimensionamiento Recargas Planta Industrial</t>
  </si>
  <si>
    <t xml:space="preserve">lo mismo de la planta industrial</t>
  </si>
  <si>
    <t xml:space="preserve">Recargas — logística de las dos plantas</t>
  </si>
  <si>
    <t xml:space="preserve">Todo se calcula con Importados (IMPORTRANGE de los dimensionamientos) y Supuestos.</t>
  </si>
  <si>
    <t xml:space="preserve">Año de cálculo</t>
  </si>
  <si>
    <t xml:space="preserve">Concepto</t>
  </si>
  <si>
    <t xml:space="preserve">Comercial</t>
  </si>
  <si>
    <t xml:space="preserve">Industrial</t>
  </si>
  <si>
    <t xml:space="preserve">De dónde sale</t>
  </si>
  <si>
    <t xml:space="preserve">Recargas del año (u)</t>
  </si>
  <si>
    <t xml:space="preserve">Importados</t>
  </si>
  <si>
    <t xml:space="preserve">Llegan por día (u)</t>
  </si>
  <si>
    <t xml:space="preserve">Perfil plano</t>
  </si>
  <si>
    <t xml:space="preserve">Sustitutos que salen por día (u)</t>
  </si>
  <si>
    <t xml:space="preserve">Tipos que llevan sustituto</t>
  </si>
  <si>
    <t xml:space="preserve">Stock de sustitutos (u)</t>
  </si>
  <si>
    <t xml:space="preserve">Dimensionamiento, paso 3</t>
  </si>
  <si>
    <t xml:space="preserve">Paradas por día</t>
  </si>
  <si>
    <t xml:space="preserve">2 por cliente</t>
  </si>
  <si>
    <t xml:space="preserve">Viajes por día</t>
  </si>
  <si>
    <t xml:space="preserve">Camión y viajes</t>
  </si>
  <si>
    <t xml:space="preserve">Camiones</t>
  </si>
  <si>
    <t xml:space="preserve">Ocupación de la flota</t>
  </si>
  <si>
    <t xml:space="preserve">Posiciones del pulmón</t>
  </si>
  <si>
    <t xml:space="preserve">Sustitutos y pulmón</t>
  </si>
  <si>
    <t xml:space="preserve">Superficie del pulmón (m²)</t>
  </si>
  <si>
    <t xml:space="preserve">Jaulas A y B a tener</t>
  </si>
  <si>
    <t xml:space="preserve">Qué cambió respecto del Recargas.xlsx anterior</t>
  </si>
  <si>
    <t xml:space="preserve">• Demanda por IMPORTRANGE de cada planta (antes: 127.340 fijos de una sola planta); PBA Interior afuera.</t>
  </si>
  <si>
    <t xml:space="preserve">• Mix por rubro de las zonas de cada planta (Proyecciones) en vez del mercado nacional de CONSOLIDADO_24; carros 25/55/12/8 % en vez de todos como 50 kg.</t>
  </si>
  <si>
    <t xml:space="preserve">• Perfil plano (IRAM 3517-2 9.4.14 a): sin estacionalidad inventada por rubro ni factor de día pico.</t>
  </si>
  <si>
    <t xml:space="preserve">• Sustitutos del dimensionamiento (lote, días en planta y ciclo por rubro): un solo número en los dos archivos.</t>
  </si>
  <si>
    <t xml:space="preserve">• Camión con baranda rebatible y jaulas del Word de recargas en vez de Kangoo / Master.</t>
  </si>
  <si>
    <t xml:space="preserve">• Pesos del BOM y del Word de carros; pulmón calculado sin comparar con el plano viejo.</t>
  </si>
  <si>
    <t xml:space="preserve">Importados de los Dimensionamientos de recargas (IMPORTRANGE; el link va en la hoja Links)</t>
  </si>
  <si>
    <t xml:space="preserve">No se escribe nada acá: cada bloque es un IMPORTRANGE y el resto del libro lee de esta hoja.</t>
  </si>
  <si>
    <t xml:space="preserve">Planta comercial</t>
  </si>
  <si>
    <t xml:space="preserve">Recargas por tipo (datos_base B2:K18)</t>
  </si>
  <si>
    <t xml:space="preserve">ABC 1 kg</t>
  </si>
  <si>
    <t xml:space="preserve">ABC 2,5 kg</t>
  </si>
  <si>
    <t xml:space="preserve">ABC 5 kg</t>
  </si>
  <si>
    <t xml:space="preserve">ABC 10 kg</t>
  </si>
  <si>
    <t xml:space="preserve">Agua 10 l</t>
  </si>
  <si>
    <t xml:space="preserve">AFFF 10 l</t>
  </si>
  <si>
    <t xml:space="preserve">AFFF 50 l s/ruedas</t>
  </si>
  <si>
    <t xml:space="preserve">BC 5 kg</t>
  </si>
  <si>
    <t xml:space="preserve">Sales K 6 l</t>
  </si>
  <si>
    <t xml:space="preserve">CO₂ 2 kg</t>
  </si>
  <si>
    <t xml:space="preserve">CO₂ 5 kg</t>
  </si>
  <si>
    <t xml:space="preserve">HCFC/HFC 5 kg</t>
  </si>
  <si>
    <t xml:space="preserve">Clase D 9 l</t>
  </si>
  <si>
    <t xml:space="preserve">ABC 25 kg s/ruedas</t>
  </si>
  <si>
    <t xml:space="preserve">ABC 50 kg s/ruedas</t>
  </si>
  <si>
    <t xml:space="preserve">ABC 70 kg s/ruedas</t>
  </si>
  <si>
    <t xml:space="preserve">ABC 100 kg s/ruedas</t>
  </si>
  <si>
    <t xml:space="preserve">Mix de mercado (PROY_Indexado B97:H113)</t>
  </si>
  <si>
    <t xml:space="preserve">Automotor</t>
  </si>
  <si>
    <t xml:space="preserve">Edificios</t>
  </si>
  <si>
    <t xml:space="preserve">Educación</t>
  </si>
  <si>
    <t xml:space="preserve">Hoteles</t>
  </si>
  <si>
    <t xml:space="preserve">Industrias / almacenes</t>
  </si>
  <si>
    <t xml:space="preserve">Salud</t>
  </si>
  <si>
    <t xml:space="preserve">Supermercados</t>
  </si>
  <si>
    <t xml:space="preserve">Total</t>
  </si>
  <si>
    <t xml:space="preserve">% Automotor</t>
  </si>
  <si>
    <t xml:space="preserve">% Edificios</t>
  </si>
  <si>
    <t xml:space="preserve">% Educación</t>
  </si>
  <si>
    <t xml:space="preserve">% Hoteles</t>
  </si>
  <si>
    <t xml:space="preserve">% Industrias</t>
  </si>
  <si>
    <t xml:space="preserve">% Salud</t>
  </si>
  <si>
    <t xml:space="preserve">% Supermercados</t>
  </si>
  <si>
    <t xml:space="preserve">Lote y ciclo por rubro (sobrestock_sustitutos B17:H25)</t>
  </si>
  <si>
    <t xml:space="preserve">% de las recargas</t>
  </si>
  <si>
    <t xml:space="preserve">Lote por cliente</t>
  </si>
  <si>
    <t xml:space="preserve">Superficie mínima del lote (m²)</t>
  </si>
  <si>
    <t xml:space="preserve">Minutos por equipo</t>
  </si>
  <si>
    <t xml:space="preserve">Minutos del lote</t>
  </si>
  <si>
    <t xml:space="preserve">Días en planta con 1 turno</t>
  </si>
  <si>
    <t xml:space="preserve">Días en planta con 2 turnos</t>
  </si>
  <si>
    <t xml:space="preserve">Ciclo con 1 turno</t>
  </si>
  <si>
    <t xml:space="preserve">Ciclo con 2 turnos</t>
  </si>
  <si>
    <t xml:space="preserve">Stock de sustitutos (sobrestock_sustitutos B51:K67)</t>
  </si>
  <si>
    <t xml:space="preserve">Lleva sustituto (sobrestock_sustitutos B30:B46)</t>
  </si>
  <si>
    <t xml:space="preserve">1 = sí</t>
  </si>
  <si>
    <t xml:space="preserve">Parámetros de planta (parametros_recargas B2:B10)</t>
  </si>
  <si>
    <t xml:space="preserve">Valor</t>
  </si>
  <si>
    <t xml:space="preserve">Días hábiles por mes</t>
  </si>
  <si>
    <t xml:space="preserve">Horas por día (1 turno)</t>
  </si>
  <si>
    <t xml:space="preserve">Refrigerio (min/turno)</t>
  </si>
  <si>
    <t xml:space="preserve">Horas productivas por turno</t>
  </si>
  <si>
    <t xml:space="preserve">Horas productivas por mes (1 turno)</t>
  </si>
  <si>
    <t xml:space="preserve">Umbral de aprovechamiento</t>
  </si>
  <si>
    <t xml:space="preserve">Turnos máximos por día</t>
  </si>
  <si>
    <t xml:space="preserve">Equivalencia de un rodante (u. equivalentes)</t>
  </si>
  <si>
    <t xml:space="preserve">Año de inicio del 2° turno (antes: más máquinas)</t>
  </si>
  <si>
    <t xml:space="preserve">Planta industrial</t>
  </si>
  <si>
    <t xml:space="preserve">Supuestos y datos de logística (cada uno con su fuente o criterio)</t>
  </si>
  <si>
    <t xml:space="preserve">La demanda, el mix, el lote, los días en planta y los sustitutos no se cargan acá: vienen de Importados.</t>
  </si>
  <si>
    <t xml:space="preserve">1. Generales</t>
  </si>
  <si>
    <t xml:space="preserve">Fuente / criterio</t>
  </si>
  <si>
    <t xml:space="preserve">Año que se dimensiona (último del horizonte de Proyecciones)</t>
  </si>
  <si>
    <t xml:space="preserve">Turnos de logística por día</t>
  </si>
  <si>
    <t xml:space="preserve">Criterio del grupo (Recargas.xlsx original): el camión sale a la mañana y a la tarde</t>
  </si>
  <si>
    <t xml:space="preserve">Días hábiles por año</t>
  </si>
  <si>
    <t xml:space="preserve">parametros_recargas B2 × 12 (importado)</t>
  </si>
  <si>
    <t xml:space="preserve">parametros_recargas B5 (importado)</t>
  </si>
  <si>
    <t xml:space="preserve">2. Camión (Word de recargas)</t>
  </si>
  <si>
    <t xml:space="preserve">Vehículo</t>
  </si>
  <si>
    <t xml:space="preserve">Iveco cabina simple con caja de baranda rebatible</t>
  </si>
  <si>
    <t xml:space="preserve">Word de recargas: jaulas palletizables 1,2 × 1,0 m que se cargan y descargan con autoelevador por el costado</t>
  </si>
  <si>
    <t xml:space="preserve">Carga útil (kg)</t>
  </si>
  <si>
    <t xml:space="preserve">Word de recargas: capacidad aprox. 2 t (pico de carga 1,2 t)</t>
  </si>
  <si>
    <t xml:space="preserve">Posiciones de jaula 1,2 × 1,0 m en la caja</t>
  </si>
  <si>
    <t xml:space="preserve">Criterio: 2 a lo ancho × 3 a lo largo en una caja de unos 3,7 × 2,1 m sobre el chasis Daily de 3.450 mm entre ejes (Autocosmos, Daily 55C17: largo total 5.803 mm). Confirmar con el carrocero</t>
  </si>
  <si>
    <t xml:space="preserve">Personas a bordo (chofer + ayudante)</t>
  </si>
  <si>
    <t xml:space="preserve">Criterio del grupo (Recargas.xlsx original)</t>
  </si>
  <si>
    <t xml:space="preserve">Peso por persona (kg)</t>
  </si>
  <si>
    <t xml:space="preserve">Tara de jaulas y cinchas (% de la carga útil)</t>
  </si>
  <si>
    <t xml:space="preserve">Carga neta por viaje (kg)</t>
  </si>
  <si>
    <t xml:space="preserve">Carga útil − personas − tara</t>
  </si>
  <si>
    <t xml:space="preserve">Precio del camión con caja (ARS)</t>
  </si>
  <si>
    <t xml:space="preserve">A cotizar (concesionario Iveco + carrocero)</t>
  </si>
  <si>
    <t xml:space="preserve">3. Recorrido</t>
  </si>
  <si>
    <t xml:space="preserve">Ida y vuelta planta ↔ zona de clientes (h por viaje)</t>
  </si>
  <si>
    <t xml:space="preserve">Criterio del grupo (Recargas.xlsx original): clientes en AMBA, ~25 km por tramo</t>
  </si>
  <si>
    <t xml:space="preserve">Tiempo fijo por parada (min)</t>
  </si>
  <si>
    <t xml:space="preserve">Criterio del grupo: estacionar, presentarse, remito y firma</t>
  </si>
  <si>
    <t xml:space="preserve">Manejo entre paradas (min)</t>
  </si>
  <si>
    <t xml:space="preserve">4. Pulmón</t>
  </si>
  <si>
    <t xml:space="preserve">Días de llegada que esperan en recepción</t>
  </si>
  <si>
    <t xml:space="preserve">Criterio del grupo: lo que trae un turno entra al proceso en el turno siguiente</t>
  </si>
  <si>
    <t xml:space="preserve">Días de recargados que esperan el recorrido</t>
  </si>
  <si>
    <t xml:space="preserve">Criterio del grupo: salen en el turno siguiente</t>
  </si>
  <si>
    <t xml:space="preserve">Factor de jaulas a medio llenar</t>
  </si>
  <si>
    <t xml:space="preserve">Criterio del grupo: las jaulas se separan por cliente y familia de agente (Word: agrupados por cliente)</t>
  </si>
  <si>
    <t xml:space="preserve">Jaulas vacías de reserva (% de las ocupadas)</t>
  </si>
  <si>
    <t xml:space="preserve">Criterio del grupo</t>
  </si>
  <si>
    <t xml:space="preserve">Niveles de la estantería de sustitutos</t>
  </si>
  <si>
    <t xml:space="preserve">Criterio del grupo: los sustitutos van en estantería; los rodantes, en el piso</t>
  </si>
  <si>
    <t xml:space="preserve">Jaulas vacías apiladas por posición</t>
  </si>
  <si>
    <t xml:space="preserve">Criterio del grupo: de a 2 con transpaleta</t>
  </si>
  <si>
    <t xml:space="preserve">Superficie por posición con pasillo (m²)</t>
  </si>
  <si>
    <t xml:space="preserve">Posición de 1,2 × 1,0 m × 2 (pasillo de transpaleta compartido por dos filas)</t>
  </si>
  <si>
    <t xml:space="preserve">5. Tipos</t>
  </si>
  <si>
    <t xml:space="preserve">Peso lleno (kg)</t>
  </si>
  <si>
    <t xml:space="preserve">u. por jaula</t>
  </si>
  <si>
    <t xml:space="preserve">Jaula</t>
  </si>
  <si>
    <t xml:space="preserve">Rodante (1 = sí)</t>
  </si>
  <si>
    <t xml:space="preserve">Fuente del peso</t>
  </si>
  <si>
    <t xml:space="preserve">A</t>
  </si>
  <si>
    <t xml:space="preserve">BOM FLAMA, peso de catálogo</t>
  </si>
  <si>
    <t xml:space="preserve">B</t>
  </si>
  <si>
    <t xml:space="preserve">Rodantes</t>
  </si>
  <si>
    <t xml:space="preserve">Word de carros, Tabla 0 (carro terminado)</t>
  </si>
  <si>
    <t xml:space="preserve">u. por jaula: Word de recargas (A: 72 de 1 kg; B: 30 de 2,5 kg, 24 de 5 kg o 16 de 10 kg); el resto por tamaño parecido y los rodantes por posición (Recargas.xlsx del grupo).</t>
  </si>
  <si>
    <t xml:space="preserve">6. Rubros</t>
  </si>
  <si>
    <t xml:space="preserve">min por u. en el cliente</t>
  </si>
  <si>
    <t xml:space="preserve">Recargas.xlsx original (Supuestos E84:E90), criterio del grupo</t>
  </si>
  <si>
    <t xml:space="preserve">Ya no se usan: estacionalidad por rubro y factor de día pico (el perfil es plano, IRAM 3517-2 9.4.14 a), % con transitorio por rubro (lo define el dimensionamiento por tipo) y vehículos Kangoo / Master (el Word usa el camión con jaulas).</t>
  </si>
  <si>
    <t xml:space="preserve">Demanda del año de cálculo y mix (perfil plano: cada día llega lo mismo)</t>
  </si>
  <si>
    <t xml:space="preserve">Tipo</t>
  </si>
  <si>
    <t xml:space="preserve">u/día</t>
  </si>
  <si>
    <t xml:space="preserve">Lleva sustituto</t>
  </si>
  <si>
    <t xml:space="preserve">Sustitutos que salen por día</t>
  </si>
  <si>
    <t xml:space="preserve">Jaulas por día</t>
  </si>
  <si>
    <t xml:space="preserve">Rodante</t>
  </si>
  <si>
    <t xml:space="preserve">Rubro</t>
  </si>
  <si>
    <t xml:space="preserve">% del total</t>
  </si>
  <si>
    <t xml:space="preserve">Sustitutos por día</t>
  </si>
  <si>
    <t xml:space="preserve">Lote (u/cliente)</t>
  </si>
  <si>
    <t xml:space="preserve">Clientes por día</t>
  </si>
  <si>
    <t xml:space="preserve">Horas de parada por día</t>
  </si>
  <si>
    <t xml:space="preserve">Días en planta</t>
  </si>
  <si>
    <t xml:space="preserve">Ciclo del sustituto (días)</t>
  </si>
  <si>
    <t xml:space="preserve">Paradas = 2 por cliente (retiro con sustituto y devolución). Horas de parada = paradas × (parada + manejo) + 2 manipulaciones por u. en el cliente. Días en planta y ciclo: del dimensionamiento, con 2 turnos desde el año del 2° turno.</t>
  </si>
  <si>
    <t xml:space="preserve">Camión y viajes por día (cada viaje lleva recargados + sustitutos y trae lo retirado + sustitutos)</t>
  </si>
  <si>
    <t xml:space="preserve">Cómo se calcula</t>
  </si>
  <si>
    <t xml:space="preserve">Equipos que se retiran por día (u)</t>
  </si>
  <si>
    <t xml:space="preserve">Demanda y mix, total u/día</t>
  </si>
  <si>
    <t xml:space="preserve">Demanda y mix, total de sustitutos</t>
  </si>
  <si>
    <t xml:space="preserve">Carga por sentido por día (u)</t>
  </si>
  <si>
    <t xml:space="preserve">Sale con recargados + sustitutos y vuelve con lo retirado + sustitutos devueltos</t>
  </si>
  <si>
    <t xml:space="preserve">Peso medio por u. (kg)</t>
  </si>
  <si>
    <t xml:space="preserve">Promedio pesado por u/día</t>
  </si>
  <si>
    <t xml:space="preserve">Jaulas por u.</t>
  </si>
  <si>
    <t xml:space="preserve">Jaulas por día ÷ u/día (cada tipo en su jaula)</t>
  </si>
  <si>
    <t xml:space="preserve">Capacidad por viaje por espacio (u)</t>
  </si>
  <si>
    <t xml:space="preserve">Posiciones de la caja ÷ (jaulas por u. × factor de jaulas a medio llenar)</t>
  </si>
  <si>
    <t xml:space="preserve">Capacidad por viaje por peso (u)</t>
  </si>
  <si>
    <t xml:space="preserve">Carga neta ÷ peso medio</t>
  </si>
  <si>
    <t xml:space="preserve">Capacidad por viaje (u)</t>
  </si>
  <si>
    <t xml:space="preserve">La menor de las dos</t>
  </si>
  <si>
    <t xml:space="preserve">Viajes por día por carga</t>
  </si>
  <si>
    <t xml:space="preserve">Carga por sentido ÷ capacidad por viaje</t>
  </si>
  <si>
    <t xml:space="preserve">Demanda y mix, total de paradas</t>
  </si>
  <si>
    <t xml:space="preserve">Horas de parada y manipuleo por día</t>
  </si>
  <si>
    <t xml:space="preserve">Demanda y mix, total</t>
  </si>
  <si>
    <t xml:space="preserve">Viajes por día por tiempo</t>
  </si>
  <si>
    <t xml:space="preserve">Horas de parada ÷ (horas del turno − ida y vuelta): cada viaje entra en un turno</t>
  </si>
  <si>
    <t xml:space="preserve">El mayor de los dos, redondeado</t>
  </si>
  <si>
    <t xml:space="preserve">Horas de camión por día</t>
  </si>
  <si>
    <t xml:space="preserve">Viajes × ida y vuelta + horas de parada y manipuleo</t>
  </si>
  <si>
    <t xml:space="preserve">Camiones necesarios</t>
  </si>
  <si>
    <t xml:space="preserve">Horas de camión ÷ (horas por turno × turnos de logística)</t>
  </si>
  <si>
    <t xml:space="preserve">Horas de camión ÷ horas disponibles</t>
  </si>
  <si>
    <t xml:space="preserve">Peso por viaje (kg)</t>
  </si>
  <si>
    <t xml:space="preserve">Control: tiene que quedar por debajo de la carga neta</t>
  </si>
  <si>
    <t xml:space="preserve">Inversión en camiones (ARS)</t>
  </si>
  <si>
    <t xml:space="preserve">Camiones × precio (Supuestos)</t>
  </si>
  <si>
    <t xml:space="preserve">El camión carga y descarga las jaulas con el autoelevador por el costado (Word de recargas); las jaulas van agrupadas por cliente en el orden del recorrido.</t>
  </si>
  <si>
    <t xml:space="preserve">Sustitutos y pulmón de recargas (año de cálculo)</t>
  </si>
  <si>
    <t xml:space="preserve">Salen por día</t>
  </si>
  <si>
    <t xml:space="preserve">En planta por día (u)</t>
  </si>
  <si>
    <t xml:space="preserve">Jaulas en planta</t>
  </si>
  <si>
    <t xml:space="preserve">Stock: del dimensionamiento (Little: sustitutos por día × ciclo). En planta: los que vuelven con la devolución esperan hasta el retiro del día siguiente.</t>
  </si>
  <si>
    <t xml:space="preserve">Zona del pulmón</t>
  </si>
  <si>
    <t xml:space="preserve">Matafuegos (u)</t>
  </si>
  <si>
    <t xml:space="preserve">Jaulas de manuales</t>
  </si>
  <si>
    <t xml:space="preserve">Jaulas de rodantes</t>
  </si>
  <si>
    <t xml:space="preserve">Posiciones 1,2 × 1,0 m</t>
  </si>
  <si>
    <t xml:space="preserve">Dónde y cómo van</t>
  </si>
  <si>
    <t xml:space="preserve">Recepción</t>
  </si>
  <si>
    <t xml:space="preserve">Jaulas A (1 kg) y B por cliente, en orden de llegada; rodantes en su jaula</t>
  </si>
  <si>
    <t xml:space="preserve">Despacho</t>
  </si>
  <si>
    <t xml:space="preserve">Jaulas armadas por recorrido y en el orden de entrega</t>
  </si>
  <si>
    <t xml:space="preserve">Sustitutos en planta</t>
  </si>
  <si>
    <t xml:space="preserve">Estantería con faja amarilla, por tipo; rodantes en el piso</t>
  </si>
  <si>
    <t xml:space="preserve">Jaulas vacías</t>
  </si>
  <si>
    <t xml:space="preserve">—</t>
  </si>
  <si>
    <t xml:space="preserve">Apiladas de a 2, junto a despacho</t>
  </si>
  <si>
    <t xml:space="preserve">Total de posiciones</t>
  </si>
  <si>
    <t xml:space="preserve">Superficie del pulmón con pasillo (m²)</t>
  </si>
  <si>
    <t xml:space="preserve">Jaulas A y B a tener (planta + camiones + vacías)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</si>
</sst>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"/>
    <numFmt numFmtId="166" formatCode="#,##0"/>
    <numFmt numFmtId="167" formatCode="0%"/>
    <numFmt numFmtId="168" formatCode="0.0"/>
    <numFmt numFmtId="169" formatCode="0.0%"/>
    <numFmt numFmtId="170" formatCode="0.00"/>
    <numFmt numFmtId="171" formatCode="#,##0.0"/>
    <numFmt numFmtId="172" formatCode="0.0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70"/>
    <col collapsed="false" customWidth="true" hidden="false" outlineLevel="0" max="3" min="3" style="0" width="96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3" t="s">
        <v>3</v>
      </c>
      <c r="C3" s="3" t="s">
        <v>4</v>
      </c>
    </row>
    <row r="4" customFormat="false" ht="23.85" hidden="false" customHeight="false" outlineLevel="0" collapsed="false">
      <c r="A4" s="4" t="s">
        <v>5</v>
      </c>
      <c r="B4" s="5" t="s">
        <v>6</v>
      </c>
      <c r="C4" s="5" t="s">
        <v>7</v>
      </c>
    </row>
    <row r="5" customFormat="false" ht="23.85" hidden="false" customHeight="false" outlineLevel="0" collapsed="false">
      <c r="A5" s="4" t="s">
        <v>8</v>
      </c>
      <c r="B5" s="5" t="s">
        <v>6</v>
      </c>
      <c r="C5" s="5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3" min="2" style="0" width="16"/>
    <col collapsed="false" customWidth="true" hidden="false" outlineLevel="0" max="4" min="4" style="0" width="70"/>
  </cols>
  <sheetData>
    <row r="1" customFormat="false" ht="15" hidden="false" customHeight="false" outlineLevel="0" collapsed="false">
      <c r="A1" s="1" t="s">
        <v>10</v>
      </c>
    </row>
    <row r="2" customFormat="false" ht="15" hidden="false" customHeight="false" outlineLevel="0" collapsed="false">
      <c r="A2" s="2" t="s">
        <v>11</v>
      </c>
    </row>
    <row r="3" customFormat="false" ht="15" hidden="false" customHeight="false" outlineLevel="0" collapsed="false">
      <c r="A3" s="4" t="s">
        <v>12</v>
      </c>
      <c r="B3" s="6" t="n">
        <f aca="false">Supuestos!B5</f>
        <v>2035</v>
      </c>
    </row>
    <row r="5" customFormat="false" ht="15" hidden="false" customHeight="false" outlineLevel="0" collapsed="false">
      <c r="A5" s="3" t="s">
        <v>13</v>
      </c>
      <c r="B5" s="3" t="s">
        <v>14</v>
      </c>
      <c r="C5" s="3" t="s">
        <v>15</v>
      </c>
      <c r="D5" s="3" t="s">
        <v>16</v>
      </c>
    </row>
    <row r="6" customFormat="false" ht="15" hidden="false" customHeight="false" outlineLevel="0" collapsed="false">
      <c r="A6" s="4" t="s">
        <v>17</v>
      </c>
      <c r="B6" s="7" t="n">
        <f aca="false">'Demanda y mix'!B23</f>
        <v>206230.154921912</v>
      </c>
      <c r="C6" s="7" t="n">
        <f aca="false">'Demanda y mix'!B57</f>
        <v>107197.372813695</v>
      </c>
      <c r="D6" s="5" t="s">
        <v>18</v>
      </c>
    </row>
    <row r="7" customFormat="false" ht="15" hidden="false" customHeight="false" outlineLevel="0" collapsed="false">
      <c r="A7" s="4" t="s">
        <v>19</v>
      </c>
      <c r="B7" s="7" t="n">
        <f aca="false">'Demanda y mix'!C23</f>
        <v>859.292312174635</v>
      </c>
      <c r="C7" s="7" t="n">
        <f aca="false">'Demanda y mix'!C57</f>
        <v>446.655720057061</v>
      </c>
      <c r="D7" s="5" t="s">
        <v>20</v>
      </c>
    </row>
    <row r="8" customFormat="false" ht="15" hidden="false" customHeight="false" outlineLevel="0" collapsed="false">
      <c r="A8" s="4" t="s">
        <v>21</v>
      </c>
      <c r="B8" s="7" t="n">
        <f aca="false">'Demanda y mix'!E23</f>
        <v>405.781368851498</v>
      </c>
      <c r="C8" s="7" t="n">
        <f aca="false">'Demanda y mix'!E57</f>
        <v>210.923066484121</v>
      </c>
      <c r="D8" s="5" t="s">
        <v>22</v>
      </c>
    </row>
    <row r="9" customFormat="false" ht="15" hidden="false" customHeight="false" outlineLevel="0" collapsed="false">
      <c r="A9" s="4" t="s">
        <v>23</v>
      </c>
      <c r="B9" s="7" t="n">
        <f aca="false">'Sustitutos y pulmón'!B23</f>
        <v>1279</v>
      </c>
      <c r="C9" s="7" t="n">
        <f aca="false">'Sustitutos y pulmón'!B55</f>
        <v>664</v>
      </c>
      <c r="D9" s="5" t="s">
        <v>24</v>
      </c>
    </row>
    <row r="10" customFormat="false" ht="15" hidden="false" customHeight="false" outlineLevel="0" collapsed="false">
      <c r="A10" s="4" t="s">
        <v>25</v>
      </c>
      <c r="B10" s="7" t="n">
        <f aca="false">'Demanda y mix'!G33</f>
        <v>84.4932175878514</v>
      </c>
      <c r="C10" s="7" t="n">
        <f aca="false">'Demanda y mix'!G67</f>
        <v>44.1383168225156</v>
      </c>
      <c r="D10" s="5" t="s">
        <v>26</v>
      </c>
    </row>
    <row r="11" customFormat="false" ht="15" hidden="false" customHeight="false" outlineLevel="0" collapsed="false">
      <c r="A11" s="4" t="s">
        <v>27</v>
      </c>
      <c r="B11" s="6" t="n">
        <f aca="false">'Camión y viajes'!B16</f>
        <v>13</v>
      </c>
      <c r="C11" s="6" t="n">
        <f aca="false">'Camión y viajes'!C16</f>
        <v>7</v>
      </c>
      <c r="D11" s="5" t="s">
        <v>28</v>
      </c>
    </row>
    <row r="12" customFormat="false" ht="15" hidden="false" customHeight="false" outlineLevel="0" collapsed="false">
      <c r="A12" s="4" t="s">
        <v>29</v>
      </c>
      <c r="B12" s="6" t="n">
        <f aca="false">'Camión y viajes'!B18</f>
        <v>7</v>
      </c>
      <c r="C12" s="6" t="n">
        <f aca="false">'Camión y viajes'!C18</f>
        <v>4</v>
      </c>
      <c r="D12" s="5" t="s">
        <v>28</v>
      </c>
    </row>
    <row r="13" customFormat="false" ht="15" hidden="false" customHeight="false" outlineLevel="0" collapsed="false">
      <c r="A13" s="4" t="s">
        <v>30</v>
      </c>
      <c r="B13" s="8" t="n">
        <f aca="false">'Camión y viajes'!B19</f>
        <v>0.915042568652419</v>
      </c>
      <c r="C13" s="8" t="n">
        <f aca="false">'Camión y viajes'!C19</f>
        <v>0.840250339208151</v>
      </c>
      <c r="D13" s="5" t="s">
        <v>28</v>
      </c>
    </row>
    <row r="14" customFormat="false" ht="15" hidden="false" customHeight="false" outlineLevel="0" collapsed="false">
      <c r="A14" s="4" t="s">
        <v>31</v>
      </c>
      <c r="B14" s="6" t="n">
        <f aca="false">'Sustitutos y pulmón'!E30</f>
        <v>50</v>
      </c>
      <c r="C14" s="6" t="n">
        <f aca="false">'Sustitutos y pulmón'!E62</f>
        <v>26</v>
      </c>
      <c r="D14" s="5" t="s">
        <v>32</v>
      </c>
    </row>
    <row r="15" customFormat="false" ht="15" hidden="false" customHeight="false" outlineLevel="0" collapsed="false">
      <c r="A15" s="4" t="s">
        <v>33</v>
      </c>
      <c r="B15" s="9" t="n">
        <f aca="false">'Sustitutos y pulmón'!E31</f>
        <v>120</v>
      </c>
      <c r="C15" s="9" t="n">
        <f aca="false">'Sustitutos y pulmón'!E63</f>
        <v>62.4</v>
      </c>
      <c r="D15" s="5" t="s">
        <v>32</v>
      </c>
    </row>
    <row r="16" customFormat="false" ht="15" hidden="false" customHeight="false" outlineLevel="0" collapsed="false">
      <c r="A16" s="4" t="s">
        <v>34</v>
      </c>
      <c r="B16" s="6" t="n">
        <f aca="false">'Sustitutos y pulmón'!E32</f>
        <v>94</v>
      </c>
      <c r="C16" s="6" t="n">
        <f aca="false">'Sustitutos y pulmón'!E64</f>
        <v>51</v>
      </c>
      <c r="D16" s="5" t="s">
        <v>32</v>
      </c>
    </row>
    <row r="18" customFormat="false" ht="15" hidden="false" customHeight="false" outlineLevel="0" collapsed="false">
      <c r="A18" s="1" t="s">
        <v>35</v>
      </c>
    </row>
    <row r="19" customFormat="false" ht="15" hidden="false" customHeight="false" outlineLevel="0" collapsed="false">
      <c r="A19" s="2" t="s">
        <v>36</v>
      </c>
    </row>
    <row r="20" customFormat="false" ht="15" hidden="false" customHeight="false" outlineLevel="0" collapsed="false">
      <c r="A20" s="2" t="s">
        <v>37</v>
      </c>
    </row>
    <row r="21" customFormat="false" ht="15" hidden="false" customHeight="false" outlineLevel="0" collapsed="false">
      <c r="A21" s="2" t="s">
        <v>38</v>
      </c>
    </row>
    <row r="22" customFormat="false" ht="15" hidden="false" customHeight="false" outlineLevel="0" collapsed="false">
      <c r="A22" s="2" t="s">
        <v>39</v>
      </c>
    </row>
    <row r="23" customFormat="false" ht="15" hidden="false" customHeight="false" outlineLevel="0" collapsed="false">
      <c r="A23" s="2" t="s">
        <v>40</v>
      </c>
    </row>
    <row r="24" customFormat="false" ht="15" hidden="false" customHeight="false" outlineLevel="0" collapsed="false">
      <c r="A24" s="2" t="s">
        <v>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7" min="2" style="0" width="11"/>
  </cols>
  <sheetData>
    <row r="1" customFormat="false" ht="15" hidden="false" customHeight="false" outlineLevel="0" collapsed="false">
      <c r="A1" s="1" t="s">
        <v>42</v>
      </c>
    </row>
    <row r="2" customFormat="false" ht="15" hidden="false" customHeight="false" outlineLevel="0" collapsed="false">
      <c r="A2" s="2" t="s">
        <v>43</v>
      </c>
    </row>
    <row r="4" customFormat="false" ht="15" hidden="false" customHeight="false" outlineLevel="0" collapsed="false">
      <c r="A4" s="1" t="s">
        <v>44</v>
      </c>
    </row>
    <row r="5" customFormat="false" ht="15" hidden="false" customHeight="false" outlineLevel="0" collapsed="false">
      <c r="A5" s="3" t="s">
        <v>45</v>
      </c>
      <c r="B5" s="3" t="n">
        <v>2026</v>
      </c>
      <c r="C5" s="3" t="n">
        <v>2027</v>
      </c>
      <c r="D5" s="3" t="n">
        <v>2028</v>
      </c>
      <c r="E5" s="3" t="n">
        <v>2029</v>
      </c>
      <c r="F5" s="3" t="n">
        <v>2030</v>
      </c>
      <c r="G5" s="3" t="n">
        <v>2031</v>
      </c>
      <c r="H5" s="3" t="n">
        <v>2032</v>
      </c>
      <c r="I5" s="3" t="n">
        <v>2033</v>
      </c>
      <c r="J5" s="3" t="n">
        <v>2034</v>
      </c>
      <c r="K5" s="3" t="n">
        <v>2035</v>
      </c>
    </row>
    <row r="6" customFormat="false" ht="15" hidden="false" customHeight="false" outlineLevel="0" collapsed="false">
      <c r="A6" s="5" t="s">
        <v>46</v>
      </c>
      <c r="B6" s="10" t="n">
        <f aca="false">IFERROR(__xludf.DUMMYFUNCTION("IMPORTRANGE(Links!$B$4,""datos_base!B2:K18"")"),1928.3324794299)</f>
        <v>1928.3324794299</v>
      </c>
      <c r="C6" s="10" t="n">
        <f aca="false">IFERROR(__xludf.DUMMYFUNCTION("""COMPUTED_VALUE"""),9410.52471807289)</f>
        <v>9410.52471807289</v>
      </c>
      <c r="D6" s="10" t="n">
        <f aca="false">IFERROR(__xludf.DUMMYFUNCTION("""COMPUTED_VALUE"""),16938.4095795012)</f>
        <v>16938.4095795012</v>
      </c>
      <c r="E6" s="10" t="n">
        <f aca="false">IFERROR(__xludf.DUMMYFUNCTION("""COMPUTED_VALUE"""),31079.8948147772)</f>
        <v>31079.8948147772</v>
      </c>
      <c r="F6" s="10" t="n">
        <f aca="false">IFERROR(__xludf.DUMMYFUNCTION("""COMPUTED_VALUE"""),46729.5037906516)</f>
        <v>46729.5037906516</v>
      </c>
      <c r="G6" s="10" t="n">
        <f aca="false">IFERROR(__xludf.DUMMYFUNCTION("""COMPUTED_VALUE"""),65104.9554102294)</f>
        <v>65104.9554102294</v>
      </c>
      <c r="H6" s="10" t="n">
        <f aca="false">IFERROR(__xludf.DUMMYFUNCTION("""COMPUTED_VALUE"""),81853.011111775)</f>
        <v>81853.011111775</v>
      </c>
      <c r="I6" s="10" t="n">
        <f aca="false">IFERROR(__xludf.DUMMYFUNCTION("""COMPUTED_VALUE"""),95047.1013416854)</f>
        <v>95047.1013416854</v>
      </c>
      <c r="J6" s="10" t="n">
        <f aca="false">IFERROR(__xludf.DUMMYFUNCTION("""COMPUTED_VALUE"""),101860.044696713)</f>
        <v>101860.044696713</v>
      </c>
      <c r="K6" s="10" t="n">
        <f aca="false">IFERROR(__xludf.DUMMYFUNCTION("""COMPUTED_VALUE"""),108842.626397553)</f>
        <v>108842.626397553</v>
      </c>
    </row>
    <row r="7" customFormat="false" ht="15" hidden="false" customHeight="false" outlineLevel="0" collapsed="false">
      <c r="A7" s="5" t="s">
        <v>47</v>
      </c>
      <c r="B7" s="10" t="n">
        <f aca="false">IFERROR(__xludf.DUMMYFUNCTION("""COMPUTED_VALUE"""),182.98966617723)</f>
        <v>182.98966617723</v>
      </c>
      <c r="C7" s="10" t="n">
        <f aca="false">IFERROR(__xludf.DUMMYFUNCTION("""COMPUTED_VALUE"""),713.896488444678)</f>
        <v>713.896488444678</v>
      </c>
      <c r="D7" s="10" t="n">
        <f aca="false">IFERROR(__xludf.DUMMYFUNCTION("""COMPUTED_VALUE"""),1634.26350415044)</f>
        <v>1634.26350415044</v>
      </c>
      <c r="E7" s="10" t="n">
        <f aca="false">IFERROR(__xludf.DUMMYFUNCTION("""COMPUTED_VALUE"""),3008.84809678598)</f>
        <v>3008.84809678598</v>
      </c>
      <c r="F7" s="10" t="n">
        <f aca="false">IFERROR(__xludf.DUMMYFUNCTION("""COMPUTED_VALUE"""),4353.46560207945)</f>
        <v>4353.46560207945</v>
      </c>
      <c r="G7" s="10" t="n">
        <f aca="false">IFERROR(__xludf.DUMMYFUNCTION("""COMPUTED_VALUE"""),5780.28251110631)</f>
        <v>5780.28251110631</v>
      </c>
      <c r="H7" s="10" t="n">
        <f aca="false">IFERROR(__xludf.DUMMYFUNCTION("""COMPUTED_VALUE"""),7103.34002444543)</f>
        <v>7103.34002444543</v>
      </c>
      <c r="I7" s="10" t="n">
        <f aca="false">IFERROR(__xludf.DUMMYFUNCTION("""COMPUTED_VALUE"""),7909.15291517406)</f>
        <v>7909.15291517406</v>
      </c>
      <c r="J7" s="10" t="n">
        <f aca="false">IFERROR(__xludf.DUMMYFUNCTION("""COMPUTED_VALUE"""),8557.83094860929)</f>
        <v>8557.83094860929</v>
      </c>
      <c r="K7" s="10" t="n">
        <f aca="false">IFERROR(__xludf.DUMMYFUNCTION("""COMPUTED_VALUE"""),9216.54014430766)</f>
        <v>9216.54014430766</v>
      </c>
    </row>
    <row r="8" customFormat="false" ht="15" hidden="false" customHeight="false" outlineLevel="0" collapsed="false">
      <c r="A8" s="5" t="s">
        <v>48</v>
      </c>
      <c r="B8" s="10" t="n">
        <f aca="false">IFERROR(__xludf.DUMMYFUNCTION("""COMPUTED_VALUE"""),1081.53202542054)</f>
        <v>1081.53202542054</v>
      </c>
      <c r="C8" s="10" t="n">
        <f aca="false">IFERROR(__xludf.DUMMYFUNCTION("""COMPUTED_VALUE"""),4354.4319713917)</f>
        <v>4354.4319713917</v>
      </c>
      <c r="D8" s="10" t="n">
        <f aca="false">IFERROR(__xludf.DUMMYFUNCTION("""COMPUTED_VALUE"""),9857.06358790893)</f>
        <v>9857.06358790893</v>
      </c>
      <c r="E8" s="10" t="n">
        <f aca="false">IFERROR(__xludf.DUMMYFUNCTION("""COMPUTED_VALUE"""),18634.9509870281)</f>
        <v>18634.9509870281</v>
      </c>
      <c r="F8" s="10" t="n">
        <f aca="false">IFERROR(__xludf.DUMMYFUNCTION("""COMPUTED_VALUE"""),26842.9541252258)</f>
        <v>26842.9541252258</v>
      </c>
      <c r="G8" s="10" t="n">
        <f aca="false">IFERROR(__xludf.DUMMYFUNCTION("""COMPUTED_VALUE"""),35668.3968765287)</f>
        <v>35668.3968765287</v>
      </c>
      <c r="H8" s="10" t="n">
        <f aca="false">IFERROR(__xludf.DUMMYFUNCTION("""COMPUTED_VALUE"""),43652.4040341835)</f>
        <v>43652.4040341835</v>
      </c>
      <c r="I8" s="10" t="n">
        <f aca="false">IFERROR(__xludf.DUMMYFUNCTION("""COMPUTED_VALUE"""),48374.7562424118)</f>
        <v>48374.7562424118</v>
      </c>
      <c r="J8" s="10" t="n">
        <f aca="false">IFERROR(__xludf.DUMMYFUNCTION("""COMPUTED_VALUE"""),52182.3411926296)</f>
        <v>52182.3411926296</v>
      </c>
      <c r="K8" s="10" t="n">
        <f aca="false">IFERROR(__xludf.DUMMYFUNCTION("""COMPUTED_VALUE"""),56059.2707104735)</f>
        <v>56059.2707104735</v>
      </c>
    </row>
    <row r="9" customFormat="false" ht="15" hidden="false" customHeight="false" outlineLevel="0" collapsed="false">
      <c r="A9" s="5" t="s">
        <v>49</v>
      </c>
      <c r="B9" s="10" t="n">
        <f aca="false">IFERROR(__xludf.DUMMYFUNCTION("""COMPUTED_VALUE"""),65.6238799171177)</f>
        <v>65.6238799171177</v>
      </c>
      <c r="C9" s="10" t="n">
        <f aca="false">IFERROR(__xludf.DUMMYFUNCTION("""COMPUTED_VALUE"""),242.722482544761)</f>
        <v>242.722482544761</v>
      </c>
      <c r="D9" s="10" t="n">
        <f aca="false">IFERROR(__xludf.DUMMYFUNCTION("""COMPUTED_VALUE"""),568.368770119994)</f>
        <v>568.368770119994</v>
      </c>
      <c r="E9" s="10" t="n">
        <f aca="false">IFERROR(__xludf.DUMMYFUNCTION("""COMPUTED_VALUE"""),1087.08596481323)</f>
        <v>1087.08596481323</v>
      </c>
      <c r="F9" s="10" t="n">
        <f aca="false">IFERROR(__xludf.DUMMYFUNCTION("""COMPUTED_VALUE"""),1577.59581782047)</f>
        <v>1577.59581782047</v>
      </c>
      <c r="G9" s="10" t="n">
        <f aca="false">IFERROR(__xludf.DUMMYFUNCTION("""COMPUTED_VALUE"""),2112.93681281845)</f>
        <v>2112.93681281845</v>
      </c>
      <c r="H9" s="10" t="n">
        <f aca="false">IFERROR(__xludf.DUMMYFUNCTION("""COMPUTED_VALUE"""),2586.10154569006)</f>
        <v>2586.10154569006</v>
      </c>
      <c r="I9" s="10" t="n">
        <f aca="false">IFERROR(__xludf.DUMMYFUNCTION("""COMPUTED_VALUE"""),2863.82527866492)</f>
        <v>2863.82527866492</v>
      </c>
      <c r="J9" s="10" t="n">
        <f aca="false">IFERROR(__xludf.DUMMYFUNCTION("""COMPUTED_VALUE"""),3089.53130603234)</f>
        <v>3089.53130603234</v>
      </c>
      <c r="K9" s="10" t="n">
        <f aca="false">IFERROR(__xludf.DUMMYFUNCTION("""COMPUTED_VALUE"""),3319.32790518283)</f>
        <v>3319.32790518283</v>
      </c>
    </row>
    <row r="10" customFormat="false" ht="15" hidden="false" customHeight="false" outlineLevel="0" collapsed="false">
      <c r="A10" s="5" t="s">
        <v>50</v>
      </c>
      <c r="B10" s="10" t="n">
        <f aca="false">IFERROR(__xludf.DUMMYFUNCTION("""COMPUTED_VALUE"""),88.339838691209)</f>
        <v>88.339838691209</v>
      </c>
      <c r="C10" s="10" t="n">
        <f aca="false">IFERROR(__xludf.DUMMYFUNCTION("""COMPUTED_VALUE"""),356.791054511953)</f>
        <v>356.791054511953</v>
      </c>
      <c r="D10" s="10" t="n">
        <f aca="false">IFERROR(__xludf.DUMMYFUNCTION("""COMPUTED_VALUE"""),817.563242183208)</f>
        <v>817.563242183208</v>
      </c>
      <c r="E10" s="10" t="n">
        <f aca="false">IFERROR(__xludf.DUMMYFUNCTION("""COMPUTED_VALUE"""),1534.05179987619)</f>
        <v>1534.05179987619</v>
      </c>
      <c r="F10" s="10" t="n">
        <f aca="false">IFERROR(__xludf.DUMMYFUNCTION("""COMPUTED_VALUE"""),2213.34625217735)</f>
        <v>2213.34625217735</v>
      </c>
      <c r="G10" s="10" t="n">
        <f aca="false">IFERROR(__xludf.DUMMYFUNCTION("""COMPUTED_VALUE"""),2958.78190195977)</f>
        <v>2958.78190195977</v>
      </c>
      <c r="H10" s="10" t="n">
        <f aca="false">IFERROR(__xludf.DUMMYFUNCTION("""COMPUTED_VALUE"""),3625.98177469707)</f>
        <v>3625.98177469707</v>
      </c>
      <c r="I10" s="10" t="n">
        <f aca="false">IFERROR(__xludf.DUMMYFUNCTION("""COMPUTED_VALUE"""),4031.2585113582)</f>
        <v>4031.2585113582</v>
      </c>
      <c r="J10" s="10" t="n">
        <f aca="false">IFERROR(__xludf.DUMMYFUNCTION("""COMPUTED_VALUE"""),4355.99730852705)</f>
        <v>4355.99730852705</v>
      </c>
      <c r="K10" s="10" t="n">
        <f aca="false">IFERROR(__xludf.DUMMYFUNCTION("""COMPUTED_VALUE"""),4686.14321768856)</f>
        <v>4686.14321768856</v>
      </c>
    </row>
    <row r="11" customFormat="false" ht="15" hidden="false" customHeight="false" outlineLevel="0" collapsed="false">
      <c r="A11" s="5" t="s">
        <v>51</v>
      </c>
      <c r="B11" s="10" t="n">
        <f aca="false">IFERROR(__xludf.DUMMYFUNCTION("""COMPUTED_VALUE"""),12.6199770351041)</f>
        <v>12.6199770351041</v>
      </c>
      <c r="C11" s="10" t="n">
        <f aca="false">IFERROR(__xludf.DUMMYFUNCTION("""COMPUTED_VALUE"""),89.4527681249774)</f>
        <v>89.4527681249774</v>
      </c>
      <c r="D11" s="10" t="n">
        <f aca="false">IFERROR(__xludf.DUMMYFUNCTION("""COMPUTED_VALUE"""),175.56498402136)</f>
        <v>175.56498402136</v>
      </c>
      <c r="E11" s="10" t="n">
        <f aca="false">IFERROR(__xludf.DUMMYFUNCTION("""COMPUTED_VALUE"""),292.450726979665)</f>
        <v>292.450726979665</v>
      </c>
      <c r="F11" s="10" t="n">
        <f aca="false">IFERROR(__xludf.DUMMYFUNCTION("""COMPUTED_VALUE"""),412.445652132626)</f>
        <v>412.445652132626</v>
      </c>
      <c r="G11" s="10" t="n">
        <f aca="false">IFERROR(__xludf.DUMMYFUNCTION("""COMPUTED_VALUE"""),533.932824837711)</f>
        <v>533.932824837711</v>
      </c>
      <c r="H11" s="10" t="n">
        <f aca="false">IFERROR(__xludf.DUMMYFUNCTION("""COMPUTED_VALUE"""),662.61904062623)</f>
        <v>662.61904062623</v>
      </c>
      <c r="I11" s="10" t="n">
        <f aca="false">IFERROR(__xludf.DUMMYFUNCTION("""COMPUTED_VALUE"""),749.498407409914)</f>
        <v>749.498407409914</v>
      </c>
      <c r="J11" s="10" t="n">
        <f aca="false">IFERROR(__xludf.DUMMYFUNCTION("""COMPUTED_VALUE"""),819.330008059193)</f>
        <v>819.330008059193</v>
      </c>
      <c r="K11" s="10" t="n">
        <f aca="false">IFERROR(__xludf.DUMMYFUNCTION("""COMPUTED_VALUE"""),889.694438407785)</f>
        <v>889.694438407785</v>
      </c>
    </row>
    <row r="12" customFormat="false" ht="15" hidden="false" customHeight="false" outlineLevel="0" collapsed="false">
      <c r="A12" s="5" t="s">
        <v>52</v>
      </c>
      <c r="B12" s="10" t="n">
        <f aca="false">IFERROR(__xludf.DUMMYFUNCTION("""COMPUTED_VALUE"""),6.30998824029218)</f>
        <v>6.30998824029218</v>
      </c>
      <c r="C12" s="10" t="n">
        <f aca="false">IFERROR(__xludf.DUMMYFUNCTION("""COMPUTED_VALUE"""),46.1490845807389)</f>
        <v>46.1490845807389</v>
      </c>
      <c r="D12" s="10" t="n">
        <f aca="false">IFERROR(__xludf.DUMMYFUNCTION("""COMPUTED_VALUE"""),91.1984422881729)</f>
        <v>91.1984422881729</v>
      </c>
      <c r="E12" s="10" t="n">
        <f aca="false">IFERROR(__xludf.DUMMYFUNCTION("""COMPUTED_VALUE"""),156.009218267227)</f>
        <v>156.009218267227</v>
      </c>
      <c r="F12" s="10" t="n">
        <f aca="false">IFERROR(__xludf.DUMMYFUNCTION("""COMPUTED_VALUE"""),221.199315137235)</f>
        <v>221.199315137235</v>
      </c>
      <c r="G12" s="10" t="n">
        <f aca="false">IFERROR(__xludf.DUMMYFUNCTION("""COMPUTED_VALUE"""),285.315535180606)</f>
        <v>285.315535180606</v>
      </c>
      <c r="H12" s="10" t="n">
        <f aca="false">IFERROR(__xludf.DUMMYFUNCTION("""COMPUTED_VALUE"""),348.829239583597)</f>
        <v>348.829239583597</v>
      </c>
      <c r="I12" s="10" t="n">
        <f aca="false">IFERROR(__xludf.DUMMYFUNCTION("""COMPUTED_VALUE"""),394.362252179898)</f>
        <v>394.362252179898</v>
      </c>
      <c r="J12" s="10" t="n">
        <f aca="false">IFERROR(__xludf.DUMMYFUNCTION("""COMPUTED_VALUE"""),428.871654691993)</f>
        <v>428.871654691993</v>
      </c>
      <c r="K12" s="10" t="n">
        <f aca="false">IFERROR(__xludf.DUMMYFUNCTION("""COMPUTED_VALUE"""),463.773030017405)</f>
        <v>463.773030017405</v>
      </c>
    </row>
    <row r="13" customFormat="false" ht="15" hidden="false" customHeight="false" outlineLevel="0" collapsed="false">
      <c r="A13" s="5" t="s">
        <v>53</v>
      </c>
      <c r="B13" s="10" t="n">
        <f aca="false">IFERROR(__xludf.DUMMYFUNCTION("""COMPUTED_VALUE"""),3.78599294417531)</f>
        <v>3.78599294417531</v>
      </c>
      <c r="C13" s="10" t="n">
        <f aca="false">IFERROR(__xludf.DUMMYFUNCTION("""COMPUTED_VALUE"""),26.1029697754505)</f>
        <v>26.1029697754505</v>
      </c>
      <c r="D13" s="10" t="n">
        <f aca="false">IFERROR(__xludf.DUMMYFUNCTION("""COMPUTED_VALUE"""),49.2910799264256)</f>
        <v>49.2910799264256</v>
      </c>
      <c r="E13" s="10" t="n">
        <f aca="false">IFERROR(__xludf.DUMMYFUNCTION("""COMPUTED_VALUE"""),88.4472796632196)</f>
        <v>88.4472796632196</v>
      </c>
      <c r="F13" s="10" t="n">
        <f aca="false">IFERROR(__xludf.DUMMYFUNCTION("""COMPUTED_VALUE"""),121.881332544252)</f>
        <v>121.881332544252</v>
      </c>
      <c r="G13" s="10" t="n">
        <f aca="false">IFERROR(__xludf.DUMMYFUNCTION("""COMPUTED_VALUE"""),161.847594678341)</f>
        <v>161.847594678341</v>
      </c>
      <c r="H13" s="10" t="n">
        <f aca="false">IFERROR(__xludf.DUMMYFUNCTION("""COMPUTED_VALUE"""),204.531372288667)</f>
        <v>204.531372288667</v>
      </c>
      <c r="I13" s="10" t="n">
        <f aca="false">IFERROR(__xludf.DUMMYFUNCTION("""COMPUTED_VALUE"""),226.470825981982)</f>
        <v>226.470825981982</v>
      </c>
      <c r="J13" s="10" t="n">
        <f aca="false">IFERROR(__xludf.DUMMYFUNCTION("""COMPUTED_VALUE"""),247.194887193214)</f>
        <v>247.194887193214</v>
      </c>
      <c r="K13" s="10" t="n">
        <f aca="false">IFERROR(__xludf.DUMMYFUNCTION("""COMPUTED_VALUE"""),268.09876141114)</f>
        <v>268.09876141114</v>
      </c>
    </row>
    <row r="14" customFormat="false" ht="15" hidden="false" customHeight="false" outlineLevel="0" collapsed="false">
      <c r="A14" s="5" t="s">
        <v>54</v>
      </c>
      <c r="B14" s="10" t="n">
        <f aca="false">IFERROR(__xludf.DUMMYFUNCTION("""COMPUTED_VALUE"""),45.4319169936629)</f>
        <v>45.4319169936629</v>
      </c>
      <c r="C14" s="10" t="n">
        <f aca="false">IFERROR(__xludf.DUMMYFUNCTION("""COMPUTED_VALUE"""),185.985285501959)</f>
        <v>185.985285501959</v>
      </c>
      <c r="D14" s="10" t="n">
        <f aca="false">IFERROR(__xludf.DUMMYFUNCTION("""COMPUTED_VALUE"""),414.00352321421)</f>
        <v>414.00352321421</v>
      </c>
      <c r="E14" s="10" t="n">
        <f aca="false">IFERROR(__xludf.DUMMYFUNCTION("""COMPUTED_VALUE"""),753.536782804492)</f>
        <v>753.536782804492</v>
      </c>
      <c r="F14" s="10" t="n">
        <f aca="false">IFERROR(__xludf.DUMMYFUNCTION("""COMPUTED_VALUE"""),1087.48281240957)</f>
        <v>1087.48281240957</v>
      </c>
      <c r="G14" s="10" t="n">
        <f aca="false">IFERROR(__xludf.DUMMYFUNCTION("""COMPUTED_VALUE"""),1440.94250530308)</f>
        <v>1440.94250530308</v>
      </c>
      <c r="H14" s="10" t="n">
        <f aca="false">IFERROR(__xludf.DUMMYFUNCTION("""COMPUTED_VALUE"""),1772.94570846055)</f>
        <v>1772.94570846055</v>
      </c>
      <c r="I14" s="10" t="n">
        <f aca="false">IFERROR(__xludf.DUMMYFUNCTION("""COMPUTED_VALUE"""),1984.37076256639)</f>
        <v>1984.37076256639</v>
      </c>
      <c r="J14" s="10" t="n">
        <f aca="false">IFERROR(__xludf.DUMMYFUNCTION("""COMPUTED_VALUE"""),2146.40616864414)</f>
        <v>2146.40616864414</v>
      </c>
      <c r="K14" s="10" t="n">
        <f aca="false">IFERROR(__xludf.DUMMYFUNCTION("""COMPUTED_VALUE"""),2310.99407344162)</f>
        <v>2310.99407344162</v>
      </c>
    </row>
    <row r="15" customFormat="false" ht="15" hidden="false" customHeight="false" outlineLevel="0" collapsed="false">
      <c r="A15" s="5" t="s">
        <v>55</v>
      </c>
      <c r="B15" s="10" t="n">
        <f aca="false">IFERROR(__xludf.DUMMYFUNCTION("""COMPUTED_VALUE"""),249.875543742406)</f>
        <v>249.875543742406</v>
      </c>
      <c r="C15" s="10" t="n">
        <f aca="false">IFERROR(__xludf.DUMMYFUNCTION("""COMPUTED_VALUE"""),941.120636700713)</f>
        <v>941.120636700713</v>
      </c>
      <c r="D15" s="10" t="n">
        <f aca="false">IFERROR(__xludf.DUMMYFUNCTION("""COMPUTED_VALUE"""),2193.23472899626)</f>
        <v>2193.23472899626</v>
      </c>
      <c r="E15" s="10" t="n">
        <f aca="false">IFERROR(__xludf.DUMMYFUNCTION("""COMPUTED_VALUE"""),4192.86810394653)</f>
        <v>4192.86810394653</v>
      </c>
      <c r="F15" s="10" t="n">
        <f aca="false">IFERROR(__xludf.DUMMYFUNCTION("""COMPUTED_VALUE"""),6055.43584879139)</f>
        <v>6055.43584879139</v>
      </c>
      <c r="G15" s="10" t="n">
        <f aca="false">IFERROR(__xludf.DUMMYFUNCTION("""COMPUTED_VALUE"""),8048.79036235787)</f>
        <v>8048.79036235787</v>
      </c>
      <c r="H15" s="10" t="n">
        <f aca="false">IFERROR(__xludf.DUMMYFUNCTION("""COMPUTED_VALUE"""),9840.78414158944)</f>
        <v>9840.78414158944</v>
      </c>
      <c r="I15" s="10" t="n">
        <f aca="false">IFERROR(__xludf.DUMMYFUNCTION("""COMPUTED_VALUE"""),10878.1276496269)</f>
        <v>10878.1276496269</v>
      </c>
      <c r="J15" s="10" t="n">
        <f aca="false">IFERROR(__xludf.DUMMYFUNCTION("""COMPUTED_VALUE"""),11734.6392764024)</f>
        <v>11734.6392764024</v>
      </c>
      <c r="K15" s="10" t="n">
        <f aca="false">IFERROR(__xludf.DUMMYFUNCTION("""COMPUTED_VALUE"""),12606.7299522508)</f>
        <v>12606.7299522508</v>
      </c>
    </row>
    <row r="16" customFormat="false" ht="15" hidden="false" customHeight="false" outlineLevel="0" collapsed="false">
      <c r="A16" s="5" t="s">
        <v>56</v>
      </c>
      <c r="B16" s="10" t="n">
        <f aca="false">IFERROR(__xludf.DUMMYFUNCTION("""COMPUTED_VALUE"""),69.4098734158127)</f>
        <v>69.4098734158127</v>
      </c>
      <c r="C16" s="10" t="n">
        <f aca="false">IFERROR(__xludf.DUMMYFUNCTION("""COMPUTED_VALUE"""),356.90574527503)</f>
        <v>356.90574527503</v>
      </c>
      <c r="D16" s="10" t="n">
        <f aca="false">IFERROR(__xludf.DUMMYFUNCTION("""COMPUTED_VALUE"""),762.812169043744)</f>
        <v>762.812169043744</v>
      </c>
      <c r="E16" s="10" t="n">
        <f aca="false">IFERROR(__xludf.DUMMYFUNCTION("""COMPUTED_VALUE"""),1364.27618824758)</f>
        <v>1364.27618824758</v>
      </c>
      <c r="F16" s="10" t="n">
        <f aca="false">IFERROR(__xludf.DUMMYFUNCTION("""COMPUTED_VALUE"""),1965.91536471038)</f>
        <v>1965.91536471038</v>
      </c>
      <c r="G16" s="10" t="n">
        <f aca="false">IFERROR(__xludf.DUMMYFUNCTION("""COMPUTED_VALUE"""),2619.25279516781)</f>
        <v>2619.25279516781</v>
      </c>
      <c r="H16" s="10" t="n">
        <f aca="false">IFERROR(__xludf.DUMMYFUNCTION("""COMPUTED_VALUE"""),3246.10597084992)</f>
        <v>3246.10597084992</v>
      </c>
      <c r="I16" s="10" t="n">
        <f aca="false">IFERROR(__xludf.DUMMYFUNCTION("""COMPUTED_VALUE"""),3664.5214632698)</f>
        <v>3664.5214632698</v>
      </c>
      <c r="J16" s="10" t="n">
        <f aca="false">IFERROR(__xludf.DUMMYFUNCTION("""COMPUTED_VALUE"""),3984.61714411598)</f>
        <v>3984.61714411598</v>
      </c>
      <c r="K16" s="10" t="n">
        <f aca="false">IFERROR(__xludf.DUMMYFUNCTION("""COMPUTED_VALUE"""),4308.38387982745)</f>
        <v>4308.38387982745</v>
      </c>
    </row>
    <row r="17" customFormat="false" ht="15" hidden="false" customHeight="false" outlineLevel="0" collapsed="false">
      <c r="A17" s="5" t="s">
        <v>57</v>
      </c>
      <c r="B17" s="10" t="n">
        <f aca="false">IFERROR(__xludf.DUMMYFUNCTION("""COMPUTED_VALUE"""),10.0959817389872)</f>
        <v>10.0959817389872</v>
      </c>
      <c r="C17" s="10" t="n">
        <f aca="false">IFERROR(__xludf.DUMMYFUNCTION("""COMPUTED_VALUE"""),62.1478673886256)</f>
        <v>62.1478673886256</v>
      </c>
      <c r="D17" s="10" t="n">
        <f aca="false">IFERROR(__xludf.DUMMYFUNCTION("""COMPUTED_VALUE"""),128.01312253933)</f>
        <v>128.01312253933</v>
      </c>
      <c r="E17" s="10" t="n">
        <f aca="false">IFERROR(__xludf.DUMMYFUNCTION("""COMPUTED_VALUE"""),222.204562382906)</f>
        <v>222.204562382906</v>
      </c>
      <c r="F17" s="10" t="n">
        <f aca="false">IFERROR(__xludf.DUMMYFUNCTION("""COMPUTED_VALUE"""),318.575909152296)</f>
        <v>318.575909152296</v>
      </c>
      <c r="G17" s="10" t="n">
        <f aca="false">IFERROR(__xludf.DUMMYFUNCTION("""COMPUTED_VALUE"""),418.299537906318)</f>
        <v>418.299537906318</v>
      </c>
      <c r="H17" s="10" t="n">
        <f aca="false">IFERROR(__xludf.DUMMYFUNCTION("""COMPUTED_VALUE"""),523.937332056768)</f>
        <v>523.937332056768</v>
      </c>
      <c r="I17" s="10" t="n">
        <f aca="false">IFERROR(__xludf.DUMMYFUNCTION("""COMPUTED_VALUE"""),594.575289802447)</f>
        <v>594.575289802447</v>
      </c>
      <c r="J17" s="10" t="n">
        <f aca="false">IFERROR(__xludf.DUMMYFUNCTION("""COMPUTED_VALUE"""),649.728423023799)</f>
        <v>649.728423023799</v>
      </c>
      <c r="K17" s="10" t="n">
        <f aca="false">IFERROR(__xludf.DUMMYFUNCTION("""COMPUTED_VALUE"""),705.316446113659)</f>
        <v>705.316446113659</v>
      </c>
    </row>
    <row r="18" customFormat="false" ht="15" hidden="false" customHeight="false" outlineLevel="0" collapsed="false">
      <c r="A18" s="5" t="s">
        <v>58</v>
      </c>
      <c r="B18" s="10" t="n">
        <f aca="false">IFERROR(__xludf.DUMMYFUNCTION("""COMPUTED_VALUE"""),3.78599294417531)</f>
        <v>3.78599294417531</v>
      </c>
      <c r="C18" s="10" t="n">
        <f aca="false">IFERROR(__xludf.DUMMYFUNCTION("""COMPUTED_VALUE"""),26.1029697754505)</f>
        <v>26.1029697754505</v>
      </c>
      <c r="D18" s="10" t="n">
        <f aca="false">IFERROR(__xludf.DUMMYFUNCTION("""COMPUTED_VALUE"""),49.2910799264256)</f>
        <v>49.2910799264256</v>
      </c>
      <c r="E18" s="10" t="n">
        <f aca="false">IFERROR(__xludf.DUMMYFUNCTION("""COMPUTED_VALUE"""),82.2237332869456)</f>
        <v>82.2237332869456</v>
      </c>
      <c r="F18" s="10" t="n">
        <f aca="false">IFERROR(__xludf.DUMMYFUNCTION("""COMPUTED_VALUE"""),113.801897325038)</f>
        <v>113.801897325038</v>
      </c>
      <c r="G18" s="10" t="n">
        <f aca="false">IFERROR(__xludf.DUMMYFUNCTION("""COMPUTED_VALUE"""),141.826821425121)</f>
        <v>141.826821425121</v>
      </c>
      <c r="H18" s="10" t="n">
        <f aca="false">IFERROR(__xludf.DUMMYFUNCTION("""COMPUTED_VALUE"""),182.114209267126)</f>
        <v>182.114209267126</v>
      </c>
      <c r="I18" s="10" t="n">
        <f aca="false">IFERROR(__xludf.DUMMYFUNCTION("""COMPUTED_VALUE"""),203.457767731223)</f>
        <v>203.457767731223</v>
      </c>
      <c r="J18" s="10" t="n">
        <f aca="false">IFERROR(__xludf.DUMMYFUNCTION("""COMPUTED_VALUE"""),222.740435286546)</f>
        <v>222.740435286546</v>
      </c>
      <c r="K18" s="10" t="n">
        <f aca="false">IFERROR(__xludf.DUMMYFUNCTION("""COMPUTED_VALUE"""),242.151440335721)</f>
        <v>242.151440335721</v>
      </c>
    </row>
    <row r="19" customFormat="false" ht="15" hidden="false" customHeight="false" outlineLevel="0" collapsed="false">
      <c r="A19" s="5" t="s">
        <v>59</v>
      </c>
      <c r="B19" s="10" t="n">
        <f aca="false">IFERROR(__xludf.DUMMYFUNCTION("""COMPUTED_VALUE"""),9.78048218834269)</f>
        <v>9.78048218834269</v>
      </c>
      <c r="C19" s="10" t="n">
        <f aca="false">IFERROR(__xludf.DUMMYFUNCTION("""COMPUTED_VALUE"""),47.6819429404605)</f>
        <v>47.6819429404605</v>
      </c>
      <c r="D19" s="10" t="n">
        <f aca="false">IFERROR(__xludf.DUMMYFUNCTION("""COMPUTED_VALUE"""),103.622863501196)</f>
        <v>103.622863501196</v>
      </c>
      <c r="E19" s="10" t="n">
        <f aca="false">IFERROR(__xludf.DUMMYFUNCTION("""COMPUTED_VALUE"""),186.642261634937)</f>
        <v>186.642261634937</v>
      </c>
      <c r="F19" s="10" t="n">
        <f aca="false">IFERROR(__xludf.DUMMYFUNCTION("""COMPUTED_VALUE"""),268.461081835939)</f>
        <v>268.461081835939</v>
      </c>
      <c r="G19" s="10" t="n">
        <f aca="false">IFERROR(__xludf.DUMMYFUNCTION("""COMPUTED_VALUE"""),356.678399945357)</f>
        <v>356.678399945357</v>
      </c>
      <c r="H19" s="10" t="n">
        <f aca="false">IFERROR(__xludf.DUMMYFUNCTION("""COMPUTED_VALUE"""),439.419042669912)</f>
        <v>439.419042669912</v>
      </c>
      <c r="I19" s="10" t="n">
        <f aca="false">IFERROR(__xludf.DUMMYFUNCTION("""COMPUTED_VALUE"""),493.343849790791)</f>
        <v>493.343849790791</v>
      </c>
      <c r="J19" s="10" t="n">
        <f aca="false">IFERROR(__xludf.DUMMYFUNCTION("""COMPUTED_VALUE"""),535.284064674469)</f>
        <v>535.284064674469</v>
      </c>
      <c r="K19" s="10" t="n">
        <f aca="false">IFERROR(__xludf.DUMMYFUNCTION("""COMPUTED_VALUE"""),577.776131502584)</f>
        <v>577.776131502584</v>
      </c>
    </row>
    <row r="20" customFormat="false" ht="15" hidden="false" customHeight="false" outlineLevel="0" collapsed="false">
      <c r="A20" s="5" t="s">
        <v>60</v>
      </c>
      <c r="B20" s="10" t="n">
        <f aca="false">IFERROR(__xludf.DUMMYFUNCTION("""COMPUTED_VALUE"""),21.5170604816421)</f>
        <v>21.5170604816421</v>
      </c>
      <c r="C20" s="10" t="n">
        <f aca="false">IFERROR(__xludf.DUMMYFUNCTION("""COMPUTED_VALUE"""),104.900275134437)</f>
        <v>104.900275134437</v>
      </c>
      <c r="D20" s="10" t="n">
        <f aca="false">IFERROR(__xludf.DUMMYFUNCTION("""COMPUTED_VALUE"""),227.970300035343)</f>
        <v>227.970300035343</v>
      </c>
      <c r="E20" s="10" t="n">
        <f aca="false">IFERROR(__xludf.DUMMYFUNCTION("""COMPUTED_VALUE"""),410.612975485956)</f>
        <v>410.612975485956</v>
      </c>
      <c r="F20" s="10" t="n">
        <f aca="false">IFERROR(__xludf.DUMMYFUNCTION("""COMPUTED_VALUE"""),590.614379706353)</f>
        <v>590.614379706353</v>
      </c>
      <c r="G20" s="10" t="n">
        <f aca="false">IFERROR(__xludf.DUMMYFUNCTION("""COMPUTED_VALUE"""),784.692480434306)</f>
        <v>784.692480434306</v>
      </c>
      <c r="H20" s="10" t="n">
        <f aca="false">IFERROR(__xludf.DUMMYFUNCTION("""COMPUTED_VALUE"""),966.721894206519)</f>
        <v>966.721894206519</v>
      </c>
      <c r="I20" s="10" t="n">
        <f aca="false">IFERROR(__xludf.DUMMYFUNCTION("""COMPUTED_VALUE"""),1085.35646931793)</f>
        <v>1085.35646931793</v>
      </c>
      <c r="J20" s="10" t="n">
        <f aca="false">IFERROR(__xludf.DUMMYFUNCTION("""COMPUTED_VALUE"""),1177.62494172931)</f>
        <v>1177.62494172931</v>
      </c>
      <c r="K20" s="10" t="n">
        <f aca="false">IFERROR(__xludf.DUMMYFUNCTION("""COMPUTED_VALUE"""),1271.10748852936)</f>
        <v>1271.10748852936</v>
      </c>
    </row>
    <row r="21" customFormat="false" ht="15" hidden="false" customHeight="false" outlineLevel="0" collapsed="false">
      <c r="A21" s="5" t="s">
        <v>61</v>
      </c>
      <c r="B21" s="10" t="n">
        <f aca="false">IFERROR(__xludf.DUMMYFUNCTION("""COMPUTED_VALUE"""),4.69463120641581)</f>
        <v>4.69463120641581</v>
      </c>
      <c r="C21" s="10" t="n">
        <f aca="false">IFERROR(__xludf.DUMMYFUNCTION("""COMPUTED_VALUE"""),22.8873325448787)</f>
        <v>22.8873325448787</v>
      </c>
      <c r="D21" s="10" t="n">
        <f aca="false">IFERROR(__xludf.DUMMYFUNCTION("""COMPUTED_VALUE"""),49.7389743918509)</f>
        <v>49.7389743918509</v>
      </c>
      <c r="E21" s="10" t="n">
        <f aca="false">IFERROR(__xludf.DUMMYFUNCTION("""COMPUTED_VALUE"""),89.588285540408)</f>
        <v>89.588285540408</v>
      </c>
      <c r="F21" s="10" t="n">
        <f aca="false">IFERROR(__xludf.DUMMYFUNCTION("""COMPUTED_VALUE"""),128.86131925907)</f>
        <v>128.86131925907</v>
      </c>
      <c r="G21" s="10" t="n">
        <f aca="false">IFERROR(__xludf.DUMMYFUNCTION("""COMPUTED_VALUE"""),171.205632084676)</f>
        <v>171.205632084676</v>
      </c>
      <c r="H21" s="10" t="n">
        <f aca="false">IFERROR(__xludf.DUMMYFUNCTION("""COMPUTED_VALUE"""),210.921140392835)</f>
        <v>210.921140392835</v>
      </c>
      <c r="I21" s="10" t="n">
        <f aca="false">IFERROR(__xludf.DUMMYFUNCTION("""COMPUTED_VALUE"""),236.805047699952)</f>
        <v>236.805047699952</v>
      </c>
      <c r="J21" s="10" t="n">
        <f aca="false">IFERROR(__xludf.DUMMYFUNCTION("""COMPUTED_VALUE"""),256.936351154649)</f>
        <v>256.936351154649</v>
      </c>
      <c r="K21" s="10" t="n">
        <f aca="false">IFERROR(__xludf.DUMMYFUNCTION("""COMPUTED_VALUE"""),277.332543143421)</f>
        <v>277.332543143421</v>
      </c>
    </row>
    <row r="22" customFormat="false" ht="15" hidden="false" customHeight="false" outlineLevel="0" collapsed="false">
      <c r="A22" s="5" t="s">
        <v>62</v>
      </c>
      <c r="B22" s="10" t="n">
        <f aca="false">IFERROR(__xludf.DUMMYFUNCTION("""COMPUTED_VALUE"""),3.12975432245045)</f>
        <v>3.12975432245045</v>
      </c>
      <c r="C22" s="10" t="n">
        <f aca="false">IFERROR(__xludf.DUMMYFUNCTION("""COMPUTED_VALUE"""),15.2582216965858)</f>
        <v>15.2582216965858</v>
      </c>
      <c r="D22" s="10" t="n">
        <f aca="false">IFERROR(__xludf.DUMMYFUNCTION("""COMPUTED_VALUE"""),33.1593166309138)</f>
        <v>33.1593166309138</v>
      </c>
      <c r="E22" s="10" t="n">
        <f aca="false">IFERROR(__xludf.DUMMYFUNCTION("""COMPUTED_VALUE"""),59.7255238784452)</f>
        <v>59.7255238784452</v>
      </c>
      <c r="F22" s="10" t="n">
        <f aca="false">IFERROR(__xludf.DUMMYFUNCTION("""COMPUTED_VALUE"""),85.9075459878733)</f>
        <v>85.9075459878733</v>
      </c>
      <c r="G22" s="10" t="n">
        <f aca="false">IFERROR(__xludf.DUMMYFUNCTION("""COMPUTED_VALUE"""),114.13708787161)</f>
        <v>114.13708787161</v>
      </c>
      <c r="H22" s="10" t="n">
        <f aca="false">IFERROR(__xludf.DUMMYFUNCTION("""COMPUTED_VALUE"""),140.614093964903)</f>
        <v>140.614093964903</v>
      </c>
      <c r="I22" s="10" t="n">
        <f aca="false">IFERROR(__xludf.DUMMYFUNCTION("""COMPUTED_VALUE"""),157.870031799968)</f>
        <v>157.870031799968</v>
      </c>
      <c r="J22" s="10" t="n">
        <f aca="false">IFERROR(__xludf.DUMMYFUNCTION("""COMPUTED_VALUE"""),171.290900584926)</f>
        <v>171.290900584926</v>
      </c>
      <c r="K22" s="10" t="n">
        <f aca="false">IFERROR(__xludf.DUMMYFUNCTION("""COMPUTED_VALUE"""),184.888361725934)</f>
        <v>184.888361725934</v>
      </c>
    </row>
    <row r="24" customFormat="false" ht="35.05" hidden="false" customHeight="false" outlineLevel="0" collapsed="false">
      <c r="A24" s="3" t="s">
        <v>63</v>
      </c>
      <c r="B24" s="3" t="s">
        <v>64</v>
      </c>
      <c r="C24" s="3" t="s">
        <v>65</v>
      </c>
      <c r="D24" s="3" t="s">
        <v>66</v>
      </c>
      <c r="E24" s="3" t="s">
        <v>67</v>
      </c>
      <c r="F24" s="3" t="s">
        <v>68</v>
      </c>
      <c r="G24" s="3" t="s">
        <v>69</v>
      </c>
      <c r="H24" s="3" t="s">
        <v>70</v>
      </c>
      <c r="I24" s="3" t="s">
        <v>71</v>
      </c>
      <c r="J24" s="3" t="s">
        <v>72</v>
      </c>
      <c r="K24" s="3" t="s">
        <v>73</v>
      </c>
      <c r="L24" s="3" t="s">
        <v>74</v>
      </c>
      <c r="M24" s="3" t="s">
        <v>75</v>
      </c>
      <c r="N24" s="3" t="s">
        <v>76</v>
      </c>
      <c r="O24" s="3" t="s">
        <v>77</v>
      </c>
      <c r="P24" s="3" t="s">
        <v>78</v>
      </c>
    </row>
    <row r="25" customFormat="false" ht="15" hidden="false" customHeight="false" outlineLevel="0" collapsed="false">
      <c r="A25" s="5" t="s">
        <v>46</v>
      </c>
      <c r="B25" s="10" t="n">
        <f aca="false">IFERROR(__xludf.DUMMYFUNCTION("IMPORTRANGE(Links!$B$4,""PROY_Indexado!B97:H113"")"),2251135)</f>
        <v>2251135</v>
      </c>
      <c r="C25" s="10" t="n">
        <f aca="false">IFERROR(__xludf.DUMMYFUNCTION("""COMPUTED_VALUE"""),0)</f>
        <v>0</v>
      </c>
      <c r="D25" s="10" t="n">
        <f aca="false">IFERROR(__xludf.DUMMYFUNCTION("""COMPUTED_VALUE"""),0)</f>
        <v>0</v>
      </c>
      <c r="E25" s="10" t="n">
        <f aca="false">IFERROR(__xludf.DUMMYFUNCTION("""COMPUTED_VALUE"""),3578.5)</f>
        <v>3578.5</v>
      </c>
      <c r="F25" s="10" t="n">
        <f aca="false">IFERROR(__xludf.DUMMYFUNCTION("""COMPUTED_VALUE"""),0)</f>
        <v>0</v>
      </c>
      <c r="G25" s="10" t="n">
        <f aca="false">IFERROR(__xludf.DUMMYFUNCTION("""COMPUTED_VALUE"""),0)</f>
        <v>0</v>
      </c>
      <c r="H25" s="10" t="n">
        <f aca="false">IFERROR(__xludf.DUMMYFUNCTION("""COMPUTED_VALUE"""),530)</f>
        <v>530</v>
      </c>
      <c r="I25" s="7" t="n">
        <f aca="false">SUM(B25:H25)</f>
        <v>2255243.5</v>
      </c>
      <c r="J25" s="11" t="n">
        <f aca="false">IF($I25=0,0,B25/$I25)</f>
        <v>0.998178245497659</v>
      </c>
      <c r="K25" s="11" t="n">
        <f aca="false">IF($I25=0,0,C25/$I25)</f>
        <v>0</v>
      </c>
      <c r="L25" s="11" t="n">
        <f aca="false">IF($I25=0,0,D25/$I25)</f>
        <v>0</v>
      </c>
      <c r="M25" s="11" t="n">
        <f aca="false">IF($I25=0,0,E25/$I25)</f>
        <v>0.00158674661960006</v>
      </c>
      <c r="N25" s="11" t="n">
        <f aca="false">IF($I25=0,0,F25/$I25)</f>
        <v>0</v>
      </c>
      <c r="O25" s="11" t="n">
        <f aca="false">IF($I25=0,0,G25/$I25)</f>
        <v>0</v>
      </c>
      <c r="P25" s="11" t="n">
        <f aca="false">IF($I25=0,0,H25/$I25)</f>
        <v>0.000235007882740822</v>
      </c>
    </row>
    <row r="26" customFormat="false" ht="15" hidden="false" customHeight="false" outlineLevel="0" collapsed="false">
      <c r="A26" s="5" t="s">
        <v>47</v>
      </c>
      <c r="B26" s="10" t="n">
        <f aca="false">IFERROR(__xludf.DUMMYFUNCTION("""COMPUTED_VALUE"""),0)</f>
        <v>0</v>
      </c>
      <c r="C26" s="10" t="n">
        <f aca="false">IFERROR(__xludf.DUMMYFUNCTION("""COMPUTED_VALUE"""),100435.9)</f>
        <v>100435.9</v>
      </c>
      <c r="D26" s="10" t="n">
        <f aca="false">IFERROR(__xludf.DUMMYFUNCTION("""COMPUTED_VALUE"""),14173.8)</f>
        <v>14173.8</v>
      </c>
      <c r="E26" s="10" t="n">
        <f aca="false">IFERROR(__xludf.DUMMYFUNCTION("""COMPUTED_VALUE"""),45655.1)</f>
        <v>45655.1</v>
      </c>
      <c r="F26" s="10" t="n">
        <f aca="false">IFERROR(__xludf.DUMMYFUNCTION("""COMPUTED_VALUE"""),0)</f>
        <v>0</v>
      </c>
      <c r="G26" s="10" t="n">
        <f aca="false">IFERROR(__xludf.DUMMYFUNCTION("""COMPUTED_VALUE"""),7336.9)</f>
        <v>7336.9</v>
      </c>
      <c r="H26" s="10" t="n">
        <f aca="false">IFERROR(__xludf.DUMMYFUNCTION("""COMPUTED_VALUE"""),6153)</f>
        <v>6153</v>
      </c>
      <c r="I26" s="7" t="n">
        <f aca="false">SUM(B26:H26)</f>
        <v>173754.7</v>
      </c>
      <c r="J26" s="11" t="n">
        <f aca="false">IF($I26=0,0,B26/$I26)</f>
        <v>0</v>
      </c>
      <c r="K26" s="11" t="n">
        <f aca="false">IF($I26=0,0,C26/$I26)</f>
        <v>0.578032709331028</v>
      </c>
      <c r="L26" s="11" t="n">
        <f aca="false">IF($I26=0,0,D26/$I26)</f>
        <v>0.0815736207423454</v>
      </c>
      <c r="M26" s="11" t="n">
        <f aca="false">IF($I26=0,0,E26/$I26)</f>
        <v>0.262756057821745</v>
      </c>
      <c r="N26" s="11" t="n">
        <f aca="false">IF($I26=0,0,F26/$I26)</f>
        <v>0</v>
      </c>
      <c r="O26" s="11" t="n">
        <f aca="false">IF($I26=0,0,G26/$I26)</f>
        <v>0.0422256203717079</v>
      </c>
      <c r="P26" s="11" t="n">
        <f aca="false">IF($I26=0,0,H26/$I26)</f>
        <v>0.0354119917331733</v>
      </c>
    </row>
    <row r="27" customFormat="false" ht="15" hidden="false" customHeight="false" outlineLevel="0" collapsed="false">
      <c r="A27" s="5" t="s">
        <v>48</v>
      </c>
      <c r="B27" s="10" t="n">
        <f aca="false">IFERROR(__xludf.DUMMYFUNCTION("""COMPUTED_VALUE"""),69628)</f>
        <v>69628</v>
      </c>
      <c r="C27" s="10" t="n">
        <f aca="false">IFERROR(__xludf.DUMMYFUNCTION("""COMPUTED_VALUE"""),732591.4)</f>
        <v>732591.4</v>
      </c>
      <c r="D27" s="10" t="n">
        <f aca="false">IFERROR(__xludf.DUMMYFUNCTION("""COMPUTED_VALUE"""),52786.7)</f>
        <v>52786.7</v>
      </c>
      <c r="E27" s="10" t="n">
        <f aca="false">IFERROR(__xludf.DUMMYFUNCTION("""COMPUTED_VALUE"""),8847.8)</f>
        <v>8847.8</v>
      </c>
      <c r="F27" s="10" t="n">
        <f aca="false">IFERROR(__xludf.DUMMYFUNCTION("""COMPUTED_VALUE"""),113431.7)</f>
        <v>113431.7</v>
      </c>
      <c r="G27" s="10" t="n">
        <f aca="false">IFERROR(__xludf.DUMMYFUNCTION("""COMPUTED_VALUE"""),46903.8)</f>
        <v>46903.8</v>
      </c>
      <c r="H27" s="10" t="n">
        <f aca="false">IFERROR(__xludf.DUMMYFUNCTION("""COMPUTED_VALUE"""),5342)</f>
        <v>5342</v>
      </c>
      <c r="I27" s="7" t="n">
        <f aca="false">SUM(B27:H27)</f>
        <v>1029531.4</v>
      </c>
      <c r="J27" s="11" t="n">
        <f aca="false">IF($I27=0,0,B27/$I27)</f>
        <v>0.0676307687167191</v>
      </c>
      <c r="K27" s="11" t="n">
        <f aca="false">IF($I27=0,0,C27/$I27)</f>
        <v>0.711577519636604</v>
      </c>
      <c r="L27" s="11" t="n">
        <f aca="false">IF($I27=0,0,D27/$I27)</f>
        <v>0.0512725498221812</v>
      </c>
      <c r="M27" s="11" t="n">
        <f aca="false">IF($I27=0,0,E27/$I27)</f>
        <v>0.00859400694335306</v>
      </c>
      <c r="N27" s="11" t="n">
        <f aca="false">IF($I27=0,0,F27/$I27)</f>
        <v>0.110177989714544</v>
      </c>
      <c r="O27" s="11" t="n">
        <f aca="false">IF($I27=0,0,G27/$I27)</f>
        <v>0.0455583967618666</v>
      </c>
      <c r="P27" s="11" t="n">
        <f aca="false">IF($I27=0,0,H27/$I27)</f>
        <v>0.00518876840473248</v>
      </c>
    </row>
    <row r="28" customFormat="false" ht="15" hidden="false" customHeight="false" outlineLevel="0" collapsed="false">
      <c r="A28" s="5" t="s">
        <v>49</v>
      </c>
      <c r="B28" s="10" t="n">
        <f aca="false">IFERROR(__xludf.DUMMYFUNCTION("""COMPUTED_VALUE"""),0)</f>
        <v>0</v>
      </c>
      <c r="C28" s="10" t="n">
        <f aca="false">IFERROR(__xludf.DUMMYFUNCTION("""COMPUTED_VALUE"""),44900.8)</f>
        <v>44900.8</v>
      </c>
      <c r="D28" s="10" t="n">
        <f aca="false">IFERROR(__xludf.DUMMYFUNCTION("""COMPUTED_VALUE"""),5673.3)</f>
        <v>5673.3</v>
      </c>
      <c r="E28" s="10" t="n">
        <f aca="false">IFERROR(__xludf.DUMMYFUNCTION("""COMPUTED_VALUE"""),2123.5)</f>
        <v>2123.5</v>
      </c>
      <c r="F28" s="10" t="n">
        <f aca="false">IFERROR(__xludf.DUMMYFUNCTION("""COMPUTED_VALUE"""),0)</f>
        <v>0</v>
      </c>
      <c r="G28" s="10" t="n">
        <f aca="false">IFERROR(__xludf.DUMMYFUNCTION("""COMPUTED_VALUE"""),6270.5)</f>
        <v>6270.5</v>
      </c>
      <c r="H28" s="10" t="n">
        <f aca="false">IFERROR(__xludf.DUMMYFUNCTION("""COMPUTED_VALUE"""),0)</f>
        <v>0</v>
      </c>
      <c r="I28" s="7" t="n">
        <f aca="false">SUM(B28:H28)</f>
        <v>58968.1</v>
      </c>
      <c r="J28" s="11" t="n">
        <f aca="false">IF($I28=0,0,B28/$I28)</f>
        <v>0</v>
      </c>
      <c r="K28" s="11" t="n">
        <f aca="false">IF($I28=0,0,C28/$I28)</f>
        <v>0.761442203496467</v>
      </c>
      <c r="L28" s="11" t="n">
        <f aca="false">IF($I28=0,0,D28/$I28)</f>
        <v>0.0962096455541216</v>
      </c>
      <c r="M28" s="11" t="n">
        <f aca="false">IF($I28=0,0,E28/$I28)</f>
        <v>0.0360109957756821</v>
      </c>
      <c r="N28" s="11" t="n">
        <f aca="false">IF($I28=0,0,F28/$I28)</f>
        <v>0</v>
      </c>
      <c r="O28" s="11" t="n">
        <f aca="false">IF($I28=0,0,G28/$I28)</f>
        <v>0.10633715517373</v>
      </c>
      <c r="P28" s="11" t="n">
        <f aca="false">IF($I28=0,0,H28/$I28)</f>
        <v>0</v>
      </c>
    </row>
    <row r="29" customFormat="false" ht="15" hidden="false" customHeight="false" outlineLevel="0" collapsed="false">
      <c r="A29" s="5" t="s">
        <v>50</v>
      </c>
      <c r="B29" s="10" t="n">
        <f aca="false">IFERROR(__xludf.DUMMYFUNCTION("""COMPUTED_VALUE"""),0)</f>
        <v>0</v>
      </c>
      <c r="C29" s="10" t="n">
        <f aca="false">IFERROR(__xludf.DUMMYFUNCTION("""COMPUTED_VALUE"""),56716.8)</f>
        <v>56716.8</v>
      </c>
      <c r="D29" s="10" t="n">
        <f aca="false">IFERROR(__xludf.DUMMYFUNCTION("""COMPUTED_VALUE"""),4876.4)</f>
        <v>4876.4</v>
      </c>
      <c r="E29" s="10" t="n">
        <f aca="false">IFERROR(__xludf.DUMMYFUNCTION("""COMPUTED_VALUE"""),1415.6)</f>
        <v>1415.6</v>
      </c>
      <c r="F29" s="10" t="n">
        <f aca="false">IFERROR(__xludf.DUMMYFUNCTION("""COMPUTED_VALUE"""),12568.5)</f>
        <v>12568.5</v>
      </c>
      <c r="G29" s="10" t="n">
        <f aca="false">IFERROR(__xludf.DUMMYFUNCTION("""COMPUTED_VALUE"""),8958.8)</f>
        <v>8958.8</v>
      </c>
      <c r="H29" s="10" t="n">
        <f aca="false">IFERROR(__xludf.DUMMYFUNCTION("""COMPUTED_VALUE"""),562)</f>
        <v>562</v>
      </c>
      <c r="I29" s="7" t="n">
        <f aca="false">SUM(B29:H29)</f>
        <v>85098.1</v>
      </c>
      <c r="J29" s="11" t="n">
        <f aca="false">IF($I29=0,0,B29/$I29)</f>
        <v>0</v>
      </c>
      <c r="K29" s="11" t="n">
        <f aca="false">IF($I29=0,0,C29/$I29)</f>
        <v>0.666487265873151</v>
      </c>
      <c r="L29" s="11" t="n">
        <f aca="false">IF($I29=0,0,D29/$I29)</f>
        <v>0.0573032770414381</v>
      </c>
      <c r="M29" s="11" t="n">
        <f aca="false">IF($I29=0,0,E29/$I29)</f>
        <v>0.016634918993491</v>
      </c>
      <c r="N29" s="11" t="n">
        <f aca="false">IF($I29=0,0,F29/$I29)</f>
        <v>0.147694249342817</v>
      </c>
      <c r="O29" s="11" t="n">
        <f aca="false">IF($I29=0,0,G29/$I29)</f>
        <v>0.10527614600091</v>
      </c>
      <c r="P29" s="11" t="n">
        <f aca="false">IF($I29=0,0,H29/$I29)</f>
        <v>0.00660414274819297</v>
      </c>
    </row>
    <row r="30" customFormat="false" ht="15" hidden="false" customHeight="false" outlineLevel="0" collapsed="false">
      <c r="A30" s="5" t="s">
        <v>51</v>
      </c>
      <c r="B30" s="10" t="n">
        <f aca="false">IFERROR(__xludf.DUMMYFUNCTION("""COMPUTED_VALUE"""),0)</f>
        <v>0</v>
      </c>
      <c r="C30" s="10" t="n">
        <f aca="false">IFERROR(__xludf.DUMMYFUNCTION("""COMPUTED_VALUE"""),0)</f>
        <v>0</v>
      </c>
      <c r="D30" s="10" t="n">
        <f aca="false">IFERROR(__xludf.DUMMYFUNCTION("""COMPUTED_VALUE"""),0)</f>
        <v>0</v>
      </c>
      <c r="E30" s="10" t="n">
        <f aca="false">IFERROR(__xludf.DUMMYFUNCTION("""COMPUTED_VALUE"""),0)</f>
        <v>0</v>
      </c>
      <c r="F30" s="10" t="n">
        <f aca="false">IFERROR(__xludf.DUMMYFUNCTION("""COMPUTED_VALUE"""),15671.5)</f>
        <v>15671.5</v>
      </c>
      <c r="G30" s="10" t="n">
        <f aca="false">IFERROR(__xludf.DUMMYFUNCTION("""COMPUTED_VALUE"""),0)</f>
        <v>0</v>
      </c>
      <c r="H30" s="10" t="n">
        <f aca="false">IFERROR(__xludf.DUMMYFUNCTION("""COMPUTED_VALUE"""),0)</f>
        <v>0</v>
      </c>
      <c r="I30" s="7" t="n">
        <f aca="false">SUM(B30:H30)</f>
        <v>15671.5</v>
      </c>
      <c r="J30" s="11" t="n">
        <f aca="false">IF($I30=0,0,B30/$I30)</f>
        <v>0</v>
      </c>
      <c r="K30" s="11" t="n">
        <f aca="false">IF($I30=0,0,C30/$I30)</f>
        <v>0</v>
      </c>
      <c r="L30" s="11" t="n">
        <f aca="false">IF($I30=0,0,D30/$I30)</f>
        <v>0</v>
      </c>
      <c r="M30" s="11" t="n">
        <f aca="false">IF($I30=0,0,E30/$I30)</f>
        <v>0</v>
      </c>
      <c r="N30" s="11" t="n">
        <f aca="false">IF($I30=0,0,F30/$I30)</f>
        <v>1</v>
      </c>
      <c r="O30" s="11" t="n">
        <f aca="false">IF($I30=0,0,G30/$I30)</f>
        <v>0</v>
      </c>
      <c r="P30" s="11" t="n">
        <f aca="false">IF($I30=0,0,H30/$I30)</f>
        <v>0</v>
      </c>
    </row>
    <row r="31" customFormat="false" ht="15" hidden="false" customHeight="false" outlineLevel="0" collapsed="false">
      <c r="A31" s="5" t="s">
        <v>52</v>
      </c>
      <c r="B31" s="10" t="n">
        <f aca="false">IFERROR(__xludf.DUMMYFUNCTION("""COMPUTED_VALUE"""),0)</f>
        <v>0</v>
      </c>
      <c r="C31" s="10" t="n">
        <f aca="false">IFERROR(__xludf.DUMMYFUNCTION("""COMPUTED_VALUE"""),0)</f>
        <v>0</v>
      </c>
      <c r="D31" s="10" t="n">
        <f aca="false">IFERROR(__xludf.DUMMYFUNCTION("""COMPUTED_VALUE"""),0)</f>
        <v>0</v>
      </c>
      <c r="E31" s="10" t="n">
        <f aca="false">IFERROR(__xludf.DUMMYFUNCTION("""COMPUTED_VALUE"""),0)</f>
        <v>0</v>
      </c>
      <c r="F31" s="10" t="n">
        <f aca="false">IFERROR(__xludf.DUMMYFUNCTION("""COMPUTED_VALUE"""),9151.4)</f>
        <v>9151.4</v>
      </c>
      <c r="G31" s="10" t="n">
        <f aca="false">IFERROR(__xludf.DUMMYFUNCTION("""COMPUTED_VALUE"""),0)</f>
        <v>0</v>
      </c>
      <c r="H31" s="10" t="n">
        <f aca="false">IFERROR(__xludf.DUMMYFUNCTION("""COMPUTED_VALUE"""),0)</f>
        <v>0</v>
      </c>
      <c r="I31" s="7" t="n">
        <f aca="false">SUM(B31:H31)</f>
        <v>9151.4</v>
      </c>
      <c r="J31" s="11" t="n">
        <f aca="false">IF($I31=0,0,B31/$I31)</f>
        <v>0</v>
      </c>
      <c r="K31" s="11" t="n">
        <f aca="false">IF($I31=0,0,C31/$I31)</f>
        <v>0</v>
      </c>
      <c r="L31" s="11" t="n">
        <f aca="false">IF($I31=0,0,D31/$I31)</f>
        <v>0</v>
      </c>
      <c r="M31" s="11" t="n">
        <f aca="false">IF($I31=0,0,E31/$I31)</f>
        <v>0</v>
      </c>
      <c r="N31" s="11" t="n">
        <f aca="false">IF($I31=0,0,F31/$I31)</f>
        <v>1</v>
      </c>
      <c r="O31" s="11" t="n">
        <f aca="false">IF($I31=0,0,G31/$I31)</f>
        <v>0</v>
      </c>
      <c r="P31" s="11" t="n">
        <f aca="false">IF($I31=0,0,H31/$I31)</f>
        <v>0</v>
      </c>
    </row>
    <row r="32" customFormat="false" ht="15" hidden="false" customHeight="false" outlineLevel="0" collapsed="false">
      <c r="A32" s="5" t="s">
        <v>53</v>
      </c>
      <c r="B32" s="10" t="n">
        <f aca="false">IFERROR(__xludf.DUMMYFUNCTION("""COMPUTED_VALUE"""),0)</f>
        <v>0</v>
      </c>
      <c r="C32" s="10" t="n">
        <f aca="false">IFERROR(__xludf.DUMMYFUNCTION("""COMPUTED_VALUE"""),0)</f>
        <v>0</v>
      </c>
      <c r="D32" s="10" t="n">
        <f aca="false">IFERROR(__xludf.DUMMYFUNCTION("""COMPUTED_VALUE"""),0)</f>
        <v>0</v>
      </c>
      <c r="E32" s="10" t="n">
        <f aca="false">IFERROR(__xludf.DUMMYFUNCTION("""COMPUTED_VALUE"""),0)</f>
        <v>0</v>
      </c>
      <c r="F32" s="10" t="n">
        <f aca="false">IFERROR(__xludf.DUMMYFUNCTION("""COMPUTED_VALUE"""),4634.7)</f>
        <v>4634.7</v>
      </c>
      <c r="G32" s="10" t="n">
        <f aca="false">IFERROR(__xludf.DUMMYFUNCTION("""COMPUTED_VALUE"""),0)</f>
        <v>0</v>
      </c>
      <c r="H32" s="10" t="n">
        <f aca="false">IFERROR(__xludf.DUMMYFUNCTION("""COMPUTED_VALUE"""),0)</f>
        <v>0</v>
      </c>
      <c r="I32" s="7" t="n">
        <f aca="false">SUM(B32:H32)</f>
        <v>4634.7</v>
      </c>
      <c r="J32" s="11" t="n">
        <f aca="false">IF($I32=0,0,B32/$I32)</f>
        <v>0</v>
      </c>
      <c r="K32" s="11" t="n">
        <f aca="false">IF($I32=0,0,C32/$I32)</f>
        <v>0</v>
      </c>
      <c r="L32" s="11" t="n">
        <f aca="false">IF($I32=0,0,D32/$I32)</f>
        <v>0</v>
      </c>
      <c r="M32" s="11" t="n">
        <f aca="false">IF($I32=0,0,E32/$I32)</f>
        <v>0</v>
      </c>
      <c r="N32" s="11" t="n">
        <f aca="false">IF($I32=0,0,F32/$I32)</f>
        <v>1</v>
      </c>
      <c r="O32" s="11" t="n">
        <f aca="false">IF($I32=0,0,G32/$I32)</f>
        <v>0</v>
      </c>
      <c r="P32" s="11" t="n">
        <f aca="false">IF($I32=0,0,H32/$I32)</f>
        <v>0</v>
      </c>
    </row>
    <row r="33" customFormat="false" ht="15" hidden="false" customHeight="false" outlineLevel="0" collapsed="false">
      <c r="A33" s="5" t="s">
        <v>54</v>
      </c>
      <c r="B33" s="10" t="n">
        <f aca="false">IFERROR(__xludf.DUMMYFUNCTION("""COMPUTED_VALUE"""),0)</f>
        <v>0</v>
      </c>
      <c r="C33" s="10" t="n">
        <f aca="false">IFERROR(__xludf.DUMMYFUNCTION("""COMPUTED_VALUE"""),20087.2)</f>
        <v>20087.2</v>
      </c>
      <c r="D33" s="10" t="n">
        <f aca="false">IFERROR(__xludf.DUMMYFUNCTION("""COMPUTED_VALUE"""),4459)</f>
        <v>4459</v>
      </c>
      <c r="E33" s="10" t="n">
        <f aca="false">IFERROR(__xludf.DUMMYFUNCTION("""COMPUTED_VALUE"""),3539.1)</f>
        <v>3539.1</v>
      </c>
      <c r="F33" s="10" t="n">
        <f aca="false">IFERROR(__xludf.DUMMYFUNCTION("""COMPUTED_VALUE"""),8169.7)</f>
        <v>8169.7</v>
      </c>
      <c r="G33" s="10" t="n">
        <f aca="false">IFERROR(__xludf.DUMMYFUNCTION("""COMPUTED_VALUE"""),2804.4)</f>
        <v>2804.4</v>
      </c>
      <c r="H33" s="10" t="n">
        <f aca="false">IFERROR(__xludf.DUMMYFUNCTION("""COMPUTED_VALUE"""),0)</f>
        <v>0</v>
      </c>
      <c r="I33" s="7" t="n">
        <f aca="false">SUM(B33:H33)</f>
        <v>39059.4</v>
      </c>
      <c r="J33" s="11" t="n">
        <f aca="false">IF($I33=0,0,B33/$I33)</f>
        <v>0</v>
      </c>
      <c r="K33" s="11" t="n">
        <f aca="false">IF($I33=0,0,C33/$I33)</f>
        <v>0.514273132715812</v>
      </c>
      <c r="L33" s="11" t="n">
        <f aca="false">IF($I33=0,0,D33/$I33)</f>
        <v>0.114159459694721</v>
      </c>
      <c r="M33" s="11" t="n">
        <f aca="false">IF($I33=0,0,E33/$I33)</f>
        <v>0.0906081506628366</v>
      </c>
      <c r="N33" s="11" t="n">
        <f aca="false">IF($I33=0,0,F33/$I33)</f>
        <v>0.209160919010533</v>
      </c>
      <c r="O33" s="11" t="n">
        <f aca="false">IF($I33=0,0,G33/$I33)</f>
        <v>0.071798337916097</v>
      </c>
      <c r="P33" s="11" t="n">
        <f aca="false">IF($I33=0,0,H33/$I33)</f>
        <v>0</v>
      </c>
    </row>
    <row r="34" customFormat="false" ht="15" hidden="false" customHeight="false" outlineLevel="0" collapsed="false">
      <c r="A34" s="5" t="s">
        <v>55</v>
      </c>
      <c r="B34" s="10" t="n">
        <f aca="false">IFERROR(__xludf.DUMMYFUNCTION("""COMPUTED_VALUE"""),0)</f>
        <v>0</v>
      </c>
      <c r="C34" s="10" t="n">
        <f aca="false">IFERROR(__xludf.DUMMYFUNCTION("""COMPUTED_VALUE"""),183147.8)</f>
        <v>183147.8</v>
      </c>
      <c r="D34" s="10" t="n">
        <f aca="false">IFERROR(__xludf.DUMMYFUNCTION("""COMPUTED_VALUE"""),19050.2)</f>
        <v>19050.2</v>
      </c>
      <c r="E34" s="10" t="n">
        <f aca="false">IFERROR(__xludf.DUMMYFUNCTION("""COMPUTED_VALUE"""),3539.1)</f>
        <v>3539.1</v>
      </c>
      <c r="F34" s="10" t="n">
        <f aca="false">IFERROR(__xludf.DUMMYFUNCTION("""COMPUTED_VALUE"""),6402.2)</f>
        <v>6402.2</v>
      </c>
      <c r="G34" s="10" t="n">
        <f aca="false">IFERROR(__xludf.DUMMYFUNCTION("""COMPUTED_VALUE"""),10549.9)</f>
        <v>10549.9</v>
      </c>
      <c r="H34" s="10" t="n">
        <f aca="false">IFERROR(__xludf.DUMMYFUNCTION("""COMPUTED_VALUE"""),0)</f>
        <v>0</v>
      </c>
      <c r="I34" s="7" t="n">
        <f aca="false">SUM(B34:H34)</f>
        <v>222689.2</v>
      </c>
      <c r="J34" s="11" t="n">
        <f aca="false">IF($I34=0,0,B34/$I34)</f>
        <v>0</v>
      </c>
      <c r="K34" s="11" t="n">
        <f aca="false">IF($I34=0,0,C34/$I34)</f>
        <v>0.822436831242826</v>
      </c>
      <c r="L34" s="11" t="n">
        <f aca="false">IF($I34=0,0,D34/$I34)</f>
        <v>0.085546133355367</v>
      </c>
      <c r="M34" s="11" t="n">
        <f aca="false">IF($I34=0,0,E34/$I34)</f>
        <v>0.0158925533883098</v>
      </c>
      <c r="N34" s="11" t="n">
        <f aca="false">IF($I34=0,0,F34/$I34)</f>
        <v>0.0287494858304758</v>
      </c>
      <c r="O34" s="11" t="n">
        <f aca="false">IF($I34=0,0,G34/$I34)</f>
        <v>0.047374996183021</v>
      </c>
      <c r="P34" s="11" t="n">
        <f aca="false">IF($I34=0,0,H34/$I34)</f>
        <v>0</v>
      </c>
    </row>
    <row r="35" customFormat="false" ht="15" hidden="false" customHeight="false" outlineLevel="0" collapsed="false">
      <c r="A35" s="5" t="s">
        <v>56</v>
      </c>
      <c r="B35" s="10" t="n">
        <f aca="false">IFERROR(__xludf.DUMMYFUNCTION("""COMPUTED_VALUE"""),0)</f>
        <v>0</v>
      </c>
      <c r="C35" s="10" t="n">
        <f aca="false">IFERROR(__xludf.DUMMYFUNCTION("""COMPUTED_VALUE"""),25995.2)</f>
        <v>25995.2</v>
      </c>
      <c r="D35" s="10" t="n">
        <f aca="false">IFERROR(__xludf.DUMMYFUNCTION("""COMPUTED_VALUE"""),891.8)</f>
        <v>891.8</v>
      </c>
      <c r="E35" s="10" t="n">
        <f aca="false">IFERROR(__xludf.DUMMYFUNCTION("""COMPUTED_VALUE"""),1769.6)</f>
        <v>1769.6</v>
      </c>
      <c r="F35" s="10" t="n">
        <f aca="false">IFERROR(__xludf.DUMMYFUNCTION("""COMPUTED_VALUE"""),32678.6)</f>
        <v>32678.6</v>
      </c>
      <c r="G35" s="10" t="n">
        <f aca="false">IFERROR(__xludf.DUMMYFUNCTION("""COMPUTED_VALUE"""),11830.5)</f>
        <v>11830.5</v>
      </c>
      <c r="H35" s="10" t="n">
        <f aca="false">IFERROR(__xludf.DUMMYFUNCTION("""COMPUTED_VALUE"""),2530)</f>
        <v>2530</v>
      </c>
      <c r="I35" s="7" t="n">
        <f aca="false">SUM(B35:H35)</f>
        <v>75695.7</v>
      </c>
      <c r="J35" s="11" t="n">
        <f aca="false">IF($I35=0,0,B35/$I35)</f>
        <v>0</v>
      </c>
      <c r="K35" s="11" t="n">
        <f aca="false">IF($I35=0,0,C35/$I35)</f>
        <v>0.343417129374588</v>
      </c>
      <c r="L35" s="11" t="n">
        <f aca="false">IF($I35=0,0,D35/$I35)</f>
        <v>0.0117813825620214</v>
      </c>
      <c r="M35" s="11" t="n">
        <f aca="false">IF($I35=0,0,E35/$I35)</f>
        <v>0.0233778140634144</v>
      </c>
      <c r="N35" s="11" t="n">
        <f aca="false">IF($I35=0,0,F35/$I35)</f>
        <v>0.431710123560519</v>
      </c>
      <c r="O35" s="11" t="n">
        <f aca="false">IF($I35=0,0,G35/$I35)</f>
        <v>0.156290251625918</v>
      </c>
      <c r="P35" s="11" t="n">
        <f aca="false">IF($I35=0,0,H35/$I35)</f>
        <v>0.033423298813539</v>
      </c>
    </row>
    <row r="36" customFormat="false" ht="15" hidden="false" customHeight="false" outlineLevel="0" collapsed="false">
      <c r="A36" s="5" t="s">
        <v>57</v>
      </c>
      <c r="B36" s="10" t="n">
        <f aca="false">IFERROR(__xludf.DUMMYFUNCTION("""COMPUTED_VALUE"""),0)</f>
        <v>0</v>
      </c>
      <c r="C36" s="10" t="n">
        <f aca="false">IFERROR(__xludf.DUMMYFUNCTION("""COMPUTED_VALUE"""),0)</f>
        <v>0</v>
      </c>
      <c r="D36" s="10" t="n">
        <f aca="false">IFERROR(__xludf.DUMMYFUNCTION("""COMPUTED_VALUE"""),0)</f>
        <v>0</v>
      </c>
      <c r="E36" s="10" t="n">
        <f aca="false">IFERROR(__xludf.DUMMYFUNCTION("""COMPUTED_VALUE"""),0)</f>
        <v>0</v>
      </c>
      <c r="F36" s="10" t="n">
        <f aca="false">IFERROR(__xludf.DUMMYFUNCTION("""COMPUTED_VALUE"""),9269.4)</f>
        <v>9269.4</v>
      </c>
      <c r="G36" s="10" t="n">
        <f aca="false">IFERROR(__xludf.DUMMYFUNCTION("""COMPUTED_VALUE"""),2425.5)</f>
        <v>2425.5</v>
      </c>
      <c r="H36" s="10" t="n">
        <f aca="false">IFERROR(__xludf.DUMMYFUNCTION("""COMPUTED_VALUE"""),0)</f>
        <v>0</v>
      </c>
      <c r="I36" s="7" t="n">
        <f aca="false">SUM(B36:H36)</f>
        <v>11694.9</v>
      </c>
      <c r="J36" s="11" t="n">
        <f aca="false">IF($I36=0,0,B36/$I36)</f>
        <v>0</v>
      </c>
      <c r="K36" s="11" t="n">
        <f aca="false">IF($I36=0,0,C36/$I36)</f>
        <v>0</v>
      </c>
      <c r="L36" s="11" t="n">
        <f aca="false">IF($I36=0,0,D36/$I36)</f>
        <v>0</v>
      </c>
      <c r="M36" s="11" t="n">
        <f aca="false">IF($I36=0,0,E36/$I36)</f>
        <v>0</v>
      </c>
      <c r="N36" s="11" t="n">
        <f aca="false">IF($I36=0,0,F36/$I36)</f>
        <v>0.792601903393787</v>
      </c>
      <c r="O36" s="11" t="n">
        <f aca="false">IF($I36=0,0,G36/$I36)</f>
        <v>0.207398096606213</v>
      </c>
      <c r="P36" s="11" t="n">
        <f aca="false">IF($I36=0,0,H36/$I36)</f>
        <v>0</v>
      </c>
    </row>
    <row r="37" customFormat="false" ht="15" hidden="false" customHeight="false" outlineLevel="0" collapsed="false">
      <c r="A37" s="5" t="s">
        <v>58</v>
      </c>
      <c r="B37" s="10" t="n">
        <f aca="false">IFERROR(__xludf.DUMMYFUNCTION("""COMPUTED_VALUE"""),0)</f>
        <v>0</v>
      </c>
      <c r="C37" s="10" t="n">
        <f aca="false">IFERROR(__xludf.DUMMYFUNCTION("""COMPUTED_VALUE"""),0)</f>
        <v>0</v>
      </c>
      <c r="D37" s="10" t="n">
        <f aca="false">IFERROR(__xludf.DUMMYFUNCTION("""COMPUTED_VALUE"""),0)</f>
        <v>0</v>
      </c>
      <c r="E37" s="10" t="n">
        <f aca="false">IFERROR(__xludf.DUMMYFUNCTION("""COMPUTED_VALUE"""),0)</f>
        <v>0</v>
      </c>
      <c r="F37" s="10" t="n">
        <f aca="false">IFERROR(__xludf.DUMMYFUNCTION("""COMPUTED_VALUE"""),3535)</f>
        <v>3535</v>
      </c>
      <c r="G37" s="10" t="n">
        <f aca="false">IFERROR(__xludf.DUMMYFUNCTION("""COMPUTED_VALUE"""),0)</f>
        <v>0</v>
      </c>
      <c r="H37" s="10" t="n">
        <f aca="false">IFERROR(__xludf.DUMMYFUNCTION("""COMPUTED_VALUE"""),0)</f>
        <v>0</v>
      </c>
      <c r="I37" s="7" t="n">
        <f aca="false">SUM(B37:H37)</f>
        <v>3535</v>
      </c>
      <c r="J37" s="11" t="n">
        <f aca="false">IF($I37=0,0,B37/$I37)</f>
        <v>0</v>
      </c>
      <c r="K37" s="11" t="n">
        <f aca="false">IF($I37=0,0,C37/$I37)</f>
        <v>0</v>
      </c>
      <c r="L37" s="11" t="n">
        <f aca="false">IF($I37=0,0,D37/$I37)</f>
        <v>0</v>
      </c>
      <c r="M37" s="11" t="n">
        <f aca="false">IF($I37=0,0,E37/$I37)</f>
        <v>0</v>
      </c>
      <c r="N37" s="11" t="n">
        <f aca="false">IF($I37=0,0,F37/$I37)</f>
        <v>1</v>
      </c>
      <c r="O37" s="11" t="n">
        <f aca="false">IF($I37=0,0,G37/$I37)</f>
        <v>0</v>
      </c>
      <c r="P37" s="11" t="n">
        <f aca="false">IF($I37=0,0,H37/$I37)</f>
        <v>0</v>
      </c>
    </row>
    <row r="38" customFormat="false" ht="15" hidden="false" customHeight="false" outlineLevel="0" collapsed="false">
      <c r="A38" s="5" t="s">
        <v>59</v>
      </c>
      <c r="B38" s="10" t="n">
        <f aca="false">IFERROR(__xludf.DUMMYFUNCTION("""COMPUTED_VALUE"""),0)</f>
        <v>0</v>
      </c>
      <c r="C38" s="10" t="n">
        <f aca="false">IFERROR(__xludf.DUMMYFUNCTION("""COMPUTED_VALUE"""),4431)</f>
        <v>4431</v>
      </c>
      <c r="D38" s="10" t="n">
        <f aca="false">IFERROR(__xludf.DUMMYFUNCTION("""COMPUTED_VALUE"""),199.2)</f>
        <v>199.2</v>
      </c>
      <c r="E38" s="10" t="n">
        <f aca="false">IFERROR(__xludf.DUMMYFUNCTION("""COMPUTED_VALUE"""),177)</f>
        <v>177</v>
      </c>
      <c r="F38" s="10" t="n">
        <f aca="false">IFERROR(__xludf.DUMMYFUNCTION("""COMPUTED_VALUE"""),4055.3)</f>
        <v>4055.3</v>
      </c>
      <c r="G38" s="10" t="n">
        <f aca="false">IFERROR(__xludf.DUMMYFUNCTION("""COMPUTED_VALUE"""),1364.4)</f>
        <v>1364.4</v>
      </c>
      <c r="H38" s="10" t="n">
        <f aca="false">IFERROR(__xludf.DUMMYFUNCTION("""COMPUTED_VALUE"""),0)</f>
        <v>0</v>
      </c>
      <c r="I38" s="7" t="n">
        <f aca="false">SUM(B38:H38)</f>
        <v>10226.9</v>
      </c>
      <c r="J38" s="11" t="n">
        <f aca="false">IF($I38=0,0,B38/$I38)</f>
        <v>0</v>
      </c>
      <c r="K38" s="11" t="n">
        <f aca="false">IF($I38=0,0,C38/$I38)</f>
        <v>0.433269123585837</v>
      </c>
      <c r="L38" s="11" t="n">
        <f aca="false">IF($I38=0,0,D38/$I38)</f>
        <v>0.0194780431997966</v>
      </c>
      <c r="M38" s="11" t="n">
        <f aca="false">IF($I38=0,0,E38/$I38)</f>
        <v>0.017307297421506</v>
      </c>
      <c r="N38" s="11" t="n">
        <f aca="false">IF($I38=0,0,F38/$I38)</f>
        <v>0.396532673635217</v>
      </c>
      <c r="O38" s="11" t="n">
        <f aca="false">IF($I38=0,0,G38/$I38)</f>
        <v>0.133412862157643</v>
      </c>
      <c r="P38" s="11" t="n">
        <f aca="false">IF($I38=0,0,H38/$I38)</f>
        <v>0</v>
      </c>
    </row>
    <row r="39" customFormat="false" ht="15" hidden="false" customHeight="false" outlineLevel="0" collapsed="false">
      <c r="A39" s="5" t="s">
        <v>60</v>
      </c>
      <c r="B39" s="10" t="n">
        <f aca="false">IFERROR(__xludf.DUMMYFUNCTION("""COMPUTED_VALUE"""),0)</f>
        <v>0</v>
      </c>
      <c r="C39" s="10" t="n">
        <f aca="false">IFERROR(__xludf.DUMMYFUNCTION("""COMPUTED_VALUE"""),9748.2)</f>
        <v>9748.2</v>
      </c>
      <c r="D39" s="10" t="n">
        <f aca="false">IFERROR(__xludf.DUMMYFUNCTION("""COMPUTED_VALUE"""),438.3)</f>
        <v>438.3</v>
      </c>
      <c r="E39" s="10" t="n">
        <f aca="false">IFERROR(__xludf.DUMMYFUNCTION("""COMPUTED_VALUE"""),389.3)</f>
        <v>389.3</v>
      </c>
      <c r="F39" s="10" t="n">
        <f aca="false">IFERROR(__xludf.DUMMYFUNCTION("""COMPUTED_VALUE"""),8921.8)</f>
        <v>8921.8</v>
      </c>
      <c r="G39" s="10" t="n">
        <f aca="false">IFERROR(__xludf.DUMMYFUNCTION("""COMPUTED_VALUE"""),3001.6)</f>
        <v>3001.6</v>
      </c>
      <c r="H39" s="10" t="n">
        <f aca="false">IFERROR(__xludf.DUMMYFUNCTION("""COMPUTED_VALUE"""),0)</f>
        <v>0</v>
      </c>
      <c r="I39" s="7" t="n">
        <f aca="false">SUM(B39:H39)</f>
        <v>22499.2</v>
      </c>
      <c r="J39" s="11" t="n">
        <f aca="false">IF($I39=0,0,B39/$I39)</f>
        <v>0</v>
      </c>
      <c r="K39" s="11" t="n">
        <f aca="false">IF($I39=0,0,C39/$I39)</f>
        <v>0.433268738444034</v>
      </c>
      <c r="L39" s="11" t="n">
        <f aca="false">IF($I39=0,0,D39/$I39)</f>
        <v>0.0194806926468497</v>
      </c>
      <c r="M39" s="11" t="n">
        <f aca="false">IF($I39=0,0,E39/$I39)</f>
        <v>0.0173028374342199</v>
      </c>
      <c r="N39" s="11" t="n">
        <f aca="false">IF($I39=0,0,F39/$I39)</f>
        <v>0.396538543592661</v>
      </c>
      <c r="O39" s="11" t="n">
        <f aca="false">IF($I39=0,0,G39/$I39)</f>
        <v>0.133409187882236</v>
      </c>
      <c r="P39" s="11" t="n">
        <f aca="false">IF($I39=0,0,H39/$I39)</f>
        <v>0</v>
      </c>
    </row>
    <row r="40" customFormat="false" ht="15" hidden="false" customHeight="false" outlineLevel="0" collapsed="false">
      <c r="A40" s="5" t="s">
        <v>61</v>
      </c>
      <c r="B40" s="10" t="n">
        <f aca="false">IFERROR(__xludf.DUMMYFUNCTION("""COMPUTED_VALUE"""),0)</f>
        <v>0</v>
      </c>
      <c r="C40" s="10" t="n">
        <f aca="false">IFERROR(__xludf.DUMMYFUNCTION("""COMPUTED_VALUE"""),2126.9)</f>
        <v>2126.9</v>
      </c>
      <c r="D40" s="10" t="n">
        <f aca="false">IFERROR(__xludf.DUMMYFUNCTION("""COMPUTED_VALUE"""),95.6)</f>
        <v>95.6</v>
      </c>
      <c r="E40" s="10" t="n">
        <f aca="false">IFERROR(__xludf.DUMMYFUNCTION("""COMPUTED_VALUE"""),84.9)</f>
        <v>84.9</v>
      </c>
      <c r="F40" s="10" t="n">
        <f aca="false">IFERROR(__xludf.DUMMYFUNCTION("""COMPUTED_VALUE"""),1946.6)</f>
        <v>1946.6</v>
      </c>
      <c r="G40" s="10" t="n">
        <f aca="false">IFERROR(__xludf.DUMMYFUNCTION("""COMPUTED_VALUE"""),654.9)</f>
        <v>654.9</v>
      </c>
      <c r="H40" s="10" t="n">
        <f aca="false">IFERROR(__xludf.DUMMYFUNCTION("""COMPUTED_VALUE"""),0)</f>
        <v>0</v>
      </c>
      <c r="I40" s="7" t="n">
        <f aca="false">SUM(B40:H40)</f>
        <v>4908.9</v>
      </c>
      <c r="J40" s="11" t="n">
        <f aca="false">IF($I40=0,0,B40/$I40)</f>
        <v>0</v>
      </c>
      <c r="K40" s="11" t="n">
        <f aca="false">IF($I40=0,0,C40/$I40)</f>
        <v>0.433274256961845</v>
      </c>
      <c r="L40" s="11" t="n">
        <f aca="false">IF($I40=0,0,D40/$I40)</f>
        <v>0.0194748314286296</v>
      </c>
      <c r="M40" s="11" t="n">
        <f aca="false">IF($I40=0,0,E40/$I40)</f>
        <v>0.017295117032329</v>
      </c>
      <c r="N40" s="11" t="n">
        <f aca="false">IF($I40=0,0,F40/$I40)</f>
        <v>0.396545050826051</v>
      </c>
      <c r="O40" s="11" t="n">
        <f aca="false">IF($I40=0,0,G40/$I40)</f>
        <v>0.133410743751146</v>
      </c>
      <c r="P40" s="11" t="n">
        <f aca="false">IF($I40=0,0,H40/$I40)</f>
        <v>0</v>
      </c>
    </row>
    <row r="41" customFormat="false" ht="15" hidden="false" customHeight="false" outlineLevel="0" collapsed="false">
      <c r="A41" s="5" t="s">
        <v>62</v>
      </c>
      <c r="B41" s="10" t="n">
        <f aca="false">IFERROR(__xludf.DUMMYFUNCTION("""COMPUTED_VALUE"""),0)</f>
        <v>0</v>
      </c>
      <c r="C41" s="10" t="n">
        <f aca="false">IFERROR(__xludf.DUMMYFUNCTION("""COMPUTED_VALUE"""),1417.9)</f>
        <v>1417.9</v>
      </c>
      <c r="D41" s="10" t="n">
        <f aca="false">IFERROR(__xludf.DUMMYFUNCTION("""COMPUTED_VALUE"""),63.8)</f>
        <v>63.8</v>
      </c>
      <c r="E41" s="10" t="n">
        <f aca="false">IFERROR(__xludf.DUMMYFUNCTION("""COMPUTED_VALUE"""),56.6)</f>
        <v>56.6</v>
      </c>
      <c r="F41" s="10" t="n">
        <f aca="false">IFERROR(__xludf.DUMMYFUNCTION("""COMPUTED_VALUE"""),1297.7)</f>
        <v>1297.7</v>
      </c>
      <c r="G41" s="10" t="n">
        <f aca="false">IFERROR(__xludf.DUMMYFUNCTION("""COMPUTED_VALUE"""),436.6)</f>
        <v>436.6</v>
      </c>
      <c r="H41" s="10" t="n">
        <f aca="false">IFERROR(__xludf.DUMMYFUNCTION("""COMPUTED_VALUE"""),0)</f>
        <v>0</v>
      </c>
      <c r="I41" s="7" t="n">
        <f aca="false">SUM(B41:H41)</f>
        <v>3272.6</v>
      </c>
      <c r="J41" s="11" t="n">
        <f aca="false">IF($I41=0,0,B41/$I41)</f>
        <v>0</v>
      </c>
      <c r="K41" s="11" t="n">
        <f aca="false">IF($I41=0,0,C41/$I41)</f>
        <v>0.433264071380554</v>
      </c>
      <c r="L41" s="11" t="n">
        <f aca="false">IF($I41=0,0,D41/$I41)</f>
        <v>0.0194952025912119</v>
      </c>
      <c r="M41" s="11" t="n">
        <f aca="false">IF($I41=0,0,E41/$I41)</f>
        <v>0.017295117032329</v>
      </c>
      <c r="N41" s="11" t="n">
        <f aca="false">IF($I41=0,0,F41/$I41)</f>
        <v>0.39653486524476</v>
      </c>
      <c r="O41" s="11" t="n">
        <f aca="false">IF($I41=0,0,G41/$I41)</f>
        <v>0.133410743751146</v>
      </c>
      <c r="P41" s="11" t="n">
        <f aca="false">IF($I41=0,0,H41/$I41)</f>
        <v>0</v>
      </c>
    </row>
    <row r="43" customFormat="false" ht="23.85" hidden="false" customHeight="false" outlineLevel="0" collapsed="false">
      <c r="A43" s="3" t="s">
        <v>79</v>
      </c>
      <c r="B43" s="3" t="s">
        <v>64</v>
      </c>
      <c r="C43" s="3" t="s">
        <v>65</v>
      </c>
      <c r="D43" s="3" t="s">
        <v>66</v>
      </c>
      <c r="E43" s="3" t="s">
        <v>67</v>
      </c>
      <c r="F43" s="3" t="s">
        <v>68</v>
      </c>
      <c r="G43" s="3" t="s">
        <v>69</v>
      </c>
      <c r="H43" s="3" t="s">
        <v>70</v>
      </c>
    </row>
    <row r="44" customFormat="false" ht="15" hidden="false" customHeight="false" outlineLevel="0" collapsed="false">
      <c r="A44" s="5" t="s">
        <v>80</v>
      </c>
      <c r="B44" s="12" t="n">
        <f aca="false">IFERROR(__xludf.DUMMYFUNCTION("IMPORTRANGE(Links!$B$4,""sobrestock_sustitutos!B17:H25"")"),0.576496101782894)</f>
        <v>0.576496101782894</v>
      </c>
      <c r="C44" s="12" t="n">
        <f aca="false">IFERROR(__xludf.DUMMYFUNCTION("""COMPUTED_VALUE"""),0.29351867253148)</f>
        <v>0.29351867253148</v>
      </c>
      <c r="D44" s="12" t="n">
        <f aca="false">IFERROR(__xludf.DUMMYFUNCTION("""COMPUTED_VALUE"""),0.0255135139915311)</f>
        <v>0.0255135139915311</v>
      </c>
      <c r="E44" s="12" t="n">
        <f aca="false">IFERROR(__xludf.DUMMYFUNCTION("""COMPUTED_VALUE"""),0.0176807128475029)</f>
        <v>0.0176807128475029</v>
      </c>
      <c r="F44" s="12" t="n">
        <f aca="false">IFERROR(__xludf.DUMMYFUNCTION("""COMPUTED_VALUE"""),0.0575646049597341)</f>
        <v>0.0575646049597341</v>
      </c>
      <c r="G44" s="12" t="n">
        <f aca="false">IFERROR(__xludf.DUMMYFUNCTION("""COMPUTED_VALUE"""),0.0254712101086557)</f>
        <v>0.0254712101086557</v>
      </c>
      <c r="H44" s="12" t="n">
        <f aca="false">IFERROR(__xludf.DUMMYFUNCTION("""COMPUTED_VALUE"""),0.00375518377820226)</f>
        <v>0.00375518377820226</v>
      </c>
    </row>
    <row r="45" customFormat="false" ht="15" hidden="false" customHeight="false" outlineLevel="0" collapsed="false">
      <c r="A45" s="5" t="s">
        <v>81</v>
      </c>
      <c r="B45" s="12" t="n">
        <f aca="false">IFERROR(__xludf.DUMMYFUNCTION("""COMPUTED_VALUE"""),25)</f>
        <v>25</v>
      </c>
      <c r="C45" s="12" t="n">
        <f aca="false">IFERROR(__xludf.DUMMYFUNCTION("""COMPUTED_VALUE"""),14)</f>
        <v>14</v>
      </c>
      <c r="D45" s="12" t="n">
        <f aca="false">IFERROR(__xludf.DUMMYFUNCTION("""COMPUTED_VALUE"""),18)</f>
        <v>18</v>
      </c>
      <c r="E45" s="12" t="n">
        <f aca="false">IFERROR(__xludf.DUMMYFUNCTION("""COMPUTED_VALUE"""),20)</f>
        <v>20</v>
      </c>
      <c r="F45" s="12" t="n">
        <f aca="false">IFERROR(__xludf.DUMMYFUNCTION("""COMPUTED_VALUE"""),45)</f>
        <v>45</v>
      </c>
      <c r="G45" s="12" t="n">
        <f aca="false">IFERROR(__xludf.DUMMYFUNCTION("""COMPUTED_VALUE"""),35)</f>
        <v>35</v>
      </c>
      <c r="H45" s="12" t="n">
        <f aca="false">IFERROR(__xludf.DUMMYFUNCTION("""COMPUTED_VALUE"""),16)</f>
        <v>16</v>
      </c>
    </row>
    <row r="46" customFormat="false" ht="15" hidden="false" customHeight="false" outlineLevel="0" collapsed="false">
      <c r="A46" s="5" t="s">
        <v>82</v>
      </c>
      <c r="B46" s="12" t="n">
        <f aca="false">IFERROR(__xludf.DUMMYFUNCTION("""COMPUTED_VALUE"""),5000)</f>
        <v>5000</v>
      </c>
      <c r="C46" s="12" t="n">
        <f aca="false">IFERROR(__xludf.DUMMYFUNCTION("""COMPUTED_VALUE"""),2800)</f>
        <v>2800</v>
      </c>
      <c r="D46" s="12" t="n">
        <f aca="false">IFERROR(__xludf.DUMMYFUNCTION("""COMPUTED_VALUE"""),3600)</f>
        <v>3600</v>
      </c>
      <c r="E46" s="12" t="n">
        <f aca="false">IFERROR(__xludf.DUMMYFUNCTION("""COMPUTED_VALUE"""),4000)</f>
        <v>4000</v>
      </c>
      <c r="F46" s="12" t="n">
        <f aca="false">IFERROR(__xludf.DUMMYFUNCTION("""COMPUTED_VALUE"""),9000)</f>
        <v>9000</v>
      </c>
      <c r="G46" s="12" t="n">
        <f aca="false">IFERROR(__xludf.DUMMYFUNCTION("""COMPUTED_VALUE"""),7000)</f>
        <v>7000</v>
      </c>
      <c r="H46" s="12" t="n">
        <f aca="false">IFERROR(__xludf.DUMMYFUNCTION("""COMPUTED_VALUE"""),3200)</f>
        <v>3200</v>
      </c>
    </row>
    <row r="47" customFormat="false" ht="15" hidden="false" customHeight="false" outlineLevel="0" collapsed="false">
      <c r="A47" s="5" t="s">
        <v>83</v>
      </c>
      <c r="B47" s="12" t="n">
        <f aca="false">IFERROR(__xludf.DUMMYFUNCTION("""COMPUTED_VALUE"""),17.253)</f>
        <v>17.253</v>
      </c>
      <c r="C47" s="12" t="n">
        <f aca="false">IFERROR(__xludf.DUMMYFUNCTION("""COMPUTED_VALUE"""),17.3221889340189)</f>
        <v>17.3221889340189</v>
      </c>
      <c r="D47" s="12" t="n">
        <f aca="false">IFERROR(__xludf.DUMMYFUNCTION("""COMPUTED_VALUE"""),16.9412781935732)</f>
        <v>16.9412781935732</v>
      </c>
      <c r="E47" s="12" t="n">
        <f aca="false">IFERROR(__xludf.DUMMYFUNCTION("""COMPUTED_VALUE"""),17.5771047043881)</f>
        <v>17.5771047043881</v>
      </c>
      <c r="F47" s="12" t="n">
        <f aca="false">IFERROR(__xludf.DUMMYFUNCTION("""COMPUTED_VALUE"""),22.050546631031)</f>
        <v>22.050546631031</v>
      </c>
      <c r="G47" s="12" t="n">
        <f aca="false">IFERROR(__xludf.DUMMYFUNCTION("""COMPUTED_VALUE"""),19.1586183210809)</f>
        <v>19.1586183210809</v>
      </c>
      <c r="H47" s="12" t="n">
        <f aca="false">IFERROR(__xludf.DUMMYFUNCTION("""COMPUTED_VALUE"""),17.453209852043)</f>
        <v>17.453209852043</v>
      </c>
    </row>
    <row r="48" customFormat="false" ht="15" hidden="false" customHeight="false" outlineLevel="0" collapsed="false">
      <c r="A48" s="5" t="s">
        <v>84</v>
      </c>
      <c r="B48" s="12" t="n">
        <f aca="false">IFERROR(__xludf.DUMMYFUNCTION("""COMPUTED_VALUE"""),431.325)</f>
        <v>431.325</v>
      </c>
      <c r="C48" s="12" t="n">
        <f aca="false">IFERROR(__xludf.DUMMYFUNCTION("""COMPUTED_VALUE"""),242.510645076264)</f>
        <v>242.510645076264</v>
      </c>
      <c r="D48" s="12" t="n">
        <f aca="false">IFERROR(__xludf.DUMMYFUNCTION("""COMPUTED_VALUE"""),304.943007484317)</f>
        <v>304.943007484317</v>
      </c>
      <c r="E48" s="12" t="n">
        <f aca="false">IFERROR(__xludf.DUMMYFUNCTION("""COMPUTED_VALUE"""),351.542094087763)</f>
        <v>351.542094087763</v>
      </c>
      <c r="F48" s="12" t="n">
        <f aca="false">IFERROR(__xludf.DUMMYFUNCTION("""COMPUTED_VALUE"""),992.274598396395)</f>
        <v>992.274598396395</v>
      </c>
      <c r="G48" s="12" t="n">
        <f aca="false">IFERROR(__xludf.DUMMYFUNCTION("""COMPUTED_VALUE"""),670.551641237833)</f>
        <v>670.551641237833</v>
      </c>
      <c r="H48" s="12" t="n">
        <f aca="false">IFERROR(__xludf.DUMMYFUNCTION("""COMPUTED_VALUE"""),279.251357632687)</f>
        <v>279.251357632687</v>
      </c>
    </row>
    <row r="49" customFormat="false" ht="15" hidden="false" customHeight="false" outlineLevel="0" collapsed="false">
      <c r="A49" s="5" t="s">
        <v>85</v>
      </c>
      <c r="B49" s="12" t="n">
        <f aca="false">IFERROR(__xludf.DUMMYFUNCTION("""COMPUTED_VALUE"""),1)</f>
        <v>1</v>
      </c>
      <c r="C49" s="12" t="n">
        <f aca="false">IFERROR(__xludf.DUMMYFUNCTION("""COMPUTED_VALUE"""),1)</f>
        <v>1</v>
      </c>
      <c r="D49" s="12" t="n">
        <f aca="false">IFERROR(__xludf.DUMMYFUNCTION("""COMPUTED_VALUE"""),1)</f>
        <v>1</v>
      </c>
      <c r="E49" s="12" t="n">
        <f aca="false">IFERROR(__xludf.DUMMYFUNCTION("""COMPUTED_VALUE"""),1)</f>
        <v>1</v>
      </c>
      <c r="F49" s="12" t="n">
        <f aca="false">IFERROR(__xludf.DUMMYFUNCTION("""COMPUTED_VALUE"""),3)</f>
        <v>3</v>
      </c>
      <c r="G49" s="12" t="n">
        <f aca="false">IFERROR(__xludf.DUMMYFUNCTION("""COMPUTED_VALUE"""),2)</f>
        <v>2</v>
      </c>
      <c r="H49" s="12" t="n">
        <f aca="false">IFERROR(__xludf.DUMMYFUNCTION("""COMPUTED_VALUE"""),1)</f>
        <v>1</v>
      </c>
    </row>
    <row r="50" customFormat="false" ht="15" hidden="false" customHeight="false" outlineLevel="0" collapsed="false">
      <c r="A50" s="5" t="s">
        <v>86</v>
      </c>
      <c r="B50" s="12" t="n">
        <f aca="false">IFERROR(__xludf.DUMMYFUNCTION("""COMPUTED_VALUE"""),1)</f>
        <v>1</v>
      </c>
      <c r="C50" s="12" t="n">
        <f aca="false">IFERROR(__xludf.DUMMYFUNCTION("""COMPUTED_VALUE"""),1)</f>
        <v>1</v>
      </c>
      <c r="D50" s="12" t="n">
        <f aca="false">IFERROR(__xludf.DUMMYFUNCTION("""COMPUTED_VALUE"""),1)</f>
        <v>1</v>
      </c>
      <c r="E50" s="12" t="n">
        <f aca="false">IFERROR(__xludf.DUMMYFUNCTION("""COMPUTED_VALUE"""),1)</f>
        <v>1</v>
      </c>
      <c r="F50" s="12" t="n">
        <f aca="false">IFERROR(__xludf.DUMMYFUNCTION("""COMPUTED_VALUE"""),2)</f>
        <v>2</v>
      </c>
      <c r="G50" s="12" t="n">
        <f aca="false">IFERROR(__xludf.DUMMYFUNCTION("""COMPUTED_VALUE"""),1)</f>
        <v>1</v>
      </c>
      <c r="H50" s="12" t="n">
        <f aca="false">IFERROR(__xludf.DUMMYFUNCTION("""COMPUTED_VALUE"""),1)</f>
        <v>1</v>
      </c>
    </row>
    <row r="51" customFormat="false" ht="15" hidden="false" customHeight="false" outlineLevel="0" collapsed="false">
      <c r="A51" s="5" t="s">
        <v>87</v>
      </c>
      <c r="B51" s="12" t="n">
        <f aca="false">IFERROR(__xludf.DUMMYFUNCTION("""COMPUTED_VALUE"""),3)</f>
        <v>3</v>
      </c>
      <c r="C51" s="12" t="n">
        <f aca="false">IFERROR(__xludf.DUMMYFUNCTION("""COMPUTED_VALUE"""),3)</f>
        <v>3</v>
      </c>
      <c r="D51" s="12" t="n">
        <f aca="false">IFERROR(__xludf.DUMMYFUNCTION("""COMPUTED_VALUE"""),3)</f>
        <v>3</v>
      </c>
      <c r="E51" s="12" t="n">
        <f aca="false">IFERROR(__xludf.DUMMYFUNCTION("""COMPUTED_VALUE"""),3)</f>
        <v>3</v>
      </c>
      <c r="F51" s="12" t="n">
        <f aca="false">IFERROR(__xludf.DUMMYFUNCTION("""COMPUTED_VALUE"""),5)</f>
        <v>5</v>
      </c>
      <c r="G51" s="12" t="n">
        <f aca="false">IFERROR(__xludf.DUMMYFUNCTION("""COMPUTED_VALUE"""),4)</f>
        <v>4</v>
      </c>
      <c r="H51" s="12" t="n">
        <f aca="false">IFERROR(__xludf.DUMMYFUNCTION("""COMPUTED_VALUE"""),3)</f>
        <v>3</v>
      </c>
    </row>
    <row r="52" customFormat="false" ht="15" hidden="false" customHeight="false" outlineLevel="0" collapsed="false">
      <c r="A52" s="5" t="s">
        <v>88</v>
      </c>
      <c r="B52" s="12" t="n">
        <f aca="false">IFERROR(__xludf.DUMMYFUNCTION("""COMPUTED_VALUE"""),3)</f>
        <v>3</v>
      </c>
      <c r="C52" s="12" t="n">
        <f aca="false">IFERROR(__xludf.DUMMYFUNCTION("""COMPUTED_VALUE"""),3)</f>
        <v>3</v>
      </c>
      <c r="D52" s="12" t="n">
        <f aca="false">IFERROR(__xludf.DUMMYFUNCTION("""COMPUTED_VALUE"""),3)</f>
        <v>3</v>
      </c>
      <c r="E52" s="12" t="n">
        <f aca="false">IFERROR(__xludf.DUMMYFUNCTION("""COMPUTED_VALUE"""),3)</f>
        <v>3</v>
      </c>
      <c r="F52" s="12" t="n">
        <f aca="false">IFERROR(__xludf.DUMMYFUNCTION("""COMPUTED_VALUE"""),4)</f>
        <v>4</v>
      </c>
      <c r="G52" s="12" t="n">
        <f aca="false">IFERROR(__xludf.DUMMYFUNCTION("""COMPUTED_VALUE"""),3)</f>
        <v>3</v>
      </c>
      <c r="H52" s="12" t="n">
        <f aca="false">IFERROR(__xludf.DUMMYFUNCTION("""COMPUTED_VALUE"""),3)</f>
        <v>3</v>
      </c>
    </row>
    <row r="54" customFormat="false" ht="15" hidden="false" customHeight="false" outlineLevel="0" collapsed="false">
      <c r="A54" s="3" t="s">
        <v>89</v>
      </c>
      <c r="B54" s="3" t="n">
        <v>2026</v>
      </c>
      <c r="C54" s="3" t="n">
        <v>2027</v>
      </c>
      <c r="D54" s="3" t="n">
        <v>2028</v>
      </c>
      <c r="E54" s="3" t="n">
        <v>2029</v>
      </c>
      <c r="F54" s="3" t="n">
        <v>2030</v>
      </c>
      <c r="G54" s="3" t="n">
        <v>2031</v>
      </c>
      <c r="H54" s="3" t="n">
        <v>2032</v>
      </c>
      <c r="I54" s="3" t="n">
        <v>2033</v>
      </c>
      <c r="J54" s="3" t="n">
        <v>2034</v>
      </c>
      <c r="K54" s="3" t="n">
        <v>2035</v>
      </c>
    </row>
    <row r="55" customFormat="false" ht="15" hidden="false" customHeight="false" outlineLevel="0" collapsed="false">
      <c r="A55" s="5" t="s">
        <v>46</v>
      </c>
      <c r="B55" s="10" t="n">
        <f aca="false">IFERROR(__xludf.DUMMYFUNCTION("IMPORTRANGE(Links!$B$4,""sobrestock_sustitutos!B51:K67"")"),0)</f>
        <v>0</v>
      </c>
      <c r="C55" s="10" t="n">
        <f aca="false">IFERROR(__xludf.DUMMYFUNCTION("""COMPUTED_VALUE"""),0)</f>
        <v>0</v>
      </c>
      <c r="D55" s="10" t="n">
        <f aca="false">IFERROR(__xludf.DUMMYFUNCTION("""COMPUTED_VALUE"""),0)</f>
        <v>0</v>
      </c>
      <c r="E55" s="10" t="n">
        <f aca="false">IFERROR(__xludf.DUMMYFUNCTION("""COMPUTED_VALUE"""),0)</f>
        <v>0</v>
      </c>
      <c r="F55" s="10" t="n">
        <f aca="false">IFERROR(__xludf.DUMMYFUNCTION("""COMPUTED_VALUE"""),0)</f>
        <v>0</v>
      </c>
      <c r="G55" s="10" t="n">
        <f aca="false">IFERROR(__xludf.DUMMYFUNCTION("""COMPUTED_VALUE"""),0)</f>
        <v>0</v>
      </c>
      <c r="H55" s="10" t="n">
        <f aca="false">IFERROR(__xludf.DUMMYFUNCTION("""COMPUTED_VALUE"""),0)</f>
        <v>0</v>
      </c>
      <c r="I55" s="10" t="n">
        <f aca="false">IFERROR(__xludf.DUMMYFUNCTION("""COMPUTED_VALUE"""),0)</f>
        <v>0</v>
      </c>
      <c r="J55" s="10" t="n">
        <f aca="false">IFERROR(__xludf.DUMMYFUNCTION("""COMPUTED_VALUE"""),0)</f>
        <v>0</v>
      </c>
      <c r="K55" s="10" t="n">
        <f aca="false">IFERROR(__xludf.DUMMYFUNCTION("""COMPUTED_VALUE"""),0)</f>
        <v>0</v>
      </c>
    </row>
    <row r="56" customFormat="false" ht="15" hidden="false" customHeight="false" outlineLevel="0" collapsed="false">
      <c r="A56" s="5" t="s">
        <v>47</v>
      </c>
      <c r="B56" s="10" t="n">
        <f aca="false">IFERROR(__xludf.DUMMYFUNCTION("""COMPUTED_VALUE"""),3)</f>
        <v>3</v>
      </c>
      <c r="C56" s="10" t="n">
        <f aca="false">IFERROR(__xludf.DUMMYFUNCTION("""COMPUTED_VALUE"""),10)</f>
        <v>10</v>
      </c>
      <c r="D56" s="10" t="n">
        <f aca="false">IFERROR(__xludf.DUMMYFUNCTION("""COMPUTED_VALUE"""),21)</f>
        <v>21</v>
      </c>
      <c r="E56" s="10" t="n">
        <f aca="false">IFERROR(__xludf.DUMMYFUNCTION("""COMPUTED_VALUE"""),39)</f>
        <v>39</v>
      </c>
      <c r="F56" s="10" t="n">
        <f aca="false">IFERROR(__xludf.DUMMYFUNCTION("""COMPUTED_VALUE"""),56)</f>
        <v>56</v>
      </c>
      <c r="G56" s="10" t="n">
        <f aca="false">IFERROR(__xludf.DUMMYFUNCTION("""COMPUTED_VALUE"""),74)</f>
        <v>74</v>
      </c>
      <c r="H56" s="10" t="n">
        <f aca="false">IFERROR(__xludf.DUMMYFUNCTION("""COMPUTED_VALUE"""),89)</f>
        <v>89</v>
      </c>
      <c r="I56" s="10" t="n">
        <f aca="false">IFERROR(__xludf.DUMMYFUNCTION("""COMPUTED_VALUE"""),99)</f>
        <v>99</v>
      </c>
      <c r="J56" s="10" t="n">
        <f aca="false">IFERROR(__xludf.DUMMYFUNCTION("""COMPUTED_VALUE"""),107)</f>
        <v>107</v>
      </c>
      <c r="K56" s="10" t="n">
        <f aca="false">IFERROR(__xludf.DUMMYFUNCTION("""COMPUTED_VALUE"""),116)</f>
        <v>116</v>
      </c>
    </row>
    <row r="57" customFormat="false" ht="15" hidden="false" customHeight="false" outlineLevel="0" collapsed="false">
      <c r="A57" s="5" t="s">
        <v>48</v>
      </c>
      <c r="B57" s="10" t="n">
        <f aca="false">IFERROR(__xludf.DUMMYFUNCTION("""COMPUTED_VALUE"""),15)</f>
        <v>15</v>
      </c>
      <c r="C57" s="10" t="n">
        <f aca="false">IFERROR(__xludf.DUMMYFUNCTION("""COMPUTED_VALUE"""),60)</f>
        <v>60</v>
      </c>
      <c r="D57" s="10" t="n">
        <f aca="false">IFERROR(__xludf.DUMMYFUNCTION("""COMPUTED_VALUE"""),135)</f>
        <v>135</v>
      </c>
      <c r="E57" s="10" t="n">
        <f aca="false">IFERROR(__xludf.DUMMYFUNCTION("""COMPUTED_VALUE"""),254)</f>
        <v>254</v>
      </c>
      <c r="F57" s="10" t="n">
        <f aca="false">IFERROR(__xludf.DUMMYFUNCTION("""COMPUTED_VALUE"""),366)</f>
        <v>366</v>
      </c>
      <c r="G57" s="10" t="n">
        <f aca="false">IFERROR(__xludf.DUMMYFUNCTION("""COMPUTED_VALUE"""),486)</f>
        <v>486</v>
      </c>
      <c r="H57" s="10" t="n">
        <f aca="false">IFERROR(__xludf.DUMMYFUNCTION("""COMPUTED_VALUE"""),566)</f>
        <v>566</v>
      </c>
      <c r="I57" s="10" t="n">
        <f aca="false">IFERROR(__xludf.DUMMYFUNCTION("""COMPUTED_VALUE"""),627)</f>
        <v>627</v>
      </c>
      <c r="J57" s="10" t="n">
        <f aca="false">IFERROR(__xludf.DUMMYFUNCTION("""COMPUTED_VALUE"""),677)</f>
        <v>677</v>
      </c>
      <c r="K57" s="10" t="n">
        <f aca="false">IFERROR(__xludf.DUMMYFUNCTION("""COMPUTED_VALUE"""),727)</f>
        <v>727</v>
      </c>
    </row>
    <row r="58" customFormat="false" ht="15" hidden="false" customHeight="false" outlineLevel="0" collapsed="false">
      <c r="A58" s="5" t="s">
        <v>49</v>
      </c>
      <c r="B58" s="10" t="n">
        <f aca="false">IFERROR(__xludf.DUMMYFUNCTION("""COMPUTED_VALUE"""),1)</f>
        <v>1</v>
      </c>
      <c r="C58" s="10" t="n">
        <f aca="false">IFERROR(__xludf.DUMMYFUNCTION("""COMPUTED_VALUE"""),4)</f>
        <v>4</v>
      </c>
      <c r="D58" s="10" t="n">
        <f aca="false">IFERROR(__xludf.DUMMYFUNCTION("""COMPUTED_VALUE"""),8)</f>
        <v>8</v>
      </c>
      <c r="E58" s="10" t="n">
        <f aca="false">IFERROR(__xludf.DUMMYFUNCTION("""COMPUTED_VALUE"""),15)</f>
        <v>15</v>
      </c>
      <c r="F58" s="10" t="n">
        <f aca="false">IFERROR(__xludf.DUMMYFUNCTION("""COMPUTED_VALUE"""),21)</f>
        <v>21</v>
      </c>
      <c r="G58" s="10" t="n">
        <f aca="false">IFERROR(__xludf.DUMMYFUNCTION("""COMPUTED_VALUE"""),28)</f>
        <v>28</v>
      </c>
      <c r="H58" s="10" t="n">
        <f aca="false">IFERROR(__xludf.DUMMYFUNCTION("""COMPUTED_VALUE"""),33)</f>
        <v>33</v>
      </c>
      <c r="I58" s="10" t="n">
        <f aca="false">IFERROR(__xludf.DUMMYFUNCTION("""COMPUTED_VALUE"""),36)</f>
        <v>36</v>
      </c>
      <c r="J58" s="10" t="n">
        <f aca="false">IFERROR(__xludf.DUMMYFUNCTION("""COMPUTED_VALUE"""),39)</f>
        <v>39</v>
      </c>
      <c r="K58" s="10" t="n">
        <f aca="false">IFERROR(__xludf.DUMMYFUNCTION("""COMPUTED_VALUE"""),42)</f>
        <v>42</v>
      </c>
    </row>
    <row r="59" customFormat="false" ht="15" hidden="false" customHeight="false" outlineLevel="0" collapsed="false">
      <c r="A59" s="5" t="s">
        <v>50</v>
      </c>
      <c r="B59" s="10" t="n">
        <f aca="false">IFERROR(__xludf.DUMMYFUNCTION("""COMPUTED_VALUE"""),2)</f>
        <v>2</v>
      </c>
      <c r="C59" s="10" t="n">
        <f aca="false">IFERROR(__xludf.DUMMYFUNCTION("""COMPUTED_VALUE"""),6)</f>
        <v>6</v>
      </c>
      <c r="D59" s="10" t="n">
        <f aca="false">IFERROR(__xludf.DUMMYFUNCTION("""COMPUTED_VALUE"""),12)</f>
        <v>12</v>
      </c>
      <c r="E59" s="10" t="n">
        <f aca="false">IFERROR(__xludf.DUMMYFUNCTION("""COMPUTED_VALUE"""),22)</f>
        <v>22</v>
      </c>
      <c r="F59" s="10" t="n">
        <f aca="false">IFERROR(__xludf.DUMMYFUNCTION("""COMPUTED_VALUE"""),32)</f>
        <v>32</v>
      </c>
      <c r="G59" s="10" t="n">
        <f aca="false">IFERROR(__xludf.DUMMYFUNCTION("""COMPUTED_VALUE"""),42)</f>
        <v>42</v>
      </c>
      <c r="H59" s="10" t="n">
        <f aca="false">IFERROR(__xludf.DUMMYFUNCTION("""COMPUTED_VALUE"""),48)</f>
        <v>48</v>
      </c>
      <c r="I59" s="10" t="n">
        <f aca="false">IFERROR(__xludf.DUMMYFUNCTION("""COMPUTED_VALUE"""),53)</f>
        <v>53</v>
      </c>
      <c r="J59" s="10" t="n">
        <f aca="false">IFERROR(__xludf.DUMMYFUNCTION("""COMPUTED_VALUE"""),58)</f>
        <v>58</v>
      </c>
      <c r="K59" s="10" t="n">
        <f aca="false">IFERROR(__xludf.DUMMYFUNCTION("""COMPUTED_VALUE"""),62)</f>
        <v>62</v>
      </c>
    </row>
    <row r="60" customFormat="false" ht="15" hidden="false" customHeight="false" outlineLevel="0" collapsed="false">
      <c r="A60" s="5" t="s">
        <v>51</v>
      </c>
      <c r="B60" s="10" t="n">
        <f aca="false">IFERROR(__xludf.DUMMYFUNCTION("""COMPUTED_VALUE"""),1)</f>
        <v>1</v>
      </c>
      <c r="C60" s="10" t="n">
        <f aca="false">IFERROR(__xludf.DUMMYFUNCTION("""COMPUTED_VALUE"""),2)</f>
        <v>2</v>
      </c>
      <c r="D60" s="10" t="n">
        <f aca="false">IFERROR(__xludf.DUMMYFUNCTION("""COMPUTED_VALUE"""),4)</f>
        <v>4</v>
      </c>
      <c r="E60" s="10" t="n">
        <f aca="false">IFERROR(__xludf.DUMMYFUNCTION("""COMPUTED_VALUE"""),7)</f>
        <v>7</v>
      </c>
      <c r="F60" s="10" t="n">
        <f aca="false">IFERROR(__xludf.DUMMYFUNCTION("""COMPUTED_VALUE"""),9)</f>
        <v>9</v>
      </c>
      <c r="G60" s="10" t="n">
        <f aca="false">IFERROR(__xludf.DUMMYFUNCTION("""COMPUTED_VALUE"""),12)</f>
        <v>12</v>
      </c>
      <c r="H60" s="10" t="n">
        <f aca="false">IFERROR(__xludf.DUMMYFUNCTION("""COMPUTED_VALUE"""),12)</f>
        <v>12</v>
      </c>
      <c r="I60" s="10" t="n">
        <f aca="false">IFERROR(__xludf.DUMMYFUNCTION("""COMPUTED_VALUE"""),13)</f>
        <v>13</v>
      </c>
      <c r="J60" s="10" t="n">
        <f aca="false">IFERROR(__xludf.DUMMYFUNCTION("""COMPUTED_VALUE"""),14)</f>
        <v>14</v>
      </c>
      <c r="K60" s="10" t="n">
        <f aca="false">IFERROR(__xludf.DUMMYFUNCTION("""COMPUTED_VALUE"""),15)</f>
        <v>15</v>
      </c>
    </row>
    <row r="61" customFormat="false" ht="15" hidden="false" customHeight="false" outlineLevel="0" collapsed="false">
      <c r="A61" s="5" t="s">
        <v>52</v>
      </c>
      <c r="B61" s="10" t="n">
        <f aca="false">IFERROR(__xludf.DUMMYFUNCTION("""COMPUTED_VALUE"""),1)</f>
        <v>1</v>
      </c>
      <c r="C61" s="10" t="n">
        <f aca="false">IFERROR(__xludf.DUMMYFUNCTION("""COMPUTED_VALUE"""),1)</f>
        <v>1</v>
      </c>
      <c r="D61" s="10" t="n">
        <f aca="false">IFERROR(__xludf.DUMMYFUNCTION("""COMPUTED_VALUE"""),2)</f>
        <v>2</v>
      </c>
      <c r="E61" s="10" t="n">
        <f aca="false">IFERROR(__xludf.DUMMYFUNCTION("""COMPUTED_VALUE"""),4)</f>
        <v>4</v>
      </c>
      <c r="F61" s="10" t="n">
        <f aca="false">IFERROR(__xludf.DUMMYFUNCTION("""COMPUTED_VALUE"""),5)</f>
        <v>5</v>
      </c>
      <c r="G61" s="10" t="n">
        <f aca="false">IFERROR(__xludf.DUMMYFUNCTION("""COMPUTED_VALUE"""),6)</f>
        <v>6</v>
      </c>
      <c r="H61" s="10" t="n">
        <f aca="false">IFERROR(__xludf.DUMMYFUNCTION("""COMPUTED_VALUE"""),6)</f>
        <v>6</v>
      </c>
      <c r="I61" s="10" t="n">
        <f aca="false">IFERROR(__xludf.DUMMYFUNCTION("""COMPUTED_VALUE"""),7)</f>
        <v>7</v>
      </c>
      <c r="J61" s="10" t="n">
        <f aca="false">IFERROR(__xludf.DUMMYFUNCTION("""COMPUTED_VALUE"""),8)</f>
        <v>8</v>
      </c>
      <c r="K61" s="10" t="n">
        <f aca="false">IFERROR(__xludf.DUMMYFUNCTION("""COMPUTED_VALUE"""),8)</f>
        <v>8</v>
      </c>
    </row>
    <row r="62" customFormat="false" ht="15" hidden="false" customHeight="false" outlineLevel="0" collapsed="false">
      <c r="A62" s="5" t="s">
        <v>53</v>
      </c>
      <c r="B62" s="10" t="n">
        <f aca="false">IFERROR(__xludf.DUMMYFUNCTION("""COMPUTED_VALUE"""),1)</f>
        <v>1</v>
      </c>
      <c r="C62" s="10" t="n">
        <f aca="false">IFERROR(__xludf.DUMMYFUNCTION("""COMPUTED_VALUE"""),1)</f>
        <v>1</v>
      </c>
      <c r="D62" s="10" t="n">
        <f aca="false">IFERROR(__xludf.DUMMYFUNCTION("""COMPUTED_VALUE"""),2)</f>
        <v>2</v>
      </c>
      <c r="E62" s="10" t="n">
        <f aca="false">IFERROR(__xludf.DUMMYFUNCTION("""COMPUTED_VALUE"""),2)</f>
        <v>2</v>
      </c>
      <c r="F62" s="10" t="n">
        <f aca="false">IFERROR(__xludf.DUMMYFUNCTION("""COMPUTED_VALUE"""),3)</f>
        <v>3</v>
      </c>
      <c r="G62" s="10" t="n">
        <f aca="false">IFERROR(__xludf.DUMMYFUNCTION("""COMPUTED_VALUE"""),4)</f>
        <v>4</v>
      </c>
      <c r="H62" s="10" t="n">
        <f aca="false">IFERROR(__xludf.DUMMYFUNCTION("""COMPUTED_VALUE"""),4)</f>
        <v>4</v>
      </c>
      <c r="I62" s="10" t="n">
        <f aca="false">IFERROR(__xludf.DUMMYFUNCTION("""COMPUTED_VALUE"""),4)</f>
        <v>4</v>
      </c>
      <c r="J62" s="10" t="n">
        <f aca="false">IFERROR(__xludf.DUMMYFUNCTION("""COMPUTED_VALUE"""),5)</f>
        <v>5</v>
      </c>
      <c r="K62" s="10" t="n">
        <f aca="false">IFERROR(__xludf.DUMMYFUNCTION("""COMPUTED_VALUE"""),5)</f>
        <v>5</v>
      </c>
    </row>
    <row r="63" customFormat="false" ht="15" hidden="false" customHeight="false" outlineLevel="0" collapsed="false">
      <c r="A63" s="5" t="s">
        <v>54</v>
      </c>
      <c r="B63" s="10" t="n">
        <f aca="false">IFERROR(__xludf.DUMMYFUNCTION("""COMPUTED_VALUE"""),1)</f>
        <v>1</v>
      </c>
      <c r="C63" s="10" t="n">
        <f aca="false">IFERROR(__xludf.DUMMYFUNCTION("""COMPUTED_VALUE"""),3)</f>
        <v>3</v>
      </c>
      <c r="D63" s="10" t="n">
        <f aca="false">IFERROR(__xludf.DUMMYFUNCTION("""COMPUTED_VALUE"""),7)</f>
        <v>7</v>
      </c>
      <c r="E63" s="10" t="n">
        <f aca="false">IFERROR(__xludf.DUMMYFUNCTION("""COMPUTED_VALUE"""),11)</f>
        <v>11</v>
      </c>
      <c r="F63" s="10" t="n">
        <f aca="false">IFERROR(__xludf.DUMMYFUNCTION("""COMPUTED_VALUE"""),16)</f>
        <v>16</v>
      </c>
      <c r="G63" s="10" t="n">
        <f aca="false">IFERROR(__xludf.DUMMYFUNCTION("""COMPUTED_VALUE"""),21)</f>
        <v>21</v>
      </c>
      <c r="H63" s="10" t="n">
        <f aca="false">IFERROR(__xludf.DUMMYFUNCTION("""COMPUTED_VALUE"""),24)</f>
        <v>24</v>
      </c>
      <c r="I63" s="10" t="n">
        <f aca="false">IFERROR(__xludf.DUMMYFUNCTION("""COMPUTED_VALUE"""),27)</f>
        <v>27</v>
      </c>
      <c r="J63" s="10" t="n">
        <f aca="false">IFERROR(__xludf.DUMMYFUNCTION("""COMPUTED_VALUE"""),29)</f>
        <v>29</v>
      </c>
      <c r="K63" s="10" t="n">
        <f aca="false">IFERROR(__xludf.DUMMYFUNCTION("""COMPUTED_VALUE"""),31)</f>
        <v>31</v>
      </c>
    </row>
    <row r="64" customFormat="false" ht="15" hidden="false" customHeight="false" outlineLevel="0" collapsed="false">
      <c r="A64" s="5" t="s">
        <v>55</v>
      </c>
      <c r="B64" s="10" t="n">
        <f aca="false">IFERROR(__xludf.DUMMYFUNCTION("""COMPUTED_VALUE"""),4)</f>
        <v>4</v>
      </c>
      <c r="C64" s="10" t="n">
        <f aca="false">IFERROR(__xludf.DUMMYFUNCTION("""COMPUTED_VALUE"""),13)</f>
        <v>13</v>
      </c>
      <c r="D64" s="10" t="n">
        <f aca="false">IFERROR(__xludf.DUMMYFUNCTION("""COMPUTED_VALUE"""),29)</f>
        <v>29</v>
      </c>
      <c r="E64" s="10" t="n">
        <f aca="false">IFERROR(__xludf.DUMMYFUNCTION("""COMPUTED_VALUE"""),55)</f>
        <v>55</v>
      </c>
      <c r="F64" s="10" t="n">
        <f aca="false">IFERROR(__xludf.DUMMYFUNCTION("""COMPUTED_VALUE"""),79)</f>
        <v>79</v>
      </c>
      <c r="G64" s="10" t="n">
        <f aca="false">IFERROR(__xludf.DUMMYFUNCTION("""COMPUTED_VALUE"""),105)</f>
        <v>105</v>
      </c>
      <c r="H64" s="10" t="n">
        <f aca="false">IFERROR(__xludf.DUMMYFUNCTION("""COMPUTED_VALUE"""),125)</f>
        <v>125</v>
      </c>
      <c r="I64" s="10" t="n">
        <f aca="false">IFERROR(__xludf.DUMMYFUNCTION("""COMPUTED_VALUE"""),138)</f>
        <v>138</v>
      </c>
      <c r="J64" s="10" t="n">
        <f aca="false">IFERROR(__xludf.DUMMYFUNCTION("""COMPUTED_VALUE"""),149)</f>
        <v>149</v>
      </c>
      <c r="K64" s="10" t="n">
        <f aca="false">IFERROR(__xludf.DUMMYFUNCTION("""COMPUTED_VALUE"""),160)</f>
        <v>160</v>
      </c>
    </row>
    <row r="65" customFormat="false" ht="15" hidden="false" customHeight="false" outlineLevel="0" collapsed="false">
      <c r="A65" s="5" t="s">
        <v>56</v>
      </c>
      <c r="B65" s="10" t="n">
        <f aca="false">IFERROR(__xludf.DUMMYFUNCTION("""COMPUTED_VALUE"""),2)</f>
        <v>2</v>
      </c>
      <c r="C65" s="10" t="n">
        <f aca="false">IFERROR(__xludf.DUMMYFUNCTION("""COMPUTED_VALUE"""),6)</f>
        <v>6</v>
      </c>
      <c r="D65" s="10" t="n">
        <f aca="false">IFERROR(__xludf.DUMMYFUNCTION("""COMPUTED_VALUE"""),13)</f>
        <v>13</v>
      </c>
      <c r="E65" s="10" t="n">
        <f aca="false">IFERROR(__xludf.DUMMYFUNCTION("""COMPUTED_VALUE"""),23)</f>
        <v>23</v>
      </c>
      <c r="F65" s="10" t="n">
        <f aca="false">IFERROR(__xludf.DUMMYFUNCTION("""COMPUTED_VALUE"""),33)</f>
        <v>33</v>
      </c>
      <c r="G65" s="10" t="n">
        <f aca="false">IFERROR(__xludf.DUMMYFUNCTION("""COMPUTED_VALUE"""),44)</f>
        <v>44</v>
      </c>
      <c r="H65" s="10" t="n">
        <f aca="false">IFERROR(__xludf.DUMMYFUNCTION("""COMPUTED_VALUE"""),47)</f>
        <v>47</v>
      </c>
      <c r="I65" s="10" t="n">
        <f aca="false">IFERROR(__xludf.DUMMYFUNCTION("""COMPUTED_VALUE"""),53)</f>
        <v>53</v>
      </c>
      <c r="J65" s="10" t="n">
        <f aca="false">IFERROR(__xludf.DUMMYFUNCTION("""COMPUTED_VALUE"""),57)</f>
        <v>57</v>
      </c>
      <c r="K65" s="10" t="n">
        <f aca="false">IFERROR(__xludf.DUMMYFUNCTION("""COMPUTED_VALUE"""),62)</f>
        <v>62</v>
      </c>
    </row>
    <row r="66" customFormat="false" ht="15" hidden="false" customHeight="false" outlineLevel="0" collapsed="false">
      <c r="A66" s="5" t="s">
        <v>57</v>
      </c>
      <c r="B66" s="10" t="n">
        <f aca="false">IFERROR(__xludf.DUMMYFUNCTION("""COMPUTED_VALUE"""),1)</f>
        <v>1</v>
      </c>
      <c r="C66" s="10" t="n">
        <f aca="false">IFERROR(__xludf.DUMMYFUNCTION("""COMPUTED_VALUE"""),2)</f>
        <v>2</v>
      </c>
      <c r="D66" s="10" t="n">
        <f aca="false">IFERROR(__xludf.DUMMYFUNCTION("""COMPUTED_VALUE"""),3)</f>
        <v>3</v>
      </c>
      <c r="E66" s="10" t="n">
        <f aca="false">IFERROR(__xludf.DUMMYFUNCTION("""COMPUTED_VALUE"""),5)</f>
        <v>5</v>
      </c>
      <c r="F66" s="10" t="n">
        <f aca="false">IFERROR(__xludf.DUMMYFUNCTION("""COMPUTED_VALUE"""),7)</f>
        <v>7</v>
      </c>
      <c r="G66" s="10" t="n">
        <f aca="false">IFERROR(__xludf.DUMMYFUNCTION("""COMPUTED_VALUE"""),9)</f>
        <v>9</v>
      </c>
      <c r="H66" s="10" t="n">
        <f aca="false">IFERROR(__xludf.DUMMYFUNCTION("""COMPUTED_VALUE"""),9)</f>
        <v>9</v>
      </c>
      <c r="I66" s="10" t="n">
        <f aca="false">IFERROR(__xludf.DUMMYFUNCTION("""COMPUTED_VALUE"""),10)</f>
        <v>10</v>
      </c>
      <c r="J66" s="10" t="n">
        <f aca="false">IFERROR(__xludf.DUMMYFUNCTION("""COMPUTED_VALUE"""),11)</f>
        <v>11</v>
      </c>
      <c r="K66" s="10" t="n">
        <f aca="false">IFERROR(__xludf.DUMMYFUNCTION("""COMPUTED_VALUE"""),12)</f>
        <v>12</v>
      </c>
    </row>
    <row r="67" customFormat="false" ht="15" hidden="false" customHeight="false" outlineLevel="0" collapsed="false">
      <c r="A67" s="5" t="s">
        <v>58</v>
      </c>
      <c r="B67" s="10" t="n">
        <f aca="false">IFERROR(__xludf.DUMMYFUNCTION("""COMPUTED_VALUE"""),1)</f>
        <v>1</v>
      </c>
      <c r="C67" s="10" t="n">
        <f aca="false">IFERROR(__xludf.DUMMYFUNCTION("""COMPUTED_VALUE"""),1)</f>
        <v>1</v>
      </c>
      <c r="D67" s="10" t="n">
        <f aca="false">IFERROR(__xludf.DUMMYFUNCTION("""COMPUTED_VALUE"""),2)</f>
        <v>2</v>
      </c>
      <c r="E67" s="10" t="n">
        <f aca="false">IFERROR(__xludf.DUMMYFUNCTION("""COMPUTED_VALUE"""),2)</f>
        <v>2</v>
      </c>
      <c r="F67" s="10" t="n">
        <f aca="false">IFERROR(__xludf.DUMMYFUNCTION("""COMPUTED_VALUE"""),3)</f>
        <v>3</v>
      </c>
      <c r="G67" s="10" t="n">
        <f aca="false">IFERROR(__xludf.DUMMYFUNCTION("""COMPUTED_VALUE"""),3)</f>
        <v>3</v>
      </c>
      <c r="H67" s="10" t="n">
        <f aca="false">IFERROR(__xludf.DUMMYFUNCTION("""COMPUTED_VALUE"""),4)</f>
        <v>4</v>
      </c>
      <c r="I67" s="10" t="n">
        <f aca="false">IFERROR(__xludf.DUMMYFUNCTION("""COMPUTED_VALUE"""),4)</f>
        <v>4</v>
      </c>
      <c r="J67" s="10" t="n">
        <f aca="false">IFERROR(__xludf.DUMMYFUNCTION("""COMPUTED_VALUE"""),4)</f>
        <v>4</v>
      </c>
      <c r="K67" s="10" t="n">
        <f aca="false">IFERROR(__xludf.DUMMYFUNCTION("""COMPUTED_VALUE"""),5)</f>
        <v>5</v>
      </c>
    </row>
    <row r="68" customFormat="false" ht="15" hidden="false" customHeight="false" outlineLevel="0" collapsed="false">
      <c r="A68" s="5" t="s">
        <v>59</v>
      </c>
      <c r="B68" s="10" t="n">
        <f aca="false">IFERROR(__xludf.DUMMYFUNCTION("""COMPUTED_VALUE"""),1)</f>
        <v>1</v>
      </c>
      <c r="C68" s="10" t="n">
        <f aca="false">IFERROR(__xludf.DUMMYFUNCTION("""COMPUTED_VALUE"""),1)</f>
        <v>1</v>
      </c>
      <c r="D68" s="10" t="n">
        <f aca="false">IFERROR(__xludf.DUMMYFUNCTION("""COMPUTED_VALUE"""),2)</f>
        <v>2</v>
      </c>
      <c r="E68" s="10" t="n">
        <f aca="false">IFERROR(__xludf.DUMMYFUNCTION("""COMPUTED_VALUE"""),4)</f>
        <v>4</v>
      </c>
      <c r="F68" s="10" t="n">
        <f aca="false">IFERROR(__xludf.DUMMYFUNCTION("""COMPUTED_VALUE"""),5)</f>
        <v>5</v>
      </c>
      <c r="G68" s="10" t="n">
        <f aca="false">IFERROR(__xludf.DUMMYFUNCTION("""COMPUTED_VALUE"""),6)</f>
        <v>6</v>
      </c>
      <c r="H68" s="10" t="n">
        <f aca="false">IFERROR(__xludf.DUMMYFUNCTION("""COMPUTED_VALUE"""),7)</f>
        <v>7</v>
      </c>
      <c r="I68" s="10" t="n">
        <f aca="false">IFERROR(__xludf.DUMMYFUNCTION("""COMPUTED_VALUE"""),7)</f>
        <v>7</v>
      </c>
      <c r="J68" s="10" t="n">
        <f aca="false">IFERROR(__xludf.DUMMYFUNCTION("""COMPUTED_VALUE"""),8)</f>
        <v>8</v>
      </c>
      <c r="K68" s="10" t="n">
        <f aca="false">IFERROR(__xludf.DUMMYFUNCTION("""COMPUTED_VALUE"""),9)</f>
        <v>9</v>
      </c>
    </row>
    <row r="69" customFormat="false" ht="15" hidden="false" customHeight="false" outlineLevel="0" collapsed="false">
      <c r="A69" s="5" t="s">
        <v>60</v>
      </c>
      <c r="B69" s="10" t="n">
        <f aca="false">IFERROR(__xludf.DUMMYFUNCTION("""COMPUTED_VALUE"""),1)</f>
        <v>1</v>
      </c>
      <c r="C69" s="10" t="n">
        <f aca="false">IFERROR(__xludf.DUMMYFUNCTION("""COMPUTED_VALUE"""),2)</f>
        <v>2</v>
      </c>
      <c r="D69" s="10" t="n">
        <f aca="false">IFERROR(__xludf.DUMMYFUNCTION("""COMPUTED_VALUE"""),4)</f>
        <v>4</v>
      </c>
      <c r="E69" s="10" t="n">
        <f aca="false">IFERROR(__xludf.DUMMYFUNCTION("""COMPUTED_VALUE"""),7)</f>
        <v>7</v>
      </c>
      <c r="F69" s="10" t="n">
        <f aca="false">IFERROR(__xludf.DUMMYFUNCTION("""COMPUTED_VALUE"""),10)</f>
        <v>10</v>
      </c>
      <c r="G69" s="10" t="n">
        <f aca="false">IFERROR(__xludf.DUMMYFUNCTION("""COMPUTED_VALUE"""),13)</f>
        <v>13</v>
      </c>
      <c r="H69" s="10" t="n">
        <f aca="false">IFERROR(__xludf.DUMMYFUNCTION("""COMPUTED_VALUE"""),14)</f>
        <v>14</v>
      </c>
      <c r="I69" s="10" t="n">
        <f aca="false">IFERROR(__xludf.DUMMYFUNCTION("""COMPUTED_VALUE"""),16)</f>
        <v>16</v>
      </c>
      <c r="J69" s="10" t="n">
        <f aca="false">IFERROR(__xludf.DUMMYFUNCTION("""COMPUTED_VALUE"""),17)</f>
        <v>17</v>
      </c>
      <c r="K69" s="10" t="n">
        <f aca="false">IFERROR(__xludf.DUMMYFUNCTION("""COMPUTED_VALUE"""),18)</f>
        <v>18</v>
      </c>
    </row>
    <row r="70" customFormat="false" ht="15" hidden="false" customHeight="false" outlineLevel="0" collapsed="false">
      <c r="A70" s="5" t="s">
        <v>61</v>
      </c>
      <c r="B70" s="10" t="n">
        <f aca="false">IFERROR(__xludf.DUMMYFUNCTION("""COMPUTED_VALUE"""),1)</f>
        <v>1</v>
      </c>
      <c r="C70" s="10" t="n">
        <f aca="false">IFERROR(__xludf.DUMMYFUNCTION("""COMPUTED_VALUE"""),1)</f>
        <v>1</v>
      </c>
      <c r="D70" s="10" t="n">
        <f aca="false">IFERROR(__xludf.DUMMYFUNCTION("""COMPUTED_VALUE"""),1)</f>
        <v>1</v>
      </c>
      <c r="E70" s="10" t="n">
        <f aca="false">IFERROR(__xludf.DUMMYFUNCTION("""COMPUTED_VALUE"""),2)</f>
        <v>2</v>
      </c>
      <c r="F70" s="10" t="n">
        <f aca="false">IFERROR(__xludf.DUMMYFUNCTION("""COMPUTED_VALUE"""),3)</f>
        <v>3</v>
      </c>
      <c r="G70" s="10" t="n">
        <f aca="false">IFERROR(__xludf.DUMMYFUNCTION("""COMPUTED_VALUE"""),3)</f>
        <v>3</v>
      </c>
      <c r="H70" s="10" t="n">
        <f aca="false">IFERROR(__xludf.DUMMYFUNCTION("""COMPUTED_VALUE"""),3)</f>
        <v>3</v>
      </c>
      <c r="I70" s="10" t="n">
        <f aca="false">IFERROR(__xludf.DUMMYFUNCTION("""COMPUTED_VALUE"""),4)</f>
        <v>4</v>
      </c>
      <c r="J70" s="10" t="n">
        <f aca="false">IFERROR(__xludf.DUMMYFUNCTION("""COMPUTED_VALUE"""),4)</f>
        <v>4</v>
      </c>
      <c r="K70" s="10" t="n">
        <f aca="false">IFERROR(__xludf.DUMMYFUNCTION("""COMPUTED_VALUE"""),4)</f>
        <v>4</v>
      </c>
    </row>
    <row r="71" customFormat="false" ht="15" hidden="false" customHeight="false" outlineLevel="0" collapsed="false">
      <c r="A71" s="5" t="s">
        <v>62</v>
      </c>
      <c r="B71" s="10" t="n">
        <f aca="false">IFERROR(__xludf.DUMMYFUNCTION("""COMPUTED_VALUE"""),1)</f>
        <v>1</v>
      </c>
      <c r="C71" s="10" t="n">
        <f aca="false">IFERROR(__xludf.DUMMYFUNCTION("""COMPUTED_VALUE"""),1)</f>
        <v>1</v>
      </c>
      <c r="D71" s="10" t="n">
        <f aca="false">IFERROR(__xludf.DUMMYFUNCTION("""COMPUTED_VALUE"""),1)</f>
        <v>1</v>
      </c>
      <c r="E71" s="10" t="n">
        <f aca="false">IFERROR(__xludf.DUMMYFUNCTION("""COMPUTED_VALUE"""),1)</f>
        <v>1</v>
      </c>
      <c r="F71" s="10" t="n">
        <f aca="false">IFERROR(__xludf.DUMMYFUNCTION("""COMPUTED_VALUE"""),2)</f>
        <v>2</v>
      </c>
      <c r="G71" s="10" t="n">
        <f aca="false">IFERROR(__xludf.DUMMYFUNCTION("""COMPUTED_VALUE"""),2)</f>
        <v>2</v>
      </c>
      <c r="H71" s="10" t="n">
        <f aca="false">IFERROR(__xludf.DUMMYFUNCTION("""COMPUTED_VALUE"""),2)</f>
        <v>2</v>
      </c>
      <c r="I71" s="10" t="n">
        <f aca="false">IFERROR(__xludf.DUMMYFUNCTION("""COMPUTED_VALUE"""),3)</f>
        <v>3</v>
      </c>
      <c r="J71" s="10" t="n">
        <f aca="false">IFERROR(__xludf.DUMMYFUNCTION("""COMPUTED_VALUE"""),3)</f>
        <v>3</v>
      </c>
      <c r="K71" s="10" t="n">
        <f aca="false">IFERROR(__xludf.DUMMYFUNCTION("""COMPUTED_VALUE"""),3)</f>
        <v>3</v>
      </c>
    </row>
    <row r="73" customFormat="false" ht="15" hidden="false" customHeight="false" outlineLevel="0" collapsed="false">
      <c r="A73" s="3" t="s">
        <v>90</v>
      </c>
      <c r="B73" s="3" t="s">
        <v>91</v>
      </c>
    </row>
    <row r="74" customFormat="false" ht="15" hidden="false" customHeight="false" outlineLevel="0" collapsed="false">
      <c r="A74" s="5" t="s">
        <v>46</v>
      </c>
      <c r="B74" s="13" t="n">
        <f aca="false">IFERROR(__xludf.DUMMYFUNCTION("IMPORTRANGE(Links!$B$4,""sobrestock_sustitutos!B30:B46"")"),0)</f>
        <v>0</v>
      </c>
    </row>
    <row r="75" customFormat="false" ht="15" hidden="false" customHeight="false" outlineLevel="0" collapsed="false">
      <c r="A75" s="5" t="s">
        <v>47</v>
      </c>
      <c r="B75" s="13" t="n">
        <f aca="false">IFERROR(__xludf.DUMMYFUNCTION("""COMPUTED_VALUE"""),1)</f>
        <v>1</v>
      </c>
    </row>
    <row r="76" customFormat="false" ht="15" hidden="false" customHeight="false" outlineLevel="0" collapsed="false">
      <c r="A76" s="5" t="s">
        <v>48</v>
      </c>
      <c r="B76" s="13" t="n">
        <f aca="false">IFERROR(__xludf.DUMMYFUNCTION("""COMPUTED_VALUE"""),1)</f>
        <v>1</v>
      </c>
    </row>
    <row r="77" customFormat="false" ht="15" hidden="false" customHeight="false" outlineLevel="0" collapsed="false">
      <c r="A77" s="5" t="s">
        <v>49</v>
      </c>
      <c r="B77" s="13" t="n">
        <f aca="false">IFERROR(__xludf.DUMMYFUNCTION("""COMPUTED_VALUE"""),1)</f>
        <v>1</v>
      </c>
    </row>
    <row r="78" customFormat="false" ht="15" hidden="false" customHeight="false" outlineLevel="0" collapsed="false">
      <c r="A78" s="5" t="s">
        <v>50</v>
      </c>
      <c r="B78" s="13" t="n">
        <f aca="false">IFERROR(__xludf.DUMMYFUNCTION("""COMPUTED_VALUE"""),1)</f>
        <v>1</v>
      </c>
    </row>
    <row r="79" customFormat="false" ht="15" hidden="false" customHeight="false" outlineLevel="0" collapsed="false">
      <c r="A79" s="5" t="s">
        <v>51</v>
      </c>
      <c r="B79" s="13" t="n">
        <f aca="false">IFERROR(__xludf.DUMMYFUNCTION("""COMPUTED_VALUE"""),1)</f>
        <v>1</v>
      </c>
    </row>
    <row r="80" customFormat="false" ht="15" hidden="false" customHeight="false" outlineLevel="0" collapsed="false">
      <c r="A80" s="5" t="s">
        <v>52</v>
      </c>
      <c r="B80" s="13" t="n">
        <f aca="false">IFERROR(__xludf.DUMMYFUNCTION("""COMPUTED_VALUE"""),1)</f>
        <v>1</v>
      </c>
    </row>
    <row r="81" customFormat="false" ht="15" hidden="false" customHeight="false" outlineLevel="0" collapsed="false">
      <c r="A81" s="5" t="s">
        <v>53</v>
      </c>
      <c r="B81" s="13" t="n">
        <f aca="false">IFERROR(__xludf.DUMMYFUNCTION("""COMPUTED_VALUE"""),1)</f>
        <v>1</v>
      </c>
    </row>
    <row r="82" customFormat="false" ht="15" hidden="false" customHeight="false" outlineLevel="0" collapsed="false">
      <c r="A82" s="5" t="s">
        <v>54</v>
      </c>
      <c r="B82" s="13" t="n">
        <f aca="false">IFERROR(__xludf.DUMMYFUNCTION("""COMPUTED_VALUE"""),1)</f>
        <v>1</v>
      </c>
    </row>
    <row r="83" customFormat="false" ht="15" hidden="false" customHeight="false" outlineLevel="0" collapsed="false">
      <c r="A83" s="5" t="s">
        <v>55</v>
      </c>
      <c r="B83" s="13" t="n">
        <f aca="false">IFERROR(__xludf.DUMMYFUNCTION("""COMPUTED_VALUE"""),1)</f>
        <v>1</v>
      </c>
    </row>
    <row r="84" customFormat="false" ht="15" hidden="false" customHeight="false" outlineLevel="0" collapsed="false">
      <c r="A84" s="5" t="s">
        <v>56</v>
      </c>
      <c r="B84" s="13" t="n">
        <f aca="false">IFERROR(__xludf.DUMMYFUNCTION("""COMPUTED_VALUE"""),1)</f>
        <v>1</v>
      </c>
    </row>
    <row r="85" customFormat="false" ht="15" hidden="false" customHeight="false" outlineLevel="0" collapsed="false">
      <c r="A85" s="5" t="s">
        <v>57</v>
      </c>
      <c r="B85" s="13" t="n">
        <f aca="false">IFERROR(__xludf.DUMMYFUNCTION("""COMPUTED_VALUE"""),1)</f>
        <v>1</v>
      </c>
    </row>
    <row r="86" customFormat="false" ht="15" hidden="false" customHeight="false" outlineLevel="0" collapsed="false">
      <c r="A86" s="5" t="s">
        <v>58</v>
      </c>
      <c r="B86" s="13" t="n">
        <f aca="false">IFERROR(__xludf.DUMMYFUNCTION("""COMPUTED_VALUE"""),1)</f>
        <v>1</v>
      </c>
    </row>
    <row r="87" customFormat="false" ht="15" hidden="false" customHeight="false" outlineLevel="0" collapsed="false">
      <c r="A87" s="5" t="s">
        <v>59</v>
      </c>
      <c r="B87" s="13" t="n">
        <f aca="false">IFERROR(__xludf.DUMMYFUNCTION("""COMPUTED_VALUE"""),1)</f>
        <v>1</v>
      </c>
    </row>
    <row r="88" customFormat="false" ht="15" hidden="false" customHeight="false" outlineLevel="0" collapsed="false">
      <c r="A88" s="5" t="s">
        <v>60</v>
      </c>
      <c r="B88" s="13" t="n">
        <f aca="false">IFERROR(__xludf.DUMMYFUNCTION("""COMPUTED_VALUE"""),1)</f>
        <v>1</v>
      </c>
    </row>
    <row r="89" customFormat="false" ht="15" hidden="false" customHeight="false" outlineLevel="0" collapsed="false">
      <c r="A89" s="5" t="s">
        <v>61</v>
      </c>
      <c r="B89" s="13" t="n">
        <f aca="false">IFERROR(__xludf.DUMMYFUNCTION("""COMPUTED_VALUE"""),1)</f>
        <v>1</v>
      </c>
    </row>
    <row r="90" customFormat="false" ht="15" hidden="false" customHeight="false" outlineLevel="0" collapsed="false">
      <c r="A90" s="5" t="s">
        <v>62</v>
      </c>
      <c r="B90" s="13" t="n">
        <f aca="false">IFERROR(__xludf.DUMMYFUNCTION("""COMPUTED_VALUE"""),1)</f>
        <v>1</v>
      </c>
    </row>
    <row r="92" customFormat="false" ht="15" hidden="false" customHeight="false" outlineLevel="0" collapsed="false">
      <c r="A92" s="3" t="s">
        <v>92</v>
      </c>
      <c r="B92" s="3" t="s">
        <v>93</v>
      </c>
    </row>
    <row r="93" customFormat="false" ht="15" hidden="false" customHeight="false" outlineLevel="0" collapsed="false">
      <c r="A93" s="5" t="s">
        <v>94</v>
      </c>
      <c r="B93" s="14" t="n">
        <f aca="false">IFERROR(__xludf.DUMMYFUNCTION("IMPORTRANGE(Links!$B$4,""parametros_recargas!B2:B10"")"),20)</f>
        <v>20</v>
      </c>
    </row>
    <row r="94" customFormat="false" ht="15" hidden="false" customHeight="false" outlineLevel="0" collapsed="false">
      <c r="A94" s="5" t="s">
        <v>95</v>
      </c>
      <c r="B94" s="14" t="n">
        <f aca="false">IFERROR(__xludf.DUMMYFUNCTION("""COMPUTED_VALUE"""),8)</f>
        <v>8</v>
      </c>
    </row>
    <row r="95" customFormat="false" ht="15" hidden="false" customHeight="false" outlineLevel="0" collapsed="false">
      <c r="A95" s="5" t="s">
        <v>96</v>
      </c>
      <c r="B95" s="14" t="n">
        <f aca="false">IFERROR(__xludf.DUMMYFUNCTION("""COMPUTED_VALUE"""),30)</f>
        <v>30</v>
      </c>
    </row>
    <row r="96" customFormat="false" ht="15" hidden="false" customHeight="false" outlineLevel="0" collapsed="false">
      <c r="A96" s="5" t="s">
        <v>97</v>
      </c>
      <c r="B96" s="14" t="n">
        <f aca="false">IFERROR(__xludf.DUMMYFUNCTION("""COMPUTED_VALUE"""),7.5)</f>
        <v>7.5</v>
      </c>
    </row>
    <row r="97" customFormat="false" ht="15" hidden="false" customHeight="false" outlineLevel="0" collapsed="false">
      <c r="A97" s="5" t="s">
        <v>98</v>
      </c>
      <c r="B97" s="14" t="n">
        <f aca="false">IFERROR(__xludf.DUMMYFUNCTION("""COMPUTED_VALUE"""),150)</f>
        <v>150</v>
      </c>
    </row>
    <row r="98" customFormat="false" ht="15" hidden="false" customHeight="false" outlineLevel="0" collapsed="false">
      <c r="A98" s="5" t="s">
        <v>99</v>
      </c>
      <c r="B98" s="14" t="n">
        <f aca="false">IFERROR(__xludf.DUMMYFUNCTION("""COMPUTED_VALUE"""),0.9)</f>
        <v>0.9</v>
      </c>
    </row>
    <row r="99" customFormat="false" ht="15" hidden="false" customHeight="false" outlineLevel="0" collapsed="false">
      <c r="A99" s="5" t="s">
        <v>100</v>
      </c>
      <c r="B99" s="14" t="n">
        <f aca="false">IFERROR(__xludf.DUMMYFUNCTION("""COMPUTED_VALUE"""),2)</f>
        <v>2</v>
      </c>
    </row>
    <row r="100" customFormat="false" ht="15" hidden="false" customHeight="false" outlineLevel="0" collapsed="false">
      <c r="A100" s="5" t="s">
        <v>101</v>
      </c>
      <c r="B100" s="14" t="n">
        <f aca="false">IFERROR(__xludf.DUMMYFUNCTION("""COMPUTED_VALUE"""),3)</f>
        <v>3</v>
      </c>
    </row>
    <row r="101" customFormat="false" ht="15" hidden="false" customHeight="false" outlineLevel="0" collapsed="false">
      <c r="A101" s="5" t="s">
        <v>102</v>
      </c>
      <c r="B101" s="14" t="n">
        <f aca="false">IFERROR(__xludf.DUMMYFUNCTION("""COMPUTED_VALUE"""),2032)</f>
        <v>2032</v>
      </c>
    </row>
    <row r="104" customFormat="false" ht="15" hidden="false" customHeight="false" outlineLevel="0" collapsed="false">
      <c r="A104" s="1" t="s">
        <v>103</v>
      </c>
    </row>
    <row r="105" customFormat="false" ht="15" hidden="false" customHeight="false" outlineLevel="0" collapsed="false">
      <c r="A105" s="3" t="s">
        <v>45</v>
      </c>
      <c r="B105" s="3" t="n">
        <v>2026</v>
      </c>
      <c r="C105" s="3" t="n">
        <v>2027</v>
      </c>
      <c r="D105" s="3" t="n">
        <v>2028</v>
      </c>
      <c r="E105" s="3" t="n">
        <v>2029</v>
      </c>
      <c r="F105" s="3" t="n">
        <v>2030</v>
      </c>
      <c r="G105" s="3" t="n">
        <v>2031</v>
      </c>
      <c r="H105" s="3" t="n">
        <v>2032</v>
      </c>
      <c r="I105" s="3" t="n">
        <v>2033</v>
      </c>
      <c r="J105" s="3" t="n">
        <v>2034</v>
      </c>
      <c r="K105" s="3" t="n">
        <v>2035</v>
      </c>
    </row>
    <row r="106" customFormat="false" ht="15" hidden="false" customHeight="false" outlineLevel="0" collapsed="false">
      <c r="A106" s="5" t="s">
        <v>46</v>
      </c>
      <c r="B106" s="10" t="n">
        <f aca="false">IFERROR(__xludf.DUMMYFUNCTION("IMPORTRANGE(Links!$B$5,""datos_base!B2:K18"")"),1002.33729536048)</f>
        <v>1002.33729536048</v>
      </c>
      <c r="C106" s="10" t="n">
        <f aca="false">IFERROR(__xludf.DUMMYFUNCTION("""COMPUTED_VALUE"""),4891.54230116208)</f>
        <v>4891.54230116208</v>
      </c>
      <c r="D106" s="10" t="n">
        <f aca="false">IFERROR(__xludf.DUMMYFUNCTION("""COMPUTED_VALUE"""),8804.49809705261)</f>
        <v>8804.49809705261</v>
      </c>
      <c r="E106" s="10" t="n">
        <f aca="false">IFERROR(__xludf.DUMMYFUNCTION("""COMPUTED_VALUE"""),16155.1693191114)</f>
        <v>16155.1693191114</v>
      </c>
      <c r="F106" s="10" t="n">
        <f aca="false">IFERROR(__xludf.DUMMYFUNCTION("""COMPUTED_VALUE"""),24289.755497406)</f>
        <v>24289.755497406</v>
      </c>
      <c r="G106" s="10" t="n">
        <f aca="false">IFERROR(__xludf.DUMMYFUNCTION("""COMPUTED_VALUE"""),33841.2206487062)</f>
        <v>33841.2206487062</v>
      </c>
      <c r="H106" s="10" t="n">
        <f aca="false">IFERROR(__xludf.DUMMYFUNCTION("""COMPUTED_VALUE"""),42546.7737799779)</f>
        <v>42546.7737799779</v>
      </c>
      <c r="I106" s="10" t="n">
        <f aca="false">IFERROR(__xludf.DUMMYFUNCTION("""COMPUTED_VALUE"""),49404.9939556295)</f>
        <v>49404.9939556295</v>
      </c>
      <c r="J106" s="10" t="n">
        <f aca="false">IFERROR(__xludf.DUMMYFUNCTION("""COMPUTED_VALUE"""),52946.3268371571)</f>
        <v>52946.3268371571</v>
      </c>
      <c r="K106" s="10" t="n">
        <f aca="false">IFERROR(__xludf.DUMMYFUNCTION("""COMPUTED_VALUE"""),56575.8368575054)</f>
        <v>56575.8368575054</v>
      </c>
    </row>
    <row r="107" customFormat="false" ht="15" hidden="false" customHeight="false" outlineLevel="0" collapsed="false">
      <c r="A107" s="5" t="s">
        <v>47</v>
      </c>
      <c r="B107" s="10" t="n">
        <f aca="false">IFERROR(__xludf.DUMMYFUNCTION("""COMPUTED_VALUE"""),95.1170864109637)</f>
        <v>95.1170864109637</v>
      </c>
      <c r="C107" s="10" t="n">
        <f aca="false">IFERROR(__xludf.DUMMYFUNCTION("""COMPUTED_VALUE"""),371.079719409453)</f>
        <v>371.079719409453</v>
      </c>
      <c r="D107" s="10" t="n">
        <f aca="false">IFERROR(__xludf.DUMMYFUNCTION("""COMPUTED_VALUE"""),849.481755937015)</f>
        <v>849.481755937015</v>
      </c>
      <c r="E107" s="10" t="n">
        <f aca="false">IFERROR(__xludf.DUMMYFUNCTION("""COMPUTED_VALUE"""),1563.98375054836)</f>
        <v>1563.98375054836</v>
      </c>
      <c r="F107" s="10" t="n">
        <f aca="false">IFERROR(__xludf.DUMMYFUNCTION("""COMPUTED_VALUE"""),2262.90900743594)</f>
        <v>2262.90900743594</v>
      </c>
      <c r="G107" s="10" t="n">
        <f aca="false">IFERROR(__xludf.DUMMYFUNCTION("""COMPUTED_VALUE"""),3004.56109120492)</f>
        <v>3004.56109120492</v>
      </c>
      <c r="H107" s="10" t="n">
        <f aca="false">IFERROR(__xludf.DUMMYFUNCTION("""COMPUTED_VALUE"""),3692.27957526984)</f>
        <v>3692.27957526984</v>
      </c>
      <c r="I107" s="10" t="n">
        <f aca="false">IFERROR(__xludf.DUMMYFUNCTION("""COMPUTED_VALUE"""),4111.13696738219)</f>
        <v>4111.13696738219</v>
      </c>
      <c r="J107" s="10" t="n">
        <f aca="false">IFERROR(__xludf.DUMMYFUNCTION("""COMPUTED_VALUE"""),4448.31646963558)</f>
        <v>4448.31646963558</v>
      </c>
      <c r="K107" s="10" t="n">
        <f aca="false">IFERROR(__xludf.DUMMYFUNCTION("""COMPUTED_VALUE"""),4790.71011839089)</f>
        <v>4790.71011839089</v>
      </c>
    </row>
    <row r="108" customFormat="false" ht="15" hidden="false" customHeight="false" outlineLevel="0" collapsed="false">
      <c r="A108" s="5" t="s">
        <v>48</v>
      </c>
      <c r="B108" s="10" t="n">
        <f aca="false">IFERROR(__xludf.DUMMYFUNCTION("""COMPUTED_VALUE"""),562.174778867108)</f>
        <v>562.174778867108</v>
      </c>
      <c r="C108" s="10" t="n">
        <f aca="false">IFERROR(__xludf.DUMMYFUNCTION("""COMPUTED_VALUE"""),2263.41132122938)</f>
        <v>2263.41132122938</v>
      </c>
      <c r="D108" s="10" t="n">
        <f aca="false">IFERROR(__xludf.DUMMYFUNCTION("""COMPUTED_VALUE"""),5123.65090683008)</f>
        <v>5123.65090683008</v>
      </c>
      <c r="E108" s="10" t="n">
        <f aca="false">IFERROR(__xludf.DUMMYFUNCTION("""COMPUTED_VALUE"""),9686.3515865454)</f>
        <v>9686.3515865454</v>
      </c>
      <c r="F108" s="10" t="n">
        <f aca="false">IFERROR(__xludf.DUMMYFUNCTION("""COMPUTED_VALUE"""),13952.8293613136)</f>
        <v>13952.8293613136</v>
      </c>
      <c r="G108" s="10" t="n">
        <f aca="false">IFERROR(__xludf.DUMMYFUNCTION("""COMPUTED_VALUE"""),18540.2490682695)</f>
        <v>18540.2490682695</v>
      </c>
      <c r="H108" s="10" t="n">
        <f aca="false">IFERROR(__xludf.DUMMYFUNCTION("""COMPUTED_VALUE"""),22690.2948855283)</f>
        <v>22690.2948855283</v>
      </c>
      <c r="I108" s="10" t="n">
        <f aca="false">IFERROR(__xludf.DUMMYFUNCTION("""COMPUTED_VALUE"""),25144.9492517373)</f>
        <v>25144.9492517373</v>
      </c>
      <c r="J108" s="10" t="n">
        <f aca="false">IFERROR(__xludf.DUMMYFUNCTION("""COMPUTED_VALUE"""),27124.1123066399)</f>
        <v>27124.1123066399</v>
      </c>
      <c r="K108" s="10" t="n">
        <f aca="false">IFERROR(__xludf.DUMMYFUNCTION("""COMPUTED_VALUE"""),29139.3203107948)</f>
        <v>29139.3203107948</v>
      </c>
    </row>
    <row r="109" customFormat="false" ht="15" hidden="false" customHeight="false" outlineLevel="0" collapsed="false">
      <c r="A109" s="5" t="s">
        <v>49</v>
      </c>
      <c r="B109" s="10" t="n">
        <f aca="false">IFERROR(__xludf.DUMMYFUNCTION("""COMPUTED_VALUE"""),34.110954935858)</f>
        <v>34.110954935858</v>
      </c>
      <c r="C109" s="10" t="n">
        <f aca="false">IFERROR(__xludf.DUMMYFUNCTION("""COMPUTED_VALUE"""),126.165896842138)</f>
        <v>126.165896842138</v>
      </c>
      <c r="D109" s="10" t="n">
        <f aca="false">IFERROR(__xludf.DUMMYFUNCTION("""COMPUTED_VALUE"""),295.435160630528)</f>
        <v>295.435160630528</v>
      </c>
      <c r="E109" s="10" t="n">
        <f aca="false">IFERROR(__xludf.DUMMYFUNCTION("""COMPUTED_VALUE"""),565.061687970617)</f>
        <v>565.061687970617</v>
      </c>
      <c r="F109" s="10" t="n">
        <f aca="false">IFERROR(__xludf.DUMMYFUNCTION("""COMPUTED_VALUE"""),820.026184319452)</f>
        <v>820.026184319452</v>
      </c>
      <c r="G109" s="10" t="n">
        <f aca="false">IFERROR(__xludf.DUMMYFUNCTION("""COMPUTED_VALUE"""),1098.29367747525)</f>
        <v>1098.29367747525</v>
      </c>
      <c r="H109" s="10" t="n">
        <f aca="false">IFERROR(__xludf.DUMMYFUNCTION("""COMPUTED_VALUE"""),1344.24226967378)</f>
        <v>1344.24226967378</v>
      </c>
      <c r="I109" s="10" t="n">
        <f aca="false">IFERROR(__xludf.DUMMYFUNCTION("""COMPUTED_VALUE"""),1488.60163629595)</f>
        <v>1488.60163629595</v>
      </c>
      <c r="J109" s="10" t="n">
        <f aca="false">IFERROR(__xludf.DUMMYFUNCTION("""COMPUTED_VALUE"""),1605.92246734107)</f>
        <v>1605.92246734107</v>
      </c>
      <c r="K109" s="10" t="n">
        <f aca="false">IFERROR(__xludf.DUMMYFUNCTION("""COMPUTED_VALUE"""),1725.36955653994)</f>
        <v>1725.36955653994</v>
      </c>
    </row>
    <row r="110" customFormat="false" ht="15" hidden="false" customHeight="false" outlineLevel="0" collapsed="false">
      <c r="A110" s="5" t="s">
        <v>50</v>
      </c>
      <c r="B110" s="10" t="n">
        <f aca="false">IFERROR(__xludf.DUMMYFUNCTION("""COMPUTED_VALUE"""),45.9185933602621)</f>
        <v>45.9185933602621</v>
      </c>
      <c r="C110" s="10" t="n">
        <f aca="false">IFERROR(__xludf.DUMMYFUNCTION("""COMPUTED_VALUE"""),185.458153302513)</f>
        <v>185.458153302513</v>
      </c>
      <c r="D110" s="10" t="n">
        <f aca="false">IFERROR(__xludf.DUMMYFUNCTION("""COMPUTED_VALUE"""),424.965164305242)</f>
        <v>424.965164305242</v>
      </c>
      <c r="E110" s="10" t="n">
        <f aca="false">IFERROR(__xludf.DUMMYFUNCTION("""COMPUTED_VALUE"""),797.392227965464)</f>
        <v>797.392227965464</v>
      </c>
      <c r="F110" s="10" t="n">
        <f aca="false">IFERROR(__xludf.DUMMYFUNCTION("""COMPUTED_VALUE"""),1150.48598712583)</f>
        <v>1150.48598712583</v>
      </c>
      <c r="G110" s="10" t="n">
        <f aca="false">IFERROR(__xludf.DUMMYFUNCTION("""COMPUTED_VALUE"""),1537.95960022863)</f>
        <v>1537.95960022863</v>
      </c>
      <c r="H110" s="10" t="n">
        <f aca="false">IFERROR(__xludf.DUMMYFUNCTION("""COMPUTED_VALUE"""),1884.76665919705)</f>
        <v>1884.76665919705</v>
      </c>
      <c r="I110" s="10" t="n">
        <f aca="false">IFERROR(__xludf.DUMMYFUNCTION("""COMPUTED_VALUE"""),2095.42742046657)</f>
        <v>2095.42742046657</v>
      </c>
      <c r="J110" s="10" t="n">
        <f aca="false">IFERROR(__xludf.DUMMYFUNCTION("""COMPUTED_VALUE"""),2264.22497541366)</f>
        <v>2264.22497541366</v>
      </c>
      <c r="K110" s="10" t="n">
        <f aca="false">IFERROR(__xludf.DUMMYFUNCTION("""COMPUTED_VALUE"""),2435.83311933763)</f>
        <v>2435.83311933763</v>
      </c>
    </row>
    <row r="111" customFormat="false" ht="15" hidden="false" customHeight="false" outlineLevel="0" collapsed="false">
      <c r="A111" s="5" t="s">
        <v>51</v>
      </c>
      <c r="B111" s="10" t="n">
        <f aca="false">IFERROR(__xludf.DUMMYFUNCTION("""COMPUTED_VALUE"""),6.55979909264265)</f>
        <v>6.55979909264265</v>
      </c>
      <c r="C111" s="10" t="n">
        <f aca="false">IFERROR(__xludf.DUMMYFUNCTION("""COMPUTED_VALUE"""),46.4970883503481)</f>
        <v>46.4970883503481</v>
      </c>
      <c r="D111" s="10" t="n">
        <f aca="false">IFERROR(__xludf.DUMMYFUNCTION("""COMPUTED_VALUE"""),91.257774850114)</f>
        <v>91.257774850114</v>
      </c>
      <c r="E111" s="10" t="n">
        <f aca="false">IFERROR(__xludf.DUMMYFUNCTION("""COMPUTED_VALUE"""),152.0143822883)</f>
        <v>152.0143822883</v>
      </c>
      <c r="F111" s="10" t="n">
        <f aca="false">IFERROR(__xludf.DUMMYFUNCTION("""COMPUTED_VALUE"""),214.387126624568)</f>
        <v>214.387126624568</v>
      </c>
      <c r="G111" s="10" t="n">
        <f aca="false">IFERROR(__xludf.DUMMYFUNCTION("""COMPUTED_VALUE"""),277.535533556036)</f>
        <v>277.535533556036</v>
      </c>
      <c r="H111" s="10" t="n">
        <f aca="false">IFERROR(__xludf.DUMMYFUNCTION("""COMPUTED_VALUE"""),344.425966020138)</f>
        <v>344.425966020138</v>
      </c>
      <c r="I111" s="10" t="n">
        <f aca="false">IFERROR(__xludf.DUMMYFUNCTION("""COMPUTED_VALUE"""),389.585413601674)</f>
        <v>389.585413601674</v>
      </c>
      <c r="J111" s="10" t="n">
        <f aca="false">IFERROR(__xludf.DUMMYFUNCTION("""COMPUTED_VALUE"""),425.883520111909)</f>
        <v>425.883520111909</v>
      </c>
      <c r="K111" s="10" t="n">
        <f aca="false">IFERROR(__xludf.DUMMYFUNCTION("""COMPUTED_VALUE"""),462.458588756731)</f>
        <v>462.458588756731</v>
      </c>
    </row>
    <row r="112" customFormat="false" ht="15" hidden="false" customHeight="false" outlineLevel="0" collapsed="false">
      <c r="A112" s="5" t="s">
        <v>52</v>
      </c>
      <c r="B112" s="10" t="n">
        <f aca="false">IFERROR(__xludf.DUMMYFUNCTION("""COMPUTED_VALUE"""),3.27989940220307)</f>
        <v>3.27989940220307</v>
      </c>
      <c r="C112" s="10" t="n">
        <f aca="false">IFERROR(__xludf.DUMMYFUNCTION("""COMPUTED_VALUE"""),23.9880565802094)</f>
        <v>23.9880565802094</v>
      </c>
      <c r="D112" s="10" t="n">
        <f aca="false">IFERROR(__xludf.DUMMYFUNCTION("""COMPUTED_VALUE"""),47.4044807932921)</f>
        <v>47.4044807932921</v>
      </c>
      <c r="E112" s="10" t="n">
        <f aca="false">IFERROR(__xludf.DUMMYFUNCTION("""COMPUTED_VALUE"""),81.0927884881688)</f>
        <v>81.0927884881688</v>
      </c>
      <c r="F112" s="10" t="n">
        <f aca="false">IFERROR(__xludf.DUMMYFUNCTION("""COMPUTED_VALUE"""),114.978265229342)</f>
        <v>114.978265229342</v>
      </c>
      <c r="G112" s="10" t="n">
        <f aca="false">IFERROR(__xludf.DUMMYFUNCTION("""COMPUTED_VALUE"""),148.305546324566)</f>
        <v>148.305546324566</v>
      </c>
      <c r="H112" s="10" t="n">
        <f aca="false">IFERROR(__xludf.DUMMYFUNCTION("""COMPUTED_VALUE"""),181.319642891793)</f>
        <v>181.319642891793</v>
      </c>
      <c r="I112" s="10" t="n">
        <f aca="false">IFERROR(__xludf.DUMMYFUNCTION("""COMPUTED_VALUE"""),204.987468426155)</f>
        <v>204.987468426155</v>
      </c>
      <c r="J112" s="10" t="n">
        <f aca="false">IFERROR(__xludf.DUMMYFUNCTION("""COMPUTED_VALUE"""),222.92527819053)</f>
        <v>222.92527819053</v>
      </c>
      <c r="K112" s="10" t="n">
        <f aca="false">IFERROR(__xludf.DUMMYFUNCTION("""COMPUTED_VALUE"""),241.066833405312)</f>
        <v>241.066833405312</v>
      </c>
    </row>
    <row r="113" customFormat="false" ht="15" hidden="false" customHeight="false" outlineLevel="0" collapsed="false">
      <c r="A113" s="5" t="s">
        <v>53</v>
      </c>
      <c r="B113" s="10" t="n">
        <f aca="false">IFERROR(__xludf.DUMMYFUNCTION("""COMPUTED_VALUE"""),1.96793964132184)</f>
        <v>1.96793964132184</v>
      </c>
      <c r="C113" s="10" t="n">
        <f aca="false">IFERROR(__xludf.DUMMYFUNCTION("""COMPUTED_VALUE"""),13.5681893058901)</f>
        <v>13.5681893058901</v>
      </c>
      <c r="D113" s="10" t="n">
        <f aca="false">IFERROR(__xludf.DUMMYFUNCTION("""COMPUTED_VALUE"""),25.6212495852672)</f>
        <v>25.6212495852672</v>
      </c>
      <c r="E113" s="10" t="n">
        <f aca="false">IFERROR(__xludf.DUMMYFUNCTION("""COMPUTED_VALUE"""),45.9744406243852)</f>
        <v>45.9744406243852</v>
      </c>
      <c r="F113" s="10" t="n">
        <f aca="false">IFERROR(__xludf.DUMMYFUNCTION("""COMPUTED_VALUE"""),63.3532891866521)</f>
        <v>63.3532891866521</v>
      </c>
      <c r="G113" s="10" t="n">
        <f aca="false">IFERROR(__xludf.DUMMYFUNCTION("""COMPUTED_VALUE"""),84.1275464895187)</f>
        <v>84.1275464895187</v>
      </c>
      <c r="H113" s="10" t="n">
        <f aca="false">IFERROR(__xludf.DUMMYFUNCTION("""COMPUTED_VALUE"""),106.314354346611)</f>
        <v>106.314354346611</v>
      </c>
      <c r="I113" s="10" t="n">
        <f aca="false">IFERROR(__xludf.DUMMYFUNCTION("""COMPUTED_VALUE"""),117.718369427634)</f>
        <v>117.718369427634</v>
      </c>
      <c r="J113" s="10" t="n">
        <f aca="false">IFERROR(__xludf.DUMMYFUNCTION("""COMPUTED_VALUE"""),128.490629753557)</f>
        <v>128.490629753557</v>
      </c>
      <c r="K113" s="10" t="n">
        <f aca="false">IFERROR(__xludf.DUMMYFUNCTION("""COMPUTED_VALUE"""),139.356355954645)</f>
        <v>139.356355954645</v>
      </c>
    </row>
    <row r="114" customFormat="false" ht="15" hidden="false" customHeight="false" outlineLevel="0" collapsed="false">
      <c r="A114" s="5" t="s">
        <v>54</v>
      </c>
      <c r="B114" s="10" t="n">
        <f aca="false">IFERROR(__xludf.DUMMYFUNCTION("""COMPUTED_VALUE"""),23.6152765605716)</f>
        <v>23.6152765605716</v>
      </c>
      <c r="C114" s="10" t="n">
        <f aca="false">IFERROR(__xludf.DUMMYFUNCTION("""COMPUTED_VALUE"""),96.6741939139012)</f>
        <v>96.6741939139012</v>
      </c>
      <c r="D114" s="10" t="n">
        <f aca="false">IFERROR(__xludf.DUMMYFUNCTION("""COMPUTED_VALUE"""),215.196899992539)</f>
        <v>215.196899992539</v>
      </c>
      <c r="E114" s="10" t="n">
        <f aca="false">IFERROR(__xludf.DUMMYFUNCTION("""COMPUTED_VALUE"""),391.6845403414)</f>
        <v>391.6845403414</v>
      </c>
      <c r="F114" s="10" t="n">
        <f aca="false">IFERROR(__xludf.DUMMYFUNCTION("""COMPUTED_VALUE"""),565.267967308143)</f>
        <v>565.267967308143</v>
      </c>
      <c r="G114" s="10" t="n">
        <f aca="false">IFERROR(__xludf.DUMMYFUNCTION("""COMPUTED_VALUE"""),748.994495991916)</f>
        <v>748.994495991916</v>
      </c>
      <c r="H114" s="10" t="n">
        <f aca="false">IFERROR(__xludf.DUMMYFUNCTION("""COMPUTED_VALUE"""),921.56805177326)</f>
        <v>921.56805177326</v>
      </c>
      <c r="I114" s="10" t="n">
        <f aca="false">IFERROR(__xludf.DUMMYFUNCTION("""COMPUTED_VALUE"""),1031.46570643837)</f>
        <v>1031.46570643837</v>
      </c>
      <c r="J114" s="10" t="n">
        <f aca="false">IFERROR(__xludf.DUMMYFUNCTION("""COMPUTED_VALUE"""),1115.6908763264)</f>
        <v>1115.6908763264</v>
      </c>
      <c r="K114" s="10" t="n">
        <f aca="false">IFERROR(__xludf.DUMMYFUNCTION("""COMPUTED_VALUE"""),1201.24282190818)</f>
        <v>1201.24282190818</v>
      </c>
    </row>
    <row r="115" customFormat="false" ht="15" hidden="false" customHeight="false" outlineLevel="0" collapsed="false">
      <c r="A115" s="5" t="s">
        <v>55</v>
      </c>
      <c r="B115" s="10" t="n">
        <f aca="false">IFERROR(__xludf.DUMMYFUNCTION("""COMPUTED_VALUE"""),129.884021227262)</f>
        <v>129.884021227262</v>
      </c>
      <c r="C115" s="10" t="n">
        <f aca="false">IFERROR(__xludf.DUMMYFUNCTION("""COMPUTED_VALUE"""),489.189661876883)</f>
        <v>489.189661876883</v>
      </c>
      <c r="D115" s="10" t="n">
        <f aca="false">IFERROR(__xludf.DUMMYFUNCTION("""COMPUTED_VALUE"""),1140.0321209145)</f>
        <v>1140.0321209145</v>
      </c>
      <c r="E115" s="10" t="n">
        <f aca="false">IFERROR(__xludf.DUMMYFUNCTION("""COMPUTED_VALUE"""),2179.43125469498)</f>
        <v>2179.43125469498</v>
      </c>
      <c r="F115" s="10" t="n">
        <f aca="false">IFERROR(__xludf.DUMMYFUNCTION("""COMPUTED_VALUE"""),3147.58437958836)</f>
        <v>3147.58437958836</v>
      </c>
      <c r="G115" s="10" t="n">
        <f aca="false">IFERROR(__xludf.DUMMYFUNCTION("""COMPUTED_VALUE"""),4183.7197935464)</f>
        <v>4183.7197935464</v>
      </c>
      <c r="H115" s="10" t="n">
        <f aca="false">IFERROR(__xludf.DUMMYFUNCTION("""COMPUTED_VALUE"""),5115.1889344431)</f>
        <v>5115.1889344431</v>
      </c>
      <c r="I115" s="10" t="n">
        <f aca="false">IFERROR(__xludf.DUMMYFUNCTION("""COMPUTED_VALUE"""),5654.39474946592)</f>
        <v>5654.39474946592</v>
      </c>
      <c r="J115" s="10" t="n">
        <f aca="false">IFERROR(__xludf.DUMMYFUNCTION("""COMPUTED_VALUE"""),6099.60508356806)</f>
        <v>6099.60508356806</v>
      </c>
      <c r="K115" s="10" t="n">
        <f aca="false">IFERROR(__xludf.DUMMYFUNCTION("""COMPUTED_VALUE"""),6552.91332717418)</f>
        <v>6552.91332717418</v>
      </c>
    </row>
    <row r="116" customFormat="false" ht="15" hidden="false" customHeight="false" outlineLevel="0" collapsed="false">
      <c r="A116" s="5" t="s">
        <v>56</v>
      </c>
      <c r="B116" s="10" t="n">
        <f aca="false">IFERROR(__xludf.DUMMYFUNCTION("""COMPUTED_VALUE"""),36.0788948654163)</f>
        <v>36.0788948654163</v>
      </c>
      <c r="C116" s="10" t="n">
        <f aca="false">IFERROR(__xludf.DUMMYFUNCTION("""COMPUTED_VALUE"""),185.517768970709)</f>
        <v>185.517768970709</v>
      </c>
      <c r="D116" s="10" t="n">
        <f aca="false">IFERROR(__xludf.DUMMYFUNCTION("""COMPUTED_VALUE"""),396.505838356991)</f>
        <v>396.505838356991</v>
      </c>
      <c r="E116" s="10" t="n">
        <f aca="false">IFERROR(__xludf.DUMMYFUNCTION("""COMPUTED_VALUE"""),709.143739080236)</f>
        <v>709.143739080236</v>
      </c>
      <c r="F116" s="10" t="n">
        <f aca="false">IFERROR(__xludf.DUMMYFUNCTION("""COMPUTED_VALUE"""),1021.87268564495)</f>
        <v>1021.87268564495</v>
      </c>
      <c r="G116" s="10" t="n">
        <f aca="false">IFERROR(__xludf.DUMMYFUNCTION("""COMPUTED_VALUE"""),1361.47411848296)</f>
        <v>1361.47411848296</v>
      </c>
      <c r="H116" s="10" t="n">
        <f aca="false">IFERROR(__xludf.DUMMYFUNCTION("""COMPUTED_VALUE"""),1687.30917203508)</f>
        <v>1687.30917203508</v>
      </c>
      <c r="I116" s="10" t="n">
        <f aca="false">IFERROR(__xludf.DUMMYFUNCTION("""COMPUTED_VALUE"""),1904.79939090701)</f>
        <v>1904.79939090701</v>
      </c>
      <c r="J116" s="10" t="n">
        <f aca="false">IFERROR(__xludf.DUMMYFUNCTION("""COMPUTED_VALUE"""),2071.18347789329)</f>
        <v>2071.18347789329</v>
      </c>
      <c r="K116" s="10" t="n">
        <f aca="false">IFERROR(__xludf.DUMMYFUNCTION("""COMPUTED_VALUE"""),2239.47576029921)</f>
        <v>2239.47576029921</v>
      </c>
    </row>
    <row r="117" customFormat="false" ht="15" hidden="false" customHeight="false" outlineLevel="0" collapsed="false">
      <c r="A117" s="5" t="s">
        <v>57</v>
      </c>
      <c r="B117" s="10" t="n">
        <f aca="false">IFERROR(__xludf.DUMMYFUNCTION("""COMPUTED_VALUE"""),5.24783933176142)</f>
        <v>5.24783933176142</v>
      </c>
      <c r="C117" s="10" t="n">
        <f aca="false">IFERROR(__xludf.DUMMYFUNCTION("""COMPUTED_VALUE"""),32.3041415187662)</f>
        <v>32.3041415187662</v>
      </c>
      <c r="D117" s="10" t="n">
        <f aca="false">IFERROR(__xludf.DUMMYFUNCTION("""COMPUTED_VALUE"""),66.5405620583937)</f>
        <v>66.5405620583937</v>
      </c>
      <c r="E117" s="10" t="n">
        <f aca="false">IFERROR(__xludf.DUMMYFUNCTION("""COMPUTED_VALUE"""),115.500787572425)</f>
        <v>115.500787572425</v>
      </c>
      <c r="F117" s="10" t="n">
        <f aca="false">IFERROR(__xludf.DUMMYFUNCTION("""COMPUTED_VALUE"""),165.594117483891)</f>
        <v>165.594117483891</v>
      </c>
      <c r="G117" s="10" t="n">
        <f aca="false">IFERROR(__xludf.DUMMYFUNCTION("""COMPUTED_VALUE"""),217.42994631274)</f>
        <v>217.42994631274</v>
      </c>
      <c r="H117" s="10" t="n">
        <f aca="false">IFERROR(__xludf.DUMMYFUNCTION("""COMPUTED_VALUE"""),272.339927867329)</f>
        <v>272.339927867329</v>
      </c>
      <c r="I117" s="10" t="n">
        <f aca="false">IFERROR(__xludf.DUMMYFUNCTION("""COMPUTED_VALUE"""),309.057174644982)</f>
        <v>309.057174644982</v>
      </c>
      <c r="J117" s="10" t="n">
        <f aca="false">IFERROR(__xludf.DUMMYFUNCTION("""COMPUTED_VALUE"""),337.725489353911)</f>
        <v>337.725489353911</v>
      </c>
      <c r="K117" s="10" t="n">
        <f aca="false">IFERROR(__xludf.DUMMYFUNCTION("""COMPUTED_VALUE"""),366.61985757759)</f>
        <v>366.61985757759</v>
      </c>
    </row>
    <row r="118" customFormat="false" ht="15" hidden="false" customHeight="false" outlineLevel="0" collapsed="false">
      <c r="A118" s="5" t="s">
        <v>58</v>
      </c>
      <c r="B118" s="10" t="n">
        <f aca="false">IFERROR(__xludf.DUMMYFUNCTION("""COMPUTED_VALUE"""),1.96793964132184)</f>
        <v>1.96793964132184</v>
      </c>
      <c r="C118" s="10" t="n">
        <f aca="false">IFERROR(__xludf.DUMMYFUNCTION("""COMPUTED_VALUE"""),13.5681893058901)</f>
        <v>13.5681893058901</v>
      </c>
      <c r="D118" s="10" t="n">
        <f aca="false">IFERROR(__xludf.DUMMYFUNCTION("""COMPUTED_VALUE"""),25.6212495852672)</f>
        <v>25.6212495852672</v>
      </c>
      <c r="E118" s="10" t="n">
        <f aca="false">IFERROR(__xludf.DUMMYFUNCTION("""COMPUTED_VALUE"""),42.7394732580785)</f>
        <v>42.7394732580785</v>
      </c>
      <c r="F118" s="10" t="n">
        <f aca="false">IFERROR(__xludf.DUMMYFUNCTION("""COMPUTED_VALUE"""),59.1536403542778)</f>
        <v>59.1536403542778</v>
      </c>
      <c r="G118" s="10" t="n">
        <f aca="false">IFERROR(__xludf.DUMMYFUNCTION("""COMPUTED_VALUE"""),73.7208516235008)</f>
        <v>73.7208516235008</v>
      </c>
      <c r="H118" s="10" t="n">
        <f aca="false">IFERROR(__xludf.DUMMYFUNCTION("""COMPUTED_VALUE"""),94.6620284161215)</f>
        <v>94.6620284161215</v>
      </c>
      <c r="I118" s="10" t="n">
        <f aca="false">IFERROR(__xludf.DUMMYFUNCTION("""COMPUTED_VALUE"""),105.756300224786)</f>
        <v>105.756300224786</v>
      </c>
      <c r="J118" s="10" t="n">
        <f aca="false">IFERROR(__xludf.DUMMYFUNCTION("""COMPUTED_VALUE"""),115.779331548955)</f>
        <v>115.779331548955</v>
      </c>
      <c r="K118" s="10" t="n">
        <f aca="false">IFERROR(__xludf.DUMMYFUNCTION("""COMPUTED_VALUE"""),125.86907204172)</f>
        <v>125.86907204172</v>
      </c>
    </row>
    <row r="119" customFormat="false" ht="15" hidden="false" customHeight="false" outlineLevel="0" collapsed="false">
      <c r="A119" s="5" t="s">
        <v>59</v>
      </c>
      <c r="B119" s="10" t="n">
        <f aca="false">IFERROR(__xludf.DUMMYFUNCTION("""COMPUTED_VALUE"""),5.08384428959214)</f>
        <v>5.08384428959214</v>
      </c>
      <c r="C119" s="10" t="n">
        <f aca="false">IFERROR(__xludf.DUMMYFUNCTION("""COMPUTED_VALUE"""),24.7848284641265)</f>
        <v>24.7848284641265</v>
      </c>
      <c r="D119" s="10" t="n">
        <f aca="false">IFERROR(__xludf.DUMMYFUNCTION("""COMPUTED_VALUE"""),53.8626309763781)</f>
        <v>53.8626309763781</v>
      </c>
      <c r="E119" s="10" t="n">
        <f aca="false">IFERROR(__xludf.DUMMYFUNCTION("""COMPUTED_VALUE"""),97.0156867255764)</f>
        <v>97.0156867255764</v>
      </c>
      <c r="F119" s="10" t="n">
        <f aca="false">IFERROR(__xludf.DUMMYFUNCTION("""COMPUTED_VALUE"""),139.544688246156)</f>
        <v>139.544688246156</v>
      </c>
      <c r="G119" s="10" t="n">
        <f aca="false">IFERROR(__xludf.DUMMYFUNCTION("""COMPUTED_VALUE"""),185.399596038765)</f>
        <v>185.399596038765</v>
      </c>
      <c r="H119" s="10" t="n">
        <f aca="false">IFERROR(__xludf.DUMMYFUNCTION("""COMPUTED_VALUE"""),228.407756161358)</f>
        <v>228.407756161358</v>
      </c>
      <c r="I119" s="10" t="n">
        <f aca="false">IFERROR(__xludf.DUMMYFUNCTION("""COMPUTED_VALUE"""),256.437593286933)</f>
        <v>256.437593286933</v>
      </c>
      <c r="J119" s="10" t="n">
        <f aca="false">IFERROR(__xludf.DUMMYFUNCTION("""COMPUTED_VALUE"""),278.237901066726)</f>
        <v>278.237901066726</v>
      </c>
      <c r="K119" s="10" t="n">
        <f aca="false">IFERROR(__xludf.DUMMYFUNCTION("""COMPUTED_VALUE"""),300.325058646191)</f>
        <v>300.325058646191</v>
      </c>
    </row>
    <row r="120" customFormat="false" ht="15" hidden="false" customHeight="false" outlineLevel="0" collapsed="false">
      <c r="A120" s="5" t="s">
        <v>60</v>
      </c>
      <c r="B120" s="10" t="n">
        <f aca="false">IFERROR(__xludf.DUMMYFUNCTION("""COMPUTED_VALUE"""),11.1844572641608)</f>
        <v>11.1844572641608</v>
      </c>
      <c r="C120" s="10" t="n">
        <f aca="false">IFERROR(__xludf.DUMMYFUNCTION("""COMPUTED_VALUE"""),54.5266229669621)</f>
        <v>54.5266229669621</v>
      </c>
      <c r="D120" s="10" t="n">
        <f aca="false">IFERROR(__xludf.DUMMYFUNCTION("""COMPUTED_VALUE"""),118.497788320974)</f>
        <v>118.497788320974</v>
      </c>
      <c r="E120" s="10" t="n">
        <f aca="false">IFERROR(__xludf.DUMMYFUNCTION("""COMPUTED_VALUE"""),213.434510738621)</f>
        <v>213.434510738621</v>
      </c>
      <c r="F120" s="10" t="n">
        <f aca="false">IFERROR(__xludf.DUMMYFUNCTION("""COMPUTED_VALUE"""),306.998313968602)</f>
        <v>306.998313968602</v>
      </c>
      <c r="G120" s="10" t="n">
        <f aca="false">IFERROR(__xludf.DUMMYFUNCTION("""COMPUTED_VALUE"""),407.879111573519)</f>
        <v>407.879111573519</v>
      </c>
      <c r="H120" s="10" t="n">
        <f aca="false">IFERROR(__xludf.DUMMYFUNCTION("""COMPUTED_VALUE"""),502.497063727929)</f>
        <v>502.497063727929</v>
      </c>
      <c r="I120" s="10" t="n">
        <f aca="false">IFERROR(__xludf.DUMMYFUNCTION("""COMPUTED_VALUE"""),564.162705115958)</f>
        <v>564.162705115958</v>
      </c>
      <c r="J120" s="10" t="n">
        <f aca="false">IFERROR(__xludf.DUMMYFUNCTION("""COMPUTED_VALUE"""),612.123382058561)</f>
        <v>612.123382058561</v>
      </c>
      <c r="K120" s="10" t="n">
        <f aca="false">IFERROR(__xludf.DUMMYFUNCTION("""COMPUTED_VALUE"""),660.71512861809)</f>
        <v>660.71512861809</v>
      </c>
    </row>
    <row r="121" customFormat="false" ht="15" hidden="false" customHeight="false" outlineLevel="0" collapsed="false">
      <c r="A121" s="5" t="s">
        <v>61</v>
      </c>
      <c r="B121" s="10" t="n">
        <f aca="false">IFERROR(__xludf.DUMMYFUNCTION("""COMPUTED_VALUE"""),2.44024513218017)</f>
        <v>2.44024513218017</v>
      </c>
      <c r="C121" s="10" t="n">
        <f aca="false">IFERROR(__xludf.DUMMYFUNCTION("""COMPUTED_VALUE"""),11.8967176281923)</f>
        <v>11.8967176281923</v>
      </c>
      <c r="D121" s="10" t="n">
        <f aca="false">IFERROR(__xludf.DUMMYFUNCTION("""COMPUTED_VALUE"""),25.8540628225437)</f>
        <v>25.8540628225437</v>
      </c>
      <c r="E121" s="10" t="n">
        <f aca="false">IFERROR(__xludf.DUMMYFUNCTION("""COMPUTED_VALUE"""),46.5675296052178)</f>
        <v>46.5675296052178</v>
      </c>
      <c r="F121" s="10" t="n">
        <f aca="false">IFERROR(__xludf.DUMMYFUNCTION("""COMPUTED_VALUE"""),66.9814503466256)</f>
        <v>66.9814503466256</v>
      </c>
      <c r="G121" s="10" t="n">
        <f aca="false">IFERROR(__xludf.DUMMYFUNCTION("""COMPUTED_VALUE"""),88.9918061562543)</f>
        <v>88.9918061562543</v>
      </c>
      <c r="H121" s="10" t="n">
        <f aca="false">IFERROR(__xludf.DUMMYFUNCTION("""COMPUTED_VALUE"""),109.635722911334)</f>
        <v>109.635722911334</v>
      </c>
      <c r="I121" s="10" t="n">
        <f aca="false">IFERROR(__xludf.DUMMYFUNCTION("""COMPUTED_VALUE"""),123.090044673963)</f>
        <v>123.090044673963</v>
      </c>
      <c r="J121" s="10" t="n">
        <f aca="false">IFERROR(__xludf.DUMMYFUNCTION("""COMPUTED_VALUE"""),133.554192569676)</f>
        <v>133.554192569676</v>
      </c>
      <c r="K121" s="10" t="n">
        <f aca="false">IFERROR(__xludf.DUMMYFUNCTION("""COMPUTED_VALUE"""),144.156028161701)</f>
        <v>144.156028161701</v>
      </c>
    </row>
    <row r="122" customFormat="false" ht="15" hidden="false" customHeight="false" outlineLevel="0" collapsed="false">
      <c r="A122" s="5" t="s">
        <v>62</v>
      </c>
      <c r="B122" s="10" t="n">
        <f aca="false">IFERROR(__xludf.DUMMYFUNCTION("""COMPUTED_VALUE"""),1.62683018419895)</f>
        <v>1.62683018419895</v>
      </c>
      <c r="C122" s="10" t="n">
        <f aca="false">IFERROR(__xludf.DUMMYFUNCTION("""COMPUTED_VALUE"""),7.93114508546156)</f>
        <v>7.93114508546156</v>
      </c>
      <c r="D122" s="10" t="n">
        <f aca="false">IFERROR(__xludf.DUMMYFUNCTION("""COMPUTED_VALUE"""),17.2360420738534)</f>
        <v>17.2360420738534</v>
      </c>
      <c r="E122" s="10" t="n">
        <f aca="false">IFERROR(__xludf.DUMMYFUNCTION("""COMPUTED_VALUE"""),31.0450198328907)</f>
        <v>31.0450198328907</v>
      </c>
      <c r="F122" s="10" t="n">
        <f aca="false">IFERROR(__xludf.DUMMYFUNCTION("""COMPUTED_VALUE"""),44.6543001350049)</f>
        <v>44.6543001350049</v>
      </c>
      <c r="G122" s="10" t="n">
        <f aca="false">IFERROR(__xludf.DUMMYFUNCTION("""COMPUTED_VALUE"""),59.3278706747574)</f>
        <v>59.3278706747574</v>
      </c>
      <c r="H122" s="10" t="n">
        <f aca="false">IFERROR(__xludf.DUMMYFUNCTION("""COMPUTED_VALUE"""),73.0904821330469)</f>
        <v>73.0904821330469</v>
      </c>
      <c r="I122" s="10" t="n">
        <f aca="false">IFERROR(__xludf.DUMMYFUNCTION("""COMPUTED_VALUE"""),82.0600297826418)</f>
        <v>82.0600297826418</v>
      </c>
      <c r="J122" s="10" t="n">
        <f aca="false">IFERROR(__xludf.DUMMYFUNCTION("""COMPUTED_VALUE"""),89.0361282837051)</f>
        <v>89.0361282837051</v>
      </c>
      <c r="K122" s="10" t="n">
        <f aca="false">IFERROR(__xludf.DUMMYFUNCTION("""COMPUTED_VALUE"""),96.1040185823099)</f>
        <v>96.1040185823099</v>
      </c>
    </row>
    <row r="124" customFormat="false" ht="35.05" hidden="false" customHeight="false" outlineLevel="0" collapsed="false">
      <c r="A124" s="3" t="s">
        <v>63</v>
      </c>
      <c r="B124" s="3" t="s">
        <v>64</v>
      </c>
      <c r="C124" s="3" t="s">
        <v>65</v>
      </c>
      <c r="D124" s="3" t="s">
        <v>66</v>
      </c>
      <c r="E124" s="3" t="s">
        <v>67</v>
      </c>
      <c r="F124" s="3" t="s">
        <v>68</v>
      </c>
      <c r="G124" s="3" t="s">
        <v>69</v>
      </c>
      <c r="H124" s="3" t="s">
        <v>70</v>
      </c>
      <c r="I124" s="3" t="s">
        <v>71</v>
      </c>
      <c r="J124" s="3" t="s">
        <v>72</v>
      </c>
      <c r="K124" s="3" t="s">
        <v>73</v>
      </c>
      <c r="L124" s="3" t="s">
        <v>74</v>
      </c>
      <c r="M124" s="3" t="s">
        <v>75</v>
      </c>
      <c r="N124" s="3" t="s">
        <v>76</v>
      </c>
      <c r="O124" s="3" t="s">
        <v>77</v>
      </c>
      <c r="P124" s="3" t="s">
        <v>78</v>
      </c>
    </row>
    <row r="125" customFormat="false" ht="15" hidden="false" customHeight="false" outlineLevel="0" collapsed="false">
      <c r="A125" s="5" t="s">
        <v>46</v>
      </c>
      <c r="B125" s="10" t="n">
        <f aca="false">IFERROR(__xludf.DUMMYFUNCTION("IMPORTRANGE(Links!$B$5,""PROY_Indexado!B97:H113"")"),1188664)</f>
        <v>1188664</v>
      </c>
      <c r="C125" s="10" t="n">
        <f aca="false">IFERROR(__xludf.DUMMYFUNCTION("""COMPUTED_VALUE"""),0)</f>
        <v>0</v>
      </c>
      <c r="D125" s="10" t="n">
        <f aca="false">IFERROR(__xludf.DUMMYFUNCTION("""COMPUTED_VALUE"""),0)</f>
        <v>0</v>
      </c>
      <c r="E125" s="10" t="n">
        <f aca="false">IFERROR(__xludf.DUMMYFUNCTION("""COMPUTED_VALUE"""),1533.8)</f>
        <v>1533.8</v>
      </c>
      <c r="F125" s="10" t="n">
        <f aca="false">IFERROR(__xludf.DUMMYFUNCTION("""COMPUTED_VALUE"""),0)</f>
        <v>0</v>
      </c>
      <c r="G125" s="10" t="n">
        <f aca="false">IFERROR(__xludf.DUMMYFUNCTION("""COMPUTED_VALUE"""),0)</f>
        <v>0</v>
      </c>
      <c r="H125" s="10" t="n">
        <f aca="false">IFERROR(__xludf.DUMMYFUNCTION("""COMPUTED_VALUE"""),331)</f>
        <v>331</v>
      </c>
      <c r="I125" s="7" t="n">
        <f aca="false">SUM(B125:H125)</f>
        <v>1190528.8</v>
      </c>
      <c r="J125" s="11" t="n">
        <f aca="false">IF($I125=0,0,B125/$I125)</f>
        <v>0.998433637220704</v>
      </c>
      <c r="K125" s="11" t="n">
        <f aca="false">IF($I125=0,0,C125/$I125)</f>
        <v>0</v>
      </c>
      <c r="L125" s="11" t="n">
        <f aca="false">IF($I125=0,0,D125/$I125)</f>
        <v>0</v>
      </c>
      <c r="M125" s="11" t="n">
        <f aca="false">IF($I125=0,0,E125/$I125)</f>
        <v>0.00128833506589677</v>
      </c>
      <c r="N125" s="11" t="n">
        <f aca="false">IF($I125=0,0,F125/$I125)</f>
        <v>0</v>
      </c>
      <c r="O125" s="11" t="n">
        <f aca="false">IF($I125=0,0,G125/$I125)</f>
        <v>0</v>
      </c>
      <c r="P125" s="11" t="n">
        <f aca="false">IF($I125=0,0,H125/$I125)</f>
        <v>0.000278027713399289</v>
      </c>
    </row>
    <row r="126" customFormat="false" ht="15" hidden="false" customHeight="false" outlineLevel="0" collapsed="false">
      <c r="A126" s="5" t="s">
        <v>47</v>
      </c>
      <c r="B126" s="10" t="n">
        <f aca="false">IFERROR(__xludf.DUMMYFUNCTION("""COMPUTED_VALUE"""),0)</f>
        <v>0</v>
      </c>
      <c r="C126" s="10" t="n">
        <f aca="false">IFERROR(__xludf.DUMMYFUNCTION("""COMPUTED_VALUE"""),51231.6)</f>
        <v>51231.6</v>
      </c>
      <c r="D126" s="10" t="n">
        <f aca="false">IFERROR(__xludf.DUMMYFUNCTION("""COMPUTED_VALUE"""),8719.2)</f>
        <v>8719.2</v>
      </c>
      <c r="E126" s="10" t="n">
        <f aca="false">IFERROR(__xludf.DUMMYFUNCTION("""COMPUTED_VALUE"""),23764.4)</f>
        <v>23764.4</v>
      </c>
      <c r="F126" s="10" t="n">
        <f aca="false">IFERROR(__xludf.DUMMYFUNCTION("""COMPUTED_VALUE"""),0)</f>
        <v>0</v>
      </c>
      <c r="G126" s="10" t="n">
        <f aca="false">IFERROR(__xludf.DUMMYFUNCTION("""COMPUTED_VALUE"""),4173.4)</f>
        <v>4173.4</v>
      </c>
      <c r="H126" s="10" t="n">
        <f aca="false">IFERROR(__xludf.DUMMYFUNCTION("""COMPUTED_VALUE"""),3794)</f>
        <v>3794</v>
      </c>
      <c r="I126" s="7" t="n">
        <f aca="false">SUM(B126:H126)</f>
        <v>91682.6</v>
      </c>
      <c r="J126" s="11" t="n">
        <f aca="false">IF($I126=0,0,B126/$I126)</f>
        <v>0</v>
      </c>
      <c r="K126" s="11" t="n">
        <f aca="false">IF($I126=0,0,C126/$I126)</f>
        <v>0.558793053425623</v>
      </c>
      <c r="L126" s="11" t="n">
        <f aca="false">IF($I126=0,0,D126/$I126)</f>
        <v>0.0951020149952117</v>
      </c>
      <c r="M126" s="11" t="n">
        <f aca="false">IF($I126=0,0,E126/$I126)</f>
        <v>0.259202945815236</v>
      </c>
      <c r="N126" s="11" t="n">
        <f aca="false">IF($I126=0,0,F126/$I126)</f>
        <v>0</v>
      </c>
      <c r="O126" s="11" t="n">
        <f aca="false">IF($I126=0,0,G126/$I126)</f>
        <v>0.0455200877811057</v>
      </c>
      <c r="P126" s="11" t="n">
        <f aca="false">IF($I126=0,0,H126/$I126)</f>
        <v>0.0413818979828233</v>
      </c>
    </row>
    <row r="127" customFormat="false" ht="15" hidden="false" customHeight="false" outlineLevel="0" collapsed="false">
      <c r="A127" s="5" t="s">
        <v>48</v>
      </c>
      <c r="B127" s="10" t="n">
        <f aca="false">IFERROR(__xludf.DUMMYFUNCTION("""COMPUTED_VALUE"""),36760)</f>
        <v>36760</v>
      </c>
      <c r="C127" s="10" t="n">
        <f aca="false">IFERROR(__xludf.DUMMYFUNCTION("""COMPUTED_VALUE"""),373689.5)</f>
        <v>373689.5</v>
      </c>
      <c r="D127" s="10" t="n">
        <f aca="false">IFERROR(__xludf.DUMMYFUNCTION("""COMPUTED_VALUE"""),32472.3)</f>
        <v>32472.3</v>
      </c>
      <c r="E127" s="10" t="n">
        <f aca="false">IFERROR(__xludf.DUMMYFUNCTION("""COMPUTED_VALUE"""),6552.8)</f>
        <v>6552.8</v>
      </c>
      <c r="F127" s="10" t="n">
        <f aca="false">IFERROR(__xludf.DUMMYFUNCTION("""COMPUTED_VALUE"""),44086.3)</f>
        <v>44086.3</v>
      </c>
      <c r="G127" s="10" t="n">
        <f aca="false">IFERROR(__xludf.DUMMYFUNCTION("""COMPUTED_VALUE"""),26680.3)</f>
        <v>26680.3</v>
      </c>
      <c r="H127" s="10" t="n">
        <f aca="false">IFERROR(__xludf.DUMMYFUNCTION("""COMPUTED_VALUE"""),3289)</f>
        <v>3289</v>
      </c>
      <c r="I127" s="7" t="n">
        <f aca="false">SUM(B127:H127)</f>
        <v>523530.2</v>
      </c>
      <c r="J127" s="11" t="n">
        <f aca="false">IF($I127=0,0,B127/$I127)</f>
        <v>0.0702156246191719</v>
      </c>
      <c r="K127" s="11" t="n">
        <f aca="false">IF($I127=0,0,C127/$I127)</f>
        <v>0.713787857892439</v>
      </c>
      <c r="L127" s="11" t="n">
        <f aca="false">IF($I127=0,0,D127/$I127)</f>
        <v>0.0620256481861027</v>
      </c>
      <c r="M127" s="11" t="n">
        <f aca="false">IF($I127=0,0,E127/$I127)</f>
        <v>0.012516565424497</v>
      </c>
      <c r="N127" s="11" t="n">
        <f aca="false">IF($I127=0,0,F127/$I127)</f>
        <v>0.0842096597292764</v>
      </c>
      <c r="O127" s="11" t="n">
        <f aca="false">IF($I127=0,0,G127/$I127)</f>
        <v>0.0509622940567707</v>
      </c>
      <c r="P127" s="11" t="n">
        <f aca="false">IF($I127=0,0,H127/$I127)</f>
        <v>0.00628235009174256</v>
      </c>
    </row>
    <row r="128" customFormat="false" ht="15" hidden="false" customHeight="false" outlineLevel="0" collapsed="false">
      <c r="A128" s="5" t="s">
        <v>49</v>
      </c>
      <c r="B128" s="10" t="n">
        <f aca="false">IFERROR(__xludf.DUMMYFUNCTION("""COMPUTED_VALUE"""),0)</f>
        <v>0</v>
      </c>
      <c r="C128" s="10" t="n">
        <f aca="false">IFERROR(__xludf.DUMMYFUNCTION("""COMPUTED_VALUE"""),22903.5)</f>
        <v>22903.5</v>
      </c>
      <c r="D128" s="10" t="n">
        <f aca="false">IFERROR(__xludf.DUMMYFUNCTION("""COMPUTED_VALUE"""),3490)</f>
        <v>3490</v>
      </c>
      <c r="E128" s="10" t="n">
        <f aca="false">IFERROR(__xludf.DUMMYFUNCTION("""COMPUTED_VALUE"""),1572.7)</f>
        <v>1572.7</v>
      </c>
      <c r="F128" s="10" t="n">
        <f aca="false">IFERROR(__xludf.DUMMYFUNCTION("""COMPUTED_VALUE"""),0)</f>
        <v>0</v>
      </c>
      <c r="G128" s="10" t="n">
        <f aca="false">IFERROR(__xludf.DUMMYFUNCTION("""COMPUTED_VALUE"""),3566.9)</f>
        <v>3566.9</v>
      </c>
      <c r="H128" s="10" t="n">
        <f aca="false">IFERROR(__xludf.DUMMYFUNCTION("""COMPUTED_VALUE"""),0)</f>
        <v>0</v>
      </c>
      <c r="I128" s="7" t="n">
        <f aca="false">SUM(B128:H128)</f>
        <v>31533.1</v>
      </c>
      <c r="J128" s="11" t="n">
        <f aca="false">IF($I128=0,0,B128/$I128)</f>
        <v>0</v>
      </c>
      <c r="K128" s="11" t="n">
        <f aca="false">IF($I128=0,0,C128/$I128)</f>
        <v>0.726332013027581</v>
      </c>
      <c r="L128" s="11" t="n">
        <f aca="false">IF($I128=0,0,D128/$I128)</f>
        <v>0.110677351735161</v>
      </c>
      <c r="M128" s="11" t="n">
        <f aca="false">IF($I128=0,0,E128/$I128)</f>
        <v>0.0498745762389362</v>
      </c>
      <c r="N128" s="11" t="n">
        <f aca="false">IF($I128=0,0,F128/$I128)</f>
        <v>0</v>
      </c>
      <c r="O128" s="11" t="n">
        <f aca="false">IF($I128=0,0,G128/$I128)</f>
        <v>0.113116058998322</v>
      </c>
      <c r="P128" s="11" t="n">
        <f aca="false">IF($I128=0,0,H128/$I128)</f>
        <v>0</v>
      </c>
    </row>
    <row r="129" customFormat="false" ht="15" hidden="false" customHeight="false" outlineLevel="0" collapsed="false">
      <c r="A129" s="5" t="s">
        <v>50</v>
      </c>
      <c r="B129" s="10" t="n">
        <f aca="false">IFERROR(__xludf.DUMMYFUNCTION("""COMPUTED_VALUE"""),0)</f>
        <v>0</v>
      </c>
      <c r="C129" s="10" t="n">
        <f aca="false">IFERROR(__xludf.DUMMYFUNCTION("""COMPUTED_VALUE"""),28930.8)</f>
        <v>28930.8</v>
      </c>
      <c r="D129" s="10" t="n">
        <f aca="false">IFERROR(__xludf.DUMMYFUNCTION("""COMPUTED_VALUE"""),2999.8)</f>
        <v>2999.8</v>
      </c>
      <c r="E129" s="10" t="n">
        <f aca="false">IFERROR(__xludf.DUMMYFUNCTION("""COMPUTED_VALUE"""),1048.4)</f>
        <v>1048.4</v>
      </c>
      <c r="F129" s="10" t="n">
        <f aca="false">IFERROR(__xludf.DUMMYFUNCTION("""COMPUTED_VALUE"""),4377.3)</f>
        <v>4377.3</v>
      </c>
      <c r="G129" s="10" t="n">
        <f aca="false">IFERROR(__xludf.DUMMYFUNCTION("""COMPUTED_VALUE"""),5096)</f>
        <v>5096</v>
      </c>
      <c r="H129" s="10" t="n">
        <f aca="false">IFERROR(__xludf.DUMMYFUNCTION("""COMPUTED_VALUE"""),346)</f>
        <v>346</v>
      </c>
      <c r="I129" s="7" t="n">
        <f aca="false">SUM(B129:H129)</f>
        <v>42798.3</v>
      </c>
      <c r="J129" s="11" t="n">
        <f aca="false">IF($I129=0,0,B129/$I129)</f>
        <v>0</v>
      </c>
      <c r="K129" s="11" t="n">
        <f aca="false">IF($I129=0,0,C129/$I129)</f>
        <v>0.675980120705729</v>
      </c>
      <c r="L129" s="11" t="n">
        <f aca="false">IF($I129=0,0,D129/$I129)</f>
        <v>0.0700915690576495</v>
      </c>
      <c r="M129" s="11" t="n">
        <f aca="false">IF($I129=0,0,E129/$I129)</f>
        <v>0.0244963000866857</v>
      </c>
      <c r="N129" s="11" t="n">
        <f aca="false">IF($I129=0,0,F129/$I129)</f>
        <v>0.102277426907144</v>
      </c>
      <c r="O129" s="11" t="n">
        <f aca="false">IF($I129=0,0,G129/$I129)</f>
        <v>0.119070149982593</v>
      </c>
      <c r="P129" s="11" t="n">
        <f aca="false">IF($I129=0,0,H129/$I129)</f>
        <v>0.00808443326019959</v>
      </c>
    </row>
    <row r="130" customFormat="false" ht="15" hidden="false" customHeight="false" outlineLevel="0" collapsed="false">
      <c r="A130" s="5" t="s">
        <v>51</v>
      </c>
      <c r="B130" s="10" t="n">
        <f aca="false">IFERROR(__xludf.DUMMYFUNCTION("""COMPUTED_VALUE"""),0)</f>
        <v>0</v>
      </c>
      <c r="C130" s="10" t="n">
        <f aca="false">IFERROR(__xludf.DUMMYFUNCTION("""COMPUTED_VALUE"""),0)</f>
        <v>0</v>
      </c>
      <c r="D130" s="10" t="n">
        <f aca="false">IFERROR(__xludf.DUMMYFUNCTION("""COMPUTED_VALUE"""),0)</f>
        <v>0</v>
      </c>
      <c r="E130" s="10" t="n">
        <f aca="false">IFERROR(__xludf.DUMMYFUNCTION("""COMPUTED_VALUE"""),0)</f>
        <v>0</v>
      </c>
      <c r="F130" s="10" t="n">
        <f aca="false">IFERROR(__xludf.DUMMYFUNCTION("""COMPUTED_VALUE"""),6232.7)</f>
        <v>6232.7</v>
      </c>
      <c r="G130" s="10" t="n">
        <f aca="false">IFERROR(__xludf.DUMMYFUNCTION("""COMPUTED_VALUE"""),0)</f>
        <v>0</v>
      </c>
      <c r="H130" s="10" t="n">
        <f aca="false">IFERROR(__xludf.DUMMYFUNCTION("""COMPUTED_VALUE"""),0)</f>
        <v>0</v>
      </c>
      <c r="I130" s="7" t="n">
        <f aca="false">SUM(B130:H130)</f>
        <v>6232.7</v>
      </c>
      <c r="J130" s="11" t="n">
        <f aca="false">IF($I130=0,0,B130/$I130)</f>
        <v>0</v>
      </c>
      <c r="K130" s="11" t="n">
        <f aca="false">IF($I130=0,0,C130/$I130)</f>
        <v>0</v>
      </c>
      <c r="L130" s="11" t="n">
        <f aca="false">IF($I130=0,0,D130/$I130)</f>
        <v>0</v>
      </c>
      <c r="M130" s="11" t="n">
        <f aca="false">IF($I130=0,0,E130/$I130)</f>
        <v>0</v>
      </c>
      <c r="N130" s="11" t="n">
        <f aca="false">IF($I130=0,0,F130/$I130)</f>
        <v>1</v>
      </c>
      <c r="O130" s="11" t="n">
        <f aca="false">IF($I130=0,0,G130/$I130)</f>
        <v>0</v>
      </c>
      <c r="P130" s="11" t="n">
        <f aca="false">IF($I130=0,0,H130/$I130)</f>
        <v>0</v>
      </c>
    </row>
    <row r="131" customFormat="false" ht="15" hidden="false" customHeight="false" outlineLevel="0" collapsed="false">
      <c r="A131" s="5" t="s">
        <v>52</v>
      </c>
      <c r="B131" s="10" t="n">
        <f aca="false">IFERROR(__xludf.DUMMYFUNCTION("""COMPUTED_VALUE"""),0)</f>
        <v>0</v>
      </c>
      <c r="C131" s="10" t="n">
        <f aca="false">IFERROR(__xludf.DUMMYFUNCTION("""COMPUTED_VALUE"""),0)</f>
        <v>0</v>
      </c>
      <c r="D131" s="10" t="n">
        <f aca="false">IFERROR(__xludf.DUMMYFUNCTION("""COMPUTED_VALUE"""),0)</f>
        <v>0</v>
      </c>
      <c r="E131" s="10" t="n">
        <f aca="false">IFERROR(__xludf.DUMMYFUNCTION("""COMPUTED_VALUE"""),0)</f>
        <v>0</v>
      </c>
      <c r="F131" s="10" t="n">
        <f aca="false">IFERROR(__xludf.DUMMYFUNCTION("""COMPUTED_VALUE"""),3220.9)</f>
        <v>3220.9</v>
      </c>
      <c r="G131" s="10" t="n">
        <f aca="false">IFERROR(__xludf.DUMMYFUNCTION("""COMPUTED_VALUE"""),0)</f>
        <v>0</v>
      </c>
      <c r="H131" s="10" t="n">
        <f aca="false">IFERROR(__xludf.DUMMYFUNCTION("""COMPUTED_VALUE"""),0)</f>
        <v>0</v>
      </c>
      <c r="I131" s="7" t="n">
        <f aca="false">SUM(B131:H131)</f>
        <v>3220.9</v>
      </c>
      <c r="J131" s="11" t="n">
        <f aca="false">IF($I131=0,0,B131/$I131)</f>
        <v>0</v>
      </c>
      <c r="K131" s="11" t="n">
        <f aca="false">IF($I131=0,0,C131/$I131)</f>
        <v>0</v>
      </c>
      <c r="L131" s="11" t="n">
        <f aca="false">IF($I131=0,0,D131/$I131)</f>
        <v>0</v>
      </c>
      <c r="M131" s="11" t="n">
        <f aca="false">IF($I131=0,0,E131/$I131)</f>
        <v>0</v>
      </c>
      <c r="N131" s="11" t="n">
        <f aca="false">IF($I131=0,0,F131/$I131)</f>
        <v>1</v>
      </c>
      <c r="O131" s="11" t="n">
        <f aca="false">IF($I131=0,0,G131/$I131)</f>
        <v>0</v>
      </c>
      <c r="P131" s="11" t="n">
        <f aca="false">IF($I131=0,0,H131/$I131)</f>
        <v>0</v>
      </c>
    </row>
    <row r="132" customFormat="false" ht="15" hidden="false" customHeight="false" outlineLevel="0" collapsed="false">
      <c r="A132" s="5" t="s">
        <v>53</v>
      </c>
      <c r="B132" s="10" t="n">
        <f aca="false">IFERROR(__xludf.DUMMYFUNCTION("""COMPUTED_VALUE"""),0)</f>
        <v>0</v>
      </c>
      <c r="C132" s="10" t="n">
        <f aca="false">IFERROR(__xludf.DUMMYFUNCTION("""COMPUTED_VALUE"""),0)</f>
        <v>0</v>
      </c>
      <c r="D132" s="10" t="n">
        <f aca="false">IFERROR(__xludf.DUMMYFUNCTION("""COMPUTED_VALUE"""),0)</f>
        <v>0</v>
      </c>
      <c r="E132" s="10" t="n">
        <f aca="false">IFERROR(__xludf.DUMMYFUNCTION("""COMPUTED_VALUE"""),0)</f>
        <v>0</v>
      </c>
      <c r="F132" s="10" t="n">
        <f aca="false">IFERROR(__xludf.DUMMYFUNCTION("""COMPUTED_VALUE"""),1816.2)</f>
        <v>1816.2</v>
      </c>
      <c r="G132" s="10" t="n">
        <f aca="false">IFERROR(__xludf.DUMMYFUNCTION("""COMPUTED_VALUE"""),0)</f>
        <v>0</v>
      </c>
      <c r="H132" s="10" t="n">
        <f aca="false">IFERROR(__xludf.DUMMYFUNCTION("""COMPUTED_VALUE"""),0)</f>
        <v>0</v>
      </c>
      <c r="I132" s="7" t="n">
        <f aca="false">SUM(B132:H132)</f>
        <v>1816.2</v>
      </c>
      <c r="J132" s="11" t="n">
        <f aca="false">IF($I132=0,0,B132/$I132)</f>
        <v>0</v>
      </c>
      <c r="K132" s="11" t="n">
        <f aca="false">IF($I132=0,0,C132/$I132)</f>
        <v>0</v>
      </c>
      <c r="L132" s="11" t="n">
        <f aca="false">IF($I132=0,0,D132/$I132)</f>
        <v>0</v>
      </c>
      <c r="M132" s="11" t="n">
        <f aca="false">IF($I132=0,0,E132/$I132)</f>
        <v>0</v>
      </c>
      <c r="N132" s="11" t="n">
        <f aca="false">IF($I132=0,0,F132/$I132)</f>
        <v>1</v>
      </c>
      <c r="O132" s="11" t="n">
        <f aca="false">IF($I132=0,0,G132/$I132)</f>
        <v>0</v>
      </c>
      <c r="P132" s="11" t="n">
        <f aca="false">IF($I132=0,0,H132/$I132)</f>
        <v>0</v>
      </c>
    </row>
    <row r="133" customFormat="false" ht="15" hidden="false" customHeight="false" outlineLevel="0" collapsed="false">
      <c r="A133" s="5" t="s">
        <v>54</v>
      </c>
      <c r="B133" s="10" t="n">
        <f aca="false">IFERROR(__xludf.DUMMYFUNCTION("""COMPUTED_VALUE"""),0)</f>
        <v>0</v>
      </c>
      <c r="C133" s="10" t="n">
        <f aca="false">IFERROR(__xludf.DUMMYFUNCTION("""COMPUTED_VALUE"""),10246.3)</f>
        <v>10246.3</v>
      </c>
      <c r="D133" s="10" t="n">
        <f aca="false">IFERROR(__xludf.DUMMYFUNCTION("""COMPUTED_VALUE"""),2743)</f>
        <v>2743</v>
      </c>
      <c r="E133" s="10" t="n">
        <f aca="false">IFERROR(__xludf.DUMMYFUNCTION("""COMPUTED_VALUE"""),2621.1)</f>
        <v>2621.1</v>
      </c>
      <c r="F133" s="10" t="n">
        <f aca="false">IFERROR(__xludf.DUMMYFUNCTION("""COMPUTED_VALUE"""),3384.2)</f>
        <v>3384.2</v>
      </c>
      <c r="G133" s="10" t="n">
        <f aca="false">IFERROR(__xludf.DUMMYFUNCTION("""COMPUTED_VALUE"""),1595.2)</f>
        <v>1595.2</v>
      </c>
      <c r="H133" s="10" t="n">
        <f aca="false">IFERROR(__xludf.DUMMYFUNCTION("""COMPUTED_VALUE"""),0)</f>
        <v>0</v>
      </c>
      <c r="I133" s="7" t="n">
        <f aca="false">SUM(B133:H133)</f>
        <v>20589.8</v>
      </c>
      <c r="J133" s="11" t="n">
        <f aca="false">IF($I133=0,0,B133/$I133)</f>
        <v>0</v>
      </c>
      <c r="K133" s="11" t="n">
        <f aca="false">IF($I133=0,0,C133/$I133)</f>
        <v>0.497639607961224</v>
      </c>
      <c r="L133" s="11" t="n">
        <f aca="false">IF($I133=0,0,D133/$I133)</f>
        <v>0.133221303752343</v>
      </c>
      <c r="M133" s="11" t="n">
        <f aca="false">IF($I133=0,0,E133/$I133)</f>
        <v>0.127300896560433</v>
      </c>
      <c r="N133" s="11" t="n">
        <f aca="false">IF($I133=0,0,F133/$I133)</f>
        <v>0.164362936988217</v>
      </c>
      <c r="O133" s="11" t="n">
        <f aca="false">IF($I133=0,0,G133/$I133)</f>
        <v>0.0774752547377828</v>
      </c>
      <c r="P133" s="11" t="n">
        <f aca="false">IF($I133=0,0,H133/$I133)</f>
        <v>0</v>
      </c>
    </row>
    <row r="134" customFormat="false" ht="15" hidden="false" customHeight="false" outlineLevel="0" collapsed="false">
      <c r="A134" s="5" t="s">
        <v>55</v>
      </c>
      <c r="B134" s="10" t="n">
        <f aca="false">IFERROR(__xludf.DUMMYFUNCTION("""COMPUTED_VALUE"""),0)</f>
        <v>0</v>
      </c>
      <c r="C134" s="10" t="n">
        <f aca="false">IFERROR(__xludf.DUMMYFUNCTION("""COMPUTED_VALUE"""),93422.4)</f>
        <v>93422.4</v>
      </c>
      <c r="D134" s="10" t="n">
        <f aca="false">IFERROR(__xludf.DUMMYFUNCTION("""COMPUTED_VALUE"""),11718.9)</f>
        <v>11718.9</v>
      </c>
      <c r="E134" s="10" t="n">
        <f aca="false">IFERROR(__xludf.DUMMYFUNCTION("""COMPUTED_VALUE"""),2621.1)</f>
        <v>2621.1</v>
      </c>
      <c r="F134" s="10" t="n">
        <f aca="false">IFERROR(__xludf.DUMMYFUNCTION("""COMPUTED_VALUE"""),2600.2)</f>
        <v>2600.2</v>
      </c>
      <c r="G134" s="10" t="n">
        <f aca="false">IFERROR(__xludf.DUMMYFUNCTION("""COMPUTED_VALUE"""),6001.1)</f>
        <v>6001.1</v>
      </c>
      <c r="H134" s="10" t="n">
        <f aca="false">IFERROR(__xludf.DUMMYFUNCTION("""COMPUTED_VALUE"""),0)</f>
        <v>0</v>
      </c>
      <c r="I134" s="7" t="n">
        <f aca="false">SUM(B134:H134)</f>
        <v>116363.7</v>
      </c>
      <c r="J134" s="11" t="n">
        <f aca="false">IF($I134=0,0,B134/$I134)</f>
        <v>0</v>
      </c>
      <c r="K134" s="11" t="n">
        <f aca="false">IF($I134=0,0,C134/$I134)</f>
        <v>0.80284831094233</v>
      </c>
      <c r="L134" s="11" t="n">
        <f aca="false">IF($I134=0,0,D134/$I134)</f>
        <v>0.100709241799633</v>
      </c>
      <c r="M134" s="11" t="n">
        <f aca="false">IF($I134=0,0,E134/$I134)</f>
        <v>0.0225250658066046</v>
      </c>
      <c r="N134" s="11" t="n">
        <f aca="false">IF($I134=0,0,F134/$I134)</f>
        <v>0.0223454565298285</v>
      </c>
      <c r="O134" s="11" t="n">
        <f aca="false">IF($I134=0,0,G134/$I134)</f>
        <v>0.0515719249216036</v>
      </c>
      <c r="P134" s="11" t="n">
        <f aca="false">IF($I134=0,0,H134/$I134)</f>
        <v>0</v>
      </c>
    </row>
    <row r="135" customFormat="false" ht="15" hidden="false" customHeight="false" outlineLevel="0" collapsed="false">
      <c r="A135" s="5" t="s">
        <v>56</v>
      </c>
      <c r="B135" s="10" t="n">
        <f aca="false">IFERROR(__xludf.DUMMYFUNCTION("""COMPUTED_VALUE"""),0)</f>
        <v>0</v>
      </c>
      <c r="C135" s="10" t="n">
        <f aca="false">IFERROR(__xludf.DUMMYFUNCTION("""COMPUTED_VALUE"""),13260)</f>
        <v>13260</v>
      </c>
      <c r="D135" s="10" t="n">
        <f aca="false">IFERROR(__xludf.DUMMYFUNCTION("""COMPUTED_VALUE"""),548.6)</f>
        <v>548.6</v>
      </c>
      <c r="E135" s="10" t="n">
        <f aca="false">IFERROR(__xludf.DUMMYFUNCTION("""COMPUTED_VALUE"""),1310.5)</f>
        <v>1310.5</v>
      </c>
      <c r="F135" s="10" t="n">
        <f aca="false">IFERROR(__xludf.DUMMYFUNCTION("""COMPUTED_VALUE"""),13536.8)</f>
        <v>13536.8</v>
      </c>
      <c r="G135" s="10" t="n">
        <f aca="false">IFERROR(__xludf.DUMMYFUNCTION("""COMPUTED_VALUE"""),6729.6)</f>
        <v>6729.6</v>
      </c>
      <c r="H135" s="10" t="n">
        <f aca="false">IFERROR(__xludf.DUMMYFUNCTION("""COMPUTED_VALUE"""),1558)</f>
        <v>1558</v>
      </c>
      <c r="I135" s="7" t="n">
        <f aca="false">SUM(B135:H135)</f>
        <v>36943.5</v>
      </c>
      <c r="J135" s="11" t="n">
        <f aca="false">IF($I135=0,0,B135/$I135)</f>
        <v>0</v>
      </c>
      <c r="K135" s="11" t="n">
        <f aca="false">IF($I135=0,0,C135/$I135)</f>
        <v>0.358926468796947</v>
      </c>
      <c r="L135" s="11" t="n">
        <f aca="false">IF($I135=0,0,D135/$I135)</f>
        <v>0.0148497029247364</v>
      </c>
      <c r="M135" s="11" t="n">
        <f aca="false">IF($I135=0,0,E135/$I135)</f>
        <v>0.0354730872819305</v>
      </c>
      <c r="N135" s="11" t="n">
        <f aca="false">IF($I135=0,0,F135/$I135)</f>
        <v>0.36641899116218</v>
      </c>
      <c r="O135" s="11" t="n">
        <f aca="false">IF($I135=0,0,G135/$I135)</f>
        <v>0.182159243168622</v>
      </c>
      <c r="P135" s="11" t="n">
        <f aca="false">IF($I135=0,0,H135/$I135)</f>
        <v>0.0421725066655839</v>
      </c>
    </row>
    <row r="136" customFormat="false" ht="15" hidden="false" customHeight="false" outlineLevel="0" collapsed="false">
      <c r="A136" s="5" t="s">
        <v>57</v>
      </c>
      <c r="B136" s="10" t="n">
        <f aca="false">IFERROR(__xludf.DUMMYFUNCTION("""COMPUTED_VALUE"""),0)</f>
        <v>0</v>
      </c>
      <c r="C136" s="10" t="n">
        <f aca="false">IFERROR(__xludf.DUMMYFUNCTION("""COMPUTED_VALUE"""),0)</f>
        <v>0</v>
      </c>
      <c r="D136" s="10" t="n">
        <f aca="false">IFERROR(__xludf.DUMMYFUNCTION("""COMPUTED_VALUE"""),0)</f>
        <v>0</v>
      </c>
      <c r="E136" s="10" t="n">
        <f aca="false">IFERROR(__xludf.DUMMYFUNCTION("""COMPUTED_VALUE"""),0)</f>
        <v>0</v>
      </c>
      <c r="F136" s="10" t="n">
        <f aca="false">IFERROR(__xludf.DUMMYFUNCTION("""COMPUTED_VALUE"""),3632.5)</f>
        <v>3632.5</v>
      </c>
      <c r="G136" s="10" t="n">
        <f aca="false">IFERROR(__xludf.DUMMYFUNCTION("""COMPUTED_VALUE"""),1379.7)</f>
        <v>1379.7</v>
      </c>
      <c r="H136" s="10" t="n">
        <f aca="false">IFERROR(__xludf.DUMMYFUNCTION("""COMPUTED_VALUE"""),0)</f>
        <v>0</v>
      </c>
      <c r="I136" s="7" t="n">
        <f aca="false">SUM(B136:H136)</f>
        <v>5012.2</v>
      </c>
      <c r="J136" s="11" t="n">
        <f aca="false">IF($I136=0,0,B136/$I136)</f>
        <v>0</v>
      </c>
      <c r="K136" s="11" t="n">
        <f aca="false">IF($I136=0,0,C136/$I136)</f>
        <v>0</v>
      </c>
      <c r="L136" s="11" t="n">
        <f aca="false">IF($I136=0,0,D136/$I136)</f>
        <v>0</v>
      </c>
      <c r="M136" s="11" t="n">
        <f aca="false">IF($I136=0,0,E136/$I136)</f>
        <v>0</v>
      </c>
      <c r="N136" s="11" t="n">
        <f aca="false">IF($I136=0,0,F136/$I136)</f>
        <v>0.72473165476238</v>
      </c>
      <c r="O136" s="11" t="n">
        <f aca="false">IF($I136=0,0,G136/$I136)</f>
        <v>0.27526834523762</v>
      </c>
      <c r="P136" s="11" t="n">
        <f aca="false">IF($I136=0,0,H136/$I136)</f>
        <v>0</v>
      </c>
    </row>
    <row r="137" customFormat="false" ht="15" hidden="false" customHeight="false" outlineLevel="0" collapsed="false">
      <c r="A137" s="5" t="s">
        <v>58</v>
      </c>
      <c r="B137" s="10" t="n">
        <f aca="false">IFERROR(__xludf.DUMMYFUNCTION("""COMPUTED_VALUE"""),0)</f>
        <v>0</v>
      </c>
      <c r="C137" s="10" t="n">
        <f aca="false">IFERROR(__xludf.DUMMYFUNCTION("""COMPUTED_VALUE"""),0)</f>
        <v>0</v>
      </c>
      <c r="D137" s="10" t="n">
        <f aca="false">IFERROR(__xludf.DUMMYFUNCTION("""COMPUTED_VALUE"""),0)</f>
        <v>0</v>
      </c>
      <c r="E137" s="10" t="n">
        <f aca="false">IFERROR(__xludf.DUMMYFUNCTION("""COMPUTED_VALUE"""),0)</f>
        <v>0</v>
      </c>
      <c r="F137" s="10" t="n">
        <f aca="false">IFERROR(__xludf.DUMMYFUNCTION("""COMPUTED_VALUE"""),1568)</f>
        <v>1568</v>
      </c>
      <c r="G137" s="10" t="n">
        <f aca="false">IFERROR(__xludf.DUMMYFUNCTION("""COMPUTED_VALUE"""),0)</f>
        <v>0</v>
      </c>
      <c r="H137" s="10" t="n">
        <f aca="false">IFERROR(__xludf.DUMMYFUNCTION("""COMPUTED_VALUE"""),0)</f>
        <v>0</v>
      </c>
      <c r="I137" s="7" t="n">
        <f aca="false">SUM(B137:H137)</f>
        <v>1568</v>
      </c>
      <c r="J137" s="11" t="n">
        <f aca="false">IF($I137=0,0,B137/$I137)</f>
        <v>0</v>
      </c>
      <c r="K137" s="11" t="n">
        <f aca="false">IF($I137=0,0,C137/$I137)</f>
        <v>0</v>
      </c>
      <c r="L137" s="11" t="n">
        <f aca="false">IF($I137=0,0,D137/$I137)</f>
        <v>0</v>
      </c>
      <c r="M137" s="11" t="n">
        <f aca="false">IF($I137=0,0,E137/$I137)</f>
        <v>0</v>
      </c>
      <c r="N137" s="11" t="n">
        <f aca="false">IF($I137=0,0,F137/$I137)</f>
        <v>1</v>
      </c>
      <c r="O137" s="11" t="n">
        <f aca="false">IF($I137=0,0,G137/$I137)</f>
        <v>0</v>
      </c>
      <c r="P137" s="11" t="n">
        <f aca="false">IF($I137=0,0,H137/$I137)</f>
        <v>0</v>
      </c>
    </row>
    <row r="138" customFormat="false" ht="15" hidden="false" customHeight="false" outlineLevel="0" collapsed="false">
      <c r="A138" s="5" t="s">
        <v>59</v>
      </c>
      <c r="B138" s="10" t="n">
        <f aca="false">IFERROR(__xludf.DUMMYFUNCTION("""COMPUTED_VALUE"""),0)</f>
        <v>0</v>
      </c>
      <c r="C138" s="10" t="n">
        <f aca="false">IFERROR(__xludf.DUMMYFUNCTION("""COMPUTED_VALUE"""),2260.2)</f>
        <v>2260.2</v>
      </c>
      <c r="D138" s="10" t="n">
        <f aca="false">IFERROR(__xludf.DUMMYFUNCTION("""COMPUTED_VALUE"""),122.6)</f>
        <v>122.6</v>
      </c>
      <c r="E138" s="10" t="n">
        <f aca="false">IFERROR(__xludf.DUMMYFUNCTION("""COMPUTED_VALUE"""),131.1)</f>
        <v>131.1</v>
      </c>
      <c r="F138" s="10" t="n">
        <f aca="false">IFERROR(__xludf.DUMMYFUNCTION("""COMPUTED_VALUE"""),1589.2)</f>
        <v>1589.2</v>
      </c>
      <c r="G138" s="10" t="n">
        <f aca="false">IFERROR(__xludf.DUMMYFUNCTION("""COMPUTED_VALUE"""),776.1)</f>
        <v>776.1</v>
      </c>
      <c r="H138" s="10" t="n">
        <f aca="false">IFERROR(__xludf.DUMMYFUNCTION("""COMPUTED_VALUE"""),0)</f>
        <v>0</v>
      </c>
      <c r="I138" s="7" t="n">
        <f aca="false">SUM(B138:H138)</f>
        <v>4879.2</v>
      </c>
      <c r="J138" s="11" t="n">
        <f aca="false">IF($I138=0,0,B138/$I138)</f>
        <v>0</v>
      </c>
      <c r="K138" s="11" t="n">
        <f aca="false">IF($I138=0,0,C138/$I138)</f>
        <v>0.463231677324152</v>
      </c>
      <c r="L138" s="11" t="n">
        <f aca="false">IF($I138=0,0,D138/$I138)</f>
        <v>0.0251270700114773</v>
      </c>
      <c r="M138" s="11" t="n">
        <f aca="false">IF($I138=0,0,E138/$I138)</f>
        <v>0.0268691588785047</v>
      </c>
      <c r="N138" s="11" t="n">
        <f aca="false">IF($I138=0,0,F138/$I138)</f>
        <v>0.325709132644696</v>
      </c>
      <c r="O138" s="11" t="n">
        <f aca="false">IF($I138=0,0,G138/$I138)</f>
        <v>0.159062961141171</v>
      </c>
      <c r="P138" s="11" t="n">
        <f aca="false">IF($I138=0,0,H138/$I138)</f>
        <v>0</v>
      </c>
    </row>
    <row r="139" customFormat="false" ht="15" hidden="false" customHeight="false" outlineLevel="0" collapsed="false">
      <c r="A139" s="5" t="s">
        <v>60</v>
      </c>
      <c r="B139" s="10" t="n">
        <f aca="false">IFERROR(__xludf.DUMMYFUNCTION("""COMPUTED_VALUE"""),0)</f>
        <v>0</v>
      </c>
      <c r="C139" s="10" t="n">
        <f aca="false">IFERROR(__xludf.DUMMYFUNCTION("""COMPUTED_VALUE"""),4972.5)</f>
        <v>4972.5</v>
      </c>
      <c r="D139" s="10" t="n">
        <f aca="false">IFERROR(__xludf.DUMMYFUNCTION("""COMPUTED_VALUE"""),269.6)</f>
        <v>269.6</v>
      </c>
      <c r="E139" s="10" t="n">
        <f aca="false">IFERROR(__xludf.DUMMYFUNCTION("""COMPUTED_VALUE"""),288.3)</f>
        <v>288.3</v>
      </c>
      <c r="F139" s="10" t="n">
        <f aca="false">IFERROR(__xludf.DUMMYFUNCTION("""COMPUTED_VALUE"""),3496.3)</f>
        <v>3496.3</v>
      </c>
      <c r="G139" s="10" t="n">
        <f aca="false">IFERROR(__xludf.DUMMYFUNCTION("""COMPUTED_VALUE"""),1707.4)</f>
        <v>1707.4</v>
      </c>
      <c r="H139" s="10" t="n">
        <f aca="false">IFERROR(__xludf.DUMMYFUNCTION("""COMPUTED_VALUE"""),0)</f>
        <v>0</v>
      </c>
      <c r="I139" s="7" t="n">
        <f aca="false">SUM(B139:H139)</f>
        <v>10734.1</v>
      </c>
      <c r="J139" s="11" t="n">
        <f aca="false">IF($I139=0,0,B139/$I139)</f>
        <v>0</v>
      </c>
      <c r="K139" s="11" t="n">
        <f aca="false">IF($I139=0,0,C139/$I139)</f>
        <v>0.463243308707763</v>
      </c>
      <c r="L139" s="11" t="n">
        <f aca="false">IF($I139=0,0,D139/$I139)</f>
        <v>0.0251162184067598</v>
      </c>
      <c r="M139" s="11" t="n">
        <f aca="false">IF($I139=0,0,E139/$I139)</f>
        <v>0.0268583299950625</v>
      </c>
      <c r="N139" s="11" t="n">
        <f aca="false">IF($I139=0,0,F139/$I139)</f>
        <v>0.325718970384103</v>
      </c>
      <c r="O139" s="11" t="n">
        <f aca="false">IF($I139=0,0,G139/$I139)</f>
        <v>0.159063172506312</v>
      </c>
      <c r="P139" s="11" t="n">
        <f aca="false">IF($I139=0,0,H139/$I139)</f>
        <v>0</v>
      </c>
    </row>
    <row r="140" customFormat="false" ht="15" hidden="false" customHeight="false" outlineLevel="0" collapsed="false">
      <c r="A140" s="5" t="s">
        <v>61</v>
      </c>
      <c r="B140" s="10" t="n">
        <f aca="false">IFERROR(__xludf.DUMMYFUNCTION("""COMPUTED_VALUE"""),0)</f>
        <v>0</v>
      </c>
      <c r="C140" s="10" t="n">
        <f aca="false">IFERROR(__xludf.DUMMYFUNCTION("""COMPUTED_VALUE"""),1084.9)</f>
        <v>1084.9</v>
      </c>
      <c r="D140" s="10" t="n">
        <f aca="false">IFERROR(__xludf.DUMMYFUNCTION("""COMPUTED_VALUE"""),58.8)</f>
        <v>58.8</v>
      </c>
      <c r="E140" s="10" t="n">
        <f aca="false">IFERROR(__xludf.DUMMYFUNCTION("""COMPUTED_VALUE"""),62.9)</f>
        <v>62.9</v>
      </c>
      <c r="F140" s="10" t="n">
        <f aca="false">IFERROR(__xludf.DUMMYFUNCTION("""COMPUTED_VALUE"""),762.8)</f>
        <v>762.8</v>
      </c>
      <c r="G140" s="10" t="n">
        <f aca="false">IFERROR(__xludf.DUMMYFUNCTION("""COMPUTED_VALUE"""),372.5)</f>
        <v>372.5</v>
      </c>
      <c r="H140" s="10" t="n">
        <f aca="false">IFERROR(__xludf.DUMMYFUNCTION("""COMPUTED_VALUE"""),0)</f>
        <v>0</v>
      </c>
      <c r="I140" s="7" t="n">
        <f aca="false">SUM(B140:H140)</f>
        <v>2341.9</v>
      </c>
      <c r="J140" s="11" t="n">
        <f aca="false">IF($I140=0,0,B140/$I140)</f>
        <v>0</v>
      </c>
      <c r="K140" s="11" t="n">
        <f aca="false">IF($I140=0,0,C140/$I140)</f>
        <v>0.463256330330074</v>
      </c>
      <c r="L140" s="11" t="n">
        <f aca="false">IF($I140=0,0,D140/$I140)</f>
        <v>0.0251078184380204</v>
      </c>
      <c r="M140" s="11" t="n">
        <f aca="false">IF($I140=0,0,E140/$I140)</f>
        <v>0.0268585336692429</v>
      </c>
      <c r="N140" s="11" t="n">
        <f aca="false">IF($I140=0,0,F140/$I140)</f>
        <v>0.325718433750374</v>
      </c>
      <c r="O140" s="11" t="n">
        <f aca="false">IF($I140=0,0,G140/$I140)</f>
        <v>0.159058883812289</v>
      </c>
      <c r="P140" s="11" t="n">
        <f aca="false">IF($I140=0,0,H140/$I140)</f>
        <v>0</v>
      </c>
    </row>
    <row r="141" customFormat="false" ht="15" hidden="false" customHeight="false" outlineLevel="0" collapsed="false">
      <c r="A141" s="5" t="s">
        <v>62</v>
      </c>
      <c r="B141" s="10" t="n">
        <f aca="false">IFERROR(__xludf.DUMMYFUNCTION("""COMPUTED_VALUE"""),0)</f>
        <v>0</v>
      </c>
      <c r="C141" s="10" t="n">
        <f aca="false">IFERROR(__xludf.DUMMYFUNCTION("""COMPUTED_VALUE"""),723.3)</f>
        <v>723.3</v>
      </c>
      <c r="D141" s="10" t="n">
        <f aca="false">IFERROR(__xludf.DUMMYFUNCTION("""COMPUTED_VALUE"""),39.2)</f>
        <v>39.2</v>
      </c>
      <c r="E141" s="10" t="n">
        <f aca="false">IFERROR(__xludf.DUMMYFUNCTION("""COMPUTED_VALUE"""),41.9)</f>
        <v>41.9</v>
      </c>
      <c r="F141" s="10" t="n">
        <f aca="false">IFERROR(__xludf.DUMMYFUNCTION("""COMPUTED_VALUE"""),508.5)</f>
        <v>508.5</v>
      </c>
      <c r="G141" s="10" t="n">
        <f aca="false">IFERROR(__xludf.DUMMYFUNCTION("""COMPUTED_VALUE"""),248.3)</f>
        <v>248.3</v>
      </c>
      <c r="H141" s="10" t="n">
        <f aca="false">IFERROR(__xludf.DUMMYFUNCTION("""COMPUTED_VALUE"""),0)</f>
        <v>0</v>
      </c>
      <c r="I141" s="7" t="n">
        <f aca="false">SUM(B141:H141)</f>
        <v>1561.2</v>
      </c>
      <c r="J141" s="11" t="n">
        <f aca="false">IF($I141=0,0,B141/$I141)</f>
        <v>0</v>
      </c>
      <c r="K141" s="11" t="n">
        <f aca="false">IF($I141=0,0,C141/$I141)</f>
        <v>0.463297463489623</v>
      </c>
      <c r="L141" s="11" t="n">
        <f aca="false">IF($I141=0,0,D141/$I141)</f>
        <v>0.0251088905969767</v>
      </c>
      <c r="M141" s="11" t="n">
        <f aca="false">IF($I141=0,0,E141/$I141)</f>
        <v>0.0268383294901358</v>
      </c>
      <c r="N141" s="11" t="n">
        <f aca="false">IF($I141=0,0,F141/$I141)</f>
        <v>0.325710991544965</v>
      </c>
      <c r="O141" s="11" t="n">
        <f aca="false">IF($I141=0,0,G141/$I141)</f>
        <v>0.159044324878299</v>
      </c>
      <c r="P141" s="11" t="n">
        <f aca="false">IF($I141=0,0,H141/$I141)</f>
        <v>0</v>
      </c>
    </row>
    <row r="143" customFormat="false" ht="23.85" hidden="false" customHeight="false" outlineLevel="0" collapsed="false">
      <c r="A143" s="3" t="s">
        <v>79</v>
      </c>
      <c r="B143" s="3" t="s">
        <v>64</v>
      </c>
      <c r="C143" s="3" t="s">
        <v>65</v>
      </c>
      <c r="D143" s="3" t="s">
        <v>66</v>
      </c>
      <c r="E143" s="3" t="s">
        <v>67</v>
      </c>
      <c r="F143" s="3" t="s">
        <v>68</v>
      </c>
      <c r="G143" s="3" t="s">
        <v>69</v>
      </c>
      <c r="H143" s="3" t="s">
        <v>70</v>
      </c>
    </row>
    <row r="144" customFormat="false" ht="15" hidden="false" customHeight="false" outlineLevel="0" collapsed="false">
      <c r="A144" s="5" t="s">
        <v>80</v>
      </c>
      <c r="B144" s="12" t="n">
        <f aca="false">IFERROR(__xludf.DUMMYFUNCTION("IMPORTRANGE(Links!$B$5,""sobrestock_sustitutos!B17:H25"")"),0.58595259949571)</f>
        <v>0.58595259949571</v>
      </c>
      <c r="C144" s="12" t="n">
        <f aca="false">IFERROR(__xludf.DUMMYFUNCTION("""COMPUTED_VALUE"""),0.288200884372309)</f>
        <v>0.288200884372309</v>
      </c>
      <c r="D144" s="12" t="n">
        <f aca="false">IFERROR(__xludf.DUMMYFUNCTION("""COMPUTED_VALUE"""),0.0302113041211352)</f>
        <v>0.0302113041211352</v>
      </c>
      <c r="E144" s="12" t="n">
        <f aca="false">IFERROR(__xludf.DUMMYFUNCTION("""COMPUTED_VALUE"""),0.0198672007047742)</f>
        <v>0.0198672007047742</v>
      </c>
      <c r="F144" s="12" t="n">
        <f aca="false">IFERROR(__xludf.DUMMYFUNCTION("""COMPUTED_VALUE"""),0.0434229041296274)</f>
        <v>0.0434229041296274</v>
      </c>
      <c r="G144" s="12" t="n">
        <f aca="false">IFERROR(__xludf.DUMMYFUNCTION("""COMPUTED_VALUE"""),0.0278895829480135)</f>
        <v>0.0278895829480135</v>
      </c>
      <c r="H144" s="12" t="n">
        <f aca="false">IFERROR(__xludf.DUMMYFUNCTION("""COMPUTED_VALUE"""),0.00445552422843116)</f>
        <v>0.00445552422843116</v>
      </c>
    </row>
    <row r="145" customFormat="false" ht="15" hidden="false" customHeight="false" outlineLevel="0" collapsed="false">
      <c r="A145" s="5" t="s">
        <v>81</v>
      </c>
      <c r="B145" s="12" t="n">
        <f aca="false">IFERROR(__xludf.DUMMYFUNCTION("""COMPUTED_VALUE"""),25)</f>
        <v>25</v>
      </c>
      <c r="C145" s="12" t="n">
        <f aca="false">IFERROR(__xludf.DUMMYFUNCTION("""COMPUTED_VALUE"""),14)</f>
        <v>14</v>
      </c>
      <c r="D145" s="12" t="n">
        <f aca="false">IFERROR(__xludf.DUMMYFUNCTION("""COMPUTED_VALUE"""),18)</f>
        <v>18</v>
      </c>
      <c r="E145" s="12" t="n">
        <f aca="false">IFERROR(__xludf.DUMMYFUNCTION("""COMPUTED_VALUE"""),20)</f>
        <v>20</v>
      </c>
      <c r="F145" s="12" t="n">
        <f aca="false">IFERROR(__xludf.DUMMYFUNCTION("""COMPUTED_VALUE"""),45)</f>
        <v>45</v>
      </c>
      <c r="G145" s="12" t="n">
        <f aca="false">IFERROR(__xludf.DUMMYFUNCTION("""COMPUTED_VALUE"""),35)</f>
        <v>35</v>
      </c>
      <c r="H145" s="12" t="n">
        <f aca="false">IFERROR(__xludf.DUMMYFUNCTION("""COMPUTED_VALUE"""),16)</f>
        <v>16</v>
      </c>
    </row>
    <row r="146" customFormat="false" ht="15" hidden="false" customHeight="false" outlineLevel="0" collapsed="false">
      <c r="A146" s="5" t="s">
        <v>82</v>
      </c>
      <c r="B146" s="12" t="n">
        <f aca="false">IFERROR(__xludf.DUMMYFUNCTION("""COMPUTED_VALUE"""),5000)</f>
        <v>5000</v>
      </c>
      <c r="C146" s="12" t="n">
        <f aca="false">IFERROR(__xludf.DUMMYFUNCTION("""COMPUTED_VALUE"""),2800)</f>
        <v>2800</v>
      </c>
      <c r="D146" s="12" t="n">
        <f aca="false">IFERROR(__xludf.DUMMYFUNCTION("""COMPUTED_VALUE"""),3600)</f>
        <v>3600</v>
      </c>
      <c r="E146" s="12" t="n">
        <f aca="false">IFERROR(__xludf.DUMMYFUNCTION("""COMPUTED_VALUE"""),4000)</f>
        <v>4000</v>
      </c>
      <c r="F146" s="12" t="n">
        <f aca="false">IFERROR(__xludf.DUMMYFUNCTION("""COMPUTED_VALUE"""),9000)</f>
        <v>9000</v>
      </c>
      <c r="G146" s="12" t="n">
        <f aca="false">IFERROR(__xludf.DUMMYFUNCTION("""COMPUTED_VALUE"""),7000)</f>
        <v>7000</v>
      </c>
      <c r="H146" s="12" t="n">
        <f aca="false">IFERROR(__xludf.DUMMYFUNCTION("""COMPUTED_VALUE"""),3200)</f>
        <v>3200</v>
      </c>
    </row>
    <row r="147" customFormat="false" ht="15" hidden="false" customHeight="false" outlineLevel="0" collapsed="false">
      <c r="A147" s="5" t="s">
        <v>83</v>
      </c>
      <c r="B147" s="12" t="n">
        <f aca="false">IFERROR(__xludf.DUMMYFUNCTION("""COMPUTED_VALUE"""),17.253)</f>
        <v>17.253</v>
      </c>
      <c r="C147" s="12" t="n">
        <f aca="false">IFERROR(__xludf.DUMMYFUNCTION("""COMPUTED_VALUE"""),17.3221896269443)</f>
        <v>17.3221896269443</v>
      </c>
      <c r="D147" s="12" t="n">
        <f aca="false">IFERROR(__xludf.DUMMYFUNCTION("""COMPUTED_VALUE"""),16.9412678487016)</f>
        <v>16.9412678487016</v>
      </c>
      <c r="E147" s="12" t="n">
        <f aca="false">IFERROR(__xludf.DUMMYFUNCTION("""COMPUTED_VALUE"""),17.6641897093392)</f>
        <v>17.6641897093392</v>
      </c>
      <c r="F147" s="12" t="n">
        <f aca="false">IFERROR(__xludf.DUMMYFUNCTION("""COMPUTED_VALUE"""),21.8776455925196)</f>
        <v>21.8776455925196</v>
      </c>
      <c r="G147" s="12" t="n">
        <f aca="false">IFERROR(__xludf.DUMMYFUNCTION("""COMPUTED_VALUE"""),19.1585588340348)</f>
        <v>19.1585588340348</v>
      </c>
      <c r="H147" s="12" t="n">
        <f aca="false">IFERROR(__xludf.DUMMYFUNCTION("""COMPUTED_VALUE"""),17.4530049724547)</f>
        <v>17.4530049724547</v>
      </c>
    </row>
    <row r="148" customFormat="false" ht="15" hidden="false" customHeight="false" outlineLevel="0" collapsed="false">
      <c r="A148" s="5" t="s">
        <v>84</v>
      </c>
      <c r="B148" s="12" t="n">
        <f aca="false">IFERROR(__xludf.DUMMYFUNCTION("""COMPUTED_VALUE"""),431.325)</f>
        <v>431.325</v>
      </c>
      <c r="C148" s="12" t="n">
        <f aca="false">IFERROR(__xludf.DUMMYFUNCTION("""COMPUTED_VALUE"""),242.51065477722)</f>
        <v>242.51065477722</v>
      </c>
      <c r="D148" s="12" t="n">
        <f aca="false">IFERROR(__xludf.DUMMYFUNCTION("""COMPUTED_VALUE"""),304.942821276629)</f>
        <v>304.942821276629</v>
      </c>
      <c r="E148" s="12" t="n">
        <f aca="false">IFERROR(__xludf.DUMMYFUNCTION("""COMPUTED_VALUE"""),353.283794186784)</f>
        <v>353.283794186784</v>
      </c>
      <c r="F148" s="12" t="n">
        <f aca="false">IFERROR(__xludf.DUMMYFUNCTION("""COMPUTED_VALUE"""),984.494051663383)</f>
        <v>984.494051663383</v>
      </c>
      <c r="G148" s="12" t="n">
        <f aca="false">IFERROR(__xludf.DUMMYFUNCTION("""COMPUTED_VALUE"""),670.54955919122)</f>
        <v>670.54955919122</v>
      </c>
      <c r="H148" s="12" t="n">
        <f aca="false">IFERROR(__xludf.DUMMYFUNCTION("""COMPUTED_VALUE"""),279.248079559276)</f>
        <v>279.248079559276</v>
      </c>
    </row>
    <row r="149" customFormat="false" ht="15" hidden="false" customHeight="false" outlineLevel="0" collapsed="false">
      <c r="A149" s="5" t="s">
        <v>85</v>
      </c>
      <c r="B149" s="12" t="n">
        <f aca="false">IFERROR(__xludf.DUMMYFUNCTION("""COMPUTED_VALUE"""),1)</f>
        <v>1</v>
      </c>
      <c r="C149" s="12" t="n">
        <f aca="false">IFERROR(__xludf.DUMMYFUNCTION("""COMPUTED_VALUE"""),1)</f>
        <v>1</v>
      </c>
      <c r="D149" s="12" t="n">
        <f aca="false">IFERROR(__xludf.DUMMYFUNCTION("""COMPUTED_VALUE"""),1)</f>
        <v>1</v>
      </c>
      <c r="E149" s="12" t="n">
        <f aca="false">IFERROR(__xludf.DUMMYFUNCTION("""COMPUTED_VALUE"""),1)</f>
        <v>1</v>
      </c>
      <c r="F149" s="12" t="n">
        <f aca="false">IFERROR(__xludf.DUMMYFUNCTION("""COMPUTED_VALUE"""),3)</f>
        <v>3</v>
      </c>
      <c r="G149" s="12" t="n">
        <f aca="false">IFERROR(__xludf.DUMMYFUNCTION("""COMPUTED_VALUE"""),2)</f>
        <v>2</v>
      </c>
      <c r="H149" s="12" t="n">
        <f aca="false">IFERROR(__xludf.DUMMYFUNCTION("""COMPUTED_VALUE"""),1)</f>
        <v>1</v>
      </c>
    </row>
    <row r="150" customFormat="false" ht="15" hidden="false" customHeight="false" outlineLevel="0" collapsed="false">
      <c r="A150" s="5" t="s">
        <v>86</v>
      </c>
      <c r="B150" s="12" t="n">
        <f aca="false">IFERROR(__xludf.DUMMYFUNCTION("""COMPUTED_VALUE"""),1)</f>
        <v>1</v>
      </c>
      <c r="C150" s="12" t="n">
        <f aca="false">IFERROR(__xludf.DUMMYFUNCTION("""COMPUTED_VALUE"""),1)</f>
        <v>1</v>
      </c>
      <c r="D150" s="12" t="n">
        <f aca="false">IFERROR(__xludf.DUMMYFUNCTION("""COMPUTED_VALUE"""),1)</f>
        <v>1</v>
      </c>
      <c r="E150" s="12" t="n">
        <f aca="false">IFERROR(__xludf.DUMMYFUNCTION("""COMPUTED_VALUE"""),1)</f>
        <v>1</v>
      </c>
      <c r="F150" s="12" t="n">
        <f aca="false">IFERROR(__xludf.DUMMYFUNCTION("""COMPUTED_VALUE"""),2)</f>
        <v>2</v>
      </c>
      <c r="G150" s="12" t="n">
        <f aca="false">IFERROR(__xludf.DUMMYFUNCTION("""COMPUTED_VALUE"""),1)</f>
        <v>1</v>
      </c>
      <c r="H150" s="12" t="n">
        <f aca="false">IFERROR(__xludf.DUMMYFUNCTION("""COMPUTED_VALUE"""),1)</f>
        <v>1</v>
      </c>
    </row>
    <row r="151" customFormat="false" ht="15" hidden="false" customHeight="false" outlineLevel="0" collapsed="false">
      <c r="A151" s="5" t="s">
        <v>87</v>
      </c>
      <c r="B151" s="12" t="n">
        <f aca="false">IFERROR(__xludf.DUMMYFUNCTION("""COMPUTED_VALUE"""),3)</f>
        <v>3</v>
      </c>
      <c r="C151" s="12" t="n">
        <f aca="false">IFERROR(__xludf.DUMMYFUNCTION("""COMPUTED_VALUE"""),3)</f>
        <v>3</v>
      </c>
      <c r="D151" s="12" t="n">
        <f aca="false">IFERROR(__xludf.DUMMYFUNCTION("""COMPUTED_VALUE"""),3)</f>
        <v>3</v>
      </c>
      <c r="E151" s="12" t="n">
        <f aca="false">IFERROR(__xludf.DUMMYFUNCTION("""COMPUTED_VALUE"""),3)</f>
        <v>3</v>
      </c>
      <c r="F151" s="12" t="n">
        <f aca="false">IFERROR(__xludf.DUMMYFUNCTION("""COMPUTED_VALUE"""),5)</f>
        <v>5</v>
      </c>
      <c r="G151" s="12" t="n">
        <f aca="false">IFERROR(__xludf.DUMMYFUNCTION("""COMPUTED_VALUE"""),4)</f>
        <v>4</v>
      </c>
      <c r="H151" s="12" t="n">
        <f aca="false">IFERROR(__xludf.DUMMYFUNCTION("""COMPUTED_VALUE"""),3)</f>
        <v>3</v>
      </c>
    </row>
    <row r="152" customFormat="false" ht="15" hidden="false" customHeight="false" outlineLevel="0" collapsed="false">
      <c r="A152" s="5" t="s">
        <v>88</v>
      </c>
      <c r="B152" s="12" t="n">
        <f aca="false">IFERROR(__xludf.DUMMYFUNCTION("""COMPUTED_VALUE"""),3)</f>
        <v>3</v>
      </c>
      <c r="C152" s="12" t="n">
        <f aca="false">IFERROR(__xludf.DUMMYFUNCTION("""COMPUTED_VALUE"""),3)</f>
        <v>3</v>
      </c>
      <c r="D152" s="12" t="n">
        <f aca="false">IFERROR(__xludf.DUMMYFUNCTION("""COMPUTED_VALUE"""),3)</f>
        <v>3</v>
      </c>
      <c r="E152" s="12" t="n">
        <f aca="false">IFERROR(__xludf.DUMMYFUNCTION("""COMPUTED_VALUE"""),3)</f>
        <v>3</v>
      </c>
      <c r="F152" s="12" t="n">
        <f aca="false">IFERROR(__xludf.DUMMYFUNCTION("""COMPUTED_VALUE"""),4)</f>
        <v>4</v>
      </c>
      <c r="G152" s="12" t="n">
        <f aca="false">IFERROR(__xludf.DUMMYFUNCTION("""COMPUTED_VALUE"""),3)</f>
        <v>3</v>
      </c>
      <c r="H152" s="12" t="n">
        <f aca="false">IFERROR(__xludf.DUMMYFUNCTION("""COMPUTED_VALUE"""),3)</f>
        <v>3</v>
      </c>
    </row>
    <row r="154" customFormat="false" ht="15" hidden="false" customHeight="false" outlineLevel="0" collapsed="false">
      <c r="A154" s="3" t="s">
        <v>89</v>
      </c>
      <c r="B154" s="3" t="n">
        <v>2026</v>
      </c>
      <c r="C154" s="3" t="n">
        <v>2027</v>
      </c>
      <c r="D154" s="3" t="n">
        <v>2028</v>
      </c>
      <c r="E154" s="3" t="n">
        <v>2029</v>
      </c>
      <c r="F154" s="3" t="n">
        <v>2030</v>
      </c>
      <c r="G154" s="3" t="n">
        <v>2031</v>
      </c>
      <c r="H154" s="3" t="n">
        <v>2032</v>
      </c>
      <c r="I154" s="3" t="n">
        <v>2033</v>
      </c>
      <c r="J154" s="3" t="n">
        <v>2034</v>
      </c>
      <c r="K154" s="3" t="n">
        <v>2035</v>
      </c>
    </row>
    <row r="155" customFormat="false" ht="15" hidden="false" customHeight="false" outlineLevel="0" collapsed="false">
      <c r="A155" s="5" t="s">
        <v>46</v>
      </c>
      <c r="B155" s="10" t="n">
        <f aca="false">IFERROR(__xludf.DUMMYFUNCTION("IMPORTRANGE(Links!$B$5,""sobrestock_sustitutos!B51:K67"")"),0)</f>
        <v>0</v>
      </c>
      <c r="C155" s="10" t="n">
        <f aca="false">IFERROR(__xludf.DUMMYFUNCTION("""COMPUTED_VALUE"""),0)</f>
        <v>0</v>
      </c>
      <c r="D155" s="10" t="n">
        <f aca="false">IFERROR(__xludf.DUMMYFUNCTION("""COMPUTED_VALUE"""),0)</f>
        <v>0</v>
      </c>
      <c r="E155" s="10" t="n">
        <f aca="false">IFERROR(__xludf.DUMMYFUNCTION("""COMPUTED_VALUE"""),0)</f>
        <v>0</v>
      </c>
      <c r="F155" s="10" t="n">
        <f aca="false">IFERROR(__xludf.DUMMYFUNCTION("""COMPUTED_VALUE"""),0)</f>
        <v>0</v>
      </c>
      <c r="G155" s="10" t="n">
        <f aca="false">IFERROR(__xludf.DUMMYFUNCTION("""COMPUTED_VALUE"""),0)</f>
        <v>0</v>
      </c>
      <c r="H155" s="10" t="n">
        <f aca="false">IFERROR(__xludf.DUMMYFUNCTION("""COMPUTED_VALUE"""),0)</f>
        <v>0</v>
      </c>
      <c r="I155" s="10" t="n">
        <f aca="false">IFERROR(__xludf.DUMMYFUNCTION("""COMPUTED_VALUE"""),0)</f>
        <v>0</v>
      </c>
      <c r="J155" s="10" t="n">
        <f aca="false">IFERROR(__xludf.DUMMYFUNCTION("""COMPUTED_VALUE"""),0)</f>
        <v>0</v>
      </c>
      <c r="K155" s="10" t="n">
        <f aca="false">IFERROR(__xludf.DUMMYFUNCTION("""COMPUTED_VALUE"""),0)</f>
        <v>0</v>
      </c>
    </row>
    <row r="156" customFormat="false" ht="15" hidden="false" customHeight="false" outlineLevel="0" collapsed="false">
      <c r="A156" s="5" t="s">
        <v>47</v>
      </c>
      <c r="B156" s="10" t="n">
        <f aca="false">IFERROR(__xludf.DUMMYFUNCTION("""COMPUTED_VALUE"""),2)</f>
        <v>2</v>
      </c>
      <c r="C156" s="10" t="n">
        <f aca="false">IFERROR(__xludf.DUMMYFUNCTION("""COMPUTED_VALUE"""),5)</f>
        <v>5</v>
      </c>
      <c r="D156" s="10" t="n">
        <f aca="false">IFERROR(__xludf.DUMMYFUNCTION("""COMPUTED_VALUE"""),11)</f>
        <v>11</v>
      </c>
      <c r="E156" s="10" t="n">
        <f aca="false">IFERROR(__xludf.DUMMYFUNCTION("""COMPUTED_VALUE"""),20)</f>
        <v>20</v>
      </c>
      <c r="F156" s="10" t="n">
        <f aca="false">IFERROR(__xludf.DUMMYFUNCTION("""COMPUTED_VALUE"""),29)</f>
        <v>29</v>
      </c>
      <c r="G156" s="10" t="n">
        <f aca="false">IFERROR(__xludf.DUMMYFUNCTION("""COMPUTED_VALUE"""),39)</f>
        <v>39</v>
      </c>
      <c r="H156" s="10" t="n">
        <f aca="false">IFERROR(__xludf.DUMMYFUNCTION("""COMPUTED_VALUE"""),47)</f>
        <v>47</v>
      </c>
      <c r="I156" s="10" t="n">
        <f aca="false">IFERROR(__xludf.DUMMYFUNCTION("""COMPUTED_VALUE"""),52)</f>
        <v>52</v>
      </c>
      <c r="J156" s="10" t="n">
        <f aca="false">IFERROR(__xludf.DUMMYFUNCTION("""COMPUTED_VALUE"""),56)</f>
        <v>56</v>
      </c>
      <c r="K156" s="10" t="n">
        <f aca="false">IFERROR(__xludf.DUMMYFUNCTION("""COMPUTED_VALUE"""),60)</f>
        <v>60</v>
      </c>
    </row>
    <row r="157" customFormat="false" ht="15" hidden="false" customHeight="false" outlineLevel="0" collapsed="false">
      <c r="A157" s="5" t="s">
        <v>48</v>
      </c>
      <c r="B157" s="10" t="n">
        <f aca="false">IFERROR(__xludf.DUMMYFUNCTION("""COMPUTED_VALUE"""),8)</f>
        <v>8</v>
      </c>
      <c r="C157" s="10" t="n">
        <f aca="false">IFERROR(__xludf.DUMMYFUNCTION("""COMPUTED_VALUE"""),31)</f>
        <v>31</v>
      </c>
      <c r="D157" s="10" t="n">
        <f aca="false">IFERROR(__xludf.DUMMYFUNCTION("""COMPUTED_VALUE"""),69)</f>
        <v>69</v>
      </c>
      <c r="E157" s="10" t="n">
        <f aca="false">IFERROR(__xludf.DUMMYFUNCTION("""COMPUTED_VALUE"""),130)</f>
        <v>130</v>
      </c>
      <c r="F157" s="10" t="n">
        <f aca="false">IFERROR(__xludf.DUMMYFUNCTION("""COMPUTED_VALUE"""),188)</f>
        <v>188</v>
      </c>
      <c r="G157" s="10" t="n">
        <f aca="false">IFERROR(__xludf.DUMMYFUNCTION("""COMPUTED_VALUE"""),249)</f>
        <v>249</v>
      </c>
      <c r="H157" s="10" t="n">
        <f aca="false">IFERROR(__xludf.DUMMYFUNCTION("""COMPUTED_VALUE"""),292)</f>
        <v>292</v>
      </c>
      <c r="I157" s="10" t="n">
        <f aca="false">IFERROR(__xludf.DUMMYFUNCTION("""COMPUTED_VALUE"""),324)</f>
        <v>324</v>
      </c>
      <c r="J157" s="10" t="n">
        <f aca="false">IFERROR(__xludf.DUMMYFUNCTION("""COMPUTED_VALUE"""),349)</f>
        <v>349</v>
      </c>
      <c r="K157" s="10" t="n">
        <f aca="false">IFERROR(__xludf.DUMMYFUNCTION("""COMPUTED_VALUE"""),375)</f>
        <v>375</v>
      </c>
    </row>
    <row r="158" customFormat="false" ht="15" hidden="false" customHeight="false" outlineLevel="0" collapsed="false">
      <c r="A158" s="5" t="s">
        <v>49</v>
      </c>
      <c r="B158" s="10" t="n">
        <f aca="false">IFERROR(__xludf.DUMMYFUNCTION("""COMPUTED_VALUE"""),1)</f>
        <v>1</v>
      </c>
      <c r="C158" s="10" t="n">
        <f aca="false">IFERROR(__xludf.DUMMYFUNCTION("""COMPUTED_VALUE"""),2)</f>
        <v>2</v>
      </c>
      <c r="D158" s="10" t="n">
        <f aca="false">IFERROR(__xludf.DUMMYFUNCTION("""COMPUTED_VALUE"""),4)</f>
        <v>4</v>
      </c>
      <c r="E158" s="10" t="n">
        <f aca="false">IFERROR(__xludf.DUMMYFUNCTION("""COMPUTED_VALUE"""),8)</f>
        <v>8</v>
      </c>
      <c r="F158" s="10" t="n">
        <f aca="false">IFERROR(__xludf.DUMMYFUNCTION("""COMPUTED_VALUE"""),11)</f>
        <v>11</v>
      </c>
      <c r="G158" s="10" t="n">
        <f aca="false">IFERROR(__xludf.DUMMYFUNCTION("""COMPUTED_VALUE"""),15)</f>
        <v>15</v>
      </c>
      <c r="H158" s="10" t="n">
        <f aca="false">IFERROR(__xludf.DUMMYFUNCTION("""COMPUTED_VALUE"""),17)</f>
        <v>17</v>
      </c>
      <c r="I158" s="10" t="n">
        <f aca="false">IFERROR(__xludf.DUMMYFUNCTION("""COMPUTED_VALUE"""),19)</f>
        <v>19</v>
      </c>
      <c r="J158" s="10" t="n">
        <f aca="false">IFERROR(__xludf.DUMMYFUNCTION("""COMPUTED_VALUE"""),21)</f>
        <v>21</v>
      </c>
      <c r="K158" s="10" t="n">
        <f aca="false">IFERROR(__xludf.DUMMYFUNCTION("""COMPUTED_VALUE"""),22)</f>
        <v>22</v>
      </c>
    </row>
    <row r="159" customFormat="false" ht="15" hidden="false" customHeight="false" outlineLevel="0" collapsed="false">
      <c r="A159" s="5" t="s">
        <v>50</v>
      </c>
      <c r="B159" s="10" t="n">
        <f aca="false">IFERROR(__xludf.DUMMYFUNCTION("""COMPUTED_VALUE"""),1)</f>
        <v>1</v>
      </c>
      <c r="C159" s="10" t="n">
        <f aca="false">IFERROR(__xludf.DUMMYFUNCTION("""COMPUTED_VALUE"""),3)</f>
        <v>3</v>
      </c>
      <c r="D159" s="10" t="n">
        <f aca="false">IFERROR(__xludf.DUMMYFUNCTION("""COMPUTED_VALUE"""),6)</f>
        <v>6</v>
      </c>
      <c r="E159" s="10" t="n">
        <f aca="false">IFERROR(__xludf.DUMMYFUNCTION("""COMPUTED_VALUE"""),12)</f>
        <v>12</v>
      </c>
      <c r="F159" s="10" t="n">
        <f aca="false">IFERROR(__xludf.DUMMYFUNCTION("""COMPUTED_VALUE"""),16)</f>
        <v>16</v>
      </c>
      <c r="G159" s="10" t="n">
        <f aca="false">IFERROR(__xludf.DUMMYFUNCTION("""COMPUTED_VALUE"""),22)</f>
        <v>22</v>
      </c>
      <c r="H159" s="10" t="n">
        <f aca="false">IFERROR(__xludf.DUMMYFUNCTION("""COMPUTED_VALUE"""),25)</f>
        <v>25</v>
      </c>
      <c r="I159" s="10" t="n">
        <f aca="false">IFERROR(__xludf.DUMMYFUNCTION("""COMPUTED_VALUE"""),28)</f>
        <v>28</v>
      </c>
      <c r="J159" s="10" t="n">
        <f aca="false">IFERROR(__xludf.DUMMYFUNCTION("""COMPUTED_VALUE"""),30)</f>
        <v>30</v>
      </c>
      <c r="K159" s="10" t="n">
        <f aca="false">IFERROR(__xludf.DUMMYFUNCTION("""COMPUTED_VALUE"""),32)</f>
        <v>32</v>
      </c>
    </row>
    <row r="160" customFormat="false" ht="15" hidden="false" customHeight="false" outlineLevel="0" collapsed="false">
      <c r="A160" s="5" t="s">
        <v>51</v>
      </c>
      <c r="B160" s="10" t="n">
        <f aca="false">IFERROR(__xludf.DUMMYFUNCTION("""COMPUTED_VALUE"""),1)</f>
        <v>1</v>
      </c>
      <c r="C160" s="10" t="n">
        <f aca="false">IFERROR(__xludf.DUMMYFUNCTION("""COMPUTED_VALUE"""),1)</f>
        <v>1</v>
      </c>
      <c r="D160" s="10" t="n">
        <f aca="false">IFERROR(__xludf.DUMMYFUNCTION("""COMPUTED_VALUE"""),2)</f>
        <v>2</v>
      </c>
      <c r="E160" s="10" t="n">
        <f aca="false">IFERROR(__xludf.DUMMYFUNCTION("""COMPUTED_VALUE"""),4)</f>
        <v>4</v>
      </c>
      <c r="F160" s="10" t="n">
        <f aca="false">IFERROR(__xludf.DUMMYFUNCTION("""COMPUTED_VALUE"""),5)</f>
        <v>5</v>
      </c>
      <c r="G160" s="10" t="n">
        <f aca="false">IFERROR(__xludf.DUMMYFUNCTION("""COMPUTED_VALUE"""),6)</f>
        <v>6</v>
      </c>
      <c r="H160" s="10" t="n">
        <f aca="false">IFERROR(__xludf.DUMMYFUNCTION("""COMPUTED_VALUE"""),6)</f>
        <v>6</v>
      </c>
      <c r="I160" s="10" t="n">
        <f aca="false">IFERROR(__xludf.DUMMYFUNCTION("""COMPUTED_VALUE"""),7)</f>
        <v>7</v>
      </c>
      <c r="J160" s="10" t="n">
        <f aca="false">IFERROR(__xludf.DUMMYFUNCTION("""COMPUTED_VALUE"""),8)</f>
        <v>8</v>
      </c>
      <c r="K160" s="10" t="n">
        <f aca="false">IFERROR(__xludf.DUMMYFUNCTION("""COMPUTED_VALUE"""),8)</f>
        <v>8</v>
      </c>
    </row>
    <row r="161" customFormat="false" ht="15" hidden="false" customHeight="false" outlineLevel="0" collapsed="false">
      <c r="A161" s="5" t="s">
        <v>52</v>
      </c>
      <c r="B161" s="10" t="n">
        <f aca="false">IFERROR(__xludf.DUMMYFUNCTION("""COMPUTED_VALUE"""),1)</f>
        <v>1</v>
      </c>
      <c r="C161" s="10" t="n">
        <f aca="false">IFERROR(__xludf.DUMMYFUNCTION("""COMPUTED_VALUE"""),1)</f>
        <v>1</v>
      </c>
      <c r="D161" s="10" t="n">
        <f aca="false">IFERROR(__xludf.DUMMYFUNCTION("""COMPUTED_VALUE"""),1)</f>
        <v>1</v>
      </c>
      <c r="E161" s="10" t="n">
        <f aca="false">IFERROR(__xludf.DUMMYFUNCTION("""COMPUTED_VALUE"""),2)</f>
        <v>2</v>
      </c>
      <c r="F161" s="10" t="n">
        <f aca="false">IFERROR(__xludf.DUMMYFUNCTION("""COMPUTED_VALUE"""),3)</f>
        <v>3</v>
      </c>
      <c r="G161" s="10" t="n">
        <f aca="false">IFERROR(__xludf.DUMMYFUNCTION("""COMPUTED_VALUE"""),4)</f>
        <v>4</v>
      </c>
      <c r="H161" s="10" t="n">
        <f aca="false">IFERROR(__xludf.DUMMYFUNCTION("""COMPUTED_VALUE"""),4)</f>
        <v>4</v>
      </c>
      <c r="I161" s="10" t="n">
        <f aca="false">IFERROR(__xludf.DUMMYFUNCTION("""COMPUTED_VALUE"""),4)</f>
        <v>4</v>
      </c>
      <c r="J161" s="10" t="n">
        <f aca="false">IFERROR(__xludf.DUMMYFUNCTION("""COMPUTED_VALUE"""),4)</f>
        <v>4</v>
      </c>
      <c r="K161" s="10" t="n">
        <f aca="false">IFERROR(__xludf.DUMMYFUNCTION("""COMPUTED_VALUE"""),5)</f>
        <v>5</v>
      </c>
    </row>
    <row r="162" customFormat="false" ht="15" hidden="false" customHeight="false" outlineLevel="0" collapsed="false">
      <c r="A162" s="5" t="s">
        <v>53</v>
      </c>
      <c r="B162" s="10" t="n">
        <f aca="false">IFERROR(__xludf.DUMMYFUNCTION("""COMPUTED_VALUE"""),1)</f>
        <v>1</v>
      </c>
      <c r="C162" s="10" t="n">
        <f aca="false">IFERROR(__xludf.DUMMYFUNCTION("""COMPUTED_VALUE"""),1)</f>
        <v>1</v>
      </c>
      <c r="D162" s="10" t="n">
        <f aca="false">IFERROR(__xludf.DUMMYFUNCTION("""COMPUTED_VALUE"""),1)</f>
        <v>1</v>
      </c>
      <c r="E162" s="10" t="n">
        <f aca="false">IFERROR(__xludf.DUMMYFUNCTION("""COMPUTED_VALUE"""),1)</f>
        <v>1</v>
      </c>
      <c r="F162" s="10" t="n">
        <f aca="false">IFERROR(__xludf.DUMMYFUNCTION("""COMPUTED_VALUE"""),2)</f>
        <v>2</v>
      </c>
      <c r="G162" s="10" t="n">
        <f aca="false">IFERROR(__xludf.DUMMYFUNCTION("""COMPUTED_VALUE"""),2)</f>
        <v>2</v>
      </c>
      <c r="H162" s="10" t="n">
        <f aca="false">IFERROR(__xludf.DUMMYFUNCTION("""COMPUTED_VALUE"""),2)</f>
        <v>2</v>
      </c>
      <c r="I162" s="10" t="n">
        <f aca="false">IFERROR(__xludf.DUMMYFUNCTION("""COMPUTED_VALUE"""),2)</f>
        <v>2</v>
      </c>
      <c r="J162" s="10" t="n">
        <f aca="false">IFERROR(__xludf.DUMMYFUNCTION("""COMPUTED_VALUE"""),3)</f>
        <v>3</v>
      </c>
      <c r="K162" s="10" t="n">
        <f aca="false">IFERROR(__xludf.DUMMYFUNCTION("""COMPUTED_VALUE"""),3)</f>
        <v>3</v>
      </c>
    </row>
    <row r="163" customFormat="false" ht="15" hidden="false" customHeight="false" outlineLevel="0" collapsed="false">
      <c r="A163" s="5" t="s">
        <v>54</v>
      </c>
      <c r="B163" s="10" t="n">
        <f aca="false">IFERROR(__xludf.DUMMYFUNCTION("""COMPUTED_VALUE"""),1)</f>
        <v>1</v>
      </c>
      <c r="C163" s="10" t="n">
        <f aca="false">IFERROR(__xludf.DUMMYFUNCTION("""COMPUTED_VALUE"""),2)</f>
        <v>2</v>
      </c>
      <c r="D163" s="10" t="n">
        <f aca="false">IFERROR(__xludf.DUMMYFUNCTION("""COMPUTED_VALUE"""),4)</f>
        <v>4</v>
      </c>
      <c r="E163" s="10" t="n">
        <f aca="false">IFERROR(__xludf.DUMMYFUNCTION("""COMPUTED_VALUE"""),6)</f>
        <v>6</v>
      </c>
      <c r="F163" s="10" t="n">
        <f aca="false">IFERROR(__xludf.DUMMYFUNCTION("""COMPUTED_VALUE"""),9)</f>
        <v>9</v>
      </c>
      <c r="G163" s="10" t="n">
        <f aca="false">IFERROR(__xludf.DUMMYFUNCTION("""COMPUTED_VALUE"""),11)</f>
        <v>11</v>
      </c>
      <c r="H163" s="10" t="n">
        <f aca="false">IFERROR(__xludf.DUMMYFUNCTION("""COMPUTED_VALUE"""),13)</f>
        <v>13</v>
      </c>
      <c r="I163" s="10" t="n">
        <f aca="false">IFERROR(__xludf.DUMMYFUNCTION("""COMPUTED_VALUE"""),14)</f>
        <v>14</v>
      </c>
      <c r="J163" s="10" t="n">
        <f aca="false">IFERROR(__xludf.DUMMYFUNCTION("""COMPUTED_VALUE"""),15)</f>
        <v>15</v>
      </c>
      <c r="K163" s="10" t="n">
        <f aca="false">IFERROR(__xludf.DUMMYFUNCTION("""COMPUTED_VALUE"""),16)</f>
        <v>16</v>
      </c>
    </row>
    <row r="164" customFormat="false" ht="15" hidden="false" customHeight="false" outlineLevel="0" collapsed="false">
      <c r="A164" s="5" t="s">
        <v>55</v>
      </c>
      <c r="B164" s="10" t="n">
        <f aca="false">IFERROR(__xludf.DUMMYFUNCTION("""COMPUTED_VALUE"""),2)</f>
        <v>2</v>
      </c>
      <c r="C164" s="10" t="n">
        <f aca="false">IFERROR(__xludf.DUMMYFUNCTION("""COMPUTED_VALUE"""),7)</f>
        <v>7</v>
      </c>
      <c r="D164" s="10" t="n">
        <f aca="false">IFERROR(__xludf.DUMMYFUNCTION("""COMPUTED_VALUE"""),15)</f>
        <v>15</v>
      </c>
      <c r="E164" s="10" t="n">
        <f aca="false">IFERROR(__xludf.DUMMYFUNCTION("""COMPUTED_VALUE"""),29)</f>
        <v>29</v>
      </c>
      <c r="F164" s="10" t="n">
        <f aca="false">IFERROR(__xludf.DUMMYFUNCTION("""COMPUTED_VALUE"""),41)</f>
        <v>41</v>
      </c>
      <c r="G164" s="10" t="n">
        <f aca="false">IFERROR(__xludf.DUMMYFUNCTION("""COMPUTED_VALUE"""),54)</f>
        <v>54</v>
      </c>
      <c r="H164" s="10" t="n">
        <f aca="false">IFERROR(__xludf.DUMMYFUNCTION("""COMPUTED_VALUE"""),65)</f>
        <v>65</v>
      </c>
      <c r="I164" s="10" t="n">
        <f aca="false">IFERROR(__xludf.DUMMYFUNCTION("""COMPUTED_VALUE"""),72)</f>
        <v>72</v>
      </c>
      <c r="J164" s="10" t="n">
        <f aca="false">IFERROR(__xludf.DUMMYFUNCTION("""COMPUTED_VALUE"""),77)</f>
        <v>77</v>
      </c>
      <c r="K164" s="10" t="n">
        <f aca="false">IFERROR(__xludf.DUMMYFUNCTION("""COMPUTED_VALUE"""),83)</f>
        <v>83</v>
      </c>
    </row>
    <row r="165" customFormat="false" ht="15" hidden="false" customHeight="false" outlineLevel="0" collapsed="false">
      <c r="A165" s="5" t="s">
        <v>56</v>
      </c>
      <c r="B165" s="10" t="n">
        <f aca="false">IFERROR(__xludf.DUMMYFUNCTION("""COMPUTED_VALUE"""),1)</f>
        <v>1</v>
      </c>
      <c r="C165" s="10" t="n">
        <f aca="false">IFERROR(__xludf.DUMMYFUNCTION("""COMPUTED_VALUE"""),4)</f>
        <v>4</v>
      </c>
      <c r="D165" s="10" t="n">
        <f aca="false">IFERROR(__xludf.DUMMYFUNCTION("""COMPUTED_VALUE"""),7)</f>
        <v>7</v>
      </c>
      <c r="E165" s="10" t="n">
        <f aca="false">IFERROR(__xludf.DUMMYFUNCTION("""COMPUTED_VALUE"""),12)</f>
        <v>12</v>
      </c>
      <c r="F165" s="10" t="n">
        <f aca="false">IFERROR(__xludf.DUMMYFUNCTION("""COMPUTED_VALUE"""),17)</f>
        <v>17</v>
      </c>
      <c r="G165" s="10" t="n">
        <f aca="false">IFERROR(__xludf.DUMMYFUNCTION("""COMPUTED_VALUE"""),23)</f>
        <v>23</v>
      </c>
      <c r="H165" s="10" t="n">
        <f aca="false">IFERROR(__xludf.DUMMYFUNCTION("""COMPUTED_VALUE"""),24)</f>
        <v>24</v>
      </c>
      <c r="I165" s="10" t="n">
        <f aca="false">IFERROR(__xludf.DUMMYFUNCTION("""COMPUTED_VALUE"""),27)</f>
        <v>27</v>
      </c>
      <c r="J165" s="10" t="n">
        <f aca="false">IFERROR(__xludf.DUMMYFUNCTION("""COMPUTED_VALUE"""),30)</f>
        <v>30</v>
      </c>
      <c r="K165" s="10" t="n">
        <f aca="false">IFERROR(__xludf.DUMMYFUNCTION("""COMPUTED_VALUE"""),32)</f>
        <v>32</v>
      </c>
    </row>
    <row r="166" customFormat="false" ht="15" hidden="false" customHeight="false" outlineLevel="0" collapsed="false">
      <c r="A166" s="5" t="s">
        <v>57</v>
      </c>
      <c r="B166" s="10" t="n">
        <f aca="false">IFERROR(__xludf.DUMMYFUNCTION("""COMPUTED_VALUE"""),1)</f>
        <v>1</v>
      </c>
      <c r="C166" s="10" t="n">
        <f aca="false">IFERROR(__xludf.DUMMYFUNCTION("""COMPUTED_VALUE"""),1)</f>
        <v>1</v>
      </c>
      <c r="D166" s="10" t="n">
        <f aca="false">IFERROR(__xludf.DUMMYFUNCTION("""COMPUTED_VALUE"""),2)</f>
        <v>2</v>
      </c>
      <c r="E166" s="10" t="n">
        <f aca="false">IFERROR(__xludf.DUMMYFUNCTION("""COMPUTED_VALUE"""),3)</f>
        <v>3</v>
      </c>
      <c r="F166" s="10" t="n">
        <f aca="false">IFERROR(__xludf.DUMMYFUNCTION("""COMPUTED_VALUE"""),4)</f>
        <v>4</v>
      </c>
      <c r="G166" s="10" t="n">
        <f aca="false">IFERROR(__xludf.DUMMYFUNCTION("""COMPUTED_VALUE"""),5)</f>
        <v>5</v>
      </c>
      <c r="H166" s="10" t="n">
        <f aca="false">IFERROR(__xludf.DUMMYFUNCTION("""COMPUTED_VALUE"""),5)</f>
        <v>5</v>
      </c>
      <c r="I166" s="10" t="n">
        <f aca="false">IFERROR(__xludf.DUMMYFUNCTION("""COMPUTED_VALUE"""),5)</f>
        <v>5</v>
      </c>
      <c r="J166" s="10" t="n">
        <f aca="false">IFERROR(__xludf.DUMMYFUNCTION("""COMPUTED_VALUE"""),6)</f>
        <v>6</v>
      </c>
      <c r="K166" s="10" t="n">
        <f aca="false">IFERROR(__xludf.DUMMYFUNCTION("""COMPUTED_VALUE"""),6)</f>
        <v>6</v>
      </c>
    </row>
    <row r="167" customFormat="false" ht="15" hidden="false" customHeight="false" outlineLevel="0" collapsed="false">
      <c r="A167" s="5" t="s">
        <v>58</v>
      </c>
      <c r="B167" s="10" t="n">
        <f aca="false">IFERROR(__xludf.DUMMYFUNCTION("""COMPUTED_VALUE"""),1)</f>
        <v>1</v>
      </c>
      <c r="C167" s="10" t="n">
        <f aca="false">IFERROR(__xludf.DUMMYFUNCTION("""COMPUTED_VALUE"""),1)</f>
        <v>1</v>
      </c>
      <c r="D167" s="10" t="n">
        <f aca="false">IFERROR(__xludf.DUMMYFUNCTION("""COMPUTED_VALUE"""),1)</f>
        <v>1</v>
      </c>
      <c r="E167" s="10" t="n">
        <f aca="false">IFERROR(__xludf.DUMMYFUNCTION("""COMPUTED_VALUE"""),1)</f>
        <v>1</v>
      </c>
      <c r="F167" s="10" t="n">
        <f aca="false">IFERROR(__xludf.DUMMYFUNCTION("""COMPUTED_VALUE"""),2)</f>
        <v>2</v>
      </c>
      <c r="G167" s="10" t="n">
        <f aca="false">IFERROR(__xludf.DUMMYFUNCTION("""COMPUTED_VALUE"""),2)</f>
        <v>2</v>
      </c>
      <c r="H167" s="10" t="n">
        <f aca="false">IFERROR(__xludf.DUMMYFUNCTION("""COMPUTED_VALUE"""),2)</f>
        <v>2</v>
      </c>
      <c r="I167" s="10" t="n">
        <f aca="false">IFERROR(__xludf.DUMMYFUNCTION("""COMPUTED_VALUE"""),2)</f>
        <v>2</v>
      </c>
      <c r="J167" s="10" t="n">
        <f aca="false">IFERROR(__xludf.DUMMYFUNCTION("""COMPUTED_VALUE"""),2)</f>
        <v>2</v>
      </c>
      <c r="K167" s="10" t="n">
        <f aca="false">IFERROR(__xludf.DUMMYFUNCTION("""COMPUTED_VALUE"""),3)</f>
        <v>3</v>
      </c>
    </row>
    <row r="168" customFormat="false" ht="15" hidden="false" customHeight="false" outlineLevel="0" collapsed="false">
      <c r="A168" s="5" t="s">
        <v>59</v>
      </c>
      <c r="B168" s="10" t="n">
        <f aca="false">IFERROR(__xludf.DUMMYFUNCTION("""COMPUTED_VALUE"""),1)</f>
        <v>1</v>
      </c>
      <c r="C168" s="10" t="n">
        <f aca="false">IFERROR(__xludf.DUMMYFUNCTION("""COMPUTED_VALUE"""),1)</f>
        <v>1</v>
      </c>
      <c r="D168" s="10" t="n">
        <f aca="false">IFERROR(__xludf.DUMMYFUNCTION("""COMPUTED_VALUE"""),1)</f>
        <v>1</v>
      </c>
      <c r="E168" s="10" t="n">
        <f aca="false">IFERROR(__xludf.DUMMYFUNCTION("""COMPUTED_VALUE"""),2)</f>
        <v>2</v>
      </c>
      <c r="F168" s="10" t="n">
        <f aca="false">IFERROR(__xludf.DUMMYFUNCTION("""COMPUTED_VALUE"""),3)</f>
        <v>3</v>
      </c>
      <c r="G168" s="10" t="n">
        <f aca="false">IFERROR(__xludf.DUMMYFUNCTION("""COMPUTED_VALUE"""),3)</f>
        <v>3</v>
      </c>
      <c r="H168" s="10" t="n">
        <f aca="false">IFERROR(__xludf.DUMMYFUNCTION("""COMPUTED_VALUE"""),4)</f>
        <v>4</v>
      </c>
      <c r="I168" s="10" t="n">
        <f aca="false">IFERROR(__xludf.DUMMYFUNCTION("""COMPUTED_VALUE"""),4)</f>
        <v>4</v>
      </c>
      <c r="J168" s="10" t="n">
        <f aca="false">IFERROR(__xludf.DUMMYFUNCTION("""COMPUTED_VALUE"""),4)</f>
        <v>4</v>
      </c>
      <c r="K168" s="10" t="n">
        <f aca="false">IFERROR(__xludf.DUMMYFUNCTION("""COMPUTED_VALUE"""),5)</f>
        <v>5</v>
      </c>
    </row>
    <row r="169" customFormat="false" ht="15" hidden="false" customHeight="false" outlineLevel="0" collapsed="false">
      <c r="A169" s="5" t="s">
        <v>60</v>
      </c>
      <c r="B169" s="10" t="n">
        <f aca="false">IFERROR(__xludf.DUMMYFUNCTION("""COMPUTED_VALUE"""),1)</f>
        <v>1</v>
      </c>
      <c r="C169" s="10" t="n">
        <f aca="false">IFERROR(__xludf.DUMMYFUNCTION("""COMPUTED_VALUE"""),1)</f>
        <v>1</v>
      </c>
      <c r="D169" s="10" t="n">
        <f aca="false">IFERROR(__xludf.DUMMYFUNCTION("""COMPUTED_VALUE"""),2)</f>
        <v>2</v>
      </c>
      <c r="E169" s="10" t="n">
        <f aca="false">IFERROR(__xludf.DUMMYFUNCTION("""COMPUTED_VALUE"""),4)</f>
        <v>4</v>
      </c>
      <c r="F169" s="10" t="n">
        <f aca="false">IFERROR(__xludf.DUMMYFUNCTION("""COMPUTED_VALUE"""),5)</f>
        <v>5</v>
      </c>
      <c r="G169" s="10" t="n">
        <f aca="false">IFERROR(__xludf.DUMMYFUNCTION("""COMPUTED_VALUE"""),7)</f>
        <v>7</v>
      </c>
      <c r="H169" s="10" t="n">
        <f aca="false">IFERROR(__xludf.DUMMYFUNCTION("""COMPUTED_VALUE"""),7)</f>
        <v>7</v>
      </c>
      <c r="I169" s="10" t="n">
        <f aca="false">IFERROR(__xludf.DUMMYFUNCTION("""COMPUTED_VALUE"""),8)</f>
        <v>8</v>
      </c>
      <c r="J169" s="10" t="n">
        <f aca="false">IFERROR(__xludf.DUMMYFUNCTION("""COMPUTED_VALUE"""),9)</f>
        <v>9</v>
      </c>
      <c r="K169" s="10" t="n">
        <f aca="false">IFERROR(__xludf.DUMMYFUNCTION("""COMPUTED_VALUE"""),10)</f>
        <v>10</v>
      </c>
    </row>
    <row r="170" customFormat="false" ht="15" hidden="false" customHeight="false" outlineLevel="0" collapsed="false">
      <c r="A170" s="5" t="s">
        <v>61</v>
      </c>
      <c r="B170" s="10" t="n">
        <f aca="false">IFERROR(__xludf.DUMMYFUNCTION("""COMPUTED_VALUE"""),1)</f>
        <v>1</v>
      </c>
      <c r="C170" s="10" t="n">
        <f aca="false">IFERROR(__xludf.DUMMYFUNCTION("""COMPUTED_VALUE"""),1)</f>
        <v>1</v>
      </c>
      <c r="D170" s="10" t="n">
        <f aca="false">IFERROR(__xludf.DUMMYFUNCTION("""COMPUTED_VALUE"""),1)</f>
        <v>1</v>
      </c>
      <c r="E170" s="10" t="n">
        <f aca="false">IFERROR(__xludf.DUMMYFUNCTION("""COMPUTED_VALUE"""),1)</f>
        <v>1</v>
      </c>
      <c r="F170" s="10" t="n">
        <f aca="false">IFERROR(__xludf.DUMMYFUNCTION("""COMPUTED_VALUE"""),2)</f>
        <v>2</v>
      </c>
      <c r="G170" s="10" t="n">
        <f aca="false">IFERROR(__xludf.DUMMYFUNCTION("""COMPUTED_VALUE"""),2)</f>
        <v>2</v>
      </c>
      <c r="H170" s="10" t="n">
        <f aca="false">IFERROR(__xludf.DUMMYFUNCTION("""COMPUTED_VALUE"""),2)</f>
        <v>2</v>
      </c>
      <c r="I170" s="10" t="n">
        <f aca="false">IFERROR(__xludf.DUMMYFUNCTION("""COMPUTED_VALUE"""),2)</f>
        <v>2</v>
      </c>
      <c r="J170" s="10" t="n">
        <f aca="false">IFERROR(__xludf.DUMMYFUNCTION("""COMPUTED_VALUE"""),2)</f>
        <v>2</v>
      </c>
      <c r="K170" s="10" t="n">
        <f aca="false">IFERROR(__xludf.DUMMYFUNCTION("""COMPUTED_VALUE"""),2)</f>
        <v>2</v>
      </c>
    </row>
    <row r="171" customFormat="false" ht="15" hidden="false" customHeight="false" outlineLevel="0" collapsed="false">
      <c r="A171" s="5" t="s">
        <v>62</v>
      </c>
      <c r="B171" s="10" t="n">
        <f aca="false">IFERROR(__xludf.DUMMYFUNCTION("""COMPUTED_VALUE"""),1)</f>
        <v>1</v>
      </c>
      <c r="C171" s="10" t="n">
        <f aca="false">IFERROR(__xludf.DUMMYFUNCTION("""COMPUTED_VALUE"""),1)</f>
        <v>1</v>
      </c>
      <c r="D171" s="10" t="n">
        <f aca="false">IFERROR(__xludf.DUMMYFUNCTION("""COMPUTED_VALUE"""),1)</f>
        <v>1</v>
      </c>
      <c r="E171" s="10" t="n">
        <f aca="false">IFERROR(__xludf.DUMMYFUNCTION("""COMPUTED_VALUE"""),1)</f>
        <v>1</v>
      </c>
      <c r="F171" s="10" t="n">
        <f aca="false">IFERROR(__xludf.DUMMYFUNCTION("""COMPUTED_VALUE"""),1)</f>
        <v>1</v>
      </c>
      <c r="G171" s="10" t="n">
        <f aca="false">IFERROR(__xludf.DUMMYFUNCTION("""COMPUTED_VALUE"""),1)</f>
        <v>1</v>
      </c>
      <c r="H171" s="10" t="n">
        <f aca="false">IFERROR(__xludf.DUMMYFUNCTION("""COMPUTED_VALUE"""),2)</f>
        <v>2</v>
      </c>
      <c r="I171" s="10" t="n">
        <f aca="false">IFERROR(__xludf.DUMMYFUNCTION("""COMPUTED_VALUE"""),2)</f>
        <v>2</v>
      </c>
      <c r="J171" s="10" t="n">
        <f aca="false">IFERROR(__xludf.DUMMYFUNCTION("""COMPUTED_VALUE"""),2)</f>
        <v>2</v>
      </c>
      <c r="K171" s="10" t="n">
        <f aca="false">IFERROR(__xludf.DUMMYFUNCTION("""COMPUTED_VALUE"""),2)</f>
        <v>2</v>
      </c>
    </row>
    <row r="173" customFormat="false" ht="15" hidden="false" customHeight="false" outlineLevel="0" collapsed="false">
      <c r="A173" s="3" t="s">
        <v>90</v>
      </c>
      <c r="B173" s="3" t="s">
        <v>91</v>
      </c>
    </row>
    <row r="174" customFormat="false" ht="15" hidden="false" customHeight="false" outlineLevel="0" collapsed="false">
      <c r="A174" s="5" t="s">
        <v>46</v>
      </c>
      <c r="B174" s="13" t="n">
        <f aca="false">IFERROR(__xludf.DUMMYFUNCTION("IMPORTRANGE(Links!$B$5,""sobrestock_sustitutos!B30:B46"")"),0)</f>
        <v>0</v>
      </c>
    </row>
    <row r="175" customFormat="false" ht="15" hidden="false" customHeight="false" outlineLevel="0" collapsed="false">
      <c r="A175" s="5" t="s">
        <v>47</v>
      </c>
      <c r="B175" s="13" t="n">
        <f aca="false">IFERROR(__xludf.DUMMYFUNCTION("""COMPUTED_VALUE"""),1)</f>
        <v>1</v>
      </c>
    </row>
    <row r="176" customFormat="false" ht="15" hidden="false" customHeight="false" outlineLevel="0" collapsed="false">
      <c r="A176" s="5" t="s">
        <v>48</v>
      </c>
      <c r="B176" s="13" t="n">
        <f aca="false">IFERROR(__xludf.DUMMYFUNCTION("""COMPUTED_VALUE"""),1)</f>
        <v>1</v>
      </c>
    </row>
    <row r="177" customFormat="false" ht="15" hidden="false" customHeight="false" outlineLevel="0" collapsed="false">
      <c r="A177" s="5" t="s">
        <v>49</v>
      </c>
      <c r="B177" s="13" t="n">
        <f aca="false">IFERROR(__xludf.DUMMYFUNCTION("""COMPUTED_VALUE"""),1)</f>
        <v>1</v>
      </c>
    </row>
    <row r="178" customFormat="false" ht="15" hidden="false" customHeight="false" outlineLevel="0" collapsed="false">
      <c r="A178" s="5" t="s">
        <v>50</v>
      </c>
      <c r="B178" s="13" t="n">
        <f aca="false">IFERROR(__xludf.DUMMYFUNCTION("""COMPUTED_VALUE"""),1)</f>
        <v>1</v>
      </c>
    </row>
    <row r="179" customFormat="false" ht="15" hidden="false" customHeight="false" outlineLevel="0" collapsed="false">
      <c r="A179" s="5" t="s">
        <v>51</v>
      </c>
      <c r="B179" s="13" t="n">
        <f aca="false">IFERROR(__xludf.DUMMYFUNCTION("""COMPUTED_VALUE"""),1)</f>
        <v>1</v>
      </c>
    </row>
    <row r="180" customFormat="false" ht="15" hidden="false" customHeight="false" outlineLevel="0" collapsed="false">
      <c r="A180" s="5" t="s">
        <v>52</v>
      </c>
      <c r="B180" s="13" t="n">
        <f aca="false">IFERROR(__xludf.DUMMYFUNCTION("""COMPUTED_VALUE"""),1)</f>
        <v>1</v>
      </c>
    </row>
    <row r="181" customFormat="false" ht="15" hidden="false" customHeight="false" outlineLevel="0" collapsed="false">
      <c r="A181" s="5" t="s">
        <v>53</v>
      </c>
      <c r="B181" s="13" t="n">
        <f aca="false">IFERROR(__xludf.DUMMYFUNCTION("""COMPUTED_VALUE"""),1)</f>
        <v>1</v>
      </c>
    </row>
    <row r="182" customFormat="false" ht="15" hidden="false" customHeight="false" outlineLevel="0" collapsed="false">
      <c r="A182" s="5" t="s">
        <v>54</v>
      </c>
      <c r="B182" s="13" t="n">
        <f aca="false">IFERROR(__xludf.DUMMYFUNCTION("""COMPUTED_VALUE"""),1)</f>
        <v>1</v>
      </c>
    </row>
    <row r="183" customFormat="false" ht="15" hidden="false" customHeight="false" outlineLevel="0" collapsed="false">
      <c r="A183" s="5" t="s">
        <v>55</v>
      </c>
      <c r="B183" s="13" t="n">
        <f aca="false">IFERROR(__xludf.DUMMYFUNCTION("""COMPUTED_VALUE"""),1)</f>
        <v>1</v>
      </c>
    </row>
    <row r="184" customFormat="false" ht="15" hidden="false" customHeight="false" outlineLevel="0" collapsed="false">
      <c r="A184" s="5" t="s">
        <v>56</v>
      </c>
      <c r="B184" s="13" t="n">
        <f aca="false">IFERROR(__xludf.DUMMYFUNCTION("""COMPUTED_VALUE"""),1)</f>
        <v>1</v>
      </c>
    </row>
    <row r="185" customFormat="false" ht="15" hidden="false" customHeight="false" outlineLevel="0" collapsed="false">
      <c r="A185" s="5" t="s">
        <v>57</v>
      </c>
      <c r="B185" s="13" t="n">
        <f aca="false">IFERROR(__xludf.DUMMYFUNCTION("""COMPUTED_VALUE"""),1)</f>
        <v>1</v>
      </c>
    </row>
    <row r="186" customFormat="false" ht="15" hidden="false" customHeight="false" outlineLevel="0" collapsed="false">
      <c r="A186" s="5" t="s">
        <v>58</v>
      </c>
      <c r="B186" s="13" t="n">
        <f aca="false">IFERROR(__xludf.DUMMYFUNCTION("""COMPUTED_VALUE"""),1)</f>
        <v>1</v>
      </c>
    </row>
    <row r="187" customFormat="false" ht="15" hidden="false" customHeight="false" outlineLevel="0" collapsed="false">
      <c r="A187" s="5" t="s">
        <v>59</v>
      </c>
      <c r="B187" s="13" t="n">
        <f aca="false">IFERROR(__xludf.DUMMYFUNCTION("""COMPUTED_VALUE"""),1)</f>
        <v>1</v>
      </c>
    </row>
    <row r="188" customFormat="false" ht="15" hidden="false" customHeight="false" outlineLevel="0" collapsed="false">
      <c r="A188" s="5" t="s">
        <v>60</v>
      </c>
      <c r="B188" s="13" t="n">
        <f aca="false">IFERROR(__xludf.DUMMYFUNCTION("""COMPUTED_VALUE"""),1)</f>
        <v>1</v>
      </c>
    </row>
    <row r="189" customFormat="false" ht="15" hidden="false" customHeight="false" outlineLevel="0" collapsed="false">
      <c r="A189" s="5" t="s">
        <v>61</v>
      </c>
      <c r="B189" s="13" t="n">
        <f aca="false">IFERROR(__xludf.DUMMYFUNCTION("""COMPUTED_VALUE"""),1)</f>
        <v>1</v>
      </c>
    </row>
    <row r="190" customFormat="false" ht="15" hidden="false" customHeight="false" outlineLevel="0" collapsed="false">
      <c r="A190" s="5" t="s">
        <v>62</v>
      </c>
      <c r="B190" s="13" t="n">
        <f aca="false">IFERROR(__xludf.DUMMYFUNCTION("""COMPUTED_VALUE"""),1)</f>
        <v>1</v>
      </c>
    </row>
    <row r="192" customFormat="false" ht="15" hidden="false" customHeight="false" outlineLevel="0" collapsed="false">
      <c r="A192" s="3" t="s">
        <v>92</v>
      </c>
      <c r="B192" s="3" t="s">
        <v>93</v>
      </c>
    </row>
    <row r="193" customFormat="false" ht="15" hidden="false" customHeight="false" outlineLevel="0" collapsed="false">
      <c r="A193" s="5" t="s">
        <v>94</v>
      </c>
      <c r="B193" s="14" t="n">
        <f aca="false">IFERROR(__xludf.DUMMYFUNCTION("IMPORTRANGE(Links!$B$5,""parametros_recargas!B2:B10"")"),20)</f>
        <v>20</v>
      </c>
    </row>
    <row r="194" customFormat="false" ht="15" hidden="false" customHeight="false" outlineLevel="0" collapsed="false">
      <c r="A194" s="5" t="s">
        <v>95</v>
      </c>
      <c r="B194" s="14" t="n">
        <f aca="false">IFERROR(__xludf.DUMMYFUNCTION("""COMPUTED_VALUE"""),8)</f>
        <v>8</v>
      </c>
    </row>
    <row r="195" customFormat="false" ht="15" hidden="false" customHeight="false" outlineLevel="0" collapsed="false">
      <c r="A195" s="5" t="s">
        <v>96</v>
      </c>
      <c r="B195" s="14" t="n">
        <f aca="false">IFERROR(__xludf.DUMMYFUNCTION("""COMPUTED_VALUE"""),30)</f>
        <v>30</v>
      </c>
    </row>
    <row r="196" customFormat="false" ht="15" hidden="false" customHeight="false" outlineLevel="0" collapsed="false">
      <c r="A196" s="5" t="s">
        <v>97</v>
      </c>
      <c r="B196" s="14" t="n">
        <f aca="false">IFERROR(__xludf.DUMMYFUNCTION("""COMPUTED_VALUE"""),7.5)</f>
        <v>7.5</v>
      </c>
    </row>
    <row r="197" customFormat="false" ht="15" hidden="false" customHeight="false" outlineLevel="0" collapsed="false">
      <c r="A197" s="5" t="s">
        <v>98</v>
      </c>
      <c r="B197" s="14" t="n">
        <f aca="false">IFERROR(__xludf.DUMMYFUNCTION("""COMPUTED_VALUE"""),150)</f>
        <v>150</v>
      </c>
    </row>
    <row r="198" customFormat="false" ht="15" hidden="false" customHeight="false" outlineLevel="0" collapsed="false">
      <c r="A198" s="5" t="s">
        <v>99</v>
      </c>
      <c r="B198" s="14" t="n">
        <f aca="false">IFERROR(__xludf.DUMMYFUNCTION("""COMPUTED_VALUE"""),0.9)</f>
        <v>0.9</v>
      </c>
    </row>
    <row r="199" customFormat="false" ht="15" hidden="false" customHeight="false" outlineLevel="0" collapsed="false">
      <c r="A199" s="5" t="s">
        <v>100</v>
      </c>
      <c r="B199" s="14" t="n">
        <f aca="false">IFERROR(__xludf.DUMMYFUNCTION("""COMPUTED_VALUE"""),2)</f>
        <v>2</v>
      </c>
    </row>
    <row r="200" customFormat="false" ht="15" hidden="false" customHeight="false" outlineLevel="0" collapsed="false">
      <c r="A200" s="5" t="s">
        <v>101</v>
      </c>
      <c r="B200" s="14" t="n">
        <f aca="false">IFERROR(__xludf.DUMMYFUNCTION("""COMPUTED_VALUE"""),3)</f>
        <v>3</v>
      </c>
    </row>
    <row r="201" customFormat="false" ht="15" hidden="false" customHeight="false" outlineLevel="0" collapsed="false">
      <c r="A201" s="5" t="s">
        <v>102</v>
      </c>
      <c r="B201" s="14" t="n">
        <f aca="false">IFERROR(__xludf.DUMMYFUNCTION("""COMPUTED_VALUE"""),2032)</f>
        <v>2032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6"/>
    <col collapsed="false" customWidth="true" hidden="false" outlineLevel="0" max="4" min="3" style="0" width="12"/>
    <col collapsed="false" customWidth="true" hidden="false" outlineLevel="0" max="5" min="5" style="0" width="14"/>
    <col collapsed="false" customWidth="true" hidden="false" outlineLevel="0" max="6" min="6" style="0" width="90"/>
  </cols>
  <sheetData>
    <row r="1" customFormat="false" ht="15" hidden="false" customHeight="false" outlineLevel="0" collapsed="false">
      <c r="A1" s="1" t="s">
        <v>104</v>
      </c>
    </row>
    <row r="2" customFormat="false" ht="15" hidden="false" customHeight="false" outlineLevel="0" collapsed="false">
      <c r="A2" s="2" t="s">
        <v>105</v>
      </c>
    </row>
    <row r="4" customFormat="false" ht="15" hidden="false" customHeight="true" outlineLevel="0" collapsed="false">
      <c r="A4" s="3" t="s">
        <v>106</v>
      </c>
      <c r="B4" s="3" t="s">
        <v>93</v>
      </c>
      <c r="C4" s="3" t="s">
        <v>107</v>
      </c>
      <c r="D4" s="3"/>
      <c r="E4" s="3"/>
      <c r="F4" s="3"/>
    </row>
    <row r="5" customFormat="false" ht="15" hidden="false" customHeight="true" outlineLevel="0" collapsed="false">
      <c r="A5" s="5" t="s">
        <v>12</v>
      </c>
      <c r="B5" s="15" t="n">
        <v>2035</v>
      </c>
      <c r="C5" s="5" t="s">
        <v>108</v>
      </c>
      <c r="D5" s="5"/>
      <c r="E5" s="5"/>
      <c r="F5" s="5"/>
    </row>
    <row r="6" customFormat="false" ht="15" hidden="false" customHeight="true" outlineLevel="0" collapsed="false">
      <c r="A6" s="5" t="s">
        <v>109</v>
      </c>
      <c r="B6" s="15" t="n">
        <v>2</v>
      </c>
      <c r="C6" s="5" t="s">
        <v>110</v>
      </c>
      <c r="D6" s="5"/>
      <c r="E6" s="5"/>
      <c r="F6" s="5"/>
    </row>
    <row r="7" customFormat="false" ht="15" hidden="false" customHeight="true" outlineLevel="0" collapsed="false">
      <c r="A7" s="5" t="s">
        <v>111</v>
      </c>
      <c r="B7" s="16" t="n">
        <f aca="false">Importados!$B$93*12</f>
        <v>240</v>
      </c>
      <c r="C7" s="5" t="s">
        <v>112</v>
      </c>
      <c r="D7" s="5"/>
      <c r="E7" s="5"/>
      <c r="F7" s="5"/>
    </row>
    <row r="8" customFormat="false" ht="15" hidden="false" customHeight="true" outlineLevel="0" collapsed="false">
      <c r="A8" s="5" t="s">
        <v>97</v>
      </c>
      <c r="B8" s="17" t="n">
        <f aca="false">Importados!$B$96</f>
        <v>7.5</v>
      </c>
      <c r="C8" s="5" t="s">
        <v>113</v>
      </c>
      <c r="D8" s="5"/>
      <c r="E8" s="5"/>
      <c r="F8" s="5"/>
    </row>
    <row r="10" customFormat="false" ht="15" hidden="false" customHeight="true" outlineLevel="0" collapsed="false">
      <c r="A10" s="3" t="s">
        <v>114</v>
      </c>
      <c r="B10" s="3" t="s">
        <v>93</v>
      </c>
      <c r="C10" s="3" t="s">
        <v>107</v>
      </c>
      <c r="D10" s="3"/>
      <c r="E10" s="3"/>
      <c r="F10" s="3"/>
    </row>
    <row r="11" customFormat="false" ht="35.05" hidden="false" customHeight="true" outlineLevel="0" collapsed="false">
      <c r="A11" s="5" t="s">
        <v>115</v>
      </c>
      <c r="B11" s="18" t="s">
        <v>116</v>
      </c>
      <c r="C11" s="5" t="s">
        <v>117</v>
      </c>
      <c r="D11" s="5"/>
      <c r="E11" s="5"/>
      <c r="F11" s="5"/>
    </row>
    <row r="12" customFormat="false" ht="15" hidden="false" customHeight="true" outlineLevel="0" collapsed="false">
      <c r="A12" s="5" t="s">
        <v>118</v>
      </c>
      <c r="B12" s="19" t="n">
        <v>2000</v>
      </c>
      <c r="C12" s="5" t="s">
        <v>119</v>
      </c>
      <c r="D12" s="5"/>
      <c r="E12" s="5"/>
      <c r="F12" s="5"/>
    </row>
    <row r="13" customFormat="false" ht="15" hidden="false" customHeight="true" outlineLevel="0" collapsed="false">
      <c r="A13" s="5" t="s">
        <v>120</v>
      </c>
      <c r="B13" s="15" t="n">
        <v>6</v>
      </c>
      <c r="C13" s="5" t="s">
        <v>121</v>
      </c>
      <c r="D13" s="5"/>
      <c r="E13" s="5"/>
      <c r="F13" s="5"/>
    </row>
    <row r="14" customFormat="false" ht="15" hidden="false" customHeight="true" outlineLevel="0" collapsed="false">
      <c r="A14" s="5" t="s">
        <v>122</v>
      </c>
      <c r="B14" s="15" t="n">
        <v>2</v>
      </c>
      <c r="C14" s="5" t="s">
        <v>123</v>
      </c>
      <c r="D14" s="5"/>
      <c r="E14" s="5"/>
      <c r="F14" s="5"/>
    </row>
    <row r="15" customFormat="false" ht="15" hidden="false" customHeight="true" outlineLevel="0" collapsed="false">
      <c r="A15" s="5" t="s">
        <v>124</v>
      </c>
      <c r="B15" s="15" t="n">
        <v>80</v>
      </c>
      <c r="C15" s="5" t="s">
        <v>123</v>
      </c>
      <c r="D15" s="5"/>
      <c r="E15" s="5"/>
      <c r="F15" s="5"/>
    </row>
    <row r="16" customFormat="false" ht="15" hidden="false" customHeight="true" outlineLevel="0" collapsed="false">
      <c r="A16" s="5" t="s">
        <v>125</v>
      </c>
      <c r="B16" s="20" t="n">
        <v>0.1</v>
      </c>
      <c r="C16" s="5" t="s">
        <v>123</v>
      </c>
      <c r="D16" s="5"/>
      <c r="E16" s="5"/>
      <c r="F16" s="5"/>
    </row>
    <row r="17" customFormat="false" ht="15" hidden="false" customHeight="true" outlineLevel="0" collapsed="false">
      <c r="A17" s="5" t="s">
        <v>126</v>
      </c>
      <c r="B17" s="21" t="n">
        <f aca="false">(B12-B14*B15)*(1-B16)</f>
        <v>1656</v>
      </c>
      <c r="C17" s="5" t="s">
        <v>127</v>
      </c>
      <c r="D17" s="5"/>
      <c r="E17" s="5"/>
      <c r="F17" s="5"/>
    </row>
    <row r="18" customFormat="false" ht="15" hidden="false" customHeight="true" outlineLevel="0" collapsed="false">
      <c r="A18" s="5" t="s">
        <v>128</v>
      </c>
      <c r="B18" s="19"/>
      <c r="C18" s="5" t="s">
        <v>129</v>
      </c>
      <c r="D18" s="5"/>
      <c r="E18" s="5"/>
      <c r="F18" s="5"/>
    </row>
    <row r="20" customFormat="false" ht="15" hidden="false" customHeight="true" outlineLevel="0" collapsed="false">
      <c r="A20" s="3" t="s">
        <v>130</v>
      </c>
      <c r="B20" s="3" t="s">
        <v>93</v>
      </c>
      <c r="C20" s="3" t="s">
        <v>107</v>
      </c>
      <c r="D20" s="3"/>
      <c r="E20" s="3"/>
      <c r="F20" s="3"/>
    </row>
    <row r="21" customFormat="false" ht="15" hidden="false" customHeight="true" outlineLevel="0" collapsed="false">
      <c r="A21" s="5" t="s">
        <v>131</v>
      </c>
      <c r="B21" s="22" t="n">
        <v>1.5</v>
      </c>
      <c r="C21" s="5" t="s">
        <v>132</v>
      </c>
      <c r="D21" s="5"/>
      <c r="E21" s="5"/>
      <c r="F21" s="5"/>
    </row>
    <row r="22" customFormat="false" ht="15" hidden="false" customHeight="true" outlineLevel="0" collapsed="false">
      <c r="A22" s="5" t="s">
        <v>133</v>
      </c>
      <c r="B22" s="15" t="n">
        <v>20</v>
      </c>
      <c r="C22" s="5" t="s">
        <v>134</v>
      </c>
      <c r="D22" s="5"/>
      <c r="E22" s="5"/>
      <c r="F22" s="5"/>
    </row>
    <row r="23" customFormat="false" ht="15" hidden="false" customHeight="true" outlineLevel="0" collapsed="false">
      <c r="A23" s="5" t="s">
        <v>135</v>
      </c>
      <c r="B23" s="15" t="n">
        <v>15</v>
      </c>
      <c r="C23" s="5" t="s">
        <v>123</v>
      </c>
      <c r="D23" s="5"/>
      <c r="E23" s="5"/>
      <c r="F23" s="5"/>
    </row>
    <row r="25" customFormat="false" ht="15" hidden="false" customHeight="true" outlineLevel="0" collapsed="false">
      <c r="A25" s="3" t="s">
        <v>136</v>
      </c>
      <c r="B25" s="3" t="s">
        <v>93</v>
      </c>
      <c r="C25" s="3" t="s">
        <v>107</v>
      </c>
      <c r="D25" s="3"/>
      <c r="E25" s="3"/>
      <c r="F25" s="3"/>
    </row>
    <row r="26" customFormat="false" ht="15" hidden="false" customHeight="true" outlineLevel="0" collapsed="false">
      <c r="A26" s="5" t="s">
        <v>137</v>
      </c>
      <c r="B26" s="22" t="n">
        <v>0.5</v>
      </c>
      <c r="C26" s="5" t="s">
        <v>138</v>
      </c>
      <c r="D26" s="5"/>
      <c r="E26" s="5"/>
      <c r="F26" s="5"/>
    </row>
    <row r="27" customFormat="false" ht="15" hidden="false" customHeight="true" outlineLevel="0" collapsed="false">
      <c r="A27" s="5" t="s">
        <v>139</v>
      </c>
      <c r="B27" s="22" t="n">
        <v>0.5</v>
      </c>
      <c r="C27" s="5" t="s">
        <v>140</v>
      </c>
      <c r="D27" s="5"/>
      <c r="E27" s="5"/>
      <c r="F27" s="5"/>
    </row>
    <row r="28" customFormat="false" ht="15" hidden="false" customHeight="true" outlineLevel="0" collapsed="false">
      <c r="A28" s="5" t="s">
        <v>141</v>
      </c>
      <c r="B28" s="23" t="n">
        <v>1.15</v>
      </c>
      <c r="C28" s="5" t="s">
        <v>142</v>
      </c>
      <c r="D28" s="5"/>
      <c r="E28" s="5"/>
      <c r="F28" s="5"/>
    </row>
    <row r="29" customFormat="false" ht="15" hidden="false" customHeight="true" outlineLevel="0" collapsed="false">
      <c r="A29" s="5" t="s">
        <v>143</v>
      </c>
      <c r="B29" s="20" t="n">
        <v>0.15</v>
      </c>
      <c r="C29" s="5" t="s">
        <v>144</v>
      </c>
      <c r="D29" s="5"/>
      <c r="E29" s="5"/>
      <c r="F29" s="5"/>
    </row>
    <row r="30" customFormat="false" ht="15" hidden="false" customHeight="true" outlineLevel="0" collapsed="false">
      <c r="A30" s="5" t="s">
        <v>145</v>
      </c>
      <c r="B30" s="15" t="n">
        <v>3</v>
      </c>
      <c r="C30" s="5" t="s">
        <v>146</v>
      </c>
      <c r="D30" s="5"/>
      <c r="E30" s="5"/>
      <c r="F30" s="5"/>
    </row>
    <row r="31" customFormat="false" ht="15" hidden="false" customHeight="true" outlineLevel="0" collapsed="false">
      <c r="A31" s="5" t="s">
        <v>147</v>
      </c>
      <c r="B31" s="15" t="n">
        <v>2</v>
      </c>
      <c r="C31" s="5" t="s">
        <v>148</v>
      </c>
      <c r="D31" s="5"/>
      <c r="E31" s="5"/>
      <c r="F31" s="5"/>
    </row>
    <row r="32" customFormat="false" ht="15" hidden="false" customHeight="true" outlineLevel="0" collapsed="false">
      <c r="A32" s="5" t="s">
        <v>149</v>
      </c>
      <c r="B32" s="22" t="n">
        <f aca="false">1.2*1*2</f>
        <v>2.4</v>
      </c>
      <c r="C32" s="5" t="s">
        <v>150</v>
      </c>
      <c r="D32" s="5"/>
      <c r="E32" s="5"/>
      <c r="F32" s="5"/>
    </row>
    <row r="34" customFormat="false" ht="15" hidden="false" customHeight="false" outlineLevel="0" collapsed="false">
      <c r="A34" s="3" t="s">
        <v>151</v>
      </c>
      <c r="B34" s="3" t="s">
        <v>152</v>
      </c>
      <c r="C34" s="3" t="s">
        <v>153</v>
      </c>
      <c r="D34" s="3" t="s">
        <v>154</v>
      </c>
      <c r="E34" s="3" t="s">
        <v>155</v>
      </c>
      <c r="F34" s="3" t="s">
        <v>156</v>
      </c>
    </row>
    <row r="35" customFormat="false" ht="15" hidden="false" customHeight="false" outlineLevel="0" collapsed="false">
      <c r="A35" s="5" t="s">
        <v>46</v>
      </c>
      <c r="B35" s="12" t="n">
        <v>1.9</v>
      </c>
      <c r="C35" s="13" t="n">
        <v>72</v>
      </c>
      <c r="D35" s="18" t="s">
        <v>157</v>
      </c>
      <c r="E35" s="13" t="n">
        <v>0</v>
      </c>
      <c r="F35" s="5" t="s">
        <v>158</v>
      </c>
    </row>
    <row r="36" customFormat="false" ht="15" hidden="false" customHeight="false" outlineLevel="0" collapsed="false">
      <c r="A36" s="5" t="s">
        <v>47</v>
      </c>
      <c r="B36" s="12" t="n">
        <v>4.6</v>
      </c>
      <c r="C36" s="13" t="n">
        <v>30</v>
      </c>
      <c r="D36" s="18" t="s">
        <v>159</v>
      </c>
      <c r="E36" s="13" t="n">
        <v>0</v>
      </c>
      <c r="F36" s="5" t="s">
        <v>158</v>
      </c>
    </row>
    <row r="37" customFormat="false" ht="15" hidden="false" customHeight="false" outlineLevel="0" collapsed="false">
      <c r="A37" s="5" t="s">
        <v>48</v>
      </c>
      <c r="B37" s="12" t="n">
        <v>8.5</v>
      </c>
      <c r="C37" s="13" t="n">
        <v>24</v>
      </c>
      <c r="D37" s="18" t="s">
        <v>159</v>
      </c>
      <c r="E37" s="13" t="n">
        <v>0</v>
      </c>
      <c r="F37" s="5" t="s">
        <v>158</v>
      </c>
    </row>
    <row r="38" customFormat="false" ht="15" hidden="false" customHeight="false" outlineLevel="0" collapsed="false">
      <c r="A38" s="5" t="s">
        <v>49</v>
      </c>
      <c r="B38" s="12" t="n">
        <v>16.5</v>
      </c>
      <c r="C38" s="13" t="n">
        <v>16</v>
      </c>
      <c r="D38" s="18" t="s">
        <v>159</v>
      </c>
      <c r="E38" s="13" t="n">
        <v>0</v>
      </c>
      <c r="F38" s="5" t="s">
        <v>158</v>
      </c>
    </row>
    <row r="39" customFormat="false" ht="15" hidden="false" customHeight="false" outlineLevel="0" collapsed="false">
      <c r="A39" s="5" t="s">
        <v>50</v>
      </c>
      <c r="B39" s="12" t="n">
        <v>12.55</v>
      </c>
      <c r="C39" s="13" t="n">
        <v>16</v>
      </c>
      <c r="D39" s="18" t="s">
        <v>159</v>
      </c>
      <c r="E39" s="13" t="n">
        <v>0</v>
      </c>
      <c r="F39" s="5" t="s">
        <v>158</v>
      </c>
    </row>
    <row r="40" customFormat="false" ht="15" hidden="false" customHeight="false" outlineLevel="0" collapsed="false">
      <c r="A40" s="5" t="s">
        <v>51</v>
      </c>
      <c r="B40" s="12" t="n">
        <v>12.6</v>
      </c>
      <c r="C40" s="13" t="n">
        <v>16</v>
      </c>
      <c r="D40" s="18" t="s">
        <v>159</v>
      </c>
      <c r="E40" s="13" t="n">
        <v>0</v>
      </c>
      <c r="F40" s="5" t="s">
        <v>158</v>
      </c>
    </row>
    <row r="41" customFormat="false" ht="15" hidden="false" customHeight="false" outlineLevel="0" collapsed="false">
      <c r="A41" s="5" t="s">
        <v>52</v>
      </c>
      <c r="B41" s="12" t="n">
        <v>100</v>
      </c>
      <c r="C41" s="13" t="n">
        <v>2</v>
      </c>
      <c r="D41" s="18" t="s">
        <v>160</v>
      </c>
      <c r="E41" s="13" t="n">
        <v>1</v>
      </c>
      <c r="F41" s="5" t="s">
        <v>158</v>
      </c>
    </row>
    <row r="42" customFormat="false" ht="15" hidden="false" customHeight="false" outlineLevel="0" collapsed="false">
      <c r="A42" s="5" t="s">
        <v>53</v>
      </c>
      <c r="B42" s="12" t="n">
        <v>8.5</v>
      </c>
      <c r="C42" s="13" t="n">
        <v>24</v>
      </c>
      <c r="D42" s="18" t="s">
        <v>159</v>
      </c>
      <c r="E42" s="13" t="n">
        <v>0</v>
      </c>
      <c r="F42" s="5" t="s">
        <v>158</v>
      </c>
    </row>
    <row r="43" customFormat="false" ht="15" hidden="false" customHeight="false" outlineLevel="0" collapsed="false">
      <c r="A43" s="5" t="s">
        <v>54</v>
      </c>
      <c r="B43" s="12" t="n">
        <v>8.25</v>
      </c>
      <c r="C43" s="13" t="n">
        <v>20</v>
      </c>
      <c r="D43" s="18" t="s">
        <v>159</v>
      </c>
      <c r="E43" s="13" t="n">
        <v>0</v>
      </c>
      <c r="F43" s="5" t="s">
        <v>158</v>
      </c>
    </row>
    <row r="44" customFormat="false" ht="15" hidden="false" customHeight="false" outlineLevel="0" collapsed="false">
      <c r="A44" s="5" t="s">
        <v>55</v>
      </c>
      <c r="B44" s="12" t="n">
        <v>9</v>
      </c>
      <c r="C44" s="13" t="n">
        <v>30</v>
      </c>
      <c r="D44" s="18" t="s">
        <v>159</v>
      </c>
      <c r="E44" s="13" t="n">
        <v>0</v>
      </c>
      <c r="F44" s="5" t="s">
        <v>158</v>
      </c>
    </row>
    <row r="45" customFormat="false" ht="15" hidden="false" customHeight="false" outlineLevel="0" collapsed="false">
      <c r="A45" s="5" t="s">
        <v>56</v>
      </c>
      <c r="B45" s="12" t="n">
        <v>20</v>
      </c>
      <c r="C45" s="13" t="n">
        <v>20</v>
      </c>
      <c r="D45" s="18" t="s">
        <v>159</v>
      </c>
      <c r="E45" s="13" t="n">
        <v>0</v>
      </c>
      <c r="F45" s="5" t="s">
        <v>158</v>
      </c>
    </row>
    <row r="46" customFormat="false" ht="15" hidden="false" customHeight="false" outlineLevel="0" collapsed="false">
      <c r="A46" s="5" t="s">
        <v>57</v>
      </c>
      <c r="B46" s="12" t="n">
        <v>8.5</v>
      </c>
      <c r="C46" s="13" t="n">
        <v>24</v>
      </c>
      <c r="D46" s="18" t="s">
        <v>159</v>
      </c>
      <c r="E46" s="13" t="n">
        <v>0</v>
      </c>
      <c r="F46" s="5" t="s">
        <v>158</v>
      </c>
    </row>
    <row r="47" customFormat="false" ht="15" hidden="false" customHeight="false" outlineLevel="0" collapsed="false">
      <c r="A47" s="5" t="s">
        <v>58</v>
      </c>
      <c r="B47" s="12" t="n">
        <v>16.5</v>
      </c>
      <c r="C47" s="13" t="n">
        <v>16</v>
      </c>
      <c r="D47" s="18" t="s">
        <v>159</v>
      </c>
      <c r="E47" s="13" t="n">
        <v>0</v>
      </c>
      <c r="F47" s="5" t="s">
        <v>158</v>
      </c>
    </row>
    <row r="48" customFormat="false" ht="15" hidden="false" customHeight="false" outlineLevel="0" collapsed="false">
      <c r="A48" s="5" t="s">
        <v>59</v>
      </c>
      <c r="B48" s="12" t="n">
        <v>53</v>
      </c>
      <c r="C48" s="13" t="n">
        <v>3</v>
      </c>
      <c r="D48" s="18" t="s">
        <v>160</v>
      </c>
      <c r="E48" s="13" t="n">
        <v>1</v>
      </c>
      <c r="F48" s="5" t="s">
        <v>161</v>
      </c>
    </row>
    <row r="49" customFormat="false" ht="15" hidden="false" customHeight="false" outlineLevel="0" collapsed="false">
      <c r="A49" s="5" t="s">
        <v>60</v>
      </c>
      <c r="B49" s="12" t="n">
        <v>90</v>
      </c>
      <c r="C49" s="13" t="n">
        <v>2</v>
      </c>
      <c r="D49" s="18" t="s">
        <v>160</v>
      </c>
      <c r="E49" s="13" t="n">
        <v>1</v>
      </c>
      <c r="F49" s="5" t="s">
        <v>161</v>
      </c>
    </row>
    <row r="50" customFormat="false" ht="15" hidden="false" customHeight="false" outlineLevel="0" collapsed="false">
      <c r="A50" s="5" t="s">
        <v>61</v>
      </c>
      <c r="B50" s="12" t="n">
        <v>136</v>
      </c>
      <c r="C50" s="13" t="n">
        <v>2</v>
      </c>
      <c r="D50" s="18" t="s">
        <v>160</v>
      </c>
      <c r="E50" s="13" t="n">
        <v>1</v>
      </c>
      <c r="F50" s="5" t="s">
        <v>161</v>
      </c>
    </row>
    <row r="51" customFormat="false" ht="15" hidden="false" customHeight="false" outlineLevel="0" collapsed="false">
      <c r="A51" s="5" t="s">
        <v>62</v>
      </c>
      <c r="B51" s="12" t="n">
        <v>179</v>
      </c>
      <c r="C51" s="13" t="n">
        <v>1</v>
      </c>
      <c r="D51" s="18" t="s">
        <v>160</v>
      </c>
      <c r="E51" s="13" t="n">
        <v>1</v>
      </c>
      <c r="F51" s="5" t="s">
        <v>161</v>
      </c>
    </row>
    <row r="52" customFormat="false" ht="15" hidden="false" customHeight="false" outlineLevel="0" collapsed="false">
      <c r="A52" s="2" t="s">
        <v>162</v>
      </c>
    </row>
    <row r="54" customFormat="false" ht="15" hidden="false" customHeight="false" outlineLevel="0" collapsed="false">
      <c r="A54" s="3" t="s">
        <v>163</v>
      </c>
      <c r="B54" s="3" t="s">
        <v>164</v>
      </c>
      <c r="C54" s="3"/>
      <c r="D54" s="3"/>
      <c r="E54" s="3"/>
      <c r="F54" s="3" t="s">
        <v>107</v>
      </c>
    </row>
    <row r="55" customFormat="false" ht="15" hidden="false" customHeight="false" outlineLevel="0" collapsed="false">
      <c r="A55" s="5" t="s">
        <v>64</v>
      </c>
      <c r="B55" s="12" t="n">
        <v>0.5</v>
      </c>
      <c r="F55" s="5" t="s">
        <v>165</v>
      </c>
    </row>
    <row r="56" customFormat="false" ht="15" hidden="false" customHeight="false" outlineLevel="0" collapsed="false">
      <c r="A56" s="5" t="s">
        <v>65</v>
      </c>
      <c r="B56" s="12" t="n">
        <v>1.5</v>
      </c>
      <c r="F56" s="5" t="s">
        <v>165</v>
      </c>
    </row>
    <row r="57" customFormat="false" ht="15" hidden="false" customHeight="false" outlineLevel="0" collapsed="false">
      <c r="A57" s="5" t="s">
        <v>66</v>
      </c>
      <c r="B57" s="12" t="n">
        <v>1.5</v>
      </c>
      <c r="F57" s="5" t="s">
        <v>165</v>
      </c>
    </row>
    <row r="58" customFormat="false" ht="15" hidden="false" customHeight="false" outlineLevel="0" collapsed="false">
      <c r="A58" s="5" t="s">
        <v>67</v>
      </c>
      <c r="B58" s="12" t="n">
        <v>1.5</v>
      </c>
      <c r="F58" s="5" t="s">
        <v>165</v>
      </c>
    </row>
    <row r="59" customFormat="false" ht="15" hidden="false" customHeight="false" outlineLevel="0" collapsed="false">
      <c r="A59" s="5" t="s">
        <v>68</v>
      </c>
      <c r="B59" s="12" t="n">
        <v>1.5</v>
      </c>
      <c r="F59" s="5" t="s">
        <v>165</v>
      </c>
    </row>
    <row r="60" customFormat="false" ht="15" hidden="false" customHeight="false" outlineLevel="0" collapsed="false">
      <c r="A60" s="5" t="s">
        <v>69</v>
      </c>
      <c r="B60" s="12" t="n">
        <v>1.5</v>
      </c>
      <c r="F60" s="5" t="s">
        <v>165</v>
      </c>
    </row>
    <row r="61" customFormat="false" ht="15" hidden="false" customHeight="false" outlineLevel="0" collapsed="false">
      <c r="A61" s="5" t="s">
        <v>70</v>
      </c>
      <c r="B61" s="12" t="n">
        <v>1</v>
      </c>
      <c r="F61" s="5" t="s">
        <v>165</v>
      </c>
    </row>
    <row r="63" customFormat="false" ht="15" hidden="false" customHeight="false" outlineLevel="0" collapsed="false">
      <c r="A63" s="2" t="s">
        <v>166</v>
      </c>
    </row>
  </sheetData>
  <mergeCells count="26">
    <mergeCell ref="C4:F4"/>
    <mergeCell ref="C5:F5"/>
    <mergeCell ref="C6:F6"/>
    <mergeCell ref="C7:F7"/>
    <mergeCell ref="C8:F8"/>
    <mergeCell ref="C10:F10"/>
    <mergeCell ref="C11:F11"/>
    <mergeCell ref="C12:F12"/>
    <mergeCell ref="C13:F13"/>
    <mergeCell ref="C14:F14"/>
    <mergeCell ref="C15:F15"/>
    <mergeCell ref="C16:F16"/>
    <mergeCell ref="C17:F17"/>
    <mergeCell ref="C18:F18"/>
    <mergeCell ref="C20:F20"/>
    <mergeCell ref="C21:F21"/>
    <mergeCell ref="C22:F22"/>
    <mergeCell ref="C23:F23"/>
    <mergeCell ref="C25:F25"/>
    <mergeCell ref="C26:F26"/>
    <mergeCell ref="C27:F27"/>
    <mergeCell ref="C28:F28"/>
    <mergeCell ref="C29:F29"/>
    <mergeCell ref="C30:F30"/>
    <mergeCell ref="C31:F31"/>
    <mergeCell ref="C32:F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12" min="2" style="0" width="13"/>
  </cols>
  <sheetData>
    <row r="1" customFormat="false" ht="15" hidden="false" customHeight="false" outlineLevel="0" collapsed="false">
      <c r="A1" s="1" t="s">
        <v>167</v>
      </c>
    </row>
    <row r="4" customFormat="false" ht="15" hidden="false" customHeight="false" outlineLevel="0" collapsed="false">
      <c r="A4" s="1" t="s">
        <v>44</v>
      </c>
    </row>
    <row r="5" customFormat="false" ht="23.85" hidden="false" customHeight="false" outlineLevel="0" collapsed="false">
      <c r="A5" s="3" t="s">
        <v>168</v>
      </c>
      <c r="B5" s="3" t="s">
        <v>17</v>
      </c>
      <c r="C5" s="3" t="s">
        <v>169</v>
      </c>
      <c r="D5" s="3" t="s">
        <v>170</v>
      </c>
      <c r="E5" s="3" t="s">
        <v>171</v>
      </c>
      <c r="F5" s="3" t="s">
        <v>152</v>
      </c>
      <c r="G5" s="3" t="s">
        <v>153</v>
      </c>
      <c r="H5" s="3" t="s">
        <v>172</v>
      </c>
      <c r="I5" s="3" t="s">
        <v>173</v>
      </c>
    </row>
    <row r="6" customFormat="false" ht="15" hidden="false" customHeight="false" outlineLevel="0" collapsed="false">
      <c r="A6" s="5" t="s">
        <v>46</v>
      </c>
      <c r="B6" s="10" t="n">
        <f aca="false">INDEX(Importados!$B$6:$K$6,MATCH(Supuestos!$B$5,Importados!$B$5:$K$5,0))</f>
        <v>108842.626397553</v>
      </c>
      <c r="C6" s="24" t="n">
        <f aca="false">B6/Supuestos!$B$7</f>
        <v>453.510943323138</v>
      </c>
      <c r="D6" s="13" t="n">
        <f aca="false">Importados!$B$74</f>
        <v>0</v>
      </c>
      <c r="E6" s="24" t="n">
        <f aca="false">C6*D6</f>
        <v>0</v>
      </c>
      <c r="F6" s="12" t="n">
        <f aca="false">Supuestos!$B$35</f>
        <v>1.9</v>
      </c>
      <c r="G6" s="13" t="n">
        <f aca="false">Supuestos!$C$35</f>
        <v>72</v>
      </c>
      <c r="H6" s="14" t="n">
        <f aca="false">C6/G6</f>
        <v>6.29876310171024</v>
      </c>
      <c r="I6" s="13" t="n">
        <f aca="false">Supuestos!$E$35</f>
        <v>0</v>
      </c>
    </row>
    <row r="7" customFormat="false" ht="15" hidden="false" customHeight="false" outlineLevel="0" collapsed="false">
      <c r="A7" s="5" t="s">
        <v>47</v>
      </c>
      <c r="B7" s="10" t="n">
        <f aca="false">INDEX(Importados!$B$7:$K$7,MATCH(Supuestos!$B$5,Importados!$B$5:$K$5,0))</f>
        <v>9216.54014430766</v>
      </c>
      <c r="C7" s="24" t="n">
        <f aca="false">B7/Supuestos!$B$7</f>
        <v>38.4022506012819</v>
      </c>
      <c r="D7" s="13" t="n">
        <f aca="false">Importados!$B$75</f>
        <v>1</v>
      </c>
      <c r="E7" s="24" t="n">
        <f aca="false">C7*D7</f>
        <v>38.4022506012819</v>
      </c>
      <c r="F7" s="12" t="n">
        <f aca="false">Supuestos!$B$36</f>
        <v>4.6</v>
      </c>
      <c r="G7" s="13" t="n">
        <f aca="false">Supuestos!$C$36</f>
        <v>30</v>
      </c>
      <c r="H7" s="14" t="n">
        <f aca="false">C7/G7</f>
        <v>1.28007502004273</v>
      </c>
      <c r="I7" s="13" t="n">
        <f aca="false">Supuestos!$E$36</f>
        <v>0</v>
      </c>
    </row>
    <row r="8" customFormat="false" ht="15" hidden="false" customHeight="false" outlineLevel="0" collapsed="false">
      <c r="A8" s="5" t="s">
        <v>48</v>
      </c>
      <c r="B8" s="10" t="n">
        <f aca="false">INDEX(Importados!$B$8:$K$8,MATCH(Supuestos!$B$5,Importados!$B$5:$K$5,0))</f>
        <v>56059.2707104735</v>
      </c>
      <c r="C8" s="24" t="n">
        <f aca="false">B8/Supuestos!$B$7</f>
        <v>233.580294626973</v>
      </c>
      <c r="D8" s="13" t="n">
        <f aca="false">Importados!$B$76</f>
        <v>1</v>
      </c>
      <c r="E8" s="24" t="n">
        <f aca="false">C8*D8</f>
        <v>233.580294626973</v>
      </c>
      <c r="F8" s="12" t="n">
        <f aca="false">Supuestos!$B$37</f>
        <v>8.5</v>
      </c>
      <c r="G8" s="13" t="n">
        <f aca="false">Supuestos!$C$37</f>
        <v>24</v>
      </c>
      <c r="H8" s="14" t="n">
        <f aca="false">C8/G8</f>
        <v>9.73251227612387</v>
      </c>
      <c r="I8" s="13" t="n">
        <f aca="false">Supuestos!$E$37</f>
        <v>0</v>
      </c>
    </row>
    <row r="9" customFormat="false" ht="15" hidden="false" customHeight="false" outlineLevel="0" collapsed="false">
      <c r="A9" s="5" t="s">
        <v>49</v>
      </c>
      <c r="B9" s="10" t="n">
        <f aca="false">INDEX(Importados!$B$9:$K$9,MATCH(Supuestos!$B$5,Importados!$B$5:$K$5,0))</f>
        <v>3319.32790518283</v>
      </c>
      <c r="C9" s="24" t="n">
        <f aca="false">B9/Supuestos!$B$7</f>
        <v>13.8305329382618</v>
      </c>
      <c r="D9" s="13" t="n">
        <f aca="false">Importados!$B$77</f>
        <v>1</v>
      </c>
      <c r="E9" s="24" t="n">
        <f aca="false">C9*D9</f>
        <v>13.8305329382618</v>
      </c>
      <c r="F9" s="12" t="n">
        <f aca="false">Supuestos!$B$38</f>
        <v>16.5</v>
      </c>
      <c r="G9" s="13" t="n">
        <f aca="false">Supuestos!$C$38</f>
        <v>16</v>
      </c>
      <c r="H9" s="14" t="n">
        <f aca="false">C9/G9</f>
        <v>0.864408308641362</v>
      </c>
      <c r="I9" s="13" t="n">
        <f aca="false">Supuestos!$E$38</f>
        <v>0</v>
      </c>
    </row>
    <row r="10" customFormat="false" ht="15" hidden="false" customHeight="false" outlineLevel="0" collapsed="false">
      <c r="A10" s="5" t="s">
        <v>50</v>
      </c>
      <c r="B10" s="10" t="n">
        <f aca="false">INDEX(Importados!$B$10:$K$10,MATCH(Supuestos!$B$5,Importados!$B$5:$K$5,0))</f>
        <v>4686.14321768856</v>
      </c>
      <c r="C10" s="24" t="n">
        <f aca="false">B10/Supuestos!$B$7</f>
        <v>19.525596740369</v>
      </c>
      <c r="D10" s="13" t="n">
        <f aca="false">Importados!$B$78</f>
        <v>1</v>
      </c>
      <c r="E10" s="24" t="n">
        <f aca="false">C10*D10</f>
        <v>19.525596740369</v>
      </c>
      <c r="F10" s="12" t="n">
        <f aca="false">Supuestos!$B$39</f>
        <v>12.55</v>
      </c>
      <c r="G10" s="13" t="n">
        <f aca="false">Supuestos!$C$39</f>
        <v>16</v>
      </c>
      <c r="H10" s="14" t="n">
        <f aca="false">C10/G10</f>
        <v>1.22034979627306</v>
      </c>
      <c r="I10" s="13" t="n">
        <f aca="false">Supuestos!$E$39</f>
        <v>0</v>
      </c>
    </row>
    <row r="11" customFormat="false" ht="15" hidden="false" customHeight="false" outlineLevel="0" collapsed="false">
      <c r="A11" s="5" t="s">
        <v>51</v>
      </c>
      <c r="B11" s="10" t="n">
        <f aca="false">INDEX(Importados!$B$11:$K$11,MATCH(Supuestos!$B$5,Importados!$B$5:$K$5,0))</f>
        <v>889.694438407785</v>
      </c>
      <c r="C11" s="24" t="n">
        <f aca="false">B11/Supuestos!$B$7</f>
        <v>3.70706016003244</v>
      </c>
      <c r="D11" s="13" t="n">
        <f aca="false">Importados!$B$79</f>
        <v>1</v>
      </c>
      <c r="E11" s="24" t="n">
        <f aca="false">C11*D11</f>
        <v>3.70706016003244</v>
      </c>
      <c r="F11" s="12" t="n">
        <f aca="false">Supuestos!$B$40</f>
        <v>12.6</v>
      </c>
      <c r="G11" s="13" t="n">
        <f aca="false">Supuestos!$C$40</f>
        <v>16</v>
      </c>
      <c r="H11" s="14" t="n">
        <f aca="false">C11/G11</f>
        <v>0.231691260002027</v>
      </c>
      <c r="I11" s="13" t="n">
        <f aca="false">Supuestos!$E$40</f>
        <v>0</v>
      </c>
    </row>
    <row r="12" customFormat="false" ht="15" hidden="false" customHeight="false" outlineLevel="0" collapsed="false">
      <c r="A12" s="5" t="s">
        <v>52</v>
      </c>
      <c r="B12" s="10" t="n">
        <f aca="false">INDEX(Importados!$B$12:$K$12,MATCH(Supuestos!$B$5,Importados!$B$5:$K$5,0))</f>
        <v>463.773030017405</v>
      </c>
      <c r="C12" s="24" t="n">
        <f aca="false">B12/Supuestos!$B$7</f>
        <v>1.93238762507252</v>
      </c>
      <c r="D12" s="13" t="n">
        <f aca="false">Importados!$B$80</f>
        <v>1</v>
      </c>
      <c r="E12" s="24" t="n">
        <f aca="false">C12*D12</f>
        <v>1.93238762507252</v>
      </c>
      <c r="F12" s="12" t="n">
        <f aca="false">Supuestos!$B$41</f>
        <v>100</v>
      </c>
      <c r="G12" s="13" t="n">
        <f aca="false">Supuestos!$C$41</f>
        <v>2</v>
      </c>
      <c r="H12" s="14" t="n">
        <f aca="false">C12/G12</f>
        <v>0.966193812536261</v>
      </c>
      <c r="I12" s="13" t="n">
        <f aca="false">Supuestos!$E$41</f>
        <v>1</v>
      </c>
    </row>
    <row r="13" customFormat="false" ht="15" hidden="false" customHeight="false" outlineLevel="0" collapsed="false">
      <c r="A13" s="5" t="s">
        <v>53</v>
      </c>
      <c r="B13" s="10" t="n">
        <f aca="false">INDEX(Importados!$B$13:$K$13,MATCH(Supuestos!$B$5,Importados!$B$5:$K$5,0))</f>
        <v>268.09876141114</v>
      </c>
      <c r="C13" s="24" t="n">
        <f aca="false">B13/Supuestos!$B$7</f>
        <v>1.11707817254642</v>
      </c>
      <c r="D13" s="13" t="n">
        <f aca="false">Importados!$B$81</f>
        <v>1</v>
      </c>
      <c r="E13" s="24" t="n">
        <f aca="false">C13*D13</f>
        <v>1.11707817254642</v>
      </c>
      <c r="F13" s="12" t="n">
        <f aca="false">Supuestos!$B$42</f>
        <v>8.5</v>
      </c>
      <c r="G13" s="13" t="n">
        <f aca="false">Supuestos!$C$42</f>
        <v>24</v>
      </c>
      <c r="H13" s="14" t="n">
        <f aca="false">C13/G13</f>
        <v>0.0465449238561007</v>
      </c>
      <c r="I13" s="13" t="n">
        <f aca="false">Supuestos!$E$42</f>
        <v>0</v>
      </c>
    </row>
    <row r="14" customFormat="false" ht="15" hidden="false" customHeight="false" outlineLevel="0" collapsed="false">
      <c r="A14" s="5" t="s">
        <v>54</v>
      </c>
      <c r="B14" s="10" t="n">
        <f aca="false">INDEX(Importados!$B$14:$K$14,MATCH(Supuestos!$B$5,Importados!$B$5:$K$5,0))</f>
        <v>2310.99407344162</v>
      </c>
      <c r="C14" s="24" t="n">
        <f aca="false">B14/Supuestos!$B$7</f>
        <v>9.62914197267342</v>
      </c>
      <c r="D14" s="13" t="n">
        <f aca="false">Importados!$B$82</f>
        <v>1</v>
      </c>
      <c r="E14" s="24" t="n">
        <f aca="false">C14*D14</f>
        <v>9.62914197267342</v>
      </c>
      <c r="F14" s="12" t="n">
        <f aca="false">Supuestos!$B$43</f>
        <v>8.25</v>
      </c>
      <c r="G14" s="13" t="n">
        <f aca="false">Supuestos!$C$43</f>
        <v>20</v>
      </c>
      <c r="H14" s="14" t="n">
        <f aca="false">C14/G14</f>
        <v>0.481457098633671</v>
      </c>
      <c r="I14" s="13" t="n">
        <f aca="false">Supuestos!$E$43</f>
        <v>0</v>
      </c>
    </row>
    <row r="15" customFormat="false" ht="15" hidden="false" customHeight="false" outlineLevel="0" collapsed="false">
      <c r="A15" s="5" t="s">
        <v>55</v>
      </c>
      <c r="B15" s="10" t="n">
        <f aca="false">INDEX(Importados!$B$15:$K$15,MATCH(Supuestos!$B$5,Importados!$B$5:$K$5,0))</f>
        <v>12606.7299522508</v>
      </c>
      <c r="C15" s="24" t="n">
        <f aca="false">B15/Supuestos!$B$7</f>
        <v>52.5280414677117</v>
      </c>
      <c r="D15" s="13" t="n">
        <f aca="false">Importados!$B$83</f>
        <v>1</v>
      </c>
      <c r="E15" s="24" t="n">
        <f aca="false">C15*D15</f>
        <v>52.5280414677117</v>
      </c>
      <c r="F15" s="12" t="n">
        <f aca="false">Supuestos!$B$44</f>
        <v>9</v>
      </c>
      <c r="G15" s="13" t="n">
        <f aca="false">Supuestos!$C$44</f>
        <v>30</v>
      </c>
      <c r="H15" s="14" t="n">
        <f aca="false">C15/G15</f>
        <v>1.75093471559039</v>
      </c>
      <c r="I15" s="13" t="n">
        <f aca="false">Supuestos!$E$44</f>
        <v>0</v>
      </c>
    </row>
    <row r="16" customFormat="false" ht="15" hidden="false" customHeight="false" outlineLevel="0" collapsed="false">
      <c r="A16" s="5" t="s">
        <v>56</v>
      </c>
      <c r="B16" s="10" t="n">
        <f aca="false">INDEX(Importados!$B$16:$K$16,MATCH(Supuestos!$B$5,Importados!$B$5:$K$5,0))</f>
        <v>4308.38387982745</v>
      </c>
      <c r="C16" s="24" t="n">
        <f aca="false">B16/Supuestos!$B$7</f>
        <v>17.951599499281</v>
      </c>
      <c r="D16" s="13" t="n">
        <f aca="false">Importados!$B$84</f>
        <v>1</v>
      </c>
      <c r="E16" s="24" t="n">
        <f aca="false">C16*D16</f>
        <v>17.951599499281</v>
      </c>
      <c r="F16" s="12" t="n">
        <f aca="false">Supuestos!$B$45</f>
        <v>20</v>
      </c>
      <c r="G16" s="13" t="n">
        <f aca="false">Supuestos!$C$45</f>
        <v>20</v>
      </c>
      <c r="H16" s="14" t="n">
        <f aca="false">C16/G16</f>
        <v>0.897579974964052</v>
      </c>
      <c r="I16" s="13" t="n">
        <f aca="false">Supuestos!$E$45</f>
        <v>0</v>
      </c>
    </row>
    <row r="17" customFormat="false" ht="15" hidden="false" customHeight="false" outlineLevel="0" collapsed="false">
      <c r="A17" s="5" t="s">
        <v>57</v>
      </c>
      <c r="B17" s="10" t="n">
        <f aca="false">INDEX(Importados!$B$17:$K$17,MATCH(Supuestos!$B$5,Importados!$B$5:$K$5,0))</f>
        <v>705.316446113659</v>
      </c>
      <c r="C17" s="24" t="n">
        <f aca="false">B17/Supuestos!$B$7</f>
        <v>2.93881852547358</v>
      </c>
      <c r="D17" s="13" t="n">
        <f aca="false">Importados!$B$85</f>
        <v>1</v>
      </c>
      <c r="E17" s="24" t="n">
        <f aca="false">C17*D17</f>
        <v>2.93881852547358</v>
      </c>
      <c r="F17" s="12" t="n">
        <f aca="false">Supuestos!$B$46</f>
        <v>8.5</v>
      </c>
      <c r="G17" s="13" t="n">
        <f aca="false">Supuestos!$C$46</f>
        <v>24</v>
      </c>
      <c r="H17" s="14" t="n">
        <f aca="false">C17/G17</f>
        <v>0.122450771894732</v>
      </c>
      <c r="I17" s="13" t="n">
        <f aca="false">Supuestos!$E$46</f>
        <v>0</v>
      </c>
    </row>
    <row r="18" customFormat="false" ht="15" hidden="false" customHeight="false" outlineLevel="0" collapsed="false">
      <c r="A18" s="5" t="s">
        <v>58</v>
      </c>
      <c r="B18" s="10" t="n">
        <f aca="false">INDEX(Importados!$B$18:$K$18,MATCH(Supuestos!$B$5,Importados!$B$5:$K$5,0))</f>
        <v>242.151440335721</v>
      </c>
      <c r="C18" s="24" t="n">
        <f aca="false">B18/Supuestos!$B$7</f>
        <v>1.00896433473217</v>
      </c>
      <c r="D18" s="13" t="n">
        <f aca="false">Importados!$B$86</f>
        <v>1</v>
      </c>
      <c r="E18" s="24" t="n">
        <f aca="false">C18*D18</f>
        <v>1.00896433473217</v>
      </c>
      <c r="F18" s="12" t="n">
        <f aca="false">Supuestos!$B$47</f>
        <v>16.5</v>
      </c>
      <c r="G18" s="13" t="n">
        <f aca="false">Supuestos!$C$47</f>
        <v>16</v>
      </c>
      <c r="H18" s="14" t="n">
        <f aca="false">C18/G18</f>
        <v>0.0630602709207607</v>
      </c>
      <c r="I18" s="13" t="n">
        <f aca="false">Supuestos!$E$47</f>
        <v>0</v>
      </c>
    </row>
    <row r="19" customFormat="false" ht="15" hidden="false" customHeight="false" outlineLevel="0" collapsed="false">
      <c r="A19" s="5" t="s">
        <v>59</v>
      </c>
      <c r="B19" s="10" t="n">
        <f aca="false">INDEX(Importados!$B$19:$K$19,MATCH(Supuestos!$B$5,Importados!$B$5:$K$5,0))</f>
        <v>577.776131502584</v>
      </c>
      <c r="C19" s="24" t="n">
        <f aca="false">B19/Supuestos!$B$7</f>
        <v>2.40740054792743</v>
      </c>
      <c r="D19" s="13" t="n">
        <f aca="false">Importados!$B$87</f>
        <v>1</v>
      </c>
      <c r="E19" s="24" t="n">
        <f aca="false">C19*D19</f>
        <v>2.40740054792743</v>
      </c>
      <c r="F19" s="12" t="n">
        <f aca="false">Supuestos!$B$48</f>
        <v>53</v>
      </c>
      <c r="G19" s="13" t="n">
        <f aca="false">Supuestos!$C$48</f>
        <v>3</v>
      </c>
      <c r="H19" s="14" t="n">
        <f aca="false">C19/G19</f>
        <v>0.802466849309144</v>
      </c>
      <c r="I19" s="13" t="n">
        <f aca="false">Supuestos!$E$48</f>
        <v>1</v>
      </c>
    </row>
    <row r="20" customFormat="false" ht="15" hidden="false" customHeight="false" outlineLevel="0" collapsed="false">
      <c r="A20" s="5" t="s">
        <v>60</v>
      </c>
      <c r="B20" s="10" t="n">
        <f aca="false">INDEX(Importados!$B$20:$K$20,MATCH(Supuestos!$B$5,Importados!$B$5:$K$5,0))</f>
        <v>1271.10748852936</v>
      </c>
      <c r="C20" s="24" t="n">
        <f aca="false">B20/Supuestos!$B$7</f>
        <v>5.29628120220567</v>
      </c>
      <c r="D20" s="13" t="n">
        <f aca="false">Importados!$B$88</f>
        <v>1</v>
      </c>
      <c r="E20" s="24" t="n">
        <f aca="false">C20*D20</f>
        <v>5.29628120220567</v>
      </c>
      <c r="F20" s="12" t="n">
        <f aca="false">Supuestos!$B$49</f>
        <v>90</v>
      </c>
      <c r="G20" s="13" t="n">
        <f aca="false">Supuestos!$C$49</f>
        <v>2</v>
      </c>
      <c r="H20" s="14" t="n">
        <f aca="false">C20/G20</f>
        <v>2.64814060110283</v>
      </c>
      <c r="I20" s="13" t="n">
        <f aca="false">Supuestos!$E$49</f>
        <v>1</v>
      </c>
    </row>
    <row r="21" customFormat="false" ht="15" hidden="false" customHeight="false" outlineLevel="0" collapsed="false">
      <c r="A21" s="5" t="s">
        <v>61</v>
      </c>
      <c r="B21" s="10" t="n">
        <f aca="false">INDEX(Importados!$B$21:$K$21,MATCH(Supuestos!$B$5,Importados!$B$5:$K$5,0))</f>
        <v>277.332543143421</v>
      </c>
      <c r="C21" s="24" t="n">
        <f aca="false">B21/Supuestos!$B$7</f>
        <v>1.15555226309759</v>
      </c>
      <c r="D21" s="13" t="n">
        <f aca="false">Importados!$B$89</f>
        <v>1</v>
      </c>
      <c r="E21" s="24" t="n">
        <f aca="false">C21*D21</f>
        <v>1.15555226309759</v>
      </c>
      <c r="F21" s="12" t="n">
        <f aca="false">Supuestos!$B$50</f>
        <v>136</v>
      </c>
      <c r="G21" s="13" t="n">
        <f aca="false">Supuestos!$C$50</f>
        <v>2</v>
      </c>
      <c r="H21" s="14" t="n">
        <f aca="false">C21/G21</f>
        <v>0.577776131548794</v>
      </c>
      <c r="I21" s="13" t="n">
        <f aca="false">Supuestos!$E$50</f>
        <v>1</v>
      </c>
    </row>
    <row r="22" customFormat="false" ht="15" hidden="false" customHeight="false" outlineLevel="0" collapsed="false">
      <c r="A22" s="5" t="s">
        <v>62</v>
      </c>
      <c r="B22" s="10" t="n">
        <f aca="false">INDEX(Importados!$B$22:$K$22,MATCH(Supuestos!$B$5,Importados!$B$5:$K$5,0))</f>
        <v>184.888361725934</v>
      </c>
      <c r="C22" s="24" t="n">
        <f aca="false">B22/Supuestos!$B$7</f>
        <v>0.770368173858058</v>
      </c>
      <c r="D22" s="13" t="n">
        <f aca="false">Importados!$B$90</f>
        <v>1</v>
      </c>
      <c r="E22" s="24" t="n">
        <f aca="false">C22*D22</f>
        <v>0.770368173858058</v>
      </c>
      <c r="F22" s="12" t="n">
        <f aca="false">Supuestos!$B$51</f>
        <v>179</v>
      </c>
      <c r="G22" s="13" t="n">
        <f aca="false">Supuestos!$C$51</f>
        <v>1</v>
      </c>
      <c r="H22" s="14" t="n">
        <f aca="false">C22/G22</f>
        <v>0.770368173858058</v>
      </c>
      <c r="I22" s="13" t="n">
        <f aca="false">Supuestos!$E$51</f>
        <v>1</v>
      </c>
    </row>
    <row r="23" customFormat="false" ht="15" hidden="false" customHeight="false" outlineLevel="0" collapsed="false">
      <c r="A23" s="4" t="s">
        <v>71</v>
      </c>
      <c r="B23" s="25" t="n">
        <f aca="false">SUM(B6:B22)</f>
        <v>206230.154921912</v>
      </c>
      <c r="C23" s="25" t="n">
        <f aca="false">SUM(C6:C22)</f>
        <v>859.292312174635</v>
      </c>
      <c r="E23" s="25" t="n">
        <f aca="false">SUM(E6:E22)</f>
        <v>405.781368851498</v>
      </c>
      <c r="F23" s="9" t="n">
        <f aca="false">SUMPRODUCT(C6:C22,F6:F22)/C23</f>
        <v>6.51537048481622</v>
      </c>
      <c r="H23" s="25" t="n">
        <f aca="false">SUM(H6:H22)</f>
        <v>28.7547730870081</v>
      </c>
    </row>
    <row r="25" customFormat="false" ht="23.85" hidden="false" customHeight="false" outlineLevel="0" collapsed="false">
      <c r="A25" s="3" t="s">
        <v>174</v>
      </c>
      <c r="B25" s="3" t="s">
        <v>169</v>
      </c>
      <c r="C25" s="3" t="s">
        <v>175</v>
      </c>
      <c r="D25" s="3" t="s">
        <v>176</v>
      </c>
      <c r="E25" s="3" t="s">
        <v>177</v>
      </c>
      <c r="F25" s="3" t="s">
        <v>178</v>
      </c>
      <c r="G25" s="3" t="s">
        <v>25</v>
      </c>
      <c r="H25" s="3" t="s">
        <v>164</v>
      </c>
      <c r="I25" s="3" t="s">
        <v>179</v>
      </c>
      <c r="J25" s="3" t="s">
        <v>180</v>
      </c>
      <c r="K25" s="3" t="s">
        <v>181</v>
      </c>
    </row>
    <row r="26" customFormat="false" ht="15" hidden="false" customHeight="false" outlineLevel="0" collapsed="false">
      <c r="A26" s="5" t="s">
        <v>64</v>
      </c>
      <c r="B26" s="24" t="n">
        <f aca="false">SUMPRODUCT($C$6:$C$22,Importados!$J$25:$J$41)</f>
        <v>468.481972602978</v>
      </c>
      <c r="C26" s="11" t="n">
        <f aca="false">B26/$C$23</f>
        <v>0.54519511691822</v>
      </c>
      <c r="D26" s="24" t="n">
        <f aca="false">SUMPRODUCT($E$6:$E$22,Importados!$J$25:$J$41)</f>
        <v>15.7972148826999</v>
      </c>
      <c r="E26" s="13" t="n">
        <f aca="false">Importados!$B$45</f>
        <v>25</v>
      </c>
      <c r="F26" s="12" t="n">
        <f aca="false">B26/E26</f>
        <v>18.7392789041191</v>
      </c>
      <c r="G26" s="12" t="n">
        <f aca="false">2*F26</f>
        <v>37.4785578082382</v>
      </c>
      <c r="H26" s="12" t="n">
        <f aca="false">Supuestos!$B$55</f>
        <v>0.5</v>
      </c>
      <c r="I26" s="12" t="n">
        <f aca="false">G26*(Supuestos!$B$22+Supuestos!$B$23)/60+2*B26*H26/60</f>
        <v>29.6705249315219</v>
      </c>
      <c r="J26" s="13" t="n">
        <f aca="false">IF(Supuestos!$B$5&gt;=Importados!$B$101,Importados!$B$50,Importados!$B$49)</f>
        <v>1</v>
      </c>
      <c r="K26" s="13" t="n">
        <f aca="false">IF(Supuestos!$B$5&gt;=Importados!$B$101,Importados!$B$52,Importados!$B$51)</f>
        <v>3</v>
      </c>
    </row>
    <row r="27" customFormat="false" ht="15" hidden="false" customHeight="false" outlineLevel="0" collapsed="false">
      <c r="A27" s="5" t="s">
        <v>65</v>
      </c>
      <c r="B27" s="24" t="n">
        <f aca="false">SUMPRODUCT($C$6:$C$22,Importados!$K$25:$K$41)</f>
        <v>270.443057759748</v>
      </c>
      <c r="C27" s="11" t="n">
        <f aca="false">B27/$C$23</f>
        <v>0.314727658944522</v>
      </c>
      <c r="D27" s="24" t="n">
        <f aca="false">SUMPRODUCT($E$6:$E$22,Importados!$K$25:$K$41)</f>
        <v>270.443057759748</v>
      </c>
      <c r="E27" s="13" t="n">
        <f aca="false">Importados!$C$45</f>
        <v>14</v>
      </c>
      <c r="F27" s="12" t="n">
        <f aca="false">B27/E27</f>
        <v>19.3173612685535</v>
      </c>
      <c r="G27" s="12" t="n">
        <f aca="false">2*F27</f>
        <v>38.6347225371069</v>
      </c>
      <c r="H27" s="12" t="n">
        <f aca="false">Supuestos!$B$56</f>
        <v>1.5</v>
      </c>
      <c r="I27" s="12" t="n">
        <f aca="false">G27*(Supuestos!$B$22+Supuestos!$B$23)/60+2*B27*H27/60</f>
        <v>36.0590743679665</v>
      </c>
      <c r="J27" s="13" t="n">
        <f aca="false">IF(Supuestos!$B$5&gt;=Importados!$B$101,Importados!$C$50,Importados!$C$49)</f>
        <v>1</v>
      </c>
      <c r="K27" s="13" t="n">
        <f aca="false">IF(Supuestos!$B$5&gt;=Importados!$B$101,Importados!$C$52,Importados!$C$51)</f>
        <v>3</v>
      </c>
    </row>
    <row r="28" customFormat="false" ht="15" hidden="false" customHeight="false" outlineLevel="0" collapsed="false">
      <c r="A28" s="5" t="s">
        <v>66</v>
      </c>
      <c r="B28" s="24" t="n">
        <f aca="false">SUMPRODUCT($C$6:$C$22,Importados!$L$25:$L$41)</f>
        <v>23.5502917649819</v>
      </c>
      <c r="C28" s="11" t="n">
        <f aca="false">B28/$C$23</f>
        <v>0.027406612896818</v>
      </c>
      <c r="D28" s="24" t="n">
        <f aca="false">SUMPRODUCT($E$6:$E$22,Importados!$L$25:$L$41)</f>
        <v>23.5502917649819</v>
      </c>
      <c r="E28" s="13" t="n">
        <f aca="false">Importados!$D$45</f>
        <v>18</v>
      </c>
      <c r="F28" s="12" t="n">
        <f aca="false">B28/E28</f>
        <v>1.308349542499</v>
      </c>
      <c r="G28" s="12" t="n">
        <f aca="false">2*F28</f>
        <v>2.61669908499799</v>
      </c>
      <c r="H28" s="12" t="n">
        <f aca="false">Supuestos!$B$57</f>
        <v>1.5</v>
      </c>
      <c r="I28" s="12" t="n">
        <f aca="false">G28*(Supuestos!$B$22+Supuestos!$B$23)/60+2*B28*H28/60</f>
        <v>2.70392238783126</v>
      </c>
      <c r="J28" s="13" t="n">
        <f aca="false">IF(Supuestos!$B$5&gt;=Importados!$B$101,Importados!$D$50,Importados!$D$49)</f>
        <v>1</v>
      </c>
      <c r="K28" s="13" t="n">
        <f aca="false">IF(Supuestos!$B$5&gt;=Importados!$B$101,Importados!$D$52,Importados!$D$51)</f>
        <v>3</v>
      </c>
    </row>
    <row r="29" customFormat="false" ht="15" hidden="false" customHeight="false" outlineLevel="0" collapsed="false">
      <c r="A29" s="5" t="s">
        <v>67</v>
      </c>
      <c r="B29" s="24" t="n">
        <f aca="false">SUMPRODUCT($C$6:$C$22,Importados!$M$25:$M$41)</f>
        <v>15.933847507444</v>
      </c>
      <c r="C29" s="11" t="n">
        <f aca="false">B29/$C$23</f>
        <v>0.0185429885519629</v>
      </c>
      <c r="D29" s="24" t="n">
        <f aca="false">SUMPRODUCT($E$6:$E$22,Importados!$M$25:$M$41)</f>
        <v>15.2142405511744</v>
      </c>
      <c r="E29" s="13" t="n">
        <f aca="false">Importados!$E$45</f>
        <v>20</v>
      </c>
      <c r="F29" s="12" t="n">
        <f aca="false">B29/E29</f>
        <v>0.796692375372199</v>
      </c>
      <c r="G29" s="12" t="n">
        <f aca="false">2*F29</f>
        <v>1.5933847507444</v>
      </c>
      <c r="H29" s="12" t="n">
        <f aca="false">Supuestos!$B$58</f>
        <v>1.5</v>
      </c>
      <c r="I29" s="12" t="n">
        <f aca="false">G29*(Supuestos!$B$22+Supuestos!$B$23)/60+2*B29*H29/60</f>
        <v>1.72616681330643</v>
      </c>
      <c r="J29" s="13" t="n">
        <f aca="false">IF(Supuestos!$B$5&gt;=Importados!$B$101,Importados!$E$50,Importados!$E$49)</f>
        <v>1</v>
      </c>
      <c r="K29" s="13" t="n">
        <f aca="false">IF(Supuestos!$B$5&gt;=Importados!$B$101,Importados!$E$52,Importados!$E$51)</f>
        <v>3</v>
      </c>
    </row>
    <row r="30" customFormat="false" ht="15" hidden="false" customHeight="false" outlineLevel="0" collapsed="false">
      <c r="A30" s="5" t="s">
        <v>68</v>
      </c>
      <c r="B30" s="24" t="n">
        <f aca="false">SUMPRODUCT($C$6:$C$22,Importados!$N$25:$N$41)</f>
        <v>53.8066096890546</v>
      </c>
      <c r="C30" s="11" t="n">
        <f aca="false">B30/$C$23</f>
        <v>0.0626173525896965</v>
      </c>
      <c r="D30" s="24" t="n">
        <f aca="false">SUMPRODUCT($E$6:$E$22,Importados!$N$25:$N$41)</f>
        <v>53.8066096890546</v>
      </c>
      <c r="E30" s="13" t="n">
        <f aca="false">Importados!$F$45</f>
        <v>45</v>
      </c>
      <c r="F30" s="12" t="n">
        <f aca="false">B30/E30</f>
        <v>1.19570243753455</v>
      </c>
      <c r="G30" s="12" t="n">
        <f aca="false">2*F30</f>
        <v>2.39140487506909</v>
      </c>
      <c r="H30" s="12" t="n">
        <f aca="false">Supuestos!$B$59</f>
        <v>1.5</v>
      </c>
      <c r="I30" s="12" t="n">
        <f aca="false">G30*(Supuestos!$B$22+Supuestos!$B$23)/60+2*B30*H30/60</f>
        <v>4.08531666157637</v>
      </c>
      <c r="J30" s="13" t="n">
        <f aca="false">IF(Supuestos!$B$5&gt;=Importados!$B$101,Importados!$F$50,Importados!$F$49)</f>
        <v>2</v>
      </c>
      <c r="K30" s="13" t="n">
        <f aca="false">IF(Supuestos!$B$5&gt;=Importados!$B$101,Importados!$F$52,Importados!$F$51)</f>
        <v>4</v>
      </c>
    </row>
    <row r="31" customFormat="false" ht="15" hidden="false" customHeight="false" outlineLevel="0" collapsed="false">
      <c r="A31" s="5" t="s">
        <v>69</v>
      </c>
      <c r="B31" s="24" t="n">
        <f aca="false">SUMPRODUCT($C$6:$C$22,Importados!$O$25:$O$41)</f>
        <v>23.6691084679195</v>
      </c>
      <c r="C31" s="11" t="n">
        <f aca="false">B31/$C$23</f>
        <v>0.0275448856373676</v>
      </c>
      <c r="D31" s="24" t="n">
        <f aca="false">SUMPRODUCT($E$6:$E$22,Importados!$O$25:$O$41)</f>
        <v>23.6691084679195</v>
      </c>
      <c r="E31" s="13" t="n">
        <f aca="false">Importados!$G$45</f>
        <v>35</v>
      </c>
      <c r="F31" s="12" t="n">
        <f aca="false">B31/E31</f>
        <v>0.676260241940558</v>
      </c>
      <c r="G31" s="12" t="n">
        <f aca="false">2*F31</f>
        <v>1.35252048388112</v>
      </c>
      <c r="H31" s="12" t="n">
        <f aca="false">Supuestos!$B$60</f>
        <v>1.5</v>
      </c>
      <c r="I31" s="12" t="n">
        <f aca="false">G31*(Supuestos!$B$22+Supuestos!$B$23)/60+2*B31*H31/60</f>
        <v>1.97242570565996</v>
      </c>
      <c r="J31" s="13" t="n">
        <f aca="false">IF(Supuestos!$B$5&gt;=Importados!$B$101,Importados!$G$50,Importados!$G$49)</f>
        <v>1</v>
      </c>
      <c r="K31" s="13" t="n">
        <f aca="false">IF(Supuestos!$B$5&gt;=Importados!$B$101,Importados!$G$52,Importados!$G$51)</f>
        <v>3</v>
      </c>
    </row>
    <row r="32" customFormat="false" ht="15" hidden="false" customHeight="false" outlineLevel="0" collapsed="false">
      <c r="A32" s="5" t="s">
        <v>70</v>
      </c>
      <c r="B32" s="24" t="n">
        <f aca="false">SUMPRODUCT($C$6:$C$22,Importados!$P$25:$P$41)</f>
        <v>3.40742438250904</v>
      </c>
      <c r="C32" s="11" t="n">
        <f aca="false">B32/$C$23</f>
        <v>0.00396538446141311</v>
      </c>
      <c r="D32" s="24" t="n">
        <f aca="false">SUMPRODUCT($E$6:$E$22,Importados!$P$25:$P$41)</f>
        <v>3.30084573591888</v>
      </c>
      <c r="E32" s="13" t="n">
        <f aca="false">Importados!$H$45</f>
        <v>16</v>
      </c>
      <c r="F32" s="12" t="n">
        <f aca="false">B32/E32</f>
        <v>0.212964023906815</v>
      </c>
      <c r="G32" s="12" t="n">
        <f aca="false">2*F32</f>
        <v>0.42592804781363</v>
      </c>
      <c r="H32" s="12" t="n">
        <f aca="false">Supuestos!$B$61</f>
        <v>1</v>
      </c>
      <c r="I32" s="12" t="n">
        <f aca="false">G32*(Supuestos!$B$22+Supuestos!$B$23)/60+2*B32*H32/60</f>
        <v>0.362038840641586</v>
      </c>
      <c r="J32" s="13" t="n">
        <f aca="false">IF(Supuestos!$B$5&gt;=Importados!$B$101,Importados!$H$50,Importados!$H$49)</f>
        <v>1</v>
      </c>
      <c r="K32" s="13" t="n">
        <f aca="false">IF(Supuestos!$B$5&gt;=Importados!$B$101,Importados!$H$52,Importados!$H$51)</f>
        <v>3</v>
      </c>
    </row>
    <row r="33" customFormat="false" ht="15" hidden="false" customHeight="false" outlineLevel="0" collapsed="false">
      <c r="A33" s="4" t="s">
        <v>71</v>
      </c>
      <c r="B33" s="25" t="n">
        <f aca="false">SUM(B26:B32)</f>
        <v>859.292312174635</v>
      </c>
      <c r="C33" s="26" t="n">
        <f aca="false">SUM(C26:C32)</f>
        <v>1</v>
      </c>
      <c r="D33" s="25" t="n">
        <f aca="false">SUM(D26:D32)</f>
        <v>405.781368851498</v>
      </c>
      <c r="F33" s="25" t="n">
        <f aca="false">SUM(F26:F32)</f>
        <v>42.2466087939257</v>
      </c>
      <c r="G33" s="25" t="n">
        <f aca="false">SUM(G26:G32)</f>
        <v>84.4932175878514</v>
      </c>
      <c r="I33" s="25" t="n">
        <f aca="false">SUM(I26:I32)</f>
        <v>76.579469708504</v>
      </c>
    </row>
    <row r="34" customFormat="false" ht="15" hidden="false" customHeight="false" outlineLevel="0" collapsed="false">
      <c r="A34" s="2" t="s">
        <v>182</v>
      </c>
    </row>
    <row r="38" customFormat="false" ht="15" hidden="false" customHeight="false" outlineLevel="0" collapsed="false">
      <c r="A38" s="1" t="s">
        <v>103</v>
      </c>
    </row>
    <row r="39" customFormat="false" ht="23.85" hidden="false" customHeight="false" outlineLevel="0" collapsed="false">
      <c r="A39" s="3" t="s">
        <v>168</v>
      </c>
      <c r="B39" s="3" t="s">
        <v>17</v>
      </c>
      <c r="C39" s="3" t="s">
        <v>169</v>
      </c>
      <c r="D39" s="3" t="s">
        <v>170</v>
      </c>
      <c r="E39" s="3" t="s">
        <v>171</v>
      </c>
      <c r="F39" s="3" t="s">
        <v>152</v>
      </c>
      <c r="G39" s="3" t="s">
        <v>153</v>
      </c>
      <c r="H39" s="3" t="s">
        <v>172</v>
      </c>
      <c r="I39" s="3" t="s">
        <v>173</v>
      </c>
    </row>
    <row r="40" customFormat="false" ht="15" hidden="false" customHeight="false" outlineLevel="0" collapsed="false">
      <c r="A40" s="5" t="s">
        <v>46</v>
      </c>
      <c r="B40" s="10" t="n">
        <f aca="false">INDEX(Importados!$B$106:$K$106,MATCH(Supuestos!$B$5,Importados!$B$105:$K$105,0))</f>
        <v>56575.8368575054</v>
      </c>
      <c r="C40" s="24" t="n">
        <f aca="false">B40/Supuestos!$B$7</f>
        <v>235.732653572939</v>
      </c>
      <c r="D40" s="13" t="n">
        <f aca="false">Importados!$B$174</f>
        <v>0</v>
      </c>
      <c r="E40" s="24" t="n">
        <f aca="false">C40*D40</f>
        <v>0</v>
      </c>
      <c r="F40" s="12" t="n">
        <f aca="false">Supuestos!$B$35</f>
        <v>1.9</v>
      </c>
      <c r="G40" s="13" t="n">
        <f aca="false">Supuestos!$C$35</f>
        <v>72</v>
      </c>
      <c r="H40" s="14" t="n">
        <f aca="false">C40/G40</f>
        <v>3.27406463295749</v>
      </c>
      <c r="I40" s="13" t="n">
        <f aca="false">Supuestos!$E$35</f>
        <v>0</v>
      </c>
    </row>
    <row r="41" customFormat="false" ht="15" hidden="false" customHeight="false" outlineLevel="0" collapsed="false">
      <c r="A41" s="5" t="s">
        <v>47</v>
      </c>
      <c r="B41" s="10" t="n">
        <f aca="false">INDEX(Importados!$B$107:$K$107,MATCH(Supuestos!$B$5,Importados!$B$105:$K$105,0))</f>
        <v>4790.71011839089</v>
      </c>
      <c r="C41" s="24" t="n">
        <f aca="false">B41/Supuestos!$B$7</f>
        <v>19.961292159962</v>
      </c>
      <c r="D41" s="13" t="n">
        <f aca="false">Importados!$B$175</f>
        <v>1</v>
      </c>
      <c r="E41" s="24" t="n">
        <f aca="false">C41*D41</f>
        <v>19.961292159962</v>
      </c>
      <c r="F41" s="12" t="n">
        <f aca="false">Supuestos!$B$36</f>
        <v>4.6</v>
      </c>
      <c r="G41" s="13" t="n">
        <f aca="false">Supuestos!$C$36</f>
        <v>30</v>
      </c>
      <c r="H41" s="14" t="n">
        <f aca="false">C41/G41</f>
        <v>0.665376405332068</v>
      </c>
      <c r="I41" s="13" t="n">
        <f aca="false">Supuestos!$E$36</f>
        <v>0</v>
      </c>
    </row>
    <row r="42" customFormat="false" ht="15" hidden="false" customHeight="false" outlineLevel="0" collapsed="false">
      <c r="A42" s="5" t="s">
        <v>48</v>
      </c>
      <c r="B42" s="10" t="n">
        <f aca="false">INDEX(Importados!$B$108:$K$108,MATCH(Supuestos!$B$5,Importados!$B$105:$K$105,0))</f>
        <v>29139.3203107948</v>
      </c>
      <c r="C42" s="24" t="n">
        <f aca="false">B42/Supuestos!$B$7</f>
        <v>121.413834628312</v>
      </c>
      <c r="D42" s="13" t="n">
        <f aca="false">Importados!$B$176</f>
        <v>1</v>
      </c>
      <c r="E42" s="24" t="n">
        <f aca="false">C42*D42</f>
        <v>121.413834628312</v>
      </c>
      <c r="F42" s="12" t="n">
        <f aca="false">Supuestos!$B$37</f>
        <v>8.5</v>
      </c>
      <c r="G42" s="13" t="n">
        <f aca="false">Supuestos!$C$37</f>
        <v>24</v>
      </c>
      <c r="H42" s="14" t="n">
        <f aca="false">C42/G42</f>
        <v>5.05890977617965</v>
      </c>
      <c r="I42" s="13" t="n">
        <f aca="false">Supuestos!$E$37</f>
        <v>0</v>
      </c>
    </row>
    <row r="43" customFormat="false" ht="15" hidden="false" customHeight="false" outlineLevel="0" collapsed="false">
      <c r="A43" s="5" t="s">
        <v>49</v>
      </c>
      <c r="B43" s="10" t="n">
        <f aca="false">INDEX(Importados!$B$109:$K$109,MATCH(Supuestos!$B$5,Importados!$B$105:$K$105,0))</f>
        <v>1725.36955653994</v>
      </c>
      <c r="C43" s="24" t="n">
        <f aca="false">B43/Supuestos!$B$7</f>
        <v>7.18903981891642</v>
      </c>
      <c r="D43" s="13" t="n">
        <f aca="false">Importados!$B$177</f>
        <v>1</v>
      </c>
      <c r="E43" s="24" t="n">
        <f aca="false">C43*D43</f>
        <v>7.18903981891642</v>
      </c>
      <c r="F43" s="12" t="n">
        <f aca="false">Supuestos!$B$38</f>
        <v>16.5</v>
      </c>
      <c r="G43" s="13" t="n">
        <f aca="false">Supuestos!$C$38</f>
        <v>16</v>
      </c>
      <c r="H43" s="14" t="n">
        <f aca="false">C43/G43</f>
        <v>0.449314988682276</v>
      </c>
      <c r="I43" s="13" t="n">
        <f aca="false">Supuestos!$E$38</f>
        <v>0</v>
      </c>
    </row>
    <row r="44" customFormat="false" ht="15" hidden="false" customHeight="false" outlineLevel="0" collapsed="false">
      <c r="A44" s="5" t="s">
        <v>50</v>
      </c>
      <c r="B44" s="10" t="n">
        <f aca="false">INDEX(Importados!$B$110:$K$110,MATCH(Supuestos!$B$5,Importados!$B$105:$K$105,0))</f>
        <v>2435.83311933763</v>
      </c>
      <c r="C44" s="24" t="n">
        <f aca="false">B44/Supuestos!$B$7</f>
        <v>10.1493046639068</v>
      </c>
      <c r="D44" s="13" t="n">
        <f aca="false">Importados!$B$178</f>
        <v>1</v>
      </c>
      <c r="E44" s="24" t="n">
        <f aca="false">C44*D44</f>
        <v>10.1493046639068</v>
      </c>
      <c r="F44" s="12" t="n">
        <f aca="false">Supuestos!$B$39</f>
        <v>12.55</v>
      </c>
      <c r="G44" s="13" t="n">
        <f aca="false">Supuestos!$C$39</f>
        <v>16</v>
      </c>
      <c r="H44" s="14" t="n">
        <f aca="false">C44/G44</f>
        <v>0.634331541494175</v>
      </c>
      <c r="I44" s="13" t="n">
        <f aca="false">Supuestos!$E$39</f>
        <v>0</v>
      </c>
    </row>
    <row r="45" customFormat="false" ht="15" hidden="false" customHeight="false" outlineLevel="0" collapsed="false">
      <c r="A45" s="5" t="s">
        <v>51</v>
      </c>
      <c r="B45" s="10" t="n">
        <f aca="false">INDEX(Importados!$B$111:$K$111,MATCH(Supuestos!$B$5,Importados!$B$105:$K$105,0))</f>
        <v>462.458588756731</v>
      </c>
      <c r="C45" s="24" t="n">
        <f aca="false">B45/Supuestos!$B$7</f>
        <v>1.92691078648638</v>
      </c>
      <c r="D45" s="13" t="n">
        <f aca="false">Importados!$B$179</f>
        <v>1</v>
      </c>
      <c r="E45" s="24" t="n">
        <f aca="false">C45*D45</f>
        <v>1.92691078648638</v>
      </c>
      <c r="F45" s="12" t="n">
        <f aca="false">Supuestos!$B$40</f>
        <v>12.6</v>
      </c>
      <c r="G45" s="13" t="n">
        <f aca="false">Supuestos!$C$40</f>
        <v>16</v>
      </c>
      <c r="H45" s="14" t="n">
        <f aca="false">C45/G45</f>
        <v>0.120431924155399</v>
      </c>
      <c r="I45" s="13" t="n">
        <f aca="false">Supuestos!$E$40</f>
        <v>0</v>
      </c>
    </row>
    <row r="46" customFormat="false" ht="15" hidden="false" customHeight="false" outlineLevel="0" collapsed="false">
      <c r="A46" s="5" t="s">
        <v>52</v>
      </c>
      <c r="B46" s="10" t="n">
        <f aca="false">INDEX(Importados!$B$112:$K$112,MATCH(Supuestos!$B$5,Importados!$B$105:$K$105,0))</f>
        <v>241.066833405312</v>
      </c>
      <c r="C46" s="24" t="n">
        <f aca="false">B46/Supuestos!$B$7</f>
        <v>1.0044451391888</v>
      </c>
      <c r="D46" s="13" t="n">
        <f aca="false">Importados!$B$180</f>
        <v>1</v>
      </c>
      <c r="E46" s="24" t="n">
        <f aca="false">C46*D46</f>
        <v>1.0044451391888</v>
      </c>
      <c r="F46" s="12" t="n">
        <f aca="false">Supuestos!$B$41</f>
        <v>100</v>
      </c>
      <c r="G46" s="13" t="n">
        <f aca="false">Supuestos!$C$41</f>
        <v>2</v>
      </c>
      <c r="H46" s="14" t="n">
        <f aca="false">C46/G46</f>
        <v>0.5022225695944</v>
      </c>
      <c r="I46" s="13" t="n">
        <f aca="false">Supuestos!$E$41</f>
        <v>1</v>
      </c>
    </row>
    <row r="47" customFormat="false" ht="15" hidden="false" customHeight="false" outlineLevel="0" collapsed="false">
      <c r="A47" s="5" t="s">
        <v>53</v>
      </c>
      <c r="B47" s="10" t="n">
        <f aca="false">INDEX(Importados!$B$113:$K$113,MATCH(Supuestos!$B$5,Importados!$B$105:$K$105,0))</f>
        <v>139.356355954645</v>
      </c>
      <c r="C47" s="24" t="n">
        <f aca="false">B47/Supuestos!$B$7</f>
        <v>0.580651483144354</v>
      </c>
      <c r="D47" s="13" t="n">
        <f aca="false">Importados!$B$181</f>
        <v>1</v>
      </c>
      <c r="E47" s="24" t="n">
        <f aca="false">C47*D47</f>
        <v>0.580651483144354</v>
      </c>
      <c r="F47" s="12" t="n">
        <f aca="false">Supuestos!$B$42</f>
        <v>8.5</v>
      </c>
      <c r="G47" s="13" t="n">
        <f aca="false">Supuestos!$C$42</f>
        <v>24</v>
      </c>
      <c r="H47" s="14" t="n">
        <f aca="false">C47/G47</f>
        <v>0.0241938117976814</v>
      </c>
      <c r="I47" s="13" t="n">
        <f aca="false">Supuestos!$E$42</f>
        <v>0</v>
      </c>
    </row>
    <row r="48" customFormat="false" ht="15" hidden="false" customHeight="false" outlineLevel="0" collapsed="false">
      <c r="A48" s="5" t="s">
        <v>54</v>
      </c>
      <c r="B48" s="10" t="n">
        <f aca="false">INDEX(Importados!$B$114:$K$114,MATCH(Supuestos!$B$5,Importados!$B$105:$K$105,0))</f>
        <v>1201.24282190818</v>
      </c>
      <c r="C48" s="24" t="n">
        <f aca="false">B48/Supuestos!$B$7</f>
        <v>5.00517842461742</v>
      </c>
      <c r="D48" s="13" t="n">
        <f aca="false">Importados!$B$182</f>
        <v>1</v>
      </c>
      <c r="E48" s="24" t="n">
        <f aca="false">C48*D48</f>
        <v>5.00517842461742</v>
      </c>
      <c r="F48" s="12" t="n">
        <f aca="false">Supuestos!$B$43</f>
        <v>8.25</v>
      </c>
      <c r="G48" s="13" t="n">
        <f aca="false">Supuestos!$C$43</f>
        <v>20</v>
      </c>
      <c r="H48" s="14" t="n">
        <f aca="false">C48/G48</f>
        <v>0.250258921230871</v>
      </c>
      <c r="I48" s="13" t="n">
        <f aca="false">Supuestos!$E$43</f>
        <v>0</v>
      </c>
    </row>
    <row r="49" customFormat="false" ht="15" hidden="false" customHeight="false" outlineLevel="0" collapsed="false">
      <c r="A49" s="5" t="s">
        <v>55</v>
      </c>
      <c r="B49" s="10" t="n">
        <f aca="false">INDEX(Importados!$B$115:$K$115,MATCH(Supuestos!$B$5,Importados!$B$105:$K$105,0))</f>
        <v>6552.91332717418</v>
      </c>
      <c r="C49" s="24" t="n">
        <f aca="false">B49/Supuestos!$B$7</f>
        <v>27.3038055298924</v>
      </c>
      <c r="D49" s="13" t="n">
        <f aca="false">Importados!$B$183</f>
        <v>1</v>
      </c>
      <c r="E49" s="24" t="n">
        <f aca="false">C49*D49</f>
        <v>27.3038055298924</v>
      </c>
      <c r="F49" s="12" t="n">
        <f aca="false">Supuestos!$B$44</f>
        <v>9</v>
      </c>
      <c r="G49" s="13" t="n">
        <f aca="false">Supuestos!$C$44</f>
        <v>30</v>
      </c>
      <c r="H49" s="14" t="n">
        <f aca="false">C49/G49</f>
        <v>0.910126850996414</v>
      </c>
      <c r="I49" s="13" t="n">
        <f aca="false">Supuestos!$E$44</f>
        <v>0</v>
      </c>
    </row>
    <row r="50" customFormat="false" ht="15" hidden="false" customHeight="false" outlineLevel="0" collapsed="false">
      <c r="A50" s="5" t="s">
        <v>56</v>
      </c>
      <c r="B50" s="10" t="n">
        <f aca="false">INDEX(Importados!$B$116:$K$116,MATCH(Supuestos!$B$5,Importados!$B$105:$K$105,0))</f>
        <v>2239.47576029921</v>
      </c>
      <c r="C50" s="24" t="n">
        <f aca="false">B50/Supuestos!$B$7</f>
        <v>9.33114900124671</v>
      </c>
      <c r="D50" s="13" t="n">
        <f aca="false">Importados!$B$184</f>
        <v>1</v>
      </c>
      <c r="E50" s="24" t="n">
        <f aca="false">C50*D50</f>
        <v>9.33114900124671</v>
      </c>
      <c r="F50" s="12" t="n">
        <f aca="false">Supuestos!$B$45</f>
        <v>20</v>
      </c>
      <c r="G50" s="13" t="n">
        <f aca="false">Supuestos!$C$45</f>
        <v>20</v>
      </c>
      <c r="H50" s="14" t="n">
        <f aca="false">C50/G50</f>
        <v>0.466557450062335</v>
      </c>
      <c r="I50" s="13" t="n">
        <f aca="false">Supuestos!$E$45</f>
        <v>0</v>
      </c>
    </row>
    <row r="51" customFormat="false" ht="15" hidden="false" customHeight="false" outlineLevel="0" collapsed="false">
      <c r="A51" s="5" t="s">
        <v>57</v>
      </c>
      <c r="B51" s="10" t="n">
        <f aca="false">INDEX(Importados!$B$117:$K$117,MATCH(Supuestos!$B$5,Importados!$B$105:$K$105,0))</f>
        <v>366.61985757759</v>
      </c>
      <c r="C51" s="24" t="n">
        <f aca="false">B51/Supuestos!$B$7</f>
        <v>1.52758273990662</v>
      </c>
      <c r="D51" s="13" t="n">
        <f aca="false">Importados!$B$185</f>
        <v>1</v>
      </c>
      <c r="E51" s="24" t="n">
        <f aca="false">C51*D51</f>
        <v>1.52758273990662</v>
      </c>
      <c r="F51" s="12" t="n">
        <f aca="false">Supuestos!$B$46</f>
        <v>8.5</v>
      </c>
      <c r="G51" s="13" t="n">
        <f aca="false">Supuestos!$C$46</f>
        <v>24</v>
      </c>
      <c r="H51" s="14" t="n">
        <f aca="false">C51/G51</f>
        <v>0.0636492808294427</v>
      </c>
      <c r="I51" s="13" t="n">
        <f aca="false">Supuestos!$E$46</f>
        <v>0</v>
      </c>
    </row>
    <row r="52" customFormat="false" ht="15" hidden="false" customHeight="false" outlineLevel="0" collapsed="false">
      <c r="A52" s="5" t="s">
        <v>58</v>
      </c>
      <c r="B52" s="10" t="n">
        <f aca="false">INDEX(Importados!$B$118:$K$118,MATCH(Supuestos!$B$5,Importados!$B$105:$K$105,0))</f>
        <v>125.86907204172</v>
      </c>
      <c r="C52" s="24" t="n">
        <f aca="false">B52/Supuestos!$B$7</f>
        <v>0.5244544668405</v>
      </c>
      <c r="D52" s="13" t="n">
        <f aca="false">Importados!$B$186</f>
        <v>1</v>
      </c>
      <c r="E52" s="24" t="n">
        <f aca="false">C52*D52</f>
        <v>0.5244544668405</v>
      </c>
      <c r="F52" s="12" t="n">
        <f aca="false">Supuestos!$B$47</f>
        <v>16.5</v>
      </c>
      <c r="G52" s="13" t="n">
        <f aca="false">Supuestos!$C$47</f>
        <v>16</v>
      </c>
      <c r="H52" s="14" t="n">
        <f aca="false">C52/G52</f>
        <v>0.0327784041775313</v>
      </c>
      <c r="I52" s="13" t="n">
        <f aca="false">Supuestos!$E$47</f>
        <v>0</v>
      </c>
    </row>
    <row r="53" customFormat="false" ht="15" hidden="false" customHeight="false" outlineLevel="0" collapsed="false">
      <c r="A53" s="5" t="s">
        <v>59</v>
      </c>
      <c r="B53" s="10" t="n">
        <f aca="false">INDEX(Importados!$B$119:$K$119,MATCH(Supuestos!$B$5,Importados!$B$105:$K$105,0))</f>
        <v>300.325058646191</v>
      </c>
      <c r="C53" s="24" t="n">
        <f aca="false">B53/Supuestos!$B$7</f>
        <v>1.2513544110258</v>
      </c>
      <c r="D53" s="13" t="n">
        <f aca="false">Importados!$B$187</f>
        <v>1</v>
      </c>
      <c r="E53" s="24" t="n">
        <f aca="false">C53*D53</f>
        <v>1.2513544110258</v>
      </c>
      <c r="F53" s="12" t="n">
        <f aca="false">Supuestos!$B$48</f>
        <v>53</v>
      </c>
      <c r="G53" s="13" t="n">
        <f aca="false">Supuestos!$C$48</f>
        <v>3</v>
      </c>
      <c r="H53" s="14" t="n">
        <f aca="false">C53/G53</f>
        <v>0.417118137008599</v>
      </c>
      <c r="I53" s="13" t="n">
        <f aca="false">Supuestos!$E$48</f>
        <v>1</v>
      </c>
    </row>
    <row r="54" customFormat="false" ht="15" hidden="false" customHeight="false" outlineLevel="0" collapsed="false">
      <c r="A54" s="5" t="s">
        <v>60</v>
      </c>
      <c r="B54" s="10" t="n">
        <f aca="false">INDEX(Importados!$B$120:$K$120,MATCH(Supuestos!$B$5,Importados!$B$105:$K$105,0))</f>
        <v>660.71512861809</v>
      </c>
      <c r="C54" s="24" t="n">
        <f aca="false">B54/Supuestos!$B$7</f>
        <v>2.75297970257538</v>
      </c>
      <c r="D54" s="13" t="n">
        <f aca="false">Importados!$B$188</f>
        <v>1</v>
      </c>
      <c r="E54" s="24" t="n">
        <f aca="false">C54*D54</f>
        <v>2.75297970257538</v>
      </c>
      <c r="F54" s="12" t="n">
        <f aca="false">Supuestos!$B$49</f>
        <v>90</v>
      </c>
      <c r="G54" s="13" t="n">
        <f aca="false">Supuestos!$C$49</f>
        <v>2</v>
      </c>
      <c r="H54" s="14" t="n">
        <f aca="false">C54/G54</f>
        <v>1.37648985128769</v>
      </c>
      <c r="I54" s="13" t="n">
        <f aca="false">Supuestos!$E$49</f>
        <v>1</v>
      </c>
    </row>
    <row r="55" customFormat="false" ht="15" hidden="false" customHeight="false" outlineLevel="0" collapsed="false">
      <c r="A55" s="5" t="s">
        <v>61</v>
      </c>
      <c r="B55" s="10" t="n">
        <f aca="false">INDEX(Importados!$B$121:$K$121,MATCH(Supuestos!$B$5,Importados!$B$105:$K$105,0))</f>
        <v>144.156028161701</v>
      </c>
      <c r="C55" s="24" t="n">
        <f aca="false">B55/Supuestos!$B$7</f>
        <v>0.600650117340421</v>
      </c>
      <c r="D55" s="13" t="n">
        <f aca="false">Importados!$B$189</f>
        <v>1</v>
      </c>
      <c r="E55" s="24" t="n">
        <f aca="false">C55*D55</f>
        <v>0.600650117340421</v>
      </c>
      <c r="F55" s="12" t="n">
        <f aca="false">Supuestos!$B$50</f>
        <v>136</v>
      </c>
      <c r="G55" s="13" t="n">
        <f aca="false">Supuestos!$C$50</f>
        <v>2</v>
      </c>
      <c r="H55" s="14" t="n">
        <f aca="false">C55/G55</f>
        <v>0.30032505867021</v>
      </c>
      <c r="I55" s="13" t="n">
        <f aca="false">Supuestos!$E$50</f>
        <v>1</v>
      </c>
    </row>
    <row r="56" customFormat="false" ht="15" hidden="false" customHeight="false" outlineLevel="0" collapsed="false">
      <c r="A56" s="5" t="s">
        <v>62</v>
      </c>
      <c r="B56" s="10" t="n">
        <f aca="false">INDEX(Importados!$B$122:$K$122,MATCH(Supuestos!$B$5,Importados!$B$105:$K$105,0))</f>
        <v>96.1040185823099</v>
      </c>
      <c r="C56" s="24" t="n">
        <f aca="false">B56/Supuestos!$B$7</f>
        <v>0.400433410759625</v>
      </c>
      <c r="D56" s="13" t="n">
        <f aca="false">Importados!$B$190</f>
        <v>1</v>
      </c>
      <c r="E56" s="24" t="n">
        <f aca="false">C56*D56</f>
        <v>0.400433410759625</v>
      </c>
      <c r="F56" s="12" t="n">
        <f aca="false">Supuestos!$B$51</f>
        <v>179</v>
      </c>
      <c r="G56" s="13" t="n">
        <f aca="false">Supuestos!$C$51</f>
        <v>1</v>
      </c>
      <c r="H56" s="14" t="n">
        <f aca="false">C56/G56</f>
        <v>0.400433410759625</v>
      </c>
      <c r="I56" s="13" t="n">
        <f aca="false">Supuestos!$E$51</f>
        <v>1</v>
      </c>
    </row>
    <row r="57" customFormat="false" ht="15" hidden="false" customHeight="false" outlineLevel="0" collapsed="false">
      <c r="A57" s="4" t="s">
        <v>71</v>
      </c>
      <c r="B57" s="25" t="n">
        <f aca="false">SUM(B40:B56)</f>
        <v>107197.372813695</v>
      </c>
      <c r="C57" s="25" t="n">
        <f aca="false">SUM(C40:C56)</f>
        <v>446.655720057061</v>
      </c>
      <c r="E57" s="25" t="n">
        <f aca="false">SUM(E40:E56)</f>
        <v>210.923066484121</v>
      </c>
      <c r="F57" s="9" t="n">
        <f aca="false">SUMPRODUCT(C40:C56,F40:F56)/C57</f>
        <v>6.5153704848162</v>
      </c>
      <c r="H57" s="25" t="n">
        <f aca="false">SUM(H40:H56)</f>
        <v>14.9465830152159</v>
      </c>
    </row>
    <row r="59" customFormat="false" ht="23.85" hidden="false" customHeight="false" outlineLevel="0" collapsed="false">
      <c r="A59" s="3" t="s">
        <v>174</v>
      </c>
      <c r="B59" s="3" t="s">
        <v>169</v>
      </c>
      <c r="C59" s="3" t="s">
        <v>175</v>
      </c>
      <c r="D59" s="3" t="s">
        <v>176</v>
      </c>
      <c r="E59" s="3" t="s">
        <v>177</v>
      </c>
      <c r="F59" s="3" t="s">
        <v>178</v>
      </c>
      <c r="G59" s="3" t="s">
        <v>25</v>
      </c>
      <c r="H59" s="3" t="s">
        <v>164</v>
      </c>
      <c r="I59" s="3" t="s">
        <v>179</v>
      </c>
      <c r="J59" s="3" t="s">
        <v>180</v>
      </c>
      <c r="K59" s="3" t="s">
        <v>181</v>
      </c>
    </row>
    <row r="60" customFormat="false" ht="15" hidden="false" customHeight="false" outlineLevel="0" collapsed="false">
      <c r="A60" s="5" t="s">
        <v>64</v>
      </c>
      <c r="B60" s="24" t="n">
        <f aca="false">SUMPRODUCT($C$40:$C$56,Importados!$J$125:$J$141)</f>
        <v>243.888558954354</v>
      </c>
      <c r="C60" s="11" t="n">
        <f aca="false">B60/$C$57</f>
        <v>0.54603254364054</v>
      </c>
      <c r="D60" s="24" t="n">
        <f aca="false">SUMPRODUCT($E$40:$E$56,Importados!$J$125:$J$141)</f>
        <v>8.52514823583575</v>
      </c>
      <c r="E60" s="13" t="n">
        <f aca="false">Importados!$B$145</f>
        <v>25</v>
      </c>
      <c r="F60" s="12" t="n">
        <f aca="false">B60/E60</f>
        <v>9.75554235817414</v>
      </c>
      <c r="G60" s="12" t="n">
        <f aca="false">2*F60</f>
        <v>19.5110847163483</v>
      </c>
      <c r="H60" s="12" t="n">
        <f aca="false">Supuestos!$B$55</f>
        <v>0.5</v>
      </c>
      <c r="I60" s="12" t="n">
        <f aca="false">G60*(Supuestos!$B$22+Supuestos!$B$23)/60+2*B60*H60/60</f>
        <v>15.4462754004424</v>
      </c>
      <c r="J60" s="13" t="n">
        <f aca="false">IF(Supuestos!$B$5&gt;=Importados!$B$201,Importados!$B$150,Importados!$B$149)</f>
        <v>1</v>
      </c>
      <c r="K60" s="13" t="n">
        <f aca="false">IF(Supuestos!$B$5&gt;=Importados!$B$201,Importados!$B$152,Importados!$B$151)</f>
        <v>3</v>
      </c>
    </row>
    <row r="61" customFormat="false" ht="15" hidden="false" customHeight="false" outlineLevel="0" collapsed="false">
      <c r="A61" s="5" t="s">
        <v>65</v>
      </c>
      <c r="B61" s="24" t="n">
        <f aca="false">SUMPRODUCT($C$40:$C$56,Importados!$K$125:$K$141)</f>
        <v>139.979837012887</v>
      </c>
      <c r="C61" s="11" t="n">
        <f aca="false">B61/$C$57</f>
        <v>0.313395375290402</v>
      </c>
      <c r="D61" s="24" t="n">
        <f aca="false">SUMPRODUCT($E$40:$E$56,Importados!$K$125:$K$141)</f>
        <v>139.979837012887</v>
      </c>
      <c r="E61" s="13" t="n">
        <f aca="false">Importados!$C$145</f>
        <v>14</v>
      </c>
      <c r="F61" s="12" t="n">
        <f aca="false">B61/E61</f>
        <v>9.99855978663481</v>
      </c>
      <c r="G61" s="12" t="n">
        <f aca="false">2*F61</f>
        <v>19.9971195732696</v>
      </c>
      <c r="H61" s="12" t="n">
        <f aca="false">Supuestos!$B$56</f>
        <v>1.5</v>
      </c>
      <c r="I61" s="12" t="n">
        <f aca="false">G61*(Supuestos!$B$22+Supuestos!$B$23)/60+2*B61*H61/60</f>
        <v>18.663978268385</v>
      </c>
      <c r="J61" s="13" t="n">
        <f aca="false">IF(Supuestos!$B$5&gt;=Importados!$B$201,Importados!$C$150,Importados!$C$149)</f>
        <v>1</v>
      </c>
      <c r="K61" s="13" t="n">
        <f aca="false">IF(Supuestos!$B$5&gt;=Importados!$B$201,Importados!$C$152,Importados!$C$151)</f>
        <v>3</v>
      </c>
    </row>
    <row r="62" customFormat="false" ht="15" hidden="false" customHeight="false" outlineLevel="0" collapsed="false">
      <c r="A62" s="5" t="s">
        <v>66</v>
      </c>
      <c r="B62" s="24" t="n">
        <f aca="false">SUMPRODUCT($C$40:$C$56,Importados!$L$125:$L$141)</f>
        <v>14.6170049764985</v>
      </c>
      <c r="C62" s="11" t="n">
        <f aca="false">B62/$C$57</f>
        <v>0.0327254400204059</v>
      </c>
      <c r="D62" s="24" t="n">
        <f aca="false">SUMPRODUCT($E$40:$E$56,Importados!$L$125:$L$141)</f>
        <v>14.6170049764985</v>
      </c>
      <c r="E62" s="13" t="n">
        <f aca="false">Importados!$D$145</f>
        <v>18</v>
      </c>
      <c r="F62" s="12" t="n">
        <f aca="false">B62/E62</f>
        <v>0.812055832027697</v>
      </c>
      <c r="G62" s="12" t="n">
        <f aca="false">2*F62</f>
        <v>1.62411166405539</v>
      </c>
      <c r="H62" s="12" t="n">
        <f aca="false">Supuestos!$B$57</f>
        <v>1.5</v>
      </c>
      <c r="I62" s="12" t="n">
        <f aca="false">G62*(Supuestos!$B$22+Supuestos!$B$23)/60+2*B62*H62/60</f>
        <v>1.67824871952391</v>
      </c>
      <c r="J62" s="13" t="n">
        <f aca="false">IF(Supuestos!$B$5&gt;=Importados!$B$201,Importados!$D$150,Importados!$D$149)</f>
        <v>1</v>
      </c>
      <c r="K62" s="13" t="n">
        <f aca="false">IF(Supuestos!$B$5&gt;=Importados!$B$201,Importados!$D$152,Importados!$D$151)</f>
        <v>3</v>
      </c>
    </row>
    <row r="63" customFormat="false" ht="15" hidden="false" customHeight="false" outlineLevel="0" collapsed="false">
      <c r="A63" s="5" t="s">
        <v>67</v>
      </c>
      <c r="B63" s="24" t="n">
        <f aca="false">SUMPRODUCT($C$40:$C$56,Importados!$M$125:$M$141)</f>
        <v>9.32221450894525</v>
      </c>
      <c r="C63" s="11" t="n">
        <f aca="false">B63/$C$57</f>
        <v>0.0208711409936815</v>
      </c>
      <c r="D63" s="24" t="n">
        <f aca="false">SUMPRODUCT($E$40:$E$56,Importados!$M$125:$M$141)</f>
        <v>9.01851186517034</v>
      </c>
      <c r="E63" s="13" t="n">
        <f aca="false">Importados!$E$145</f>
        <v>20</v>
      </c>
      <c r="F63" s="12" t="n">
        <f aca="false">B63/E63</f>
        <v>0.466110725447262</v>
      </c>
      <c r="G63" s="12" t="n">
        <f aca="false">2*F63</f>
        <v>0.932221450894525</v>
      </c>
      <c r="H63" s="12" t="n">
        <f aca="false">Supuestos!$B$58</f>
        <v>1.5</v>
      </c>
      <c r="I63" s="12" t="n">
        <f aca="false">G63*(Supuestos!$B$22+Supuestos!$B$23)/60+2*B63*H63/60</f>
        <v>1.0099065718024</v>
      </c>
      <c r="J63" s="13" t="n">
        <f aca="false">IF(Supuestos!$B$5&gt;=Importados!$B$201,Importados!$E$150,Importados!$E$149)</f>
        <v>1</v>
      </c>
      <c r="K63" s="13" t="n">
        <f aca="false">IF(Supuestos!$B$5&gt;=Importados!$B$201,Importados!$E$152,Importados!$E$151)</f>
        <v>3</v>
      </c>
    </row>
    <row r="64" customFormat="false" ht="15" hidden="false" customHeight="false" outlineLevel="0" collapsed="false">
      <c r="A64" s="5" t="s">
        <v>68</v>
      </c>
      <c r="B64" s="24" t="n">
        <f aca="false">SUMPRODUCT($C$40:$C$56,Importados!$N$125:$N$141)</f>
        <v>22.8880475907208</v>
      </c>
      <c r="C64" s="11" t="n">
        <f aca="false">B64/$C$57</f>
        <v>0.0512431534242902</v>
      </c>
      <c r="D64" s="24" t="n">
        <f aca="false">SUMPRODUCT($E$40:$E$56,Importados!$N$125:$N$141)</f>
        <v>22.8880475907208</v>
      </c>
      <c r="E64" s="13" t="n">
        <f aca="false">Importados!$F$145</f>
        <v>45</v>
      </c>
      <c r="F64" s="12" t="n">
        <f aca="false">B64/E64</f>
        <v>0.508623279793795</v>
      </c>
      <c r="G64" s="12" t="n">
        <f aca="false">2*F64</f>
        <v>1.01724655958759</v>
      </c>
      <c r="H64" s="12" t="n">
        <f aca="false">Supuestos!$B$59</f>
        <v>1.5</v>
      </c>
      <c r="I64" s="12" t="n">
        <f aca="false">G64*(Supuestos!$B$22+Supuestos!$B$23)/60+2*B64*H64/60</f>
        <v>1.73779620596213</v>
      </c>
      <c r="J64" s="13" t="n">
        <f aca="false">IF(Supuestos!$B$5&gt;=Importados!$B$201,Importados!$F$150,Importados!$F$149)</f>
        <v>2</v>
      </c>
      <c r="K64" s="13" t="n">
        <f aca="false">IF(Supuestos!$B$5&gt;=Importados!$B$201,Importados!$F$152,Importados!$F$151)</f>
        <v>4</v>
      </c>
    </row>
    <row r="65" customFormat="false" ht="15" hidden="false" customHeight="false" outlineLevel="0" collapsed="false">
      <c r="A65" s="5" t="s">
        <v>69</v>
      </c>
      <c r="B65" s="24" t="n">
        <f aca="false">SUMPRODUCT($C$40:$C$56,Importados!$O$125:$O$141)</f>
        <v>13.8301471124783</v>
      </c>
      <c r="C65" s="11" t="n">
        <f aca="false">B65/$C$57</f>
        <v>0.0309637747630581</v>
      </c>
      <c r="D65" s="24" t="n">
        <f aca="false">SUMPRODUCT($E$40:$E$56,Importados!$O$125:$O$141)</f>
        <v>13.8301471124783</v>
      </c>
      <c r="E65" s="13" t="n">
        <f aca="false">Importados!$G$145</f>
        <v>35</v>
      </c>
      <c r="F65" s="12" t="n">
        <f aca="false">B65/E65</f>
        <v>0.395147060356524</v>
      </c>
      <c r="G65" s="12" t="n">
        <f aca="false">2*F65</f>
        <v>0.790294120713048</v>
      </c>
      <c r="H65" s="12" t="n">
        <f aca="false">Supuestos!$B$60</f>
        <v>1.5</v>
      </c>
      <c r="I65" s="12" t="n">
        <f aca="false">G65*(Supuestos!$B$22+Supuestos!$B$23)/60+2*B65*H65/60</f>
        <v>1.1525122593732</v>
      </c>
      <c r="J65" s="13" t="n">
        <f aca="false">IF(Supuestos!$B$5&gt;=Importados!$B$201,Importados!$G$150,Importados!$G$149)</f>
        <v>1</v>
      </c>
      <c r="K65" s="13" t="n">
        <f aca="false">IF(Supuestos!$B$5&gt;=Importados!$B$201,Importados!$G$152,Importados!$G$151)</f>
        <v>3</v>
      </c>
    </row>
    <row r="66" customFormat="false" ht="15" hidden="false" customHeight="false" outlineLevel="0" collapsed="false">
      <c r="A66" s="5" t="s">
        <v>70</v>
      </c>
      <c r="B66" s="24" t="n">
        <f aca="false">SUMPRODUCT($C$40:$C$56,Importados!$P$125:$P$141)</f>
        <v>2.12990990117672</v>
      </c>
      <c r="C66" s="11" t="n">
        <f aca="false">B66/$C$57</f>
        <v>0.00476857186762239</v>
      </c>
      <c r="D66" s="24" t="n">
        <f aca="false">SUMPRODUCT($E$40:$E$56,Importados!$P$125:$P$141)</f>
        <v>2.06436969053029</v>
      </c>
      <c r="E66" s="13" t="n">
        <f aca="false">Importados!$H$145</f>
        <v>16</v>
      </c>
      <c r="F66" s="12" t="n">
        <f aca="false">B66/E66</f>
        <v>0.133119368823545</v>
      </c>
      <c r="G66" s="12" t="n">
        <f aca="false">2*F66</f>
        <v>0.26623873764709</v>
      </c>
      <c r="H66" s="12" t="n">
        <f aca="false">Supuestos!$B$61</f>
        <v>1</v>
      </c>
      <c r="I66" s="12" t="n">
        <f aca="false">G66*(Supuestos!$B$22+Supuestos!$B$23)/60+2*B66*H66/60</f>
        <v>0.226302927000027</v>
      </c>
      <c r="J66" s="13" t="n">
        <f aca="false">IF(Supuestos!$B$5&gt;=Importados!$B$201,Importados!$H$150,Importados!$H$149)</f>
        <v>1</v>
      </c>
      <c r="K66" s="13" t="n">
        <f aca="false">IF(Supuestos!$B$5&gt;=Importados!$B$201,Importados!$H$152,Importados!$H$151)</f>
        <v>3</v>
      </c>
    </row>
    <row r="67" customFormat="false" ht="15" hidden="false" customHeight="false" outlineLevel="0" collapsed="false">
      <c r="A67" s="4" t="s">
        <v>71</v>
      </c>
      <c r="B67" s="25" t="n">
        <f aca="false">SUM(B60:B66)</f>
        <v>446.655720057061</v>
      </c>
      <c r="C67" s="26" t="n">
        <f aca="false">SUM(C60:C66)</f>
        <v>1</v>
      </c>
      <c r="D67" s="25" t="n">
        <f aca="false">SUM(D60:D66)</f>
        <v>210.923066484121</v>
      </c>
      <c r="F67" s="25" t="n">
        <f aca="false">SUM(F60:F66)</f>
        <v>22.0691584112578</v>
      </c>
      <c r="G67" s="25" t="n">
        <f aca="false">SUM(G60:G66)</f>
        <v>44.1383168225156</v>
      </c>
      <c r="I67" s="25" t="n">
        <f aca="false">SUM(I60:I66)</f>
        <v>39.915020352489</v>
      </c>
    </row>
    <row r="68" customFormat="false" ht="15" hidden="false" customHeight="false" outlineLevel="0" collapsed="false">
      <c r="A68" s="2" t="s">
        <v>182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3" min="2" style="0" width="16"/>
    <col collapsed="false" customWidth="true" hidden="false" outlineLevel="0" max="4" min="4" style="0" width="90"/>
  </cols>
  <sheetData>
    <row r="1" customFormat="false" ht="15" hidden="false" customHeight="false" outlineLevel="0" collapsed="false">
      <c r="A1" s="1" t="s">
        <v>183</v>
      </c>
    </row>
    <row r="3" customFormat="false" ht="15" hidden="false" customHeight="false" outlineLevel="0" collapsed="false">
      <c r="A3" s="3" t="s">
        <v>13</v>
      </c>
      <c r="B3" s="3" t="s">
        <v>14</v>
      </c>
      <c r="C3" s="3" t="s">
        <v>15</v>
      </c>
      <c r="D3" s="3" t="s">
        <v>184</v>
      </c>
    </row>
    <row r="4" customFormat="false" ht="15" hidden="false" customHeight="false" outlineLevel="0" collapsed="false">
      <c r="A4" s="5" t="s">
        <v>185</v>
      </c>
      <c r="B4" s="24" t="n">
        <f aca="false">'Demanda y mix'!C23</f>
        <v>859.292312174635</v>
      </c>
      <c r="C4" s="24" t="n">
        <f aca="false">'Demanda y mix'!C57</f>
        <v>446.655720057061</v>
      </c>
      <c r="D4" s="5" t="s">
        <v>186</v>
      </c>
    </row>
    <row r="5" customFormat="false" ht="15" hidden="false" customHeight="false" outlineLevel="0" collapsed="false">
      <c r="A5" s="5" t="s">
        <v>21</v>
      </c>
      <c r="B5" s="24" t="n">
        <f aca="false">'Demanda y mix'!E23</f>
        <v>405.781368851498</v>
      </c>
      <c r="C5" s="24" t="n">
        <f aca="false">'Demanda y mix'!E57</f>
        <v>210.923066484121</v>
      </c>
      <c r="D5" s="5" t="s">
        <v>187</v>
      </c>
    </row>
    <row r="6" customFormat="false" ht="15" hidden="false" customHeight="false" outlineLevel="0" collapsed="false">
      <c r="A6" s="5" t="s">
        <v>188</v>
      </c>
      <c r="B6" s="24" t="n">
        <f aca="false">B4+B5</f>
        <v>1265.07368102613</v>
      </c>
      <c r="C6" s="24" t="n">
        <f aca="false">C4+C5</f>
        <v>657.578786541182</v>
      </c>
      <c r="D6" s="5" t="s">
        <v>189</v>
      </c>
    </row>
    <row r="7" customFormat="false" ht="15" hidden="false" customHeight="false" outlineLevel="0" collapsed="false">
      <c r="A7" s="5" t="s">
        <v>190</v>
      </c>
      <c r="B7" s="12" t="n">
        <f aca="false">'Demanda y mix'!F23</f>
        <v>6.51537048481622</v>
      </c>
      <c r="C7" s="12" t="n">
        <f aca="false">'Demanda y mix'!F57</f>
        <v>6.5153704848162</v>
      </c>
      <c r="D7" s="5" t="s">
        <v>191</v>
      </c>
    </row>
    <row r="8" customFormat="false" ht="15" hidden="false" customHeight="false" outlineLevel="0" collapsed="false">
      <c r="A8" s="5" t="s">
        <v>192</v>
      </c>
      <c r="B8" s="27" t="n">
        <f aca="false">'Demanda y mix'!H23/'Demanda y mix'!C23</f>
        <v>0.0334633193845731</v>
      </c>
      <c r="C8" s="27" t="n">
        <f aca="false">'Demanda y mix'!H57/'Demanda y mix'!C57</f>
        <v>0.033463319384573</v>
      </c>
      <c r="D8" s="5" t="s">
        <v>193</v>
      </c>
    </row>
    <row r="9" customFormat="false" ht="15" hidden="false" customHeight="false" outlineLevel="0" collapsed="false">
      <c r="A9" s="5" t="s">
        <v>194</v>
      </c>
      <c r="B9" s="10" t="n">
        <f aca="false">Supuestos!$B$13/(B8*Supuestos!$B$28)</f>
        <v>155.913740785473</v>
      </c>
      <c r="C9" s="10" t="n">
        <f aca="false">Supuestos!$B$13/(C8*Supuestos!$B$28)</f>
        <v>155.913740785473</v>
      </c>
      <c r="D9" s="5" t="s">
        <v>195</v>
      </c>
    </row>
    <row r="10" customFormat="false" ht="15" hidden="false" customHeight="false" outlineLevel="0" collapsed="false">
      <c r="A10" s="5" t="s">
        <v>196</v>
      </c>
      <c r="B10" s="10" t="n">
        <f aca="false">Supuestos!$B$17/B7</f>
        <v>254.168201771371</v>
      </c>
      <c r="C10" s="10" t="n">
        <f aca="false">Supuestos!$B$17/C7</f>
        <v>254.168201771371</v>
      </c>
      <c r="D10" s="5" t="s">
        <v>197</v>
      </c>
    </row>
    <row r="11" customFormat="false" ht="15" hidden="false" customHeight="false" outlineLevel="0" collapsed="false">
      <c r="A11" s="5" t="s">
        <v>198</v>
      </c>
      <c r="B11" s="10" t="n">
        <f aca="false">MIN(B9,B10)</f>
        <v>155.913740785473</v>
      </c>
      <c r="C11" s="10" t="n">
        <f aca="false">MIN(C9,C10)</f>
        <v>155.913740785473</v>
      </c>
      <c r="D11" s="5" t="s">
        <v>199</v>
      </c>
    </row>
    <row r="12" customFormat="false" ht="15" hidden="false" customHeight="false" outlineLevel="0" collapsed="false">
      <c r="A12" s="5" t="s">
        <v>200</v>
      </c>
      <c r="B12" s="14" t="n">
        <f aca="false">B6/B11</f>
        <v>8.11393322136238</v>
      </c>
      <c r="C12" s="14" t="n">
        <f aca="false">C6/C11</f>
        <v>4.21758071628828</v>
      </c>
      <c r="D12" s="5" t="s">
        <v>201</v>
      </c>
    </row>
    <row r="13" customFormat="false" ht="15" hidden="false" customHeight="false" outlineLevel="0" collapsed="false">
      <c r="A13" s="5" t="s">
        <v>25</v>
      </c>
      <c r="B13" s="12" t="n">
        <f aca="false">'Demanda y mix'!G33</f>
        <v>84.4932175878514</v>
      </c>
      <c r="C13" s="12" t="n">
        <f aca="false">'Demanda y mix'!G67</f>
        <v>44.1383168225156</v>
      </c>
      <c r="D13" s="5" t="s">
        <v>202</v>
      </c>
    </row>
    <row r="14" customFormat="false" ht="15" hidden="false" customHeight="false" outlineLevel="0" collapsed="false">
      <c r="A14" s="5" t="s">
        <v>203</v>
      </c>
      <c r="B14" s="12" t="n">
        <f aca="false">'Demanda y mix'!I33</f>
        <v>76.579469708504</v>
      </c>
      <c r="C14" s="12" t="n">
        <f aca="false">'Demanda y mix'!I67</f>
        <v>39.915020352489</v>
      </c>
      <c r="D14" s="5" t="s">
        <v>204</v>
      </c>
    </row>
    <row r="15" customFormat="false" ht="15" hidden="false" customHeight="false" outlineLevel="0" collapsed="false">
      <c r="A15" s="5" t="s">
        <v>205</v>
      </c>
      <c r="B15" s="14" t="n">
        <f aca="false">B14/(Supuestos!$B$8-Supuestos!$B$21)</f>
        <v>12.7632449514173</v>
      </c>
      <c r="C15" s="14" t="n">
        <f aca="false">C14/(Supuestos!$B$8-Supuestos!$B$21)</f>
        <v>6.65250339208151</v>
      </c>
      <c r="D15" s="5" t="s">
        <v>206</v>
      </c>
    </row>
    <row r="16" customFormat="false" ht="15" hidden="false" customHeight="false" outlineLevel="0" collapsed="false">
      <c r="A16" s="4" t="s">
        <v>27</v>
      </c>
      <c r="B16" s="6" t="n">
        <f aca="false">ROUNDUP(MAX(B12,B15),0)</f>
        <v>13</v>
      </c>
      <c r="C16" s="6" t="n">
        <f aca="false">ROUNDUP(MAX(C12,C15),0)</f>
        <v>7</v>
      </c>
      <c r="D16" s="5" t="s">
        <v>207</v>
      </c>
    </row>
    <row r="17" customFormat="false" ht="15" hidden="false" customHeight="false" outlineLevel="0" collapsed="false">
      <c r="A17" s="5" t="s">
        <v>208</v>
      </c>
      <c r="B17" s="12" t="n">
        <f aca="false">B16*Supuestos!$B$21+B14</f>
        <v>96.079469708504</v>
      </c>
      <c r="C17" s="12" t="n">
        <f aca="false">C16*Supuestos!$B$21+C14</f>
        <v>50.415020352489</v>
      </c>
      <c r="D17" s="5" t="s">
        <v>209</v>
      </c>
    </row>
    <row r="18" customFormat="false" ht="15" hidden="false" customHeight="false" outlineLevel="0" collapsed="false">
      <c r="A18" s="4" t="s">
        <v>210</v>
      </c>
      <c r="B18" s="6" t="n">
        <f aca="false">ROUNDUP(B17/(Supuestos!$B$8*Supuestos!$B$6),0)</f>
        <v>7</v>
      </c>
      <c r="C18" s="6" t="n">
        <f aca="false">ROUNDUP(C17/(Supuestos!$B$8*Supuestos!$B$6),0)</f>
        <v>4</v>
      </c>
      <c r="D18" s="5" t="s">
        <v>211</v>
      </c>
    </row>
    <row r="19" customFormat="false" ht="15" hidden="false" customHeight="false" outlineLevel="0" collapsed="false">
      <c r="A19" s="5" t="s">
        <v>30</v>
      </c>
      <c r="B19" s="28" t="n">
        <f aca="false">B17/(B18*Supuestos!$B$8*Supuestos!$B$6)</f>
        <v>0.915042568652419</v>
      </c>
      <c r="C19" s="28" t="n">
        <f aca="false">C17/(C18*Supuestos!$B$8*Supuestos!$B$6)</f>
        <v>0.840250339208151</v>
      </c>
      <c r="D19" s="5" t="s">
        <v>212</v>
      </c>
    </row>
    <row r="20" customFormat="false" ht="15" hidden="false" customHeight="false" outlineLevel="0" collapsed="false">
      <c r="A20" s="5" t="s">
        <v>213</v>
      </c>
      <c r="B20" s="10" t="n">
        <f aca="false">B6*B7/B16</f>
        <v>634.032594036575</v>
      </c>
      <c r="C20" s="10" t="n">
        <f aca="false">C6*C7/C16</f>
        <v>612.052773895953</v>
      </c>
      <c r="D20" s="5" t="s">
        <v>214</v>
      </c>
    </row>
    <row r="21" customFormat="false" ht="15" hidden="false" customHeight="false" outlineLevel="0" collapsed="false">
      <c r="A21" s="5" t="s">
        <v>215</v>
      </c>
      <c r="B21" s="10" t="str">
        <f aca="false">IF(Supuestos!$B$18="","a cotizar",B18*Supuestos!$B$18)</f>
        <v>a cotizar</v>
      </c>
      <c r="C21" s="10" t="str">
        <f aca="false">IF(Supuestos!$B$18="","a cotizar",C18*Supuestos!$B$18)</f>
        <v>a cotizar</v>
      </c>
      <c r="D21" s="5" t="s">
        <v>216</v>
      </c>
    </row>
    <row r="23" customFormat="false" ht="15" hidden="false" customHeight="false" outlineLevel="0" collapsed="false">
      <c r="A23" s="2" t="s">
        <v>217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8" min="2" style="0" width="13"/>
    <col collapsed="false" customWidth="true" hidden="false" outlineLevel="0" max="9" min="9" style="0" width="70"/>
  </cols>
  <sheetData>
    <row r="1" customFormat="false" ht="15" hidden="false" customHeight="false" outlineLevel="0" collapsed="false">
      <c r="A1" s="1" t="s">
        <v>218</v>
      </c>
    </row>
    <row r="4" customFormat="false" ht="15" hidden="false" customHeight="false" outlineLevel="0" collapsed="false">
      <c r="A4" s="1" t="s">
        <v>44</v>
      </c>
    </row>
    <row r="5" customFormat="false" ht="23.85" hidden="false" customHeight="false" outlineLevel="0" collapsed="false">
      <c r="A5" s="3" t="s">
        <v>168</v>
      </c>
      <c r="B5" s="3" t="s">
        <v>23</v>
      </c>
      <c r="C5" s="3" t="s">
        <v>219</v>
      </c>
      <c r="D5" s="3" t="s">
        <v>220</v>
      </c>
      <c r="E5" s="3" t="s">
        <v>221</v>
      </c>
      <c r="F5" s="3" t="s">
        <v>173</v>
      </c>
    </row>
    <row r="6" customFormat="false" ht="15" hidden="false" customHeight="false" outlineLevel="0" collapsed="false">
      <c r="A6" s="5" t="s">
        <v>46</v>
      </c>
      <c r="B6" s="10" t="n">
        <f aca="false">INDEX(Importados!$B$55:$K$55,MATCH(Supuestos!$B$5,Importados!$B$54:$K$54,0))</f>
        <v>0</v>
      </c>
      <c r="C6" s="24" t="n">
        <f aca="false">'Demanda y mix'!E6</f>
        <v>0</v>
      </c>
      <c r="D6" s="24" t="n">
        <f aca="false">C6</f>
        <v>0</v>
      </c>
      <c r="E6" s="14" t="n">
        <f aca="false">D6/'Demanda y mix'!G6</f>
        <v>0</v>
      </c>
      <c r="F6" s="13" t="n">
        <f aca="false">'Demanda y mix'!I6</f>
        <v>0</v>
      </c>
    </row>
    <row r="7" customFormat="false" ht="15" hidden="false" customHeight="false" outlineLevel="0" collapsed="false">
      <c r="A7" s="5" t="s">
        <v>47</v>
      </c>
      <c r="B7" s="10" t="n">
        <f aca="false">INDEX(Importados!$B$56:$K$56,MATCH(Supuestos!$B$5,Importados!$B$54:$K$54,0))</f>
        <v>116</v>
      </c>
      <c r="C7" s="24" t="n">
        <f aca="false">'Demanda y mix'!E7</f>
        <v>38.4022506012819</v>
      </c>
      <c r="D7" s="24" t="n">
        <f aca="false">C7</f>
        <v>38.4022506012819</v>
      </c>
      <c r="E7" s="14" t="n">
        <f aca="false">D7/'Demanda y mix'!G7</f>
        <v>1.28007502004273</v>
      </c>
      <c r="F7" s="13" t="n">
        <f aca="false">'Demanda y mix'!I7</f>
        <v>0</v>
      </c>
    </row>
    <row r="8" customFormat="false" ht="15" hidden="false" customHeight="false" outlineLevel="0" collapsed="false">
      <c r="A8" s="5" t="s">
        <v>48</v>
      </c>
      <c r="B8" s="10" t="n">
        <f aca="false">INDEX(Importados!$B$57:$K$57,MATCH(Supuestos!$B$5,Importados!$B$54:$K$54,0))</f>
        <v>727</v>
      </c>
      <c r="C8" s="24" t="n">
        <f aca="false">'Demanda y mix'!E8</f>
        <v>233.580294626973</v>
      </c>
      <c r="D8" s="24" t="n">
        <f aca="false">C8</f>
        <v>233.580294626973</v>
      </c>
      <c r="E8" s="14" t="n">
        <f aca="false">D8/'Demanda y mix'!G8</f>
        <v>9.73251227612387</v>
      </c>
      <c r="F8" s="13" t="n">
        <f aca="false">'Demanda y mix'!I8</f>
        <v>0</v>
      </c>
    </row>
    <row r="9" customFormat="false" ht="15" hidden="false" customHeight="false" outlineLevel="0" collapsed="false">
      <c r="A9" s="5" t="s">
        <v>49</v>
      </c>
      <c r="B9" s="10" t="n">
        <f aca="false">INDEX(Importados!$B$58:$K$58,MATCH(Supuestos!$B$5,Importados!$B$54:$K$54,0))</f>
        <v>42</v>
      </c>
      <c r="C9" s="24" t="n">
        <f aca="false">'Demanda y mix'!E9</f>
        <v>13.8305329382618</v>
      </c>
      <c r="D9" s="24" t="n">
        <f aca="false">C9</f>
        <v>13.8305329382618</v>
      </c>
      <c r="E9" s="14" t="n">
        <f aca="false">D9/'Demanda y mix'!G9</f>
        <v>0.864408308641362</v>
      </c>
      <c r="F9" s="13" t="n">
        <f aca="false">'Demanda y mix'!I9</f>
        <v>0</v>
      </c>
    </row>
    <row r="10" customFormat="false" ht="15" hidden="false" customHeight="false" outlineLevel="0" collapsed="false">
      <c r="A10" s="5" t="s">
        <v>50</v>
      </c>
      <c r="B10" s="10" t="n">
        <f aca="false">INDEX(Importados!$B$59:$K$59,MATCH(Supuestos!$B$5,Importados!$B$54:$K$54,0))</f>
        <v>62</v>
      </c>
      <c r="C10" s="24" t="n">
        <f aca="false">'Demanda y mix'!E10</f>
        <v>19.525596740369</v>
      </c>
      <c r="D10" s="24" t="n">
        <f aca="false">C10</f>
        <v>19.525596740369</v>
      </c>
      <c r="E10" s="14" t="n">
        <f aca="false">D10/'Demanda y mix'!G10</f>
        <v>1.22034979627306</v>
      </c>
      <c r="F10" s="13" t="n">
        <f aca="false">'Demanda y mix'!I10</f>
        <v>0</v>
      </c>
    </row>
    <row r="11" customFormat="false" ht="15" hidden="false" customHeight="false" outlineLevel="0" collapsed="false">
      <c r="A11" s="5" t="s">
        <v>51</v>
      </c>
      <c r="B11" s="10" t="n">
        <f aca="false">INDEX(Importados!$B$60:$K$60,MATCH(Supuestos!$B$5,Importados!$B$54:$K$54,0))</f>
        <v>15</v>
      </c>
      <c r="C11" s="24" t="n">
        <f aca="false">'Demanda y mix'!E11</f>
        <v>3.70706016003244</v>
      </c>
      <c r="D11" s="24" t="n">
        <f aca="false">C11</f>
        <v>3.70706016003244</v>
      </c>
      <c r="E11" s="14" t="n">
        <f aca="false">D11/'Demanda y mix'!G11</f>
        <v>0.231691260002027</v>
      </c>
      <c r="F11" s="13" t="n">
        <f aca="false">'Demanda y mix'!I11</f>
        <v>0</v>
      </c>
    </row>
    <row r="12" customFormat="false" ht="15" hidden="false" customHeight="false" outlineLevel="0" collapsed="false">
      <c r="A12" s="5" t="s">
        <v>52</v>
      </c>
      <c r="B12" s="10" t="n">
        <f aca="false">INDEX(Importados!$B$61:$K$61,MATCH(Supuestos!$B$5,Importados!$B$54:$K$54,0))</f>
        <v>8</v>
      </c>
      <c r="C12" s="24" t="n">
        <f aca="false">'Demanda y mix'!E12</f>
        <v>1.93238762507252</v>
      </c>
      <c r="D12" s="24" t="n">
        <f aca="false">C12</f>
        <v>1.93238762507252</v>
      </c>
      <c r="E12" s="14" t="n">
        <f aca="false">D12/'Demanda y mix'!G12</f>
        <v>0.966193812536261</v>
      </c>
      <c r="F12" s="13" t="n">
        <f aca="false">'Demanda y mix'!I12</f>
        <v>1</v>
      </c>
    </row>
    <row r="13" customFormat="false" ht="15" hidden="false" customHeight="false" outlineLevel="0" collapsed="false">
      <c r="A13" s="5" t="s">
        <v>53</v>
      </c>
      <c r="B13" s="10" t="n">
        <f aca="false">INDEX(Importados!$B$62:$K$62,MATCH(Supuestos!$B$5,Importados!$B$54:$K$54,0))</f>
        <v>5</v>
      </c>
      <c r="C13" s="24" t="n">
        <f aca="false">'Demanda y mix'!E13</f>
        <v>1.11707817254642</v>
      </c>
      <c r="D13" s="24" t="n">
        <f aca="false">C13</f>
        <v>1.11707817254642</v>
      </c>
      <c r="E13" s="14" t="n">
        <f aca="false">D13/'Demanda y mix'!G13</f>
        <v>0.0465449238561007</v>
      </c>
      <c r="F13" s="13" t="n">
        <f aca="false">'Demanda y mix'!I13</f>
        <v>0</v>
      </c>
    </row>
    <row r="14" customFormat="false" ht="15" hidden="false" customHeight="false" outlineLevel="0" collapsed="false">
      <c r="A14" s="5" t="s">
        <v>54</v>
      </c>
      <c r="B14" s="10" t="n">
        <f aca="false">INDEX(Importados!$B$63:$K$63,MATCH(Supuestos!$B$5,Importados!$B$54:$K$54,0))</f>
        <v>31</v>
      </c>
      <c r="C14" s="24" t="n">
        <f aca="false">'Demanda y mix'!E14</f>
        <v>9.62914197267342</v>
      </c>
      <c r="D14" s="24" t="n">
        <f aca="false">C14</f>
        <v>9.62914197267342</v>
      </c>
      <c r="E14" s="14" t="n">
        <f aca="false">D14/'Demanda y mix'!G14</f>
        <v>0.481457098633671</v>
      </c>
      <c r="F14" s="13" t="n">
        <f aca="false">'Demanda y mix'!I14</f>
        <v>0</v>
      </c>
    </row>
    <row r="15" customFormat="false" ht="15" hidden="false" customHeight="false" outlineLevel="0" collapsed="false">
      <c r="A15" s="5" t="s">
        <v>55</v>
      </c>
      <c r="B15" s="10" t="n">
        <f aca="false">INDEX(Importados!$B$64:$K$64,MATCH(Supuestos!$B$5,Importados!$B$54:$K$54,0))</f>
        <v>160</v>
      </c>
      <c r="C15" s="24" t="n">
        <f aca="false">'Demanda y mix'!E15</f>
        <v>52.5280414677117</v>
      </c>
      <c r="D15" s="24" t="n">
        <f aca="false">C15</f>
        <v>52.5280414677117</v>
      </c>
      <c r="E15" s="14" t="n">
        <f aca="false">D15/'Demanda y mix'!G15</f>
        <v>1.75093471559039</v>
      </c>
      <c r="F15" s="13" t="n">
        <f aca="false">'Demanda y mix'!I15</f>
        <v>0</v>
      </c>
    </row>
    <row r="16" customFormat="false" ht="15" hidden="false" customHeight="false" outlineLevel="0" collapsed="false">
      <c r="A16" s="5" t="s">
        <v>56</v>
      </c>
      <c r="B16" s="10" t="n">
        <f aca="false">INDEX(Importados!$B$65:$K$65,MATCH(Supuestos!$B$5,Importados!$B$54:$K$54,0))</f>
        <v>62</v>
      </c>
      <c r="C16" s="24" t="n">
        <f aca="false">'Demanda y mix'!E16</f>
        <v>17.951599499281</v>
      </c>
      <c r="D16" s="24" t="n">
        <f aca="false">C16</f>
        <v>17.951599499281</v>
      </c>
      <c r="E16" s="14" t="n">
        <f aca="false">D16/'Demanda y mix'!G16</f>
        <v>0.897579974964052</v>
      </c>
      <c r="F16" s="13" t="n">
        <f aca="false">'Demanda y mix'!I16</f>
        <v>0</v>
      </c>
    </row>
    <row r="17" customFormat="false" ht="15" hidden="false" customHeight="false" outlineLevel="0" collapsed="false">
      <c r="A17" s="5" t="s">
        <v>57</v>
      </c>
      <c r="B17" s="10" t="n">
        <f aca="false">INDEX(Importados!$B$66:$K$66,MATCH(Supuestos!$B$5,Importados!$B$54:$K$54,0))</f>
        <v>12</v>
      </c>
      <c r="C17" s="24" t="n">
        <f aca="false">'Demanda y mix'!E17</f>
        <v>2.93881852547358</v>
      </c>
      <c r="D17" s="24" t="n">
        <f aca="false">C17</f>
        <v>2.93881852547358</v>
      </c>
      <c r="E17" s="14" t="n">
        <f aca="false">D17/'Demanda y mix'!G17</f>
        <v>0.122450771894732</v>
      </c>
      <c r="F17" s="13" t="n">
        <f aca="false">'Demanda y mix'!I17</f>
        <v>0</v>
      </c>
    </row>
    <row r="18" customFormat="false" ht="15" hidden="false" customHeight="false" outlineLevel="0" collapsed="false">
      <c r="A18" s="5" t="s">
        <v>58</v>
      </c>
      <c r="B18" s="10" t="n">
        <f aca="false">INDEX(Importados!$B$67:$K$67,MATCH(Supuestos!$B$5,Importados!$B$54:$K$54,0))</f>
        <v>5</v>
      </c>
      <c r="C18" s="24" t="n">
        <f aca="false">'Demanda y mix'!E18</f>
        <v>1.00896433473217</v>
      </c>
      <c r="D18" s="24" t="n">
        <f aca="false">C18</f>
        <v>1.00896433473217</v>
      </c>
      <c r="E18" s="14" t="n">
        <f aca="false">D18/'Demanda y mix'!G18</f>
        <v>0.0630602709207607</v>
      </c>
      <c r="F18" s="13" t="n">
        <f aca="false">'Demanda y mix'!I18</f>
        <v>0</v>
      </c>
    </row>
    <row r="19" customFormat="false" ht="15" hidden="false" customHeight="false" outlineLevel="0" collapsed="false">
      <c r="A19" s="5" t="s">
        <v>59</v>
      </c>
      <c r="B19" s="10" t="n">
        <f aca="false">INDEX(Importados!$B$68:$K$68,MATCH(Supuestos!$B$5,Importados!$B$54:$K$54,0))</f>
        <v>9</v>
      </c>
      <c r="C19" s="24" t="n">
        <f aca="false">'Demanda y mix'!E19</f>
        <v>2.40740054792743</v>
      </c>
      <c r="D19" s="24" t="n">
        <f aca="false">C19</f>
        <v>2.40740054792743</v>
      </c>
      <c r="E19" s="14" t="n">
        <f aca="false">D19/'Demanda y mix'!G19</f>
        <v>0.802466849309144</v>
      </c>
      <c r="F19" s="13" t="n">
        <f aca="false">'Demanda y mix'!I19</f>
        <v>1</v>
      </c>
    </row>
    <row r="20" customFormat="false" ht="15" hidden="false" customHeight="false" outlineLevel="0" collapsed="false">
      <c r="A20" s="5" t="s">
        <v>60</v>
      </c>
      <c r="B20" s="10" t="n">
        <f aca="false">INDEX(Importados!$B$69:$K$69,MATCH(Supuestos!$B$5,Importados!$B$54:$K$54,0))</f>
        <v>18</v>
      </c>
      <c r="C20" s="24" t="n">
        <f aca="false">'Demanda y mix'!E20</f>
        <v>5.29628120220567</v>
      </c>
      <c r="D20" s="24" t="n">
        <f aca="false">C20</f>
        <v>5.29628120220567</v>
      </c>
      <c r="E20" s="14" t="n">
        <f aca="false">D20/'Demanda y mix'!G20</f>
        <v>2.64814060110283</v>
      </c>
      <c r="F20" s="13" t="n">
        <f aca="false">'Demanda y mix'!I20</f>
        <v>1</v>
      </c>
    </row>
    <row r="21" customFormat="false" ht="15" hidden="false" customHeight="false" outlineLevel="0" collapsed="false">
      <c r="A21" s="5" t="s">
        <v>61</v>
      </c>
      <c r="B21" s="10" t="n">
        <f aca="false">INDEX(Importados!$B$70:$K$70,MATCH(Supuestos!$B$5,Importados!$B$54:$K$54,0))</f>
        <v>4</v>
      </c>
      <c r="C21" s="24" t="n">
        <f aca="false">'Demanda y mix'!E21</f>
        <v>1.15555226309759</v>
      </c>
      <c r="D21" s="24" t="n">
        <f aca="false">C21</f>
        <v>1.15555226309759</v>
      </c>
      <c r="E21" s="14" t="n">
        <f aca="false">D21/'Demanda y mix'!G21</f>
        <v>0.577776131548794</v>
      </c>
      <c r="F21" s="13" t="n">
        <f aca="false">'Demanda y mix'!I21</f>
        <v>1</v>
      </c>
    </row>
    <row r="22" customFormat="false" ht="15" hidden="false" customHeight="false" outlineLevel="0" collapsed="false">
      <c r="A22" s="5" t="s">
        <v>62</v>
      </c>
      <c r="B22" s="10" t="n">
        <f aca="false">INDEX(Importados!$B$71:$K$71,MATCH(Supuestos!$B$5,Importados!$B$54:$K$54,0))</f>
        <v>3</v>
      </c>
      <c r="C22" s="24" t="n">
        <f aca="false">'Demanda y mix'!E22</f>
        <v>0.770368173858058</v>
      </c>
      <c r="D22" s="24" t="n">
        <f aca="false">C22</f>
        <v>0.770368173858058</v>
      </c>
      <c r="E22" s="14" t="n">
        <f aca="false">D22/'Demanda y mix'!G22</f>
        <v>0.770368173858058</v>
      </c>
      <c r="F22" s="13" t="n">
        <f aca="false">'Demanda y mix'!I22</f>
        <v>1</v>
      </c>
    </row>
    <row r="23" customFormat="false" ht="15" hidden="false" customHeight="false" outlineLevel="0" collapsed="false">
      <c r="A23" s="4" t="s">
        <v>71</v>
      </c>
      <c r="B23" s="25" t="n">
        <f aca="false">SUM(B6:B22)</f>
        <v>1279</v>
      </c>
      <c r="C23" s="25" t="n">
        <f aca="false">SUM(C6:C22)</f>
        <v>405.781368851498</v>
      </c>
      <c r="D23" s="25" t="n">
        <f aca="false">SUM(D6:D22)</f>
        <v>405.781368851498</v>
      </c>
      <c r="E23" s="25" t="n">
        <f aca="false">SUM(E6:E22)</f>
        <v>22.4560099852979</v>
      </c>
    </row>
    <row r="24" customFormat="false" ht="15" hidden="false" customHeight="false" outlineLevel="0" collapsed="false">
      <c r="A24" s="2" t="s">
        <v>222</v>
      </c>
    </row>
    <row r="25" customFormat="false" ht="23.85" hidden="false" customHeight="false" outlineLevel="0" collapsed="false">
      <c r="A25" s="3" t="s">
        <v>223</v>
      </c>
      <c r="B25" s="3" t="s">
        <v>224</v>
      </c>
      <c r="C25" s="3" t="s">
        <v>225</v>
      </c>
      <c r="D25" s="3" t="s">
        <v>226</v>
      </c>
      <c r="E25" s="3" t="s">
        <v>227</v>
      </c>
      <c r="F25" s="3"/>
      <c r="G25" s="3"/>
      <c r="H25" s="3"/>
      <c r="I25" s="3" t="s">
        <v>228</v>
      </c>
    </row>
    <row r="26" customFormat="false" ht="15" hidden="false" customHeight="false" outlineLevel="0" collapsed="false">
      <c r="A26" s="5" t="s">
        <v>229</v>
      </c>
      <c r="B26" s="10" t="n">
        <f aca="false">'Demanda y mix'!C23*Supuestos!$B$26</f>
        <v>429.646156087318</v>
      </c>
      <c r="C26" s="12" t="n">
        <f aca="false">SUMPRODUCT(('Demanda y mix'!$I$6:$I$22=0)*'Demanda y mix'!$H$6:$H$22)*Supuestos!$B$26*Supuestos!$B$28</f>
        <v>13.2191508232255</v>
      </c>
      <c r="D26" s="12" t="n">
        <f aca="false">SUMPRODUCT(('Demanda y mix'!$I$6:$I$22=1)*'Demanda y mix'!$H$6:$H$22)*Supuestos!$B$26</f>
        <v>2.88247278417755</v>
      </c>
      <c r="E26" s="13" t="n">
        <f aca="false">ROUNDUP(C26,0)+ROUNDUP(D26,0)</f>
        <v>17</v>
      </c>
      <c r="I26" s="5" t="s">
        <v>230</v>
      </c>
    </row>
    <row r="27" customFormat="false" ht="15" hidden="false" customHeight="false" outlineLevel="0" collapsed="false">
      <c r="A27" s="5" t="s">
        <v>231</v>
      </c>
      <c r="B27" s="10" t="n">
        <f aca="false">'Demanda y mix'!C23*Supuestos!$B$27</f>
        <v>429.646156087318</v>
      </c>
      <c r="C27" s="12" t="n">
        <f aca="false">SUMPRODUCT(('Demanda y mix'!$I$6:$I$22=0)*'Demanda y mix'!$H$6:$H$22)*Supuestos!$B$27*Supuestos!$B$28</f>
        <v>13.2191508232255</v>
      </c>
      <c r="D27" s="12" t="n">
        <f aca="false">SUMPRODUCT(('Demanda y mix'!$I$6:$I$22=1)*'Demanda y mix'!$H$6:$H$22)*Supuestos!$B$27</f>
        <v>2.88247278417755</v>
      </c>
      <c r="E27" s="13" t="n">
        <f aca="false">ROUNDUP(C27,0)+ROUNDUP(D27,0)</f>
        <v>17</v>
      </c>
      <c r="I27" s="5" t="s">
        <v>232</v>
      </c>
    </row>
    <row r="28" customFormat="false" ht="15" hidden="false" customHeight="false" outlineLevel="0" collapsed="false">
      <c r="A28" s="5" t="s">
        <v>233</v>
      </c>
      <c r="B28" s="10" t="n">
        <f aca="false">D23</f>
        <v>405.781368851498</v>
      </c>
      <c r="C28" s="12" t="n">
        <f aca="false">SUMPRODUCT((F6:F22=0)*E6:E22)</f>
        <v>16.6910644169428</v>
      </c>
      <c r="D28" s="12" t="n">
        <f aca="false">SUMPRODUCT((F6:F22=1)*E6:E22)</f>
        <v>5.76494556835509</v>
      </c>
      <c r="E28" s="13" t="n">
        <f aca="false">ROUNDUP(C28/Supuestos!$B$30,0)+ROUNDUP(D28,0)</f>
        <v>12</v>
      </c>
      <c r="I28" s="5" t="s">
        <v>234</v>
      </c>
    </row>
    <row r="29" customFormat="false" ht="15" hidden="false" customHeight="false" outlineLevel="0" collapsed="false">
      <c r="A29" s="5" t="s">
        <v>235</v>
      </c>
      <c r="B29" s="29" t="s">
        <v>236</v>
      </c>
      <c r="C29" s="30" t="s">
        <v>236</v>
      </c>
      <c r="D29" s="30" t="s">
        <v>236</v>
      </c>
      <c r="E29" s="13" t="n">
        <f aca="false">ROUNDUP(SUM(E26:E28)*Supuestos!$B$29/Supuestos!$B$31,0)</f>
        <v>4</v>
      </c>
      <c r="I29" s="5" t="s">
        <v>237</v>
      </c>
    </row>
    <row r="30" customFormat="false" ht="15" hidden="false" customHeight="false" outlineLevel="0" collapsed="false">
      <c r="A30" s="4" t="s">
        <v>238</v>
      </c>
      <c r="E30" s="6" t="n">
        <f aca="false">SUM(E26:E29)</f>
        <v>50</v>
      </c>
    </row>
    <row r="31" customFormat="false" ht="15" hidden="false" customHeight="false" outlineLevel="0" collapsed="false">
      <c r="A31" s="4" t="s">
        <v>239</v>
      </c>
      <c r="E31" s="9" t="n">
        <f aca="false">E30*Supuestos!$B$32</f>
        <v>120</v>
      </c>
    </row>
    <row r="32" customFormat="false" ht="15" hidden="false" customHeight="false" outlineLevel="0" collapsed="false">
      <c r="A32" s="4" t="s">
        <v>240</v>
      </c>
      <c r="E32" s="6" t="n">
        <f aca="false">ROUNDUP(SUM(C26:C27)+C28,0)+'Camión y viajes'!B18*Supuestos!$B$13+E29*Supuestos!$B$31</f>
        <v>94</v>
      </c>
    </row>
    <row r="36" customFormat="false" ht="15" hidden="false" customHeight="false" outlineLevel="0" collapsed="false">
      <c r="A36" s="1" t="s">
        <v>103</v>
      </c>
    </row>
    <row r="37" customFormat="false" ht="23.85" hidden="false" customHeight="false" outlineLevel="0" collapsed="false">
      <c r="A37" s="3" t="s">
        <v>168</v>
      </c>
      <c r="B37" s="3" t="s">
        <v>23</v>
      </c>
      <c r="C37" s="3" t="s">
        <v>219</v>
      </c>
      <c r="D37" s="3" t="s">
        <v>220</v>
      </c>
      <c r="E37" s="3" t="s">
        <v>221</v>
      </c>
      <c r="F37" s="3" t="s">
        <v>173</v>
      </c>
    </row>
    <row r="38" customFormat="false" ht="15" hidden="false" customHeight="false" outlineLevel="0" collapsed="false">
      <c r="A38" s="5" t="s">
        <v>46</v>
      </c>
      <c r="B38" s="10" t="n">
        <f aca="false">INDEX(Importados!$B$155:$K$155,MATCH(Supuestos!$B$5,Importados!$B$154:$K$154,0))</f>
        <v>0</v>
      </c>
      <c r="C38" s="24" t="n">
        <f aca="false">'Demanda y mix'!E40</f>
        <v>0</v>
      </c>
      <c r="D38" s="24" t="n">
        <f aca="false">C38</f>
        <v>0</v>
      </c>
      <c r="E38" s="14" t="n">
        <f aca="false">D38/'Demanda y mix'!G40</f>
        <v>0</v>
      </c>
      <c r="F38" s="13" t="n">
        <f aca="false">'Demanda y mix'!I40</f>
        <v>0</v>
      </c>
    </row>
    <row r="39" customFormat="false" ht="15" hidden="false" customHeight="false" outlineLevel="0" collapsed="false">
      <c r="A39" s="5" t="s">
        <v>47</v>
      </c>
      <c r="B39" s="10" t="n">
        <f aca="false">INDEX(Importados!$B$156:$K$156,MATCH(Supuestos!$B$5,Importados!$B$154:$K$154,0))</f>
        <v>60</v>
      </c>
      <c r="C39" s="24" t="n">
        <f aca="false">'Demanda y mix'!E41</f>
        <v>19.961292159962</v>
      </c>
      <c r="D39" s="24" t="n">
        <f aca="false">C39</f>
        <v>19.961292159962</v>
      </c>
      <c r="E39" s="14" t="n">
        <f aca="false">D39/'Demanda y mix'!G41</f>
        <v>0.665376405332068</v>
      </c>
      <c r="F39" s="13" t="n">
        <f aca="false">'Demanda y mix'!I41</f>
        <v>0</v>
      </c>
    </row>
    <row r="40" customFormat="false" ht="15" hidden="false" customHeight="false" outlineLevel="0" collapsed="false">
      <c r="A40" s="5" t="s">
        <v>48</v>
      </c>
      <c r="B40" s="10" t="n">
        <f aca="false">INDEX(Importados!$B$157:$K$157,MATCH(Supuestos!$B$5,Importados!$B$154:$K$154,0))</f>
        <v>375</v>
      </c>
      <c r="C40" s="24" t="n">
        <f aca="false">'Demanda y mix'!E42</f>
        <v>121.413834628312</v>
      </c>
      <c r="D40" s="24" t="n">
        <f aca="false">C40</f>
        <v>121.413834628312</v>
      </c>
      <c r="E40" s="14" t="n">
        <f aca="false">D40/'Demanda y mix'!G42</f>
        <v>5.05890977617965</v>
      </c>
      <c r="F40" s="13" t="n">
        <f aca="false">'Demanda y mix'!I42</f>
        <v>0</v>
      </c>
    </row>
    <row r="41" customFormat="false" ht="15" hidden="false" customHeight="false" outlineLevel="0" collapsed="false">
      <c r="A41" s="5" t="s">
        <v>49</v>
      </c>
      <c r="B41" s="10" t="n">
        <f aca="false">INDEX(Importados!$B$158:$K$158,MATCH(Supuestos!$B$5,Importados!$B$154:$K$154,0))</f>
        <v>22</v>
      </c>
      <c r="C41" s="24" t="n">
        <f aca="false">'Demanda y mix'!E43</f>
        <v>7.18903981891642</v>
      </c>
      <c r="D41" s="24" t="n">
        <f aca="false">C41</f>
        <v>7.18903981891642</v>
      </c>
      <c r="E41" s="14" t="n">
        <f aca="false">D41/'Demanda y mix'!G43</f>
        <v>0.449314988682276</v>
      </c>
      <c r="F41" s="13" t="n">
        <f aca="false">'Demanda y mix'!I43</f>
        <v>0</v>
      </c>
    </row>
    <row r="42" customFormat="false" ht="15" hidden="false" customHeight="false" outlineLevel="0" collapsed="false">
      <c r="A42" s="5" t="s">
        <v>50</v>
      </c>
      <c r="B42" s="10" t="n">
        <f aca="false">INDEX(Importados!$B$159:$K$159,MATCH(Supuestos!$B$5,Importados!$B$154:$K$154,0))</f>
        <v>32</v>
      </c>
      <c r="C42" s="24" t="n">
        <f aca="false">'Demanda y mix'!E44</f>
        <v>10.1493046639068</v>
      </c>
      <c r="D42" s="24" t="n">
        <f aca="false">C42</f>
        <v>10.1493046639068</v>
      </c>
      <c r="E42" s="14" t="n">
        <f aca="false">D42/'Demanda y mix'!G44</f>
        <v>0.634331541494175</v>
      </c>
      <c r="F42" s="13" t="n">
        <f aca="false">'Demanda y mix'!I44</f>
        <v>0</v>
      </c>
    </row>
    <row r="43" customFormat="false" ht="15" hidden="false" customHeight="false" outlineLevel="0" collapsed="false">
      <c r="A43" s="5" t="s">
        <v>51</v>
      </c>
      <c r="B43" s="10" t="n">
        <f aca="false">INDEX(Importados!$B$160:$K$160,MATCH(Supuestos!$B$5,Importados!$B$154:$K$154,0))</f>
        <v>8</v>
      </c>
      <c r="C43" s="24" t="n">
        <f aca="false">'Demanda y mix'!E45</f>
        <v>1.92691078648638</v>
      </c>
      <c r="D43" s="24" t="n">
        <f aca="false">C43</f>
        <v>1.92691078648638</v>
      </c>
      <c r="E43" s="14" t="n">
        <f aca="false">D43/'Demanda y mix'!G45</f>
        <v>0.120431924155399</v>
      </c>
      <c r="F43" s="13" t="n">
        <f aca="false">'Demanda y mix'!I45</f>
        <v>0</v>
      </c>
    </row>
    <row r="44" customFormat="false" ht="15" hidden="false" customHeight="false" outlineLevel="0" collapsed="false">
      <c r="A44" s="5" t="s">
        <v>52</v>
      </c>
      <c r="B44" s="10" t="n">
        <f aca="false">INDEX(Importados!$B$161:$K$161,MATCH(Supuestos!$B$5,Importados!$B$154:$K$154,0))</f>
        <v>5</v>
      </c>
      <c r="C44" s="24" t="n">
        <f aca="false">'Demanda y mix'!E46</f>
        <v>1.0044451391888</v>
      </c>
      <c r="D44" s="24" t="n">
        <f aca="false">C44</f>
        <v>1.0044451391888</v>
      </c>
      <c r="E44" s="14" t="n">
        <f aca="false">D44/'Demanda y mix'!G46</f>
        <v>0.5022225695944</v>
      </c>
      <c r="F44" s="13" t="n">
        <f aca="false">'Demanda y mix'!I46</f>
        <v>1</v>
      </c>
    </row>
    <row r="45" customFormat="false" ht="15" hidden="false" customHeight="false" outlineLevel="0" collapsed="false">
      <c r="A45" s="5" t="s">
        <v>53</v>
      </c>
      <c r="B45" s="10" t="n">
        <f aca="false">INDEX(Importados!$B$162:$K$162,MATCH(Supuestos!$B$5,Importados!$B$154:$K$154,0))</f>
        <v>3</v>
      </c>
      <c r="C45" s="24" t="n">
        <f aca="false">'Demanda y mix'!E47</f>
        <v>0.580651483144354</v>
      </c>
      <c r="D45" s="24" t="n">
        <f aca="false">C45</f>
        <v>0.580651483144354</v>
      </c>
      <c r="E45" s="14" t="n">
        <f aca="false">D45/'Demanda y mix'!G47</f>
        <v>0.0241938117976814</v>
      </c>
      <c r="F45" s="13" t="n">
        <f aca="false">'Demanda y mix'!I47</f>
        <v>0</v>
      </c>
    </row>
    <row r="46" customFormat="false" ht="15" hidden="false" customHeight="false" outlineLevel="0" collapsed="false">
      <c r="A46" s="5" t="s">
        <v>54</v>
      </c>
      <c r="B46" s="10" t="n">
        <f aca="false">INDEX(Importados!$B$163:$K$163,MATCH(Supuestos!$B$5,Importados!$B$154:$K$154,0))</f>
        <v>16</v>
      </c>
      <c r="C46" s="24" t="n">
        <f aca="false">'Demanda y mix'!E48</f>
        <v>5.00517842461742</v>
      </c>
      <c r="D46" s="24" t="n">
        <f aca="false">C46</f>
        <v>5.00517842461742</v>
      </c>
      <c r="E46" s="14" t="n">
        <f aca="false">D46/'Demanda y mix'!G48</f>
        <v>0.250258921230871</v>
      </c>
      <c r="F46" s="13" t="n">
        <f aca="false">'Demanda y mix'!I48</f>
        <v>0</v>
      </c>
    </row>
    <row r="47" customFormat="false" ht="15" hidden="false" customHeight="false" outlineLevel="0" collapsed="false">
      <c r="A47" s="5" t="s">
        <v>55</v>
      </c>
      <c r="B47" s="10" t="n">
        <f aca="false">INDEX(Importados!$B$164:$K$164,MATCH(Supuestos!$B$5,Importados!$B$154:$K$154,0))</f>
        <v>83</v>
      </c>
      <c r="C47" s="24" t="n">
        <f aca="false">'Demanda y mix'!E49</f>
        <v>27.3038055298924</v>
      </c>
      <c r="D47" s="24" t="n">
        <f aca="false">C47</f>
        <v>27.3038055298924</v>
      </c>
      <c r="E47" s="14" t="n">
        <f aca="false">D47/'Demanda y mix'!G49</f>
        <v>0.910126850996414</v>
      </c>
      <c r="F47" s="13" t="n">
        <f aca="false">'Demanda y mix'!I49</f>
        <v>0</v>
      </c>
    </row>
    <row r="48" customFormat="false" ht="15" hidden="false" customHeight="false" outlineLevel="0" collapsed="false">
      <c r="A48" s="5" t="s">
        <v>56</v>
      </c>
      <c r="B48" s="10" t="n">
        <f aca="false">INDEX(Importados!$B$165:$K$165,MATCH(Supuestos!$B$5,Importados!$B$154:$K$154,0))</f>
        <v>32</v>
      </c>
      <c r="C48" s="24" t="n">
        <f aca="false">'Demanda y mix'!E50</f>
        <v>9.33114900124671</v>
      </c>
      <c r="D48" s="24" t="n">
        <f aca="false">C48</f>
        <v>9.33114900124671</v>
      </c>
      <c r="E48" s="14" t="n">
        <f aca="false">D48/'Demanda y mix'!G50</f>
        <v>0.466557450062335</v>
      </c>
      <c r="F48" s="13" t="n">
        <f aca="false">'Demanda y mix'!I50</f>
        <v>0</v>
      </c>
    </row>
    <row r="49" customFormat="false" ht="15" hidden="false" customHeight="false" outlineLevel="0" collapsed="false">
      <c r="A49" s="5" t="s">
        <v>57</v>
      </c>
      <c r="B49" s="10" t="n">
        <f aca="false">INDEX(Importados!$B$166:$K$166,MATCH(Supuestos!$B$5,Importados!$B$154:$K$154,0))</f>
        <v>6</v>
      </c>
      <c r="C49" s="24" t="n">
        <f aca="false">'Demanda y mix'!E51</f>
        <v>1.52758273990662</v>
      </c>
      <c r="D49" s="24" t="n">
        <f aca="false">C49</f>
        <v>1.52758273990662</v>
      </c>
      <c r="E49" s="14" t="n">
        <f aca="false">D49/'Demanda y mix'!G51</f>
        <v>0.0636492808294427</v>
      </c>
      <c r="F49" s="13" t="n">
        <f aca="false">'Demanda y mix'!I51</f>
        <v>0</v>
      </c>
    </row>
    <row r="50" customFormat="false" ht="15" hidden="false" customHeight="false" outlineLevel="0" collapsed="false">
      <c r="A50" s="5" t="s">
        <v>58</v>
      </c>
      <c r="B50" s="10" t="n">
        <f aca="false">INDEX(Importados!$B$167:$K$167,MATCH(Supuestos!$B$5,Importados!$B$154:$K$154,0))</f>
        <v>3</v>
      </c>
      <c r="C50" s="24" t="n">
        <f aca="false">'Demanda y mix'!E52</f>
        <v>0.5244544668405</v>
      </c>
      <c r="D50" s="24" t="n">
        <f aca="false">C50</f>
        <v>0.5244544668405</v>
      </c>
      <c r="E50" s="14" t="n">
        <f aca="false">D50/'Demanda y mix'!G52</f>
        <v>0.0327784041775313</v>
      </c>
      <c r="F50" s="13" t="n">
        <f aca="false">'Demanda y mix'!I52</f>
        <v>0</v>
      </c>
    </row>
    <row r="51" customFormat="false" ht="15" hidden="false" customHeight="false" outlineLevel="0" collapsed="false">
      <c r="A51" s="5" t="s">
        <v>59</v>
      </c>
      <c r="B51" s="10" t="n">
        <f aca="false">INDEX(Importados!$B$168:$K$168,MATCH(Supuestos!$B$5,Importados!$B$154:$K$154,0))</f>
        <v>5</v>
      </c>
      <c r="C51" s="24" t="n">
        <f aca="false">'Demanda y mix'!E53</f>
        <v>1.2513544110258</v>
      </c>
      <c r="D51" s="24" t="n">
        <f aca="false">C51</f>
        <v>1.2513544110258</v>
      </c>
      <c r="E51" s="14" t="n">
        <f aca="false">D51/'Demanda y mix'!G53</f>
        <v>0.417118137008599</v>
      </c>
      <c r="F51" s="13" t="n">
        <f aca="false">'Demanda y mix'!I53</f>
        <v>1</v>
      </c>
    </row>
    <row r="52" customFormat="false" ht="15" hidden="false" customHeight="false" outlineLevel="0" collapsed="false">
      <c r="A52" s="5" t="s">
        <v>60</v>
      </c>
      <c r="B52" s="10" t="n">
        <f aca="false">INDEX(Importados!$B$169:$K$169,MATCH(Supuestos!$B$5,Importados!$B$154:$K$154,0))</f>
        <v>10</v>
      </c>
      <c r="C52" s="24" t="n">
        <f aca="false">'Demanda y mix'!E54</f>
        <v>2.75297970257538</v>
      </c>
      <c r="D52" s="24" t="n">
        <f aca="false">C52</f>
        <v>2.75297970257538</v>
      </c>
      <c r="E52" s="14" t="n">
        <f aca="false">D52/'Demanda y mix'!G54</f>
        <v>1.37648985128769</v>
      </c>
      <c r="F52" s="13" t="n">
        <f aca="false">'Demanda y mix'!I54</f>
        <v>1</v>
      </c>
    </row>
    <row r="53" customFormat="false" ht="15" hidden="false" customHeight="false" outlineLevel="0" collapsed="false">
      <c r="A53" s="5" t="s">
        <v>61</v>
      </c>
      <c r="B53" s="10" t="n">
        <f aca="false">INDEX(Importados!$B$170:$K$170,MATCH(Supuestos!$B$5,Importados!$B$154:$K$154,0))</f>
        <v>2</v>
      </c>
      <c r="C53" s="24" t="n">
        <f aca="false">'Demanda y mix'!E55</f>
        <v>0.600650117340421</v>
      </c>
      <c r="D53" s="24" t="n">
        <f aca="false">C53</f>
        <v>0.600650117340421</v>
      </c>
      <c r="E53" s="14" t="n">
        <f aca="false">D53/'Demanda y mix'!G55</f>
        <v>0.30032505867021</v>
      </c>
      <c r="F53" s="13" t="n">
        <f aca="false">'Demanda y mix'!I55</f>
        <v>1</v>
      </c>
    </row>
    <row r="54" customFormat="false" ht="15" hidden="false" customHeight="false" outlineLevel="0" collapsed="false">
      <c r="A54" s="5" t="s">
        <v>62</v>
      </c>
      <c r="B54" s="10" t="n">
        <f aca="false">INDEX(Importados!$B$171:$K$171,MATCH(Supuestos!$B$5,Importados!$B$154:$K$154,0))</f>
        <v>2</v>
      </c>
      <c r="C54" s="24" t="n">
        <f aca="false">'Demanda y mix'!E56</f>
        <v>0.400433410759625</v>
      </c>
      <c r="D54" s="24" t="n">
        <f aca="false">C54</f>
        <v>0.400433410759625</v>
      </c>
      <c r="E54" s="14" t="n">
        <f aca="false">D54/'Demanda y mix'!G56</f>
        <v>0.400433410759625</v>
      </c>
      <c r="F54" s="13" t="n">
        <f aca="false">'Demanda y mix'!I56</f>
        <v>1</v>
      </c>
    </row>
    <row r="55" customFormat="false" ht="15" hidden="false" customHeight="false" outlineLevel="0" collapsed="false">
      <c r="A55" s="4" t="s">
        <v>71</v>
      </c>
      <c r="B55" s="25" t="n">
        <f aca="false">SUM(B38:B54)</f>
        <v>664</v>
      </c>
      <c r="C55" s="25" t="n">
        <f aca="false">SUM(C38:C54)</f>
        <v>210.923066484121</v>
      </c>
      <c r="D55" s="25" t="n">
        <f aca="false">SUM(D38:D54)</f>
        <v>210.923066484121</v>
      </c>
      <c r="E55" s="25" t="n">
        <f aca="false">SUM(E38:E54)</f>
        <v>11.6725183822584</v>
      </c>
    </row>
    <row r="56" customFormat="false" ht="15" hidden="false" customHeight="false" outlineLevel="0" collapsed="false">
      <c r="A56" s="2" t="s">
        <v>222</v>
      </c>
    </row>
    <row r="57" customFormat="false" ht="23.85" hidden="false" customHeight="false" outlineLevel="0" collapsed="false">
      <c r="A57" s="3" t="s">
        <v>223</v>
      </c>
      <c r="B57" s="3" t="s">
        <v>224</v>
      </c>
      <c r="C57" s="3" t="s">
        <v>225</v>
      </c>
      <c r="D57" s="3" t="s">
        <v>226</v>
      </c>
      <c r="E57" s="3" t="s">
        <v>227</v>
      </c>
      <c r="F57" s="3"/>
      <c r="G57" s="3"/>
      <c r="H57" s="3"/>
      <c r="I57" s="3" t="s">
        <v>228</v>
      </c>
    </row>
    <row r="58" customFormat="false" ht="15" hidden="false" customHeight="false" outlineLevel="0" collapsed="false">
      <c r="A58" s="5" t="s">
        <v>229</v>
      </c>
      <c r="B58" s="10" t="n">
        <f aca="false">'Demanda y mix'!C57*Supuestos!$B$26</f>
        <v>223.32786002853</v>
      </c>
      <c r="C58" s="12" t="n">
        <f aca="false">SUMPRODUCT(('Demanda y mix'!$I$40:$I$56=0)*'Demanda y mix'!$H$40:$H$56)*Supuestos!$B$26*Supuestos!$B$28</f>
        <v>6.87124654303982</v>
      </c>
      <c r="D58" s="12" t="n">
        <f aca="false">SUMPRODUCT(('Demanda y mix'!$I$40:$I$56=1)*'Demanda y mix'!$H$40:$H$56)*Supuestos!$B$26</f>
        <v>1.49829451366026</v>
      </c>
      <c r="E58" s="13" t="n">
        <f aca="false">ROUNDUP(C58,0)+ROUNDUP(D58,0)</f>
        <v>9</v>
      </c>
      <c r="I58" s="5" t="s">
        <v>230</v>
      </c>
    </row>
    <row r="59" customFormat="false" ht="15" hidden="false" customHeight="false" outlineLevel="0" collapsed="false">
      <c r="A59" s="5" t="s">
        <v>231</v>
      </c>
      <c r="B59" s="10" t="n">
        <f aca="false">'Demanda y mix'!C57*Supuestos!$B$27</f>
        <v>223.32786002853</v>
      </c>
      <c r="C59" s="12" t="n">
        <f aca="false">SUMPRODUCT(('Demanda y mix'!$I$40:$I$56=0)*'Demanda y mix'!$H$40:$H$56)*Supuestos!$B$27*Supuestos!$B$28</f>
        <v>6.87124654303982</v>
      </c>
      <c r="D59" s="12" t="n">
        <f aca="false">SUMPRODUCT(('Demanda y mix'!$I$40:$I$56=1)*'Demanda y mix'!$H$40:$H$56)*Supuestos!$B$27</f>
        <v>1.49829451366026</v>
      </c>
      <c r="E59" s="13" t="n">
        <f aca="false">ROUNDUP(C59,0)+ROUNDUP(D59,0)</f>
        <v>9</v>
      </c>
      <c r="I59" s="5" t="s">
        <v>232</v>
      </c>
    </row>
    <row r="60" customFormat="false" ht="15" hidden="false" customHeight="false" outlineLevel="0" collapsed="false">
      <c r="A60" s="5" t="s">
        <v>233</v>
      </c>
      <c r="B60" s="10" t="n">
        <f aca="false">D55</f>
        <v>210.923066484121</v>
      </c>
      <c r="C60" s="12" t="n">
        <f aca="false">SUMPRODUCT((F38:F54=0)*E38:E54)</f>
        <v>8.67592935493785</v>
      </c>
      <c r="D60" s="12" t="n">
        <f aca="false">SUMPRODUCT((F38:F54=1)*E38:E54)</f>
        <v>2.99658902732052</v>
      </c>
      <c r="E60" s="13" t="n">
        <f aca="false">ROUNDUP(C60/Supuestos!$B$30,0)+ROUNDUP(D60,0)</f>
        <v>6</v>
      </c>
      <c r="I60" s="5" t="s">
        <v>234</v>
      </c>
    </row>
    <row r="61" customFormat="false" ht="15" hidden="false" customHeight="false" outlineLevel="0" collapsed="false">
      <c r="A61" s="5" t="s">
        <v>235</v>
      </c>
      <c r="B61" s="29" t="s">
        <v>236</v>
      </c>
      <c r="C61" s="30" t="s">
        <v>236</v>
      </c>
      <c r="D61" s="30" t="s">
        <v>236</v>
      </c>
      <c r="E61" s="13" t="n">
        <f aca="false">ROUNDUP(SUM(E58:E60)*Supuestos!$B$29/Supuestos!$B$31,0)</f>
        <v>2</v>
      </c>
      <c r="I61" s="5" t="s">
        <v>237</v>
      </c>
    </row>
    <row r="62" customFormat="false" ht="15" hidden="false" customHeight="false" outlineLevel="0" collapsed="false">
      <c r="A62" s="4" t="s">
        <v>238</v>
      </c>
      <c r="E62" s="6" t="n">
        <f aca="false">SUM(E58:E61)</f>
        <v>26</v>
      </c>
    </row>
    <row r="63" customFormat="false" ht="15" hidden="false" customHeight="false" outlineLevel="0" collapsed="false">
      <c r="A63" s="4" t="s">
        <v>239</v>
      </c>
      <c r="E63" s="9" t="n">
        <f aca="false">E62*Supuestos!$B$32</f>
        <v>62.4</v>
      </c>
    </row>
    <row r="64" customFormat="false" ht="15" hidden="false" customHeight="false" outlineLevel="0" collapsed="false">
      <c r="A64" s="4" t="s">
        <v>240</v>
      </c>
      <c r="E64" s="6" t="n">
        <f aca="false">ROUNDUP(SUM(C58:C59)+C60,0)+'Camión y viajes'!C18*Supuestos!$B$13+E61*Supuestos!$B$31</f>
        <v>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2026-10-18T22:36:39Z</dcterms:created>
  <dc:creator>openpyxl</dc:creator>
  <dc:description/>
  <dc:language>en-US</dc:language>
  <cp:lastModifiedBy/>
  <dcterms:modified xsi:type="dcterms:W3CDTF">2026-10-18T22:36:39Z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