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nks" sheetId="1" state="visible" r:id="rId3"/>
    <sheet name="Resumen" sheetId="2" state="visible" r:id="rId4"/>
    <sheet name="Supuestos" sheetId="3" state="visible" r:id="rId5"/>
    <sheet name="Importados" sheetId="4" state="visible" r:id="rId6"/>
    <sheet name="Cálcul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<sst xmlns="http://schemas.openxmlformats.org/spreadsheetml/2006/main" count="388" uniqueCount="195">
  <si>
    <t xml:space="preserve">Links de los IMPORTRANGE</t>
  </si>
  <si>
    <t xml:space="preserve">Pegar en B el link de cada Google Sheet: todos los IMPORTRANGE lo leen de acá.</t>
  </si>
  <si>
    <t xml:space="preserve">Archivo</t>
  </si>
  <si>
    <t xml:space="preserve">Link</t>
  </si>
  <si>
    <t xml:space="preserve">Qué se importa</t>
  </si>
  <si>
    <t xml:space="preserve">Aprovechamiento Recargas Planta Comercial</t>
  </si>
  <si>
    <t xml:space="preserve">PEGAR ACÁ EL LINK DEL GOOGLE SHEET</t>
  </si>
  <si>
    <t xml:space="preserve">Lo que trae la hoja Importados</t>
  </si>
  <si>
    <t xml:space="preserve">Aprovechamiento Recargas Planta Industrial</t>
  </si>
  <si>
    <t xml:space="preserve">Recargas — logística de las dos plantas (mes pico de 2035)</t>
  </si>
  <si>
    <t xml:space="preserve">Desarrollo y fuentes en el Word de justificación de recargas · § 10</t>
  </si>
  <si>
    <t xml:space="preserve">Concepto</t>
  </si>
  <si>
    <t xml:space="preserve">Comercial</t>
  </si>
  <si>
    <t xml:space="preserve">Industrial</t>
  </si>
  <si>
    <t xml:space="preserve">De dónde sale</t>
  </si>
  <si>
    <t xml:space="preserve">Recargas del año 2035 (u)</t>
  </si>
  <si>
    <t xml:space="preserve">Importados</t>
  </si>
  <si>
    <t xml:space="preserve">Mes pico</t>
  </si>
  <si>
    <t xml:space="preserve">Cálculo, punto 1</t>
  </si>
  <si>
    <t xml:space="preserve">Llegan por día en el mes pico (u)</t>
  </si>
  <si>
    <t xml:space="preserve">Cálculo, punto 2</t>
  </si>
  <si>
    <t xml:space="preserve">Sustitutos que salen por día (u)</t>
  </si>
  <si>
    <t xml:space="preserve">Stock de sustitutos (u)</t>
  </si>
  <si>
    <t xml:space="preserve">Aprovechamiento, paso 3</t>
  </si>
  <si>
    <t xml:space="preserve">Paradas por día</t>
  </si>
  <si>
    <t xml:space="preserve">Cálculo, punto 3</t>
  </si>
  <si>
    <t xml:space="preserve">Viajes por día</t>
  </si>
  <si>
    <t xml:space="preserve">Cálculo, punto 4</t>
  </si>
  <si>
    <t xml:space="preserve">Camiones</t>
  </si>
  <si>
    <t xml:space="preserve">Ocupación de la flota</t>
  </si>
  <si>
    <t xml:space="preserve">Posiciones del pulmón</t>
  </si>
  <si>
    <t xml:space="preserve">Cálculo, punto 5</t>
  </si>
  <si>
    <t xml:space="preserve">Superficie del pulmón (m²)</t>
  </si>
  <si>
    <t xml:space="preserve">Jaulas A y B a tener</t>
  </si>
  <si>
    <t xml:space="preserve">Supuestos de logística</t>
  </si>
  <si>
    <t xml:space="preserve">Demanda, estacionalidad, mix, lote y sustitutos vienen de Importados · § 10</t>
  </si>
  <si>
    <t xml:space="preserve">1. Camión</t>
  </si>
  <si>
    <t xml:space="preserve">Valor</t>
  </si>
  <si>
    <t xml:space="preserve">Fuente / criterio</t>
  </si>
  <si>
    <t xml:space="preserve">Vehículo</t>
  </si>
  <si>
    <t xml:space="preserve">Iveco Daily 55C17 con caja de baranda rebatible</t>
  </si>
  <si>
    <t xml:space="preserve">Word de recargas · § 10.1</t>
  </si>
  <si>
    <t xml:space="preserve">Carga útil (kg)</t>
  </si>
  <si>
    <t xml:space="preserve">Word de recargas: aprox. 2 t</t>
  </si>
  <si>
    <t xml:space="preserve">Posiciones de jaula 1,2 × 1,0 m en la caja</t>
  </si>
  <si>
    <t xml:space="preserve">2 × 3 en caja de 3,7 × 2,1 m · § 10.1</t>
  </si>
  <si>
    <t xml:space="preserve">Personas a bordo (chofer + ayudante)</t>
  </si>
  <si>
    <t xml:space="preserve">Retiro y colocación de sustitutos · § 10.1</t>
  </si>
  <si>
    <t xml:space="preserve">Peso por persona (kg)</t>
  </si>
  <si>
    <t xml:space="preserve">Masa normalizada por ocupante (Dir. 2007/46/CE)</t>
  </si>
  <si>
    <t xml:space="preserve">Peso de una jaula (kg)</t>
  </si>
  <si>
    <t xml:space="preserve">Jaula plegable 1,2 × 1,0 m (Palletower Hypacage)</t>
  </si>
  <si>
    <t xml:space="preserve">Tara de las jaulas (kg)</t>
  </si>
  <si>
    <t xml:space="preserve">Posiciones × peso de jaula</t>
  </si>
  <si>
    <t xml:space="preserve">Carga neta por viaje (kg)</t>
  </si>
  <si>
    <t xml:space="preserve">Carga útil − personas − jaulas</t>
  </si>
  <si>
    <t xml:space="preserve">Precio del camión con caja (ARS)</t>
  </si>
  <si>
    <t xml:space="preserve">A cotizar</t>
  </si>
  <si>
    <t xml:space="preserve">2. Recorrido</t>
  </si>
  <si>
    <t xml:space="preserve">Turnos de logística por día</t>
  </si>
  <si>
    <t xml:space="preserve">Los mismos de la planta (Ley 11.544) · § 10.2</t>
  </si>
  <si>
    <t xml:space="preserve">Ida y vuelta planta ↔ zona de clientes (h por viaje)</t>
  </si>
  <si>
    <t xml:space="preserve">2 × 25 km (TomTom 2024) · § 10.2</t>
  </si>
  <si>
    <t xml:space="preserve">Tiempo fijo por parada (min)</t>
  </si>
  <si>
    <t xml:space="preserve">Criterio · § 10.2</t>
  </si>
  <si>
    <t xml:space="preserve">Manejo entre paradas (min)</t>
  </si>
  <si>
    <t xml:space="preserve">5 km a 20 km/h (TomTom 2024) · § 10.2</t>
  </si>
  <si>
    <t xml:space="preserve">Ocupación máxima de la flota</t>
  </si>
  <si>
    <t xml:space="preserve">El mismo límite de los puestos · § 8</t>
  </si>
  <si>
    <t xml:space="preserve">3. Pulmón</t>
  </si>
  <si>
    <t xml:space="preserve">Días de llegada que esperan en recepción</t>
  </si>
  <si>
    <t xml:space="preserve">Entra en el turno siguiente · § 10.3</t>
  </si>
  <si>
    <t xml:space="preserve">Días de recargados que esperan el recorrido</t>
  </si>
  <si>
    <t xml:space="preserve">Sale en el turno siguiente · § 10.3</t>
  </si>
  <si>
    <t xml:space="preserve">Factor de jaulas a medio llenar</t>
  </si>
  <si>
    <t xml:space="preserve">Jaulas por cliente y agente · § 10.3</t>
  </si>
  <si>
    <t xml:space="preserve">Jaulas vacías de reserva (% de las ocupadas)</t>
  </si>
  <si>
    <t xml:space="preserve">Criterio · § 10.3</t>
  </si>
  <si>
    <t xml:space="preserve">Niveles de la estantería de sustitutos</t>
  </si>
  <si>
    <t xml:space="preserve">Jaulas vacías apiladas por posición</t>
  </si>
  <si>
    <t xml:space="preserve">Hypacage: apilable de a 4</t>
  </si>
  <si>
    <t xml:space="preserve">Superficie por posición con pasillo (m²)</t>
  </si>
  <si>
    <t xml:space="preserve">Pasillo compartido por dos filas</t>
  </si>
  <si>
    <t xml:space="preserve">Importados de los Aprovechamientos de recargas (IMPORTRANGE; el link va en la hoja Links)</t>
  </si>
  <si>
    <t xml:space="preserve">Planta comercial</t>
  </si>
  <si>
    <t xml:space="preserve">Tipo: perfil mensual de recargas (% del año)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</si>
  <si>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</si>
  <si>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</si>
  <si>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</si>
  <si>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</si>
  <si>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</si>
  <si>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</si>
  <si>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</si>
  <si>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</si>
  <si>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</si>
  <si>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</si>
  <si>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</si>
  <si>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</si>
  <si>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Recargas 2035 (u)</t>
  </si>
  <si>
    <t xml:space="preserve">Lleva sustituto (1 = sí)</t>
  </si>
  <si>
    <t xml:space="preserve">Stock de sustitutos 2035 (u)</t>
  </si>
  <si>
    <t xml:space="preserve">Automotor</t>
  </si>
  <si>
    <t xml:space="preserve">Edificios</t>
  </si>
  <si>
    <t xml:space="preserve">Educación</t>
  </si>
  <si>
    <t xml:space="preserve">Hoteles</t>
  </si>
  <si>
    <t xml:space="preserve">Industrias / almacenes</t>
  </si>
  <si>
    <t xml:space="preserve">Salud</t>
  </si>
  <si>
    <t xml:space="preserve">Supermercados</t>
  </si>
  <si>
    <t xml:space="preserve">Total mix</t>
  </si>
  <si>
    <t xml:space="preserve">ABC 1 kg</t>
  </si>
  <si>
    <t xml:space="preserve">ABC 2,5 kg</t>
  </si>
  <si>
    <t xml:space="preserve">ABC 5 kg</t>
  </si>
  <si>
    <t xml:space="preserve">ABC 10 kg</t>
  </si>
  <si>
    <t xml:space="preserve">Agua 10 l</t>
  </si>
  <si>
    <t xml:space="preserve">AFFF 10 l</t>
  </si>
  <si>
    <t xml:space="preserve">AFFF 50 l s/ruedas</t>
  </si>
  <si>
    <t xml:space="preserve">BC 5 kg</t>
  </si>
  <si>
    <t xml:space="preserve">Sales K 6 l</t>
  </si>
  <si>
    <t xml:space="preserve">CO₂ 2 kg</t>
  </si>
  <si>
    <t xml:space="preserve">CO₂ 5 kg</t>
  </si>
  <si>
    <t xml:space="preserve">HCFC/HFC 5 kg</t>
  </si>
  <si>
    <t xml:space="preserve">Clase D 9 l</t>
  </si>
  <si>
    <t xml:space="preserve">ABC 25 kg s/ruedas</t>
  </si>
  <si>
    <t xml:space="preserve">ABC 50 kg s/ruedas</t>
  </si>
  <si>
    <t xml:space="preserve">ABC 70 kg s/ruedas</t>
  </si>
  <si>
    <t xml:space="preserve">ABC 100 kg s/ruedas</t>
  </si>
  <si>
    <t xml:space="preserve">Toda la planta</t>
  </si>
  <si>
    <t xml:space="preserve">Lote por cliente (u.)</t>
  </si>
  <si>
    <t xml:space="preserve">Días hábiles por mes</t>
  </si>
  <si>
    <t xml:space="preserve">Horas productivas por turno</t>
  </si>
  <si>
    <t xml:space="preserve">Rubro: estacionalidad (% del año)</t>
  </si>
  <si>
    <t xml:space="preserve">Planta industrial</t>
  </si>
  <si>
    <t xml:space="preserve">Logística en el mes pico de 2035 (las dos plantas lado a lado)</t>
  </si>
  <si>
    <t xml:space="preserve">Cada planta en su mes pico · § 10</t>
  </si>
  <si>
    <t xml:space="preserve">1. Mes pico</t>
  </si>
  <si>
    <t xml:space="preserve">N° del mes pico (mayor % de Toda la planta)</t>
  </si>
  <si>
    <t xml:space="preserve">% de las recargas del año en el mes pico</t>
  </si>
  <si>
    <t xml:space="preserve">2. Por tipo</t>
  </si>
  <si>
    <t xml:space="preserve">Peso lleno (kg)</t>
  </si>
  <si>
    <t xml:space="preserve">u. por jaula</t>
  </si>
  <si>
    <t xml:space="preserve">Jaula</t>
  </si>
  <si>
    <t xml:space="preserve">Rodante (1 = sí)</t>
  </si>
  <si>
    <t xml:space="preserve">Fuente del peso</t>
  </si>
  <si>
    <t xml:space="preserve">Tipo</t>
  </si>
  <si>
    <t xml:space="preserve">u/día</t>
  </si>
  <si>
    <t xml:space="preserve">Sustitutos por día</t>
  </si>
  <si>
    <t xml:space="preserve">Jaulas por día</t>
  </si>
  <si>
    <t xml:space="preserve">§ 10.3</t>
  </si>
  <si>
    <t xml:space="preserve">A</t>
  </si>
  <si>
    <t xml:space="preserve">BOM FLAMA</t>
  </si>
  <si>
    <t xml:space="preserve">B</t>
  </si>
  <si>
    <t xml:space="preserve">Rodantes</t>
  </si>
  <si>
    <t xml:space="preserve">Word de carros, Tabla 0</t>
  </si>
  <si>
    <t xml:space="preserve">Total</t>
  </si>
  <si>
    <t xml:space="preserve">Peso medio por u. (kg)</t>
  </si>
  <si>
    <t xml:space="preserve">3. Por rubro</t>
  </si>
  <si>
    <t xml:space="preserve">min por u. en el cliente</t>
  </si>
  <si>
    <t xml:space="preserve">Fuente</t>
  </si>
  <si>
    <t xml:space="preserve">Rubro</t>
  </si>
  <si>
    <t xml:space="preserve">Lote (u/cliente)</t>
  </si>
  <si>
    <t xml:space="preserve">Horas de parada</t>
  </si>
  <si>
    <t xml:space="preserve">Criterio · § 10.4</t>
  </si>
  <si>
    <t xml:space="preserve">4. Camión y viajes (§ 10.5)</t>
  </si>
  <si>
    <t xml:space="preserve">Equipos que se retiran por día (u)</t>
  </si>
  <si>
    <t xml:space="preserve">Carga por sentido por día (u)</t>
  </si>
  <si>
    <t xml:space="preserve">Jaulas por u.</t>
  </si>
  <si>
    <t xml:space="preserve">Capacidad por viaje por espacio (u)</t>
  </si>
  <si>
    <t xml:space="preserve">Capacidad por viaje por peso (u)</t>
  </si>
  <si>
    <t xml:space="preserve">Capacidad por viaje (u)</t>
  </si>
  <si>
    <t xml:space="preserve">Viajes por día por carga</t>
  </si>
  <si>
    <t xml:space="preserve">Horas de parada y manipuleo por día</t>
  </si>
  <si>
    <t xml:space="preserve">Viajes por día por tiempo</t>
  </si>
  <si>
    <t xml:space="preserve">Horas de camión por día</t>
  </si>
  <si>
    <t xml:space="preserve">Camiones necesarios</t>
  </si>
  <si>
    <t xml:space="preserve">Peso por viaje (kg)</t>
  </si>
  <si>
    <t xml:space="preserve">Inversión en camiones (ARS)</t>
  </si>
  <si>
    <t xml:space="preserve">5. Pulmón</t>
  </si>
  <si>
    <t xml:space="preserve">Dónde y cómo van</t>
  </si>
  <si>
    <t xml:space="preserve">Zona</t>
  </si>
  <si>
    <t xml:space="preserve">Matafuegos (u)</t>
  </si>
  <si>
    <t xml:space="preserve">Jaulas de manuales</t>
  </si>
  <si>
    <t xml:space="preserve">Jaulas de rodantes</t>
  </si>
  <si>
    <t xml:space="preserve">Posiciones 1,2 × 1,0 m</t>
  </si>
  <si>
    <t xml:space="preserve">Recepción</t>
  </si>
  <si>
    <t xml:space="preserve">Jaulas A (1 kg) y B por cliente, en orden de llegada; rodantes en su jaula</t>
  </si>
  <si>
    <t xml:space="preserve">Despacho</t>
  </si>
  <si>
    <t xml:space="preserve">Jaulas armadas por recorrido y en el orden de entrega</t>
  </si>
  <si>
    <t xml:space="preserve">Sustitutos en planta</t>
  </si>
  <si>
    <t xml:space="preserve">Estantería con faja amarilla, por tipo; rodantes en el piso</t>
  </si>
  <si>
    <t xml:space="preserve">Jaulas vacías</t>
  </si>
  <si>
    <t xml:space="preserve">—</t>
  </si>
  <si>
    <t xml:space="preserve">Apiladas, junto a despacho</t>
  </si>
  <si>
    <t xml:space="preserve">Total de posiciones</t>
  </si>
  <si>
    <t xml:space="preserve">Superficie del pulmón con pasillo (m²)</t>
  </si>
  <si>
    <t xml:space="preserve">Jaulas A y B a tener (planta + camiones + vacías)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</si>
</sst>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%"/>
    <numFmt numFmtId="168" formatCode="0.0"/>
    <numFmt numFmtId="169" formatCode="0.00"/>
    <numFmt numFmtId="170" formatCode="0.0%"/>
    <numFmt numFmtId="171" formatCode="#,##0.0"/>
    <numFmt numFmtId="172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23.85" hidden="false" customHeight="false" outlineLevel="0" collapsed="false">
      <c r="A4" s="4" t="s">
        <v>5</v>
      </c>
      <c r="B4" s="5" t="s">
        <v>6</v>
      </c>
      <c r="C4" s="5" t="s">
        <v>7</v>
      </c>
    </row>
    <row r="5" customFormat="false" ht="23.85" hidden="false" customHeight="false" outlineLevel="0" collapsed="false">
      <c r="A5" s="4" t="s">
        <v>8</v>
      </c>
      <c r="B5" s="5" t="s">
        <v>6</v>
      </c>
      <c r="C5" s="5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6" t="s">
        <v>11</v>
      </c>
      <c r="B4" s="6" t="s">
        <v>12</v>
      </c>
      <c r="C4" s="6" t="s">
        <v>13</v>
      </c>
      <c r="D4" s="6" t="s">
        <v>14</v>
      </c>
    </row>
    <row r="5" customFormat="false" ht="15" hidden="false" customHeight="false" outlineLevel="0" collapsed="false">
      <c r="A5" s="4" t="s">
        <v>15</v>
      </c>
      <c r="B5" s="7" t="n">
        <f aca="false">Importados!$N$22</f>
        <v>206230.154921912</v>
      </c>
      <c r="C5" s="7" t="n">
        <f aca="false">Importados!$N$56</f>
        <v>107197.372813695</v>
      </c>
      <c r="D5" s="5" t="s">
        <v>16</v>
      </c>
    </row>
    <row r="6" customFormat="false" ht="15" hidden="false" customHeight="false" outlineLevel="0" collapsed="false">
      <c r="A6" s="4" t="s">
        <v>17</v>
      </c>
      <c r="B6" s="8" t="str">
        <f aca="false">Cálculo!B6</f>
        <v>Dic</v>
      </c>
      <c r="C6" s="8" t="str">
        <f aca="false">Cálculo!C6</f>
        <v>Dic</v>
      </c>
      <c r="D6" s="5" t="s">
        <v>18</v>
      </c>
    </row>
    <row r="7" customFormat="false" ht="15" hidden="false" customHeight="false" outlineLevel="0" collapsed="false">
      <c r="A7" s="4" t="s">
        <v>19</v>
      </c>
      <c r="B7" s="7" t="n">
        <f aca="false">Cálculo!F30</f>
        <v>1061.94364471736</v>
      </c>
      <c r="C7" s="7" t="n">
        <f aca="false">Cálculo!I30</f>
        <v>552.297705704186</v>
      </c>
      <c r="D7" s="5" t="s">
        <v>20</v>
      </c>
    </row>
    <row r="8" customFormat="false" ht="15" hidden="false" customHeight="false" outlineLevel="0" collapsed="false">
      <c r="A8" s="4" t="s">
        <v>21</v>
      </c>
      <c r="B8" s="7" t="n">
        <f aca="false">Cálculo!G30</f>
        <v>409.324808263162</v>
      </c>
      <c r="C8" s="7" t="n">
        <f aca="false">Cálculo!J30</f>
        <v>213.042982501654</v>
      </c>
      <c r="D8" s="5" t="s">
        <v>20</v>
      </c>
    </row>
    <row r="9" customFormat="false" ht="15" hidden="false" customHeight="false" outlineLevel="0" collapsed="false">
      <c r="A9" s="4" t="s">
        <v>22</v>
      </c>
      <c r="B9" s="7" t="n">
        <f aca="false">Importados!$P$22</f>
        <v>1498</v>
      </c>
      <c r="C9" s="7" t="n">
        <f aca="false">Importados!$P$56</f>
        <v>785</v>
      </c>
      <c r="D9" s="5" t="s">
        <v>23</v>
      </c>
    </row>
    <row r="10" customFormat="false" ht="15" hidden="false" customHeight="false" outlineLevel="0" collapsed="false">
      <c r="A10" s="4" t="s">
        <v>24</v>
      </c>
      <c r="B10" s="7" t="n">
        <f aca="false">Cálculo!E44</f>
        <v>203.873824185969</v>
      </c>
      <c r="C10" s="7" t="n">
        <f aca="false">Cálculo!I44</f>
        <v>105.685449564868</v>
      </c>
      <c r="D10" s="5" t="s">
        <v>25</v>
      </c>
    </row>
    <row r="11" customFormat="false" ht="15" hidden="false" customHeight="false" outlineLevel="0" collapsed="false">
      <c r="A11" s="4" t="s">
        <v>26</v>
      </c>
      <c r="B11" s="9" t="n">
        <f aca="false">Cálculo!B61</f>
        <v>25</v>
      </c>
      <c r="C11" s="9" t="n">
        <f aca="false">Cálculo!C61</f>
        <v>13</v>
      </c>
      <c r="D11" s="5" t="s">
        <v>27</v>
      </c>
    </row>
    <row r="12" customFormat="false" ht="15" hidden="false" customHeight="false" outlineLevel="0" collapsed="false">
      <c r="A12" s="4" t="s">
        <v>28</v>
      </c>
      <c r="B12" s="9" t="n">
        <f aca="false">Cálculo!B63</f>
        <v>14</v>
      </c>
      <c r="C12" s="9" t="n">
        <f aca="false">Cálculo!C63</f>
        <v>8</v>
      </c>
      <c r="D12" s="5" t="s">
        <v>27</v>
      </c>
    </row>
    <row r="13" customFormat="false" ht="15" hidden="false" customHeight="false" outlineLevel="0" collapsed="false">
      <c r="A13" s="4" t="s">
        <v>29</v>
      </c>
      <c r="B13" s="10" t="n">
        <f aca="false">Cálculo!B64</f>
        <v>0.890469451056304</v>
      </c>
      <c r="C13" s="10" t="n">
        <f aca="false">Cálculo!C64</f>
        <v>0.808620119744484</v>
      </c>
      <c r="D13" s="5" t="s">
        <v>27</v>
      </c>
    </row>
    <row r="14" customFormat="false" ht="15" hidden="false" customHeight="false" outlineLevel="0" collapsed="false">
      <c r="A14" s="4" t="s">
        <v>30</v>
      </c>
      <c r="B14" s="9" t="n">
        <f aca="false">Cálculo!E74</f>
        <v>55</v>
      </c>
      <c r="C14" s="9" t="n">
        <f aca="false">Cálculo!I74</f>
        <v>29</v>
      </c>
      <c r="D14" s="5" t="s">
        <v>31</v>
      </c>
    </row>
    <row r="15" customFormat="false" ht="15" hidden="false" customHeight="false" outlineLevel="0" collapsed="false">
      <c r="A15" s="4" t="s">
        <v>32</v>
      </c>
      <c r="B15" s="11" t="n">
        <f aca="false">Cálculo!E75</f>
        <v>132</v>
      </c>
      <c r="C15" s="11" t="n">
        <f aca="false">Cálculo!I75</f>
        <v>69.6</v>
      </c>
      <c r="D15" s="5" t="s">
        <v>31</v>
      </c>
    </row>
    <row r="16" customFormat="false" ht="15" hidden="false" customHeight="false" outlineLevel="0" collapsed="false">
      <c r="A16" s="4" t="s">
        <v>33</v>
      </c>
      <c r="B16" s="9" t="n">
        <f aca="false">Cálculo!E77</f>
        <v>140</v>
      </c>
      <c r="C16" s="9" t="n">
        <f aca="false">Cálculo!I77</f>
        <v>81</v>
      </c>
      <c r="D16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56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6" t="s">
        <v>36</v>
      </c>
      <c r="B3" s="6" t="s">
        <v>37</v>
      </c>
      <c r="C3" s="6" t="s">
        <v>38</v>
      </c>
    </row>
    <row r="4" customFormat="false" ht="35.05" hidden="false" customHeight="false" outlineLevel="0" collapsed="false">
      <c r="A4" s="5" t="s">
        <v>39</v>
      </c>
      <c r="B4" s="12" t="s">
        <v>40</v>
      </c>
      <c r="C4" s="5" t="s">
        <v>41</v>
      </c>
    </row>
    <row r="5" customFormat="false" ht="15" hidden="false" customHeight="false" outlineLevel="0" collapsed="false">
      <c r="A5" s="5" t="s">
        <v>42</v>
      </c>
      <c r="B5" s="13" t="n">
        <v>2000</v>
      </c>
      <c r="C5" s="5" t="s">
        <v>43</v>
      </c>
    </row>
    <row r="6" customFormat="false" ht="15" hidden="false" customHeight="false" outlineLevel="0" collapsed="false">
      <c r="A6" s="5" t="s">
        <v>44</v>
      </c>
      <c r="B6" s="14" t="n">
        <v>6</v>
      </c>
      <c r="C6" s="5" t="s">
        <v>45</v>
      </c>
    </row>
    <row r="7" customFormat="false" ht="15" hidden="false" customHeight="false" outlineLevel="0" collapsed="false">
      <c r="A7" s="5" t="s">
        <v>46</v>
      </c>
      <c r="B7" s="14" t="n">
        <v>2</v>
      </c>
      <c r="C7" s="5" t="s">
        <v>47</v>
      </c>
    </row>
    <row r="8" customFormat="false" ht="15" hidden="false" customHeight="false" outlineLevel="0" collapsed="false">
      <c r="A8" s="5" t="s">
        <v>48</v>
      </c>
      <c r="B8" s="14" t="n">
        <v>75</v>
      </c>
      <c r="C8" s="5" t="s">
        <v>49</v>
      </c>
    </row>
    <row r="9" customFormat="false" ht="15" hidden="false" customHeight="false" outlineLevel="0" collapsed="false">
      <c r="A9" s="5" t="s">
        <v>50</v>
      </c>
      <c r="B9" s="14" t="n">
        <v>75</v>
      </c>
      <c r="C9" s="5" t="s">
        <v>51</v>
      </c>
    </row>
    <row r="10" customFormat="false" ht="15" hidden="false" customHeight="false" outlineLevel="0" collapsed="false">
      <c r="A10" s="5" t="s">
        <v>52</v>
      </c>
      <c r="B10" s="15" t="n">
        <f aca="false">B6*B9</f>
        <v>450</v>
      </c>
      <c r="C10" s="5" t="s">
        <v>53</v>
      </c>
    </row>
    <row r="11" customFormat="false" ht="15" hidden="false" customHeight="false" outlineLevel="0" collapsed="false">
      <c r="A11" s="5" t="s">
        <v>54</v>
      </c>
      <c r="B11" s="15" t="n">
        <f aca="false">B5-B7*B8-B10</f>
        <v>1400</v>
      </c>
      <c r="C11" s="5" t="s">
        <v>55</v>
      </c>
    </row>
    <row r="12" customFormat="false" ht="15" hidden="false" customHeight="false" outlineLevel="0" collapsed="false">
      <c r="A12" s="5" t="s">
        <v>56</v>
      </c>
      <c r="B12" s="13"/>
      <c r="C12" s="5" t="s">
        <v>57</v>
      </c>
    </row>
    <row r="14" customFormat="false" ht="15" hidden="false" customHeight="false" outlineLevel="0" collapsed="false">
      <c r="A14" s="6" t="s">
        <v>58</v>
      </c>
      <c r="B14" s="6" t="s">
        <v>37</v>
      </c>
      <c r="C14" s="6" t="s">
        <v>38</v>
      </c>
    </row>
    <row r="15" customFormat="false" ht="15" hidden="false" customHeight="false" outlineLevel="0" collapsed="false">
      <c r="A15" s="5" t="s">
        <v>59</v>
      </c>
      <c r="B15" s="14" t="n">
        <v>2</v>
      </c>
      <c r="C15" s="5" t="s">
        <v>60</v>
      </c>
    </row>
    <row r="16" customFormat="false" ht="15" hidden="false" customHeight="false" outlineLevel="0" collapsed="false">
      <c r="A16" s="5" t="s">
        <v>61</v>
      </c>
      <c r="B16" s="16" t="n">
        <v>1.5</v>
      </c>
      <c r="C16" s="5" t="s">
        <v>62</v>
      </c>
    </row>
    <row r="17" customFormat="false" ht="15" hidden="false" customHeight="false" outlineLevel="0" collapsed="false">
      <c r="A17" s="5" t="s">
        <v>63</v>
      </c>
      <c r="B17" s="14" t="n">
        <v>20</v>
      </c>
      <c r="C17" s="5" t="s">
        <v>64</v>
      </c>
    </row>
    <row r="18" customFormat="false" ht="15" hidden="false" customHeight="false" outlineLevel="0" collapsed="false">
      <c r="A18" s="5" t="s">
        <v>65</v>
      </c>
      <c r="B18" s="14" t="n">
        <v>15</v>
      </c>
      <c r="C18" s="5" t="s">
        <v>66</v>
      </c>
    </row>
    <row r="19" customFormat="false" ht="15" hidden="false" customHeight="false" outlineLevel="0" collapsed="false">
      <c r="A19" s="5" t="s">
        <v>67</v>
      </c>
      <c r="B19" s="17" t="n">
        <v>0.9</v>
      </c>
      <c r="C19" s="5" t="s">
        <v>68</v>
      </c>
    </row>
    <row r="21" customFormat="false" ht="15" hidden="false" customHeight="false" outlineLevel="0" collapsed="false">
      <c r="A21" s="6" t="s">
        <v>69</v>
      </c>
      <c r="B21" s="6" t="s">
        <v>37</v>
      </c>
      <c r="C21" s="6" t="s">
        <v>38</v>
      </c>
    </row>
    <row r="22" customFormat="false" ht="15" hidden="false" customHeight="false" outlineLevel="0" collapsed="false">
      <c r="A22" s="5" t="s">
        <v>70</v>
      </c>
      <c r="B22" s="16" t="n">
        <v>0.5</v>
      </c>
      <c r="C22" s="5" t="s">
        <v>71</v>
      </c>
    </row>
    <row r="23" customFormat="false" ht="15" hidden="false" customHeight="false" outlineLevel="0" collapsed="false">
      <c r="A23" s="5" t="s">
        <v>72</v>
      </c>
      <c r="B23" s="16" t="n">
        <v>0.5</v>
      </c>
      <c r="C23" s="5" t="s">
        <v>73</v>
      </c>
    </row>
    <row r="24" customFormat="false" ht="15" hidden="false" customHeight="false" outlineLevel="0" collapsed="false">
      <c r="A24" s="5" t="s">
        <v>74</v>
      </c>
      <c r="B24" s="18" t="n">
        <v>1.15</v>
      </c>
      <c r="C24" s="5" t="s">
        <v>75</v>
      </c>
    </row>
    <row r="25" customFormat="false" ht="15" hidden="false" customHeight="false" outlineLevel="0" collapsed="false">
      <c r="A25" s="5" t="s">
        <v>76</v>
      </c>
      <c r="B25" s="17" t="n">
        <v>0.15</v>
      </c>
      <c r="C25" s="5" t="s">
        <v>77</v>
      </c>
    </row>
    <row r="26" customFormat="false" ht="15" hidden="false" customHeight="false" outlineLevel="0" collapsed="false">
      <c r="A26" s="5" t="s">
        <v>78</v>
      </c>
      <c r="B26" s="14" t="n">
        <v>3</v>
      </c>
      <c r="C26" s="5" t="s">
        <v>77</v>
      </c>
    </row>
    <row r="27" customFormat="false" ht="15" hidden="false" customHeight="false" outlineLevel="0" collapsed="false">
      <c r="A27" s="5" t="s">
        <v>79</v>
      </c>
      <c r="B27" s="14" t="n">
        <v>4</v>
      </c>
      <c r="C27" s="5" t="s">
        <v>80</v>
      </c>
    </row>
    <row r="28" customFormat="false" ht="15" hidden="false" customHeight="false" outlineLevel="0" collapsed="false">
      <c r="A28" s="5" t="s">
        <v>81</v>
      </c>
      <c r="B28" s="19" t="n">
        <f aca="false">1.2*1*2</f>
        <v>2.4</v>
      </c>
      <c r="C28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7.5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24" min="17" style="0" width="10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1" t="s">
        <v>84</v>
      </c>
    </row>
    <row r="4" customFormat="false" ht="35.05" hidden="false" customHeight="false" outlineLevel="0" collapsed="false">
      <c r="A4" s="6" t="s">
        <v>85</v>
      </c>
      <c r="B4" s="6" t="s">
        <v>86</v>
      </c>
      <c r="C4" s="6" t="s">
        <v>87</v>
      </c>
      <c r="D4" s="6" t="s">
        <v>88</v>
      </c>
      <c r="E4" s="6" t="s">
        <v>89</v>
      </c>
      <c r="F4" s="6" t="s">
        <v>90</v>
      </c>
      <c r="G4" s="6" t="s">
        <v>91</v>
      </c>
      <c r="H4" s="6" t="s">
        <v>92</v>
      </c>
      <c r="I4" s="6" t="s">
        <v>93</v>
      </c>
      <c r="J4" s="6" t="s">
        <v>94</v>
      </c>
      <c r="K4" s="6" t="s">
        <v>95</v>
      </c>
      <c r="L4" s="6" t="s">
        <v>96</v>
      </c>
      <c r="M4" s="6" t="s">
        <v>97</v>
      </c>
      <c r="N4" s="6" t="s">
        <v>98</v>
      </c>
      <c r="O4" s="6" t="s">
        <v>99</v>
      </c>
      <c r="P4" s="6" t="s">
        <v>100</v>
      </c>
      <c r="Q4" s="6" t="s">
        <v>101</v>
      </c>
      <c r="R4" s="6" t="s">
        <v>102</v>
      </c>
      <c r="S4" s="6" t="s">
        <v>103</v>
      </c>
      <c r="T4" s="6" t="s">
        <v>104</v>
      </c>
      <c r="U4" s="6" t="s">
        <v>105</v>
      </c>
      <c r="V4" s="6" t="s">
        <v>106</v>
      </c>
      <c r="W4" s="6" t="s">
        <v>107</v>
      </c>
      <c r="X4" s="6" t="s">
        <v>108</v>
      </c>
    </row>
    <row r="5" customFormat="false" ht="15" hidden="false" customHeight="false" outlineLevel="0" collapsed="false">
      <c r="A5" s="5" t="s">
        <v>109</v>
      </c>
      <c r="B5" s="20" t="n">
        <f aca="false">IFERROR(__xludf.DUMMYFUNCTION("IMPORTRANGE(Links!$B$4,""parametros_recargas!E55:P72"")"),0.119877958433184)</f>
        <v>0.119877958433184</v>
      </c>
      <c r="C5" s="20" t="n">
        <f aca="false">IFERROR(__xludf.DUMMYFUNCTION("""COMPUTED_VALUE"""),0.0954780457654631)</f>
        <v>0.0954780457654631</v>
      </c>
      <c r="D5" s="20" t="n">
        <f aca="false">IFERROR(__xludf.DUMMYFUNCTION("""COMPUTED_VALUE"""),0.0711264175844748)</f>
        <v>0.0711264175844748</v>
      </c>
      <c r="E5" s="20" t="n">
        <f aca="false">IFERROR(__xludf.DUMMYFUNCTION("""COMPUTED_VALUE"""),0.0711264175844748)</f>
        <v>0.0711264175844748</v>
      </c>
      <c r="F5" s="20" t="n">
        <f aca="false">IFERROR(__xludf.DUMMYFUNCTION("""COMPUTED_VALUE"""),0.0711747020712071)</f>
        <v>0.0711747020712071</v>
      </c>
      <c r="G5" s="20" t="n">
        <f aca="false">IFERROR(__xludf.DUMMYFUNCTION("""COMPUTED_VALUE"""),0.0711747020712071)</f>
        <v>0.0711747020712071</v>
      </c>
      <c r="H5" s="20" t="n">
        <f aca="false">IFERROR(__xludf.DUMMYFUNCTION("""COMPUTED_VALUE"""),0.0710911890912281)</f>
        <v>0.0710911890912281</v>
      </c>
      <c r="I5" s="20" t="n">
        <f aca="false">IFERROR(__xludf.DUMMYFUNCTION("""COMPUTED_VALUE"""),0.0711747020712071)</f>
        <v>0.0711747020712071</v>
      </c>
      <c r="J5" s="20" t="n">
        <f aca="false">IFERROR(__xludf.DUMMYFUNCTION("""COMPUTED_VALUE"""),0.0711681740744643)</f>
        <v>0.0711681740744643</v>
      </c>
      <c r="K5" s="20" t="n">
        <f aca="false">IFERROR(__xludf.DUMMYFUNCTION("""COMPUTED_VALUE"""),0.0711681740744643)</f>
        <v>0.0711681740744643</v>
      </c>
      <c r="L5" s="20" t="n">
        <f aca="false">IFERROR(__xludf.DUMMYFUNCTION("""COMPUTED_VALUE"""),0.0955198022554526)</f>
        <v>0.0955198022554526</v>
      </c>
      <c r="M5" s="20" t="n">
        <f aca="false">IFERROR(__xludf.DUMMYFUNCTION("""COMPUTED_VALUE"""),0.119919714923173)</f>
        <v>0.119919714923173</v>
      </c>
      <c r="N5" s="21" t="n">
        <f aca="false">IFERROR(__xludf.DUMMYFUNCTION("IMPORTRANGE(Links!$B$4,""datos_base!K2:K18"")"),108842.626397553)</f>
        <v>108842.626397553</v>
      </c>
      <c r="O5" s="22" t="n">
        <f aca="false">IFERROR(__xludf.DUMMYFUNCTION("IMPORTRANGE(Links!$B$4,""sobrestock_sustitutos!B30:B46"")"),0)</f>
        <v>0</v>
      </c>
      <c r="P5" s="21" t="n">
        <f aca="false">IFERROR(__xludf.DUMMYFUNCTION("IMPORTRANGE(Links!$B$4,""sobrestock_sustitutos!K51:K67"")"),0)</f>
        <v>0</v>
      </c>
      <c r="Q5" s="21" t="n">
        <f aca="false">IFERROR(__xludf.DUMMYFUNCTION("IMPORTRANGE(Links!$B$4,""PROY_Indexado!B57:H73"")"),2251135)</f>
        <v>2251135</v>
      </c>
      <c r="R5" s="21" t="n">
        <f aca="false">IFERROR(__xludf.DUMMYFUNCTION("""COMPUTED_VALUE"""),0)</f>
        <v>0</v>
      </c>
      <c r="S5" s="21" t="n">
        <f aca="false">IFERROR(__xludf.DUMMYFUNCTION("""COMPUTED_VALUE"""),0)</f>
        <v>0</v>
      </c>
      <c r="T5" s="21" t="n">
        <f aca="false">IFERROR(__xludf.DUMMYFUNCTION("""COMPUTED_VALUE"""),3578.5)</f>
        <v>3578.5</v>
      </c>
      <c r="U5" s="21" t="n">
        <f aca="false">IFERROR(__xludf.DUMMYFUNCTION("""COMPUTED_VALUE"""),0)</f>
        <v>0</v>
      </c>
      <c r="V5" s="21" t="n">
        <f aca="false">IFERROR(__xludf.DUMMYFUNCTION("""COMPUTED_VALUE"""),0)</f>
        <v>0</v>
      </c>
      <c r="W5" s="21" t="n">
        <f aca="false">IFERROR(__xludf.DUMMYFUNCTION("""COMPUTED_VALUE"""),530)</f>
        <v>530</v>
      </c>
      <c r="X5" s="7" t="n">
        <f aca="false">SUM(Q5:W5)</f>
        <v>2255243.5</v>
      </c>
    </row>
    <row r="6" customFormat="false" ht="15" hidden="false" customHeight="false" outlineLevel="0" collapsed="false">
      <c r="A6" s="5" t="s">
        <v>110</v>
      </c>
      <c r="B6" s="20" t="n">
        <f aca="false">IFERROR(__xludf.DUMMYFUNCTION("""COMPUTED_VALUE"""),0.0599939658092665)</f>
        <v>0.0599939658092665</v>
      </c>
      <c r="C6" s="20" t="n">
        <f aca="false">IFERROR(__xludf.DUMMYFUNCTION("""COMPUTED_VALUE"""),0.0599939658092665)</f>
        <v>0.0599939658092665</v>
      </c>
      <c r="D6" s="20" t="n">
        <f aca="false">IFERROR(__xludf.DUMMYFUNCTION("""COMPUTED_VALUE"""),0.0823418371052526)</f>
        <v>0.0823418371052526</v>
      </c>
      <c r="E6" s="20" t="n">
        <f aca="false">IFERROR(__xludf.DUMMYFUNCTION("""COMPUTED_VALUE"""),0.0958991878073455)</f>
        <v>0.0958991878073455</v>
      </c>
      <c r="F6" s="20" t="n">
        <f aca="false">IFERROR(__xludf.DUMMYFUNCTION("""COMPUTED_VALUE"""),0.10379748734495)</f>
        <v>0.10379748734495</v>
      </c>
      <c r="G6" s="20" t="n">
        <f aca="false">IFERROR(__xludf.DUMMYFUNCTION("""COMPUTED_VALUE"""),0.102624553445736)</f>
        <v>0.102624553445736</v>
      </c>
      <c r="H6" s="20" t="n">
        <f aca="false">IFERROR(__xludf.DUMMYFUNCTION("""COMPUTED_VALUE"""),0.0742053590647476)</f>
        <v>0.0742053590647476</v>
      </c>
      <c r="I6" s="20" t="n">
        <f aca="false">IFERROR(__xludf.DUMMYFUNCTION("""COMPUTED_VALUE"""),0.0870020477881409)</f>
        <v>0.0870020477881409</v>
      </c>
      <c r="J6" s="20" t="n">
        <f aca="false">IFERROR(__xludf.DUMMYFUNCTION("""COMPUTED_VALUE"""),0.0871913152503224)</f>
        <v>0.0871913152503224</v>
      </c>
      <c r="K6" s="20" t="n">
        <f aca="false">IFERROR(__xludf.DUMMYFUNCTION("""COMPUTED_VALUE"""),0.0871913152503224)</f>
        <v>0.0871913152503224</v>
      </c>
      <c r="L6" s="20" t="n">
        <f aca="false">IFERROR(__xludf.DUMMYFUNCTION("""COMPUTED_VALUE"""),0.0792930157127176)</f>
        <v>0.0792930157127176</v>
      </c>
      <c r="M6" s="20" t="n">
        <f aca="false">IFERROR(__xludf.DUMMYFUNCTION("""COMPUTED_VALUE"""),0.0804659496119317)</f>
        <v>0.0804659496119317</v>
      </c>
      <c r="N6" s="21" t="n">
        <f aca="false">IFERROR(__xludf.DUMMYFUNCTION("""COMPUTED_VALUE"""),9216.54014430766)</f>
        <v>9216.54014430766</v>
      </c>
      <c r="O6" s="22" t="n">
        <f aca="false">IFERROR(__xludf.DUMMYFUNCTION("""COMPUTED_VALUE"""),1)</f>
        <v>1</v>
      </c>
      <c r="P6" s="21" t="n">
        <f aca="false">IFERROR(__xludf.DUMMYFUNCTION("""COMPUTED_VALUE"""),146)</f>
        <v>146</v>
      </c>
      <c r="Q6" s="21" t="n">
        <f aca="false">IFERROR(__xludf.DUMMYFUNCTION("""COMPUTED_VALUE"""),0)</f>
        <v>0</v>
      </c>
      <c r="R6" s="21" t="n">
        <f aca="false">IFERROR(__xludf.DUMMYFUNCTION("""COMPUTED_VALUE"""),100435.9)</f>
        <v>100435.9</v>
      </c>
      <c r="S6" s="21" t="n">
        <f aca="false">IFERROR(__xludf.DUMMYFUNCTION("""COMPUTED_VALUE"""),14173.8)</f>
        <v>14173.8</v>
      </c>
      <c r="T6" s="21" t="n">
        <f aca="false">IFERROR(__xludf.DUMMYFUNCTION("""COMPUTED_VALUE"""),45655.1)</f>
        <v>45655.1</v>
      </c>
      <c r="U6" s="21" t="n">
        <f aca="false">IFERROR(__xludf.DUMMYFUNCTION("""COMPUTED_VALUE"""),0)</f>
        <v>0</v>
      </c>
      <c r="V6" s="21" t="n">
        <f aca="false">IFERROR(__xludf.DUMMYFUNCTION("""COMPUTED_VALUE"""),7336.9)</f>
        <v>7336.9</v>
      </c>
      <c r="W6" s="21" t="n">
        <f aca="false">IFERROR(__xludf.DUMMYFUNCTION("""COMPUTED_VALUE"""),6153)</f>
        <v>6153</v>
      </c>
      <c r="X6" s="7" t="n">
        <f aca="false">SUM(Q6:W6)</f>
        <v>173754.7</v>
      </c>
    </row>
    <row r="7" customFormat="false" ht="15" hidden="false" customHeight="false" outlineLevel="0" collapsed="false">
      <c r="A7" s="5" t="s">
        <v>111</v>
      </c>
      <c r="B7" s="20" t="n">
        <f aca="false">IFERROR(__xludf.DUMMYFUNCTION("""COMPUTED_VALUE"""),0.0667556231939292)</f>
        <v>0.0667556231939292</v>
      </c>
      <c r="C7" s="20" t="n">
        <f aca="false">IFERROR(__xludf.DUMMYFUNCTION("""COMPUTED_VALUE"""),0.0651024266252983)</f>
        <v>0.0651024266252983</v>
      </c>
      <c r="D7" s="20" t="n">
        <f aca="false">IFERROR(__xludf.DUMMYFUNCTION("""COMPUTED_VALUE"""),0.0817858344236914)</f>
        <v>0.0817858344236914</v>
      </c>
      <c r="E7" s="20" t="n">
        <f aca="false">IFERROR(__xludf.DUMMYFUNCTION("""COMPUTED_VALUE"""),0.0997196200427302)</f>
        <v>0.0997196200427302</v>
      </c>
      <c r="F7" s="20" t="n">
        <f aca="false">IFERROR(__xludf.DUMMYFUNCTION("""COMPUTED_VALUE"""),0.100089910575874)</f>
        <v>0.100089910575874</v>
      </c>
      <c r="G7" s="20" t="n">
        <f aca="false">IFERROR(__xludf.DUMMYFUNCTION("""COMPUTED_VALUE"""),0.0988243995547109)</f>
        <v>0.0988243995547109</v>
      </c>
      <c r="H7" s="20" t="n">
        <f aca="false">IFERROR(__xludf.DUMMYFUNCTION("""COMPUTED_VALUE"""),0.0797892781627565)</f>
        <v>0.0797892781627565</v>
      </c>
      <c r="I7" s="20" t="n">
        <f aca="false">IFERROR(__xludf.DUMMYFUNCTION("""COMPUTED_VALUE"""),0.0795925746996675)</f>
        <v>0.0795925746996675</v>
      </c>
      <c r="J7" s="20" t="n">
        <f aca="false">IFERROR(__xludf.DUMMYFUNCTION("""COMPUTED_VALUE"""),0.0807139532651435)</f>
        <v>0.0807139532651435</v>
      </c>
      <c r="K7" s="20" t="n">
        <f aca="false">IFERROR(__xludf.DUMMYFUNCTION("""COMPUTED_VALUE"""),0.0807139532651435)</f>
        <v>0.0807139532651435</v>
      </c>
      <c r="L7" s="20" t="n">
        <f aca="false">IFERROR(__xludf.DUMMYFUNCTION("""COMPUTED_VALUE"""),0.0819968593006307)</f>
        <v>0.0819968593006307</v>
      </c>
      <c r="M7" s="20" t="n">
        <f aca="false">IFERROR(__xludf.DUMMYFUNCTION("""COMPUTED_VALUE"""),0.0849155668904246)</f>
        <v>0.0849155668904246</v>
      </c>
      <c r="N7" s="21" t="n">
        <f aca="false">IFERROR(__xludf.DUMMYFUNCTION("""COMPUTED_VALUE"""),56059.2707104735)</f>
        <v>56059.2707104735</v>
      </c>
      <c r="O7" s="22" t="n">
        <f aca="false">IFERROR(__xludf.DUMMYFUNCTION("""COMPUTED_VALUE"""),1)</f>
        <v>1</v>
      </c>
      <c r="P7" s="21" t="n">
        <f aca="false">IFERROR(__xludf.DUMMYFUNCTION("""COMPUTED_VALUE"""),855)</f>
        <v>855</v>
      </c>
      <c r="Q7" s="21" t="n">
        <f aca="false">IFERROR(__xludf.DUMMYFUNCTION("""COMPUTED_VALUE"""),69628)</f>
        <v>69628</v>
      </c>
      <c r="R7" s="21" t="n">
        <f aca="false">IFERROR(__xludf.DUMMYFUNCTION("""COMPUTED_VALUE"""),732591.4)</f>
        <v>732591.4</v>
      </c>
      <c r="S7" s="21" t="n">
        <f aca="false">IFERROR(__xludf.DUMMYFUNCTION("""COMPUTED_VALUE"""),52786.7)</f>
        <v>52786.7</v>
      </c>
      <c r="T7" s="21" t="n">
        <f aca="false">IFERROR(__xludf.DUMMYFUNCTION("""COMPUTED_VALUE"""),8847.8)</f>
        <v>8847.8</v>
      </c>
      <c r="U7" s="21" t="n">
        <f aca="false">IFERROR(__xludf.DUMMYFUNCTION("""COMPUTED_VALUE"""),113431.7)</f>
        <v>113431.7</v>
      </c>
      <c r="V7" s="21" t="n">
        <f aca="false">IFERROR(__xludf.DUMMYFUNCTION("""COMPUTED_VALUE"""),46903.8)</f>
        <v>46903.8</v>
      </c>
      <c r="W7" s="21" t="n">
        <f aca="false">IFERROR(__xludf.DUMMYFUNCTION("""COMPUTED_VALUE"""),5342)</f>
        <v>5342</v>
      </c>
      <c r="X7" s="7" t="n">
        <f aca="false">SUM(Q7:W7)</f>
        <v>1029531.4</v>
      </c>
    </row>
    <row r="8" customFormat="false" ht="15" hidden="false" customHeight="false" outlineLevel="0" collapsed="false">
      <c r="A8" s="5" t="s">
        <v>112</v>
      </c>
      <c r="B8" s="20" t="n">
        <f aca="false">IFERROR(__xludf.DUMMYFUNCTION("""COMPUTED_VALUE"""),0.064612341974598)</f>
        <v>0.064612341974598</v>
      </c>
      <c r="C8" s="20" t="n">
        <f aca="false">IFERROR(__xludf.DUMMYFUNCTION("""COMPUTED_VALUE"""),0.064612341974598)</f>
        <v>0.064612341974598</v>
      </c>
      <c r="D8" s="20" t="n">
        <f aca="false">IFERROR(__xludf.DUMMYFUNCTION("""COMPUTED_VALUE"""),0.0831857089056497)</f>
        <v>0.0831857089056497</v>
      </c>
      <c r="E8" s="20" t="n">
        <f aca="false">IFERROR(__xludf.DUMMYFUNCTION("""COMPUTED_VALUE"""),0.101329540689849)</f>
        <v>0.101329540689849</v>
      </c>
      <c r="F8" s="20" t="n">
        <f aca="false">IFERROR(__xludf.DUMMYFUNCTION("""COMPUTED_VALUE"""),0.10227719847342)</f>
        <v>0.10227719847342</v>
      </c>
      <c r="G8" s="20" t="n">
        <f aca="false">IFERROR(__xludf.DUMMYFUNCTION("""COMPUTED_VALUE"""),0.0993233886074831)</f>
        <v>0.0993233886074831</v>
      </c>
      <c r="H8" s="20" t="n">
        <f aca="false">IFERROR(__xludf.DUMMYFUNCTION("""COMPUTED_VALUE"""),0.078066397641533)</f>
        <v>0.078066397641533</v>
      </c>
      <c r="I8" s="20" t="n">
        <f aca="false">IFERROR(__xludf.DUMMYFUNCTION("""COMPUTED_VALUE"""),0.078743869594065)</f>
        <v>0.078743869594065</v>
      </c>
      <c r="J8" s="20" t="n">
        <f aca="false">IFERROR(__xludf.DUMMYFUNCTION("""COMPUTED_VALUE"""),0.081697679460002)</f>
        <v>0.081697679460002</v>
      </c>
      <c r="K8" s="20" t="n">
        <f aca="false">IFERROR(__xludf.DUMMYFUNCTION("""COMPUTED_VALUE"""),0.081697679460002)</f>
        <v>0.081697679460002</v>
      </c>
      <c r="L8" s="20" t="n">
        <f aca="false">IFERROR(__xludf.DUMMYFUNCTION("""COMPUTED_VALUE"""),0.0807500216764314)</f>
        <v>0.0807500216764314</v>
      </c>
      <c r="M8" s="20" t="n">
        <f aca="false">IFERROR(__xludf.DUMMYFUNCTION("""COMPUTED_VALUE"""),0.0837038315423683)</f>
        <v>0.0837038315423683</v>
      </c>
      <c r="N8" s="21" t="n">
        <f aca="false">IFERROR(__xludf.DUMMYFUNCTION("""COMPUTED_VALUE"""),3319.32790518283)</f>
        <v>3319.32790518283</v>
      </c>
      <c r="O8" s="22" t="n">
        <f aca="false">IFERROR(__xludf.DUMMYFUNCTION("""COMPUTED_VALUE"""),1)</f>
        <v>1</v>
      </c>
      <c r="P8" s="21" t="n">
        <f aca="false">IFERROR(__xludf.DUMMYFUNCTION("""COMPUTED_VALUE"""),53)</f>
        <v>53</v>
      </c>
      <c r="Q8" s="21" t="n">
        <f aca="false">IFERROR(__xludf.DUMMYFUNCTION("""COMPUTED_VALUE"""),0)</f>
        <v>0</v>
      </c>
      <c r="R8" s="21" t="n">
        <f aca="false">IFERROR(__xludf.DUMMYFUNCTION("""COMPUTED_VALUE"""),44900.8)</f>
        <v>44900.8</v>
      </c>
      <c r="S8" s="21" t="n">
        <f aca="false">IFERROR(__xludf.DUMMYFUNCTION("""COMPUTED_VALUE"""),5673.3)</f>
        <v>5673.3</v>
      </c>
      <c r="T8" s="21" t="n">
        <f aca="false">IFERROR(__xludf.DUMMYFUNCTION("""COMPUTED_VALUE"""),2123.5)</f>
        <v>2123.5</v>
      </c>
      <c r="U8" s="21" t="n">
        <f aca="false">IFERROR(__xludf.DUMMYFUNCTION("""COMPUTED_VALUE"""),0)</f>
        <v>0</v>
      </c>
      <c r="V8" s="21" t="n">
        <f aca="false">IFERROR(__xludf.DUMMYFUNCTION("""COMPUTED_VALUE"""),6270.5)</f>
        <v>6270.5</v>
      </c>
      <c r="W8" s="21" t="n">
        <f aca="false">IFERROR(__xludf.DUMMYFUNCTION("""COMPUTED_VALUE"""),0)</f>
        <v>0</v>
      </c>
      <c r="X8" s="7" t="n">
        <f aca="false">SUM(Q8:W8)</f>
        <v>58968.1</v>
      </c>
    </row>
    <row r="9" customFormat="false" ht="15" hidden="false" customHeight="false" outlineLevel="0" collapsed="false">
      <c r="A9" s="5" t="s">
        <v>113</v>
      </c>
      <c r="B9" s="20" t="n">
        <f aca="false">IFERROR(__xludf.DUMMYFUNCTION("""COMPUTED_VALUE"""),0.0670768247329043)</f>
        <v>0.0670768247329043</v>
      </c>
      <c r="C9" s="20" t="n">
        <f aca="false">IFERROR(__xludf.DUMMYFUNCTION("""COMPUTED_VALUE"""),0.0670768247329043)</f>
        <v>0.0670768247329043</v>
      </c>
      <c r="D9" s="20" t="n">
        <f aca="false">IFERROR(__xludf.DUMMYFUNCTION("""COMPUTED_VALUE"""),0.0827868661277296)</f>
        <v>0.0827868661277296</v>
      </c>
      <c r="E9" s="20" t="n">
        <f aca="false">IFERROR(__xludf.DUMMYFUNCTION("""COMPUTED_VALUE"""),0.0993493196011858)</f>
        <v>0.0993493196011858</v>
      </c>
      <c r="F9" s="20" t="n">
        <f aca="false">IFERROR(__xludf.DUMMYFUNCTION("""COMPUTED_VALUE"""),0.0999705290370024)</f>
        <v>0.0999705290370024</v>
      </c>
      <c r="G9" s="20" t="n">
        <f aca="false">IFERROR(__xludf.DUMMYFUNCTION("""COMPUTED_VALUE"""),0.0970461916480882)</f>
        <v>0.0970461916480882</v>
      </c>
      <c r="H9" s="20" t="n">
        <f aca="false">IFERROR(__xludf.DUMMYFUNCTION("""COMPUTED_VALUE"""),0.0788828581851096)</f>
        <v>0.0788828581851096</v>
      </c>
      <c r="I9" s="20" t="n">
        <f aca="false">IFERROR(__xludf.DUMMYFUNCTION("""COMPUTED_VALUE"""),0.0790330223001652)</f>
        <v>0.0790330223001652</v>
      </c>
      <c r="J9" s="20" t="n">
        <f aca="false">IFERROR(__xludf.DUMMYFUNCTION("""COMPUTED_VALUE"""),0.0817739112794073)</f>
        <v>0.0817739112794073</v>
      </c>
      <c r="K9" s="20" t="n">
        <f aca="false">IFERROR(__xludf.DUMMYFUNCTION("""COMPUTED_VALUE"""),0.0817739112794073)</f>
        <v>0.0817739112794073</v>
      </c>
      <c r="L9" s="20" t="n">
        <f aca="false">IFERROR(__xludf.DUMMYFUNCTION("""COMPUTED_VALUE"""),0.0811527018435908)</f>
        <v>0.0811527018435908</v>
      </c>
      <c r="M9" s="20" t="n">
        <f aca="false">IFERROR(__xludf.DUMMYFUNCTION("""COMPUTED_VALUE"""),0.084077039232505)</f>
        <v>0.084077039232505</v>
      </c>
      <c r="N9" s="21" t="n">
        <f aca="false">IFERROR(__xludf.DUMMYFUNCTION("""COMPUTED_VALUE"""),4686.14321768856)</f>
        <v>4686.14321768856</v>
      </c>
      <c r="O9" s="22" t="n">
        <f aca="false">IFERROR(__xludf.DUMMYFUNCTION("""COMPUTED_VALUE"""),1)</f>
        <v>1</v>
      </c>
      <c r="P9" s="21" t="n">
        <f aca="false">IFERROR(__xludf.DUMMYFUNCTION("""COMPUTED_VALUE"""),73)</f>
        <v>73</v>
      </c>
      <c r="Q9" s="21" t="n">
        <f aca="false">IFERROR(__xludf.DUMMYFUNCTION("""COMPUTED_VALUE"""),0)</f>
        <v>0</v>
      </c>
      <c r="R9" s="21" t="n">
        <f aca="false">IFERROR(__xludf.DUMMYFUNCTION("""COMPUTED_VALUE"""),56716.8)</f>
        <v>56716.8</v>
      </c>
      <c r="S9" s="21" t="n">
        <f aca="false">IFERROR(__xludf.DUMMYFUNCTION("""COMPUTED_VALUE"""),4876.4)</f>
        <v>4876.4</v>
      </c>
      <c r="T9" s="21" t="n">
        <f aca="false">IFERROR(__xludf.DUMMYFUNCTION("""COMPUTED_VALUE"""),1415.6)</f>
        <v>1415.6</v>
      </c>
      <c r="U9" s="21" t="n">
        <f aca="false">IFERROR(__xludf.DUMMYFUNCTION("""COMPUTED_VALUE"""),12568.5)</f>
        <v>12568.5</v>
      </c>
      <c r="V9" s="21" t="n">
        <f aca="false">IFERROR(__xludf.DUMMYFUNCTION("""COMPUTED_VALUE"""),8958.8)</f>
        <v>8958.8</v>
      </c>
      <c r="W9" s="21" t="n">
        <f aca="false">IFERROR(__xludf.DUMMYFUNCTION("""COMPUTED_VALUE"""),562)</f>
        <v>562</v>
      </c>
      <c r="X9" s="7" t="n">
        <f aca="false">SUM(Q9:W9)</f>
        <v>85098.1</v>
      </c>
    </row>
    <row r="10" customFormat="false" ht="15" hidden="false" customHeight="false" outlineLevel="0" collapsed="false">
      <c r="A10" s="5" t="s">
        <v>114</v>
      </c>
      <c r="B10" s="20" t="n">
        <f aca="false">IFERROR(__xludf.DUMMYFUNCTION("""COMPUTED_VALUE"""),0.0833333333333333)</f>
        <v>0.0833333333333333</v>
      </c>
      <c r="C10" s="20" t="n">
        <f aca="false">IFERROR(__xludf.DUMMYFUNCTION("""COMPUTED_VALUE"""),0.0833333333333333)</f>
        <v>0.0833333333333333</v>
      </c>
      <c r="D10" s="20" t="n">
        <f aca="false">IFERROR(__xludf.DUMMYFUNCTION("""COMPUTED_VALUE"""),0.0833333333333333)</f>
        <v>0.0833333333333333</v>
      </c>
      <c r="E10" s="20" t="n">
        <f aca="false">IFERROR(__xludf.DUMMYFUNCTION("""COMPUTED_VALUE"""),0.0833333333333333)</f>
        <v>0.0833333333333333</v>
      </c>
      <c r="F10" s="20" t="n">
        <f aca="false">IFERROR(__xludf.DUMMYFUNCTION("""COMPUTED_VALUE"""),0.0833333333333333)</f>
        <v>0.0833333333333333</v>
      </c>
      <c r="G10" s="20" t="n">
        <f aca="false">IFERROR(__xludf.DUMMYFUNCTION("""COMPUTED_VALUE"""),0.0833333333333333)</f>
        <v>0.0833333333333333</v>
      </c>
      <c r="H10" s="20" t="n">
        <f aca="false">IFERROR(__xludf.DUMMYFUNCTION("""COMPUTED_VALUE"""),0.0833333333333333)</f>
        <v>0.0833333333333333</v>
      </c>
      <c r="I10" s="20" t="n">
        <f aca="false">IFERROR(__xludf.DUMMYFUNCTION("""COMPUTED_VALUE"""),0.0833333333333333)</f>
        <v>0.0833333333333333</v>
      </c>
      <c r="J10" s="20" t="n">
        <f aca="false">IFERROR(__xludf.DUMMYFUNCTION("""COMPUTED_VALUE"""),0.0833333333333333)</f>
        <v>0.0833333333333333</v>
      </c>
      <c r="K10" s="20" t="n">
        <f aca="false">IFERROR(__xludf.DUMMYFUNCTION("""COMPUTED_VALUE"""),0.0833333333333333)</f>
        <v>0.0833333333333333</v>
      </c>
      <c r="L10" s="20" t="n">
        <f aca="false">IFERROR(__xludf.DUMMYFUNCTION("""COMPUTED_VALUE"""),0.0833333333333333)</f>
        <v>0.0833333333333333</v>
      </c>
      <c r="M10" s="20" t="n">
        <f aca="false">IFERROR(__xludf.DUMMYFUNCTION("""COMPUTED_VALUE"""),0.0833333333333333)</f>
        <v>0.0833333333333333</v>
      </c>
      <c r="N10" s="21" t="n">
        <f aca="false">IFERROR(__xludf.DUMMYFUNCTION("""COMPUTED_VALUE"""),889.694438407785)</f>
        <v>889.694438407785</v>
      </c>
      <c r="O10" s="22" t="n">
        <f aca="false">IFERROR(__xludf.DUMMYFUNCTION("""COMPUTED_VALUE"""),1)</f>
        <v>1</v>
      </c>
      <c r="P10" s="21" t="n">
        <f aca="false">IFERROR(__xludf.DUMMYFUNCTION("""COMPUTED_VALUE"""),12)</f>
        <v>12</v>
      </c>
      <c r="Q10" s="21" t="n">
        <f aca="false">IFERROR(__xludf.DUMMYFUNCTION("""COMPUTED_VALUE"""),0)</f>
        <v>0</v>
      </c>
      <c r="R10" s="21" t="n">
        <f aca="false">IFERROR(__xludf.DUMMYFUNCTION("""COMPUTED_VALUE"""),0)</f>
        <v>0</v>
      </c>
      <c r="S10" s="21" t="n">
        <f aca="false">IFERROR(__xludf.DUMMYFUNCTION("""COMPUTED_VALUE"""),0)</f>
        <v>0</v>
      </c>
      <c r="T10" s="21" t="n">
        <f aca="false">IFERROR(__xludf.DUMMYFUNCTION("""COMPUTED_VALUE"""),0)</f>
        <v>0</v>
      </c>
      <c r="U10" s="21" t="n">
        <f aca="false">IFERROR(__xludf.DUMMYFUNCTION("""COMPUTED_VALUE"""),15671.5)</f>
        <v>15671.5</v>
      </c>
      <c r="V10" s="21" t="n">
        <f aca="false">IFERROR(__xludf.DUMMYFUNCTION("""COMPUTED_VALUE"""),0)</f>
        <v>0</v>
      </c>
      <c r="W10" s="21" t="n">
        <f aca="false">IFERROR(__xludf.DUMMYFUNCTION("""COMPUTED_VALUE"""),0)</f>
        <v>0</v>
      </c>
      <c r="X10" s="7" t="n">
        <f aca="false">SUM(Q10:W10)</f>
        <v>15671.5</v>
      </c>
    </row>
    <row r="11" customFormat="false" ht="15" hidden="false" customHeight="false" outlineLevel="0" collapsed="false">
      <c r="A11" s="5" t="s">
        <v>115</v>
      </c>
      <c r="B11" s="20" t="n">
        <f aca="false">IFERROR(__xludf.DUMMYFUNCTION("""COMPUTED_VALUE"""),0.0833333333333333)</f>
        <v>0.0833333333333333</v>
      </c>
      <c r="C11" s="20" t="n">
        <f aca="false">IFERROR(__xludf.DUMMYFUNCTION("""COMPUTED_VALUE"""),0.0833333333333333)</f>
        <v>0.0833333333333333</v>
      </c>
      <c r="D11" s="20" t="n">
        <f aca="false">IFERROR(__xludf.DUMMYFUNCTION("""COMPUTED_VALUE"""),0.0833333333333333)</f>
        <v>0.0833333333333333</v>
      </c>
      <c r="E11" s="20" t="n">
        <f aca="false">IFERROR(__xludf.DUMMYFUNCTION("""COMPUTED_VALUE"""),0.0833333333333333)</f>
        <v>0.0833333333333333</v>
      </c>
      <c r="F11" s="20" t="n">
        <f aca="false">IFERROR(__xludf.DUMMYFUNCTION("""COMPUTED_VALUE"""),0.0833333333333333)</f>
        <v>0.0833333333333333</v>
      </c>
      <c r="G11" s="20" t="n">
        <f aca="false">IFERROR(__xludf.DUMMYFUNCTION("""COMPUTED_VALUE"""),0.0833333333333333)</f>
        <v>0.0833333333333333</v>
      </c>
      <c r="H11" s="20" t="n">
        <f aca="false">IFERROR(__xludf.DUMMYFUNCTION("""COMPUTED_VALUE"""),0.0833333333333333)</f>
        <v>0.0833333333333333</v>
      </c>
      <c r="I11" s="20" t="n">
        <f aca="false">IFERROR(__xludf.DUMMYFUNCTION("""COMPUTED_VALUE"""),0.0833333333333333)</f>
        <v>0.0833333333333333</v>
      </c>
      <c r="J11" s="20" t="n">
        <f aca="false">IFERROR(__xludf.DUMMYFUNCTION("""COMPUTED_VALUE"""),0.0833333333333333)</f>
        <v>0.0833333333333333</v>
      </c>
      <c r="K11" s="20" t="n">
        <f aca="false">IFERROR(__xludf.DUMMYFUNCTION("""COMPUTED_VALUE"""),0.0833333333333333)</f>
        <v>0.0833333333333333</v>
      </c>
      <c r="L11" s="20" t="n">
        <f aca="false">IFERROR(__xludf.DUMMYFUNCTION("""COMPUTED_VALUE"""),0.0833333333333333)</f>
        <v>0.0833333333333333</v>
      </c>
      <c r="M11" s="20" t="n">
        <f aca="false">IFERROR(__xludf.DUMMYFUNCTION("""COMPUTED_VALUE"""),0.0833333333333333)</f>
        <v>0.0833333333333333</v>
      </c>
      <c r="N11" s="21" t="n">
        <f aca="false">IFERROR(__xludf.DUMMYFUNCTION("""COMPUTED_VALUE"""),463.773030017405)</f>
        <v>463.773030017405</v>
      </c>
      <c r="O11" s="22" t="n">
        <f aca="false">IFERROR(__xludf.DUMMYFUNCTION("""COMPUTED_VALUE"""),1)</f>
        <v>1</v>
      </c>
      <c r="P11" s="21" t="n">
        <f aca="false">IFERROR(__xludf.DUMMYFUNCTION("""COMPUTED_VALUE"""),6)</f>
        <v>6</v>
      </c>
      <c r="Q11" s="21" t="n">
        <f aca="false">IFERROR(__xludf.DUMMYFUNCTION("""COMPUTED_VALUE"""),0)</f>
        <v>0</v>
      </c>
      <c r="R11" s="21" t="n">
        <f aca="false">IFERROR(__xludf.DUMMYFUNCTION("""COMPUTED_VALUE"""),0)</f>
        <v>0</v>
      </c>
      <c r="S11" s="21" t="n">
        <f aca="false">IFERROR(__xludf.DUMMYFUNCTION("""COMPUTED_VALUE"""),0)</f>
        <v>0</v>
      </c>
      <c r="T11" s="21" t="n">
        <f aca="false">IFERROR(__xludf.DUMMYFUNCTION("""COMPUTED_VALUE"""),0)</f>
        <v>0</v>
      </c>
      <c r="U11" s="21" t="n">
        <f aca="false">IFERROR(__xludf.DUMMYFUNCTION("""COMPUTED_VALUE"""),9151.4)</f>
        <v>9151.4</v>
      </c>
      <c r="V11" s="21" t="n">
        <f aca="false">IFERROR(__xludf.DUMMYFUNCTION("""COMPUTED_VALUE"""),0)</f>
        <v>0</v>
      </c>
      <c r="W11" s="21" t="n">
        <f aca="false">IFERROR(__xludf.DUMMYFUNCTION("""COMPUTED_VALUE"""),0)</f>
        <v>0</v>
      </c>
      <c r="X11" s="7" t="n">
        <f aca="false">SUM(Q11:W11)</f>
        <v>9151.4</v>
      </c>
    </row>
    <row r="12" customFormat="false" ht="15" hidden="false" customHeight="false" outlineLevel="0" collapsed="false">
      <c r="A12" s="5" t="s">
        <v>116</v>
      </c>
      <c r="B12" s="20" t="n">
        <f aca="false">IFERROR(__xludf.DUMMYFUNCTION("""COMPUTED_VALUE"""),0.0833333333333333)</f>
        <v>0.0833333333333333</v>
      </c>
      <c r="C12" s="20" t="n">
        <f aca="false">IFERROR(__xludf.DUMMYFUNCTION("""COMPUTED_VALUE"""),0.0833333333333333)</f>
        <v>0.0833333333333333</v>
      </c>
      <c r="D12" s="20" t="n">
        <f aca="false">IFERROR(__xludf.DUMMYFUNCTION("""COMPUTED_VALUE"""),0.0833333333333333)</f>
        <v>0.0833333333333333</v>
      </c>
      <c r="E12" s="20" t="n">
        <f aca="false">IFERROR(__xludf.DUMMYFUNCTION("""COMPUTED_VALUE"""),0.0833333333333333)</f>
        <v>0.0833333333333333</v>
      </c>
      <c r="F12" s="20" t="n">
        <f aca="false">IFERROR(__xludf.DUMMYFUNCTION("""COMPUTED_VALUE"""),0.0833333333333333)</f>
        <v>0.0833333333333333</v>
      </c>
      <c r="G12" s="20" t="n">
        <f aca="false">IFERROR(__xludf.DUMMYFUNCTION("""COMPUTED_VALUE"""),0.0833333333333333)</f>
        <v>0.0833333333333333</v>
      </c>
      <c r="H12" s="20" t="n">
        <f aca="false">IFERROR(__xludf.DUMMYFUNCTION("""COMPUTED_VALUE"""),0.0833333333333333)</f>
        <v>0.0833333333333333</v>
      </c>
      <c r="I12" s="20" t="n">
        <f aca="false">IFERROR(__xludf.DUMMYFUNCTION("""COMPUTED_VALUE"""),0.0833333333333333)</f>
        <v>0.0833333333333333</v>
      </c>
      <c r="J12" s="20" t="n">
        <f aca="false">IFERROR(__xludf.DUMMYFUNCTION("""COMPUTED_VALUE"""),0.0833333333333333)</f>
        <v>0.0833333333333333</v>
      </c>
      <c r="K12" s="20" t="n">
        <f aca="false">IFERROR(__xludf.DUMMYFUNCTION("""COMPUTED_VALUE"""),0.0833333333333333)</f>
        <v>0.0833333333333333</v>
      </c>
      <c r="L12" s="20" t="n">
        <f aca="false">IFERROR(__xludf.DUMMYFUNCTION("""COMPUTED_VALUE"""),0.0833333333333333)</f>
        <v>0.0833333333333333</v>
      </c>
      <c r="M12" s="20" t="n">
        <f aca="false">IFERROR(__xludf.DUMMYFUNCTION("""COMPUTED_VALUE"""),0.0833333333333333)</f>
        <v>0.0833333333333333</v>
      </c>
      <c r="N12" s="21" t="n">
        <f aca="false">IFERROR(__xludf.DUMMYFUNCTION("""COMPUTED_VALUE"""),268.09876141114)</f>
        <v>268.09876141114</v>
      </c>
      <c r="O12" s="22" t="n">
        <f aca="false">IFERROR(__xludf.DUMMYFUNCTION("""COMPUTED_VALUE"""),1)</f>
        <v>1</v>
      </c>
      <c r="P12" s="21" t="n">
        <f aca="false">IFERROR(__xludf.DUMMYFUNCTION("""COMPUTED_VALUE"""),4)</f>
        <v>4</v>
      </c>
      <c r="Q12" s="21" t="n">
        <f aca="false">IFERROR(__xludf.DUMMYFUNCTION("""COMPUTED_VALUE"""),0)</f>
        <v>0</v>
      </c>
      <c r="R12" s="21" t="n">
        <f aca="false">IFERROR(__xludf.DUMMYFUNCTION("""COMPUTED_VALUE"""),0)</f>
        <v>0</v>
      </c>
      <c r="S12" s="21" t="n">
        <f aca="false">IFERROR(__xludf.DUMMYFUNCTION("""COMPUTED_VALUE"""),0)</f>
        <v>0</v>
      </c>
      <c r="T12" s="21" t="n">
        <f aca="false">IFERROR(__xludf.DUMMYFUNCTION("""COMPUTED_VALUE"""),0)</f>
        <v>0</v>
      </c>
      <c r="U12" s="21" t="n">
        <f aca="false">IFERROR(__xludf.DUMMYFUNCTION("""COMPUTED_VALUE"""),4634.7)</f>
        <v>4634.7</v>
      </c>
      <c r="V12" s="21" t="n">
        <f aca="false">IFERROR(__xludf.DUMMYFUNCTION("""COMPUTED_VALUE"""),0)</f>
        <v>0</v>
      </c>
      <c r="W12" s="21" t="n">
        <f aca="false">IFERROR(__xludf.DUMMYFUNCTION("""COMPUTED_VALUE"""),0)</f>
        <v>0</v>
      </c>
      <c r="X12" s="7" t="n">
        <f aca="false">SUM(Q12:W12)</f>
        <v>4634.7</v>
      </c>
    </row>
    <row r="13" customFormat="false" ht="15" hidden="false" customHeight="false" outlineLevel="0" collapsed="false">
      <c r="A13" s="5" t="s">
        <v>117</v>
      </c>
      <c r="B13" s="20" t="n">
        <f aca="false">IFERROR(__xludf.DUMMYFUNCTION("""COMPUTED_VALUE"""),0.0695355190499093)</f>
        <v>0.0695355190499093</v>
      </c>
      <c r="C13" s="20" t="n">
        <f aca="false">IFERROR(__xludf.DUMMYFUNCTION("""COMPUTED_VALUE"""),0.0695355190499093)</f>
        <v>0.0695355190499093</v>
      </c>
      <c r="D13" s="20" t="n">
        <f aca="false">IFERROR(__xludf.DUMMYFUNCTION("""COMPUTED_VALUE"""),0.0838248196490894)</f>
        <v>0.0838248196490894</v>
      </c>
      <c r="E13" s="20" t="n">
        <f aca="false">IFERROR(__xludf.DUMMYFUNCTION("""COMPUTED_VALUE"""),0.0948339806026096)</f>
        <v>0.0948339806026096</v>
      </c>
      <c r="F13" s="20" t="n">
        <f aca="false">IFERROR(__xludf.DUMMYFUNCTION("""COMPUTED_VALUE"""),0.0972184056200527)</f>
        <v>0.0972184056200527</v>
      </c>
      <c r="G13" s="20" t="n">
        <f aca="false">IFERROR(__xludf.DUMMYFUNCTION("""COMPUTED_VALUE"""),0.0952240073446056)</f>
        <v>0.0952240073446056</v>
      </c>
      <c r="H13" s="20" t="n">
        <f aca="false">IFERROR(__xludf.DUMMYFUNCTION("""COMPUTED_VALUE"""),0.0780009399043672)</f>
        <v>0.0780009399043672</v>
      </c>
      <c r="I13" s="20" t="n">
        <f aca="false">IFERROR(__xludf.DUMMYFUNCTION("""COMPUTED_VALUE"""),0.0813247334874215)</f>
        <v>0.0813247334874215</v>
      </c>
      <c r="J13" s="20" t="n">
        <f aca="false">IFERROR(__xludf.DUMMYFUNCTION("""COMPUTED_VALUE"""),0.0833191317628686)</f>
        <v>0.0833191317628686</v>
      </c>
      <c r="K13" s="20" t="n">
        <f aca="false">IFERROR(__xludf.DUMMYFUNCTION("""COMPUTED_VALUE"""),0.0833191317628686)</f>
        <v>0.0833191317628686</v>
      </c>
      <c r="L13" s="20" t="n">
        <f aca="false">IFERROR(__xludf.DUMMYFUNCTION("""COMPUTED_VALUE"""),0.0809347067454255)</f>
        <v>0.0809347067454255</v>
      </c>
      <c r="M13" s="20" t="n">
        <f aca="false">IFERROR(__xludf.DUMMYFUNCTION("""COMPUTED_VALUE"""),0.0829291050208727)</f>
        <v>0.0829291050208727</v>
      </c>
      <c r="N13" s="21" t="n">
        <f aca="false">IFERROR(__xludf.DUMMYFUNCTION("""COMPUTED_VALUE"""),2310.99407344162)</f>
        <v>2310.99407344162</v>
      </c>
      <c r="O13" s="22" t="n">
        <f aca="false">IFERROR(__xludf.DUMMYFUNCTION("""COMPUTED_VALUE"""),1)</f>
        <v>1</v>
      </c>
      <c r="P13" s="21" t="n">
        <f aca="false">IFERROR(__xludf.DUMMYFUNCTION("""COMPUTED_VALUE"""),35)</f>
        <v>35</v>
      </c>
      <c r="Q13" s="21" t="n">
        <f aca="false">IFERROR(__xludf.DUMMYFUNCTION("""COMPUTED_VALUE"""),0)</f>
        <v>0</v>
      </c>
      <c r="R13" s="21" t="n">
        <f aca="false">IFERROR(__xludf.DUMMYFUNCTION("""COMPUTED_VALUE"""),20087.2)</f>
        <v>20087.2</v>
      </c>
      <c r="S13" s="21" t="n">
        <f aca="false">IFERROR(__xludf.DUMMYFUNCTION("""COMPUTED_VALUE"""),4459)</f>
        <v>4459</v>
      </c>
      <c r="T13" s="21" t="n">
        <f aca="false">IFERROR(__xludf.DUMMYFUNCTION("""COMPUTED_VALUE"""),3539.1)</f>
        <v>3539.1</v>
      </c>
      <c r="U13" s="21" t="n">
        <f aca="false">IFERROR(__xludf.DUMMYFUNCTION("""COMPUTED_VALUE"""),8169.7)</f>
        <v>8169.7</v>
      </c>
      <c r="V13" s="21" t="n">
        <f aca="false">IFERROR(__xludf.DUMMYFUNCTION("""COMPUTED_VALUE"""),2804.4)</f>
        <v>2804.4</v>
      </c>
      <c r="W13" s="21" t="n">
        <f aca="false">IFERROR(__xludf.DUMMYFUNCTION("""COMPUTED_VALUE"""),0)</f>
        <v>0</v>
      </c>
      <c r="X13" s="7" t="n">
        <f aca="false">SUM(Q13:W13)</f>
        <v>39059.4</v>
      </c>
    </row>
    <row r="14" customFormat="false" ht="15" hidden="false" customHeight="false" outlineLevel="0" collapsed="false">
      <c r="A14" s="5" t="s">
        <v>118</v>
      </c>
      <c r="B14" s="20" t="n">
        <f aca="false">IFERROR(__xludf.DUMMYFUNCTION("""COMPUTED_VALUE"""),0.0616150736413202)</f>
        <v>0.0616150736413202</v>
      </c>
      <c r="C14" s="20" t="n">
        <f aca="false">IFERROR(__xludf.DUMMYFUNCTION("""COMPUTED_VALUE"""),0.0616150736413202)</f>
        <v>0.0616150736413202</v>
      </c>
      <c r="D14" s="20" t="n">
        <f aca="false">IFERROR(__xludf.DUMMYFUNCTION("""COMPUTED_VALUE"""),0.0829453490803136)</f>
        <v>0.0829453490803136</v>
      </c>
      <c r="E14" s="20" t="n">
        <f aca="false">IFERROR(__xludf.DUMMYFUNCTION("""COMPUTED_VALUE"""),0.103007646651263)</f>
        <v>0.103007646651263</v>
      </c>
      <c r="F14" s="20" t="n">
        <f aca="false">IFERROR(__xludf.DUMMYFUNCTION("""COMPUTED_VALUE"""),0.103425871740429)</f>
        <v>0.103425871740429</v>
      </c>
      <c r="G14" s="20" t="n">
        <f aca="false">IFERROR(__xludf.DUMMYFUNCTION("""COMPUTED_VALUE"""),0.102109899624234)</f>
        <v>0.102109899624234</v>
      </c>
      <c r="H14" s="20" t="n">
        <f aca="false">IFERROR(__xludf.DUMMYFUNCTION("""COMPUTED_VALUE"""),0.0801282894274162)</f>
        <v>0.0801282894274162</v>
      </c>
      <c r="I14" s="20" t="n">
        <f aca="false">IFERROR(__xludf.DUMMYFUNCTION("""COMPUTED_VALUE"""),0.079881877158212)</f>
        <v>0.079881877158212</v>
      </c>
      <c r="J14" s="20" t="n">
        <f aca="false">IFERROR(__xludf.DUMMYFUNCTION("""COMPUTED_VALUE"""),0.081197849274407)</f>
        <v>0.081197849274407</v>
      </c>
      <c r="K14" s="20" t="n">
        <f aca="false">IFERROR(__xludf.DUMMYFUNCTION("""COMPUTED_VALUE"""),0.081197849274407)</f>
        <v>0.081197849274407</v>
      </c>
      <c r="L14" s="20" t="n">
        <f aca="false">IFERROR(__xludf.DUMMYFUNCTION("""COMPUTED_VALUE"""),0.080779624185241)</f>
        <v>0.080779624185241</v>
      </c>
      <c r="M14" s="20" t="n">
        <f aca="false">IFERROR(__xludf.DUMMYFUNCTION("""COMPUTED_VALUE"""),0.082095596301436)</f>
        <v>0.082095596301436</v>
      </c>
      <c r="N14" s="21" t="n">
        <f aca="false">IFERROR(__xludf.DUMMYFUNCTION("""COMPUTED_VALUE"""),12606.7299522508)</f>
        <v>12606.7299522508</v>
      </c>
      <c r="O14" s="22" t="n">
        <f aca="false">IFERROR(__xludf.DUMMYFUNCTION("""COMPUTED_VALUE"""),1)</f>
        <v>1</v>
      </c>
      <c r="P14" s="21" t="n">
        <f aca="false">IFERROR(__xludf.DUMMYFUNCTION("""COMPUTED_VALUE"""),199)</f>
        <v>199</v>
      </c>
      <c r="Q14" s="21" t="n">
        <f aca="false">IFERROR(__xludf.DUMMYFUNCTION("""COMPUTED_VALUE"""),0)</f>
        <v>0</v>
      </c>
      <c r="R14" s="21" t="n">
        <f aca="false">IFERROR(__xludf.DUMMYFUNCTION("""COMPUTED_VALUE"""),183147.8)</f>
        <v>183147.8</v>
      </c>
      <c r="S14" s="21" t="n">
        <f aca="false">IFERROR(__xludf.DUMMYFUNCTION("""COMPUTED_VALUE"""),19050.2)</f>
        <v>19050.2</v>
      </c>
      <c r="T14" s="21" t="n">
        <f aca="false">IFERROR(__xludf.DUMMYFUNCTION("""COMPUTED_VALUE"""),3539.1)</f>
        <v>3539.1</v>
      </c>
      <c r="U14" s="21" t="n">
        <f aca="false">IFERROR(__xludf.DUMMYFUNCTION("""COMPUTED_VALUE"""),6402.2)</f>
        <v>6402.2</v>
      </c>
      <c r="V14" s="21" t="n">
        <f aca="false">IFERROR(__xludf.DUMMYFUNCTION("""COMPUTED_VALUE"""),10549.9)</f>
        <v>10549.9</v>
      </c>
      <c r="W14" s="21" t="n">
        <f aca="false">IFERROR(__xludf.DUMMYFUNCTION("""COMPUTED_VALUE"""),0)</f>
        <v>0</v>
      </c>
      <c r="X14" s="7" t="n">
        <f aca="false">SUM(Q14:W14)</f>
        <v>222689.2</v>
      </c>
    </row>
    <row r="15" customFormat="false" ht="15" hidden="false" customHeight="false" outlineLevel="0" collapsed="false">
      <c r="A15" s="5" t="s">
        <v>119</v>
      </c>
      <c r="B15" s="20" t="n">
        <f aca="false">IFERROR(__xludf.DUMMYFUNCTION("""COMPUTED_VALUE"""),0.0761848278176029)</f>
        <v>0.0761848278176029</v>
      </c>
      <c r="C15" s="20" t="n">
        <f aca="false">IFERROR(__xludf.DUMMYFUNCTION("""COMPUTED_VALUE"""),0.0761848278176029)</f>
        <v>0.0761848278176029</v>
      </c>
      <c r="D15" s="20" t="n">
        <f aca="false">IFERROR(__xludf.DUMMYFUNCTION("""COMPUTED_VALUE"""),0.0826686065765467)</f>
        <v>0.0826686065765467</v>
      </c>
      <c r="E15" s="20" t="n">
        <f aca="false">IFERROR(__xludf.DUMMYFUNCTION("""COMPUTED_VALUE"""),0.0916518877640263)</f>
        <v>0.0916518877640263</v>
      </c>
      <c r="F15" s="20" t="n">
        <f aca="false">IFERROR(__xludf.DUMMYFUNCTION("""COMPUTED_VALUE"""),0.0931955183643168)</f>
        <v>0.0931955183643168</v>
      </c>
      <c r="G15" s="20" t="n">
        <f aca="false">IFERROR(__xludf.DUMMYFUNCTION("""COMPUTED_VALUE"""),0.0888541224858191)</f>
        <v>0.0888541224858191</v>
      </c>
      <c r="H15" s="20" t="n">
        <f aca="false">IFERROR(__xludf.DUMMYFUNCTION("""COMPUTED_VALUE"""),0.0784912986070083)</f>
        <v>0.0784912986070083</v>
      </c>
      <c r="I15" s="20" t="n">
        <f aca="false">IFERROR(__xludf.DUMMYFUNCTION("""COMPUTED_VALUE"""),0.0795725784486681)</f>
        <v>0.0795725784486681</v>
      </c>
      <c r="J15" s="20" t="n">
        <f aca="false">IFERROR(__xludf.DUMMYFUNCTION("""COMPUTED_VALUE"""),0.0829855493601231)</f>
        <v>0.0829855493601231</v>
      </c>
      <c r="K15" s="20" t="n">
        <f aca="false">IFERROR(__xludf.DUMMYFUNCTION("""COMPUTED_VALUE"""),0.0829855493601231)</f>
        <v>0.0829855493601231</v>
      </c>
      <c r="L15" s="20" t="n">
        <f aca="false">IFERROR(__xludf.DUMMYFUNCTION("""COMPUTED_VALUE"""),0.0814419187598326)</f>
        <v>0.0814419187598326</v>
      </c>
      <c r="M15" s="20" t="n">
        <f aca="false">IFERROR(__xludf.DUMMYFUNCTION("""COMPUTED_VALUE"""),0.0857833146383303)</f>
        <v>0.0857833146383303</v>
      </c>
      <c r="N15" s="21" t="n">
        <f aca="false">IFERROR(__xludf.DUMMYFUNCTION("""COMPUTED_VALUE"""),4308.38387982745)</f>
        <v>4308.38387982745</v>
      </c>
      <c r="O15" s="22" t="n">
        <f aca="false">IFERROR(__xludf.DUMMYFUNCTION("""COMPUTED_VALUE"""),1)</f>
        <v>1</v>
      </c>
      <c r="P15" s="21" t="n">
        <f aca="false">IFERROR(__xludf.DUMMYFUNCTION("""COMPUTED_VALUE"""),64)</f>
        <v>64</v>
      </c>
      <c r="Q15" s="21" t="n">
        <f aca="false">IFERROR(__xludf.DUMMYFUNCTION("""COMPUTED_VALUE"""),0)</f>
        <v>0</v>
      </c>
      <c r="R15" s="21" t="n">
        <f aca="false">IFERROR(__xludf.DUMMYFUNCTION("""COMPUTED_VALUE"""),25995.2)</f>
        <v>25995.2</v>
      </c>
      <c r="S15" s="21" t="n">
        <f aca="false">IFERROR(__xludf.DUMMYFUNCTION("""COMPUTED_VALUE"""),891.8)</f>
        <v>891.8</v>
      </c>
      <c r="T15" s="21" t="n">
        <f aca="false">IFERROR(__xludf.DUMMYFUNCTION("""COMPUTED_VALUE"""),1769.6)</f>
        <v>1769.6</v>
      </c>
      <c r="U15" s="21" t="n">
        <f aca="false">IFERROR(__xludf.DUMMYFUNCTION("""COMPUTED_VALUE"""),32678.6)</f>
        <v>32678.6</v>
      </c>
      <c r="V15" s="21" t="n">
        <f aca="false">IFERROR(__xludf.DUMMYFUNCTION("""COMPUTED_VALUE"""),11830.5)</f>
        <v>11830.5</v>
      </c>
      <c r="W15" s="21" t="n">
        <f aca="false">IFERROR(__xludf.DUMMYFUNCTION("""COMPUTED_VALUE"""),2530)</f>
        <v>2530</v>
      </c>
      <c r="X15" s="7" t="n">
        <f aca="false">SUM(Q15:W15)</f>
        <v>75695.7</v>
      </c>
    </row>
    <row r="16" customFormat="false" ht="15" hidden="false" customHeight="false" outlineLevel="0" collapsed="false">
      <c r="A16" s="5" t="s">
        <v>120</v>
      </c>
      <c r="B16" s="20" t="n">
        <f aca="false">IFERROR(__xludf.DUMMYFUNCTION("""COMPUTED_VALUE"""),0.0890943915723948)</f>
        <v>0.0890943915723948</v>
      </c>
      <c r="C16" s="20" t="n">
        <f aca="false">IFERROR(__xludf.DUMMYFUNCTION("""COMPUTED_VALUE"""),0.0890943915723948)</f>
        <v>0.0890943915723948</v>
      </c>
      <c r="D16" s="20" t="n">
        <f aca="false">IFERROR(__xludf.DUMMYFUNCTION("""COMPUTED_VALUE"""),0.0833333333333333)</f>
        <v>0.0833333333333333</v>
      </c>
      <c r="E16" s="20" t="n">
        <f aca="false">IFERROR(__xludf.DUMMYFUNCTION("""COMPUTED_VALUE"""),0.0833333333333333)</f>
        <v>0.0833333333333333</v>
      </c>
      <c r="F16" s="20" t="n">
        <f aca="false">IFERROR(__xludf.DUMMYFUNCTION("""COMPUTED_VALUE"""),0.0833333333333333)</f>
        <v>0.0833333333333333</v>
      </c>
      <c r="G16" s="20" t="n">
        <f aca="false">IFERROR(__xludf.DUMMYFUNCTION("""COMPUTED_VALUE"""),0.0775722750942719)</f>
        <v>0.0775722750942719</v>
      </c>
      <c r="H16" s="20" t="n">
        <f aca="false">IFERROR(__xludf.DUMMYFUNCTION("""COMPUTED_VALUE"""),0.0775722750942719)</f>
        <v>0.0775722750942719</v>
      </c>
      <c r="I16" s="20" t="n">
        <f aca="false">IFERROR(__xludf.DUMMYFUNCTION("""COMPUTED_VALUE"""),0.0775722750942719)</f>
        <v>0.0775722750942719</v>
      </c>
      <c r="J16" s="20" t="n">
        <f aca="false">IFERROR(__xludf.DUMMYFUNCTION("""COMPUTED_VALUE"""),0.0833333333333333)</f>
        <v>0.0833333333333333</v>
      </c>
      <c r="K16" s="20" t="n">
        <f aca="false">IFERROR(__xludf.DUMMYFUNCTION("""COMPUTED_VALUE"""),0.0833333333333333)</f>
        <v>0.0833333333333333</v>
      </c>
      <c r="L16" s="20" t="n">
        <f aca="false">IFERROR(__xludf.DUMMYFUNCTION("""COMPUTED_VALUE"""),0.0833333333333333)</f>
        <v>0.0833333333333333</v>
      </c>
      <c r="M16" s="20" t="n">
        <f aca="false">IFERROR(__xludf.DUMMYFUNCTION("""COMPUTED_VALUE"""),0.0890943915723948)</f>
        <v>0.0890943915723948</v>
      </c>
      <c r="N16" s="21" t="n">
        <f aca="false">IFERROR(__xludf.DUMMYFUNCTION("""COMPUTED_VALUE"""),705.316446113659)</f>
        <v>705.316446113659</v>
      </c>
      <c r="O16" s="22" t="n">
        <f aca="false">IFERROR(__xludf.DUMMYFUNCTION("""COMPUTED_VALUE"""),1)</f>
        <v>1</v>
      </c>
      <c r="P16" s="21" t="n">
        <f aca="false">IFERROR(__xludf.DUMMYFUNCTION("""COMPUTED_VALUE"""),11)</f>
        <v>11</v>
      </c>
      <c r="Q16" s="21" t="n">
        <f aca="false">IFERROR(__xludf.DUMMYFUNCTION("""COMPUTED_VALUE"""),0)</f>
        <v>0</v>
      </c>
      <c r="R16" s="21" t="n">
        <f aca="false">IFERROR(__xludf.DUMMYFUNCTION("""COMPUTED_VALUE"""),0)</f>
        <v>0</v>
      </c>
      <c r="S16" s="21" t="n">
        <f aca="false">IFERROR(__xludf.DUMMYFUNCTION("""COMPUTED_VALUE"""),0)</f>
        <v>0</v>
      </c>
      <c r="T16" s="21" t="n">
        <f aca="false">IFERROR(__xludf.DUMMYFUNCTION("""COMPUTED_VALUE"""),0)</f>
        <v>0</v>
      </c>
      <c r="U16" s="21" t="n">
        <f aca="false">IFERROR(__xludf.DUMMYFUNCTION("""COMPUTED_VALUE"""),9269.4)</f>
        <v>9269.4</v>
      </c>
      <c r="V16" s="21" t="n">
        <f aca="false">IFERROR(__xludf.DUMMYFUNCTION("""COMPUTED_VALUE"""),2425.5)</f>
        <v>2425.5</v>
      </c>
      <c r="W16" s="21" t="n">
        <f aca="false">IFERROR(__xludf.DUMMYFUNCTION("""COMPUTED_VALUE"""),0)</f>
        <v>0</v>
      </c>
      <c r="X16" s="7" t="n">
        <f aca="false">SUM(Q16:W16)</f>
        <v>11694.9</v>
      </c>
    </row>
    <row r="17" customFormat="false" ht="15" hidden="false" customHeight="false" outlineLevel="0" collapsed="false">
      <c r="A17" s="5" t="s">
        <v>121</v>
      </c>
      <c r="B17" s="20" t="n">
        <f aca="false">IFERROR(__xludf.DUMMYFUNCTION("""COMPUTED_VALUE"""),0.0833333333333333)</f>
        <v>0.0833333333333333</v>
      </c>
      <c r="C17" s="20" t="n">
        <f aca="false">IFERROR(__xludf.DUMMYFUNCTION("""COMPUTED_VALUE"""),0.0833333333333333)</f>
        <v>0.0833333333333333</v>
      </c>
      <c r="D17" s="20" t="n">
        <f aca="false">IFERROR(__xludf.DUMMYFUNCTION("""COMPUTED_VALUE"""),0.0833333333333333)</f>
        <v>0.0833333333333333</v>
      </c>
      <c r="E17" s="20" t="n">
        <f aca="false">IFERROR(__xludf.DUMMYFUNCTION("""COMPUTED_VALUE"""),0.0833333333333333)</f>
        <v>0.0833333333333333</v>
      </c>
      <c r="F17" s="20" t="n">
        <f aca="false">IFERROR(__xludf.DUMMYFUNCTION("""COMPUTED_VALUE"""),0.0833333333333333)</f>
        <v>0.0833333333333333</v>
      </c>
      <c r="G17" s="20" t="n">
        <f aca="false">IFERROR(__xludf.DUMMYFUNCTION("""COMPUTED_VALUE"""),0.0833333333333333)</f>
        <v>0.0833333333333333</v>
      </c>
      <c r="H17" s="20" t="n">
        <f aca="false">IFERROR(__xludf.DUMMYFUNCTION("""COMPUTED_VALUE"""),0.0833333333333333)</f>
        <v>0.0833333333333333</v>
      </c>
      <c r="I17" s="20" t="n">
        <f aca="false">IFERROR(__xludf.DUMMYFUNCTION("""COMPUTED_VALUE"""),0.0833333333333333)</f>
        <v>0.0833333333333333</v>
      </c>
      <c r="J17" s="20" t="n">
        <f aca="false">IFERROR(__xludf.DUMMYFUNCTION("""COMPUTED_VALUE"""),0.0833333333333333)</f>
        <v>0.0833333333333333</v>
      </c>
      <c r="K17" s="20" t="n">
        <f aca="false">IFERROR(__xludf.DUMMYFUNCTION("""COMPUTED_VALUE"""),0.0833333333333333)</f>
        <v>0.0833333333333333</v>
      </c>
      <c r="L17" s="20" t="n">
        <f aca="false">IFERROR(__xludf.DUMMYFUNCTION("""COMPUTED_VALUE"""),0.0833333333333333)</f>
        <v>0.0833333333333333</v>
      </c>
      <c r="M17" s="20" t="n">
        <f aca="false">IFERROR(__xludf.DUMMYFUNCTION("""COMPUTED_VALUE"""),0.0833333333333333)</f>
        <v>0.0833333333333333</v>
      </c>
      <c r="N17" s="21" t="n">
        <f aca="false">IFERROR(__xludf.DUMMYFUNCTION("""COMPUTED_VALUE"""),242.151440335721)</f>
        <v>242.151440335721</v>
      </c>
      <c r="O17" s="22" t="n">
        <f aca="false">IFERROR(__xludf.DUMMYFUNCTION("""COMPUTED_VALUE"""),1)</f>
        <v>1</v>
      </c>
      <c r="P17" s="21" t="n">
        <f aca="false">IFERROR(__xludf.DUMMYFUNCTION("""COMPUTED_VALUE"""),4)</f>
        <v>4</v>
      </c>
      <c r="Q17" s="21" t="n">
        <f aca="false">IFERROR(__xludf.DUMMYFUNCTION("""COMPUTED_VALUE"""),0)</f>
        <v>0</v>
      </c>
      <c r="R17" s="21" t="n">
        <f aca="false">IFERROR(__xludf.DUMMYFUNCTION("""COMPUTED_VALUE"""),0)</f>
        <v>0</v>
      </c>
      <c r="S17" s="21" t="n">
        <f aca="false">IFERROR(__xludf.DUMMYFUNCTION("""COMPUTED_VALUE"""),0)</f>
        <v>0</v>
      </c>
      <c r="T17" s="21" t="n">
        <f aca="false">IFERROR(__xludf.DUMMYFUNCTION("""COMPUTED_VALUE"""),0)</f>
        <v>0</v>
      </c>
      <c r="U17" s="21" t="n">
        <f aca="false">IFERROR(__xludf.DUMMYFUNCTION("""COMPUTED_VALUE"""),3535)</f>
        <v>3535</v>
      </c>
      <c r="V17" s="21" t="n">
        <f aca="false">IFERROR(__xludf.DUMMYFUNCTION("""COMPUTED_VALUE"""),0)</f>
        <v>0</v>
      </c>
      <c r="W17" s="21" t="n">
        <f aca="false">IFERROR(__xludf.DUMMYFUNCTION("""COMPUTED_VALUE"""),0)</f>
        <v>0</v>
      </c>
      <c r="X17" s="7" t="n">
        <f aca="false">SUM(Q17:W17)</f>
        <v>3535</v>
      </c>
    </row>
    <row r="18" customFormat="false" ht="15" hidden="false" customHeight="false" outlineLevel="0" collapsed="false">
      <c r="A18" s="5" t="s">
        <v>122</v>
      </c>
      <c r="B18" s="20" t="n">
        <f aca="false">IFERROR(__xludf.DUMMYFUNCTION("""COMPUTED_VALUE"""),0.0741713639081832)</f>
        <v>0.0741713639081832</v>
      </c>
      <c r="C18" s="20" t="n">
        <f aca="false">IFERROR(__xludf.DUMMYFUNCTION("""COMPUTED_VALUE"""),0.0741713639081832)</f>
        <v>0.0741713639081832</v>
      </c>
      <c r="D18" s="20" t="n">
        <f aca="false">IFERROR(__xludf.DUMMYFUNCTION("""COMPUTED_VALUE"""),0.0826308825789044)</f>
        <v>0.0826308825789044</v>
      </c>
      <c r="E18" s="20" t="n">
        <f aca="false">IFERROR(__xludf.DUMMYFUNCTION("""COMPUTED_VALUE"""),0.0938477438743188)</f>
        <v>0.0938477438743188</v>
      </c>
      <c r="F18" s="20" t="n">
        <f aca="false">IFERROR(__xludf.DUMMYFUNCTION("""COMPUTED_VALUE"""),0.0943031990696216)</f>
        <v>0.0943031990696216</v>
      </c>
      <c r="G18" s="20" t="n">
        <f aca="false">IFERROR(__xludf.DUMMYFUNCTION("""COMPUTED_VALUE"""),0.0905972862319092)</f>
        <v>0.0905972862319092</v>
      </c>
      <c r="H18" s="20" t="n">
        <f aca="false">IFERROR(__xludf.DUMMYFUNCTION("""COMPUTED_VALUE"""),0.0782229570370311)</f>
        <v>0.0782229570370311</v>
      </c>
      <c r="I18" s="20" t="n">
        <f aca="false">IFERROR(__xludf.DUMMYFUNCTION("""COMPUTED_VALUE"""),0.0788873099187785)</f>
        <v>0.0788873099187785</v>
      </c>
      <c r="J18" s="20" t="n">
        <f aca="false">IFERROR(__xludf.DUMMYFUNCTION("""COMPUTED_VALUE"""),0.0825932227564908)</f>
        <v>0.0825932227564908</v>
      </c>
      <c r="K18" s="20" t="n">
        <f aca="false">IFERROR(__xludf.DUMMYFUNCTION("""COMPUTED_VALUE"""),0.0825932227564908)</f>
        <v>0.0825932227564908</v>
      </c>
      <c r="L18" s="20" t="n">
        <f aca="false">IFERROR(__xludf.DUMMYFUNCTION("""COMPUTED_VALUE"""),0.082137767561188)</f>
        <v>0.082137767561188</v>
      </c>
      <c r="M18" s="20" t="n">
        <f aca="false">IFERROR(__xludf.DUMMYFUNCTION("""COMPUTED_VALUE"""),0.0858436803989003)</f>
        <v>0.0858436803989003</v>
      </c>
      <c r="N18" s="21" t="n">
        <f aca="false">IFERROR(__xludf.DUMMYFUNCTION("""COMPUTED_VALUE"""),577.776131502584)</f>
        <v>577.776131502584</v>
      </c>
      <c r="O18" s="22" t="n">
        <f aca="false">IFERROR(__xludf.DUMMYFUNCTION("""COMPUTED_VALUE"""),1)</f>
        <v>1</v>
      </c>
      <c r="P18" s="21" t="n">
        <f aca="false">IFERROR(__xludf.DUMMYFUNCTION("""COMPUTED_VALUE"""),9)</f>
        <v>9</v>
      </c>
      <c r="Q18" s="21" t="n">
        <f aca="false">IFERROR(__xludf.DUMMYFUNCTION("""COMPUTED_VALUE"""),0)</f>
        <v>0</v>
      </c>
      <c r="R18" s="21" t="n">
        <f aca="false">IFERROR(__xludf.DUMMYFUNCTION("""COMPUTED_VALUE"""),4431)</f>
        <v>4431</v>
      </c>
      <c r="S18" s="21" t="n">
        <f aca="false">IFERROR(__xludf.DUMMYFUNCTION("""COMPUTED_VALUE"""),199.2)</f>
        <v>199.2</v>
      </c>
      <c r="T18" s="21" t="n">
        <f aca="false">IFERROR(__xludf.DUMMYFUNCTION("""COMPUTED_VALUE"""),177)</f>
        <v>177</v>
      </c>
      <c r="U18" s="21" t="n">
        <f aca="false">IFERROR(__xludf.DUMMYFUNCTION("""COMPUTED_VALUE"""),4055.3)</f>
        <v>4055.3</v>
      </c>
      <c r="V18" s="21" t="n">
        <f aca="false">IFERROR(__xludf.DUMMYFUNCTION("""COMPUTED_VALUE"""),1364.4)</f>
        <v>1364.4</v>
      </c>
      <c r="W18" s="21" t="n">
        <f aca="false">IFERROR(__xludf.DUMMYFUNCTION("""COMPUTED_VALUE"""),0)</f>
        <v>0</v>
      </c>
      <c r="X18" s="7" t="n">
        <f aca="false">SUM(Q18:W18)</f>
        <v>10226.9</v>
      </c>
    </row>
    <row r="19" customFormat="false" ht="15" hidden="false" customHeight="false" outlineLevel="0" collapsed="false">
      <c r="A19" s="5" t="s">
        <v>123</v>
      </c>
      <c r="B19" s="20" t="n">
        <f aca="false">IFERROR(__xludf.DUMMYFUNCTION("""COMPUTED_VALUE"""),0.0741714575622674)</f>
        <v>0.0741714575622674</v>
      </c>
      <c r="C19" s="20" t="n">
        <f aca="false">IFERROR(__xludf.DUMMYFUNCTION("""COMPUTED_VALUE"""),0.0741714575622674)</f>
        <v>0.0741714575622674</v>
      </c>
      <c r="D19" s="20" t="n">
        <f aca="false">IFERROR(__xludf.DUMMYFUNCTION("""COMPUTED_VALUE"""),0.08263095051887)</f>
        <v>0.08263095051887</v>
      </c>
      <c r="E19" s="20" t="n">
        <f aca="false">IFERROR(__xludf.DUMMYFUNCTION("""COMPUTED_VALUE"""),0.0938477343304375)</f>
        <v>0.0938477343304375</v>
      </c>
      <c r="F19" s="20" t="n">
        <f aca="false">IFERROR(__xludf.DUMMYFUNCTION("""COMPUTED_VALUE"""),0.0943030721576538)</f>
        <v>0.0943030721576538</v>
      </c>
      <c r="G19" s="20" t="n">
        <f aca="false">IFERROR(__xludf.DUMMYFUNCTION("""COMPUTED_VALUE"""),0.0905972613831472)</f>
        <v>0.0905972613831472</v>
      </c>
      <c r="H19" s="20" t="n">
        <f aca="false">IFERROR(__xludf.DUMMYFUNCTION("""COMPUTED_VALUE"""),0.0782232108709845)</f>
        <v>0.0782232108709845</v>
      </c>
      <c r="I19" s="20" t="n">
        <f aca="false">IFERROR(__xludf.DUMMYFUNCTION("""COMPUTED_VALUE"""),0.0788872954792544)</f>
        <v>0.0788872954792544</v>
      </c>
      <c r="J19" s="20" t="n">
        <f aca="false">IFERROR(__xludf.DUMMYFUNCTION("""COMPUTED_VALUE"""),0.082593106253761)</f>
        <v>0.082593106253761</v>
      </c>
      <c r="K19" s="20" t="n">
        <f aca="false">IFERROR(__xludf.DUMMYFUNCTION("""COMPUTED_VALUE"""),0.082593106253761)</f>
        <v>0.082593106253761</v>
      </c>
      <c r="L19" s="20" t="n">
        <f aca="false">IFERROR(__xludf.DUMMYFUNCTION("""COMPUTED_VALUE"""),0.0821377684265447)</f>
        <v>0.0821377684265447</v>
      </c>
      <c r="M19" s="20" t="n">
        <f aca="false">IFERROR(__xludf.DUMMYFUNCTION("""COMPUTED_VALUE"""),0.0858435792010512)</f>
        <v>0.0858435792010512</v>
      </c>
      <c r="N19" s="21" t="n">
        <f aca="false">IFERROR(__xludf.DUMMYFUNCTION("""COMPUTED_VALUE"""),1271.10748852936)</f>
        <v>1271.10748852936</v>
      </c>
      <c r="O19" s="22" t="n">
        <f aca="false">IFERROR(__xludf.DUMMYFUNCTION("""COMPUTED_VALUE"""),1)</f>
        <v>1</v>
      </c>
      <c r="P19" s="21" t="n">
        <f aca="false">IFERROR(__xludf.DUMMYFUNCTION("""COMPUTED_VALUE"""),19)</f>
        <v>19</v>
      </c>
      <c r="Q19" s="21" t="n">
        <f aca="false">IFERROR(__xludf.DUMMYFUNCTION("""COMPUTED_VALUE"""),0)</f>
        <v>0</v>
      </c>
      <c r="R19" s="21" t="n">
        <f aca="false">IFERROR(__xludf.DUMMYFUNCTION("""COMPUTED_VALUE"""),9748.2)</f>
        <v>9748.2</v>
      </c>
      <c r="S19" s="21" t="n">
        <f aca="false">IFERROR(__xludf.DUMMYFUNCTION("""COMPUTED_VALUE"""),438.3)</f>
        <v>438.3</v>
      </c>
      <c r="T19" s="21" t="n">
        <f aca="false">IFERROR(__xludf.DUMMYFUNCTION("""COMPUTED_VALUE"""),389.3)</f>
        <v>389.3</v>
      </c>
      <c r="U19" s="21" t="n">
        <f aca="false">IFERROR(__xludf.DUMMYFUNCTION("""COMPUTED_VALUE"""),8921.8)</f>
        <v>8921.8</v>
      </c>
      <c r="V19" s="21" t="n">
        <f aca="false">IFERROR(__xludf.DUMMYFUNCTION("""COMPUTED_VALUE"""),3001.6)</f>
        <v>3001.6</v>
      </c>
      <c r="W19" s="21" t="n">
        <f aca="false">IFERROR(__xludf.DUMMYFUNCTION("""COMPUTED_VALUE"""),0)</f>
        <v>0</v>
      </c>
      <c r="X19" s="7" t="n">
        <f aca="false">SUM(Q19:W19)</f>
        <v>22499.2</v>
      </c>
    </row>
    <row r="20" customFormat="false" ht="15" hidden="false" customHeight="false" outlineLevel="0" collapsed="false">
      <c r="A20" s="5" t="s">
        <v>124</v>
      </c>
      <c r="B20" s="20" t="n">
        <f aca="false">IFERROR(__xludf.DUMMYFUNCTION("""COMPUTED_VALUE"""),0.0741714711262728)</f>
        <v>0.0741714711262728</v>
      </c>
      <c r="C20" s="20" t="n">
        <f aca="false">IFERROR(__xludf.DUMMYFUNCTION("""COMPUTED_VALUE"""),0.0741714711262728)</f>
        <v>0.0741714711262728</v>
      </c>
      <c r="D20" s="20" t="n">
        <f aca="false">IFERROR(__xludf.DUMMYFUNCTION("""COMPUTED_VALUE"""),0.0826308668449537)</f>
        <v>0.0826308668449537</v>
      </c>
      <c r="E20" s="20" t="n">
        <f aca="false">IFERROR(__xludf.DUMMYFUNCTION("""COMPUTED_VALUE"""),0.0938479481909226)</f>
        <v>0.0938479481909226</v>
      </c>
      <c r="F20" s="20" t="n">
        <f aca="false">IFERROR(__xludf.DUMMYFUNCTION("""COMPUTED_VALUE"""),0.0943030828496681)</f>
        <v>0.0943030828496681</v>
      </c>
      <c r="G20" s="20" t="n">
        <f aca="false">IFERROR(__xludf.DUMMYFUNCTION("""COMPUTED_VALUE"""),0.0905972288565807)</f>
        <v>0.0905972288565807</v>
      </c>
      <c r="H20" s="20" t="n">
        <f aca="false">IFERROR(__xludf.DUMMYFUNCTION("""COMPUTED_VALUE"""),0.0782233613395939)</f>
        <v>0.0782233613395939</v>
      </c>
      <c r="I20" s="20" t="n">
        <f aca="false">IFERROR(__xludf.DUMMYFUNCTION("""COMPUTED_VALUE"""),0.0788871138035579)</f>
        <v>0.0788871138035579</v>
      </c>
      <c r="J20" s="20" t="n">
        <f aca="false">IFERROR(__xludf.DUMMYFUNCTION("""COMPUTED_VALUE"""),0.0825929677966453)</f>
        <v>0.0825929677966453</v>
      </c>
      <c r="K20" s="20" t="n">
        <f aca="false">IFERROR(__xludf.DUMMYFUNCTION("""COMPUTED_VALUE"""),0.0825929677966453)</f>
        <v>0.0825929677966453</v>
      </c>
      <c r="L20" s="20" t="n">
        <f aca="false">IFERROR(__xludf.DUMMYFUNCTION("""COMPUTED_VALUE"""),0.0821378331378998)</f>
        <v>0.0821378331378998</v>
      </c>
      <c r="M20" s="20" t="n">
        <f aca="false">IFERROR(__xludf.DUMMYFUNCTION("""COMPUTED_VALUE"""),0.0858436871309872)</f>
        <v>0.0858436871309872</v>
      </c>
      <c r="N20" s="21" t="n">
        <f aca="false">IFERROR(__xludf.DUMMYFUNCTION("""COMPUTED_VALUE"""),277.332543143421)</f>
        <v>277.332543143421</v>
      </c>
      <c r="O20" s="22" t="n">
        <f aca="false">IFERROR(__xludf.DUMMYFUNCTION("""COMPUTED_VALUE"""),1)</f>
        <v>1</v>
      </c>
      <c r="P20" s="21" t="n">
        <f aca="false">IFERROR(__xludf.DUMMYFUNCTION("""COMPUTED_VALUE"""),5)</f>
        <v>5</v>
      </c>
      <c r="Q20" s="21" t="n">
        <f aca="false">IFERROR(__xludf.DUMMYFUNCTION("""COMPUTED_VALUE"""),0)</f>
        <v>0</v>
      </c>
      <c r="R20" s="21" t="n">
        <f aca="false">IFERROR(__xludf.DUMMYFUNCTION("""COMPUTED_VALUE"""),2126.9)</f>
        <v>2126.9</v>
      </c>
      <c r="S20" s="21" t="n">
        <f aca="false">IFERROR(__xludf.DUMMYFUNCTION("""COMPUTED_VALUE"""),95.6)</f>
        <v>95.6</v>
      </c>
      <c r="T20" s="21" t="n">
        <f aca="false">IFERROR(__xludf.DUMMYFUNCTION("""COMPUTED_VALUE"""),84.9)</f>
        <v>84.9</v>
      </c>
      <c r="U20" s="21" t="n">
        <f aca="false">IFERROR(__xludf.DUMMYFUNCTION("""COMPUTED_VALUE"""),1946.6)</f>
        <v>1946.6</v>
      </c>
      <c r="V20" s="21" t="n">
        <f aca="false">IFERROR(__xludf.DUMMYFUNCTION("""COMPUTED_VALUE"""),654.9)</f>
        <v>654.9</v>
      </c>
      <c r="W20" s="21" t="n">
        <f aca="false">IFERROR(__xludf.DUMMYFUNCTION("""COMPUTED_VALUE"""),0)</f>
        <v>0</v>
      </c>
      <c r="X20" s="7" t="n">
        <f aca="false">SUM(Q20:W20)</f>
        <v>4908.9</v>
      </c>
    </row>
    <row r="21" customFormat="false" ht="15" hidden="false" customHeight="false" outlineLevel="0" collapsed="false">
      <c r="A21" s="5" t="s">
        <v>125</v>
      </c>
      <c r="B21" s="20" t="n">
        <f aca="false">IFERROR(__xludf.DUMMYFUNCTION("""COMPUTED_VALUE"""),0.0741721346584101)</f>
        <v>0.0741721346584101</v>
      </c>
      <c r="C21" s="20" t="n">
        <f aca="false">IFERROR(__xludf.DUMMYFUNCTION("""COMPUTED_VALUE"""),0.0741721346584101)</f>
        <v>0.0741721346584101</v>
      </c>
      <c r="D21" s="20" t="n">
        <f aca="false">IFERROR(__xludf.DUMMYFUNCTION("""COMPUTED_VALUE"""),0.0826312550911103)</f>
        <v>0.0826312550911103</v>
      </c>
      <c r="E21" s="20" t="n">
        <f aca="false">IFERROR(__xludf.DUMMYFUNCTION("""COMPUTED_VALUE"""),0.0938475454254633)</f>
        <v>0.0938475454254633</v>
      </c>
      <c r="F21" s="20" t="n">
        <f aca="false">IFERROR(__xludf.DUMMYFUNCTION("""COMPUTED_VALUE"""),0.0943026800842088)</f>
        <v>0.0943026800842088</v>
      </c>
      <c r="G21" s="20" t="n">
        <f aca="false">IFERROR(__xludf.DUMMYFUNCTION("""COMPUTED_VALUE"""),0.0905968260911214)</f>
        <v>0.0905968260911214</v>
      </c>
      <c r="H21" s="20" t="n">
        <f aca="false">IFERROR(__xludf.DUMMYFUNCTION("""COMPUTED_VALUE"""),0.0782234917229329)</f>
        <v>0.0782234917229329</v>
      </c>
      <c r="I21" s="20" t="n">
        <f aca="false">IFERROR(__xludf.DUMMYFUNCTION("""COMPUTED_VALUE"""),0.0788869863240794)</f>
        <v>0.0788869863240794</v>
      </c>
      <c r="J21" s="20" t="n">
        <f aca="false">IFERROR(__xludf.DUMMYFUNCTION("""COMPUTED_VALUE"""),0.0825928403171668)</f>
        <v>0.0825928403171668</v>
      </c>
      <c r="K21" s="20" t="n">
        <f aca="false">IFERROR(__xludf.DUMMYFUNCTION("""COMPUTED_VALUE"""),0.0825928403171668)</f>
        <v>0.0825928403171668</v>
      </c>
      <c r="L21" s="20" t="n">
        <f aca="false">IFERROR(__xludf.DUMMYFUNCTION("""COMPUTED_VALUE"""),0.0821377056584213)</f>
        <v>0.0821377056584213</v>
      </c>
      <c r="M21" s="20" t="n">
        <f aca="false">IFERROR(__xludf.DUMMYFUNCTION("""COMPUTED_VALUE"""),0.0858435596515087)</f>
        <v>0.0858435596515087</v>
      </c>
      <c r="N21" s="21" t="n">
        <f aca="false">IFERROR(__xludf.DUMMYFUNCTION("""COMPUTED_VALUE"""),184.888361725934)</f>
        <v>184.888361725934</v>
      </c>
      <c r="O21" s="22" t="n">
        <f aca="false">IFERROR(__xludf.DUMMYFUNCTION("""COMPUTED_VALUE"""),1)</f>
        <v>1</v>
      </c>
      <c r="P21" s="21" t="n">
        <f aca="false">IFERROR(__xludf.DUMMYFUNCTION("""COMPUTED_VALUE"""),3)</f>
        <v>3</v>
      </c>
      <c r="Q21" s="21" t="n">
        <f aca="false">IFERROR(__xludf.DUMMYFUNCTION("""COMPUTED_VALUE"""),0)</f>
        <v>0</v>
      </c>
      <c r="R21" s="21" t="n">
        <f aca="false">IFERROR(__xludf.DUMMYFUNCTION("""COMPUTED_VALUE"""),1417.9)</f>
        <v>1417.9</v>
      </c>
      <c r="S21" s="21" t="n">
        <f aca="false">IFERROR(__xludf.DUMMYFUNCTION("""COMPUTED_VALUE"""),63.8)</f>
        <v>63.8</v>
      </c>
      <c r="T21" s="21" t="n">
        <f aca="false">IFERROR(__xludf.DUMMYFUNCTION("""COMPUTED_VALUE"""),56.6)</f>
        <v>56.6</v>
      </c>
      <c r="U21" s="21" t="n">
        <f aca="false">IFERROR(__xludf.DUMMYFUNCTION("""COMPUTED_VALUE"""),1297.7)</f>
        <v>1297.7</v>
      </c>
      <c r="V21" s="21" t="n">
        <f aca="false">IFERROR(__xludf.DUMMYFUNCTION("""COMPUTED_VALUE"""),436.6)</f>
        <v>436.6</v>
      </c>
      <c r="W21" s="21" t="n">
        <f aca="false">IFERROR(__xludf.DUMMYFUNCTION("""COMPUTED_VALUE"""),0)</f>
        <v>0</v>
      </c>
      <c r="X21" s="7" t="n">
        <f aca="false">SUM(Q21:W21)</f>
        <v>3272.6</v>
      </c>
    </row>
    <row r="22" customFormat="false" ht="15" hidden="false" customHeight="false" outlineLevel="0" collapsed="false">
      <c r="A22" s="4" t="s">
        <v>126</v>
      </c>
      <c r="B22" s="20" t="n">
        <f aca="false">IFERROR(__xludf.DUMMYFUNCTION("""COMPUTED_VALUE"""),0.094685974590863)</f>
        <v>0.094685974590863</v>
      </c>
      <c r="C22" s="20" t="n">
        <f aca="false">IFERROR(__xludf.DUMMYFUNCTION("""COMPUTED_VALUE"""),0.0813589828439731)</f>
        <v>0.0813589828439731</v>
      </c>
      <c r="D22" s="20" t="n">
        <f aca="false">IFERROR(__xludf.DUMMYFUNCTION("""COMPUTED_VALUE"""),0.0763711312806997)</f>
        <v>0.0763711312806997</v>
      </c>
      <c r="E22" s="20" t="n">
        <f aca="false">IFERROR(__xludf.DUMMYFUNCTION("""COMPUTED_VALUE"""),0.084183445923961)</f>
        <v>0.084183445923961</v>
      </c>
      <c r="F22" s="20" t="n">
        <f aca="false">IFERROR(__xludf.DUMMYFUNCTION("""COMPUTED_VALUE"""),0.0847815688752799)</f>
        <v>0.0847815688752799</v>
      </c>
      <c r="G22" s="20" t="n">
        <f aca="false">IFERROR(__xludf.DUMMYFUNCTION("""COMPUTED_VALUE"""),0.0840164331631308)</f>
        <v>0.0840164331631308</v>
      </c>
      <c r="H22" s="20" t="n">
        <f aca="false">IFERROR(__xludf.DUMMYFUNCTION("""COMPUTED_VALUE"""),0.0748812526033842)</f>
        <v>0.0748812526033842</v>
      </c>
      <c r="I22" s="20" t="n">
        <f aca="false">IFERROR(__xludf.DUMMYFUNCTION("""COMPUTED_VALUE"""),0.0755102802186843)</f>
        <v>0.0755102802186843</v>
      </c>
      <c r="J22" s="20" t="n">
        <f aca="false">IFERROR(__xludf.DUMMYFUNCTION("""COMPUTED_VALUE"""),0.0761652663624608)</f>
        <v>0.0761652663624608</v>
      </c>
      <c r="K22" s="20" t="n">
        <f aca="false">IFERROR(__xludf.DUMMYFUNCTION("""COMPUTED_VALUE"""),0.0761652663624608)</f>
        <v>0.0761652663624608</v>
      </c>
      <c r="L22" s="20" t="n">
        <f aca="false">IFERROR(__xludf.DUMMYFUNCTION("""COMPUTED_VALUE"""),0.0888941351580317)</f>
        <v>0.0888941351580317</v>
      </c>
      <c r="M22" s="20" t="n">
        <f aca="false">IFERROR(__xludf.DUMMYFUNCTION("""COMPUTED_VALUE"""),0.102986262617071)</f>
        <v>0.102986262617071</v>
      </c>
      <c r="N22" s="7" t="n">
        <f aca="false">SUM(N5:N21)</f>
        <v>206230.154921912</v>
      </c>
      <c r="P22" s="7" t="n">
        <f aca="false">SUM(P5:P21)</f>
        <v>1498</v>
      </c>
    </row>
    <row r="23" customFormat="false" ht="15" hidden="false" customHeight="false" outlineLevel="0" collapsed="false">
      <c r="A23" s="5" t="s">
        <v>127</v>
      </c>
      <c r="Q23" s="22" t="n">
        <f aca="false">IFERROR(__xludf.DUMMYFUNCTION("IMPORTRANGE(Links!$B$4,""sobrestock_sustitutos!B18:H18"")"),9)</f>
        <v>9</v>
      </c>
      <c r="R23" s="22" t="n">
        <f aca="false">IFERROR(__xludf.DUMMYFUNCTION("""COMPUTED_VALUE"""),15)</f>
        <v>15</v>
      </c>
      <c r="S23" s="22" t="n">
        <f aca="false">IFERROR(__xludf.DUMMYFUNCTION("""COMPUTED_VALUE"""),12)</f>
        <v>12</v>
      </c>
      <c r="T23" s="22" t="n">
        <f aca="false">IFERROR(__xludf.DUMMYFUNCTION("""COMPUTED_VALUE"""),11)</f>
        <v>11</v>
      </c>
      <c r="U23" s="22" t="n">
        <f aca="false">IFERROR(__xludf.DUMMYFUNCTION("""COMPUTED_VALUE"""),10)</f>
        <v>10</v>
      </c>
      <c r="V23" s="22" t="n">
        <f aca="false">IFERROR(__xludf.DUMMYFUNCTION("""COMPUTED_VALUE"""),61)</f>
        <v>61</v>
      </c>
      <c r="W23" s="22" t="n">
        <f aca="false">IFERROR(__xludf.DUMMYFUNCTION("""COMPUTED_VALUE"""),6)</f>
        <v>6</v>
      </c>
    </row>
    <row r="24" customFormat="false" ht="15" hidden="false" customHeight="false" outlineLevel="0" collapsed="false">
      <c r="A24" s="5" t="s">
        <v>128</v>
      </c>
      <c r="B24" s="22" t="n">
        <f aca="false">IFERROR(__xludf.DUMMYFUNCTION("IMPORTRANGE(Links!$B$4,""parametros_recargas!B2"")"),20)</f>
        <v>20</v>
      </c>
    </row>
    <row r="25" customFormat="false" ht="15" hidden="false" customHeight="false" outlineLevel="0" collapsed="false">
      <c r="A25" s="5" t="s">
        <v>129</v>
      </c>
      <c r="B25" s="23" t="n">
        <f aca="false">IFERROR(__xludf.DUMMYFUNCTION("IMPORTRANGE(Links!$B$4,""parametros_recargas!B5"")"),7.5)</f>
        <v>7.5</v>
      </c>
    </row>
    <row r="27" customFormat="false" ht="15" hidden="false" customHeight="false" outlineLevel="0" collapsed="false">
      <c r="A27" s="6" t="s">
        <v>130</v>
      </c>
      <c r="B27" s="6" t="s">
        <v>86</v>
      </c>
      <c r="C27" s="6" t="s">
        <v>87</v>
      </c>
      <c r="D27" s="6" t="s">
        <v>88</v>
      </c>
      <c r="E27" s="6" t="s">
        <v>89</v>
      </c>
      <c r="F27" s="6" t="s">
        <v>90</v>
      </c>
      <c r="G27" s="6" t="s">
        <v>91</v>
      </c>
      <c r="H27" s="6" t="s">
        <v>92</v>
      </c>
      <c r="I27" s="6" t="s">
        <v>93</v>
      </c>
      <c r="J27" s="6" t="s">
        <v>94</v>
      </c>
      <c r="K27" s="6" t="s">
        <v>95</v>
      </c>
      <c r="L27" s="6" t="s">
        <v>96</v>
      </c>
      <c r="M27" s="6" t="s">
        <v>97</v>
      </c>
    </row>
    <row r="28" customFormat="false" ht="15" hidden="false" customHeight="false" outlineLevel="0" collapsed="false">
      <c r="A28" s="5" t="s">
        <v>101</v>
      </c>
      <c r="B28" s="20" t="n">
        <f aca="false">IFERROR(__xludf.DUMMYFUNCTION("IMPORTRANGE(Links!$B$4,""parametros_recargas!E35:P41"")"),0.12)</f>
        <v>0.12</v>
      </c>
      <c r="C28" s="20" t="n">
        <f aca="false">IFERROR(__xludf.DUMMYFUNCTION("""COMPUTED_VALUE"""),0.0955555555555556)</f>
        <v>0.0955555555555556</v>
      </c>
      <c r="D28" s="20" t="n">
        <f aca="false">IFERROR(__xludf.DUMMYFUNCTION("""COMPUTED_VALUE"""),0.0711111111111111)</f>
        <v>0.0711111111111111</v>
      </c>
      <c r="E28" s="20" t="n">
        <f aca="false">IFERROR(__xludf.DUMMYFUNCTION("""COMPUTED_VALUE"""),0.0711111111111111)</f>
        <v>0.0711111111111111</v>
      </c>
      <c r="F28" s="20" t="n">
        <f aca="false">IFERROR(__xludf.DUMMYFUNCTION("""COMPUTED_VALUE"""),0.0711111111111111)</f>
        <v>0.0711111111111111</v>
      </c>
      <c r="G28" s="20" t="n">
        <f aca="false">IFERROR(__xludf.DUMMYFUNCTION("""COMPUTED_VALUE"""),0.0711111111111111)</f>
        <v>0.0711111111111111</v>
      </c>
      <c r="H28" s="20" t="n">
        <f aca="false">IFERROR(__xludf.DUMMYFUNCTION("""COMPUTED_VALUE"""),0.0711111111111111)</f>
        <v>0.0711111111111111</v>
      </c>
      <c r="I28" s="20" t="n">
        <f aca="false">IFERROR(__xludf.DUMMYFUNCTION("""COMPUTED_VALUE"""),0.0711111111111111)</f>
        <v>0.0711111111111111</v>
      </c>
      <c r="J28" s="20" t="n">
        <f aca="false">IFERROR(__xludf.DUMMYFUNCTION("""COMPUTED_VALUE"""),0.0711111111111111)</f>
        <v>0.0711111111111111</v>
      </c>
      <c r="K28" s="20" t="n">
        <f aca="false">IFERROR(__xludf.DUMMYFUNCTION("""COMPUTED_VALUE"""),0.0711111111111111)</f>
        <v>0.0711111111111111</v>
      </c>
      <c r="L28" s="20" t="n">
        <f aca="false">IFERROR(__xludf.DUMMYFUNCTION("""COMPUTED_VALUE"""),0.0955555555555556)</f>
        <v>0.0955555555555556</v>
      </c>
      <c r="M28" s="20" t="n">
        <f aca="false">IFERROR(__xludf.DUMMYFUNCTION("""COMPUTED_VALUE"""),0.12)</f>
        <v>0.12</v>
      </c>
    </row>
    <row r="29" customFormat="false" ht="15" hidden="false" customHeight="false" outlineLevel="0" collapsed="false">
      <c r="A29" s="5" t="s">
        <v>102</v>
      </c>
      <c r="B29" s="20" t="n">
        <f aca="false">IFERROR(__xludf.DUMMYFUNCTION("""COMPUTED_VALUE"""),0.0540540540540541)</f>
        <v>0.0540540540540541</v>
      </c>
      <c r="C29" s="20" t="n">
        <f aca="false">IFERROR(__xludf.DUMMYFUNCTION("""COMPUTED_VALUE"""),0.0540540540540541)</f>
        <v>0.0540540540540541</v>
      </c>
      <c r="D29" s="20" t="n">
        <f aca="false">IFERROR(__xludf.DUMMYFUNCTION("""COMPUTED_VALUE"""),0.0810810810810811)</f>
        <v>0.0810810810810811</v>
      </c>
      <c r="E29" s="20" t="n">
        <f aca="false">IFERROR(__xludf.DUMMYFUNCTION("""COMPUTED_VALUE"""),0.108108108108108)</f>
        <v>0.108108108108108</v>
      </c>
      <c r="F29" s="20" t="n">
        <f aca="false">IFERROR(__xludf.DUMMYFUNCTION("""COMPUTED_VALUE"""),0.108108108108108)</f>
        <v>0.108108108108108</v>
      </c>
      <c r="G29" s="20" t="n">
        <f aca="false">IFERROR(__xludf.DUMMYFUNCTION("""COMPUTED_VALUE"""),0.108108108108108)</f>
        <v>0.108108108108108</v>
      </c>
      <c r="H29" s="20" t="n">
        <f aca="false">IFERROR(__xludf.DUMMYFUNCTION("""COMPUTED_VALUE"""),0.0810810810810811)</f>
        <v>0.0810810810810811</v>
      </c>
      <c r="I29" s="20" t="n">
        <f aca="false">IFERROR(__xludf.DUMMYFUNCTION("""COMPUTED_VALUE"""),0.0810810810810811)</f>
        <v>0.0810810810810811</v>
      </c>
      <c r="J29" s="20" t="n">
        <f aca="false">IFERROR(__xludf.DUMMYFUNCTION("""COMPUTED_VALUE"""),0.0810810810810811)</f>
        <v>0.0810810810810811</v>
      </c>
      <c r="K29" s="20" t="n">
        <f aca="false">IFERROR(__xludf.DUMMYFUNCTION("""COMPUTED_VALUE"""),0.0810810810810811)</f>
        <v>0.0810810810810811</v>
      </c>
      <c r="L29" s="20" t="n">
        <f aca="false">IFERROR(__xludf.DUMMYFUNCTION("""COMPUTED_VALUE"""),0.0810810810810811)</f>
        <v>0.0810810810810811</v>
      </c>
      <c r="M29" s="20" t="n">
        <f aca="false">IFERROR(__xludf.DUMMYFUNCTION("""COMPUTED_VALUE"""),0.0810810810810811)</f>
        <v>0.0810810810810811</v>
      </c>
    </row>
    <row r="30" customFormat="false" ht="15" hidden="false" customHeight="false" outlineLevel="0" collapsed="false">
      <c r="A30" s="5" t="s">
        <v>103</v>
      </c>
      <c r="B30" s="20" t="n">
        <f aca="false">IFERROR(__xludf.DUMMYFUNCTION("""COMPUTED_VALUE"""),0.10126582278481)</f>
        <v>0.10126582278481</v>
      </c>
      <c r="C30" s="20" t="n">
        <f aca="false">IFERROR(__xludf.DUMMYFUNCTION("""COMPUTED_VALUE"""),0.10126582278481)</f>
        <v>0.10126582278481</v>
      </c>
      <c r="D30" s="20" t="n">
        <f aca="false">IFERROR(__xludf.DUMMYFUNCTION("""COMPUTED_VALUE"""),0.10126582278481)</f>
        <v>0.10126582278481</v>
      </c>
      <c r="E30" s="20" t="n">
        <f aca="false">IFERROR(__xludf.DUMMYFUNCTION("""COMPUTED_VALUE"""),0.0759493670886076)</f>
        <v>0.0759493670886076</v>
      </c>
      <c r="F30" s="20" t="n">
        <f aca="false">IFERROR(__xludf.DUMMYFUNCTION("""COMPUTED_VALUE"""),0.0759493670886076)</f>
        <v>0.0759493670886076</v>
      </c>
      <c r="G30" s="20" t="n">
        <f aca="false">IFERROR(__xludf.DUMMYFUNCTION("""COMPUTED_VALUE"""),0.0759493670886076)</f>
        <v>0.0759493670886076</v>
      </c>
      <c r="H30" s="20" t="n">
        <f aca="false">IFERROR(__xludf.DUMMYFUNCTION("""COMPUTED_VALUE"""),0.0886075949367089)</f>
        <v>0.0886075949367089</v>
      </c>
      <c r="I30" s="20" t="n">
        <f aca="false">IFERROR(__xludf.DUMMYFUNCTION("""COMPUTED_VALUE"""),0.0759493670886076)</f>
        <v>0.0759493670886076</v>
      </c>
      <c r="J30" s="20" t="n">
        <f aca="false">IFERROR(__xludf.DUMMYFUNCTION("""COMPUTED_VALUE"""),0.0759493670886076)</f>
        <v>0.0759493670886076</v>
      </c>
      <c r="K30" s="20" t="n">
        <f aca="false">IFERROR(__xludf.DUMMYFUNCTION("""COMPUTED_VALUE"""),0.0759493670886076)</f>
        <v>0.0759493670886076</v>
      </c>
      <c r="L30" s="20" t="n">
        <f aca="false">IFERROR(__xludf.DUMMYFUNCTION("""COMPUTED_VALUE"""),0.0759493670886076)</f>
        <v>0.0759493670886076</v>
      </c>
      <c r="M30" s="20" t="n">
        <f aca="false">IFERROR(__xludf.DUMMYFUNCTION("""COMPUTED_VALUE"""),0.0759493670886076)</f>
        <v>0.0759493670886076</v>
      </c>
    </row>
    <row r="31" customFormat="false" ht="15" hidden="false" customHeight="false" outlineLevel="0" collapsed="false">
      <c r="A31" s="5" t="s">
        <v>104</v>
      </c>
      <c r="B31" s="20" t="n">
        <f aca="false">IFERROR(__xludf.DUMMYFUNCTION("""COMPUTED_VALUE"""),0.0526315789473684)</f>
        <v>0.0526315789473684</v>
      </c>
      <c r="C31" s="20" t="n">
        <f aca="false">IFERROR(__xludf.DUMMYFUNCTION("""COMPUTED_VALUE"""),0.0526315789473684)</f>
        <v>0.0526315789473684</v>
      </c>
      <c r="D31" s="20" t="n">
        <f aca="false">IFERROR(__xludf.DUMMYFUNCTION("""COMPUTED_VALUE"""),0.0789473684210526)</f>
        <v>0.0789473684210526</v>
      </c>
      <c r="E31" s="20" t="n">
        <f aca="false">IFERROR(__xludf.DUMMYFUNCTION("""COMPUTED_VALUE"""),0.0789473684210526)</f>
        <v>0.0789473684210526</v>
      </c>
      <c r="F31" s="20" t="n">
        <f aca="false">IFERROR(__xludf.DUMMYFUNCTION("""COMPUTED_VALUE"""),0.105263157894737)</f>
        <v>0.105263157894737</v>
      </c>
      <c r="G31" s="20" t="n">
        <f aca="false">IFERROR(__xludf.DUMMYFUNCTION("""COMPUTED_VALUE"""),0.105263157894737)</f>
        <v>0.105263157894737</v>
      </c>
      <c r="H31" s="20" t="n">
        <f aca="false">IFERROR(__xludf.DUMMYFUNCTION("""COMPUTED_VALUE"""),0.0526315789473684)</f>
        <v>0.0526315789473684</v>
      </c>
      <c r="I31" s="20" t="n">
        <f aca="false">IFERROR(__xludf.DUMMYFUNCTION("""COMPUTED_VALUE"""),0.105263157894737)</f>
        <v>0.105263157894737</v>
      </c>
      <c r="J31" s="20" t="n">
        <f aca="false">IFERROR(__xludf.DUMMYFUNCTION("""COMPUTED_VALUE"""),0.105263157894737)</f>
        <v>0.105263157894737</v>
      </c>
      <c r="K31" s="20" t="n">
        <f aca="false">IFERROR(__xludf.DUMMYFUNCTION("""COMPUTED_VALUE"""),0.105263157894737)</f>
        <v>0.105263157894737</v>
      </c>
      <c r="L31" s="20" t="n">
        <f aca="false">IFERROR(__xludf.DUMMYFUNCTION("""COMPUTED_VALUE"""),0.0789473684210526)</f>
        <v>0.0789473684210526</v>
      </c>
      <c r="M31" s="20" t="n">
        <f aca="false">IFERROR(__xludf.DUMMYFUNCTION("""COMPUTED_VALUE"""),0.0789473684210526)</f>
        <v>0.0789473684210526</v>
      </c>
    </row>
    <row r="32" customFormat="false" ht="15" hidden="false" customHeight="false" outlineLevel="0" collapsed="false">
      <c r="A32" s="5" t="s">
        <v>105</v>
      </c>
      <c r="B32" s="20" t="n">
        <f aca="false">IFERROR(__xludf.DUMMYFUNCTION("""COMPUTED_VALUE"""),0.0833333333333333)</f>
        <v>0.0833333333333333</v>
      </c>
      <c r="C32" s="20" t="n">
        <f aca="false">IFERROR(__xludf.DUMMYFUNCTION("""COMPUTED_VALUE"""),0.0833333333333333)</f>
        <v>0.0833333333333333</v>
      </c>
      <c r="D32" s="20" t="n">
        <f aca="false">IFERROR(__xludf.DUMMYFUNCTION("""COMPUTED_VALUE"""),0.0833333333333333)</f>
        <v>0.0833333333333333</v>
      </c>
      <c r="E32" s="20" t="n">
        <f aca="false">IFERROR(__xludf.DUMMYFUNCTION("""COMPUTED_VALUE"""),0.0833333333333333)</f>
        <v>0.0833333333333333</v>
      </c>
      <c r="F32" s="20" t="n">
        <f aca="false">IFERROR(__xludf.DUMMYFUNCTION("""COMPUTED_VALUE"""),0.0833333333333333)</f>
        <v>0.0833333333333333</v>
      </c>
      <c r="G32" s="20" t="n">
        <f aca="false">IFERROR(__xludf.DUMMYFUNCTION("""COMPUTED_VALUE"""),0.0833333333333333)</f>
        <v>0.0833333333333333</v>
      </c>
      <c r="H32" s="20" t="n">
        <f aca="false">IFERROR(__xludf.DUMMYFUNCTION("""COMPUTED_VALUE"""),0.0833333333333333)</f>
        <v>0.0833333333333333</v>
      </c>
      <c r="I32" s="20" t="n">
        <f aca="false">IFERROR(__xludf.DUMMYFUNCTION("""COMPUTED_VALUE"""),0.0833333333333333)</f>
        <v>0.0833333333333333</v>
      </c>
      <c r="J32" s="20" t="n">
        <f aca="false">IFERROR(__xludf.DUMMYFUNCTION("""COMPUTED_VALUE"""),0.0833333333333333)</f>
        <v>0.0833333333333333</v>
      </c>
      <c r="K32" s="20" t="n">
        <f aca="false">IFERROR(__xludf.DUMMYFUNCTION("""COMPUTED_VALUE"""),0.0833333333333333)</f>
        <v>0.0833333333333333</v>
      </c>
      <c r="L32" s="20" t="n">
        <f aca="false">IFERROR(__xludf.DUMMYFUNCTION("""COMPUTED_VALUE"""),0.0833333333333333)</f>
        <v>0.0833333333333333</v>
      </c>
      <c r="M32" s="20" t="n">
        <f aca="false">IFERROR(__xludf.DUMMYFUNCTION("""COMPUTED_VALUE"""),0.0833333333333333)</f>
        <v>0.0833333333333333</v>
      </c>
    </row>
    <row r="33" customFormat="false" ht="15" hidden="false" customHeight="false" outlineLevel="0" collapsed="false">
      <c r="A33" s="5" t="s">
        <v>106</v>
      </c>
      <c r="B33" s="20" t="n">
        <f aca="false">IFERROR(__xludf.DUMMYFUNCTION("""COMPUTED_VALUE"""),0.111111111111111)</f>
        <v>0.111111111111111</v>
      </c>
      <c r="C33" s="20" t="n">
        <f aca="false">IFERROR(__xludf.DUMMYFUNCTION("""COMPUTED_VALUE"""),0.111111111111111)</f>
        <v>0.111111111111111</v>
      </c>
      <c r="D33" s="20" t="n">
        <f aca="false">IFERROR(__xludf.DUMMYFUNCTION("""COMPUTED_VALUE"""),0.0833333333333333)</f>
        <v>0.0833333333333333</v>
      </c>
      <c r="E33" s="20" t="n">
        <f aca="false">IFERROR(__xludf.DUMMYFUNCTION("""COMPUTED_VALUE"""),0.0833333333333333)</f>
        <v>0.0833333333333333</v>
      </c>
      <c r="F33" s="20" t="n">
        <f aca="false">IFERROR(__xludf.DUMMYFUNCTION("""COMPUTED_VALUE"""),0.0833333333333333)</f>
        <v>0.0833333333333333</v>
      </c>
      <c r="G33" s="20" t="n">
        <f aca="false">IFERROR(__xludf.DUMMYFUNCTION("""COMPUTED_VALUE"""),0.0555555555555556)</f>
        <v>0.0555555555555556</v>
      </c>
      <c r="H33" s="20" t="n">
        <f aca="false">IFERROR(__xludf.DUMMYFUNCTION("""COMPUTED_VALUE"""),0.0555555555555556)</f>
        <v>0.0555555555555556</v>
      </c>
      <c r="I33" s="20" t="n">
        <f aca="false">IFERROR(__xludf.DUMMYFUNCTION("""COMPUTED_VALUE"""),0.0555555555555556)</f>
        <v>0.0555555555555556</v>
      </c>
      <c r="J33" s="20" t="n">
        <f aca="false">IFERROR(__xludf.DUMMYFUNCTION("""COMPUTED_VALUE"""),0.0833333333333333)</f>
        <v>0.0833333333333333</v>
      </c>
      <c r="K33" s="20" t="n">
        <f aca="false">IFERROR(__xludf.DUMMYFUNCTION("""COMPUTED_VALUE"""),0.0833333333333333)</f>
        <v>0.0833333333333333</v>
      </c>
      <c r="L33" s="20" t="n">
        <f aca="false">IFERROR(__xludf.DUMMYFUNCTION("""COMPUTED_VALUE"""),0.0833333333333333)</f>
        <v>0.0833333333333333</v>
      </c>
      <c r="M33" s="20" t="n">
        <f aca="false">IFERROR(__xludf.DUMMYFUNCTION("""COMPUTED_VALUE"""),0.111111111111111)</f>
        <v>0.111111111111111</v>
      </c>
    </row>
    <row r="34" customFormat="false" ht="15" hidden="false" customHeight="false" outlineLevel="0" collapsed="false">
      <c r="A34" s="5" t="s">
        <v>107</v>
      </c>
      <c r="B34" s="20" t="n">
        <f aca="false">IFERROR(__xludf.DUMMYFUNCTION("""COMPUTED_VALUE"""),0.0555555555555556)</f>
        <v>0.0555555555555556</v>
      </c>
      <c r="C34" s="20" t="n">
        <f aca="false">IFERROR(__xludf.DUMMYFUNCTION("""COMPUTED_VALUE"""),0.0555555555555556)</f>
        <v>0.0555555555555556</v>
      </c>
      <c r="D34" s="20" t="n">
        <f aca="false">IFERROR(__xludf.DUMMYFUNCTION("""COMPUTED_VALUE"""),0.0833333333333333)</f>
        <v>0.0833333333333333</v>
      </c>
      <c r="E34" s="20" t="n">
        <f aca="false">IFERROR(__xludf.DUMMYFUNCTION("""COMPUTED_VALUE"""),0.0833333333333333)</f>
        <v>0.0833333333333333</v>
      </c>
      <c r="F34" s="20" t="n">
        <f aca="false">IFERROR(__xludf.DUMMYFUNCTION("""COMPUTED_VALUE"""),0.111111111111111)</f>
        <v>0.111111111111111</v>
      </c>
      <c r="G34" s="20" t="n">
        <f aca="false">IFERROR(__xludf.DUMMYFUNCTION("""COMPUTED_VALUE"""),0.111111111111111)</f>
        <v>0.111111111111111</v>
      </c>
      <c r="H34" s="20" t="n">
        <f aca="false">IFERROR(__xludf.DUMMYFUNCTION("""COMPUTED_VALUE"""),0.111111111111111)</f>
        <v>0.111111111111111</v>
      </c>
      <c r="I34" s="20" t="n">
        <f aca="false">IFERROR(__xludf.DUMMYFUNCTION("""COMPUTED_VALUE"""),0.111111111111111)</f>
        <v>0.111111111111111</v>
      </c>
      <c r="J34" s="20" t="n">
        <f aca="false">IFERROR(__xludf.DUMMYFUNCTION("""COMPUTED_VALUE"""),0.0833333333333333)</f>
        <v>0.0833333333333333</v>
      </c>
      <c r="K34" s="20" t="n">
        <f aca="false">IFERROR(__xludf.DUMMYFUNCTION("""COMPUTED_VALUE"""),0.0833333333333333)</f>
        <v>0.0833333333333333</v>
      </c>
      <c r="L34" s="20" t="n">
        <f aca="false">IFERROR(__xludf.DUMMYFUNCTION("""COMPUTED_VALUE"""),0.0555555555555556)</f>
        <v>0.0555555555555556</v>
      </c>
      <c r="M34" s="20" t="n">
        <f aca="false">IFERROR(__xludf.DUMMYFUNCTION("""COMPUTED_VALUE"""),0.0555555555555556)</f>
        <v>0.0555555555555556</v>
      </c>
    </row>
    <row r="37" customFormat="false" ht="15" hidden="false" customHeight="false" outlineLevel="0" collapsed="false">
      <c r="A37" s="1" t="s">
        <v>131</v>
      </c>
    </row>
    <row r="38" customFormat="false" ht="35.05" hidden="false" customHeight="false" outlineLevel="0" collapsed="false">
      <c r="A38" s="6" t="s">
        <v>85</v>
      </c>
      <c r="B38" s="6" t="s">
        <v>86</v>
      </c>
      <c r="C38" s="6" t="s">
        <v>87</v>
      </c>
      <c r="D38" s="6" t="s">
        <v>88</v>
      </c>
      <c r="E38" s="6" t="s">
        <v>89</v>
      </c>
      <c r="F38" s="6" t="s">
        <v>90</v>
      </c>
      <c r="G38" s="6" t="s">
        <v>91</v>
      </c>
      <c r="H38" s="6" t="s">
        <v>92</v>
      </c>
      <c r="I38" s="6" t="s">
        <v>93</v>
      </c>
      <c r="J38" s="6" t="s">
        <v>94</v>
      </c>
      <c r="K38" s="6" t="s">
        <v>95</v>
      </c>
      <c r="L38" s="6" t="s">
        <v>96</v>
      </c>
      <c r="M38" s="6" t="s">
        <v>97</v>
      </c>
      <c r="N38" s="6" t="s">
        <v>98</v>
      </c>
      <c r="O38" s="6" t="s">
        <v>99</v>
      </c>
      <c r="P38" s="6" t="s">
        <v>100</v>
      </c>
      <c r="Q38" s="6" t="s">
        <v>101</v>
      </c>
      <c r="R38" s="6" t="s">
        <v>102</v>
      </c>
      <c r="S38" s="6" t="s">
        <v>103</v>
      </c>
      <c r="T38" s="6" t="s">
        <v>104</v>
      </c>
      <c r="U38" s="6" t="s">
        <v>105</v>
      </c>
      <c r="V38" s="6" t="s">
        <v>106</v>
      </c>
      <c r="W38" s="6" t="s">
        <v>107</v>
      </c>
      <c r="X38" s="6" t="s">
        <v>108</v>
      </c>
    </row>
    <row r="39" customFormat="false" ht="15" hidden="false" customHeight="false" outlineLevel="0" collapsed="false">
      <c r="A39" s="5" t="s">
        <v>109</v>
      </c>
      <c r="B39" s="20" t="n">
        <f aca="false">IFERROR(__xludf.DUMMYFUNCTION("IMPORTRANGE(Links!$B$5,""parametros_recargas!E55:P72"")"),0.119895289559294)</f>
        <v>0.119895289559294</v>
      </c>
      <c r="C39" s="20" t="n">
        <f aca="false">IFERROR(__xludf.DUMMYFUNCTION("""COMPUTED_VALUE"""),0.0954891339827875)</f>
        <v>0.0954891339827875</v>
      </c>
      <c r="D39" s="20" t="n">
        <f aca="false">IFERROR(__xludf.DUMMYFUNCTION("""COMPUTED_VALUE"""),0.071124604952686)</f>
        <v>0.071124604952686</v>
      </c>
      <c r="E39" s="20" t="n">
        <f aca="false">IFERROR(__xludf.DUMMYFUNCTION("""COMPUTED_VALUE"""),0.071124604952686)</f>
        <v>0.071124604952686</v>
      </c>
      <c r="F39" s="20" t="n">
        <f aca="false">IFERROR(__xludf.DUMMYFUNCTION("""COMPUTED_VALUE"""),0.0711662314990906)</f>
        <v>0.0711662314990906</v>
      </c>
      <c r="G39" s="20" t="n">
        <f aca="false">IFERROR(__xludf.DUMMYFUNCTION("""COMPUTED_VALUE"""),0.0711662314990906)</f>
        <v>0.0711662314990906</v>
      </c>
      <c r="H39" s="20" t="n">
        <f aca="false">IFERROR(__xludf.DUMMYFUNCTION("""COMPUTED_VALUE"""),0.0710984243903592)</f>
        <v>0.0710984243903592</v>
      </c>
      <c r="I39" s="20" t="n">
        <f aca="false">IFERROR(__xludf.DUMMYFUNCTION("""COMPUTED_VALUE"""),0.0711662314990906)</f>
        <v>0.0711662314990906</v>
      </c>
      <c r="J39" s="20" t="n">
        <f aca="false">IFERROR(__xludf.DUMMYFUNCTION("""COMPUTED_VALUE"""),0.0711585085070517)</f>
        <v>0.0711585085070517</v>
      </c>
      <c r="K39" s="20" t="n">
        <f aca="false">IFERROR(__xludf.DUMMYFUNCTION("""COMPUTED_VALUE"""),0.0711585085070517)</f>
        <v>0.0711585085070517</v>
      </c>
      <c r="L39" s="20" t="n">
        <f aca="false">IFERROR(__xludf.DUMMYFUNCTION("""COMPUTED_VALUE"""),0.0955230375371532)</f>
        <v>0.0955230375371532</v>
      </c>
      <c r="M39" s="20" t="n">
        <f aca="false">IFERROR(__xludf.DUMMYFUNCTION("""COMPUTED_VALUE"""),0.119929193113659)</f>
        <v>0.119929193113659</v>
      </c>
      <c r="N39" s="21" t="n">
        <f aca="false">IFERROR(__xludf.DUMMYFUNCTION("IMPORTRANGE(Links!$B$5,""datos_base!K2:K18"")"),56575.8368575054)</f>
        <v>56575.8368575054</v>
      </c>
      <c r="O39" s="22" t="n">
        <f aca="false">IFERROR(__xludf.DUMMYFUNCTION("IMPORTRANGE(Links!$B$5,""sobrestock_sustitutos!B30:B46"")"),0)</f>
        <v>0</v>
      </c>
      <c r="P39" s="21" t="n">
        <f aca="false">IFERROR(__xludf.DUMMYFUNCTION("IMPORTRANGE(Links!$B$5,""sobrestock_sustitutos!K51:K67"")"),0)</f>
        <v>0</v>
      </c>
      <c r="Q39" s="21" t="n">
        <f aca="false">IFERROR(__xludf.DUMMYFUNCTION("IMPORTRANGE(Links!$B$5,""PROY_Indexado!B57:H73"")"),1188664)</f>
        <v>1188664</v>
      </c>
      <c r="R39" s="21" t="n">
        <f aca="false">IFERROR(__xludf.DUMMYFUNCTION("""COMPUTED_VALUE"""),0)</f>
        <v>0</v>
      </c>
      <c r="S39" s="21" t="n">
        <f aca="false">IFERROR(__xludf.DUMMYFUNCTION("""COMPUTED_VALUE"""),0)</f>
        <v>0</v>
      </c>
      <c r="T39" s="21" t="n">
        <f aca="false">IFERROR(__xludf.DUMMYFUNCTION("""COMPUTED_VALUE"""),1533.8)</f>
        <v>1533.8</v>
      </c>
      <c r="U39" s="21" t="n">
        <f aca="false">IFERROR(__xludf.DUMMYFUNCTION("""COMPUTED_VALUE"""),0)</f>
        <v>0</v>
      </c>
      <c r="V39" s="21" t="n">
        <f aca="false">IFERROR(__xludf.DUMMYFUNCTION("""COMPUTED_VALUE"""),0)</f>
        <v>0</v>
      </c>
      <c r="W39" s="21" t="n">
        <f aca="false">IFERROR(__xludf.DUMMYFUNCTION("""COMPUTED_VALUE"""),331)</f>
        <v>331</v>
      </c>
      <c r="X39" s="7" t="n">
        <f aca="false">SUM(Q39:W39)</f>
        <v>1190528.8</v>
      </c>
    </row>
    <row r="40" customFormat="false" ht="15" hidden="false" customHeight="false" outlineLevel="0" collapsed="false">
      <c r="A40" s="5" t="s">
        <v>110</v>
      </c>
      <c r="B40" s="20" t="n">
        <f aca="false">IFERROR(__xludf.DUMMYFUNCTION("""COMPUTED_VALUE"""),0.0608346558815601)</f>
        <v>0.0608346558815601</v>
      </c>
      <c r="C40" s="20" t="n">
        <f aca="false">IFERROR(__xludf.DUMMYFUNCTION("""COMPUTED_VALUE"""),0.0608346558815601)</f>
        <v>0.0608346558815601</v>
      </c>
      <c r="D40" s="20" t="n">
        <f aca="false">IFERROR(__xludf.DUMMYFUNCTION("""COMPUTED_VALUE"""),0.082643351275423)</f>
        <v>0.082643351275423</v>
      </c>
      <c r="E40" s="20" t="n">
        <f aca="false">IFERROR(__xludf.DUMMYFUNCTION("""COMPUTED_VALUE"""),0.0953382202836263)</f>
        <v>0.0953382202836263</v>
      </c>
      <c r="F40" s="20" t="n">
        <f aca="false">IFERROR(__xludf.DUMMYFUNCTION("""COMPUTED_VALUE"""),0.103308847602848)</f>
        <v>0.103308847602848</v>
      </c>
      <c r="G40" s="20" t="n">
        <f aca="false">IFERROR(__xludf.DUMMYFUNCTION("""COMPUTED_VALUE"""),0.10204440072004)</f>
        <v>0.10204440072004</v>
      </c>
      <c r="H40" s="20" t="n">
        <f aca="false">IFERROR(__xludf.DUMMYFUNCTION("""COMPUTED_VALUE"""),0.0745034484311485)</f>
        <v>0.0745034484311485</v>
      </c>
      <c r="I40" s="20" t="n">
        <f aca="false">IFERROR(__xludf.DUMMYFUNCTION("""COMPUTED_VALUE"""),0.0869418857625907)</f>
        <v>0.0869418857625907</v>
      </c>
      <c r="J40" s="20" t="n">
        <f aca="false">IFERROR(__xludf.DUMMYFUNCTION("""COMPUTED_VALUE"""),0.0870568354792096)</f>
        <v>0.0870568354792096</v>
      </c>
      <c r="K40" s="20" t="n">
        <f aca="false">IFERROR(__xludf.DUMMYFUNCTION("""COMPUTED_VALUE"""),0.0870568354792096)</f>
        <v>0.0870568354792096</v>
      </c>
      <c r="L40" s="20" t="n">
        <f aca="false">IFERROR(__xludf.DUMMYFUNCTION("""COMPUTED_VALUE"""),0.0790862081599875)</f>
        <v>0.0790862081599875</v>
      </c>
      <c r="M40" s="20" t="n">
        <f aca="false">IFERROR(__xludf.DUMMYFUNCTION("""COMPUTED_VALUE"""),0.080350655042796)</f>
        <v>0.080350655042796</v>
      </c>
      <c r="N40" s="21" t="n">
        <f aca="false">IFERROR(__xludf.DUMMYFUNCTION("""COMPUTED_VALUE"""),4790.71011839089)</f>
        <v>4790.71011839089</v>
      </c>
      <c r="O40" s="22" t="n">
        <f aca="false">IFERROR(__xludf.DUMMYFUNCTION("""COMPUTED_VALUE"""),1)</f>
        <v>1</v>
      </c>
      <c r="P40" s="21" t="n">
        <f aca="false">IFERROR(__xludf.DUMMYFUNCTION("""COMPUTED_VALUE"""),76)</f>
        <v>76</v>
      </c>
      <c r="Q40" s="21" t="n">
        <f aca="false">IFERROR(__xludf.DUMMYFUNCTION("""COMPUTED_VALUE"""),0)</f>
        <v>0</v>
      </c>
      <c r="R40" s="21" t="n">
        <f aca="false">IFERROR(__xludf.DUMMYFUNCTION("""COMPUTED_VALUE"""),51231.6)</f>
        <v>51231.6</v>
      </c>
      <c r="S40" s="21" t="n">
        <f aca="false">IFERROR(__xludf.DUMMYFUNCTION("""COMPUTED_VALUE"""),8719.2)</f>
        <v>8719.2</v>
      </c>
      <c r="T40" s="21" t="n">
        <f aca="false">IFERROR(__xludf.DUMMYFUNCTION("""COMPUTED_VALUE"""),23764.4)</f>
        <v>23764.4</v>
      </c>
      <c r="U40" s="21" t="n">
        <f aca="false">IFERROR(__xludf.DUMMYFUNCTION("""COMPUTED_VALUE"""),0)</f>
        <v>0</v>
      </c>
      <c r="V40" s="21" t="n">
        <f aca="false">IFERROR(__xludf.DUMMYFUNCTION("""COMPUTED_VALUE"""),4173.4)</f>
        <v>4173.4</v>
      </c>
      <c r="W40" s="21" t="n">
        <f aca="false">IFERROR(__xludf.DUMMYFUNCTION("""COMPUTED_VALUE"""),3794)</f>
        <v>3794</v>
      </c>
      <c r="X40" s="7" t="n">
        <f aca="false">SUM(Q40:W40)</f>
        <v>91682.6</v>
      </c>
    </row>
    <row r="41" customFormat="false" ht="15" hidden="false" customHeight="false" outlineLevel="0" collapsed="false">
      <c r="A41" s="5" t="s">
        <v>111</v>
      </c>
      <c r="B41" s="20" t="n">
        <f aca="false">IFERROR(__xludf.DUMMYFUNCTION("""COMPUTED_VALUE"""),0.0669778155176287)</f>
        <v>0.0669778155176287</v>
      </c>
      <c r="C41" s="20" t="n">
        <f aca="false">IFERROR(__xludf.DUMMYFUNCTION("""COMPUTED_VALUE"""),0.0652614335824934)</f>
        <v>0.0652614335824934</v>
      </c>
      <c r="D41" s="20" t="n">
        <f aca="false">IFERROR(__xludf.DUMMYFUNCTION("""COMPUTED_VALUE"""),0.0819248891202413)</f>
        <v>0.0819248891202413</v>
      </c>
      <c r="E41" s="20" t="n">
        <f aca="false">IFERROR(__xludf.DUMMYFUNCTION("""COMPUTED_VALUE"""),0.0996461832727322)</f>
        <v>0.0996461832727322</v>
      </c>
      <c r="F41" s="20" t="n">
        <f aca="false">IFERROR(__xludf.DUMMYFUNCTION("""COMPUTED_VALUE"""),0.100150076298148)</f>
        <v>0.100150076298148</v>
      </c>
      <c r="G41" s="20" t="n">
        <f aca="false">IFERROR(__xludf.DUMMYFUNCTION("""COMPUTED_VALUE"""),0.0987344570187928)</f>
        <v>0.0987344570187928</v>
      </c>
      <c r="H41" s="20" t="n">
        <f aca="false">IFERROR(__xludf.DUMMYFUNCTION("""COMPUTED_VALUE"""),0.0795692614778467)</f>
        <v>0.0795692614778467</v>
      </c>
      <c r="I41" s="20" t="n">
        <f aca="false">IFERROR(__xludf.DUMMYFUNCTION("""COMPUTED_VALUE"""),0.0794428932919701)</f>
        <v>0.0794428932919701</v>
      </c>
      <c r="J41" s="20" t="n">
        <f aca="false">IFERROR(__xludf.DUMMYFUNCTION("""COMPUTED_VALUE"""),0.0806840028465543)</f>
        <v>0.0806840028465543</v>
      </c>
      <c r="K41" s="20" t="n">
        <f aca="false">IFERROR(__xludf.DUMMYFUNCTION("""COMPUTED_VALUE"""),0.0806840028465543)</f>
        <v>0.0806840028465543</v>
      </c>
      <c r="L41" s="20" t="n">
        <f aca="false">IFERROR(__xludf.DUMMYFUNCTION("""COMPUTED_VALUE"""),0.0818964917562743)</f>
        <v>0.0818964917562743</v>
      </c>
      <c r="M41" s="20" t="n">
        <f aca="false">IFERROR(__xludf.DUMMYFUNCTION("""COMPUTED_VALUE"""),0.0850284929707643)</f>
        <v>0.0850284929707643</v>
      </c>
      <c r="N41" s="21" t="n">
        <f aca="false">IFERROR(__xludf.DUMMYFUNCTION("""COMPUTED_VALUE"""),29139.3203107948)</f>
        <v>29139.3203107948</v>
      </c>
      <c r="O41" s="22" t="n">
        <f aca="false">IFERROR(__xludf.DUMMYFUNCTION("""COMPUTED_VALUE"""),1)</f>
        <v>1</v>
      </c>
      <c r="P41" s="21" t="n">
        <f aca="false">IFERROR(__xludf.DUMMYFUNCTION("""COMPUTED_VALUE"""),446)</f>
        <v>446</v>
      </c>
      <c r="Q41" s="21" t="n">
        <f aca="false">IFERROR(__xludf.DUMMYFUNCTION("""COMPUTED_VALUE"""),36760)</f>
        <v>36760</v>
      </c>
      <c r="R41" s="21" t="n">
        <f aca="false">IFERROR(__xludf.DUMMYFUNCTION("""COMPUTED_VALUE"""),373689.5)</f>
        <v>373689.5</v>
      </c>
      <c r="S41" s="21" t="n">
        <f aca="false">IFERROR(__xludf.DUMMYFUNCTION("""COMPUTED_VALUE"""),32472.3)</f>
        <v>32472.3</v>
      </c>
      <c r="T41" s="21" t="n">
        <f aca="false">IFERROR(__xludf.DUMMYFUNCTION("""COMPUTED_VALUE"""),6552.8)</f>
        <v>6552.8</v>
      </c>
      <c r="U41" s="21" t="n">
        <f aca="false">IFERROR(__xludf.DUMMYFUNCTION("""COMPUTED_VALUE"""),44086.3)</f>
        <v>44086.3</v>
      </c>
      <c r="V41" s="21" t="n">
        <f aca="false">IFERROR(__xludf.DUMMYFUNCTION("""COMPUTED_VALUE"""),26680.3)</f>
        <v>26680.3</v>
      </c>
      <c r="W41" s="21" t="n">
        <f aca="false">IFERROR(__xludf.DUMMYFUNCTION("""COMPUTED_VALUE"""),3289)</f>
        <v>3289</v>
      </c>
      <c r="X41" s="7" t="n">
        <f aca="false">SUM(Q41:W41)</f>
        <v>523530.2</v>
      </c>
    </row>
    <row r="42" customFormat="false" ht="15" hidden="false" customHeight="false" outlineLevel="0" collapsed="false">
      <c r="A42" s="5" t="s">
        <v>112</v>
      </c>
      <c r="B42" s="20" t="n">
        <f aca="false">IFERROR(__xludf.DUMMYFUNCTION("""COMPUTED_VALUE"""),0.0656624516770873)</f>
        <v>0.0656624516770873</v>
      </c>
      <c r="C42" s="20" t="n">
        <f aca="false">IFERROR(__xludf.DUMMYFUNCTION("""COMPUTED_VALUE"""),0.0656624516770873)</f>
        <v>0.0656624516770873</v>
      </c>
      <c r="D42" s="20" t="n">
        <f aca="false">IFERROR(__xludf.DUMMYFUNCTION("""COMPUTED_VALUE"""),0.0834634227222184)</f>
        <v>0.0834634227222184</v>
      </c>
      <c r="E42" s="20" t="n">
        <f aca="false">IFERROR(__xludf.DUMMYFUNCTION("""COMPUTED_VALUE"""),0.100292059397134)</f>
        <v>0.100292059397134</v>
      </c>
      <c r="F42" s="20" t="n">
        <f aca="false">IFERROR(__xludf.DUMMYFUNCTION("""COMPUTED_VALUE"""),0.101604548245527)</f>
        <v>0.101604548245527</v>
      </c>
      <c r="G42" s="20" t="n">
        <f aca="false">IFERROR(__xludf.DUMMYFUNCTION("""COMPUTED_VALUE"""),0.0984624354955731)</f>
        <v>0.0984624354955731</v>
      </c>
      <c r="H42" s="20" t="n">
        <f aca="false">IFERROR(__xludf.DUMMYFUNCTION("""COMPUTED_VALUE"""),0.0776078419879838)</f>
        <v>0.0776078419879838</v>
      </c>
      <c r="I42" s="20" t="n">
        <f aca="false">IFERROR(__xludf.DUMMYFUNCTION("""COMPUTED_VALUE"""),0.0788318405488818)</f>
        <v>0.0788318405488818</v>
      </c>
      <c r="J42" s="20" t="n">
        <f aca="false">IFERROR(__xludf.DUMMYFUNCTION("""COMPUTED_VALUE"""),0.0819739532988352)</f>
        <v>0.0819739532988352</v>
      </c>
      <c r="K42" s="20" t="n">
        <f aca="false">IFERROR(__xludf.DUMMYFUNCTION("""COMPUTED_VALUE"""),0.0819739532988352)</f>
        <v>0.0819739532988352</v>
      </c>
      <c r="L42" s="20" t="n">
        <f aca="false">IFERROR(__xludf.DUMMYFUNCTION("""COMPUTED_VALUE"""),0.0806614644504421)</f>
        <v>0.0806614644504421</v>
      </c>
      <c r="M42" s="20" t="n">
        <f aca="false">IFERROR(__xludf.DUMMYFUNCTION("""COMPUTED_VALUE"""),0.0838035772003955)</f>
        <v>0.0838035772003955</v>
      </c>
      <c r="N42" s="21" t="n">
        <f aca="false">IFERROR(__xludf.DUMMYFUNCTION("""COMPUTED_VALUE"""),1725.36955653994)</f>
        <v>1725.36955653994</v>
      </c>
      <c r="O42" s="22" t="n">
        <f aca="false">IFERROR(__xludf.DUMMYFUNCTION("""COMPUTED_VALUE"""),1)</f>
        <v>1</v>
      </c>
      <c r="P42" s="21" t="n">
        <f aca="false">IFERROR(__xludf.DUMMYFUNCTION("""COMPUTED_VALUE"""),28)</f>
        <v>28</v>
      </c>
      <c r="Q42" s="21" t="n">
        <f aca="false">IFERROR(__xludf.DUMMYFUNCTION("""COMPUTED_VALUE"""),0)</f>
        <v>0</v>
      </c>
      <c r="R42" s="21" t="n">
        <f aca="false">IFERROR(__xludf.DUMMYFUNCTION("""COMPUTED_VALUE"""),22903.5)</f>
        <v>22903.5</v>
      </c>
      <c r="S42" s="21" t="n">
        <f aca="false">IFERROR(__xludf.DUMMYFUNCTION("""COMPUTED_VALUE"""),3490)</f>
        <v>3490</v>
      </c>
      <c r="T42" s="21" t="n">
        <f aca="false">IFERROR(__xludf.DUMMYFUNCTION("""COMPUTED_VALUE"""),1572.7)</f>
        <v>1572.7</v>
      </c>
      <c r="U42" s="21" t="n">
        <f aca="false">IFERROR(__xludf.DUMMYFUNCTION("""COMPUTED_VALUE"""),0)</f>
        <v>0</v>
      </c>
      <c r="V42" s="21" t="n">
        <f aca="false">IFERROR(__xludf.DUMMYFUNCTION("""COMPUTED_VALUE"""),3566.9)</f>
        <v>3566.9</v>
      </c>
      <c r="W42" s="21" t="n">
        <f aca="false">IFERROR(__xludf.DUMMYFUNCTION("""COMPUTED_VALUE"""),0)</f>
        <v>0</v>
      </c>
      <c r="X42" s="7" t="n">
        <f aca="false">SUM(Q42:W42)</f>
        <v>31533.1</v>
      </c>
    </row>
    <row r="43" customFormat="false" ht="15" hidden="false" customHeight="false" outlineLevel="0" collapsed="false">
      <c r="A43" s="5" t="s">
        <v>113</v>
      </c>
      <c r="B43" s="20" t="n">
        <f aca="false">IFERROR(__xludf.DUMMYFUNCTION("""COMPUTED_VALUE"""),0.0671288961017088)</f>
        <v>0.0671288961017088</v>
      </c>
      <c r="C43" s="20" t="n">
        <f aca="false">IFERROR(__xludf.DUMMYFUNCTION("""COMPUTED_VALUE"""),0.0671288961017088)</f>
        <v>0.0671288961017088</v>
      </c>
      <c r="D43" s="20" t="n">
        <f aca="false">IFERROR(__xludf.DUMMYFUNCTION("""COMPUTED_VALUE"""),0.082960331994099)</f>
        <v>0.082960331994099</v>
      </c>
      <c r="E43" s="20" t="n">
        <f aca="false">IFERROR(__xludf.DUMMYFUNCTION("""COMPUTED_VALUE"""),0.0994555948834204)</f>
        <v>0.0994555948834204</v>
      </c>
      <c r="F43" s="20" t="n">
        <f aca="false">IFERROR(__xludf.DUMMYFUNCTION("""COMPUTED_VALUE"""),0.100324801949947)</f>
        <v>0.100324801949947</v>
      </c>
      <c r="G43" s="20" t="n">
        <f aca="false">IFERROR(__xludf.DUMMYFUNCTION("""COMPUTED_VALUE"""),0.0970172977837637)</f>
        <v>0.0970172977837637</v>
      </c>
      <c r="H43" s="20" t="n">
        <f aca="false">IFERROR(__xludf.DUMMYFUNCTION("""COMPUTED_VALUE"""),0.0783455208911489)</f>
        <v>0.0783455208911489</v>
      </c>
      <c r="I43" s="20" t="n">
        <f aca="false">IFERROR(__xludf.DUMMYFUNCTION("""COMPUTED_VALUE"""),0.078747564791717)</f>
        <v>0.078747564791717</v>
      </c>
      <c r="J43" s="20" t="n">
        <f aca="false">IFERROR(__xludf.DUMMYFUNCTION("""COMPUTED_VALUE"""),0.0818305013673391)</f>
        <v>0.0818305013673391</v>
      </c>
      <c r="K43" s="20" t="n">
        <f aca="false">IFERROR(__xludf.DUMMYFUNCTION("""COMPUTED_VALUE"""),0.0818305013673391)</f>
        <v>0.0818305013673391</v>
      </c>
      <c r="L43" s="20" t="n">
        <f aca="false">IFERROR(__xludf.DUMMYFUNCTION("""COMPUTED_VALUE"""),0.0809612943008125)</f>
        <v>0.0809612943008125</v>
      </c>
      <c r="M43" s="20" t="n">
        <f aca="false">IFERROR(__xludf.DUMMYFUNCTION("""COMPUTED_VALUE"""),0.0842687984669957)</f>
        <v>0.0842687984669957</v>
      </c>
      <c r="N43" s="21" t="n">
        <f aca="false">IFERROR(__xludf.DUMMYFUNCTION("""COMPUTED_VALUE"""),2435.83311933763)</f>
        <v>2435.83311933763</v>
      </c>
      <c r="O43" s="22" t="n">
        <f aca="false">IFERROR(__xludf.DUMMYFUNCTION("""COMPUTED_VALUE"""),1)</f>
        <v>1</v>
      </c>
      <c r="P43" s="21" t="n">
        <f aca="false">IFERROR(__xludf.DUMMYFUNCTION("""COMPUTED_VALUE"""),39)</f>
        <v>39</v>
      </c>
      <c r="Q43" s="21" t="n">
        <f aca="false">IFERROR(__xludf.DUMMYFUNCTION("""COMPUTED_VALUE"""),0)</f>
        <v>0</v>
      </c>
      <c r="R43" s="21" t="n">
        <f aca="false">IFERROR(__xludf.DUMMYFUNCTION("""COMPUTED_VALUE"""),28930.8)</f>
        <v>28930.8</v>
      </c>
      <c r="S43" s="21" t="n">
        <f aca="false">IFERROR(__xludf.DUMMYFUNCTION("""COMPUTED_VALUE"""),2999.8)</f>
        <v>2999.8</v>
      </c>
      <c r="T43" s="21" t="n">
        <f aca="false">IFERROR(__xludf.DUMMYFUNCTION("""COMPUTED_VALUE"""),1048.4)</f>
        <v>1048.4</v>
      </c>
      <c r="U43" s="21" t="n">
        <f aca="false">IFERROR(__xludf.DUMMYFUNCTION("""COMPUTED_VALUE"""),4377.3)</f>
        <v>4377.3</v>
      </c>
      <c r="V43" s="21" t="n">
        <f aca="false">IFERROR(__xludf.DUMMYFUNCTION("""COMPUTED_VALUE"""),5096)</f>
        <v>5096</v>
      </c>
      <c r="W43" s="21" t="n">
        <f aca="false">IFERROR(__xludf.DUMMYFUNCTION("""COMPUTED_VALUE"""),346)</f>
        <v>346</v>
      </c>
      <c r="X43" s="7" t="n">
        <f aca="false">SUM(Q43:W43)</f>
        <v>42798.3</v>
      </c>
    </row>
    <row r="44" customFormat="false" ht="15" hidden="false" customHeight="false" outlineLevel="0" collapsed="false">
      <c r="A44" s="5" t="s">
        <v>114</v>
      </c>
      <c r="B44" s="20" t="n">
        <f aca="false">IFERROR(__xludf.DUMMYFUNCTION("""COMPUTED_VALUE"""),0.0833333333333333)</f>
        <v>0.0833333333333333</v>
      </c>
      <c r="C44" s="20" t="n">
        <f aca="false">IFERROR(__xludf.DUMMYFUNCTION("""COMPUTED_VALUE"""),0.0833333333333333)</f>
        <v>0.0833333333333333</v>
      </c>
      <c r="D44" s="20" t="n">
        <f aca="false">IFERROR(__xludf.DUMMYFUNCTION("""COMPUTED_VALUE"""),0.0833333333333333)</f>
        <v>0.0833333333333333</v>
      </c>
      <c r="E44" s="20" t="n">
        <f aca="false">IFERROR(__xludf.DUMMYFUNCTION("""COMPUTED_VALUE"""),0.0833333333333333)</f>
        <v>0.0833333333333333</v>
      </c>
      <c r="F44" s="20" t="n">
        <f aca="false">IFERROR(__xludf.DUMMYFUNCTION("""COMPUTED_VALUE"""),0.0833333333333333)</f>
        <v>0.0833333333333333</v>
      </c>
      <c r="G44" s="20" t="n">
        <f aca="false">IFERROR(__xludf.DUMMYFUNCTION("""COMPUTED_VALUE"""),0.0833333333333333)</f>
        <v>0.0833333333333333</v>
      </c>
      <c r="H44" s="20" t="n">
        <f aca="false">IFERROR(__xludf.DUMMYFUNCTION("""COMPUTED_VALUE"""),0.0833333333333333)</f>
        <v>0.0833333333333333</v>
      </c>
      <c r="I44" s="20" t="n">
        <f aca="false">IFERROR(__xludf.DUMMYFUNCTION("""COMPUTED_VALUE"""),0.0833333333333333)</f>
        <v>0.0833333333333333</v>
      </c>
      <c r="J44" s="20" t="n">
        <f aca="false">IFERROR(__xludf.DUMMYFUNCTION("""COMPUTED_VALUE"""),0.0833333333333333)</f>
        <v>0.0833333333333333</v>
      </c>
      <c r="K44" s="20" t="n">
        <f aca="false">IFERROR(__xludf.DUMMYFUNCTION("""COMPUTED_VALUE"""),0.0833333333333333)</f>
        <v>0.0833333333333333</v>
      </c>
      <c r="L44" s="20" t="n">
        <f aca="false">IFERROR(__xludf.DUMMYFUNCTION("""COMPUTED_VALUE"""),0.0833333333333333)</f>
        <v>0.0833333333333333</v>
      </c>
      <c r="M44" s="20" t="n">
        <f aca="false">IFERROR(__xludf.DUMMYFUNCTION("""COMPUTED_VALUE"""),0.0833333333333333)</f>
        <v>0.0833333333333333</v>
      </c>
      <c r="N44" s="21" t="n">
        <f aca="false">IFERROR(__xludf.DUMMYFUNCTION("""COMPUTED_VALUE"""),462.458588756731)</f>
        <v>462.458588756731</v>
      </c>
      <c r="O44" s="22" t="n">
        <f aca="false">IFERROR(__xludf.DUMMYFUNCTION("""COMPUTED_VALUE"""),1)</f>
        <v>1</v>
      </c>
      <c r="P44" s="21" t="n">
        <f aca="false">IFERROR(__xludf.DUMMYFUNCTION("""COMPUTED_VALUE"""),6)</f>
        <v>6</v>
      </c>
      <c r="Q44" s="21" t="n">
        <f aca="false">IFERROR(__xludf.DUMMYFUNCTION("""COMPUTED_VALUE"""),0)</f>
        <v>0</v>
      </c>
      <c r="R44" s="21" t="n">
        <f aca="false">IFERROR(__xludf.DUMMYFUNCTION("""COMPUTED_VALUE"""),0)</f>
        <v>0</v>
      </c>
      <c r="S44" s="21" t="n">
        <f aca="false">IFERROR(__xludf.DUMMYFUNCTION("""COMPUTED_VALUE"""),0)</f>
        <v>0</v>
      </c>
      <c r="T44" s="21" t="n">
        <f aca="false">IFERROR(__xludf.DUMMYFUNCTION("""COMPUTED_VALUE"""),0)</f>
        <v>0</v>
      </c>
      <c r="U44" s="21" t="n">
        <f aca="false">IFERROR(__xludf.DUMMYFUNCTION("""COMPUTED_VALUE"""),6232.7)</f>
        <v>6232.7</v>
      </c>
      <c r="V44" s="21" t="n">
        <f aca="false">IFERROR(__xludf.DUMMYFUNCTION("""COMPUTED_VALUE"""),0)</f>
        <v>0</v>
      </c>
      <c r="W44" s="21" t="n">
        <f aca="false">IFERROR(__xludf.DUMMYFUNCTION("""COMPUTED_VALUE"""),0)</f>
        <v>0</v>
      </c>
      <c r="X44" s="7" t="n">
        <f aca="false">SUM(Q44:W44)</f>
        <v>6232.7</v>
      </c>
    </row>
    <row r="45" customFormat="false" ht="15" hidden="false" customHeight="false" outlineLevel="0" collapsed="false">
      <c r="A45" s="5" t="s">
        <v>115</v>
      </c>
      <c r="B45" s="20" t="n">
        <f aca="false">IFERROR(__xludf.DUMMYFUNCTION("""COMPUTED_VALUE"""),0.0833333333333333)</f>
        <v>0.0833333333333333</v>
      </c>
      <c r="C45" s="20" t="n">
        <f aca="false">IFERROR(__xludf.DUMMYFUNCTION("""COMPUTED_VALUE"""),0.0833333333333333)</f>
        <v>0.0833333333333333</v>
      </c>
      <c r="D45" s="20" t="n">
        <f aca="false">IFERROR(__xludf.DUMMYFUNCTION("""COMPUTED_VALUE"""),0.0833333333333333)</f>
        <v>0.0833333333333333</v>
      </c>
      <c r="E45" s="20" t="n">
        <f aca="false">IFERROR(__xludf.DUMMYFUNCTION("""COMPUTED_VALUE"""),0.0833333333333333)</f>
        <v>0.0833333333333333</v>
      </c>
      <c r="F45" s="20" t="n">
        <f aca="false">IFERROR(__xludf.DUMMYFUNCTION("""COMPUTED_VALUE"""),0.0833333333333333)</f>
        <v>0.0833333333333333</v>
      </c>
      <c r="G45" s="20" t="n">
        <f aca="false">IFERROR(__xludf.DUMMYFUNCTION("""COMPUTED_VALUE"""),0.0833333333333333)</f>
        <v>0.0833333333333333</v>
      </c>
      <c r="H45" s="20" t="n">
        <f aca="false">IFERROR(__xludf.DUMMYFUNCTION("""COMPUTED_VALUE"""),0.0833333333333333)</f>
        <v>0.0833333333333333</v>
      </c>
      <c r="I45" s="20" t="n">
        <f aca="false">IFERROR(__xludf.DUMMYFUNCTION("""COMPUTED_VALUE"""),0.0833333333333333)</f>
        <v>0.0833333333333333</v>
      </c>
      <c r="J45" s="20" t="n">
        <f aca="false">IFERROR(__xludf.DUMMYFUNCTION("""COMPUTED_VALUE"""),0.0833333333333333)</f>
        <v>0.0833333333333333</v>
      </c>
      <c r="K45" s="20" t="n">
        <f aca="false">IFERROR(__xludf.DUMMYFUNCTION("""COMPUTED_VALUE"""),0.0833333333333333)</f>
        <v>0.0833333333333333</v>
      </c>
      <c r="L45" s="20" t="n">
        <f aca="false">IFERROR(__xludf.DUMMYFUNCTION("""COMPUTED_VALUE"""),0.0833333333333333)</f>
        <v>0.0833333333333333</v>
      </c>
      <c r="M45" s="20" t="n">
        <f aca="false">IFERROR(__xludf.DUMMYFUNCTION("""COMPUTED_VALUE"""),0.0833333333333333)</f>
        <v>0.0833333333333333</v>
      </c>
      <c r="N45" s="21" t="n">
        <f aca="false">IFERROR(__xludf.DUMMYFUNCTION("""COMPUTED_VALUE"""),241.066833405312)</f>
        <v>241.066833405312</v>
      </c>
      <c r="O45" s="22" t="n">
        <f aca="false">IFERROR(__xludf.DUMMYFUNCTION("""COMPUTED_VALUE"""),1)</f>
        <v>1</v>
      </c>
      <c r="P45" s="21" t="n">
        <f aca="false">IFERROR(__xludf.DUMMYFUNCTION("""COMPUTED_VALUE"""),4)</f>
        <v>4</v>
      </c>
      <c r="Q45" s="21" t="n">
        <f aca="false">IFERROR(__xludf.DUMMYFUNCTION("""COMPUTED_VALUE"""),0)</f>
        <v>0</v>
      </c>
      <c r="R45" s="21" t="n">
        <f aca="false">IFERROR(__xludf.DUMMYFUNCTION("""COMPUTED_VALUE"""),0)</f>
        <v>0</v>
      </c>
      <c r="S45" s="21" t="n">
        <f aca="false">IFERROR(__xludf.DUMMYFUNCTION("""COMPUTED_VALUE"""),0)</f>
        <v>0</v>
      </c>
      <c r="T45" s="21" t="n">
        <f aca="false">IFERROR(__xludf.DUMMYFUNCTION("""COMPUTED_VALUE"""),0)</f>
        <v>0</v>
      </c>
      <c r="U45" s="21" t="n">
        <f aca="false">IFERROR(__xludf.DUMMYFUNCTION("""COMPUTED_VALUE"""),3220.9)</f>
        <v>3220.9</v>
      </c>
      <c r="V45" s="21" t="n">
        <f aca="false">IFERROR(__xludf.DUMMYFUNCTION("""COMPUTED_VALUE"""),0)</f>
        <v>0</v>
      </c>
      <c r="W45" s="21" t="n">
        <f aca="false">IFERROR(__xludf.DUMMYFUNCTION("""COMPUTED_VALUE"""),0)</f>
        <v>0</v>
      </c>
      <c r="X45" s="7" t="n">
        <f aca="false">SUM(Q45:W45)</f>
        <v>3220.9</v>
      </c>
    </row>
    <row r="46" customFormat="false" ht="15" hidden="false" customHeight="false" outlineLevel="0" collapsed="false">
      <c r="A46" s="5" t="s">
        <v>116</v>
      </c>
      <c r="B46" s="20" t="n">
        <f aca="false">IFERROR(__xludf.DUMMYFUNCTION("""COMPUTED_VALUE"""),0.0833333333333333)</f>
        <v>0.0833333333333333</v>
      </c>
      <c r="C46" s="20" t="n">
        <f aca="false">IFERROR(__xludf.DUMMYFUNCTION("""COMPUTED_VALUE"""),0.0833333333333333)</f>
        <v>0.0833333333333333</v>
      </c>
      <c r="D46" s="20" t="n">
        <f aca="false">IFERROR(__xludf.DUMMYFUNCTION("""COMPUTED_VALUE"""),0.0833333333333333)</f>
        <v>0.0833333333333333</v>
      </c>
      <c r="E46" s="20" t="n">
        <f aca="false">IFERROR(__xludf.DUMMYFUNCTION("""COMPUTED_VALUE"""),0.0833333333333333)</f>
        <v>0.0833333333333333</v>
      </c>
      <c r="F46" s="20" t="n">
        <f aca="false">IFERROR(__xludf.DUMMYFUNCTION("""COMPUTED_VALUE"""),0.0833333333333333)</f>
        <v>0.0833333333333333</v>
      </c>
      <c r="G46" s="20" t="n">
        <f aca="false">IFERROR(__xludf.DUMMYFUNCTION("""COMPUTED_VALUE"""),0.0833333333333333)</f>
        <v>0.0833333333333333</v>
      </c>
      <c r="H46" s="20" t="n">
        <f aca="false">IFERROR(__xludf.DUMMYFUNCTION("""COMPUTED_VALUE"""),0.0833333333333333)</f>
        <v>0.0833333333333333</v>
      </c>
      <c r="I46" s="20" t="n">
        <f aca="false">IFERROR(__xludf.DUMMYFUNCTION("""COMPUTED_VALUE"""),0.0833333333333333)</f>
        <v>0.0833333333333333</v>
      </c>
      <c r="J46" s="20" t="n">
        <f aca="false">IFERROR(__xludf.DUMMYFUNCTION("""COMPUTED_VALUE"""),0.0833333333333333)</f>
        <v>0.0833333333333333</v>
      </c>
      <c r="K46" s="20" t="n">
        <f aca="false">IFERROR(__xludf.DUMMYFUNCTION("""COMPUTED_VALUE"""),0.0833333333333333)</f>
        <v>0.0833333333333333</v>
      </c>
      <c r="L46" s="20" t="n">
        <f aca="false">IFERROR(__xludf.DUMMYFUNCTION("""COMPUTED_VALUE"""),0.0833333333333333)</f>
        <v>0.0833333333333333</v>
      </c>
      <c r="M46" s="20" t="n">
        <f aca="false">IFERROR(__xludf.DUMMYFUNCTION("""COMPUTED_VALUE"""),0.0833333333333333)</f>
        <v>0.0833333333333333</v>
      </c>
      <c r="N46" s="21" t="n">
        <f aca="false">IFERROR(__xludf.DUMMYFUNCTION("""COMPUTED_VALUE"""),139.356355954645)</f>
        <v>139.356355954645</v>
      </c>
      <c r="O46" s="22" t="n">
        <f aca="false">IFERROR(__xludf.DUMMYFUNCTION("""COMPUTED_VALUE"""),1)</f>
        <v>1</v>
      </c>
      <c r="P46" s="21" t="n">
        <f aca="false">IFERROR(__xludf.DUMMYFUNCTION("""COMPUTED_VALUE"""),2)</f>
        <v>2</v>
      </c>
      <c r="Q46" s="21" t="n">
        <f aca="false">IFERROR(__xludf.DUMMYFUNCTION("""COMPUTED_VALUE"""),0)</f>
        <v>0</v>
      </c>
      <c r="R46" s="21" t="n">
        <f aca="false">IFERROR(__xludf.DUMMYFUNCTION("""COMPUTED_VALUE"""),0)</f>
        <v>0</v>
      </c>
      <c r="S46" s="21" t="n">
        <f aca="false">IFERROR(__xludf.DUMMYFUNCTION("""COMPUTED_VALUE"""),0)</f>
        <v>0</v>
      </c>
      <c r="T46" s="21" t="n">
        <f aca="false">IFERROR(__xludf.DUMMYFUNCTION("""COMPUTED_VALUE"""),0)</f>
        <v>0</v>
      </c>
      <c r="U46" s="21" t="n">
        <f aca="false">IFERROR(__xludf.DUMMYFUNCTION("""COMPUTED_VALUE"""),1816.2)</f>
        <v>1816.2</v>
      </c>
      <c r="V46" s="21" t="n">
        <f aca="false">IFERROR(__xludf.DUMMYFUNCTION("""COMPUTED_VALUE"""),0)</f>
        <v>0</v>
      </c>
      <c r="W46" s="21" t="n">
        <f aca="false">IFERROR(__xludf.DUMMYFUNCTION("""COMPUTED_VALUE"""),0)</f>
        <v>0</v>
      </c>
      <c r="X46" s="7" t="n">
        <f aca="false">SUM(Q46:W46)</f>
        <v>1816.2</v>
      </c>
    </row>
    <row r="47" customFormat="false" ht="15" hidden="false" customHeight="false" outlineLevel="0" collapsed="false">
      <c r="A47" s="5" t="s">
        <v>117</v>
      </c>
      <c r="B47" s="20" t="n">
        <f aca="false">IFERROR(__xludf.DUMMYFUNCTION("""COMPUTED_VALUE"""),0.0693955234457278)</f>
        <v>0.0693955234457278</v>
      </c>
      <c r="C47" s="20" t="n">
        <f aca="false">IFERROR(__xludf.DUMMYFUNCTION("""COMPUTED_VALUE"""),0.0693955234457278)</f>
        <v>0.0693955234457278</v>
      </c>
      <c r="D47" s="20" t="n">
        <f aca="false">IFERROR(__xludf.DUMMYFUNCTION("""COMPUTED_VALUE"""),0.0840431757641277)</f>
        <v>0.0840431757641277</v>
      </c>
      <c r="E47" s="20" t="n">
        <f aca="false">IFERROR(__xludf.DUMMYFUNCTION("""COMPUTED_VALUE"""),0.0941202036639783)</f>
        <v>0.0941202036639783</v>
      </c>
      <c r="F47" s="20" t="n">
        <f aca="false">IFERROR(__xludf.DUMMYFUNCTION("""COMPUTED_VALUE"""),0.0974702272576739)</f>
        <v>0.0974702272576739</v>
      </c>
      <c r="G47" s="20" t="n">
        <f aca="false">IFERROR(__xludf.DUMMYFUNCTION("""COMPUTED_VALUE"""),0.095318136848291)</f>
        <v>0.095318136848291</v>
      </c>
      <c r="H47" s="20" t="n">
        <f aca="false">IFERROR(__xludf.DUMMYFUNCTION("""COMPUTED_VALUE"""),0.076854716143931)</f>
        <v>0.076854716143931</v>
      </c>
      <c r="I47" s="20" t="n">
        <f aca="false">IFERROR(__xludf.DUMMYFUNCTION("""COMPUTED_VALUE"""),0.0818684177142039)</f>
        <v>0.0818684177142039</v>
      </c>
      <c r="J47" s="20" t="n">
        <f aca="false">IFERROR(__xludf.DUMMYFUNCTION("""COMPUTED_VALUE"""),0.0840205081235868)</f>
        <v>0.0840205081235868</v>
      </c>
      <c r="K47" s="20" t="n">
        <f aca="false">IFERROR(__xludf.DUMMYFUNCTION("""COMPUTED_VALUE"""),0.0840205081235868)</f>
        <v>0.0840205081235868</v>
      </c>
      <c r="L47" s="20" t="n">
        <f aca="false">IFERROR(__xludf.DUMMYFUNCTION("""COMPUTED_VALUE"""),0.0806704845298912)</f>
        <v>0.0806704845298912</v>
      </c>
      <c r="M47" s="20" t="n">
        <f aca="false">IFERROR(__xludf.DUMMYFUNCTION("""COMPUTED_VALUE"""),0.082822574939274)</f>
        <v>0.082822574939274</v>
      </c>
      <c r="N47" s="21" t="n">
        <f aca="false">IFERROR(__xludf.DUMMYFUNCTION("""COMPUTED_VALUE"""),1201.24282190818)</f>
        <v>1201.24282190818</v>
      </c>
      <c r="O47" s="22" t="n">
        <f aca="false">IFERROR(__xludf.DUMMYFUNCTION("""COMPUTED_VALUE"""),1)</f>
        <v>1</v>
      </c>
      <c r="P47" s="21" t="n">
        <f aca="false">IFERROR(__xludf.DUMMYFUNCTION("""COMPUTED_VALUE"""),19)</f>
        <v>19</v>
      </c>
      <c r="Q47" s="21" t="n">
        <f aca="false">IFERROR(__xludf.DUMMYFUNCTION("""COMPUTED_VALUE"""),0)</f>
        <v>0</v>
      </c>
      <c r="R47" s="21" t="n">
        <f aca="false">IFERROR(__xludf.DUMMYFUNCTION("""COMPUTED_VALUE"""),10246.3)</f>
        <v>10246.3</v>
      </c>
      <c r="S47" s="21" t="n">
        <f aca="false">IFERROR(__xludf.DUMMYFUNCTION("""COMPUTED_VALUE"""),2743)</f>
        <v>2743</v>
      </c>
      <c r="T47" s="21" t="n">
        <f aca="false">IFERROR(__xludf.DUMMYFUNCTION("""COMPUTED_VALUE"""),2621.1)</f>
        <v>2621.1</v>
      </c>
      <c r="U47" s="21" t="n">
        <f aca="false">IFERROR(__xludf.DUMMYFUNCTION("""COMPUTED_VALUE"""),3384.2)</f>
        <v>3384.2</v>
      </c>
      <c r="V47" s="21" t="n">
        <f aca="false">IFERROR(__xludf.DUMMYFUNCTION("""COMPUTED_VALUE"""),1595.2)</f>
        <v>1595.2</v>
      </c>
      <c r="W47" s="21" t="n">
        <f aca="false">IFERROR(__xludf.DUMMYFUNCTION("""COMPUTED_VALUE"""),0)</f>
        <v>0</v>
      </c>
      <c r="X47" s="7" t="n">
        <f aca="false">SUM(Q47:W47)</f>
        <v>20589.8</v>
      </c>
    </row>
    <row r="48" customFormat="false" ht="15" hidden="false" customHeight="false" outlineLevel="0" collapsed="false">
      <c r="A48" s="5" t="s">
        <v>118</v>
      </c>
      <c r="B48" s="20" t="n">
        <f aca="false">IFERROR(__xludf.DUMMYFUNCTION("""COMPUTED_VALUE"""),0.0623734752667158)</f>
        <v>0.0623734752667158</v>
      </c>
      <c r="C48" s="20" t="n">
        <f aca="false">IFERROR(__xludf.DUMMYFUNCTION("""COMPUTED_VALUE"""),0.0623734752667158)</f>
        <v>0.0623734752667158</v>
      </c>
      <c r="D48" s="20" t="n">
        <f aca="false">IFERROR(__xludf.DUMMYFUNCTION("""COMPUTED_VALUE"""),0.0832322896847601)</f>
        <v>0.0832322896847601</v>
      </c>
      <c r="E48" s="20" t="n">
        <f aca="false">IFERROR(__xludf.DUMMYFUNCTION("""COMPUTED_VALUE"""),0.102381291624983)</f>
        <v>0.102381291624983</v>
      </c>
      <c r="F48" s="20" t="n">
        <f aca="false">IFERROR(__xludf.DUMMYFUNCTION("""COMPUTED_VALUE"""),0.10297405651463)</f>
        <v>0.10297405651463</v>
      </c>
      <c r="G48" s="20" t="n">
        <f aca="false">IFERROR(__xludf.DUMMYFUNCTION("""COMPUTED_VALUE"""),0.101541503044586)</f>
        <v>0.101541503044586</v>
      </c>
      <c r="H48" s="20" t="n">
        <f aca="false">IFERROR(__xludf.DUMMYFUNCTION("""COMPUTED_VALUE"""),0.0799321707959588)</f>
        <v>0.0799321707959588</v>
      </c>
      <c r="I48" s="20" t="n">
        <f aca="false">IFERROR(__xludf.DUMMYFUNCTION("""COMPUTED_VALUE"""),0.0798429000461445)</f>
        <v>0.0798429000461445</v>
      </c>
      <c r="J48" s="20" t="n">
        <f aca="false">IFERROR(__xludf.DUMMYFUNCTION("""COMPUTED_VALUE"""),0.081275453516189)</f>
        <v>0.081275453516189</v>
      </c>
      <c r="K48" s="20" t="n">
        <f aca="false">IFERROR(__xludf.DUMMYFUNCTION("""COMPUTED_VALUE"""),0.081275453516189)</f>
        <v>0.081275453516189</v>
      </c>
      <c r="L48" s="20" t="n">
        <f aca="false">IFERROR(__xludf.DUMMYFUNCTION("""COMPUTED_VALUE"""),0.0806826886265415)</f>
        <v>0.0806826886265415</v>
      </c>
      <c r="M48" s="20" t="n">
        <f aca="false">IFERROR(__xludf.DUMMYFUNCTION("""COMPUTED_VALUE"""),0.0821152420965861)</f>
        <v>0.0821152420965861</v>
      </c>
      <c r="N48" s="21" t="n">
        <f aca="false">IFERROR(__xludf.DUMMYFUNCTION("""COMPUTED_VALUE"""),6552.91332717418)</f>
        <v>6552.91332717418</v>
      </c>
      <c r="O48" s="22" t="n">
        <f aca="false">IFERROR(__xludf.DUMMYFUNCTION("""COMPUTED_VALUE"""),1)</f>
        <v>1</v>
      </c>
      <c r="P48" s="21" t="n">
        <f aca="false">IFERROR(__xludf.DUMMYFUNCTION("""COMPUTED_VALUE"""),103)</f>
        <v>103</v>
      </c>
      <c r="Q48" s="21" t="n">
        <f aca="false">IFERROR(__xludf.DUMMYFUNCTION("""COMPUTED_VALUE"""),0)</f>
        <v>0</v>
      </c>
      <c r="R48" s="21" t="n">
        <f aca="false">IFERROR(__xludf.DUMMYFUNCTION("""COMPUTED_VALUE"""),93422.4)</f>
        <v>93422.4</v>
      </c>
      <c r="S48" s="21" t="n">
        <f aca="false">IFERROR(__xludf.DUMMYFUNCTION("""COMPUTED_VALUE"""),11718.9)</f>
        <v>11718.9</v>
      </c>
      <c r="T48" s="21" t="n">
        <f aca="false">IFERROR(__xludf.DUMMYFUNCTION("""COMPUTED_VALUE"""),2621.1)</f>
        <v>2621.1</v>
      </c>
      <c r="U48" s="21" t="n">
        <f aca="false">IFERROR(__xludf.DUMMYFUNCTION("""COMPUTED_VALUE"""),2600.2)</f>
        <v>2600.2</v>
      </c>
      <c r="V48" s="21" t="n">
        <f aca="false">IFERROR(__xludf.DUMMYFUNCTION("""COMPUTED_VALUE"""),6001.1)</f>
        <v>6001.1</v>
      </c>
      <c r="W48" s="21" t="n">
        <f aca="false">IFERROR(__xludf.DUMMYFUNCTION("""COMPUTED_VALUE"""),0)</f>
        <v>0</v>
      </c>
      <c r="X48" s="7" t="n">
        <f aca="false">SUM(Q48:W48)</f>
        <v>116363.7</v>
      </c>
    </row>
    <row r="49" customFormat="false" ht="15" hidden="false" customHeight="false" outlineLevel="0" collapsed="false">
      <c r="A49" s="5" t="s">
        <v>119</v>
      </c>
      <c r="B49" s="20" t="n">
        <f aca="false">IFERROR(__xludf.DUMMYFUNCTION("""COMPUTED_VALUE"""),0.0758899515991334)</f>
        <v>0.0758899515991334</v>
      </c>
      <c r="C49" s="20" t="n">
        <f aca="false">IFERROR(__xludf.DUMMYFUNCTION("""COMPUTED_VALUE"""),0.0758899515991334)</f>
        <v>0.0758899515991334</v>
      </c>
      <c r="D49" s="20" t="n">
        <f aca="false">IFERROR(__xludf.DUMMYFUNCTION("""COMPUTED_VALUE"""),0.082635648810499)</f>
        <v>0.082635648810499</v>
      </c>
      <c r="E49" s="20" t="n">
        <f aca="false">IFERROR(__xludf.DUMMYFUNCTION("""COMPUTED_VALUE"""),0.0919604223371936)</f>
        <v>0.0919604223371936</v>
      </c>
      <c r="F49" s="20" t="n">
        <f aca="false">IFERROR(__xludf.DUMMYFUNCTION("""COMPUTED_VALUE"""),0.094065383152575)</f>
        <v>0.094065383152575</v>
      </c>
      <c r="G49" s="20" t="n">
        <f aca="false">IFERROR(__xludf.DUMMYFUNCTION("""COMPUTED_VALUE"""),0.0890054041756688)</f>
        <v>0.0890054041756688</v>
      </c>
      <c r="H49" s="20" t="n">
        <f aca="false">IFERROR(__xludf.DUMMYFUNCTION("""COMPUTED_VALUE"""),0.0776256551320905)</f>
        <v>0.0776256551320905</v>
      </c>
      <c r="I49" s="20" t="n">
        <f aca="false">IFERROR(__xludf.DUMMYFUNCTION("""COMPUTED_VALUE"""),0.0793046888027784)</f>
        <v>0.0793046888027784</v>
      </c>
      <c r="J49" s="20" t="n">
        <f aca="false">IFERROR(__xludf.DUMMYFUNCTION("""COMPUTED_VALUE"""),0.0831932092611961)</f>
        <v>0.0831932092611961</v>
      </c>
      <c r="K49" s="20" t="n">
        <f aca="false">IFERROR(__xludf.DUMMYFUNCTION("""COMPUTED_VALUE"""),0.0831932092611961)</f>
        <v>0.0831932092611961</v>
      </c>
      <c r="L49" s="20" t="n">
        <f aca="false">IFERROR(__xludf.DUMMYFUNCTION("""COMPUTED_VALUE"""),0.0810882484458147)</f>
        <v>0.0810882484458147</v>
      </c>
      <c r="M49" s="20" t="n">
        <f aca="false">IFERROR(__xludf.DUMMYFUNCTION("""COMPUTED_VALUE"""),0.0861482274227209)</f>
        <v>0.0861482274227209</v>
      </c>
      <c r="N49" s="21" t="n">
        <f aca="false">IFERROR(__xludf.DUMMYFUNCTION("""COMPUTED_VALUE"""),2239.47576029921)</f>
        <v>2239.47576029921</v>
      </c>
      <c r="O49" s="22" t="n">
        <f aca="false">IFERROR(__xludf.DUMMYFUNCTION("""COMPUTED_VALUE"""),1)</f>
        <v>1</v>
      </c>
      <c r="P49" s="21" t="n">
        <f aca="false">IFERROR(__xludf.DUMMYFUNCTION("""COMPUTED_VALUE"""),34)</f>
        <v>34</v>
      </c>
      <c r="Q49" s="21" t="n">
        <f aca="false">IFERROR(__xludf.DUMMYFUNCTION("""COMPUTED_VALUE"""),0)</f>
        <v>0</v>
      </c>
      <c r="R49" s="21" t="n">
        <f aca="false">IFERROR(__xludf.DUMMYFUNCTION("""COMPUTED_VALUE"""),13260)</f>
        <v>13260</v>
      </c>
      <c r="S49" s="21" t="n">
        <f aca="false">IFERROR(__xludf.DUMMYFUNCTION("""COMPUTED_VALUE"""),548.6)</f>
        <v>548.6</v>
      </c>
      <c r="T49" s="21" t="n">
        <f aca="false">IFERROR(__xludf.DUMMYFUNCTION("""COMPUTED_VALUE"""),1310.5)</f>
        <v>1310.5</v>
      </c>
      <c r="U49" s="21" t="n">
        <f aca="false">IFERROR(__xludf.DUMMYFUNCTION("""COMPUTED_VALUE"""),13536.8)</f>
        <v>13536.8</v>
      </c>
      <c r="V49" s="21" t="n">
        <f aca="false">IFERROR(__xludf.DUMMYFUNCTION("""COMPUTED_VALUE"""),6729.6)</f>
        <v>6729.6</v>
      </c>
      <c r="W49" s="21" t="n">
        <f aca="false">IFERROR(__xludf.DUMMYFUNCTION("""COMPUTED_VALUE"""),1558)</f>
        <v>1558</v>
      </c>
      <c r="X49" s="7" t="n">
        <f aca="false">SUM(Q49:W49)</f>
        <v>36943.5</v>
      </c>
    </row>
    <row r="50" customFormat="false" ht="15" hidden="false" customHeight="false" outlineLevel="0" collapsed="false">
      <c r="A50" s="5" t="s">
        <v>120</v>
      </c>
      <c r="B50" s="20" t="n">
        <f aca="false">IFERROR(__xludf.DUMMYFUNCTION("""COMPUTED_VALUE"""),0.0909796762566006)</f>
        <v>0.0909796762566006</v>
      </c>
      <c r="C50" s="20" t="n">
        <f aca="false">IFERROR(__xludf.DUMMYFUNCTION("""COMPUTED_VALUE"""),0.0909796762566006)</f>
        <v>0.0909796762566006</v>
      </c>
      <c r="D50" s="20" t="n">
        <f aca="false">IFERROR(__xludf.DUMMYFUNCTION("""COMPUTED_VALUE"""),0.0833333333333333)</f>
        <v>0.0833333333333333</v>
      </c>
      <c r="E50" s="20" t="n">
        <f aca="false">IFERROR(__xludf.DUMMYFUNCTION("""COMPUTED_VALUE"""),0.0833333333333333)</f>
        <v>0.0833333333333333</v>
      </c>
      <c r="F50" s="20" t="n">
        <f aca="false">IFERROR(__xludf.DUMMYFUNCTION("""COMPUTED_VALUE"""),0.0833333333333333)</f>
        <v>0.0833333333333333</v>
      </c>
      <c r="G50" s="20" t="n">
        <f aca="false">IFERROR(__xludf.DUMMYFUNCTION("""COMPUTED_VALUE"""),0.0756869904100661)</f>
        <v>0.0756869904100661</v>
      </c>
      <c r="H50" s="20" t="n">
        <f aca="false">IFERROR(__xludf.DUMMYFUNCTION("""COMPUTED_VALUE"""),0.0756869904100661)</f>
        <v>0.0756869904100661</v>
      </c>
      <c r="I50" s="20" t="n">
        <f aca="false">IFERROR(__xludf.DUMMYFUNCTION("""COMPUTED_VALUE"""),0.0756869904100661)</f>
        <v>0.0756869904100661</v>
      </c>
      <c r="J50" s="20" t="n">
        <f aca="false">IFERROR(__xludf.DUMMYFUNCTION("""COMPUTED_VALUE"""),0.0833333333333333)</f>
        <v>0.0833333333333333</v>
      </c>
      <c r="K50" s="20" t="n">
        <f aca="false">IFERROR(__xludf.DUMMYFUNCTION("""COMPUTED_VALUE"""),0.0833333333333333)</f>
        <v>0.0833333333333333</v>
      </c>
      <c r="L50" s="20" t="n">
        <f aca="false">IFERROR(__xludf.DUMMYFUNCTION("""COMPUTED_VALUE"""),0.0833333333333333)</f>
        <v>0.0833333333333333</v>
      </c>
      <c r="M50" s="20" t="n">
        <f aca="false">IFERROR(__xludf.DUMMYFUNCTION("""COMPUTED_VALUE"""),0.0909796762566006)</f>
        <v>0.0909796762566006</v>
      </c>
      <c r="N50" s="21" t="n">
        <f aca="false">IFERROR(__xludf.DUMMYFUNCTION("""COMPUTED_VALUE"""),366.61985757759)</f>
        <v>366.61985757759</v>
      </c>
      <c r="O50" s="22" t="n">
        <f aca="false">IFERROR(__xludf.DUMMYFUNCTION("""COMPUTED_VALUE"""),1)</f>
        <v>1</v>
      </c>
      <c r="P50" s="21" t="n">
        <f aca="false">IFERROR(__xludf.DUMMYFUNCTION("""COMPUTED_VALUE"""),6)</f>
        <v>6</v>
      </c>
      <c r="Q50" s="21" t="n">
        <f aca="false">IFERROR(__xludf.DUMMYFUNCTION("""COMPUTED_VALUE"""),0)</f>
        <v>0</v>
      </c>
      <c r="R50" s="21" t="n">
        <f aca="false">IFERROR(__xludf.DUMMYFUNCTION("""COMPUTED_VALUE"""),0)</f>
        <v>0</v>
      </c>
      <c r="S50" s="21" t="n">
        <f aca="false">IFERROR(__xludf.DUMMYFUNCTION("""COMPUTED_VALUE"""),0)</f>
        <v>0</v>
      </c>
      <c r="T50" s="21" t="n">
        <f aca="false">IFERROR(__xludf.DUMMYFUNCTION("""COMPUTED_VALUE"""),0)</f>
        <v>0</v>
      </c>
      <c r="U50" s="21" t="n">
        <f aca="false">IFERROR(__xludf.DUMMYFUNCTION("""COMPUTED_VALUE"""),3632.5)</f>
        <v>3632.5</v>
      </c>
      <c r="V50" s="21" t="n">
        <f aca="false">IFERROR(__xludf.DUMMYFUNCTION("""COMPUTED_VALUE"""),1379.7)</f>
        <v>1379.7</v>
      </c>
      <c r="W50" s="21" t="n">
        <f aca="false">IFERROR(__xludf.DUMMYFUNCTION("""COMPUTED_VALUE"""),0)</f>
        <v>0</v>
      </c>
      <c r="X50" s="7" t="n">
        <f aca="false">SUM(Q50:W50)</f>
        <v>5012.2</v>
      </c>
    </row>
    <row r="51" customFormat="false" ht="15" hidden="false" customHeight="false" outlineLevel="0" collapsed="false">
      <c r="A51" s="5" t="s">
        <v>121</v>
      </c>
      <c r="B51" s="20" t="n">
        <f aca="false">IFERROR(__xludf.DUMMYFUNCTION("""COMPUTED_VALUE"""),0.0833333333333333)</f>
        <v>0.0833333333333333</v>
      </c>
      <c r="C51" s="20" t="n">
        <f aca="false">IFERROR(__xludf.DUMMYFUNCTION("""COMPUTED_VALUE"""),0.0833333333333333)</f>
        <v>0.0833333333333333</v>
      </c>
      <c r="D51" s="20" t="n">
        <f aca="false">IFERROR(__xludf.DUMMYFUNCTION("""COMPUTED_VALUE"""),0.0833333333333333)</f>
        <v>0.0833333333333333</v>
      </c>
      <c r="E51" s="20" t="n">
        <f aca="false">IFERROR(__xludf.DUMMYFUNCTION("""COMPUTED_VALUE"""),0.0833333333333333)</f>
        <v>0.0833333333333333</v>
      </c>
      <c r="F51" s="20" t="n">
        <f aca="false">IFERROR(__xludf.DUMMYFUNCTION("""COMPUTED_VALUE"""),0.0833333333333333)</f>
        <v>0.0833333333333333</v>
      </c>
      <c r="G51" s="20" t="n">
        <f aca="false">IFERROR(__xludf.DUMMYFUNCTION("""COMPUTED_VALUE"""),0.0833333333333333)</f>
        <v>0.0833333333333333</v>
      </c>
      <c r="H51" s="20" t="n">
        <f aca="false">IFERROR(__xludf.DUMMYFUNCTION("""COMPUTED_VALUE"""),0.0833333333333333)</f>
        <v>0.0833333333333333</v>
      </c>
      <c r="I51" s="20" t="n">
        <f aca="false">IFERROR(__xludf.DUMMYFUNCTION("""COMPUTED_VALUE"""),0.0833333333333333)</f>
        <v>0.0833333333333333</v>
      </c>
      <c r="J51" s="20" t="n">
        <f aca="false">IFERROR(__xludf.DUMMYFUNCTION("""COMPUTED_VALUE"""),0.0833333333333333)</f>
        <v>0.0833333333333333</v>
      </c>
      <c r="K51" s="20" t="n">
        <f aca="false">IFERROR(__xludf.DUMMYFUNCTION("""COMPUTED_VALUE"""),0.0833333333333333)</f>
        <v>0.0833333333333333</v>
      </c>
      <c r="L51" s="20" t="n">
        <f aca="false">IFERROR(__xludf.DUMMYFUNCTION("""COMPUTED_VALUE"""),0.0833333333333333)</f>
        <v>0.0833333333333333</v>
      </c>
      <c r="M51" s="20" t="n">
        <f aca="false">IFERROR(__xludf.DUMMYFUNCTION("""COMPUTED_VALUE"""),0.0833333333333333)</f>
        <v>0.0833333333333333</v>
      </c>
      <c r="N51" s="21" t="n">
        <f aca="false">IFERROR(__xludf.DUMMYFUNCTION("""COMPUTED_VALUE"""),125.86907204172)</f>
        <v>125.86907204172</v>
      </c>
      <c r="O51" s="22" t="n">
        <f aca="false">IFERROR(__xludf.DUMMYFUNCTION("""COMPUTED_VALUE"""),1)</f>
        <v>1</v>
      </c>
      <c r="P51" s="21" t="n">
        <f aca="false">IFERROR(__xludf.DUMMYFUNCTION("""COMPUTED_VALUE"""),2)</f>
        <v>2</v>
      </c>
      <c r="Q51" s="21" t="n">
        <f aca="false">IFERROR(__xludf.DUMMYFUNCTION("""COMPUTED_VALUE"""),0)</f>
        <v>0</v>
      </c>
      <c r="R51" s="21" t="n">
        <f aca="false">IFERROR(__xludf.DUMMYFUNCTION("""COMPUTED_VALUE"""),0)</f>
        <v>0</v>
      </c>
      <c r="S51" s="21" t="n">
        <f aca="false">IFERROR(__xludf.DUMMYFUNCTION("""COMPUTED_VALUE"""),0)</f>
        <v>0</v>
      </c>
      <c r="T51" s="21" t="n">
        <f aca="false">IFERROR(__xludf.DUMMYFUNCTION("""COMPUTED_VALUE"""),0)</f>
        <v>0</v>
      </c>
      <c r="U51" s="21" t="n">
        <f aca="false">IFERROR(__xludf.DUMMYFUNCTION("""COMPUTED_VALUE"""),1568)</f>
        <v>1568</v>
      </c>
      <c r="V51" s="21" t="n">
        <f aca="false">IFERROR(__xludf.DUMMYFUNCTION("""COMPUTED_VALUE"""),0)</f>
        <v>0</v>
      </c>
      <c r="W51" s="21" t="n">
        <f aca="false">IFERROR(__xludf.DUMMYFUNCTION("""COMPUTED_VALUE"""),0)</f>
        <v>0</v>
      </c>
      <c r="X51" s="7" t="n">
        <f aca="false">SUM(Q51:W51)</f>
        <v>1568</v>
      </c>
    </row>
    <row r="52" customFormat="false" ht="15" hidden="false" customHeight="false" outlineLevel="0" collapsed="false">
      <c r="A52" s="5" t="s">
        <v>122</v>
      </c>
      <c r="B52" s="20" t="n">
        <f aca="false">IFERROR(__xludf.DUMMYFUNCTION("""COMPUTED_VALUE"""),0.0738143198706873)</f>
        <v>0.0738143198706873</v>
      </c>
      <c r="C52" s="20" t="n">
        <f aca="false">IFERROR(__xludf.DUMMYFUNCTION("""COMPUTED_VALUE"""),0.0738143198706873)</f>
        <v>0.0738143198706873</v>
      </c>
      <c r="D52" s="20" t="n">
        <f aca="false">IFERROR(__xludf.DUMMYFUNCTION("""COMPUTED_VALUE"""),0.0826227624746291)</f>
        <v>0.0826227624746291</v>
      </c>
      <c r="E52" s="20" t="n">
        <f aca="false">IFERROR(__xludf.DUMMYFUNCTION("""COMPUTED_VALUE"""),0.0945064091827231)</f>
        <v>0.0945064091827231</v>
      </c>
      <c r="F52" s="20" t="n">
        <f aca="false">IFERROR(__xludf.DUMMYFUNCTION("""COMPUTED_VALUE"""),0.0952134923111048)</f>
        <v>0.0952134923111048</v>
      </c>
      <c r="G52" s="20" t="n">
        <f aca="false">IFERROR(__xludf.DUMMYFUNCTION("""COMPUTED_VALUE"""),0.0907950767238501)</f>
        <v>0.0907950767238501</v>
      </c>
      <c r="H52" s="20" t="n">
        <f aca="false">IFERROR(__xludf.DUMMYFUNCTION("""COMPUTED_VALUE"""),0.0771791995816322)</f>
        <v>0.0771791995816322</v>
      </c>
      <c r="I52" s="20" t="n">
        <f aca="false">IFERROR(__xludf.DUMMYFUNCTION("""COMPUTED_VALUE"""),0.0782753016610352)</f>
        <v>0.0782753016610352</v>
      </c>
      <c r="J52" s="20" t="n">
        <f aca="false">IFERROR(__xludf.DUMMYFUNCTION("""COMPUTED_VALUE"""),0.0826937172482899)</f>
        <v>0.0826937172482899</v>
      </c>
      <c r="K52" s="20" t="n">
        <f aca="false">IFERROR(__xludf.DUMMYFUNCTION("""COMPUTED_VALUE"""),0.0826937172482899)</f>
        <v>0.0826937172482899</v>
      </c>
      <c r="L52" s="20" t="n">
        <f aca="false">IFERROR(__xludf.DUMMYFUNCTION("""COMPUTED_VALUE"""),0.0819866341199082)</f>
        <v>0.0819866341199082</v>
      </c>
      <c r="M52" s="20" t="n">
        <f aca="false">IFERROR(__xludf.DUMMYFUNCTION("""COMPUTED_VALUE"""),0.0864050497071629)</f>
        <v>0.0864050497071629</v>
      </c>
      <c r="N52" s="21" t="n">
        <f aca="false">IFERROR(__xludf.DUMMYFUNCTION("""COMPUTED_VALUE"""),300.325058646191)</f>
        <v>300.325058646191</v>
      </c>
      <c r="O52" s="22" t="n">
        <f aca="false">IFERROR(__xludf.DUMMYFUNCTION("""COMPUTED_VALUE"""),1)</f>
        <v>1</v>
      </c>
      <c r="P52" s="21" t="n">
        <f aca="false">IFERROR(__xludf.DUMMYFUNCTION("""COMPUTED_VALUE"""),5)</f>
        <v>5</v>
      </c>
      <c r="Q52" s="21" t="n">
        <f aca="false">IFERROR(__xludf.DUMMYFUNCTION("""COMPUTED_VALUE"""),0)</f>
        <v>0</v>
      </c>
      <c r="R52" s="21" t="n">
        <f aca="false">IFERROR(__xludf.DUMMYFUNCTION("""COMPUTED_VALUE"""),2260.2)</f>
        <v>2260.2</v>
      </c>
      <c r="S52" s="21" t="n">
        <f aca="false">IFERROR(__xludf.DUMMYFUNCTION("""COMPUTED_VALUE"""),122.6)</f>
        <v>122.6</v>
      </c>
      <c r="T52" s="21" t="n">
        <f aca="false">IFERROR(__xludf.DUMMYFUNCTION("""COMPUTED_VALUE"""),131.1)</f>
        <v>131.1</v>
      </c>
      <c r="U52" s="21" t="n">
        <f aca="false">IFERROR(__xludf.DUMMYFUNCTION("""COMPUTED_VALUE"""),1589.2)</f>
        <v>1589.2</v>
      </c>
      <c r="V52" s="21" t="n">
        <f aca="false">IFERROR(__xludf.DUMMYFUNCTION("""COMPUTED_VALUE"""),776.1)</f>
        <v>776.1</v>
      </c>
      <c r="W52" s="21" t="n">
        <f aca="false">IFERROR(__xludf.DUMMYFUNCTION("""COMPUTED_VALUE"""),0)</f>
        <v>0</v>
      </c>
      <c r="X52" s="7" t="n">
        <f aca="false">SUM(Q52:W52)</f>
        <v>4879.2</v>
      </c>
    </row>
    <row r="53" customFormat="false" ht="15" hidden="false" customHeight="false" outlineLevel="0" collapsed="false">
      <c r="A53" s="5" t="s">
        <v>123</v>
      </c>
      <c r="B53" s="20" t="n">
        <f aca="false">IFERROR(__xludf.DUMMYFUNCTION("""COMPUTED_VALUE"""),0.0738141230528446)</f>
        <v>0.0738141230528446</v>
      </c>
      <c r="C53" s="20" t="n">
        <f aca="false">IFERROR(__xludf.DUMMYFUNCTION("""COMPUTED_VALUE"""),0.0738141230528446)</f>
        <v>0.0738141230528446</v>
      </c>
      <c r="D53" s="20" t="n">
        <f aca="false">IFERROR(__xludf.DUMMYFUNCTION("""COMPUTED_VALUE"""),0.0826225891766349)</f>
        <v>0.0826225891766349</v>
      </c>
      <c r="E53" s="20" t="n">
        <f aca="false">IFERROR(__xludf.DUMMYFUNCTION("""COMPUTED_VALUE"""),0.0945068249706181)</f>
        <v>0.0945068249706181</v>
      </c>
      <c r="F53" s="20" t="n">
        <f aca="false">IFERROR(__xludf.DUMMYFUNCTION("""COMPUTED_VALUE"""),0.0952136231283829)</f>
        <v>0.0952136231283829</v>
      </c>
      <c r="G53" s="20" t="n">
        <f aca="false">IFERROR(__xludf.DUMMYFUNCTION("""COMPUTED_VALUE"""),0.0907952016698743)</f>
        <v>0.0907952016698743</v>
      </c>
      <c r="H53" s="20" t="n">
        <f aca="false">IFERROR(__xludf.DUMMYFUNCTION("""COMPUTED_VALUE"""),0.077179442745086)</f>
        <v>0.077179442745086</v>
      </c>
      <c r="I53" s="20" t="n">
        <f aca="false">IFERROR(__xludf.DUMMYFUNCTION("""COMPUTED_VALUE"""),0.0782751122453402)</f>
        <v>0.0782751122453402</v>
      </c>
      <c r="J53" s="20" t="n">
        <f aca="false">IFERROR(__xludf.DUMMYFUNCTION("""COMPUTED_VALUE"""),0.0826935337038488)</f>
        <v>0.0826935337038488</v>
      </c>
      <c r="K53" s="20" t="n">
        <f aca="false">IFERROR(__xludf.DUMMYFUNCTION("""COMPUTED_VALUE"""),0.0826935337038488)</f>
        <v>0.0826935337038488</v>
      </c>
      <c r="L53" s="20" t="n">
        <f aca="false">IFERROR(__xludf.DUMMYFUNCTION("""COMPUTED_VALUE"""),0.081986735546084)</f>
        <v>0.081986735546084</v>
      </c>
      <c r="M53" s="20" t="n">
        <f aca="false">IFERROR(__xludf.DUMMYFUNCTION("""COMPUTED_VALUE"""),0.0864051570045927)</f>
        <v>0.0864051570045927</v>
      </c>
      <c r="N53" s="21" t="n">
        <f aca="false">IFERROR(__xludf.DUMMYFUNCTION("""COMPUTED_VALUE"""),660.71512861809)</f>
        <v>660.71512861809</v>
      </c>
      <c r="O53" s="22" t="n">
        <f aca="false">IFERROR(__xludf.DUMMYFUNCTION("""COMPUTED_VALUE"""),1)</f>
        <v>1</v>
      </c>
      <c r="P53" s="21" t="n">
        <f aca="false">IFERROR(__xludf.DUMMYFUNCTION("""COMPUTED_VALUE"""),10)</f>
        <v>10</v>
      </c>
      <c r="Q53" s="21" t="n">
        <f aca="false">IFERROR(__xludf.DUMMYFUNCTION("""COMPUTED_VALUE"""),0)</f>
        <v>0</v>
      </c>
      <c r="R53" s="21" t="n">
        <f aca="false">IFERROR(__xludf.DUMMYFUNCTION("""COMPUTED_VALUE"""),4972.5)</f>
        <v>4972.5</v>
      </c>
      <c r="S53" s="21" t="n">
        <f aca="false">IFERROR(__xludf.DUMMYFUNCTION("""COMPUTED_VALUE"""),269.6)</f>
        <v>269.6</v>
      </c>
      <c r="T53" s="21" t="n">
        <f aca="false">IFERROR(__xludf.DUMMYFUNCTION("""COMPUTED_VALUE"""),288.3)</f>
        <v>288.3</v>
      </c>
      <c r="U53" s="21" t="n">
        <f aca="false">IFERROR(__xludf.DUMMYFUNCTION("""COMPUTED_VALUE"""),3496.3)</f>
        <v>3496.3</v>
      </c>
      <c r="V53" s="21" t="n">
        <f aca="false">IFERROR(__xludf.DUMMYFUNCTION("""COMPUTED_VALUE"""),1707.4)</f>
        <v>1707.4</v>
      </c>
      <c r="W53" s="21" t="n">
        <f aca="false">IFERROR(__xludf.DUMMYFUNCTION("""COMPUTED_VALUE"""),0)</f>
        <v>0</v>
      </c>
      <c r="X53" s="7" t="n">
        <f aca="false">SUM(Q53:W53)</f>
        <v>10734.1</v>
      </c>
    </row>
    <row r="54" customFormat="false" ht="15" hidden="false" customHeight="false" outlineLevel="0" collapsed="false">
      <c r="A54" s="5" t="s">
        <v>124</v>
      </c>
      <c r="B54" s="20" t="n">
        <f aca="false">IFERROR(__xludf.DUMMYFUNCTION("""COMPUTED_VALUE"""),0.0738134657732333)</f>
        <v>0.0738134657732333</v>
      </c>
      <c r="C54" s="20" t="n">
        <f aca="false">IFERROR(__xludf.DUMMYFUNCTION("""COMPUTED_VALUE"""),0.0738134657732333)</f>
        <v>0.0738134657732333</v>
      </c>
      <c r="D54" s="20" t="n">
        <f aca="false">IFERROR(__xludf.DUMMYFUNCTION("""COMPUTED_VALUE"""),0.0826224083229981)</f>
        <v>0.0826224083229981</v>
      </c>
      <c r="E54" s="20" t="n">
        <f aca="false">IFERROR(__xludf.DUMMYFUNCTION("""COMPUTED_VALUE"""),0.0945072087101559)</f>
        <v>0.0945072087101559</v>
      </c>
      <c r="F54" s="20" t="n">
        <f aca="false">IFERROR(__xludf.DUMMYFUNCTION("""COMPUTED_VALUE"""),0.0952140122277676)</f>
        <v>0.0952140122277676</v>
      </c>
      <c r="G54" s="20" t="n">
        <f aca="false">IFERROR(__xludf.DUMMYFUNCTION("""COMPUTED_VALUE"""),0.0907957098996484)</f>
        <v>0.0907957098996484</v>
      </c>
      <c r="H54" s="20" t="n">
        <f aca="false">IFERROR(__xludf.DUMMYFUNCTION("""COMPUTED_VALUE"""),0.0771794819907101)</f>
        <v>0.0771794819907101</v>
      </c>
      <c r="I54" s="20" t="n">
        <f aca="false">IFERROR(__xludf.DUMMYFUNCTION("""COMPUTED_VALUE"""),0.0782752685393762)</f>
        <v>0.0782752685393762</v>
      </c>
      <c r="J54" s="20" t="n">
        <f aca="false">IFERROR(__xludf.DUMMYFUNCTION("""COMPUTED_VALUE"""),0.0826935708674953)</f>
        <v>0.0826935708674953</v>
      </c>
      <c r="K54" s="20" t="n">
        <f aca="false">IFERROR(__xludf.DUMMYFUNCTION("""COMPUTED_VALUE"""),0.0826935708674953)</f>
        <v>0.0826935708674953</v>
      </c>
      <c r="L54" s="20" t="n">
        <f aca="false">IFERROR(__xludf.DUMMYFUNCTION("""COMPUTED_VALUE"""),0.0819867673498837)</f>
        <v>0.0819867673498837</v>
      </c>
      <c r="M54" s="20" t="n">
        <f aca="false">IFERROR(__xludf.DUMMYFUNCTION("""COMPUTED_VALUE"""),0.0864050696780028)</f>
        <v>0.0864050696780028</v>
      </c>
      <c r="N54" s="21" t="n">
        <f aca="false">IFERROR(__xludf.DUMMYFUNCTION("""COMPUTED_VALUE"""),144.156028161701)</f>
        <v>144.156028161701</v>
      </c>
      <c r="O54" s="22" t="n">
        <f aca="false">IFERROR(__xludf.DUMMYFUNCTION("""COMPUTED_VALUE"""),1)</f>
        <v>1</v>
      </c>
      <c r="P54" s="21" t="n">
        <f aca="false">IFERROR(__xludf.DUMMYFUNCTION("""COMPUTED_VALUE"""),3)</f>
        <v>3</v>
      </c>
      <c r="Q54" s="21" t="n">
        <f aca="false">IFERROR(__xludf.DUMMYFUNCTION("""COMPUTED_VALUE"""),0)</f>
        <v>0</v>
      </c>
      <c r="R54" s="21" t="n">
        <f aca="false">IFERROR(__xludf.DUMMYFUNCTION("""COMPUTED_VALUE"""),1084.9)</f>
        <v>1084.9</v>
      </c>
      <c r="S54" s="21" t="n">
        <f aca="false">IFERROR(__xludf.DUMMYFUNCTION("""COMPUTED_VALUE"""),58.8)</f>
        <v>58.8</v>
      </c>
      <c r="T54" s="21" t="n">
        <f aca="false">IFERROR(__xludf.DUMMYFUNCTION("""COMPUTED_VALUE"""),62.9)</f>
        <v>62.9</v>
      </c>
      <c r="U54" s="21" t="n">
        <f aca="false">IFERROR(__xludf.DUMMYFUNCTION("""COMPUTED_VALUE"""),762.8)</f>
        <v>762.8</v>
      </c>
      <c r="V54" s="21" t="n">
        <f aca="false">IFERROR(__xludf.DUMMYFUNCTION("""COMPUTED_VALUE"""),372.5)</f>
        <v>372.5</v>
      </c>
      <c r="W54" s="21" t="n">
        <f aca="false">IFERROR(__xludf.DUMMYFUNCTION("""COMPUTED_VALUE"""),0)</f>
        <v>0</v>
      </c>
      <c r="X54" s="7" t="n">
        <f aca="false">SUM(Q54:W54)</f>
        <v>2341.9</v>
      </c>
    </row>
    <row r="55" customFormat="false" ht="15" hidden="false" customHeight="false" outlineLevel="0" collapsed="false">
      <c r="A55" s="5" t="s">
        <v>125</v>
      </c>
      <c r="B55" s="20" t="n">
        <f aca="false">IFERROR(__xludf.DUMMYFUNCTION("""COMPUTED_VALUE"""),0.0738124965393579)</f>
        <v>0.0738124965393579</v>
      </c>
      <c r="C55" s="20" t="n">
        <f aca="false">IFERROR(__xludf.DUMMYFUNCTION("""COMPUTED_VALUE"""),0.0738124965393579)</f>
        <v>0.0738124965393579</v>
      </c>
      <c r="D55" s="20" t="n">
        <f aca="false">IFERROR(__xludf.DUMMYFUNCTION("""COMPUTED_VALUE"""),0.0826224235220467)</f>
        <v>0.0826224235220467</v>
      </c>
      <c r="E55" s="20" t="n">
        <f aca="false">IFERROR(__xludf.DUMMYFUNCTION("""COMPUTED_VALUE"""),0.0945083084729547)</f>
        <v>0.0945083084729547</v>
      </c>
      <c r="F55" s="20" t="n">
        <f aca="false">IFERROR(__xludf.DUMMYFUNCTION("""COMPUTED_VALUE"""),0.0952145803016424)</f>
        <v>0.0952145803016424</v>
      </c>
      <c r="G55" s="20" t="n">
        <f aca="false">IFERROR(__xludf.DUMMYFUNCTION("""COMPUTED_VALUE"""),0.0907966823883564)</f>
        <v>0.0907966823883564</v>
      </c>
      <c r="H55" s="20" t="n">
        <f aca="false">IFERROR(__xludf.DUMMYFUNCTION("""COMPUTED_VALUE"""),0.0771804197218833)</f>
        <v>0.0771804197218833</v>
      </c>
      <c r="I55" s="20" t="n">
        <f aca="false">IFERROR(__xludf.DUMMYFUNCTION("""COMPUTED_VALUE"""),0.0782751293210692)</f>
        <v>0.0782751293210692</v>
      </c>
      <c r="J55" s="20" t="n">
        <f aca="false">IFERROR(__xludf.DUMMYFUNCTION("""COMPUTED_VALUE"""),0.0826930272343553)</f>
        <v>0.0826930272343553</v>
      </c>
      <c r="K55" s="20" t="n">
        <f aca="false">IFERROR(__xludf.DUMMYFUNCTION("""COMPUTED_VALUE"""),0.0826930272343553)</f>
        <v>0.0826930272343553</v>
      </c>
      <c r="L55" s="20" t="n">
        <f aca="false">IFERROR(__xludf.DUMMYFUNCTION("""COMPUTED_VALUE"""),0.0819867554056675)</f>
        <v>0.0819867554056675</v>
      </c>
      <c r="M55" s="20" t="n">
        <f aca="false">IFERROR(__xludf.DUMMYFUNCTION("""COMPUTED_VALUE"""),0.0864046533189536)</f>
        <v>0.0864046533189536</v>
      </c>
      <c r="N55" s="21" t="n">
        <f aca="false">IFERROR(__xludf.DUMMYFUNCTION("""COMPUTED_VALUE"""),96.1040185823099)</f>
        <v>96.1040185823099</v>
      </c>
      <c r="O55" s="22" t="n">
        <f aca="false">IFERROR(__xludf.DUMMYFUNCTION("""COMPUTED_VALUE"""),1)</f>
        <v>1</v>
      </c>
      <c r="P55" s="21" t="n">
        <f aca="false">IFERROR(__xludf.DUMMYFUNCTION("""COMPUTED_VALUE"""),2)</f>
        <v>2</v>
      </c>
      <c r="Q55" s="21" t="n">
        <f aca="false">IFERROR(__xludf.DUMMYFUNCTION("""COMPUTED_VALUE"""),0)</f>
        <v>0</v>
      </c>
      <c r="R55" s="21" t="n">
        <f aca="false">IFERROR(__xludf.DUMMYFUNCTION("""COMPUTED_VALUE"""),723.3)</f>
        <v>723.3</v>
      </c>
      <c r="S55" s="21" t="n">
        <f aca="false">IFERROR(__xludf.DUMMYFUNCTION("""COMPUTED_VALUE"""),39.2)</f>
        <v>39.2</v>
      </c>
      <c r="T55" s="21" t="n">
        <f aca="false">IFERROR(__xludf.DUMMYFUNCTION("""COMPUTED_VALUE"""),41.9)</f>
        <v>41.9</v>
      </c>
      <c r="U55" s="21" t="n">
        <f aca="false">IFERROR(__xludf.DUMMYFUNCTION("""COMPUTED_VALUE"""),508.5)</f>
        <v>508.5</v>
      </c>
      <c r="V55" s="21" t="n">
        <f aca="false">IFERROR(__xludf.DUMMYFUNCTION("""COMPUTED_VALUE"""),248.3)</f>
        <v>248.3</v>
      </c>
      <c r="W55" s="21" t="n">
        <f aca="false">IFERROR(__xludf.DUMMYFUNCTION("""COMPUTED_VALUE"""),0)</f>
        <v>0</v>
      </c>
      <c r="X55" s="7" t="n">
        <f aca="false">SUM(Q55:W55)</f>
        <v>1561.2</v>
      </c>
    </row>
    <row r="56" customFormat="false" ht="15" hidden="false" customHeight="false" outlineLevel="0" collapsed="false">
      <c r="A56" s="4" t="s">
        <v>126</v>
      </c>
      <c r="B56" s="20" t="n">
        <f aca="false">IFERROR(__xludf.DUMMYFUNCTION("""COMPUTED_VALUE"""),0.0948522483704821)</f>
        <v>0.0948522483704821</v>
      </c>
      <c r="C56" s="20" t="n">
        <f aca="false">IFERROR(__xludf.DUMMYFUNCTION("""COMPUTED_VALUE"""),0.0815047861926023)</f>
        <v>0.0815047861926023</v>
      </c>
      <c r="D56" s="20" t="n">
        <f aca="false">IFERROR(__xludf.DUMMYFUNCTION("""COMPUTED_VALUE"""),0.0764490653204335)</f>
        <v>0.0764490653204335</v>
      </c>
      <c r="E56" s="20" t="n">
        <f aca="false">IFERROR(__xludf.DUMMYFUNCTION("""COMPUTED_VALUE"""),0.0840907184461371)</f>
        <v>0.0840907184461371</v>
      </c>
      <c r="F56" s="20" t="n">
        <f aca="false">IFERROR(__xludf.DUMMYFUNCTION("""COMPUTED_VALUE"""),0.0847724193282586)</f>
        <v>0.0847724193282586</v>
      </c>
      <c r="G56" s="20" t="n">
        <f aca="false">IFERROR(__xludf.DUMMYFUNCTION("""COMPUTED_VALUE"""),0.0839123144737292)</f>
        <v>0.0839123144737292</v>
      </c>
      <c r="H56" s="20" t="n">
        <f aca="false">IFERROR(__xludf.DUMMYFUNCTION("""COMPUTED_VALUE"""),0.0747579341668873)</f>
        <v>0.0747579341668873</v>
      </c>
      <c r="I56" s="20" t="n">
        <f aca="false">IFERROR(__xludf.DUMMYFUNCTION("""COMPUTED_VALUE"""),0.0754421691956102)</f>
        <v>0.0754421691956102</v>
      </c>
      <c r="J56" s="20" t="n">
        <f aca="false">IFERROR(__xludf.DUMMYFUNCTION("""COMPUTED_VALUE"""),0.0761698137204834)</f>
        <v>0.0761698137204834</v>
      </c>
      <c r="K56" s="20" t="n">
        <f aca="false">IFERROR(__xludf.DUMMYFUNCTION("""COMPUTED_VALUE"""),0.0761698137204834)</f>
        <v>0.0761698137204834</v>
      </c>
      <c r="L56" s="20" t="n">
        <f aca="false">IFERROR(__xludf.DUMMYFUNCTION("""COMPUTED_VALUE"""),0.0888355750162418)</f>
        <v>0.0888355750162418</v>
      </c>
      <c r="M56" s="20" t="n">
        <f aca="false">IFERROR(__xludf.DUMMYFUNCTION("""COMPUTED_VALUE"""),0.103043142048651)</f>
        <v>0.103043142048651</v>
      </c>
      <c r="N56" s="7" t="n">
        <f aca="false">SUM(N39:N55)</f>
        <v>107197.372813695</v>
      </c>
      <c r="P56" s="7" t="n">
        <f aca="false">SUM(P39:P55)</f>
        <v>785</v>
      </c>
    </row>
    <row r="57" customFormat="false" ht="15" hidden="false" customHeight="false" outlineLevel="0" collapsed="false">
      <c r="A57" s="5" t="s">
        <v>127</v>
      </c>
      <c r="Q57" s="22" t="n">
        <f aca="false">IFERROR(__xludf.DUMMYFUNCTION("IMPORTRANGE(Links!$B$5,""sobrestock_sustitutos!B18:H18"")"),9)</f>
        <v>9</v>
      </c>
      <c r="R57" s="22" t="n">
        <f aca="false">IFERROR(__xludf.DUMMYFUNCTION("""COMPUTED_VALUE"""),15)</f>
        <v>15</v>
      </c>
      <c r="S57" s="22" t="n">
        <f aca="false">IFERROR(__xludf.DUMMYFUNCTION("""COMPUTED_VALUE"""),12)</f>
        <v>12</v>
      </c>
      <c r="T57" s="22" t="n">
        <f aca="false">IFERROR(__xludf.DUMMYFUNCTION("""COMPUTED_VALUE"""),11)</f>
        <v>11</v>
      </c>
      <c r="U57" s="22" t="n">
        <f aca="false">IFERROR(__xludf.DUMMYFUNCTION("""COMPUTED_VALUE"""),10)</f>
        <v>10</v>
      </c>
      <c r="V57" s="22" t="n">
        <f aca="false">IFERROR(__xludf.DUMMYFUNCTION("""COMPUTED_VALUE"""),61)</f>
        <v>61</v>
      </c>
      <c r="W57" s="22" t="n">
        <f aca="false">IFERROR(__xludf.DUMMYFUNCTION("""COMPUTED_VALUE"""),6)</f>
        <v>6</v>
      </c>
    </row>
    <row r="58" customFormat="false" ht="15" hidden="false" customHeight="false" outlineLevel="0" collapsed="false">
      <c r="A58" s="5" t="s">
        <v>128</v>
      </c>
      <c r="B58" s="22" t="n">
        <f aca="false">IFERROR(__xludf.DUMMYFUNCTION("IMPORTRANGE(Links!$B$5,""parametros_recargas!B2"")"),20)</f>
        <v>20</v>
      </c>
    </row>
    <row r="59" customFormat="false" ht="15" hidden="false" customHeight="false" outlineLevel="0" collapsed="false">
      <c r="A59" s="5" t="s">
        <v>129</v>
      </c>
      <c r="B59" s="23" t="n">
        <f aca="false">IFERROR(__xludf.DUMMYFUNCTION("IMPORTRANGE(Links!$B$5,""parametros_recargas!B5"")"),7.5)</f>
        <v>7.5</v>
      </c>
    </row>
    <row r="61" customFormat="false" ht="15" hidden="false" customHeight="false" outlineLevel="0" collapsed="false">
      <c r="A61" s="6" t="s">
        <v>130</v>
      </c>
      <c r="B61" s="6" t="s">
        <v>86</v>
      </c>
      <c r="C61" s="6" t="s">
        <v>87</v>
      </c>
      <c r="D61" s="6" t="s">
        <v>88</v>
      </c>
      <c r="E61" s="6" t="s">
        <v>89</v>
      </c>
      <c r="F61" s="6" t="s">
        <v>90</v>
      </c>
      <c r="G61" s="6" t="s">
        <v>91</v>
      </c>
      <c r="H61" s="6" t="s">
        <v>92</v>
      </c>
      <c r="I61" s="6" t="s">
        <v>93</v>
      </c>
      <c r="J61" s="6" t="s">
        <v>94</v>
      </c>
      <c r="K61" s="6" t="s">
        <v>95</v>
      </c>
      <c r="L61" s="6" t="s">
        <v>96</v>
      </c>
      <c r="M61" s="6" t="s">
        <v>97</v>
      </c>
    </row>
    <row r="62" customFormat="false" ht="15" hidden="false" customHeight="false" outlineLevel="0" collapsed="false">
      <c r="A62" s="5" t="s">
        <v>101</v>
      </c>
      <c r="B62" s="20" t="n">
        <f aca="false">IFERROR(__xludf.DUMMYFUNCTION("IMPORTRANGE(Links!$B$5,""parametros_recargas!E35:P41"")"),0.12)</f>
        <v>0.12</v>
      </c>
      <c r="C62" s="20" t="n">
        <f aca="false">IFERROR(__xludf.DUMMYFUNCTION("""COMPUTED_VALUE"""),0.0955555555555556)</f>
        <v>0.0955555555555556</v>
      </c>
      <c r="D62" s="20" t="n">
        <f aca="false">IFERROR(__xludf.DUMMYFUNCTION("""COMPUTED_VALUE"""),0.0711111111111111)</f>
        <v>0.0711111111111111</v>
      </c>
      <c r="E62" s="20" t="n">
        <f aca="false">IFERROR(__xludf.DUMMYFUNCTION("""COMPUTED_VALUE"""),0.0711111111111111)</f>
        <v>0.0711111111111111</v>
      </c>
      <c r="F62" s="20" t="n">
        <f aca="false">IFERROR(__xludf.DUMMYFUNCTION("""COMPUTED_VALUE"""),0.0711111111111111)</f>
        <v>0.0711111111111111</v>
      </c>
      <c r="G62" s="20" t="n">
        <f aca="false">IFERROR(__xludf.DUMMYFUNCTION("""COMPUTED_VALUE"""),0.0711111111111111)</f>
        <v>0.0711111111111111</v>
      </c>
      <c r="H62" s="20" t="n">
        <f aca="false">IFERROR(__xludf.DUMMYFUNCTION("""COMPUTED_VALUE"""),0.0711111111111111)</f>
        <v>0.0711111111111111</v>
      </c>
      <c r="I62" s="20" t="n">
        <f aca="false">IFERROR(__xludf.DUMMYFUNCTION("""COMPUTED_VALUE"""),0.0711111111111111)</f>
        <v>0.0711111111111111</v>
      </c>
      <c r="J62" s="20" t="n">
        <f aca="false">IFERROR(__xludf.DUMMYFUNCTION("""COMPUTED_VALUE"""),0.0711111111111111)</f>
        <v>0.0711111111111111</v>
      </c>
      <c r="K62" s="20" t="n">
        <f aca="false">IFERROR(__xludf.DUMMYFUNCTION("""COMPUTED_VALUE"""),0.0711111111111111)</f>
        <v>0.0711111111111111</v>
      </c>
      <c r="L62" s="20" t="n">
        <f aca="false">IFERROR(__xludf.DUMMYFUNCTION("""COMPUTED_VALUE"""),0.0955555555555556)</f>
        <v>0.0955555555555556</v>
      </c>
      <c r="M62" s="20" t="n">
        <f aca="false">IFERROR(__xludf.DUMMYFUNCTION("""COMPUTED_VALUE"""),0.12)</f>
        <v>0.12</v>
      </c>
    </row>
    <row r="63" customFormat="false" ht="15" hidden="false" customHeight="false" outlineLevel="0" collapsed="false">
      <c r="A63" s="5" t="s">
        <v>102</v>
      </c>
      <c r="B63" s="20" t="n">
        <f aca="false">IFERROR(__xludf.DUMMYFUNCTION("""COMPUTED_VALUE"""),0.0540540540540541)</f>
        <v>0.0540540540540541</v>
      </c>
      <c r="C63" s="20" t="n">
        <f aca="false">IFERROR(__xludf.DUMMYFUNCTION("""COMPUTED_VALUE"""),0.0540540540540541)</f>
        <v>0.0540540540540541</v>
      </c>
      <c r="D63" s="20" t="n">
        <f aca="false">IFERROR(__xludf.DUMMYFUNCTION("""COMPUTED_VALUE"""),0.0810810810810811)</f>
        <v>0.0810810810810811</v>
      </c>
      <c r="E63" s="20" t="n">
        <f aca="false">IFERROR(__xludf.DUMMYFUNCTION("""COMPUTED_VALUE"""),0.108108108108108)</f>
        <v>0.108108108108108</v>
      </c>
      <c r="F63" s="20" t="n">
        <f aca="false">IFERROR(__xludf.DUMMYFUNCTION("""COMPUTED_VALUE"""),0.108108108108108)</f>
        <v>0.108108108108108</v>
      </c>
      <c r="G63" s="20" t="n">
        <f aca="false">IFERROR(__xludf.DUMMYFUNCTION("""COMPUTED_VALUE"""),0.108108108108108)</f>
        <v>0.108108108108108</v>
      </c>
      <c r="H63" s="20" t="n">
        <f aca="false">IFERROR(__xludf.DUMMYFUNCTION("""COMPUTED_VALUE"""),0.0810810810810811)</f>
        <v>0.0810810810810811</v>
      </c>
      <c r="I63" s="20" t="n">
        <f aca="false">IFERROR(__xludf.DUMMYFUNCTION("""COMPUTED_VALUE"""),0.0810810810810811)</f>
        <v>0.0810810810810811</v>
      </c>
      <c r="J63" s="20" t="n">
        <f aca="false">IFERROR(__xludf.DUMMYFUNCTION("""COMPUTED_VALUE"""),0.0810810810810811)</f>
        <v>0.0810810810810811</v>
      </c>
      <c r="K63" s="20" t="n">
        <f aca="false">IFERROR(__xludf.DUMMYFUNCTION("""COMPUTED_VALUE"""),0.0810810810810811)</f>
        <v>0.0810810810810811</v>
      </c>
      <c r="L63" s="20" t="n">
        <f aca="false">IFERROR(__xludf.DUMMYFUNCTION("""COMPUTED_VALUE"""),0.0810810810810811)</f>
        <v>0.0810810810810811</v>
      </c>
      <c r="M63" s="20" t="n">
        <f aca="false">IFERROR(__xludf.DUMMYFUNCTION("""COMPUTED_VALUE"""),0.0810810810810811)</f>
        <v>0.0810810810810811</v>
      </c>
    </row>
    <row r="64" customFormat="false" ht="15" hidden="false" customHeight="false" outlineLevel="0" collapsed="false">
      <c r="A64" s="5" t="s">
        <v>103</v>
      </c>
      <c r="B64" s="20" t="n">
        <f aca="false">IFERROR(__xludf.DUMMYFUNCTION("""COMPUTED_VALUE"""),0.10126582278481)</f>
        <v>0.10126582278481</v>
      </c>
      <c r="C64" s="20" t="n">
        <f aca="false">IFERROR(__xludf.DUMMYFUNCTION("""COMPUTED_VALUE"""),0.10126582278481)</f>
        <v>0.10126582278481</v>
      </c>
      <c r="D64" s="20" t="n">
        <f aca="false">IFERROR(__xludf.DUMMYFUNCTION("""COMPUTED_VALUE"""),0.10126582278481)</f>
        <v>0.10126582278481</v>
      </c>
      <c r="E64" s="20" t="n">
        <f aca="false">IFERROR(__xludf.DUMMYFUNCTION("""COMPUTED_VALUE"""),0.0759493670886076)</f>
        <v>0.0759493670886076</v>
      </c>
      <c r="F64" s="20" t="n">
        <f aca="false">IFERROR(__xludf.DUMMYFUNCTION("""COMPUTED_VALUE"""),0.0759493670886076)</f>
        <v>0.0759493670886076</v>
      </c>
      <c r="G64" s="20" t="n">
        <f aca="false">IFERROR(__xludf.DUMMYFUNCTION("""COMPUTED_VALUE"""),0.0759493670886076)</f>
        <v>0.0759493670886076</v>
      </c>
      <c r="H64" s="20" t="n">
        <f aca="false">IFERROR(__xludf.DUMMYFUNCTION("""COMPUTED_VALUE"""),0.0886075949367089)</f>
        <v>0.0886075949367089</v>
      </c>
      <c r="I64" s="20" t="n">
        <f aca="false">IFERROR(__xludf.DUMMYFUNCTION("""COMPUTED_VALUE"""),0.0759493670886076)</f>
        <v>0.0759493670886076</v>
      </c>
      <c r="J64" s="20" t="n">
        <f aca="false">IFERROR(__xludf.DUMMYFUNCTION("""COMPUTED_VALUE"""),0.0759493670886076)</f>
        <v>0.0759493670886076</v>
      </c>
      <c r="K64" s="20" t="n">
        <f aca="false">IFERROR(__xludf.DUMMYFUNCTION("""COMPUTED_VALUE"""),0.0759493670886076)</f>
        <v>0.0759493670886076</v>
      </c>
      <c r="L64" s="20" t="n">
        <f aca="false">IFERROR(__xludf.DUMMYFUNCTION("""COMPUTED_VALUE"""),0.0759493670886076)</f>
        <v>0.0759493670886076</v>
      </c>
      <c r="M64" s="20" t="n">
        <f aca="false">IFERROR(__xludf.DUMMYFUNCTION("""COMPUTED_VALUE"""),0.0759493670886076)</f>
        <v>0.0759493670886076</v>
      </c>
    </row>
    <row r="65" customFormat="false" ht="15" hidden="false" customHeight="false" outlineLevel="0" collapsed="false">
      <c r="A65" s="5" t="s">
        <v>104</v>
      </c>
      <c r="B65" s="20" t="n">
        <f aca="false">IFERROR(__xludf.DUMMYFUNCTION("""COMPUTED_VALUE"""),0.0526315789473684)</f>
        <v>0.0526315789473684</v>
      </c>
      <c r="C65" s="20" t="n">
        <f aca="false">IFERROR(__xludf.DUMMYFUNCTION("""COMPUTED_VALUE"""),0.0526315789473684)</f>
        <v>0.0526315789473684</v>
      </c>
      <c r="D65" s="20" t="n">
        <f aca="false">IFERROR(__xludf.DUMMYFUNCTION("""COMPUTED_VALUE"""),0.0789473684210526)</f>
        <v>0.0789473684210526</v>
      </c>
      <c r="E65" s="20" t="n">
        <f aca="false">IFERROR(__xludf.DUMMYFUNCTION("""COMPUTED_VALUE"""),0.0789473684210526)</f>
        <v>0.0789473684210526</v>
      </c>
      <c r="F65" s="20" t="n">
        <f aca="false">IFERROR(__xludf.DUMMYFUNCTION("""COMPUTED_VALUE"""),0.105263157894737)</f>
        <v>0.105263157894737</v>
      </c>
      <c r="G65" s="20" t="n">
        <f aca="false">IFERROR(__xludf.DUMMYFUNCTION("""COMPUTED_VALUE"""),0.105263157894737)</f>
        <v>0.105263157894737</v>
      </c>
      <c r="H65" s="20" t="n">
        <f aca="false">IFERROR(__xludf.DUMMYFUNCTION("""COMPUTED_VALUE"""),0.0526315789473684)</f>
        <v>0.0526315789473684</v>
      </c>
      <c r="I65" s="20" t="n">
        <f aca="false">IFERROR(__xludf.DUMMYFUNCTION("""COMPUTED_VALUE"""),0.105263157894737)</f>
        <v>0.105263157894737</v>
      </c>
      <c r="J65" s="20" t="n">
        <f aca="false">IFERROR(__xludf.DUMMYFUNCTION("""COMPUTED_VALUE"""),0.105263157894737)</f>
        <v>0.105263157894737</v>
      </c>
      <c r="K65" s="20" t="n">
        <f aca="false">IFERROR(__xludf.DUMMYFUNCTION("""COMPUTED_VALUE"""),0.105263157894737)</f>
        <v>0.105263157894737</v>
      </c>
      <c r="L65" s="20" t="n">
        <f aca="false">IFERROR(__xludf.DUMMYFUNCTION("""COMPUTED_VALUE"""),0.0789473684210526)</f>
        <v>0.0789473684210526</v>
      </c>
      <c r="M65" s="20" t="n">
        <f aca="false">IFERROR(__xludf.DUMMYFUNCTION("""COMPUTED_VALUE"""),0.0789473684210526)</f>
        <v>0.0789473684210526</v>
      </c>
    </row>
    <row r="66" customFormat="false" ht="15" hidden="false" customHeight="false" outlineLevel="0" collapsed="false">
      <c r="A66" s="5" t="s">
        <v>105</v>
      </c>
      <c r="B66" s="20" t="n">
        <f aca="false">IFERROR(__xludf.DUMMYFUNCTION("""COMPUTED_VALUE"""),0.0833333333333333)</f>
        <v>0.0833333333333333</v>
      </c>
      <c r="C66" s="20" t="n">
        <f aca="false">IFERROR(__xludf.DUMMYFUNCTION("""COMPUTED_VALUE"""),0.0833333333333333)</f>
        <v>0.0833333333333333</v>
      </c>
      <c r="D66" s="20" t="n">
        <f aca="false">IFERROR(__xludf.DUMMYFUNCTION("""COMPUTED_VALUE"""),0.0833333333333333)</f>
        <v>0.0833333333333333</v>
      </c>
      <c r="E66" s="20" t="n">
        <f aca="false">IFERROR(__xludf.DUMMYFUNCTION("""COMPUTED_VALUE"""),0.0833333333333333)</f>
        <v>0.0833333333333333</v>
      </c>
      <c r="F66" s="20" t="n">
        <f aca="false">IFERROR(__xludf.DUMMYFUNCTION("""COMPUTED_VALUE"""),0.0833333333333333)</f>
        <v>0.0833333333333333</v>
      </c>
      <c r="G66" s="20" t="n">
        <f aca="false">IFERROR(__xludf.DUMMYFUNCTION("""COMPUTED_VALUE"""),0.0833333333333333)</f>
        <v>0.0833333333333333</v>
      </c>
      <c r="H66" s="20" t="n">
        <f aca="false">IFERROR(__xludf.DUMMYFUNCTION("""COMPUTED_VALUE"""),0.0833333333333333)</f>
        <v>0.0833333333333333</v>
      </c>
      <c r="I66" s="20" t="n">
        <f aca="false">IFERROR(__xludf.DUMMYFUNCTION("""COMPUTED_VALUE"""),0.0833333333333333)</f>
        <v>0.0833333333333333</v>
      </c>
      <c r="J66" s="20" t="n">
        <f aca="false">IFERROR(__xludf.DUMMYFUNCTION("""COMPUTED_VALUE"""),0.0833333333333333)</f>
        <v>0.0833333333333333</v>
      </c>
      <c r="K66" s="20" t="n">
        <f aca="false">IFERROR(__xludf.DUMMYFUNCTION("""COMPUTED_VALUE"""),0.0833333333333333)</f>
        <v>0.0833333333333333</v>
      </c>
      <c r="L66" s="20" t="n">
        <f aca="false">IFERROR(__xludf.DUMMYFUNCTION("""COMPUTED_VALUE"""),0.0833333333333333)</f>
        <v>0.0833333333333333</v>
      </c>
      <c r="M66" s="20" t="n">
        <f aca="false">IFERROR(__xludf.DUMMYFUNCTION("""COMPUTED_VALUE"""),0.0833333333333333)</f>
        <v>0.0833333333333333</v>
      </c>
    </row>
    <row r="67" customFormat="false" ht="15" hidden="false" customHeight="false" outlineLevel="0" collapsed="false">
      <c r="A67" s="5" t="s">
        <v>106</v>
      </c>
      <c r="B67" s="20" t="n">
        <f aca="false">IFERROR(__xludf.DUMMYFUNCTION("""COMPUTED_VALUE"""),0.111111111111111)</f>
        <v>0.111111111111111</v>
      </c>
      <c r="C67" s="20" t="n">
        <f aca="false">IFERROR(__xludf.DUMMYFUNCTION("""COMPUTED_VALUE"""),0.111111111111111)</f>
        <v>0.111111111111111</v>
      </c>
      <c r="D67" s="20" t="n">
        <f aca="false">IFERROR(__xludf.DUMMYFUNCTION("""COMPUTED_VALUE"""),0.0833333333333333)</f>
        <v>0.0833333333333333</v>
      </c>
      <c r="E67" s="20" t="n">
        <f aca="false">IFERROR(__xludf.DUMMYFUNCTION("""COMPUTED_VALUE"""),0.0833333333333333)</f>
        <v>0.0833333333333333</v>
      </c>
      <c r="F67" s="20" t="n">
        <f aca="false">IFERROR(__xludf.DUMMYFUNCTION("""COMPUTED_VALUE"""),0.0833333333333333)</f>
        <v>0.0833333333333333</v>
      </c>
      <c r="G67" s="20" t="n">
        <f aca="false">IFERROR(__xludf.DUMMYFUNCTION("""COMPUTED_VALUE"""),0.0555555555555556)</f>
        <v>0.0555555555555556</v>
      </c>
      <c r="H67" s="20" t="n">
        <f aca="false">IFERROR(__xludf.DUMMYFUNCTION("""COMPUTED_VALUE"""),0.0555555555555556)</f>
        <v>0.0555555555555556</v>
      </c>
      <c r="I67" s="20" t="n">
        <f aca="false">IFERROR(__xludf.DUMMYFUNCTION("""COMPUTED_VALUE"""),0.0555555555555556)</f>
        <v>0.0555555555555556</v>
      </c>
      <c r="J67" s="20" t="n">
        <f aca="false">IFERROR(__xludf.DUMMYFUNCTION("""COMPUTED_VALUE"""),0.0833333333333333)</f>
        <v>0.0833333333333333</v>
      </c>
      <c r="K67" s="20" t="n">
        <f aca="false">IFERROR(__xludf.DUMMYFUNCTION("""COMPUTED_VALUE"""),0.0833333333333333)</f>
        <v>0.0833333333333333</v>
      </c>
      <c r="L67" s="20" t="n">
        <f aca="false">IFERROR(__xludf.DUMMYFUNCTION("""COMPUTED_VALUE"""),0.0833333333333333)</f>
        <v>0.0833333333333333</v>
      </c>
      <c r="M67" s="20" t="n">
        <f aca="false">IFERROR(__xludf.DUMMYFUNCTION("""COMPUTED_VALUE"""),0.111111111111111)</f>
        <v>0.111111111111111</v>
      </c>
    </row>
    <row r="68" customFormat="false" ht="15" hidden="false" customHeight="false" outlineLevel="0" collapsed="false">
      <c r="A68" s="5" t="s">
        <v>107</v>
      </c>
      <c r="B68" s="20" t="n">
        <f aca="false">IFERROR(__xludf.DUMMYFUNCTION("""COMPUTED_VALUE"""),0.0555555555555556)</f>
        <v>0.0555555555555556</v>
      </c>
      <c r="C68" s="20" t="n">
        <f aca="false">IFERROR(__xludf.DUMMYFUNCTION("""COMPUTED_VALUE"""),0.0555555555555556)</f>
        <v>0.0555555555555556</v>
      </c>
      <c r="D68" s="20" t="n">
        <f aca="false">IFERROR(__xludf.DUMMYFUNCTION("""COMPUTED_VALUE"""),0.0833333333333333)</f>
        <v>0.0833333333333333</v>
      </c>
      <c r="E68" s="20" t="n">
        <f aca="false">IFERROR(__xludf.DUMMYFUNCTION("""COMPUTED_VALUE"""),0.0833333333333333)</f>
        <v>0.0833333333333333</v>
      </c>
      <c r="F68" s="20" t="n">
        <f aca="false">IFERROR(__xludf.DUMMYFUNCTION("""COMPUTED_VALUE"""),0.111111111111111)</f>
        <v>0.111111111111111</v>
      </c>
      <c r="G68" s="20" t="n">
        <f aca="false">IFERROR(__xludf.DUMMYFUNCTION("""COMPUTED_VALUE"""),0.111111111111111)</f>
        <v>0.111111111111111</v>
      </c>
      <c r="H68" s="20" t="n">
        <f aca="false">IFERROR(__xludf.DUMMYFUNCTION("""COMPUTED_VALUE"""),0.111111111111111)</f>
        <v>0.111111111111111</v>
      </c>
      <c r="I68" s="20" t="n">
        <f aca="false">IFERROR(__xludf.DUMMYFUNCTION("""COMPUTED_VALUE"""),0.111111111111111)</f>
        <v>0.111111111111111</v>
      </c>
      <c r="J68" s="20" t="n">
        <f aca="false">IFERROR(__xludf.DUMMYFUNCTION("""COMPUTED_VALUE"""),0.0833333333333333)</f>
        <v>0.0833333333333333</v>
      </c>
      <c r="K68" s="20" t="n">
        <f aca="false">IFERROR(__xludf.DUMMYFUNCTION("""COMPUTED_VALUE"""),0.0833333333333333)</f>
        <v>0.0833333333333333</v>
      </c>
      <c r="L68" s="20" t="n">
        <f aca="false">IFERROR(__xludf.DUMMYFUNCTION("""COMPUTED_VALUE"""),0.0555555555555556)</f>
        <v>0.0555555555555556</v>
      </c>
      <c r="M68" s="20" t="n">
        <f aca="false">IFERROR(__xludf.DUMMYFUNCTION("""COMPUTED_VALUE"""),0.0555555555555556)</f>
        <v>0.0555555555555556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12" min="6" style="0" width="12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6" t="s">
        <v>134</v>
      </c>
      <c r="B4" s="6" t="s">
        <v>12</v>
      </c>
      <c r="C4" s="6" t="s">
        <v>13</v>
      </c>
    </row>
    <row r="5" customFormat="false" ht="15" hidden="false" customHeight="false" outlineLevel="0" collapsed="false">
      <c r="A5" s="5" t="s">
        <v>135</v>
      </c>
      <c r="B5" s="24" t="n">
        <f aca="false">MATCH(MAX(Importados!$B$22:$M$22),Importados!$B$22:$M$22,0)</f>
        <v>12</v>
      </c>
      <c r="C5" s="24" t="n">
        <f aca="false">MATCH(MAX(Importados!$B$56:$M$56),Importados!$B$56:$M$56,0)</f>
        <v>12</v>
      </c>
    </row>
    <row r="6" customFormat="false" ht="15" hidden="false" customHeight="false" outlineLevel="0" collapsed="false">
      <c r="A6" s="4" t="s">
        <v>17</v>
      </c>
      <c r="B6" s="25" t="str">
        <f aca="false">INDEX(Importados!$B$4:$M$4,B5)</f>
        <v>Dic</v>
      </c>
      <c r="C6" s="25" t="str">
        <f aca="false">INDEX(Importados!$B$38:$M$38,C5)</f>
        <v>Dic</v>
      </c>
    </row>
    <row r="7" customFormat="false" ht="15" hidden="false" customHeight="false" outlineLevel="0" collapsed="false">
      <c r="A7" s="5" t="s">
        <v>136</v>
      </c>
      <c r="B7" s="26" t="n">
        <f aca="false">INDEX(Importados!$B$22:$M$22,B5)</f>
        <v>0.102986262617071</v>
      </c>
      <c r="C7" s="26" t="n">
        <f aca="false">INDEX(Importados!$B$56:$M$56,C5)</f>
        <v>0.103043142048651</v>
      </c>
    </row>
    <row r="8" customFormat="false" ht="15" hidden="false" customHeight="false" outlineLevel="0" collapsed="false">
      <c r="A8" s="5" t="s">
        <v>128</v>
      </c>
      <c r="B8" s="24" t="n">
        <f aca="false">Importados!$B$24</f>
        <v>20</v>
      </c>
      <c r="C8" s="24" t="n">
        <f aca="false">Importados!$B$58</f>
        <v>20</v>
      </c>
    </row>
    <row r="9" customFormat="false" ht="15" hidden="false" customHeight="false" outlineLevel="0" collapsed="false">
      <c r="A9" s="5" t="s">
        <v>129</v>
      </c>
      <c r="B9" s="27" t="n">
        <f aca="false">Importados!$B$25</f>
        <v>7.5</v>
      </c>
      <c r="C9" s="27" t="n">
        <f aca="false">Importados!$B$59</f>
        <v>7.5</v>
      </c>
    </row>
    <row r="11" customFormat="false" ht="23.85" hidden="false" customHeight="true" outlineLevel="0" collapsed="false">
      <c r="A11" s="6" t="s">
        <v>137</v>
      </c>
      <c r="B11" s="6" t="s">
        <v>138</v>
      </c>
      <c r="C11" s="6" t="s">
        <v>139</v>
      </c>
      <c r="D11" s="6" t="s">
        <v>140</v>
      </c>
      <c r="E11" s="6" t="s">
        <v>141</v>
      </c>
      <c r="F11" s="6" t="s">
        <v>12</v>
      </c>
      <c r="G11" s="6"/>
      <c r="H11" s="6"/>
      <c r="I11" s="6" t="s">
        <v>13</v>
      </c>
      <c r="J11" s="6"/>
      <c r="K11" s="6"/>
      <c r="L11" s="6"/>
      <c r="M11" s="6" t="s">
        <v>142</v>
      </c>
    </row>
    <row r="12" customFormat="false" ht="23.85" hidden="false" customHeight="false" outlineLevel="0" collapsed="false">
      <c r="A12" s="6" t="s">
        <v>143</v>
      </c>
      <c r="B12" s="6"/>
      <c r="C12" s="6"/>
      <c r="D12" s="6"/>
      <c r="E12" s="6"/>
      <c r="F12" s="6" t="s">
        <v>144</v>
      </c>
      <c r="G12" s="6" t="s">
        <v>145</v>
      </c>
      <c r="H12" s="6" t="s">
        <v>146</v>
      </c>
      <c r="I12" s="6" t="s">
        <v>144</v>
      </c>
      <c r="J12" s="6" t="s">
        <v>145</v>
      </c>
      <c r="K12" s="6" t="s">
        <v>146</v>
      </c>
      <c r="L12" s="6"/>
      <c r="M12" s="6" t="s">
        <v>147</v>
      </c>
    </row>
    <row r="13" customFormat="false" ht="15" hidden="false" customHeight="false" outlineLevel="0" collapsed="false">
      <c r="A13" s="5" t="s">
        <v>109</v>
      </c>
      <c r="B13" s="28" t="n">
        <v>1.9</v>
      </c>
      <c r="C13" s="22" t="n">
        <v>72</v>
      </c>
      <c r="D13" s="12" t="s">
        <v>148</v>
      </c>
      <c r="E13" s="22" t="n">
        <v>0</v>
      </c>
      <c r="F13" s="29" t="n">
        <f aca="false">Importados!$N$5*INDEX(Importados!$B$5:$M$5,$B$5)/$B$8</f>
        <v>652.618836454199</v>
      </c>
      <c r="G13" s="29" t="n">
        <f aca="false">F13*Importados!$O$5</f>
        <v>0</v>
      </c>
      <c r="H13" s="23" t="n">
        <f aca="false">F13/$C13</f>
        <v>9.06415050630832</v>
      </c>
      <c r="I13" s="29" t="n">
        <f aca="false">Importados!$N$39*INDEX(Importados!$B$39:$M$39,$C$5)/$C$8</f>
        <v>339.254723202532</v>
      </c>
      <c r="J13" s="29" t="n">
        <f aca="false">I13*Importados!$O$39</f>
        <v>0</v>
      </c>
      <c r="K13" s="23" t="n">
        <f aca="false">I13/$C13</f>
        <v>4.71187115559072</v>
      </c>
      <c r="M13" s="5" t="s">
        <v>149</v>
      </c>
    </row>
    <row r="14" customFormat="false" ht="15" hidden="false" customHeight="false" outlineLevel="0" collapsed="false">
      <c r="A14" s="5" t="s">
        <v>110</v>
      </c>
      <c r="B14" s="28" t="n">
        <v>4.6</v>
      </c>
      <c r="C14" s="22" t="n">
        <v>30</v>
      </c>
      <c r="D14" s="12" t="s">
        <v>150</v>
      </c>
      <c r="E14" s="22" t="n">
        <v>0</v>
      </c>
      <c r="F14" s="29" t="n">
        <f aca="false">Importados!$N$6*INDEX(Importados!$B$6:$M$6,$B$5)/$B$8</f>
        <v>37.0808827424103</v>
      </c>
      <c r="G14" s="29" t="n">
        <f aca="false">F14*Importados!$O$6</f>
        <v>37.0808827424103</v>
      </c>
      <c r="H14" s="23" t="n">
        <f aca="false">F14/$C14</f>
        <v>1.23602942474701</v>
      </c>
      <c r="I14" s="29" t="n">
        <f aca="false">Importados!$N$40*INDEX(Importados!$B$40:$M$40,$C$5)/$C$8</f>
        <v>19.2468348066429</v>
      </c>
      <c r="J14" s="29" t="n">
        <f aca="false">I14*Importados!$O$40</f>
        <v>19.2468348066429</v>
      </c>
      <c r="K14" s="23" t="n">
        <f aca="false">I14/$C14</f>
        <v>0.641561160221431</v>
      </c>
      <c r="M14" s="5" t="s">
        <v>149</v>
      </c>
    </row>
    <row r="15" customFormat="false" ht="15" hidden="false" customHeight="false" outlineLevel="0" collapsed="false">
      <c r="A15" s="5" t="s">
        <v>111</v>
      </c>
      <c r="B15" s="28" t="n">
        <v>8.5</v>
      </c>
      <c r="C15" s="22" t="n">
        <v>24</v>
      </c>
      <c r="D15" s="12" t="s">
        <v>150</v>
      </c>
      <c r="E15" s="22" t="n">
        <v>0</v>
      </c>
      <c r="F15" s="29" t="n">
        <f aca="false">Importados!$N$7*INDEX(Importados!$B$7:$M$7,$B$5)/$B$8</f>
        <v>238.015237592182</v>
      </c>
      <c r="G15" s="29" t="n">
        <f aca="false">F15*Importados!$O$7</f>
        <v>238.015237592182</v>
      </c>
      <c r="H15" s="23" t="n">
        <f aca="false">F15/$C15</f>
        <v>9.9173015663409</v>
      </c>
      <c r="I15" s="29" t="n">
        <f aca="false">Importados!$N$41*INDEX(Importados!$B$41:$M$41,$C$5)/$C$8</f>
        <v>123.883624610963</v>
      </c>
      <c r="J15" s="29" t="n">
        <f aca="false">I15*Importados!$O$41</f>
        <v>123.883624610963</v>
      </c>
      <c r="K15" s="23" t="n">
        <f aca="false">I15/$C15</f>
        <v>5.16181769212347</v>
      </c>
      <c r="M15" s="5" t="s">
        <v>149</v>
      </c>
    </row>
    <row r="16" customFormat="false" ht="15" hidden="false" customHeight="false" outlineLevel="0" collapsed="false">
      <c r="A16" s="5" t="s">
        <v>112</v>
      </c>
      <c r="B16" s="28" t="n">
        <v>16.5</v>
      </c>
      <c r="C16" s="22" t="n">
        <v>16</v>
      </c>
      <c r="D16" s="12" t="s">
        <v>150</v>
      </c>
      <c r="E16" s="22" t="n">
        <v>0</v>
      </c>
      <c r="F16" s="29" t="n">
        <f aca="false">Importados!$N$8*INDEX(Importados!$B$8:$M$8,$B$5)/$B$8</f>
        <v>13.8920231904653</v>
      </c>
      <c r="G16" s="29" t="n">
        <f aca="false">F16*Importados!$O$8</f>
        <v>13.8920231904653</v>
      </c>
      <c r="H16" s="23" t="n">
        <f aca="false">F16/$C16</f>
        <v>0.868251449404081</v>
      </c>
      <c r="I16" s="29" t="n">
        <f aca="false">Importados!$N$42*INDEX(Importados!$B$42:$M$42,$C$5)/$C$8</f>
        <v>7.22960704153535</v>
      </c>
      <c r="J16" s="29" t="n">
        <f aca="false">I16*Importados!$O$42</f>
        <v>7.22960704153535</v>
      </c>
      <c r="K16" s="23" t="n">
        <f aca="false">I16/$C16</f>
        <v>0.451850440095959</v>
      </c>
      <c r="M16" s="5" t="s">
        <v>149</v>
      </c>
    </row>
    <row r="17" customFormat="false" ht="15" hidden="false" customHeight="false" outlineLevel="0" collapsed="false">
      <c r="A17" s="5" t="s">
        <v>113</v>
      </c>
      <c r="B17" s="28" t="n">
        <v>12.55</v>
      </c>
      <c r="C17" s="22" t="n">
        <v>16</v>
      </c>
      <c r="D17" s="12" t="s">
        <v>150</v>
      </c>
      <c r="E17" s="22" t="n">
        <v>0</v>
      </c>
      <c r="F17" s="29" t="n">
        <f aca="false">Importados!$N$9*INDEX(Importados!$B$9:$M$9,$B$5)/$B$8</f>
        <v>19.6998523581369</v>
      </c>
      <c r="G17" s="29" t="n">
        <f aca="false">F17*Importados!$O$9</f>
        <v>19.6998523581369</v>
      </c>
      <c r="H17" s="23" t="n">
        <f aca="false">F17/$C17</f>
        <v>1.23124077238356</v>
      </c>
      <c r="I17" s="29" t="n">
        <f aca="false">Importados!$N$43*INDEX(Importados!$B$43:$M$43,$C$5)/$C$8</f>
        <v>10.2632365116348</v>
      </c>
      <c r="J17" s="29" t="n">
        <f aca="false">I17*Importados!$O$43</f>
        <v>10.2632365116348</v>
      </c>
      <c r="K17" s="23" t="n">
        <f aca="false">I17/$C17</f>
        <v>0.641452281977176</v>
      </c>
      <c r="M17" s="5" t="s">
        <v>149</v>
      </c>
    </row>
    <row r="18" customFormat="false" ht="15" hidden="false" customHeight="false" outlineLevel="0" collapsed="false">
      <c r="A18" s="5" t="s">
        <v>114</v>
      </c>
      <c r="B18" s="28" t="n">
        <v>12.6</v>
      </c>
      <c r="C18" s="22" t="n">
        <v>16</v>
      </c>
      <c r="D18" s="12" t="s">
        <v>150</v>
      </c>
      <c r="E18" s="22" t="n">
        <v>0</v>
      </c>
      <c r="F18" s="29" t="n">
        <f aca="false">Importados!$N$10*INDEX(Importados!$B$10:$M$10,$B$5)/$B$8</f>
        <v>3.70706016003244</v>
      </c>
      <c r="G18" s="29" t="n">
        <f aca="false">F18*Importados!$O$10</f>
        <v>3.70706016003244</v>
      </c>
      <c r="H18" s="23" t="n">
        <f aca="false">F18/$C18</f>
        <v>0.231691260002027</v>
      </c>
      <c r="I18" s="29" t="n">
        <f aca="false">Importados!$N$44*INDEX(Importados!$B$44:$M$44,$C$5)/$C$8</f>
        <v>1.92691078648638</v>
      </c>
      <c r="J18" s="29" t="n">
        <f aca="false">I18*Importados!$O$44</f>
        <v>1.92691078648638</v>
      </c>
      <c r="K18" s="23" t="n">
        <f aca="false">I18/$C18</f>
        <v>0.120431924155399</v>
      </c>
      <c r="M18" s="5" t="s">
        <v>149</v>
      </c>
    </row>
    <row r="19" customFormat="false" ht="15" hidden="false" customHeight="false" outlineLevel="0" collapsed="false">
      <c r="A19" s="5" t="s">
        <v>115</v>
      </c>
      <c r="B19" s="28" t="n">
        <v>100</v>
      </c>
      <c r="C19" s="22" t="n">
        <v>2</v>
      </c>
      <c r="D19" s="12" t="s">
        <v>151</v>
      </c>
      <c r="E19" s="22" t="n">
        <v>1</v>
      </c>
      <c r="F19" s="29" t="n">
        <f aca="false">Importados!$N$11*INDEX(Importados!$B$11:$M$11,$B$5)/$B$8</f>
        <v>1.93238762507252</v>
      </c>
      <c r="G19" s="29" t="n">
        <f aca="false">F19*Importados!$O$11</f>
        <v>1.93238762507252</v>
      </c>
      <c r="H19" s="23" t="n">
        <f aca="false">F19/$C19</f>
        <v>0.96619381253626</v>
      </c>
      <c r="I19" s="29" t="n">
        <f aca="false">Importados!$N$45*INDEX(Importados!$B$45:$M$45,$C$5)/$C$8</f>
        <v>1.0044451391888</v>
      </c>
      <c r="J19" s="29" t="n">
        <f aca="false">I19*Importados!$O$45</f>
        <v>1.0044451391888</v>
      </c>
      <c r="K19" s="23" t="n">
        <f aca="false">I19/$C19</f>
        <v>0.5022225695944</v>
      </c>
      <c r="M19" s="5" t="s">
        <v>149</v>
      </c>
    </row>
    <row r="20" customFormat="false" ht="15" hidden="false" customHeight="false" outlineLevel="0" collapsed="false">
      <c r="A20" s="5" t="s">
        <v>116</v>
      </c>
      <c r="B20" s="28" t="n">
        <v>8.5</v>
      </c>
      <c r="C20" s="22" t="n">
        <v>24</v>
      </c>
      <c r="D20" s="12" t="s">
        <v>150</v>
      </c>
      <c r="E20" s="22" t="n">
        <v>0</v>
      </c>
      <c r="F20" s="29" t="n">
        <f aca="false">Importados!$N$12*INDEX(Importados!$B$12:$M$12,$B$5)/$B$8</f>
        <v>1.11707817254642</v>
      </c>
      <c r="G20" s="29" t="n">
        <f aca="false">F20*Importados!$O$12</f>
        <v>1.11707817254642</v>
      </c>
      <c r="H20" s="23" t="n">
        <f aca="false">F20/$C20</f>
        <v>0.0465449238561007</v>
      </c>
      <c r="I20" s="29" t="n">
        <f aca="false">Importados!$N$46*INDEX(Importados!$B$46:$M$46,$C$5)/$C$8</f>
        <v>0.580651483144354</v>
      </c>
      <c r="J20" s="29" t="n">
        <f aca="false">I20*Importados!$O$46</f>
        <v>0.580651483144354</v>
      </c>
      <c r="K20" s="23" t="n">
        <f aca="false">I20/$C20</f>
        <v>0.0241938117976814</v>
      </c>
      <c r="M20" s="5" t="s">
        <v>149</v>
      </c>
    </row>
    <row r="21" customFormat="false" ht="15" hidden="false" customHeight="false" outlineLevel="0" collapsed="false">
      <c r="A21" s="5" t="s">
        <v>117</v>
      </c>
      <c r="B21" s="28" t="n">
        <v>8.25</v>
      </c>
      <c r="C21" s="22" t="n">
        <v>16</v>
      </c>
      <c r="D21" s="12" t="s">
        <v>150</v>
      </c>
      <c r="E21" s="22" t="n">
        <v>0</v>
      </c>
      <c r="F21" s="29" t="n">
        <f aca="false">Importados!$N$13*INDEX(Importados!$B$13:$M$13,$B$5)/$B$8</f>
        <v>9.58243351095272</v>
      </c>
      <c r="G21" s="29" t="n">
        <f aca="false">F21*Importados!$O$13</f>
        <v>9.58243351095272</v>
      </c>
      <c r="H21" s="23" t="n">
        <f aca="false">F21/$C21</f>
        <v>0.598902094434545</v>
      </c>
      <c r="I21" s="29" t="n">
        <f aca="false">Importados!$N$47*INDEX(Importados!$B$47:$M$47,$C$5)/$C$8</f>
        <v>4.97450118188776</v>
      </c>
      <c r="J21" s="29" t="n">
        <f aca="false">I21*Importados!$O$47</f>
        <v>4.97450118188776</v>
      </c>
      <c r="K21" s="23" t="n">
        <f aca="false">I21/$C21</f>
        <v>0.310906323867985</v>
      </c>
      <c r="M21" s="5" t="s">
        <v>149</v>
      </c>
    </row>
    <row r="22" customFormat="false" ht="15" hidden="false" customHeight="false" outlineLevel="0" collapsed="false">
      <c r="A22" s="5" t="s">
        <v>118</v>
      </c>
      <c r="B22" s="28" t="n">
        <v>9</v>
      </c>
      <c r="C22" s="22" t="n">
        <v>30</v>
      </c>
      <c r="D22" s="12" t="s">
        <v>150</v>
      </c>
      <c r="E22" s="22" t="n">
        <v>0</v>
      </c>
      <c r="F22" s="29" t="n">
        <f aca="false">Importados!$N$14*INDEX(Importados!$B$14:$M$14,$B$5)/$B$8</f>
        <v>51.7478506420602</v>
      </c>
      <c r="G22" s="29" t="n">
        <f aca="false">F22*Importados!$O$14</f>
        <v>51.7478506420602</v>
      </c>
      <c r="H22" s="23" t="n">
        <f aca="false">F22/$C22</f>
        <v>1.72492835473534</v>
      </c>
      <c r="I22" s="29" t="n">
        <f aca="false">Importados!$N$48*INDEX(Importados!$B$48:$M$48,$C$5)/$C$8</f>
        <v>26.9047032149427</v>
      </c>
      <c r="J22" s="29" t="n">
        <f aca="false">I22*Importados!$O$48</f>
        <v>26.9047032149427</v>
      </c>
      <c r="K22" s="23" t="n">
        <f aca="false">I22/$C22</f>
        <v>0.896823440498089</v>
      </c>
      <c r="M22" s="5" t="s">
        <v>149</v>
      </c>
    </row>
    <row r="23" customFormat="false" ht="15" hidden="false" customHeight="false" outlineLevel="0" collapsed="false">
      <c r="A23" s="5" t="s">
        <v>119</v>
      </c>
      <c r="B23" s="28" t="n">
        <v>20</v>
      </c>
      <c r="C23" s="22" t="n">
        <v>16</v>
      </c>
      <c r="D23" s="12" t="s">
        <v>150</v>
      </c>
      <c r="E23" s="22" t="n">
        <v>0</v>
      </c>
      <c r="F23" s="29" t="n">
        <f aca="false">Importados!$N$15*INDEX(Importados!$B$15:$M$15,$B$5)/$B$8</f>
        <v>18.4793724972974</v>
      </c>
      <c r="G23" s="29" t="n">
        <f aca="false">F23*Importados!$O$15</f>
        <v>18.4793724972974</v>
      </c>
      <c r="H23" s="23" t="n">
        <f aca="false">F23/$C23</f>
        <v>1.15496078108109</v>
      </c>
      <c r="I23" s="29" t="n">
        <f aca="false">Importados!$N$49*INDEX(Importados!$B$49:$M$49,$C$5)/$C$8</f>
        <v>9.64634335529636</v>
      </c>
      <c r="J23" s="29" t="n">
        <f aca="false">I23*Importados!$O$49</f>
        <v>9.64634335529636</v>
      </c>
      <c r="K23" s="23" t="n">
        <f aca="false">I23/$C23</f>
        <v>0.602896459706022</v>
      </c>
      <c r="M23" s="5" t="s">
        <v>149</v>
      </c>
    </row>
    <row r="24" customFormat="false" ht="15" hidden="false" customHeight="false" outlineLevel="0" collapsed="false">
      <c r="A24" s="5" t="s">
        <v>120</v>
      </c>
      <c r="B24" s="28" t="n">
        <v>8.5</v>
      </c>
      <c r="C24" s="22" t="n">
        <v>24</v>
      </c>
      <c r="D24" s="12" t="s">
        <v>150</v>
      </c>
      <c r="E24" s="22" t="n">
        <v>0</v>
      </c>
      <c r="F24" s="29" t="n">
        <f aca="false">Importados!$N$16*INDEX(Importados!$B$16:$M$16,$B$5)/$B$8</f>
        <v>3.14198698162501</v>
      </c>
      <c r="G24" s="29" t="n">
        <f aca="false">F24*Importados!$O$16</f>
        <v>3.14198698162501</v>
      </c>
      <c r="H24" s="23" t="n">
        <f aca="false">F24/$C24</f>
        <v>0.130916124234375</v>
      </c>
      <c r="I24" s="29" t="n">
        <f aca="false">Importados!$N$50*INDEX(Importados!$B$50:$M$50,$C$5)/$C$8</f>
        <v>1.66774779758251</v>
      </c>
      <c r="J24" s="29" t="n">
        <f aca="false">I24*Importados!$O$50</f>
        <v>1.66774779758251</v>
      </c>
      <c r="K24" s="23" t="n">
        <f aca="false">I24/$C24</f>
        <v>0.0694894915659378</v>
      </c>
      <c r="M24" s="5" t="s">
        <v>149</v>
      </c>
    </row>
    <row r="25" customFormat="false" ht="15" hidden="false" customHeight="false" outlineLevel="0" collapsed="false">
      <c r="A25" s="5" t="s">
        <v>121</v>
      </c>
      <c r="B25" s="28" t="n">
        <v>16.5</v>
      </c>
      <c r="C25" s="22" t="n">
        <v>16</v>
      </c>
      <c r="D25" s="12" t="s">
        <v>150</v>
      </c>
      <c r="E25" s="22" t="n">
        <v>0</v>
      </c>
      <c r="F25" s="29" t="n">
        <f aca="false">Importados!$N$17*INDEX(Importados!$B$17:$M$17,$B$5)/$B$8</f>
        <v>1.00896433473217</v>
      </c>
      <c r="G25" s="29" t="n">
        <f aca="false">F25*Importados!$O$17</f>
        <v>1.00896433473217</v>
      </c>
      <c r="H25" s="23" t="n">
        <f aca="false">F25/$C25</f>
        <v>0.0630602709207607</v>
      </c>
      <c r="I25" s="29" t="n">
        <f aca="false">Importados!$N$51*INDEX(Importados!$B$51:$M$51,$C$5)/$C$8</f>
        <v>0.5244544668405</v>
      </c>
      <c r="J25" s="29" t="n">
        <f aca="false">I25*Importados!$O$51</f>
        <v>0.5244544668405</v>
      </c>
      <c r="K25" s="23" t="n">
        <f aca="false">I25/$C25</f>
        <v>0.0327784041775312</v>
      </c>
      <c r="M25" s="5" t="s">
        <v>149</v>
      </c>
    </row>
    <row r="26" customFormat="false" ht="15" hidden="false" customHeight="false" outlineLevel="0" collapsed="false">
      <c r="A26" s="5" t="s">
        <v>122</v>
      </c>
      <c r="B26" s="28" t="n">
        <v>53</v>
      </c>
      <c r="C26" s="22" t="n">
        <v>2</v>
      </c>
      <c r="D26" s="12" t="s">
        <v>151</v>
      </c>
      <c r="E26" s="22" t="n">
        <v>1</v>
      </c>
      <c r="F26" s="29" t="n">
        <f aca="false">Importados!$N$18*INDEX(Importados!$B$18:$M$18,$B$5)/$B$8</f>
        <v>2.47992147874104</v>
      </c>
      <c r="G26" s="29" t="n">
        <f aca="false">F26*Importados!$O$18</f>
        <v>2.47992147874104</v>
      </c>
      <c r="H26" s="23" t="n">
        <f aca="false">F26/$C26</f>
        <v>1.23996073937052</v>
      </c>
      <c r="I26" s="29" t="n">
        <f aca="false">Importados!$N$52*INDEX(Importados!$B$52:$M$52,$C$5)/$C$8</f>
        <v>1.29748008103154</v>
      </c>
      <c r="J26" s="29" t="n">
        <f aca="false">I26*Importados!$O$52</f>
        <v>1.29748008103154</v>
      </c>
      <c r="K26" s="23" t="n">
        <f aca="false">I26/$C26</f>
        <v>0.648740040515769</v>
      </c>
      <c r="M26" s="5" t="s">
        <v>152</v>
      </c>
    </row>
    <row r="27" customFormat="false" ht="15" hidden="false" customHeight="false" outlineLevel="0" collapsed="false">
      <c r="A27" s="5" t="s">
        <v>123</v>
      </c>
      <c r="B27" s="28" t="n">
        <v>90</v>
      </c>
      <c r="C27" s="22" t="n">
        <v>2</v>
      </c>
      <c r="D27" s="12" t="s">
        <v>151</v>
      </c>
      <c r="E27" s="22" t="n">
        <v>1</v>
      </c>
      <c r="F27" s="29" t="n">
        <f aca="false">Importados!$N$19*INDEX(Importados!$B$19:$M$19,$B$5)/$B$8</f>
        <v>5.45582081823097</v>
      </c>
      <c r="G27" s="29" t="n">
        <f aca="false">F27*Importados!$O$19</f>
        <v>5.45582081823097</v>
      </c>
      <c r="H27" s="23" t="n">
        <f aca="false">F27/$C27</f>
        <v>2.72791040911549</v>
      </c>
      <c r="I27" s="29" t="n">
        <f aca="false">Importados!$N$53*INDEX(Importados!$B$53:$M$53,$C$5)/$C$8</f>
        <v>2.85445972117779</v>
      </c>
      <c r="J27" s="29" t="n">
        <f aca="false">I27*Importados!$O$53</f>
        <v>2.85445972117779</v>
      </c>
      <c r="K27" s="23" t="n">
        <f aca="false">I27/$C27</f>
        <v>1.42722986058889</v>
      </c>
      <c r="M27" s="5" t="s">
        <v>152</v>
      </c>
    </row>
    <row r="28" customFormat="false" ht="15" hidden="false" customHeight="false" outlineLevel="0" collapsed="false">
      <c r="A28" s="5" t="s">
        <v>124</v>
      </c>
      <c r="B28" s="28" t="n">
        <v>136</v>
      </c>
      <c r="C28" s="22" t="n">
        <v>2</v>
      </c>
      <c r="D28" s="12" t="s">
        <v>151</v>
      </c>
      <c r="E28" s="22" t="n">
        <v>1</v>
      </c>
      <c r="F28" s="29" t="n">
        <f aca="false">Importados!$N$20*INDEX(Importados!$B$20:$M$20,$B$5)/$B$8</f>
        <v>1.19036240324224</v>
      </c>
      <c r="G28" s="29" t="n">
        <f aca="false">F28*Importados!$O$20</f>
        <v>1.19036240324224</v>
      </c>
      <c r="H28" s="23" t="n">
        <f aca="false">F28/$C28</f>
        <v>0.595181201621121</v>
      </c>
      <c r="I28" s="29" t="n">
        <f aca="false">Importados!$N$54*INDEX(Importados!$B$54:$M$54,$C$5)/$C$8</f>
        <v>0.622790582890795</v>
      </c>
      <c r="J28" s="29" t="n">
        <f aca="false">I28*Importados!$O$54</f>
        <v>0.622790582890795</v>
      </c>
      <c r="K28" s="23" t="n">
        <f aca="false">I28/$C28</f>
        <v>0.311395291445398</v>
      </c>
      <c r="M28" s="5" t="s">
        <v>152</v>
      </c>
    </row>
    <row r="29" customFormat="false" ht="15" hidden="false" customHeight="false" outlineLevel="0" collapsed="false">
      <c r="A29" s="5" t="s">
        <v>125</v>
      </c>
      <c r="B29" s="28" t="n">
        <v>179</v>
      </c>
      <c r="C29" s="22" t="n">
        <v>1</v>
      </c>
      <c r="D29" s="12" t="s">
        <v>151</v>
      </c>
      <c r="E29" s="22" t="n">
        <v>1</v>
      </c>
      <c r="F29" s="29" t="n">
        <f aca="false">Importados!$N$21*INDEX(Importados!$B$21:$M$21,$B$5)/$B$8</f>
        <v>0.793573755434497</v>
      </c>
      <c r="G29" s="29" t="n">
        <f aca="false">F29*Importados!$O$21</f>
        <v>0.793573755434497</v>
      </c>
      <c r="H29" s="23" t="n">
        <f aca="false">F29/$C29</f>
        <v>0.793573755434497</v>
      </c>
      <c r="I29" s="29" t="n">
        <f aca="false">Importados!$N$55*INDEX(Importados!$B$55:$M$55,$C$5)/$C$8</f>
        <v>0.415191720408138</v>
      </c>
      <c r="J29" s="29" t="n">
        <f aca="false">I29*Importados!$O$55</f>
        <v>0.415191720408138</v>
      </c>
      <c r="K29" s="23" t="n">
        <f aca="false">I29/$C29</f>
        <v>0.415191720408138</v>
      </c>
      <c r="M29" s="5" t="s">
        <v>152</v>
      </c>
    </row>
    <row r="30" customFormat="false" ht="15" hidden="false" customHeight="false" outlineLevel="0" collapsed="false">
      <c r="A30" s="4" t="s">
        <v>153</v>
      </c>
      <c r="F30" s="30" t="n">
        <f aca="false">SUM(F13:F29)</f>
        <v>1061.94364471736</v>
      </c>
      <c r="G30" s="30" t="n">
        <f aca="false">SUM(G13:G29)</f>
        <v>409.324808263162</v>
      </c>
      <c r="H30" s="30" t="n">
        <f aca="false">SUM(H13:H29)</f>
        <v>32.590797446526</v>
      </c>
      <c r="I30" s="30" t="n">
        <f aca="false">SUM(I13:I29)</f>
        <v>552.297705704186</v>
      </c>
      <c r="J30" s="30" t="n">
        <f aca="false">SUM(J13:J29)</f>
        <v>213.042982501654</v>
      </c>
      <c r="K30" s="30" t="n">
        <f aca="false">SUM(K13:K29)</f>
        <v>16.97085206833</v>
      </c>
    </row>
    <row r="31" customFormat="false" ht="15" hidden="false" customHeight="false" outlineLevel="0" collapsed="false">
      <c r="A31" s="4" t="s">
        <v>154</v>
      </c>
      <c r="F31" s="11" t="n">
        <f aca="false">SUMPRODUCT(F13:F29,$B$13:$B$29)/F30</f>
        <v>5.69116685083819</v>
      </c>
      <c r="I31" s="11" t="n">
        <f aca="false">SUMPRODUCT(I13:I29,$B$13:$B$29)/I30</f>
        <v>5.69893065809013</v>
      </c>
    </row>
    <row r="35" customFormat="false" ht="23.85" hidden="false" customHeight="true" outlineLevel="0" collapsed="false">
      <c r="A35" s="6" t="s">
        <v>155</v>
      </c>
      <c r="B35" s="6" t="s">
        <v>156</v>
      </c>
      <c r="C35" s="6" t="s">
        <v>12</v>
      </c>
      <c r="D35" s="6"/>
      <c r="E35" s="6"/>
      <c r="F35" s="6"/>
      <c r="G35" s="6" t="s">
        <v>13</v>
      </c>
      <c r="H35" s="6"/>
      <c r="I35" s="6"/>
      <c r="J35" s="6"/>
      <c r="K35" s="6"/>
      <c r="L35" s="6"/>
      <c r="M35" s="6" t="s">
        <v>157</v>
      </c>
    </row>
    <row r="36" customFormat="false" ht="23.85" hidden="false" customHeight="false" outlineLevel="0" collapsed="false">
      <c r="A36" s="6" t="s">
        <v>158</v>
      </c>
      <c r="B36" s="6"/>
      <c r="C36" s="6" t="s">
        <v>144</v>
      </c>
      <c r="D36" s="6" t="s">
        <v>159</v>
      </c>
      <c r="E36" s="6" t="s">
        <v>24</v>
      </c>
      <c r="F36" s="6" t="s">
        <v>160</v>
      </c>
      <c r="G36" s="6" t="s">
        <v>144</v>
      </c>
      <c r="H36" s="6" t="s">
        <v>159</v>
      </c>
      <c r="I36" s="6" t="s">
        <v>24</v>
      </c>
      <c r="J36" s="6" t="s">
        <v>160</v>
      </c>
      <c r="K36" s="6"/>
      <c r="L36" s="6"/>
      <c r="M36" s="6"/>
    </row>
    <row r="37" customFormat="false" ht="15" hidden="false" customHeight="false" outlineLevel="0" collapsed="false">
      <c r="A37" s="5" t="s">
        <v>101</v>
      </c>
      <c r="B37" s="28" t="n">
        <v>0.5</v>
      </c>
      <c r="C37" s="29" t="n">
        <f aca="false">INDEX(Importados!$B$28:$M$28,$B$5)*SUMPRODUCT(Importados!$N$5:$N$21,Importados!$Q$5:$Q$21/Importados!$X$5:$X$21)/$B$8</f>
        <v>674.614040548288</v>
      </c>
      <c r="D37" s="22" t="n">
        <f aca="false">Importados!Q$23</f>
        <v>9</v>
      </c>
      <c r="E37" s="28" t="n">
        <f aca="false">2*C37/D37</f>
        <v>149.914231232953</v>
      </c>
      <c r="F37" s="28" t="n">
        <f aca="false">E37*(Supuestos!$B$17+Supuestos!$B$18)/60+2*C37*$B37/60</f>
        <v>98.693535561694</v>
      </c>
      <c r="G37" s="29" t="n">
        <f aca="false">INDEX(Importados!$B$62:$M$62,$C$5)*SUMPRODUCT(Importados!$N$39:$N$55,Importados!$Q$39:$Q$55/Importados!$X$39:$X$55)/$C$8</f>
        <v>351.199524894269</v>
      </c>
      <c r="H37" s="22" t="n">
        <f aca="false">Importados!Q$57</f>
        <v>9</v>
      </c>
      <c r="I37" s="28" t="n">
        <f aca="false">2*G37/H37</f>
        <v>78.0443388653931</v>
      </c>
      <c r="J37" s="28" t="n">
        <f aca="false">I37*(Supuestos!$B$17+Supuestos!$B$18)/60+2*G37*$B37/60</f>
        <v>51.3791897530505</v>
      </c>
      <c r="M37" s="5" t="s">
        <v>161</v>
      </c>
    </row>
    <row r="38" customFormat="false" ht="15" hidden="false" customHeight="false" outlineLevel="0" collapsed="false">
      <c r="A38" s="5" t="s">
        <v>102</v>
      </c>
      <c r="B38" s="28" t="n">
        <v>1.5</v>
      </c>
      <c r="C38" s="29" t="n">
        <f aca="false">INDEX(Importados!$B$29:$M$29,$B$5)*SUMPRODUCT(Importados!$N$5:$N$21,Importados!$R$5:$R$21/Importados!$X$5:$X$21)/$B$8</f>
        <v>263.133785928404</v>
      </c>
      <c r="D38" s="22" t="n">
        <f aca="false">Importados!R$23</f>
        <v>15</v>
      </c>
      <c r="E38" s="28" t="n">
        <f aca="false">2*C38/D38</f>
        <v>35.0845047904539</v>
      </c>
      <c r="F38" s="28" t="n">
        <f aca="false">E38*(Supuestos!$B$17+Supuestos!$B$18)/60+2*C38*$B38/60</f>
        <v>33.6226504241849</v>
      </c>
      <c r="G38" s="29" t="n">
        <f aca="false">INDEX(Importados!$B$63:$M$63,$C$5)*SUMPRODUCT(Importados!$N$39:$N$55,Importados!$R$39:$R$55/Importados!$X$39:$X$55)/$C$8</f>
        <v>136.196598174701</v>
      </c>
      <c r="H38" s="22" t="n">
        <f aca="false">Importados!R$57</f>
        <v>15</v>
      </c>
      <c r="I38" s="28" t="n">
        <f aca="false">2*G38/H38</f>
        <v>18.1595464232935</v>
      </c>
      <c r="J38" s="28" t="n">
        <f aca="false">I38*(Supuestos!$B$17+Supuestos!$B$18)/60+2*G38*$B38/60</f>
        <v>17.4028986556563</v>
      </c>
      <c r="M38" s="5" t="s">
        <v>161</v>
      </c>
    </row>
    <row r="39" customFormat="false" ht="15" hidden="false" customHeight="false" outlineLevel="0" collapsed="false">
      <c r="A39" s="5" t="s">
        <v>103</v>
      </c>
      <c r="B39" s="28" t="n">
        <v>1.5</v>
      </c>
      <c r="C39" s="29" t="n">
        <f aca="false">INDEX(Importados!$B$30:$M$30,$B$5)*SUMPRODUCT(Importados!$N$5:$N$21,Importados!$S$5:$S$21/Importados!$X$5:$X$21)/$B$8</f>
        <v>21.4635570516291</v>
      </c>
      <c r="D39" s="22" t="n">
        <f aca="false">Importados!S$23</f>
        <v>12</v>
      </c>
      <c r="E39" s="28" t="n">
        <f aca="false">2*C39/D39</f>
        <v>3.57725950860485</v>
      </c>
      <c r="F39" s="28" t="n">
        <f aca="false">E39*(Supuestos!$B$17+Supuestos!$B$18)/60+2*C39*$B39/60</f>
        <v>3.15991256593428</v>
      </c>
      <c r="G39" s="29" t="n">
        <f aca="false">INDEX(Importados!$B$64:$M$64,$C$5)*SUMPRODUCT(Importados!$N$39:$N$55,Importados!$S$39:$S$55/Importados!$X$39:$X$55)/$C$8</f>
        <v>13.3218273203531</v>
      </c>
      <c r="H39" s="22" t="n">
        <f aca="false">Importados!S$57</f>
        <v>12</v>
      </c>
      <c r="I39" s="28" t="n">
        <f aca="false">2*G39/H39</f>
        <v>2.22030455339218</v>
      </c>
      <c r="J39" s="28" t="n">
        <f aca="false">I39*(Supuestos!$B$17+Supuestos!$B$18)/60+2*G39*$B39/60</f>
        <v>1.9612690221631</v>
      </c>
      <c r="M39" s="5" t="s">
        <v>161</v>
      </c>
    </row>
    <row r="40" customFormat="false" ht="15" hidden="false" customHeight="false" outlineLevel="0" collapsed="false">
      <c r="A40" s="5" t="s">
        <v>104</v>
      </c>
      <c r="B40" s="28" t="n">
        <v>1.5</v>
      </c>
      <c r="C40" s="29" t="n">
        <f aca="false">INDEX(Importados!$B$31:$M$31,$B$5)*SUMPRODUCT(Importados!$N$5:$N$21,Importados!$T$5:$T$21/Importados!$X$5:$X$21)/$B$8</f>
        <v>15.0952239544206</v>
      </c>
      <c r="D40" s="22" t="n">
        <f aca="false">Importados!T$23</f>
        <v>11</v>
      </c>
      <c r="E40" s="28" t="n">
        <f aca="false">2*C40/D40</f>
        <v>2.74458617353102</v>
      </c>
      <c r="F40" s="28" t="n">
        <f aca="false">E40*(Supuestos!$B$17+Supuestos!$B$18)/60+2*C40*$B40/60</f>
        <v>2.35576979894746</v>
      </c>
      <c r="G40" s="29" t="n">
        <f aca="false">INDEX(Importados!$B$65:$M$65,$C$5)*SUMPRODUCT(Importados!$N$39:$N$55,Importados!$T$39:$T$55/Importados!$X$39:$X$55)/$C$8</f>
        <v>8.83157164005339</v>
      </c>
      <c r="H40" s="22" t="n">
        <f aca="false">Importados!T$57</f>
        <v>11</v>
      </c>
      <c r="I40" s="28" t="n">
        <f aca="false">2*G40/H40</f>
        <v>1.60574029819153</v>
      </c>
      <c r="J40" s="28" t="n">
        <f aca="false">I40*(Supuestos!$B$17+Supuestos!$B$18)/60+2*G40*$B40/60</f>
        <v>1.37826042261439</v>
      </c>
      <c r="M40" s="5" t="s">
        <v>161</v>
      </c>
    </row>
    <row r="41" customFormat="false" ht="15" hidden="false" customHeight="false" outlineLevel="0" collapsed="false">
      <c r="A41" s="5" t="s">
        <v>105</v>
      </c>
      <c r="B41" s="28" t="n">
        <v>1.5</v>
      </c>
      <c r="C41" s="29" t="n">
        <f aca="false">INDEX(Importados!$B$32:$M$32,$B$5)*SUMPRODUCT(Importados!$N$5:$N$21,Importados!$U$5:$U$21/Importados!$X$5:$X$21)/$B$8</f>
        <v>53.8066096890546</v>
      </c>
      <c r="D41" s="22" t="n">
        <f aca="false">Importados!U$23</f>
        <v>10</v>
      </c>
      <c r="E41" s="28" t="n">
        <f aca="false">2*C41/D41</f>
        <v>10.7613219378109</v>
      </c>
      <c r="F41" s="28" t="n">
        <f aca="false">E41*(Supuestos!$B$17+Supuestos!$B$18)/60+2*C41*$B41/60</f>
        <v>8.9677682815091</v>
      </c>
      <c r="G41" s="29" t="n">
        <f aca="false">INDEX(Importados!$B$66:$M$66,$C$5)*SUMPRODUCT(Importados!$N$39:$N$55,Importados!$U$39:$U$55/Importados!$X$39:$X$55)/$C$8</f>
        <v>22.8880475907208</v>
      </c>
      <c r="H41" s="22" t="n">
        <f aca="false">Importados!U$57</f>
        <v>10</v>
      </c>
      <c r="I41" s="28" t="n">
        <f aca="false">2*G41/H41</f>
        <v>4.57760951814415</v>
      </c>
      <c r="J41" s="28" t="n">
        <f aca="false">I41*(Supuestos!$B$17+Supuestos!$B$18)/60+2*G41*$B41/60</f>
        <v>3.81467459845346</v>
      </c>
      <c r="M41" s="5" t="s">
        <v>161</v>
      </c>
    </row>
    <row r="42" customFormat="false" ht="15" hidden="false" customHeight="false" outlineLevel="0" collapsed="false">
      <c r="A42" s="5" t="s">
        <v>106</v>
      </c>
      <c r="B42" s="28" t="n">
        <v>1.5</v>
      </c>
      <c r="C42" s="29" t="n">
        <f aca="false">INDEX(Importados!$B$33:$M$33,$B$5)*SUMPRODUCT(Importados!$N$5:$N$21,Importados!$V$5:$V$21/Importados!$X$5:$X$21)/$B$8</f>
        <v>31.5588112905594</v>
      </c>
      <c r="D42" s="22" t="n">
        <f aca="false">Importados!V$23</f>
        <v>61</v>
      </c>
      <c r="E42" s="28" t="n">
        <f aca="false">2*C42/D42</f>
        <v>1.03471512428063</v>
      </c>
      <c r="F42" s="28" t="n">
        <f aca="false">E42*(Supuestos!$B$17+Supuestos!$B$18)/60+2*C42*$B42/60</f>
        <v>2.181524387025</v>
      </c>
      <c r="G42" s="29" t="n">
        <f aca="false">INDEX(Importados!$B$67:$M$67,$C$5)*SUMPRODUCT(Importados!$N$39:$N$55,Importados!$V$39:$V$55/Importados!$X$39:$X$55)/$C$8</f>
        <v>18.4401961499711</v>
      </c>
      <c r="H42" s="22" t="n">
        <f aca="false">Importados!V$57</f>
        <v>61</v>
      </c>
      <c r="I42" s="28" t="n">
        <f aca="false">2*G42/H42</f>
        <v>0.60459659508102</v>
      </c>
      <c r="J42" s="28" t="n">
        <f aca="false">I42*(Supuestos!$B$17+Supuestos!$B$18)/60+2*G42*$B42/60</f>
        <v>1.27469115462915</v>
      </c>
      <c r="M42" s="5" t="s">
        <v>161</v>
      </c>
    </row>
    <row r="43" customFormat="false" ht="15" hidden="false" customHeight="false" outlineLevel="0" collapsed="false">
      <c r="A43" s="5" t="s">
        <v>107</v>
      </c>
      <c r="B43" s="28" t="n">
        <v>1</v>
      </c>
      <c r="C43" s="29" t="n">
        <f aca="false">INDEX(Importados!$B$34:$M$34,$B$5)*SUMPRODUCT(Importados!$N$5:$N$21,Importados!$W$5:$W$21/Importados!$X$5:$X$21)/$B$8</f>
        <v>2.27161625500603</v>
      </c>
      <c r="D43" s="22" t="n">
        <f aca="false">Importados!W$23</f>
        <v>6</v>
      </c>
      <c r="E43" s="28" t="n">
        <f aca="false">2*C43/D43</f>
        <v>0.757205418335343</v>
      </c>
      <c r="F43" s="28" t="n">
        <f aca="false">E43*(Supuestos!$B$17+Supuestos!$B$18)/60+2*C43*$B43/60</f>
        <v>0.517423702529151</v>
      </c>
      <c r="G43" s="29" t="n">
        <f aca="false">INDEX(Importados!$B$68:$M$68,$C$5)*SUMPRODUCT(Importados!$N$39:$N$55,Importados!$W$39:$W$55/Importados!$X$39:$X$55)/$C$8</f>
        <v>1.41993993411782</v>
      </c>
      <c r="H43" s="22" t="n">
        <f aca="false">Importados!W$57</f>
        <v>6</v>
      </c>
      <c r="I43" s="28" t="n">
        <f aca="false">2*G43/H43</f>
        <v>0.473313311372605</v>
      </c>
      <c r="J43" s="28" t="n">
        <f aca="false">I43*(Supuestos!$B$17+Supuestos!$B$18)/60+2*G43*$B43/60</f>
        <v>0.32343076277128</v>
      </c>
      <c r="M43" s="5" t="s">
        <v>161</v>
      </c>
    </row>
    <row r="44" customFormat="false" ht="15" hidden="false" customHeight="false" outlineLevel="0" collapsed="false">
      <c r="A44" s="4" t="s">
        <v>153</v>
      </c>
      <c r="C44" s="30" t="n">
        <f aca="false">SUM(C37:C43)</f>
        <v>1061.94364471736</v>
      </c>
      <c r="E44" s="30" t="n">
        <f aca="false">SUM(E37:E43)</f>
        <v>203.873824185969</v>
      </c>
      <c r="F44" s="30" t="n">
        <f aca="false">SUM(F37:F43)</f>
        <v>149.498584721824</v>
      </c>
      <c r="G44" s="30" t="n">
        <f aca="false">SUM(G37:G43)</f>
        <v>552.297705704187</v>
      </c>
      <c r="I44" s="30" t="n">
        <f aca="false">SUM(I37:I43)</f>
        <v>105.685449564868</v>
      </c>
      <c r="J44" s="30" t="n">
        <f aca="false">SUM(J37:J43)</f>
        <v>77.5344143693381</v>
      </c>
    </row>
    <row r="48" customFormat="false" ht="15" hidden="false" customHeight="false" outlineLevel="0" collapsed="false">
      <c r="A48" s="6" t="s">
        <v>162</v>
      </c>
      <c r="B48" s="6" t="s">
        <v>12</v>
      </c>
      <c r="C48" s="6" t="s">
        <v>13</v>
      </c>
    </row>
    <row r="49" customFormat="false" ht="15" hidden="false" customHeight="false" outlineLevel="0" collapsed="false">
      <c r="A49" s="5" t="s">
        <v>163</v>
      </c>
      <c r="B49" s="29" t="n">
        <f aca="false">F30</f>
        <v>1061.94364471736</v>
      </c>
      <c r="C49" s="29" t="n">
        <f aca="false">I30</f>
        <v>552.297705704186</v>
      </c>
    </row>
    <row r="50" customFormat="false" ht="15" hidden="false" customHeight="false" outlineLevel="0" collapsed="false">
      <c r="A50" s="5" t="s">
        <v>21</v>
      </c>
      <c r="B50" s="29" t="n">
        <f aca="false">G30</f>
        <v>409.324808263162</v>
      </c>
      <c r="C50" s="29" t="n">
        <f aca="false">J30</f>
        <v>213.042982501654</v>
      </c>
    </row>
    <row r="51" customFormat="false" ht="15" hidden="false" customHeight="false" outlineLevel="0" collapsed="false">
      <c r="A51" s="5" t="s">
        <v>164</v>
      </c>
      <c r="B51" s="29" t="n">
        <f aca="false">B49+B50</f>
        <v>1471.26845298052</v>
      </c>
      <c r="C51" s="29" t="n">
        <f aca="false">C49+C50</f>
        <v>765.34068820584</v>
      </c>
    </row>
    <row r="52" customFormat="false" ht="15" hidden="false" customHeight="false" outlineLevel="0" collapsed="false">
      <c r="A52" s="5" t="s">
        <v>154</v>
      </c>
      <c r="B52" s="28" t="n">
        <f aca="false">F31</f>
        <v>5.69116685083819</v>
      </c>
      <c r="C52" s="28" t="n">
        <f aca="false">I31</f>
        <v>5.69893065809013</v>
      </c>
    </row>
    <row r="53" customFormat="false" ht="15" hidden="false" customHeight="false" outlineLevel="0" collapsed="false">
      <c r="A53" s="5" t="s">
        <v>165</v>
      </c>
      <c r="B53" s="31" t="n">
        <f aca="false">H30/F30</f>
        <v>0.0306897617483272</v>
      </c>
      <c r="C53" s="31" t="n">
        <f aca="false">K30/I30</f>
        <v>0.0307277250893012</v>
      </c>
    </row>
    <row r="54" customFormat="false" ht="15" hidden="false" customHeight="false" outlineLevel="0" collapsed="false">
      <c r="A54" s="5" t="s">
        <v>166</v>
      </c>
      <c r="B54" s="21" t="n">
        <f aca="false">Supuestos!$B$6/(B53*Supuestos!$B$24)</f>
        <v>170.004294824225</v>
      </c>
      <c r="C54" s="21" t="n">
        <f aca="false">Supuestos!$B$6/(C53*Supuestos!$B$24)</f>
        <v>169.794258741413</v>
      </c>
    </row>
    <row r="55" customFormat="false" ht="15" hidden="false" customHeight="false" outlineLevel="0" collapsed="false">
      <c r="A55" s="5" t="s">
        <v>167</v>
      </c>
      <c r="B55" s="21" t="n">
        <f aca="false">Supuestos!$B$11/B52</f>
        <v>245.995247845142</v>
      </c>
      <c r="C55" s="21" t="n">
        <f aca="false">Supuestos!$B$11/C52</f>
        <v>245.66012187086</v>
      </c>
    </row>
    <row r="56" customFormat="false" ht="15" hidden="false" customHeight="false" outlineLevel="0" collapsed="false">
      <c r="A56" s="5" t="s">
        <v>168</v>
      </c>
      <c r="B56" s="21" t="n">
        <f aca="false">MIN(B54,B55)</f>
        <v>170.004294824225</v>
      </c>
      <c r="C56" s="21" t="n">
        <f aca="false">MIN(C54,C55)</f>
        <v>169.794258741413</v>
      </c>
    </row>
    <row r="57" customFormat="false" ht="15" hidden="false" customHeight="false" outlineLevel="0" collapsed="false">
      <c r="A57" s="5" t="s">
        <v>169</v>
      </c>
      <c r="B57" s="23" t="n">
        <f aca="false">B51/B56</f>
        <v>8.65430167221207</v>
      </c>
      <c r="C57" s="23" t="n">
        <f aca="false">C51/C56</f>
        <v>4.50745916781208</v>
      </c>
    </row>
    <row r="58" customFormat="false" ht="15" hidden="false" customHeight="false" outlineLevel="0" collapsed="false">
      <c r="A58" s="5" t="s">
        <v>24</v>
      </c>
      <c r="B58" s="28" t="n">
        <f aca="false">E44</f>
        <v>203.873824185969</v>
      </c>
      <c r="C58" s="28" t="n">
        <f aca="false">I44</f>
        <v>105.685449564868</v>
      </c>
    </row>
    <row r="59" customFormat="false" ht="15" hidden="false" customHeight="false" outlineLevel="0" collapsed="false">
      <c r="A59" s="5" t="s">
        <v>170</v>
      </c>
      <c r="B59" s="28" t="n">
        <f aca="false">F44</f>
        <v>149.498584721824</v>
      </c>
      <c r="C59" s="28" t="n">
        <f aca="false">J44</f>
        <v>77.5344143693381</v>
      </c>
    </row>
    <row r="60" customFormat="false" ht="15" hidden="false" customHeight="false" outlineLevel="0" collapsed="false">
      <c r="A60" s="5" t="s">
        <v>171</v>
      </c>
      <c r="B60" s="23" t="n">
        <f aca="false">B59/($B$9-Supuestos!$B$16)</f>
        <v>24.9164307869707</v>
      </c>
      <c r="C60" s="23" t="n">
        <f aca="false">C59/($C$9-Supuestos!$B$16)</f>
        <v>12.9224023948897</v>
      </c>
    </row>
    <row r="61" customFormat="false" ht="15" hidden="false" customHeight="false" outlineLevel="0" collapsed="false">
      <c r="A61" s="4" t="s">
        <v>26</v>
      </c>
      <c r="B61" s="9" t="n">
        <f aca="false">ROUNDUP(MAX(B57,B60),0)</f>
        <v>25</v>
      </c>
      <c r="C61" s="9" t="n">
        <f aca="false">ROUNDUP(MAX(C57,C60),0)</f>
        <v>13</v>
      </c>
    </row>
    <row r="62" customFormat="false" ht="15" hidden="false" customHeight="false" outlineLevel="0" collapsed="false">
      <c r="A62" s="5" t="s">
        <v>172</v>
      </c>
      <c r="B62" s="28" t="n">
        <f aca="false">B61*Supuestos!$B$16+B59</f>
        <v>186.998584721824</v>
      </c>
      <c r="C62" s="28" t="n">
        <f aca="false">C61*Supuestos!$B$16+C59</f>
        <v>97.0344143693381</v>
      </c>
    </row>
    <row r="63" customFormat="false" ht="15" hidden="false" customHeight="false" outlineLevel="0" collapsed="false">
      <c r="A63" s="4" t="s">
        <v>173</v>
      </c>
      <c r="B63" s="9" t="n">
        <f aca="false">ROUNDUP(B62/($B$9*Supuestos!$B$15*Supuestos!$B$19),0)</f>
        <v>14</v>
      </c>
      <c r="C63" s="9" t="n">
        <f aca="false">ROUNDUP(C62/($C$9*Supuestos!$B$15*Supuestos!$B$19),0)</f>
        <v>8</v>
      </c>
    </row>
    <row r="64" customFormat="false" ht="15" hidden="false" customHeight="false" outlineLevel="0" collapsed="false">
      <c r="A64" s="5" t="s">
        <v>29</v>
      </c>
      <c r="B64" s="32" t="n">
        <f aca="false">B62/(B63*$B$9*Supuestos!$B$15)</f>
        <v>0.890469451056304</v>
      </c>
      <c r="C64" s="32" t="n">
        <f aca="false">C62/(C63*$C$9*Supuestos!$B$15)</f>
        <v>0.808620119744484</v>
      </c>
    </row>
    <row r="65" customFormat="false" ht="15" hidden="false" customHeight="false" outlineLevel="0" collapsed="false">
      <c r="A65" s="5" t="s">
        <v>174</v>
      </c>
      <c r="B65" s="21" t="n">
        <f aca="false">B51*B52/B61</f>
        <v>334.92936993147</v>
      </c>
      <c r="C65" s="21" t="n">
        <f aca="false">C51*C52/C61</f>
        <v>335.509500915389</v>
      </c>
    </row>
    <row r="66" customFormat="false" ht="15" hidden="false" customHeight="false" outlineLevel="0" collapsed="false">
      <c r="A66" s="5" t="s">
        <v>175</v>
      </c>
      <c r="B66" s="21" t="str">
        <f aca="false">IF(Supuestos!$B$12="","a cotizar",B63*Supuestos!$B$12)</f>
        <v>a cotizar</v>
      </c>
      <c r="C66" s="21" t="str">
        <f aca="false">IF(Supuestos!$B$12="","a cotizar",C63*Supuestos!$B$12)</f>
        <v>a cotizar</v>
      </c>
    </row>
    <row r="68" customFormat="false" ht="15" hidden="false" customHeight="true" outlineLevel="0" collapsed="false">
      <c r="A68" s="6" t="s">
        <v>176</v>
      </c>
      <c r="B68" s="6" t="s">
        <v>12</v>
      </c>
      <c r="C68" s="6"/>
      <c r="D68" s="6"/>
      <c r="E68" s="6"/>
      <c r="F68" s="6" t="s">
        <v>13</v>
      </c>
      <c r="G68" s="6"/>
      <c r="H68" s="6"/>
      <c r="I68" s="6"/>
      <c r="J68" s="6"/>
      <c r="K68" s="6"/>
      <c r="L68" s="6"/>
      <c r="M68" s="6" t="s">
        <v>177</v>
      </c>
    </row>
    <row r="69" customFormat="false" ht="23.85" hidden="false" customHeight="false" outlineLevel="0" collapsed="false">
      <c r="A69" s="6" t="s">
        <v>178</v>
      </c>
      <c r="B69" s="6" t="s">
        <v>179</v>
      </c>
      <c r="C69" s="6" t="s">
        <v>180</v>
      </c>
      <c r="D69" s="6" t="s">
        <v>181</v>
      </c>
      <c r="E69" s="6" t="s">
        <v>182</v>
      </c>
      <c r="F69" s="6" t="s">
        <v>179</v>
      </c>
      <c r="G69" s="6" t="s">
        <v>180</v>
      </c>
      <c r="H69" s="6" t="s">
        <v>181</v>
      </c>
      <c r="I69" s="6" t="s">
        <v>182</v>
      </c>
      <c r="J69" s="6"/>
      <c r="K69" s="6"/>
      <c r="L69" s="6"/>
      <c r="M69" s="6"/>
    </row>
    <row r="70" customFormat="false" ht="23.85" hidden="false" customHeight="false" outlineLevel="0" collapsed="false">
      <c r="A70" s="5" t="s">
        <v>183</v>
      </c>
      <c r="B70" s="21" t="n">
        <f aca="false">F30*Supuestos!$B$22</f>
        <v>530.97182235868</v>
      </c>
      <c r="C70" s="28" t="n">
        <f aca="false">SUMPRODUCT(($E$13:$E$29=0)*H13:H29)*Supuestos!$B$22*Supuestos!$B$24</f>
        <v>15.1040870788577</v>
      </c>
      <c r="D70" s="28" t="n">
        <f aca="false">SUMPRODUCT(($E$13:$E$29=1)*H13:H29)*Supuestos!$B$22</f>
        <v>3.16140995903894</v>
      </c>
      <c r="E70" s="22" t="n">
        <f aca="false">ROUNDUP(C70,0)+ROUNDUP(D70,0)</f>
        <v>20</v>
      </c>
      <c r="F70" s="21" t="n">
        <f aca="false">I30*Supuestos!$B$22</f>
        <v>276.148852852093</v>
      </c>
      <c r="G70" s="28" t="n">
        <f aca="false">SUMPRODUCT(($E$13:$E$29=0)*K13:K29)*Supuestos!$B$22*Supuestos!$B$24</f>
        <v>7.857991736822</v>
      </c>
      <c r="H70" s="28" t="n">
        <f aca="false">SUMPRODUCT(($E$13:$E$29=1)*K13:K29)*Supuestos!$B$22</f>
        <v>1.6523897412763</v>
      </c>
      <c r="I70" s="22" t="n">
        <f aca="false">ROUNDUP(G70,0)+ROUNDUP(H70,0)</f>
        <v>10</v>
      </c>
      <c r="M70" s="5" t="s">
        <v>184</v>
      </c>
    </row>
    <row r="71" customFormat="false" ht="15" hidden="false" customHeight="false" outlineLevel="0" collapsed="false">
      <c r="A71" s="5" t="s">
        <v>185</v>
      </c>
      <c r="B71" s="21" t="n">
        <f aca="false">F30*Supuestos!$B$23</f>
        <v>530.97182235868</v>
      </c>
      <c r="C71" s="28" t="n">
        <f aca="false">SUMPRODUCT(($E$13:$E$29=0)*H13:H29)*Supuestos!$B$23*Supuestos!$B$24</f>
        <v>15.1040870788577</v>
      </c>
      <c r="D71" s="28" t="n">
        <f aca="false">SUMPRODUCT(($E$13:$E$29=1)*H13:H29)*Supuestos!$B$23</f>
        <v>3.16140995903894</v>
      </c>
      <c r="E71" s="22" t="n">
        <f aca="false">ROUNDUP(C71,0)+ROUNDUP(D71,0)</f>
        <v>20</v>
      </c>
      <c r="F71" s="21" t="n">
        <f aca="false">I30*Supuestos!$B$23</f>
        <v>276.148852852093</v>
      </c>
      <c r="G71" s="28" t="n">
        <f aca="false">SUMPRODUCT(($E$13:$E$29=0)*K13:K29)*Supuestos!$B$23*Supuestos!$B$24</f>
        <v>7.857991736822</v>
      </c>
      <c r="H71" s="28" t="n">
        <f aca="false">SUMPRODUCT(($E$13:$E$29=1)*K13:K29)*Supuestos!$B$23</f>
        <v>1.6523897412763</v>
      </c>
      <c r="I71" s="22" t="n">
        <f aca="false">ROUNDUP(G71,0)+ROUNDUP(H71,0)</f>
        <v>10</v>
      </c>
      <c r="M71" s="5" t="s">
        <v>186</v>
      </c>
    </row>
    <row r="72" customFormat="false" ht="15" hidden="false" customHeight="false" outlineLevel="0" collapsed="false">
      <c r="A72" s="5" t="s">
        <v>187</v>
      </c>
      <c r="B72" s="21" t="n">
        <f aca="false">G30</f>
        <v>409.324808263162</v>
      </c>
      <c r="C72" s="28" t="n">
        <f aca="false">SUMPRODUCT(($E$13:$E$29=0)*G13:G29/$C$13:$C$29)</f>
        <v>17.2038270221398</v>
      </c>
      <c r="D72" s="28" t="n">
        <f aca="false">SUMPRODUCT(($E$13:$E$29=1)*G13:G29/$C$13:$C$29)</f>
        <v>6.32281991807788</v>
      </c>
      <c r="E72" s="22" t="n">
        <f aca="false">ROUNDUP(C72/Supuestos!$B$26,0)+ROUNDUP(D72,0)</f>
        <v>13</v>
      </c>
      <c r="F72" s="21" t="n">
        <f aca="false">J30</f>
        <v>213.042982501654</v>
      </c>
      <c r="G72" s="28" t="n">
        <f aca="false">SUMPRODUCT(($E$13:$E$29=0)*J13:J29/$C$13:$C$29)</f>
        <v>8.95420143018668</v>
      </c>
      <c r="H72" s="28" t="n">
        <f aca="false">SUMPRODUCT(($E$13:$E$29=1)*J13:J29/$C$13:$C$29)</f>
        <v>3.3047794825526</v>
      </c>
      <c r="I72" s="22" t="n">
        <f aca="false">ROUNDUP(G72/Supuestos!$B$26,0)+ROUNDUP(H72,0)</f>
        <v>7</v>
      </c>
      <c r="M72" s="5" t="s">
        <v>188</v>
      </c>
    </row>
    <row r="73" customFormat="false" ht="15" hidden="false" customHeight="false" outlineLevel="0" collapsed="false">
      <c r="A73" s="5" t="s">
        <v>189</v>
      </c>
      <c r="B73" s="21" t="s">
        <v>190</v>
      </c>
      <c r="C73" s="28" t="s">
        <v>190</v>
      </c>
      <c r="D73" s="28" t="s">
        <v>190</v>
      </c>
      <c r="E73" s="22" t="n">
        <f aca="false">ROUNDUP(SUM(E70:E72)*Supuestos!$B$25/Supuestos!$B$27,0)</f>
        <v>2</v>
      </c>
      <c r="F73" s="21" t="s">
        <v>190</v>
      </c>
      <c r="G73" s="28" t="s">
        <v>190</v>
      </c>
      <c r="H73" s="28" t="s">
        <v>190</v>
      </c>
      <c r="I73" s="22" t="n">
        <f aca="false">ROUNDUP(SUM(I70:I72)*Supuestos!$B$25/Supuestos!$B$27,0)</f>
        <v>2</v>
      </c>
      <c r="M73" s="5" t="s">
        <v>191</v>
      </c>
    </row>
    <row r="74" customFormat="false" ht="15" hidden="false" customHeight="false" outlineLevel="0" collapsed="false">
      <c r="A74" s="4" t="s">
        <v>192</v>
      </c>
      <c r="E74" s="9" t="n">
        <f aca="false">SUM(E70:E73)</f>
        <v>55</v>
      </c>
      <c r="I74" s="9" t="n">
        <f aca="false">SUM(I70:I73)</f>
        <v>29</v>
      </c>
    </row>
    <row r="75" customFormat="false" ht="15" hidden="false" customHeight="false" outlineLevel="0" collapsed="false">
      <c r="A75" s="4" t="s">
        <v>193</v>
      </c>
      <c r="E75" s="11" t="n">
        <f aca="false">E74*Supuestos!$B$28</f>
        <v>132</v>
      </c>
      <c r="I75" s="11" t="n">
        <f aca="false">I74*Supuestos!$B$28</f>
        <v>69.6</v>
      </c>
    </row>
    <row r="76" customFormat="false" ht="15" hidden="false" customHeight="false" outlineLevel="0" collapsed="false">
      <c r="A76" s="4" t="s">
        <v>100</v>
      </c>
      <c r="E76" s="7" t="n">
        <f aca="false">Importados!$P$22</f>
        <v>1498</v>
      </c>
      <c r="I76" s="7" t="n">
        <f aca="false">Importados!$P$56</f>
        <v>785</v>
      </c>
    </row>
    <row r="77" customFormat="false" ht="15" hidden="false" customHeight="false" outlineLevel="0" collapsed="false">
      <c r="A77" s="4" t="s">
        <v>194</v>
      </c>
      <c r="E77" s="9" t="n">
        <f aca="false">ROUNDUP(SUM(C70:C72),0)+B63*Supuestos!$B$6+E73*Supuestos!$B$27</f>
        <v>140</v>
      </c>
      <c r="I77" s="9" t="n">
        <f aca="false">ROUNDUP(SUM(G70:G72),0)+C63*Supuestos!$B$6+I73*Supuestos!$B$27</f>
        <v>81</v>
      </c>
    </row>
  </sheetData>
  <mergeCells count="6">
    <mergeCell ref="F11:H11"/>
    <mergeCell ref="I11:K11"/>
    <mergeCell ref="C35:F35"/>
    <mergeCell ref="G35:J35"/>
    <mergeCell ref="B68:E68"/>
    <mergeCell ref="F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2026-10-21T03:53:15Z</dcterms:created>
  <dc:creator>openpyxl</dc:creator>
  <dc:description/>
  <dc:language>en-US</dc:language>
  <cp:lastModifiedBy/>
  <dcterms:modified xsi:type="dcterms:W3CDTF">2026-10-21T03:53:16Z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