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<sst xmlns="http://schemas.openxmlformats.org/spreadsheetml/2006/main" count="413" uniqueCount="215">
  <si>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</si>
  <si>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</si>
  <si>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</si>
  <si>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</si>
  <si>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</si>
  <si>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</si>
  <si>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</si>
  <si>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datos_base, PROY_Indexado, parametros_recargas y sobrestock_sustitutos de la planta comercial (ver la hoja Importados)</t>
  </si>
  <si>
    <t xml:space="preserve">Dimensionamiento Recargas Planta Industrial</t>
  </si>
  <si>
    <t xml:space="preserve">lo mismo de la planta industrial</t>
  </si>
  <si>
    <t xml:space="preserve">Recargas — logística de las dos plantas (mes pico de 2035)</t>
  </si>
  <si>
    <t xml:space="preserve">Importados trae la demanda de cada Dimensionamiento; Supuestos tiene el camión, el recorrido y el pulmón; Cálculo hace las cuentas con las dos plantas lado a lado.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</si>
  <si>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</si>
  <si>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</si>
  <si>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</si>
  <si>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</si>
  <si>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</si>
  <si>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</si>
  <si>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</si>
  <si>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</si>
  <si>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</si>
  <si>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</si>
  <si>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</si>
  <si>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</si>
  <si>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</si>
  <si>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</si>
  <si>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</si>
  <si>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</si>
  <si>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</si>
  <si>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</si>
  <si>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</si>
  <si>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</si>
  <si>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</si>
  <si>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</si>
  <si>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</si>
  <si>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Qué cambió respecto del Recargas.xlsx anterior</t>
  </si>
  <si>
    <t xml:space="preserve">• Demanda por IMPORTRANGE de cada planta (antes: 127.340 fijos de una sola planta); PBA Interior afuera.</t>
  </si>
  <si>
    <t xml:space="preserve">• Estacionalidad por rubro con fuente (VTV para automotor, inicio de clases para educación; el resto parejo por IRAM 3517-2 9.2.1 y 9.4.14) en lugar del perfil supuesto; sin factor de día pico.</t>
  </si>
  <si>
    <t xml:space="preserve">• Sustitutos del Dimensionamiento (lote, días en planta y ciclo por rubro): un solo número en los dos archivos.</t>
  </si>
  <si>
    <t xml:space="preserve">• Camión con baranda rebatible y jaulas del Word de recargas en vez de Kangoo / Master; pesos del BOM y del Word de carros.</t>
  </si>
  <si>
    <t xml:space="preserve">Supuestos de logística (cada uno con su fuente o criterio)</t>
  </si>
  <si>
    <t xml:space="preserve">La demanda, la estacionalidad, el mix, el lote y los sustitutos no se cargan acá: vienen de Importados. Peso y u. por jaula de cada tipo y minutos por rubro están en Cálculo, junto a su uso.</t>
  </si>
  <si>
    <t xml:space="preserve">1. Camión (Word de recargas)</t>
  </si>
  <si>
    <t xml:space="preserve">Valor</t>
  </si>
  <si>
    <t xml:space="preserve">Fuente / criterio</t>
  </si>
  <si>
    <t xml:space="preserve">Vehículo</t>
  </si>
  <si>
    <t xml:space="preserve">Iveco cabina simple con caja de baranda rebatible</t>
  </si>
  <si>
    <t xml:space="preserve">Word de recargas: jaulas palletizables 1,2 × 1,0 m que se cargan y descargan con autoelevador por el costado</t>
  </si>
  <si>
    <t xml:space="preserve">Carga útil (kg)</t>
  </si>
  <si>
    <t xml:space="preserve">Word de recargas: capacidad aprox. 2 t (pico de carga 1,2 t)</t>
  </si>
  <si>
    <t xml:space="preserve">Posiciones de jaula 1,2 × 1,0 m en la caja</t>
  </si>
  <si>
    <t xml:space="preserve">Criterio: 2 a lo ancho × 3 a lo largo en una caja de unos 3,7 × 2,1 m sobre el chasis Daily de 3.450 mm entre ejes (Autocosmos, Daily 55C17: largo total 5.803 mm). Confirmar con el carrocero</t>
  </si>
  <si>
    <t xml:space="preserve">Personas a bordo (chofer + ayudante)</t>
  </si>
  <si>
    <t xml:space="preserve">Criterio del grupo (Recargas.xlsx original)</t>
  </si>
  <si>
    <t xml:space="preserve">Peso por persona (kg)</t>
  </si>
  <si>
    <t xml:space="preserve">Tara de jaulas y cinchas (% de la carga útil)</t>
  </si>
  <si>
    <t xml:space="preserve">Carga neta por viaje (kg)</t>
  </si>
  <si>
    <t xml:space="preserve">Carga útil − personas − tara</t>
  </si>
  <si>
    <t xml:space="preserve">Precio del camión con caja (ARS)</t>
  </si>
  <si>
    <t xml:space="preserve">A cotizar (concesionario Iveco + carrocero)</t>
  </si>
  <si>
    <t xml:space="preserve">2. Recorrido</t>
  </si>
  <si>
    <t xml:space="preserve">Turnos de logística por día</t>
  </si>
  <si>
    <t xml:space="preserve">Criterio del grupo (Recargas.xlsx original): el camión sale a la mañana y a la tarde</t>
  </si>
  <si>
    <t xml:space="preserve">Ida y vuelta planta ↔ zona de clientes (h por viaje)</t>
  </si>
  <si>
    <t xml:space="preserve">Criterio del grupo (Recargas.xlsx original): clientes en AMBA, ~25 km por tramo</t>
  </si>
  <si>
    <t xml:space="preserve">Tiempo fijo por parada (min)</t>
  </si>
  <si>
    <t xml:space="preserve">Criterio del grupo: estacionar, presentarse, remito y firma</t>
  </si>
  <si>
    <t xml:space="preserve">Manejo entre paradas (min)</t>
  </si>
  <si>
    <t xml:space="preserve">3. Pulmón</t>
  </si>
  <si>
    <t xml:space="preserve">Días de llegada que esperan en recepción</t>
  </si>
  <si>
    <t xml:space="preserve">Criterio del grupo: lo que trae un turno entra al proceso en el turno siguiente</t>
  </si>
  <si>
    <t xml:space="preserve">Días de recargados que esperan el recorrido</t>
  </si>
  <si>
    <t xml:space="preserve">Criterio del grupo: salen en el turno siguiente</t>
  </si>
  <si>
    <t xml:space="preserve">Factor de jaulas a medio llenar</t>
  </si>
  <si>
    <t xml:space="preserve">Criterio del grupo: las jaulas se separan por cliente y familia de agente (Word: agrupados por cliente)</t>
  </si>
  <si>
    <t xml:space="preserve">Jaulas vacías de reserva (% de las ocupadas)</t>
  </si>
  <si>
    <t xml:space="preserve">Criterio del grupo</t>
  </si>
  <si>
    <t xml:space="preserve">Niveles de la estantería de sustitutos</t>
  </si>
  <si>
    <t xml:space="preserve">Criterio del grupo: los sustitutos van en estantería; los rodantes, en el piso</t>
  </si>
  <si>
    <t xml:space="preserve">Jaulas vacías apiladas por posición</t>
  </si>
  <si>
    <t xml:space="preserve">Criterio del grupo: de a 2 con transpaleta</t>
  </si>
  <si>
    <t xml:space="preserve">Superficie por posición con pasillo (m²)</t>
  </si>
  <si>
    <t xml:space="preserve">Posición de 1,2 × 1,0 m × 2 (pasillo de transpaleta compartido por dos filas)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</si>
  <si>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</si>
  <si>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</si>
  <si>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</si>
  <si>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</si>
  <si>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</si>
  <si>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</si>
  <si>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</si>
  <si>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</si>
  <si>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</si>
  <si>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</si>
  <si>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</si>
  <si>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</si>
  <si>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</si>
  <si>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</si>
  <si>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</si>
  <si>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</si>
  <si>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</si>
  <si>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</si>
  <si>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</si>
  <si>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</si>
  <si>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</si>
  <si>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</si>
  <si>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</si>
  <si>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</si>
  <si>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</si>
  <si>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</si>
  <si>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</si>
  <si>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</si>
  <si>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</si>
  <si>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</si>
  <si>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</si>
  <si>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</si>
  <si>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</si>
  <si>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</si>
  <si>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</si>
  <si>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</si>
  <si>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</si>
  <si>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</si>
  <si>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</si>
  <si>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</si>
  <si>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</si>
  <si>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</si>
  <si>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</si>
  <si>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</si>
  <si>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</si>
  <si>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</si>
  <si>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</si>
  <si>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</si>
  <si>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</si>
  <si>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</si>
  <si>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se dimensiona en su mes pico: el de mayor % de recargas del año en su perfil mensual (estacionalidad por rubro del Dimensionamiento).</t>
  </si>
  <si>
    <t xml:space="preserve">1. Mes pico</t>
  </si>
  <si>
    <t xml:space="preserve">Cómo se calcula</t>
  </si>
  <si>
    <t xml:space="preserve">N° del mes pico</t>
  </si>
  <si>
    <t xml:space="preserve">Mes con el mayor % en la fila Toda la planta de Importados</t>
  </si>
  <si>
    <t xml:space="preserve">% de las recargas del año en el mes pico</t>
  </si>
  <si>
    <t xml:space="preserve">Importado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</si>
  <si>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</si>
  <si>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</si>
  <si>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</si>
  <si>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</si>
  <si>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</si>
  <si>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</si>
  <si>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</si>
  <si>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</si>
  <si>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</si>
  <si>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</si>
  <si>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A</t>
  </si>
  <si>
    <t xml:space="preserve">BOM FLAMA, peso de catálogo</t>
  </si>
  <si>
    <t xml:space="preserve">B</t>
  </si>
  <si>
    <t xml:space="preserve">Rodantes</t>
  </si>
  <si>
    <t xml:space="preserve">Word de carros, Tabla 0 (carro terminado)</t>
  </si>
  <si>
    <t xml:space="preserve">Total</t>
  </si>
  <si>
    <t xml:space="preserve">Peso medio por u. (kg)</t>
  </si>
  <si>
    <t xml:space="preserve">u/día = recargas 2035 × % del tipo en el mes pico ÷ días del mes. u. por jaula: Word de recargas (A: 72 de 1 kg; B: 30 de 2,5 kg, 24 de 5 kg o 16 de 10 kg); el resto por tamaño parecido.</t>
  </si>
  <si>
    <t xml:space="preserve">3. Por rubro</t>
  </si>
  <si>
    <t xml:space="preserve">min por u. en el cliente</t>
  </si>
  <si>
    <t xml:space="preserve">Fuente de los minutos</t>
  </si>
  <si>
    <t xml:space="preserve">Rubro</t>
  </si>
  <si>
    <t xml:space="preserve">Lote (u/cliente)</t>
  </si>
  <si>
    <t xml:space="preserve">Horas de parada</t>
  </si>
  <si>
    <t xml:space="preserve">Recargas.xlsx del grupo (Supuestos E84:E90), criterio</t>
  </si>
  <si>
    <t xml:space="preserve">u/día del rubro = estacionalidad del rubro en el mes pico × recargas 2035 del rubro ÷ días del mes (suma lo mismo que la tabla por tipo). Paradas = 2 por cliente (retiro con sustituto y devolución). Horas = paradas × (parada + manejo) + 2 manipulaciones por u. en el cliente.</t>
  </si>
  <si>
    <t xml:space="preserve">4. Camión y viajes</t>
  </si>
  <si>
    <t xml:space="preserve">Equipos que se retiran por día (u)</t>
  </si>
  <si>
    <t xml:space="preserve">Total por tipo</t>
  </si>
  <si>
    <t xml:space="preserve">Carga por sentido por día (u)</t>
  </si>
  <si>
    <t xml:space="preserve">Sale con recargados + sustitutos y vuelve con lo retirado + sustitutos devueltos</t>
  </si>
  <si>
    <t xml:space="preserve">Tabla por tipo</t>
  </si>
  <si>
    <t xml:space="preserve">Jaulas por u.</t>
  </si>
  <si>
    <t xml:space="preserve">Jaulas por día ÷ u/día (cada tipo en su jaula)</t>
  </si>
  <si>
    <t xml:space="preserve">Capacidad por viaje por espacio (u)</t>
  </si>
  <si>
    <t xml:space="preserve">Posiciones de la caja ÷ (jaulas por u. × factor de jaulas a medio llenar)</t>
  </si>
  <si>
    <t xml:space="preserve">Capacidad por viaje por peso (u)</t>
  </si>
  <si>
    <t xml:space="preserve">Carga neta ÷ peso medio</t>
  </si>
  <si>
    <t xml:space="preserve">Capacidad por viaje (u)</t>
  </si>
  <si>
    <t xml:space="preserve">La menor de las dos</t>
  </si>
  <si>
    <t xml:space="preserve">Viajes por día por carga</t>
  </si>
  <si>
    <t xml:space="preserve">Carga por sentido ÷ capacidad por viaje</t>
  </si>
  <si>
    <t xml:space="preserve">Total por rubro</t>
  </si>
  <si>
    <t xml:space="preserve">Horas de parada y manipuleo por día</t>
  </si>
  <si>
    <t xml:space="preserve">Viajes por día por tiempo</t>
  </si>
  <si>
    <t xml:space="preserve">Horas de parada ÷ (horas del turno − ida y vuelta): cada viaje entra en un turno</t>
  </si>
  <si>
    <t xml:space="preserve">El mayor de los dos, redondeado</t>
  </si>
  <si>
    <t xml:space="preserve">Horas de camión por día</t>
  </si>
  <si>
    <t xml:space="preserve">Viajes × ida y vuelta + horas de parada y manipuleo</t>
  </si>
  <si>
    <t xml:space="preserve">Camiones necesarios</t>
  </si>
  <si>
    <t xml:space="preserve">Horas de camión ÷ (horas por turno × turnos de logística)</t>
  </si>
  <si>
    <t xml:space="preserve">Horas de camión ÷ horas disponibles</t>
  </si>
  <si>
    <t xml:space="preserve">Peso por viaje (kg)</t>
  </si>
  <si>
    <t xml:space="preserve">Control: tiene que quedar por debajo de la carga neta</t>
  </si>
  <si>
    <t xml:space="preserve">Inversión en camiones (ARS)</t>
  </si>
  <si>
    <t xml:space="preserve">Camiones × precio (Supuestos)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</si>
  <si>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</si>
  <si>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</si>
  <si>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</si>
  <si>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</si>
  <si>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</si>
  <si>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</si>
  <si>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</si>
  <si>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</si>
  <si>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</si>
  <si>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</si>
  <si>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</si>
  <si>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</si>
  <si>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</si>
  <si>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</si>
  <si>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</si>
  <si>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 de a 2,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</si>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</sst>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11</v>
      </c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</row>
    <row r="5" customFormat="false" ht="15" hidden="false" customHeight="false" outlineLevel="0" collapsed="false">
      <c r="A5" s="4" t="s">
        <v>16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17</v>
      </c>
    </row>
    <row r="6" customFormat="false" ht="15" hidden="false" customHeight="false" outlineLevel="0" collapsed="false">
      <c r="A6" s="4" t="s">
        <v>18</v>
      </c>
      <c r="B6" s="8" t="str">
        <f aca="false">Cálculo!B6</f>
        <v>Feb</v>
      </c>
      <c r="C6" s="8" t="str">
        <f aca="false">Cálculo!C6</f>
        <v>Feb</v>
      </c>
      <c r="D6" s="5" t="s">
        <v>19</v>
      </c>
    </row>
    <row r="7" customFormat="false" ht="15" hidden="false" customHeight="false" outlineLevel="0" collapsed="false">
      <c r="A7" s="4" t="s">
        <v>20</v>
      </c>
      <c r="B7" s="7" t="n">
        <f aca="false">Cálculo!F30</f>
        <v>1119.01482761851</v>
      </c>
      <c r="C7" s="7" t="n">
        <f aca="false">Cálculo!I30</f>
        <v>599.546838706733</v>
      </c>
      <c r="D7" s="5" t="s">
        <v>21</v>
      </c>
    </row>
    <row r="8" customFormat="false" ht="15" hidden="false" customHeight="false" outlineLevel="0" collapsed="false">
      <c r="A8" s="4" t="s">
        <v>22</v>
      </c>
      <c r="B8" s="7" t="n">
        <f aca="false">Cálculo!G30</f>
        <v>585.256044364544</v>
      </c>
      <c r="C8" s="7" t="n">
        <f aca="false">Cálculo!J30</f>
        <v>322.091098622045</v>
      </c>
      <c r="D8" s="5" t="s">
        <v>21</v>
      </c>
    </row>
    <row r="9" customFormat="false" ht="15" hidden="false" customHeight="false" outlineLevel="0" collapsed="false">
      <c r="A9" s="4" t="s">
        <v>23</v>
      </c>
      <c r="B9" s="7" t="n">
        <f aca="false">Importados!$P$22</f>
        <v>1833</v>
      </c>
      <c r="C9" s="7" t="n">
        <f aca="false">Importados!$P$56</f>
        <v>1004</v>
      </c>
      <c r="D9" s="5" t="s">
        <v>24</v>
      </c>
    </row>
    <row r="10" customFormat="false" ht="15" hidden="false" customHeight="false" outlineLevel="0" collapsed="false">
      <c r="A10" s="4" t="s">
        <v>25</v>
      </c>
      <c r="B10" s="7" t="n">
        <f aca="false">Cálculo!E44</f>
        <v>110.767552253345</v>
      </c>
      <c r="C10" s="7" t="n">
        <f aca="false">Cálculo!I44</f>
        <v>59.7811503115376</v>
      </c>
      <c r="D10" s="5" t="s">
        <v>26</v>
      </c>
    </row>
    <row r="11" customFormat="false" ht="15" hidden="false" customHeight="false" outlineLevel="0" collapsed="false">
      <c r="A11" s="4" t="s">
        <v>27</v>
      </c>
      <c r="B11" s="9" t="n">
        <f aca="false">Cálculo!B61</f>
        <v>18</v>
      </c>
      <c r="C11" s="9" t="n">
        <f aca="false">Cálculo!C61</f>
        <v>10</v>
      </c>
      <c r="D11" s="5" t="s">
        <v>28</v>
      </c>
    </row>
    <row r="12" customFormat="false" ht="15" hidden="false" customHeight="false" outlineLevel="0" collapsed="false">
      <c r="A12" s="4" t="s">
        <v>29</v>
      </c>
      <c r="B12" s="9" t="n">
        <f aca="false">Cálculo!B63</f>
        <v>9</v>
      </c>
      <c r="C12" s="9" t="n">
        <f aca="false">Cálculo!C63</f>
        <v>5</v>
      </c>
      <c r="D12" s="5" t="s">
        <v>28</v>
      </c>
    </row>
    <row r="13" customFormat="false" ht="15" hidden="false" customHeight="false" outlineLevel="0" collapsed="false">
      <c r="A13" s="4" t="s">
        <v>30</v>
      </c>
      <c r="B13" s="10" t="n">
        <f aca="false">Cálculo!B64</f>
        <v>0.956474196159033</v>
      </c>
      <c r="C13" s="10" t="n">
        <f aca="false">Cálculo!C64</f>
        <v>0.93657890101826</v>
      </c>
      <c r="D13" s="5" t="s">
        <v>28</v>
      </c>
    </row>
    <row r="14" customFormat="false" ht="15" hidden="false" customHeight="false" outlineLevel="0" collapsed="false">
      <c r="A14" s="4" t="s">
        <v>31</v>
      </c>
      <c r="B14" s="9" t="n">
        <f aca="false">Cálculo!E74</f>
        <v>67</v>
      </c>
      <c r="C14" s="9" t="n">
        <f aca="false">Cálculo!I74</f>
        <v>36</v>
      </c>
      <c r="D14" s="5" t="s">
        <v>32</v>
      </c>
    </row>
    <row r="15" customFormat="false" ht="15" hidden="false" customHeight="false" outlineLevel="0" collapsed="false">
      <c r="A15" s="4" t="s">
        <v>33</v>
      </c>
      <c r="B15" s="11" t="n">
        <f aca="false">Cálculo!E75</f>
        <v>160.8</v>
      </c>
      <c r="C15" s="11" t="n">
        <f aca="false">Cálculo!I75</f>
        <v>86.4</v>
      </c>
      <c r="D15" s="5" t="s">
        <v>32</v>
      </c>
    </row>
    <row r="16" customFormat="false" ht="15" hidden="false" customHeight="false" outlineLevel="0" collapsed="false">
      <c r="A16" s="4" t="s">
        <v>34</v>
      </c>
      <c r="B16" s="9" t="n">
        <f aca="false">Cálculo!E77</f>
        <v>125</v>
      </c>
      <c r="C16" s="9" t="n">
        <f aca="false">Cálculo!I77</f>
        <v>69</v>
      </c>
      <c r="D16" s="5" t="s">
        <v>32</v>
      </c>
    </row>
    <row r="18" customFormat="false" ht="15" hidden="false" customHeight="false" outlineLevel="0" collapsed="false">
      <c r="A18" s="1" t="s">
        <v>35</v>
      </c>
    </row>
    <row r="19" customFormat="false" ht="15" hidden="false" customHeight="false" outlineLevel="0" collapsed="false">
      <c r="A19" s="2" t="s">
        <v>36</v>
      </c>
    </row>
    <row r="20" customFormat="false" ht="15" hidden="false" customHeight="false" outlineLevel="0" collapsed="false">
      <c r="A20" s="2" t="s">
        <v>37</v>
      </c>
    </row>
    <row r="21" customFormat="false" ht="15" hidden="false" customHeight="false" outlineLevel="0" collapsed="false">
      <c r="A21" s="2" t="s">
        <v>38</v>
      </c>
    </row>
    <row r="22" customFormat="false" ht="15" hidden="false" customHeight="false" outlineLevel="0" collapsed="false">
      <c r="A22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0"/>
  </cols>
  <sheetData>
    <row r="1" customFormat="false" ht="15" hidden="false" customHeight="fals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6" t="s">
        <v>42</v>
      </c>
      <c r="B3" s="6" t="s">
        <v>43</v>
      </c>
      <c r="C3" s="6" t="s">
        <v>44</v>
      </c>
    </row>
    <row r="4" customFormat="false" ht="35.05" hidden="false" customHeight="false" outlineLevel="0" collapsed="false">
      <c r="A4" s="5" t="s">
        <v>45</v>
      </c>
      <c r="B4" s="12" t="s">
        <v>46</v>
      </c>
      <c r="C4" s="5" t="s">
        <v>47</v>
      </c>
    </row>
    <row r="5" customFormat="false" ht="15" hidden="false" customHeight="false" outlineLevel="0" collapsed="false">
      <c r="A5" s="5" t="s">
        <v>48</v>
      </c>
      <c r="B5" s="13" t="n">
        <v>2000</v>
      </c>
      <c r="C5" s="5" t="s">
        <v>49</v>
      </c>
    </row>
    <row r="6" customFormat="false" ht="23.85" hidden="false" customHeight="false" outlineLevel="0" collapsed="false">
      <c r="A6" s="5" t="s">
        <v>50</v>
      </c>
      <c r="B6" s="14" t="n">
        <v>6</v>
      </c>
      <c r="C6" s="5" t="s">
        <v>51</v>
      </c>
    </row>
    <row r="7" customFormat="false" ht="15" hidden="false" customHeight="false" outlineLevel="0" collapsed="false">
      <c r="A7" s="5" t="s">
        <v>52</v>
      </c>
      <c r="B7" s="14" t="n">
        <v>2</v>
      </c>
      <c r="C7" s="5" t="s">
        <v>53</v>
      </c>
    </row>
    <row r="8" customFormat="false" ht="15" hidden="false" customHeight="false" outlineLevel="0" collapsed="false">
      <c r="A8" s="5" t="s">
        <v>54</v>
      </c>
      <c r="B8" s="14" t="n">
        <v>80</v>
      </c>
      <c r="C8" s="5" t="s">
        <v>53</v>
      </c>
    </row>
    <row r="9" customFormat="false" ht="15" hidden="false" customHeight="false" outlineLevel="0" collapsed="false">
      <c r="A9" s="5" t="s">
        <v>55</v>
      </c>
      <c r="B9" s="15" t="n">
        <v>0.1</v>
      </c>
      <c r="C9" s="5" t="s">
        <v>53</v>
      </c>
    </row>
    <row r="10" customFormat="false" ht="15" hidden="false" customHeight="false" outlineLevel="0" collapsed="false">
      <c r="A10" s="5" t="s">
        <v>56</v>
      </c>
      <c r="B10" s="16" t="n">
        <f aca="false">(B5-B7*B8)*(1-B9)</f>
        <v>1656</v>
      </c>
      <c r="C10" s="5" t="s">
        <v>57</v>
      </c>
    </row>
    <row r="11" customFormat="false" ht="15" hidden="false" customHeight="false" outlineLevel="0" collapsed="false">
      <c r="A11" s="5" t="s">
        <v>58</v>
      </c>
      <c r="B11" s="13"/>
      <c r="C11" s="5" t="s">
        <v>59</v>
      </c>
    </row>
    <row r="13" customFormat="false" ht="15" hidden="false" customHeight="false" outlineLevel="0" collapsed="false">
      <c r="A13" s="6" t="s">
        <v>60</v>
      </c>
      <c r="B13" s="6" t="s">
        <v>43</v>
      </c>
      <c r="C13" s="6" t="s">
        <v>44</v>
      </c>
    </row>
    <row r="14" customFormat="false" ht="15" hidden="false" customHeight="false" outlineLevel="0" collapsed="false">
      <c r="A14" s="5" t="s">
        <v>61</v>
      </c>
      <c r="B14" s="14" t="n">
        <v>2</v>
      </c>
      <c r="C14" s="5" t="s">
        <v>62</v>
      </c>
    </row>
    <row r="15" customFormat="false" ht="15" hidden="false" customHeight="false" outlineLevel="0" collapsed="false">
      <c r="A15" s="5" t="s">
        <v>63</v>
      </c>
      <c r="B15" s="17" t="n">
        <v>1.5</v>
      </c>
      <c r="C15" s="5" t="s">
        <v>64</v>
      </c>
    </row>
    <row r="16" customFormat="false" ht="15" hidden="false" customHeight="false" outlineLevel="0" collapsed="false">
      <c r="A16" s="5" t="s">
        <v>65</v>
      </c>
      <c r="B16" s="14" t="n">
        <v>20</v>
      </c>
      <c r="C16" s="5" t="s">
        <v>66</v>
      </c>
    </row>
    <row r="17" customFormat="false" ht="15" hidden="false" customHeight="false" outlineLevel="0" collapsed="false">
      <c r="A17" s="5" t="s">
        <v>67</v>
      </c>
      <c r="B17" s="14" t="n">
        <v>15</v>
      </c>
      <c r="C17" s="5" t="s">
        <v>53</v>
      </c>
    </row>
    <row r="19" customFormat="false" ht="15" hidden="false" customHeight="false" outlineLevel="0" collapsed="false">
      <c r="A19" s="6" t="s">
        <v>68</v>
      </c>
      <c r="B19" s="6" t="s">
        <v>43</v>
      </c>
      <c r="C19" s="6" t="s">
        <v>44</v>
      </c>
    </row>
    <row r="20" customFormat="false" ht="15" hidden="false" customHeight="false" outlineLevel="0" collapsed="false">
      <c r="A20" s="5" t="s">
        <v>69</v>
      </c>
      <c r="B20" s="17" t="n">
        <v>0.5</v>
      </c>
      <c r="C20" s="5" t="s">
        <v>70</v>
      </c>
    </row>
    <row r="21" customFormat="false" ht="15" hidden="false" customHeight="false" outlineLevel="0" collapsed="false">
      <c r="A21" s="5" t="s">
        <v>71</v>
      </c>
      <c r="B21" s="17" t="n">
        <v>0.5</v>
      </c>
      <c r="C21" s="5" t="s">
        <v>72</v>
      </c>
    </row>
    <row r="22" customFormat="false" ht="15" hidden="false" customHeight="false" outlineLevel="0" collapsed="false">
      <c r="A22" s="5" t="s">
        <v>73</v>
      </c>
      <c r="B22" s="18" t="n">
        <v>1.15</v>
      </c>
      <c r="C22" s="5" t="s">
        <v>74</v>
      </c>
    </row>
    <row r="23" customFormat="false" ht="15" hidden="false" customHeight="false" outlineLevel="0" collapsed="false">
      <c r="A23" s="5" t="s">
        <v>75</v>
      </c>
      <c r="B23" s="15" t="n">
        <v>0.15</v>
      </c>
      <c r="C23" s="5" t="s">
        <v>76</v>
      </c>
    </row>
    <row r="24" customFormat="false" ht="15" hidden="false" customHeight="false" outlineLevel="0" collapsed="false">
      <c r="A24" s="5" t="s">
        <v>77</v>
      </c>
      <c r="B24" s="14" t="n">
        <v>3</v>
      </c>
      <c r="C24" s="5" t="s">
        <v>78</v>
      </c>
    </row>
    <row r="25" customFormat="false" ht="15" hidden="false" customHeight="false" outlineLevel="0" collapsed="false">
      <c r="A25" s="5" t="s">
        <v>79</v>
      </c>
      <c r="B25" s="14" t="n">
        <v>2</v>
      </c>
      <c r="C25" s="5" t="s">
        <v>80</v>
      </c>
    </row>
    <row r="26" customFormat="false" ht="15" hidden="false" customHeight="false" outlineLevel="0" collapsed="false">
      <c r="A26" s="5" t="s">
        <v>81</v>
      </c>
      <c r="B26" s="19" t="n">
        <f aca="false">1.2*1*2</f>
        <v>2.4</v>
      </c>
      <c r="C26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IFERROR(__xludf.DUMMYFUNCTION("IMPORTRANGE(Links!$B$4,""parametros_recargas!E55:P72"")"),0.00749080356204596)</f>
        <v>0.00749080356204596</v>
      </c>
      <c r="C5" s="20" t="n">
        <f aca="false">IFERROR(__xludf.DUMMYFUNCTION("""COMPUTED_VALUE"""),0.0980789973414249)</f>
        <v>0.0980789973414249</v>
      </c>
      <c r="D5" s="20" t="n">
        <f aca="false">IFERROR(__xludf.DUMMYFUNCTION("""COMPUTED_VALUE"""),0.0986610060682725)</f>
        <v>0.0986610060682725</v>
      </c>
      <c r="E5" s="20" t="n">
        <f aca="false">IFERROR(__xludf.DUMMYFUNCTION("""COMPUTED_VALUE"""),0.0993660972474985)</f>
        <v>0.0993660972474985</v>
      </c>
      <c r="F5" s="20" t="n">
        <f aca="false">IFERROR(__xludf.DUMMYFUNCTION("""COMPUTED_VALUE"""),0.0994029049644587)</f>
        <v>0.0994029049644587</v>
      </c>
      <c r="G5" s="20" t="n">
        <f aca="false">IFERROR(__xludf.DUMMYFUNCTION("""COMPUTED_VALUE"""),0.0990676994264772)</f>
        <v>0.0990676994264772</v>
      </c>
      <c r="H5" s="20" t="n">
        <f aca="false">IFERROR(__xludf.DUMMYFUNCTION("""COMPUTED_VALUE"""),0.100122038394086)</f>
        <v>0.100122038394086</v>
      </c>
      <c r="I5" s="20" t="n">
        <f aca="false">IFERROR(__xludf.DUMMYFUNCTION("""COMPUTED_VALUE"""),0.0993285448657443)</f>
        <v>0.0993285448657443</v>
      </c>
      <c r="J5" s="20" t="n">
        <f aca="false">IFERROR(__xludf.DUMMYFUNCTION("""COMPUTED_VALUE"""),0.0994522656022319)</f>
        <v>0.0994522656022319</v>
      </c>
      <c r="K5" s="20" t="n">
        <f aca="false">IFERROR(__xludf.DUMMYFUNCTION("""COMPUTED_VALUE"""),0.0990432318689603)</f>
        <v>0.0990432318689603</v>
      </c>
      <c r="L5" s="20" t="n">
        <f aca="false">IFERROR(__xludf.DUMMYFUNCTION("""COMPUTED_VALUE"""),0.0972817804891135)</f>
        <v>0.0972817804891135</v>
      </c>
      <c r="M5" s="20" t="n">
        <f aca="false">IFERROR(__xludf.DUMMYFUNCTION("""COMPUTED_VALUE"""),0.0027046301696863)</f>
        <v>0.0027046301696863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IFERROR(__xludf.DUMMYFUNCTION("""COMPUTED_VALUE"""),0.0786972325544767)</f>
        <v>0.0786972325544767</v>
      </c>
      <c r="C6" s="20" t="n">
        <f aca="false">IFERROR(__xludf.DUMMYFUNCTION("""COMPUTED_VALUE"""),0.134330441900756)</f>
        <v>0.134330441900756</v>
      </c>
      <c r="D6" s="20" t="n">
        <f aca="false">IFERROR(__xludf.DUMMYFUNCTION("""COMPUTED_VALUE"""),0.0786972325544767)</f>
        <v>0.0786972325544767</v>
      </c>
      <c r="E6" s="20" t="n">
        <f aca="false">IFERROR(__xludf.DUMMYFUNCTION("""COMPUTED_VALUE"""),0.0786972325544767)</f>
        <v>0.0786972325544767</v>
      </c>
      <c r="F6" s="20" t="n">
        <f aca="false">IFERROR(__xludf.DUMMYFUNCTION("""COMPUTED_VALUE"""),0.0786972325544767)</f>
        <v>0.0786972325544767</v>
      </c>
      <c r="G6" s="20" t="n">
        <f aca="false">IFERROR(__xludf.DUMMYFUNCTION("""COMPUTED_VALUE"""),0.0786972325544767)</f>
        <v>0.0786972325544767</v>
      </c>
      <c r="H6" s="20" t="n">
        <f aca="false">IFERROR(__xludf.DUMMYFUNCTION("""COMPUTED_VALUE"""),0.0786972325544767)</f>
        <v>0.0786972325544767</v>
      </c>
      <c r="I6" s="20" t="n">
        <f aca="false">IFERROR(__xludf.DUMMYFUNCTION("""COMPUTED_VALUE"""),0.0786972325544767)</f>
        <v>0.0786972325544767</v>
      </c>
      <c r="J6" s="20" t="n">
        <f aca="false">IFERROR(__xludf.DUMMYFUNCTION("""COMPUTED_VALUE"""),0.0786972325544767)</f>
        <v>0.0786972325544767</v>
      </c>
      <c r="K6" s="20" t="n">
        <f aca="false">IFERROR(__xludf.DUMMYFUNCTION("""COMPUTED_VALUE"""),0.0786972325544767)</f>
        <v>0.0786972325544767</v>
      </c>
      <c r="L6" s="20" t="n">
        <f aca="false">IFERROR(__xludf.DUMMYFUNCTION("""COMPUTED_VALUE"""),0.0786972325544767)</f>
        <v>0.0786972325544767</v>
      </c>
      <c r="M6" s="20" t="n">
        <f aca="false">IFERROR(__xludf.DUMMYFUNCTION("""COMPUTED_VALUE"""),0.0786972325544767)</f>
        <v>0.0786972325544767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IFERROR(__xludf.DUMMYFUNCTION("""COMPUTED_VALUE"""),186)</f>
        <v>186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IFERROR(__xludf.DUMMYFUNCTION("""COMPUTED_VALUE"""),0.0752806934699069)</f>
        <v>0.0752806934699069</v>
      </c>
      <c r="C7" s="20" t="n">
        <f aca="false">IFERROR(__xludf.DUMMYFUNCTION("""COMPUTED_VALUE"""),0.116386303068985)</f>
        <v>0.116386303068985</v>
      </c>
      <c r="D7" s="20" t="n">
        <f aca="false">IFERROR(__xludf.DUMMYFUNCTION("""COMPUTED_VALUE"""),0.0814578576260751)</f>
        <v>0.0814578576260751</v>
      </c>
      <c r="E7" s="20" t="n">
        <f aca="false">IFERROR(__xludf.DUMMYFUNCTION("""COMPUTED_VALUE"""),0.0815056305150171)</f>
        <v>0.0815056305150171</v>
      </c>
      <c r="F7" s="20" t="n">
        <f aca="false">IFERROR(__xludf.DUMMYFUNCTION("""COMPUTED_VALUE"""),0.0815081243924422)</f>
        <v>0.0815081243924422</v>
      </c>
      <c r="G7" s="20" t="n">
        <f aca="false">IFERROR(__xludf.DUMMYFUNCTION("""COMPUTED_VALUE"""),0.0814854128093016)</f>
        <v>0.0814854128093016</v>
      </c>
      <c r="H7" s="20" t="n">
        <f aca="false">IFERROR(__xludf.DUMMYFUNCTION("""COMPUTED_VALUE"""),0.0815568487028296)</f>
        <v>0.0815568487028296</v>
      </c>
      <c r="I7" s="20" t="n">
        <f aca="false">IFERROR(__xludf.DUMMYFUNCTION("""COMPUTED_VALUE"""),0.0815030861834244)</f>
        <v>0.0815030861834244</v>
      </c>
      <c r="J7" s="20" t="n">
        <f aca="false">IFERROR(__xludf.DUMMYFUNCTION("""COMPUTED_VALUE"""),0.0815114687829777)</f>
        <v>0.0815114687829777</v>
      </c>
      <c r="K7" s="20" t="n">
        <f aca="false">IFERROR(__xludf.DUMMYFUNCTION("""COMPUTED_VALUE"""),0.0814837550295103)</f>
        <v>0.0814837550295103</v>
      </c>
      <c r="L7" s="20" t="n">
        <f aca="false">IFERROR(__xludf.DUMMYFUNCTION("""COMPUTED_VALUE"""),0.0813644093000141)</f>
        <v>0.0813644093000141</v>
      </c>
      <c r="M7" s="20" t="n">
        <f aca="false">IFERROR(__xludf.DUMMYFUNCTION("""COMPUTED_VALUE"""),0.0749564101195165)</f>
        <v>0.0749564101195165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IFERROR(__xludf.DUMMYFUNCTION("""COMPUTED_VALUE"""),1015)</f>
        <v>1015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IFERROR(__xludf.DUMMYFUNCTION("""COMPUTED_VALUE"""),0.0778654184776741)</f>
        <v>0.0778654184776741</v>
      </c>
      <c r="C8" s="20" t="n">
        <f aca="false">IFERROR(__xludf.DUMMYFUNCTION("""COMPUTED_VALUE"""),0.143480396745585)</f>
        <v>0.143480396745585</v>
      </c>
      <c r="D8" s="20" t="n">
        <f aca="false">IFERROR(__xludf.DUMMYFUNCTION("""COMPUTED_VALUE"""),0.0778654184776741)</f>
        <v>0.0778654184776741</v>
      </c>
      <c r="E8" s="20" t="n">
        <f aca="false">IFERROR(__xludf.DUMMYFUNCTION("""COMPUTED_VALUE"""),0.0778654184776741)</f>
        <v>0.0778654184776741</v>
      </c>
      <c r="F8" s="20" t="n">
        <f aca="false">IFERROR(__xludf.DUMMYFUNCTION("""COMPUTED_VALUE"""),0.0778654184776741)</f>
        <v>0.0778654184776741</v>
      </c>
      <c r="G8" s="20" t="n">
        <f aca="false">IFERROR(__xludf.DUMMYFUNCTION("""COMPUTED_VALUE"""),0.0778654184776741)</f>
        <v>0.0778654184776741</v>
      </c>
      <c r="H8" s="20" t="n">
        <f aca="false">IFERROR(__xludf.DUMMYFUNCTION("""COMPUTED_VALUE"""),0.0778654184776741)</f>
        <v>0.0778654184776741</v>
      </c>
      <c r="I8" s="20" t="n">
        <f aca="false">IFERROR(__xludf.DUMMYFUNCTION("""COMPUTED_VALUE"""),0.0778654184776741)</f>
        <v>0.0778654184776741</v>
      </c>
      <c r="J8" s="20" t="n">
        <f aca="false">IFERROR(__xludf.DUMMYFUNCTION("""COMPUTED_VALUE"""),0.0778654184776741)</f>
        <v>0.0778654184776741</v>
      </c>
      <c r="K8" s="20" t="n">
        <f aca="false">IFERROR(__xludf.DUMMYFUNCTION("""COMPUTED_VALUE"""),0.0778654184776741)</f>
        <v>0.0778654184776741</v>
      </c>
      <c r="L8" s="20" t="n">
        <f aca="false">IFERROR(__xludf.DUMMYFUNCTION("""COMPUTED_VALUE"""),0.0778654184776741)</f>
        <v>0.0778654184776741</v>
      </c>
      <c r="M8" s="20" t="n">
        <f aca="false">IFERROR(__xludf.DUMMYFUNCTION("""COMPUTED_VALUE"""),0.0778654184776741)</f>
        <v>0.0778654184776741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IFERROR(__xludf.DUMMYFUNCTION("""COMPUTED_VALUE"""),72)</f>
        <v>72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IFERROR(__xludf.DUMMYFUNCTION("""COMPUTED_VALUE"""),0.0800765970881449)</f>
        <v>0.0800765970881449</v>
      </c>
      <c r="C9" s="20" t="n">
        <f aca="false">IFERROR(__xludf.DUMMYFUNCTION("""COMPUTED_VALUE"""),0.119157432030406)</f>
        <v>0.119157432030406</v>
      </c>
      <c r="D9" s="20" t="n">
        <f aca="false">IFERROR(__xludf.DUMMYFUNCTION("""COMPUTED_VALUE"""),0.0800765970881449)</f>
        <v>0.0800765970881449</v>
      </c>
      <c r="E9" s="20" t="n">
        <f aca="false">IFERROR(__xludf.DUMMYFUNCTION("""COMPUTED_VALUE"""),0.0800765970881449)</f>
        <v>0.0800765970881449</v>
      </c>
      <c r="F9" s="20" t="n">
        <f aca="false">IFERROR(__xludf.DUMMYFUNCTION("""COMPUTED_VALUE"""),0.0800765970881449)</f>
        <v>0.0800765970881449</v>
      </c>
      <c r="G9" s="20" t="n">
        <f aca="false">IFERROR(__xludf.DUMMYFUNCTION("""COMPUTED_VALUE"""),0.0800765970881449)</f>
        <v>0.0800765970881449</v>
      </c>
      <c r="H9" s="20" t="n">
        <f aca="false">IFERROR(__xludf.DUMMYFUNCTION("""COMPUTED_VALUE"""),0.0800765970881449)</f>
        <v>0.0800765970881449</v>
      </c>
      <c r="I9" s="20" t="n">
        <f aca="false">IFERROR(__xludf.DUMMYFUNCTION("""COMPUTED_VALUE"""),0.0800765970881449)</f>
        <v>0.0800765970881449</v>
      </c>
      <c r="J9" s="20" t="n">
        <f aca="false">IFERROR(__xludf.DUMMYFUNCTION("""COMPUTED_VALUE"""),0.0800765970881449)</f>
        <v>0.0800765970881449</v>
      </c>
      <c r="K9" s="20" t="n">
        <f aca="false">IFERROR(__xludf.DUMMYFUNCTION("""COMPUTED_VALUE"""),0.0800765970881449)</f>
        <v>0.0800765970881449</v>
      </c>
      <c r="L9" s="20" t="n">
        <f aca="false">IFERROR(__xludf.DUMMYFUNCTION("""COMPUTED_VALUE"""),0.0800765970881449)</f>
        <v>0.0800765970881449</v>
      </c>
      <c r="M9" s="20" t="n">
        <f aca="false">IFERROR(__xludf.DUMMYFUNCTION("""COMPUTED_VALUE"""),0.0800765970881449)</f>
        <v>0.0800765970881449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IFERROR(__xludf.DUMMYFUNCTION("""COMPUTED_VALUE"""),88)</f>
        <v>88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IFERROR(__xludf.DUMMYFUNCTION("""COMPUTED_VALUE"""),15)</f>
        <v>15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IFERROR(__xludf.DUMMYFUNCTION("""COMPUTED_VALUE"""),8)</f>
        <v>8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IFERROR(__xludf.DUMMYFUNCTION("""COMPUTED_VALUE"""),5)</f>
        <v>5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IFERROR(__xludf.DUMMYFUNCTION("""COMPUTED_VALUE"""),0.07684527070735)</f>
        <v>0.07684527070735</v>
      </c>
      <c r="C13" s="20" t="n">
        <f aca="false">IFERROR(__xludf.DUMMYFUNCTION("""COMPUTED_VALUE"""),0.15470202221915)</f>
        <v>0.15470202221915</v>
      </c>
      <c r="D13" s="20" t="n">
        <f aca="false">IFERROR(__xludf.DUMMYFUNCTION("""COMPUTED_VALUE"""),0.07684527070735)</f>
        <v>0.07684527070735</v>
      </c>
      <c r="E13" s="20" t="n">
        <f aca="false">IFERROR(__xludf.DUMMYFUNCTION("""COMPUTED_VALUE"""),0.07684527070735)</f>
        <v>0.07684527070735</v>
      </c>
      <c r="F13" s="20" t="n">
        <f aca="false">IFERROR(__xludf.DUMMYFUNCTION("""COMPUTED_VALUE"""),0.07684527070735)</f>
        <v>0.07684527070735</v>
      </c>
      <c r="G13" s="20" t="n">
        <f aca="false">IFERROR(__xludf.DUMMYFUNCTION("""COMPUTED_VALUE"""),0.07684527070735)</f>
        <v>0.07684527070735</v>
      </c>
      <c r="H13" s="20" t="n">
        <f aca="false">IFERROR(__xludf.DUMMYFUNCTION("""COMPUTED_VALUE"""),0.07684527070735)</f>
        <v>0.07684527070735</v>
      </c>
      <c r="I13" s="20" t="n">
        <f aca="false">IFERROR(__xludf.DUMMYFUNCTION("""COMPUTED_VALUE"""),0.07684527070735)</f>
        <v>0.07684527070735</v>
      </c>
      <c r="J13" s="20" t="n">
        <f aca="false">IFERROR(__xludf.DUMMYFUNCTION("""COMPUTED_VALUE"""),0.07684527070735)</f>
        <v>0.07684527070735</v>
      </c>
      <c r="K13" s="20" t="n">
        <f aca="false">IFERROR(__xludf.DUMMYFUNCTION("""COMPUTED_VALUE"""),0.07684527070735)</f>
        <v>0.07684527070735</v>
      </c>
      <c r="L13" s="20" t="n">
        <f aca="false">IFERROR(__xludf.DUMMYFUNCTION("""COMPUTED_VALUE"""),0.07684527070735)</f>
        <v>0.07684527070735</v>
      </c>
      <c r="M13" s="20" t="n">
        <f aca="false">IFERROR(__xludf.DUMMYFUNCTION("""COMPUTED_VALUE"""),0.07684527070735)</f>
        <v>0.07684527070735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IFERROR(__xludf.DUMMYFUNCTION("""COMPUTED_VALUE"""),58)</f>
        <v>58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IFERROR(__xludf.DUMMYFUNCTION("""COMPUTED_VALUE"""),0.07847146142097)</f>
        <v>0.07847146142097</v>
      </c>
      <c r="C14" s="20" t="n">
        <f aca="false">IFERROR(__xludf.DUMMYFUNCTION("""COMPUTED_VALUE"""),0.13681392436933)</f>
        <v>0.13681392436933</v>
      </c>
      <c r="D14" s="20" t="n">
        <f aca="false">IFERROR(__xludf.DUMMYFUNCTION("""COMPUTED_VALUE"""),0.07847146142097)</f>
        <v>0.07847146142097</v>
      </c>
      <c r="E14" s="20" t="n">
        <f aca="false">IFERROR(__xludf.DUMMYFUNCTION("""COMPUTED_VALUE"""),0.07847146142097)</f>
        <v>0.07847146142097</v>
      </c>
      <c r="F14" s="20" t="n">
        <f aca="false">IFERROR(__xludf.DUMMYFUNCTION("""COMPUTED_VALUE"""),0.07847146142097)</f>
        <v>0.07847146142097</v>
      </c>
      <c r="G14" s="20" t="n">
        <f aca="false">IFERROR(__xludf.DUMMYFUNCTION("""COMPUTED_VALUE"""),0.07847146142097)</f>
        <v>0.07847146142097</v>
      </c>
      <c r="H14" s="20" t="n">
        <f aca="false">IFERROR(__xludf.DUMMYFUNCTION("""COMPUTED_VALUE"""),0.07847146142097)</f>
        <v>0.07847146142097</v>
      </c>
      <c r="I14" s="20" t="n">
        <f aca="false">IFERROR(__xludf.DUMMYFUNCTION("""COMPUTED_VALUE"""),0.07847146142097)</f>
        <v>0.07847146142097</v>
      </c>
      <c r="J14" s="20" t="n">
        <f aca="false">IFERROR(__xludf.DUMMYFUNCTION("""COMPUTED_VALUE"""),0.07847146142097)</f>
        <v>0.07847146142097</v>
      </c>
      <c r="K14" s="20" t="n">
        <f aca="false">IFERROR(__xludf.DUMMYFUNCTION("""COMPUTED_VALUE"""),0.07847146142097)</f>
        <v>0.07847146142097</v>
      </c>
      <c r="L14" s="20" t="n">
        <f aca="false">IFERROR(__xludf.DUMMYFUNCTION("""COMPUTED_VALUE"""),0.07847146142097)</f>
        <v>0.07847146142097</v>
      </c>
      <c r="M14" s="20" t="n">
        <f aca="false">IFERROR(__xludf.DUMMYFUNCTION("""COMPUTED_VALUE"""),0.07847146142097)</f>
        <v>0.07847146142097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IFERROR(__xludf.DUMMYFUNCTION("""COMPUTED_VALUE"""),262)</f>
        <v>262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IFERROR(__xludf.DUMMYFUNCTION("""COMPUTED_VALUE"""),0.0826637580910584)</f>
        <v>0.0826637580910584</v>
      </c>
      <c r="C15" s="20" t="n">
        <f aca="false">IFERROR(__xludf.DUMMYFUNCTION("""COMPUTED_VALUE"""),0.090698660998357)</f>
        <v>0.090698660998357</v>
      </c>
      <c r="D15" s="20" t="n">
        <f aca="false">IFERROR(__xludf.DUMMYFUNCTION("""COMPUTED_VALUE"""),0.0826637580910584)</f>
        <v>0.0826637580910584</v>
      </c>
      <c r="E15" s="20" t="n">
        <f aca="false">IFERROR(__xludf.DUMMYFUNCTION("""COMPUTED_VALUE"""),0.0826637580910584)</f>
        <v>0.0826637580910584</v>
      </c>
      <c r="F15" s="20" t="n">
        <f aca="false">IFERROR(__xludf.DUMMYFUNCTION("""COMPUTED_VALUE"""),0.0826637580910584)</f>
        <v>0.0826637580910584</v>
      </c>
      <c r="G15" s="20" t="n">
        <f aca="false">IFERROR(__xludf.DUMMYFUNCTION("""COMPUTED_VALUE"""),0.0826637580910584)</f>
        <v>0.0826637580910584</v>
      </c>
      <c r="H15" s="20" t="n">
        <f aca="false">IFERROR(__xludf.DUMMYFUNCTION("""COMPUTED_VALUE"""),0.0826637580910584)</f>
        <v>0.0826637580910584</v>
      </c>
      <c r="I15" s="20" t="n">
        <f aca="false">IFERROR(__xludf.DUMMYFUNCTION("""COMPUTED_VALUE"""),0.0826637580910584)</f>
        <v>0.0826637580910584</v>
      </c>
      <c r="J15" s="20" t="n">
        <f aca="false">IFERROR(__xludf.DUMMYFUNCTION("""COMPUTED_VALUE"""),0.0826637580910584)</f>
        <v>0.0826637580910584</v>
      </c>
      <c r="K15" s="20" t="n">
        <f aca="false">IFERROR(__xludf.DUMMYFUNCTION("""COMPUTED_VALUE"""),0.0826637580910584)</f>
        <v>0.0826637580910584</v>
      </c>
      <c r="L15" s="20" t="n">
        <f aca="false">IFERROR(__xludf.DUMMYFUNCTION("""COMPUTED_VALUE"""),0.0826637580910584)</f>
        <v>0.0826637580910584</v>
      </c>
      <c r="M15" s="20" t="n">
        <f aca="false">IFERROR(__xludf.DUMMYFUNCTION("""COMPUTED_VALUE"""),0.0826637580910584)</f>
        <v>0.0826637580910584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IFERROR(__xludf.DUMMYFUNCTION("""COMPUTED_VALUE"""),68)</f>
        <v>68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IFERROR(__xludf.DUMMYFUNCTION("""COMPUTED_VALUE"""),12)</f>
        <v>12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IFERROR(__xludf.DUMMYFUNCTION("""COMPUTED_VALUE"""),5)</f>
        <v>5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IFERROR(__xludf.DUMMYFUNCTION("""COMPUTED_VALUE"""),0.0822263312114782)</f>
        <v>0.0822263312114782</v>
      </c>
      <c r="C18" s="20" t="n">
        <f aca="false">IFERROR(__xludf.DUMMYFUNCTION("""COMPUTED_VALUE"""),0.0955103566737395)</f>
        <v>0.0955103566737395</v>
      </c>
      <c r="D18" s="20" t="n">
        <f aca="false">IFERROR(__xludf.DUMMYFUNCTION("""COMPUTED_VALUE"""),0.0822263312114782)</f>
        <v>0.0822263312114782</v>
      </c>
      <c r="E18" s="20" t="n">
        <f aca="false">IFERROR(__xludf.DUMMYFUNCTION("""COMPUTED_VALUE"""),0.0822263312114782)</f>
        <v>0.0822263312114782</v>
      </c>
      <c r="F18" s="20" t="n">
        <f aca="false">IFERROR(__xludf.DUMMYFUNCTION("""COMPUTED_VALUE"""),0.0822263312114782)</f>
        <v>0.0822263312114782</v>
      </c>
      <c r="G18" s="20" t="n">
        <f aca="false">IFERROR(__xludf.DUMMYFUNCTION("""COMPUTED_VALUE"""),0.0822263312114782)</f>
        <v>0.0822263312114782</v>
      </c>
      <c r="H18" s="20" t="n">
        <f aca="false">IFERROR(__xludf.DUMMYFUNCTION("""COMPUTED_VALUE"""),0.0822263312114782)</f>
        <v>0.0822263312114782</v>
      </c>
      <c r="I18" s="20" t="n">
        <f aca="false">IFERROR(__xludf.DUMMYFUNCTION("""COMPUTED_VALUE"""),0.0822263312114782)</f>
        <v>0.0822263312114782</v>
      </c>
      <c r="J18" s="20" t="n">
        <f aca="false">IFERROR(__xludf.DUMMYFUNCTION("""COMPUTED_VALUE"""),0.0822263312114782)</f>
        <v>0.0822263312114782</v>
      </c>
      <c r="K18" s="20" t="n">
        <f aca="false">IFERROR(__xludf.DUMMYFUNCTION("""COMPUTED_VALUE"""),0.0822263312114782)</f>
        <v>0.0822263312114782</v>
      </c>
      <c r="L18" s="20" t="n">
        <f aca="false">IFERROR(__xludf.DUMMYFUNCTION("""COMPUTED_VALUE"""),0.0822263312114782)</f>
        <v>0.0822263312114782</v>
      </c>
      <c r="M18" s="20" t="n">
        <f aca="false">IFERROR(__xludf.DUMMYFUNCTION("""COMPUTED_VALUE"""),0.0822263312114782)</f>
        <v>0.0822263312114782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IFERROR(__xludf.DUMMYFUNCTION("""COMPUTED_VALUE"""),10)</f>
        <v>10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IFERROR(__xludf.DUMMYFUNCTION("""COMPUTED_VALUE"""),0.0822261806345707)</f>
        <v>0.0822261806345707</v>
      </c>
      <c r="C19" s="20" t="n">
        <f aca="false">IFERROR(__xludf.DUMMYFUNCTION("""COMPUTED_VALUE"""),0.0955120130197222)</f>
        <v>0.0955120130197222</v>
      </c>
      <c r="D19" s="20" t="n">
        <f aca="false">IFERROR(__xludf.DUMMYFUNCTION("""COMPUTED_VALUE"""),0.0822261806345707)</f>
        <v>0.0822261806345707</v>
      </c>
      <c r="E19" s="20" t="n">
        <f aca="false">IFERROR(__xludf.DUMMYFUNCTION("""COMPUTED_VALUE"""),0.0822261806345707)</f>
        <v>0.0822261806345707</v>
      </c>
      <c r="F19" s="20" t="n">
        <f aca="false">IFERROR(__xludf.DUMMYFUNCTION("""COMPUTED_VALUE"""),0.0822261806345707)</f>
        <v>0.0822261806345707</v>
      </c>
      <c r="G19" s="20" t="n">
        <f aca="false">IFERROR(__xludf.DUMMYFUNCTION("""COMPUTED_VALUE"""),0.0822261806345707)</f>
        <v>0.0822261806345707</v>
      </c>
      <c r="H19" s="20" t="n">
        <f aca="false">IFERROR(__xludf.DUMMYFUNCTION("""COMPUTED_VALUE"""),0.0822261806345707)</f>
        <v>0.0822261806345707</v>
      </c>
      <c r="I19" s="20" t="n">
        <f aca="false">IFERROR(__xludf.DUMMYFUNCTION("""COMPUTED_VALUE"""),0.0822261806345707)</f>
        <v>0.0822261806345707</v>
      </c>
      <c r="J19" s="20" t="n">
        <f aca="false">IFERROR(__xludf.DUMMYFUNCTION("""COMPUTED_VALUE"""),0.0822261806345707)</f>
        <v>0.0822261806345707</v>
      </c>
      <c r="K19" s="20" t="n">
        <f aca="false">IFERROR(__xludf.DUMMYFUNCTION("""COMPUTED_VALUE"""),0.0822261806345707)</f>
        <v>0.0822261806345707</v>
      </c>
      <c r="L19" s="20" t="n">
        <f aca="false">IFERROR(__xludf.DUMMYFUNCTION("""COMPUTED_VALUE"""),0.0822261806345707)</f>
        <v>0.0822261806345707</v>
      </c>
      <c r="M19" s="20" t="n">
        <f aca="false">IFERROR(__xludf.DUMMYFUNCTION("""COMPUTED_VALUE"""),0.0822261806345707)</f>
        <v>0.0822261806345707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IFERROR(__xludf.DUMMYFUNCTION("""COMPUTED_VALUE"""),21)</f>
        <v>21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IFERROR(__xludf.DUMMYFUNCTION("""COMPUTED_VALUE"""),0.0822265137471396)</f>
        <v>0.0822265137471396</v>
      </c>
      <c r="C20" s="20" t="n">
        <f aca="false">IFERROR(__xludf.DUMMYFUNCTION("""COMPUTED_VALUE"""),0.095508348781465)</f>
        <v>0.095508348781465</v>
      </c>
      <c r="D20" s="20" t="n">
        <f aca="false">IFERROR(__xludf.DUMMYFUNCTION("""COMPUTED_VALUE"""),0.0822265137471396)</f>
        <v>0.0822265137471396</v>
      </c>
      <c r="E20" s="20" t="n">
        <f aca="false">IFERROR(__xludf.DUMMYFUNCTION("""COMPUTED_VALUE"""),0.0822265137471396)</f>
        <v>0.0822265137471396</v>
      </c>
      <c r="F20" s="20" t="n">
        <f aca="false">IFERROR(__xludf.DUMMYFUNCTION("""COMPUTED_VALUE"""),0.0822265137471396)</f>
        <v>0.0822265137471396</v>
      </c>
      <c r="G20" s="20" t="n">
        <f aca="false">IFERROR(__xludf.DUMMYFUNCTION("""COMPUTED_VALUE"""),0.0822265137471396)</f>
        <v>0.0822265137471396</v>
      </c>
      <c r="H20" s="20" t="n">
        <f aca="false">IFERROR(__xludf.DUMMYFUNCTION("""COMPUTED_VALUE"""),0.0822265137471396)</f>
        <v>0.0822265137471396</v>
      </c>
      <c r="I20" s="20" t="n">
        <f aca="false">IFERROR(__xludf.DUMMYFUNCTION("""COMPUTED_VALUE"""),0.0822265137471396)</f>
        <v>0.0822265137471396</v>
      </c>
      <c r="J20" s="20" t="n">
        <f aca="false">IFERROR(__xludf.DUMMYFUNCTION("""COMPUTED_VALUE"""),0.0822265137471396)</f>
        <v>0.0822265137471396</v>
      </c>
      <c r="K20" s="20" t="n">
        <f aca="false">IFERROR(__xludf.DUMMYFUNCTION("""COMPUTED_VALUE"""),0.0822265137471396)</f>
        <v>0.0822265137471396</v>
      </c>
      <c r="L20" s="20" t="n">
        <f aca="false">IFERROR(__xludf.DUMMYFUNCTION("""COMPUTED_VALUE"""),0.0822265137471396)</f>
        <v>0.0822265137471396</v>
      </c>
      <c r="M20" s="20" t="n">
        <f aca="false">IFERROR(__xludf.DUMMYFUNCTION("""COMPUTED_VALUE"""),0.0822265137471396)</f>
        <v>0.0822265137471396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IFERROR(__xludf.DUMMYFUNCTION("""COMPUTED_VALUE"""),5)</f>
        <v>5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IFERROR(__xludf.DUMMYFUNCTION("""COMPUTED_VALUE"""),0.0822253559860661)</f>
        <v>0.0822253559860661</v>
      </c>
      <c r="C21" s="20" t="n">
        <f aca="false">IFERROR(__xludf.DUMMYFUNCTION("""COMPUTED_VALUE"""),0.0955210841532726)</f>
        <v>0.0955210841532726</v>
      </c>
      <c r="D21" s="20" t="n">
        <f aca="false">IFERROR(__xludf.DUMMYFUNCTION("""COMPUTED_VALUE"""),0.0822253559860661)</f>
        <v>0.0822253559860661</v>
      </c>
      <c r="E21" s="20" t="n">
        <f aca="false">IFERROR(__xludf.DUMMYFUNCTION("""COMPUTED_VALUE"""),0.0822253559860661)</f>
        <v>0.0822253559860661</v>
      </c>
      <c r="F21" s="20" t="n">
        <f aca="false">IFERROR(__xludf.DUMMYFUNCTION("""COMPUTED_VALUE"""),0.0822253559860661)</f>
        <v>0.0822253559860661</v>
      </c>
      <c r="G21" s="20" t="n">
        <f aca="false">IFERROR(__xludf.DUMMYFUNCTION("""COMPUTED_VALUE"""),0.0822253559860661)</f>
        <v>0.0822253559860661</v>
      </c>
      <c r="H21" s="20" t="n">
        <f aca="false">IFERROR(__xludf.DUMMYFUNCTION("""COMPUTED_VALUE"""),0.0822253559860661)</f>
        <v>0.0822253559860661</v>
      </c>
      <c r="I21" s="20" t="n">
        <f aca="false">IFERROR(__xludf.DUMMYFUNCTION("""COMPUTED_VALUE"""),0.0822253559860661)</f>
        <v>0.0822253559860661</v>
      </c>
      <c r="J21" s="20" t="n">
        <f aca="false">IFERROR(__xludf.DUMMYFUNCTION("""COMPUTED_VALUE"""),0.0822253559860661)</f>
        <v>0.0822253559860661</v>
      </c>
      <c r="K21" s="20" t="n">
        <f aca="false">IFERROR(__xludf.DUMMYFUNCTION("""COMPUTED_VALUE"""),0.0822253559860661)</f>
        <v>0.0822253559860661</v>
      </c>
      <c r="L21" s="20" t="n">
        <f aca="false">IFERROR(__xludf.DUMMYFUNCTION("""COMPUTED_VALUE"""),0.0822253559860661)</f>
        <v>0.0822253559860661</v>
      </c>
      <c r="M21" s="20" t="n">
        <f aca="false">IFERROR(__xludf.DUMMYFUNCTION("""COMPUTED_VALUE"""),0.0822253559860661)</f>
        <v>0.0822253559860661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IFERROR(__xludf.DUMMYFUNCTION("""COMPUTED_VALUE"""),0.0403512821171889)</f>
        <v>0.0403512821171889</v>
      </c>
      <c r="C22" s="20" t="n">
        <f aca="false">IFERROR(__xludf.DUMMYFUNCTION("""COMPUTED_VALUE"""),0.108520970470319)</f>
        <v>0.108520970470319</v>
      </c>
      <c r="D22" s="20" t="n">
        <f aca="false">IFERROR(__xludf.DUMMYFUNCTION("""COMPUTED_VALUE"""),0.0901475479034248)</f>
        <v>0.0901475479034248</v>
      </c>
      <c r="E22" s="20" t="n">
        <f aca="false">IFERROR(__xludf.DUMMYFUNCTION("""COMPUTED_VALUE"""),0.0905326617542125)</f>
        <v>0.0905326617542125</v>
      </c>
      <c r="F22" s="20" t="n">
        <f aca="false">IFERROR(__xludf.DUMMYFUNCTION("""COMPUTED_VALUE"""),0.0905527657663388)</f>
        <v>0.0905527657663388</v>
      </c>
      <c r="G22" s="20" t="n">
        <f aca="false">IFERROR(__xludf.DUMMYFUNCTION("""COMPUTED_VALUE"""),0.0903696798061951)</f>
        <v>0.0903696798061951</v>
      </c>
      <c r="H22" s="20" t="n">
        <f aca="false">IFERROR(__xludf.DUMMYFUNCTION("""COMPUTED_VALUE"""),0.0909455493558567)</f>
        <v>0.0909455493558567</v>
      </c>
      <c r="I22" s="20" t="n">
        <f aca="false">IFERROR(__xludf.DUMMYFUNCTION("""COMPUTED_VALUE"""),0.0905121510135173)</f>
        <v>0.0905121510135173</v>
      </c>
      <c r="J22" s="20" t="n">
        <f aca="false">IFERROR(__xludf.DUMMYFUNCTION("""COMPUTED_VALUE"""),0.0905797260600571)</f>
        <v>0.0905797260600571</v>
      </c>
      <c r="K22" s="20" t="n">
        <f aca="false">IFERROR(__xludf.DUMMYFUNCTION("""COMPUTED_VALUE"""),0.0903563158674985)</f>
        <v>0.0903563158674985</v>
      </c>
      <c r="L22" s="20" t="n">
        <f aca="false">IFERROR(__xludf.DUMMYFUNCTION("""COMPUTED_VALUE"""),0.0893942284895046)</f>
        <v>0.0893942284895046</v>
      </c>
      <c r="M22" s="20" t="n">
        <f aca="false">IFERROR(__xludf.DUMMYFUNCTION("""COMPUTED_VALUE"""),0.0377371213958866)</f>
        <v>0.0377371213958866</v>
      </c>
      <c r="N22" s="7" t="n">
        <f aca="false">SUM(N5:N21)</f>
        <v>206230.154921912</v>
      </c>
      <c r="P22" s="7" t="n">
        <f aca="false">SUM(P5:P21)</f>
        <v>1833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IFERROR(__xludf.DUMMYFUNCTION("IMPORTRANGE(Links!$B$4,""sobrestock_sustitutos!B18:H18"")"),25)</f>
        <v>25</v>
      </c>
      <c r="R23" s="22" t="n">
        <f aca="false">IFERROR(__xludf.DUMMYFUNCTION("""COMPUTED_VALUE"""),14)</f>
        <v>14</v>
      </c>
      <c r="S23" s="22" t="n">
        <f aca="false">IFERROR(__xludf.DUMMYFUNCTION("""COMPUTED_VALUE"""),18)</f>
        <v>18</v>
      </c>
      <c r="T23" s="22" t="n">
        <f aca="false">IFERROR(__xludf.DUMMYFUNCTION("""COMPUTED_VALUE"""),20)</f>
        <v>20</v>
      </c>
      <c r="U23" s="22" t="n">
        <f aca="false">IFERROR(__xludf.DUMMYFUNCTION("""COMPUTED_VALUE"""),45)</f>
        <v>45</v>
      </c>
      <c r="V23" s="22" t="n">
        <f aca="false">IFERROR(__xludf.DUMMYFUNCTION("""COMPUTED_VALUE"""),35)</f>
        <v>35</v>
      </c>
      <c r="W23" s="22" t="n">
        <f aca="false">IFERROR(__xludf.DUMMYFUNCTION("""COMPUTED_VALUE"""),16)</f>
        <v>16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IFERROR(__xludf.DUMMYFUNCTION("IMPORTRANGE(Links!$B$4,""parametros_recargas!E35:P41"")"),0.00735238492719494)</f>
        <v>0.00735238492719494</v>
      </c>
      <c r="C28" s="20" t="n">
        <f aca="false">IFERROR(__xludf.DUMMYFUNCTION("""COMPUTED_VALUE"""),0.0981059093482913)</f>
        <v>0.0981059093482913</v>
      </c>
      <c r="D28" s="20" t="n">
        <f aca="false">IFERROR(__xludf.DUMMYFUNCTION("""COMPUTED_VALUE"""),0.0986889802872471)</f>
        <v>0.0986889802872471</v>
      </c>
      <c r="E28" s="20" t="n">
        <f aca="false">IFERROR(__xludf.DUMMYFUNCTION("""COMPUTED_VALUE"""),0.0993953583138234)</f>
        <v>0.0993953583138234</v>
      </c>
      <c r="F28" s="20" t="n">
        <f aca="false">IFERROR(__xludf.DUMMYFUNCTION("""COMPUTED_VALUE"""),0.0994322332077878)</f>
        <v>0.0994322332077878</v>
      </c>
      <c r="G28" s="20" t="n">
        <f aca="false">IFERROR(__xludf.DUMMYFUNCTION("""COMPUTED_VALUE"""),0.0990964158931013)</f>
        <v>0.0990964158931013</v>
      </c>
      <c r="H28" s="20" t="n">
        <f aca="false">IFERROR(__xludf.DUMMYFUNCTION("""COMPUTED_VALUE"""),0.100152679112986)</f>
        <v>0.100152679112986</v>
      </c>
      <c r="I28" s="20" t="n">
        <f aca="false">IFERROR(__xludf.DUMMYFUNCTION("""COMPUTED_VALUE"""),0.0993577373959928)</f>
        <v>0.0993577373959928</v>
      </c>
      <c r="J28" s="20" t="n">
        <f aca="false">IFERROR(__xludf.DUMMYFUNCTION("""COMPUTED_VALUE"""),0.0994816839326416)</f>
        <v>0.0994816839326416</v>
      </c>
      <c r="K28" s="20" t="n">
        <f aca="false">IFERROR(__xludf.DUMMYFUNCTION("""COMPUTED_VALUE"""),0.0990719036803504)</f>
        <v>0.0990719036803504</v>
      </c>
      <c r="L28" s="20" t="n">
        <f aca="false">IFERROR(__xludf.DUMMYFUNCTION("""COMPUTED_VALUE"""),0.0973072375119662)</f>
        <v>0.0973072375119662</v>
      </c>
      <c r="M28" s="20" t="n">
        <f aca="false">IFERROR(__xludf.DUMMYFUNCTION("""COMPUTED_VALUE"""),0.00255747638861682)</f>
        <v>0.00255747638861682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IFERROR(__xludf.DUMMYFUNCTION("""COMPUTED_VALUE"""),0.0265)</f>
        <v>0.0265</v>
      </c>
      <c r="C30" s="20" t="n">
        <f aca="false">IFERROR(__xludf.DUMMYFUNCTION("""COMPUTED_VALUE"""),0.7085)</f>
        <v>0.7085</v>
      </c>
      <c r="D30" s="20" t="n">
        <f aca="false">IFERROR(__xludf.DUMMYFUNCTION("""COMPUTED_VALUE"""),0.0265)</f>
        <v>0.0265</v>
      </c>
      <c r="E30" s="20" t="n">
        <f aca="false">IFERROR(__xludf.DUMMYFUNCTION("""COMPUTED_VALUE"""),0.0265)</f>
        <v>0.0265</v>
      </c>
      <c r="F30" s="20" t="n">
        <f aca="false">IFERROR(__xludf.DUMMYFUNCTION("""COMPUTED_VALUE"""),0.0265)</f>
        <v>0.0265</v>
      </c>
      <c r="G30" s="20" t="n">
        <f aca="false">IFERROR(__xludf.DUMMYFUNCTION("""COMPUTED_VALUE"""),0.0265)</f>
        <v>0.0265</v>
      </c>
      <c r="H30" s="20" t="n">
        <f aca="false">IFERROR(__xludf.DUMMYFUNCTION("""COMPUTED_VALUE"""),0.0265)</f>
        <v>0.0265</v>
      </c>
      <c r="I30" s="20" t="n">
        <f aca="false">IFERROR(__xludf.DUMMYFUNCTION("""COMPUTED_VALUE"""),0.0265)</f>
        <v>0.0265</v>
      </c>
      <c r="J30" s="20" t="n">
        <f aca="false">IFERROR(__xludf.DUMMYFUNCTION("""COMPUTED_VALUE"""),0.0265)</f>
        <v>0.0265</v>
      </c>
      <c r="K30" s="20" t="n">
        <f aca="false">IFERROR(__xludf.DUMMYFUNCTION("""COMPUTED_VALUE"""),0.0265)</f>
        <v>0.0265</v>
      </c>
      <c r="L30" s="20" t="n">
        <f aca="false">IFERROR(__xludf.DUMMYFUNCTION("""COMPUTED_VALUE"""),0.0265)</f>
        <v>0.0265</v>
      </c>
      <c r="M30" s="20" t="n">
        <f aca="false">IFERROR(__xludf.DUMMYFUNCTION("""COMPUTED_VALUE"""),0.0265)</f>
        <v>0.0265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IFERROR(__xludf.DUMMYFUNCTION("IMPORTRANGE(Links!$B$5,""parametros_recargas!E55:P72"")"),0.00747139865671394)</f>
        <v>0.00747139865671394</v>
      </c>
      <c r="C39" s="20" t="n">
        <f aca="false">IFERROR(__xludf.DUMMYFUNCTION("""COMPUTED_VALUE"""),0.0980827701350671)</f>
        <v>0.0980827701350671</v>
      </c>
      <c r="D39" s="20" t="n">
        <f aca="false">IFERROR(__xludf.DUMMYFUNCTION("""COMPUTED_VALUE"""),0.0986649277734065)</f>
        <v>0.0986649277734065</v>
      </c>
      <c r="E39" s="20" t="n">
        <f aca="false">IFERROR(__xludf.DUMMYFUNCTION("""COMPUTED_VALUE"""),0.0993701993557339)</f>
        <v>0.0993701993557339</v>
      </c>
      <c r="F39" s="20" t="n">
        <f aca="false">IFERROR(__xludf.DUMMYFUNCTION("""COMPUTED_VALUE"""),0.0994070164902368)</f>
        <v>0.0994070164902368</v>
      </c>
      <c r="G39" s="20" t="n">
        <f aca="false">IFERROR(__xludf.DUMMYFUNCTION("""COMPUTED_VALUE"""),0.0990717251872927)</f>
        <v>0.0990717251872927</v>
      </c>
      <c r="H39" s="20" t="n">
        <f aca="false">IFERROR(__xludf.DUMMYFUNCTION("""COMPUTED_VALUE"""),0.100126333915785)</f>
        <v>0.100126333915785</v>
      </c>
      <c r="I39" s="20" t="n">
        <f aca="false">IFERROR(__xludf.DUMMYFUNCTION("""COMPUTED_VALUE"""),0.0993326373659087)</f>
        <v>0.0993326373659087</v>
      </c>
      <c r="J39" s="20" t="n">
        <f aca="false">IFERROR(__xludf.DUMMYFUNCTION("""COMPUTED_VALUE"""),0.0994563897573158)</f>
        <v>0.0994563897573158</v>
      </c>
      <c r="K39" s="20" t="n">
        <f aca="false">IFERROR(__xludf.DUMMYFUNCTION("""COMPUTED_VALUE"""),0.0990472513695595)</f>
        <v>0.0990472513695595</v>
      </c>
      <c r="L39" s="20" t="n">
        <f aca="false">IFERROR(__xludf.DUMMYFUNCTION("""COMPUTED_VALUE"""),0.0972853493085793)</f>
        <v>0.0972853493085793</v>
      </c>
      <c r="M39" s="20" t="n">
        <f aca="false">IFERROR(__xludf.DUMMYFUNCTION("""COMPUTED_VALUE"""),0.00268400068440077)</f>
        <v>0.00268400068440077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IFERROR(__xludf.DUMMYFUNCTION("""COMPUTED_VALUE"""),0.0779283688144388)</f>
        <v>0.0779283688144388</v>
      </c>
      <c r="C40" s="20" t="n">
        <f aca="false">IFERROR(__xludf.DUMMYFUNCTION("""COMPUTED_VALUE"""),0.142787943041173)</f>
        <v>0.142787943041173</v>
      </c>
      <c r="D40" s="20" t="n">
        <f aca="false">IFERROR(__xludf.DUMMYFUNCTION("""COMPUTED_VALUE"""),0.0779283688144388)</f>
        <v>0.0779283688144388</v>
      </c>
      <c r="E40" s="20" t="n">
        <f aca="false">IFERROR(__xludf.DUMMYFUNCTION("""COMPUTED_VALUE"""),0.0779283688144388)</f>
        <v>0.0779283688144388</v>
      </c>
      <c r="F40" s="20" t="n">
        <f aca="false">IFERROR(__xludf.DUMMYFUNCTION("""COMPUTED_VALUE"""),0.0779283688144388)</f>
        <v>0.0779283688144388</v>
      </c>
      <c r="G40" s="20" t="n">
        <f aca="false">IFERROR(__xludf.DUMMYFUNCTION("""COMPUTED_VALUE"""),0.0779283688144388)</f>
        <v>0.0779283688144388</v>
      </c>
      <c r="H40" s="20" t="n">
        <f aca="false">IFERROR(__xludf.DUMMYFUNCTION("""COMPUTED_VALUE"""),0.0779283688144388)</f>
        <v>0.0779283688144388</v>
      </c>
      <c r="I40" s="20" t="n">
        <f aca="false">IFERROR(__xludf.DUMMYFUNCTION("""COMPUTED_VALUE"""),0.0779283688144388)</f>
        <v>0.0779283688144388</v>
      </c>
      <c r="J40" s="20" t="n">
        <f aca="false">IFERROR(__xludf.DUMMYFUNCTION("""COMPUTED_VALUE"""),0.0779283688144388)</f>
        <v>0.0779283688144388</v>
      </c>
      <c r="K40" s="20" t="n">
        <f aca="false">IFERROR(__xludf.DUMMYFUNCTION("""COMPUTED_VALUE"""),0.0779283688144388)</f>
        <v>0.0779283688144388</v>
      </c>
      <c r="L40" s="20" t="n">
        <f aca="false">IFERROR(__xludf.DUMMYFUNCTION("""COMPUTED_VALUE"""),0.0779283688144388)</f>
        <v>0.0779283688144388</v>
      </c>
      <c r="M40" s="20" t="n">
        <f aca="false">IFERROR(__xludf.DUMMYFUNCTION("""COMPUTED_VALUE"""),0.0779283688144388)</f>
        <v>0.0779283688144388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IFERROR(__xludf.DUMMYFUNCTION("""COMPUTED_VALUE"""),103)</f>
        <v>103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IFERROR(__xludf.DUMMYFUNCTION("""COMPUTED_VALUE"""),0.0744731592432624)</f>
        <v>0.0744731592432624</v>
      </c>
      <c r="C41" s="20" t="n">
        <f aca="false">IFERROR(__xludf.DUMMYFUNCTION("""COMPUTED_VALUE"""),0.123146966709803)</f>
        <v>0.123146966709803</v>
      </c>
      <c r="D41" s="20" t="n">
        <f aca="false">IFERROR(__xludf.DUMMYFUNCTION("""COMPUTED_VALUE"""),0.080886415337057)</f>
        <v>0.080886415337057</v>
      </c>
      <c r="E41" s="20" t="n">
        <f aca="false">IFERROR(__xludf.DUMMYFUNCTION("""COMPUTED_VALUE"""),0.0809360141114104)</f>
        <v>0.0809360141114104</v>
      </c>
      <c r="F41" s="20" t="n">
        <f aca="false">IFERROR(__xludf.DUMMYFUNCTION("""COMPUTED_VALUE"""),0.0809386033051228)</f>
        <v>0.0809386033051228</v>
      </c>
      <c r="G41" s="20" t="n">
        <f aca="false">IFERROR(__xludf.DUMMYFUNCTION("""COMPUTED_VALUE"""),0.0809150236826142)</f>
        <v>0.0809150236826142</v>
      </c>
      <c r="H41" s="20" t="n">
        <f aca="false">IFERROR(__xludf.DUMMYFUNCTION("""COMPUTED_VALUE"""),0.0809891898643607)</f>
        <v>0.0809891898643607</v>
      </c>
      <c r="I41" s="20" t="n">
        <f aca="false">IFERROR(__xludf.DUMMYFUNCTION("""COMPUTED_VALUE"""),0.0809333725351661)</f>
        <v>0.0809333725351661</v>
      </c>
      <c r="J41" s="20" t="n">
        <f aca="false">IFERROR(__xludf.DUMMYFUNCTION("""COMPUTED_VALUE"""),0.0809420755186563)</f>
        <v>0.0809420755186563</v>
      </c>
      <c r="K41" s="20" t="n">
        <f aca="false">IFERROR(__xludf.DUMMYFUNCTION("""COMPUTED_VALUE"""),0.0809133025422851)</f>
        <v>0.0809133025422851</v>
      </c>
      <c r="L41" s="20" t="n">
        <f aca="false">IFERROR(__xludf.DUMMYFUNCTION("""COMPUTED_VALUE"""),0.0807893954050276)</f>
        <v>0.0807893954050276</v>
      </c>
      <c r="M41" s="20" t="n">
        <f aca="false">IFERROR(__xludf.DUMMYFUNCTION("""COMPUTED_VALUE"""),0.0741364817452343)</f>
        <v>0.0741364817452343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IFERROR(__xludf.DUMMYFUNCTION("""COMPUTED_VALUE"""),554)</f>
        <v>554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IFERROR(__xludf.DUMMYFUNCTION("""COMPUTED_VALUE"""),0.0770431705097184)</f>
        <v>0.0770431705097184</v>
      </c>
      <c r="C42" s="20" t="n">
        <f aca="false">IFERROR(__xludf.DUMMYFUNCTION("""COMPUTED_VALUE"""),0.152525124393098)</f>
        <v>0.152525124393098</v>
      </c>
      <c r="D42" s="20" t="n">
        <f aca="false">IFERROR(__xludf.DUMMYFUNCTION("""COMPUTED_VALUE"""),0.0770431705097184)</f>
        <v>0.0770431705097184</v>
      </c>
      <c r="E42" s="20" t="n">
        <f aca="false">IFERROR(__xludf.DUMMYFUNCTION("""COMPUTED_VALUE"""),0.0770431705097184)</f>
        <v>0.0770431705097184</v>
      </c>
      <c r="F42" s="20" t="n">
        <f aca="false">IFERROR(__xludf.DUMMYFUNCTION("""COMPUTED_VALUE"""),0.0770431705097184)</f>
        <v>0.0770431705097184</v>
      </c>
      <c r="G42" s="20" t="n">
        <f aca="false">IFERROR(__xludf.DUMMYFUNCTION("""COMPUTED_VALUE"""),0.0770431705097184)</f>
        <v>0.0770431705097184</v>
      </c>
      <c r="H42" s="20" t="n">
        <f aca="false">IFERROR(__xludf.DUMMYFUNCTION("""COMPUTED_VALUE"""),0.0770431705097184)</f>
        <v>0.0770431705097184</v>
      </c>
      <c r="I42" s="20" t="n">
        <f aca="false">IFERROR(__xludf.DUMMYFUNCTION("""COMPUTED_VALUE"""),0.0770431705097184)</f>
        <v>0.0770431705097184</v>
      </c>
      <c r="J42" s="20" t="n">
        <f aca="false">IFERROR(__xludf.DUMMYFUNCTION("""COMPUTED_VALUE"""),0.0770431705097184)</f>
        <v>0.0770431705097184</v>
      </c>
      <c r="K42" s="20" t="n">
        <f aca="false">IFERROR(__xludf.DUMMYFUNCTION("""COMPUTED_VALUE"""),0.0770431705097184)</f>
        <v>0.0770431705097184</v>
      </c>
      <c r="L42" s="20" t="n">
        <f aca="false">IFERROR(__xludf.DUMMYFUNCTION("""COMPUTED_VALUE"""),0.0770431705097184)</f>
        <v>0.0770431705097184</v>
      </c>
      <c r="M42" s="20" t="n">
        <f aca="false">IFERROR(__xludf.DUMMYFUNCTION("""COMPUTED_VALUE"""),0.0770431705097184)</f>
        <v>0.0770431705097184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IFERROR(__xludf.DUMMYFUNCTION("""COMPUTED_VALUE"""),40)</f>
        <v>40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IFERROR(__xludf.DUMMYFUNCTION("""COMPUTED_VALUE"""),0.0793497958252236)</f>
        <v>0.0793497958252236</v>
      </c>
      <c r="C43" s="20" t="n">
        <f aca="false">IFERROR(__xludf.DUMMYFUNCTION("""COMPUTED_VALUE"""),0.127152245922541)</f>
        <v>0.127152245922541</v>
      </c>
      <c r="D43" s="20" t="n">
        <f aca="false">IFERROR(__xludf.DUMMYFUNCTION("""COMPUTED_VALUE"""),0.0793497958252236)</f>
        <v>0.0793497958252236</v>
      </c>
      <c r="E43" s="20" t="n">
        <f aca="false">IFERROR(__xludf.DUMMYFUNCTION("""COMPUTED_VALUE"""),0.0793497958252236)</f>
        <v>0.0793497958252236</v>
      </c>
      <c r="F43" s="20" t="n">
        <f aca="false">IFERROR(__xludf.DUMMYFUNCTION("""COMPUTED_VALUE"""),0.0793497958252236)</f>
        <v>0.0793497958252236</v>
      </c>
      <c r="G43" s="20" t="n">
        <f aca="false">IFERROR(__xludf.DUMMYFUNCTION("""COMPUTED_VALUE"""),0.0793497958252236)</f>
        <v>0.0793497958252236</v>
      </c>
      <c r="H43" s="20" t="n">
        <f aca="false">IFERROR(__xludf.DUMMYFUNCTION("""COMPUTED_VALUE"""),0.0793497958252236)</f>
        <v>0.0793497958252236</v>
      </c>
      <c r="I43" s="20" t="n">
        <f aca="false">IFERROR(__xludf.DUMMYFUNCTION("""COMPUTED_VALUE"""),0.0793497958252236)</f>
        <v>0.0793497958252236</v>
      </c>
      <c r="J43" s="20" t="n">
        <f aca="false">IFERROR(__xludf.DUMMYFUNCTION("""COMPUTED_VALUE"""),0.0793497958252236)</f>
        <v>0.0793497958252236</v>
      </c>
      <c r="K43" s="20" t="n">
        <f aca="false">IFERROR(__xludf.DUMMYFUNCTION("""COMPUTED_VALUE"""),0.0793497958252236)</f>
        <v>0.0793497958252236</v>
      </c>
      <c r="L43" s="20" t="n">
        <f aca="false">IFERROR(__xludf.DUMMYFUNCTION("""COMPUTED_VALUE"""),0.0793497958252236)</f>
        <v>0.0793497958252236</v>
      </c>
      <c r="M43" s="20" t="n">
        <f aca="false">IFERROR(__xludf.DUMMYFUNCTION("""COMPUTED_VALUE"""),0.0793497958252236)</f>
        <v>0.0793497958252236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IFERROR(__xludf.DUMMYFUNCTION("""COMPUTED_VALUE"""),49)</f>
        <v>49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IFERROR(__xludf.DUMMYFUNCTION("""COMPUTED_VALUE"""),8)</f>
        <v>8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IFERROR(__xludf.DUMMYFUNCTION("""COMPUTED_VALUE"""),5)</f>
        <v>5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IFERROR(__xludf.DUMMYFUNCTION("""COMPUTED_VALUE"""),3)</f>
        <v>3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IFERROR(__xludf.DUMMYFUNCTION("""COMPUTED_VALUE"""),0.0757619225700752)</f>
        <v>0.0757619225700752</v>
      </c>
      <c r="C47" s="20" t="n">
        <f aca="false">IFERROR(__xludf.DUMMYFUNCTION("""COMPUTED_VALUE"""),0.166618851729173)</f>
        <v>0.166618851729173</v>
      </c>
      <c r="D47" s="20" t="n">
        <f aca="false">IFERROR(__xludf.DUMMYFUNCTION("""COMPUTED_VALUE"""),0.0757619225700752)</f>
        <v>0.0757619225700752</v>
      </c>
      <c r="E47" s="20" t="n">
        <f aca="false">IFERROR(__xludf.DUMMYFUNCTION("""COMPUTED_VALUE"""),0.0757619225700752)</f>
        <v>0.0757619225700752</v>
      </c>
      <c r="F47" s="20" t="n">
        <f aca="false">IFERROR(__xludf.DUMMYFUNCTION("""COMPUTED_VALUE"""),0.0757619225700752)</f>
        <v>0.0757619225700752</v>
      </c>
      <c r="G47" s="20" t="n">
        <f aca="false">IFERROR(__xludf.DUMMYFUNCTION("""COMPUTED_VALUE"""),0.0757619225700752)</f>
        <v>0.0757619225700752</v>
      </c>
      <c r="H47" s="20" t="n">
        <f aca="false">IFERROR(__xludf.DUMMYFUNCTION("""COMPUTED_VALUE"""),0.0757619225700752)</f>
        <v>0.0757619225700752</v>
      </c>
      <c r="I47" s="20" t="n">
        <f aca="false">IFERROR(__xludf.DUMMYFUNCTION("""COMPUTED_VALUE"""),0.0757619225700752)</f>
        <v>0.0757619225700752</v>
      </c>
      <c r="J47" s="20" t="n">
        <f aca="false">IFERROR(__xludf.DUMMYFUNCTION("""COMPUTED_VALUE"""),0.0757619225700752)</f>
        <v>0.0757619225700752</v>
      </c>
      <c r="K47" s="20" t="n">
        <f aca="false">IFERROR(__xludf.DUMMYFUNCTION("""COMPUTED_VALUE"""),0.0757619225700752)</f>
        <v>0.0757619225700752</v>
      </c>
      <c r="L47" s="20" t="n">
        <f aca="false">IFERROR(__xludf.DUMMYFUNCTION("""COMPUTED_VALUE"""),0.0757619225700752)</f>
        <v>0.0757619225700752</v>
      </c>
      <c r="M47" s="20" t="n">
        <f aca="false">IFERROR(__xludf.DUMMYFUNCTION("""COMPUTED_VALUE"""),0.0757619225700752)</f>
        <v>0.0757619225700752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IFERROR(__xludf.DUMMYFUNCTION("""COMPUTED_VALUE"""),32)</f>
        <v>32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IFERROR(__xludf.DUMMYFUNCTION("""COMPUTED_VALUE"""),0.0776096914243875)</f>
        <v>0.0776096914243875</v>
      </c>
      <c r="C48" s="20" t="n">
        <f aca="false">IFERROR(__xludf.DUMMYFUNCTION("""COMPUTED_VALUE"""),0.146293394331737)</f>
        <v>0.146293394331737</v>
      </c>
      <c r="D48" s="20" t="n">
        <f aca="false">IFERROR(__xludf.DUMMYFUNCTION("""COMPUTED_VALUE"""),0.0776096914243875)</f>
        <v>0.0776096914243875</v>
      </c>
      <c r="E48" s="20" t="n">
        <f aca="false">IFERROR(__xludf.DUMMYFUNCTION("""COMPUTED_VALUE"""),0.0776096914243875)</f>
        <v>0.0776096914243875</v>
      </c>
      <c r="F48" s="20" t="n">
        <f aca="false">IFERROR(__xludf.DUMMYFUNCTION("""COMPUTED_VALUE"""),0.0776096914243875)</f>
        <v>0.0776096914243875</v>
      </c>
      <c r="G48" s="20" t="n">
        <f aca="false">IFERROR(__xludf.DUMMYFUNCTION("""COMPUTED_VALUE"""),0.0776096914243875)</f>
        <v>0.0776096914243875</v>
      </c>
      <c r="H48" s="20" t="n">
        <f aca="false">IFERROR(__xludf.DUMMYFUNCTION("""COMPUTED_VALUE"""),0.0776096914243875)</f>
        <v>0.0776096914243875</v>
      </c>
      <c r="I48" s="20" t="n">
        <f aca="false">IFERROR(__xludf.DUMMYFUNCTION("""COMPUTED_VALUE"""),0.0776096914243875)</f>
        <v>0.0776096914243875</v>
      </c>
      <c r="J48" s="20" t="n">
        <f aca="false">IFERROR(__xludf.DUMMYFUNCTION("""COMPUTED_VALUE"""),0.0776096914243875)</f>
        <v>0.0776096914243875</v>
      </c>
      <c r="K48" s="20" t="n">
        <f aca="false">IFERROR(__xludf.DUMMYFUNCTION("""COMPUTED_VALUE"""),0.0776096914243875)</f>
        <v>0.0776096914243875</v>
      </c>
      <c r="L48" s="20" t="n">
        <f aca="false">IFERROR(__xludf.DUMMYFUNCTION("""COMPUTED_VALUE"""),0.0776096914243875)</f>
        <v>0.0776096914243875</v>
      </c>
      <c r="M48" s="20" t="n">
        <f aca="false">IFERROR(__xludf.DUMMYFUNCTION("""COMPUTED_VALUE"""),0.0776096914243875)</f>
        <v>0.0776096914243875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IFERROR(__xludf.DUMMYFUNCTION("""COMPUTED_VALUE"""),145)</f>
        <v>145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IFERROR(__xludf.DUMMYFUNCTION("""COMPUTED_VALUE"""),0.0824893752171108)</f>
        <v>0.0824893752171108</v>
      </c>
      <c r="C49" s="20" t="n">
        <f aca="false">IFERROR(__xludf.DUMMYFUNCTION("""COMPUTED_VALUE"""),0.0926168726117811)</f>
        <v>0.0926168726117811</v>
      </c>
      <c r="D49" s="20" t="n">
        <f aca="false">IFERROR(__xludf.DUMMYFUNCTION("""COMPUTED_VALUE"""),0.0824893752171108)</f>
        <v>0.0824893752171108</v>
      </c>
      <c r="E49" s="20" t="n">
        <f aca="false">IFERROR(__xludf.DUMMYFUNCTION("""COMPUTED_VALUE"""),0.0824893752171108)</f>
        <v>0.0824893752171108</v>
      </c>
      <c r="F49" s="20" t="n">
        <f aca="false">IFERROR(__xludf.DUMMYFUNCTION("""COMPUTED_VALUE"""),0.0824893752171108)</f>
        <v>0.0824893752171108</v>
      </c>
      <c r="G49" s="20" t="n">
        <f aca="false">IFERROR(__xludf.DUMMYFUNCTION("""COMPUTED_VALUE"""),0.0824893752171108)</f>
        <v>0.0824893752171108</v>
      </c>
      <c r="H49" s="20" t="n">
        <f aca="false">IFERROR(__xludf.DUMMYFUNCTION("""COMPUTED_VALUE"""),0.0824893752171108)</f>
        <v>0.0824893752171108</v>
      </c>
      <c r="I49" s="20" t="n">
        <f aca="false">IFERROR(__xludf.DUMMYFUNCTION("""COMPUTED_VALUE"""),0.0824893752171108)</f>
        <v>0.0824893752171108</v>
      </c>
      <c r="J49" s="20" t="n">
        <f aca="false">IFERROR(__xludf.DUMMYFUNCTION("""COMPUTED_VALUE"""),0.0824893752171108)</f>
        <v>0.0824893752171108</v>
      </c>
      <c r="K49" s="20" t="n">
        <f aca="false">IFERROR(__xludf.DUMMYFUNCTION("""COMPUTED_VALUE"""),0.0824893752171108)</f>
        <v>0.0824893752171108</v>
      </c>
      <c r="L49" s="20" t="n">
        <f aca="false">IFERROR(__xludf.DUMMYFUNCTION("""COMPUTED_VALUE"""),0.0824893752171108)</f>
        <v>0.0824893752171108</v>
      </c>
      <c r="M49" s="20" t="n">
        <f aca="false">IFERROR(__xludf.DUMMYFUNCTION("""COMPUTED_VALUE"""),0.0824893752171108)</f>
        <v>0.0824893752171108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IFERROR(__xludf.DUMMYFUNCTION("""COMPUTED_VALUE"""),35)</f>
        <v>35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IFERROR(__xludf.DUMMYFUNCTION("""COMPUTED_VALUE"""),3)</f>
        <v>3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IFERROR(__xludf.DUMMYFUNCTION("""COMPUTED_VALUE"""),0.081905278187681)</f>
        <v>0.081905278187681</v>
      </c>
      <c r="C52" s="20" t="n">
        <f aca="false">IFERROR(__xludf.DUMMYFUNCTION("""COMPUTED_VALUE"""),0.0990419399355086)</f>
        <v>0.0990419399355086</v>
      </c>
      <c r="D52" s="20" t="n">
        <f aca="false">IFERROR(__xludf.DUMMYFUNCTION("""COMPUTED_VALUE"""),0.081905278187681)</f>
        <v>0.081905278187681</v>
      </c>
      <c r="E52" s="20" t="n">
        <f aca="false">IFERROR(__xludf.DUMMYFUNCTION("""COMPUTED_VALUE"""),0.081905278187681)</f>
        <v>0.081905278187681</v>
      </c>
      <c r="F52" s="20" t="n">
        <f aca="false">IFERROR(__xludf.DUMMYFUNCTION("""COMPUTED_VALUE"""),0.081905278187681)</f>
        <v>0.081905278187681</v>
      </c>
      <c r="G52" s="20" t="n">
        <f aca="false">IFERROR(__xludf.DUMMYFUNCTION("""COMPUTED_VALUE"""),0.081905278187681)</f>
        <v>0.081905278187681</v>
      </c>
      <c r="H52" s="20" t="n">
        <f aca="false">IFERROR(__xludf.DUMMYFUNCTION("""COMPUTED_VALUE"""),0.081905278187681)</f>
        <v>0.081905278187681</v>
      </c>
      <c r="I52" s="20" t="n">
        <f aca="false">IFERROR(__xludf.DUMMYFUNCTION("""COMPUTED_VALUE"""),0.081905278187681)</f>
        <v>0.081905278187681</v>
      </c>
      <c r="J52" s="20" t="n">
        <f aca="false">IFERROR(__xludf.DUMMYFUNCTION("""COMPUTED_VALUE"""),0.081905278187681)</f>
        <v>0.081905278187681</v>
      </c>
      <c r="K52" s="20" t="n">
        <f aca="false">IFERROR(__xludf.DUMMYFUNCTION("""COMPUTED_VALUE"""),0.081905278187681)</f>
        <v>0.081905278187681</v>
      </c>
      <c r="L52" s="20" t="n">
        <f aca="false">IFERROR(__xludf.DUMMYFUNCTION("""COMPUTED_VALUE"""),0.081905278187681)</f>
        <v>0.081905278187681</v>
      </c>
      <c r="M52" s="20" t="n">
        <f aca="false">IFERROR(__xludf.DUMMYFUNCTION("""COMPUTED_VALUE"""),0.081905278187681)</f>
        <v>0.081905278187681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IFERROR(__xludf.DUMMYFUNCTION("""COMPUTED_VALUE"""),0.0819058949205491)</f>
        <v>0.0819058949205491</v>
      </c>
      <c r="C53" s="20" t="n">
        <f aca="false">IFERROR(__xludf.DUMMYFUNCTION("""COMPUTED_VALUE"""),0.0990351558739593)</f>
        <v>0.0990351558739593</v>
      </c>
      <c r="D53" s="20" t="n">
        <f aca="false">IFERROR(__xludf.DUMMYFUNCTION("""COMPUTED_VALUE"""),0.0819058949205491)</f>
        <v>0.0819058949205491</v>
      </c>
      <c r="E53" s="20" t="n">
        <f aca="false">IFERROR(__xludf.DUMMYFUNCTION("""COMPUTED_VALUE"""),0.0819058949205491)</f>
        <v>0.0819058949205491</v>
      </c>
      <c r="F53" s="20" t="n">
        <f aca="false">IFERROR(__xludf.DUMMYFUNCTION("""COMPUTED_VALUE"""),0.0819058949205491)</f>
        <v>0.0819058949205491</v>
      </c>
      <c r="G53" s="20" t="n">
        <f aca="false">IFERROR(__xludf.DUMMYFUNCTION("""COMPUTED_VALUE"""),0.0819058949205491)</f>
        <v>0.0819058949205491</v>
      </c>
      <c r="H53" s="20" t="n">
        <f aca="false">IFERROR(__xludf.DUMMYFUNCTION("""COMPUTED_VALUE"""),0.0819058949205491)</f>
        <v>0.0819058949205491</v>
      </c>
      <c r="I53" s="20" t="n">
        <f aca="false">IFERROR(__xludf.DUMMYFUNCTION("""COMPUTED_VALUE"""),0.0819058949205491)</f>
        <v>0.0819058949205491</v>
      </c>
      <c r="J53" s="20" t="n">
        <f aca="false">IFERROR(__xludf.DUMMYFUNCTION("""COMPUTED_VALUE"""),0.0819058949205491)</f>
        <v>0.0819058949205491</v>
      </c>
      <c r="K53" s="20" t="n">
        <f aca="false">IFERROR(__xludf.DUMMYFUNCTION("""COMPUTED_VALUE"""),0.0819058949205491)</f>
        <v>0.0819058949205491</v>
      </c>
      <c r="L53" s="20" t="n">
        <f aca="false">IFERROR(__xludf.DUMMYFUNCTION("""COMPUTED_VALUE"""),0.0819058949205491)</f>
        <v>0.0819058949205491</v>
      </c>
      <c r="M53" s="20" t="n">
        <f aca="false">IFERROR(__xludf.DUMMYFUNCTION("""COMPUTED_VALUE"""),0.0819058949205491)</f>
        <v>0.0819058949205491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IFERROR(__xludf.DUMMYFUNCTION("""COMPUTED_VALUE"""),11)</f>
        <v>11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IFERROR(__xludf.DUMMYFUNCTION("""COMPUTED_VALUE"""),0.0819063723187725)</f>
        <v>0.0819063723187725</v>
      </c>
      <c r="C54" s="20" t="n">
        <f aca="false">IFERROR(__xludf.DUMMYFUNCTION("""COMPUTED_VALUE"""),0.0990299044935024)</f>
        <v>0.0990299044935024</v>
      </c>
      <c r="D54" s="20" t="n">
        <f aca="false">IFERROR(__xludf.DUMMYFUNCTION("""COMPUTED_VALUE"""),0.0819063723187725)</f>
        <v>0.0819063723187725</v>
      </c>
      <c r="E54" s="20" t="n">
        <f aca="false">IFERROR(__xludf.DUMMYFUNCTION("""COMPUTED_VALUE"""),0.0819063723187725)</f>
        <v>0.0819063723187725</v>
      </c>
      <c r="F54" s="20" t="n">
        <f aca="false">IFERROR(__xludf.DUMMYFUNCTION("""COMPUTED_VALUE"""),0.0819063723187725)</f>
        <v>0.0819063723187725</v>
      </c>
      <c r="G54" s="20" t="n">
        <f aca="false">IFERROR(__xludf.DUMMYFUNCTION("""COMPUTED_VALUE"""),0.0819063723187725)</f>
        <v>0.0819063723187725</v>
      </c>
      <c r="H54" s="20" t="n">
        <f aca="false">IFERROR(__xludf.DUMMYFUNCTION("""COMPUTED_VALUE"""),0.0819063723187725)</f>
        <v>0.0819063723187725</v>
      </c>
      <c r="I54" s="20" t="n">
        <f aca="false">IFERROR(__xludf.DUMMYFUNCTION("""COMPUTED_VALUE"""),0.0819063723187725)</f>
        <v>0.0819063723187725</v>
      </c>
      <c r="J54" s="20" t="n">
        <f aca="false">IFERROR(__xludf.DUMMYFUNCTION("""COMPUTED_VALUE"""),0.0819063723187725)</f>
        <v>0.0819063723187725</v>
      </c>
      <c r="K54" s="20" t="n">
        <f aca="false">IFERROR(__xludf.DUMMYFUNCTION("""COMPUTED_VALUE"""),0.0819063723187725)</f>
        <v>0.0819063723187725</v>
      </c>
      <c r="L54" s="20" t="n">
        <f aca="false">IFERROR(__xludf.DUMMYFUNCTION("""COMPUTED_VALUE"""),0.0819063723187725)</f>
        <v>0.0819063723187725</v>
      </c>
      <c r="M54" s="20" t="n">
        <f aca="false">IFERROR(__xludf.DUMMYFUNCTION("""COMPUTED_VALUE"""),0.0819063723187725)</f>
        <v>0.0819063723187725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IFERROR(__xludf.DUMMYFUNCTION("""COMPUTED_VALUE"""),3)</f>
        <v>3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IFERROR(__xludf.DUMMYFUNCTION("""COMPUTED_VALUE"""),0.0819063113844052)</f>
        <v>0.0819063113844052</v>
      </c>
      <c r="C55" s="20" t="n">
        <f aca="false">IFERROR(__xludf.DUMMYFUNCTION("""COMPUTED_VALUE"""),0.0990305747715433)</f>
        <v>0.0990305747715433</v>
      </c>
      <c r="D55" s="20" t="n">
        <f aca="false">IFERROR(__xludf.DUMMYFUNCTION("""COMPUTED_VALUE"""),0.0819063113844052)</f>
        <v>0.0819063113844052</v>
      </c>
      <c r="E55" s="20" t="n">
        <f aca="false">IFERROR(__xludf.DUMMYFUNCTION("""COMPUTED_VALUE"""),0.0819063113844052)</f>
        <v>0.0819063113844052</v>
      </c>
      <c r="F55" s="20" t="n">
        <f aca="false">IFERROR(__xludf.DUMMYFUNCTION("""COMPUTED_VALUE"""),0.0819063113844052)</f>
        <v>0.0819063113844052</v>
      </c>
      <c r="G55" s="20" t="n">
        <f aca="false">IFERROR(__xludf.DUMMYFUNCTION("""COMPUTED_VALUE"""),0.0819063113844052)</f>
        <v>0.0819063113844052</v>
      </c>
      <c r="H55" s="20" t="n">
        <f aca="false">IFERROR(__xludf.DUMMYFUNCTION("""COMPUTED_VALUE"""),0.0819063113844052)</f>
        <v>0.0819063113844052</v>
      </c>
      <c r="I55" s="20" t="n">
        <f aca="false">IFERROR(__xludf.DUMMYFUNCTION("""COMPUTED_VALUE"""),0.0819063113844052)</f>
        <v>0.0819063113844052</v>
      </c>
      <c r="J55" s="20" t="n">
        <f aca="false">IFERROR(__xludf.DUMMYFUNCTION("""COMPUTED_VALUE"""),0.0819063113844052)</f>
        <v>0.0819063113844052</v>
      </c>
      <c r="K55" s="20" t="n">
        <f aca="false">IFERROR(__xludf.DUMMYFUNCTION("""COMPUTED_VALUE"""),0.0819063113844052)</f>
        <v>0.0819063113844052</v>
      </c>
      <c r="L55" s="20" t="n">
        <f aca="false">IFERROR(__xludf.DUMMYFUNCTION("""COMPUTED_VALUE"""),0.0819063113844052)</f>
        <v>0.0819063113844052</v>
      </c>
      <c r="M55" s="20" t="n">
        <f aca="false">IFERROR(__xludf.DUMMYFUNCTION("""COMPUTED_VALUE"""),0.0819063113844052)</f>
        <v>0.0819063113844052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IFERROR(__xludf.DUMMYFUNCTION("""COMPUTED_VALUE"""),0.0399853669657492)</f>
        <v>0.0399853669657492</v>
      </c>
      <c r="C56" s="20" t="n">
        <f aca="false">IFERROR(__xludf.DUMMYFUNCTION("""COMPUTED_VALUE"""),0.111858494843661)</f>
        <v>0.111858494843661</v>
      </c>
      <c r="D56" s="20" t="n">
        <f aca="false">IFERROR(__xludf.DUMMYFUNCTION("""COMPUTED_VALUE"""),0.0898581204576652)</f>
        <v>0.0898581204576652</v>
      </c>
      <c r="E56" s="20" t="n">
        <f aca="false">IFERROR(__xludf.DUMMYFUNCTION("""COMPUTED_VALUE"""),0.0902438258482885)</f>
        <v>0.0902438258482885</v>
      </c>
      <c r="F56" s="20" t="n">
        <f aca="false">IFERROR(__xludf.DUMMYFUNCTION("""COMPUTED_VALUE"""),0.0902639607404363)</f>
        <v>0.0902639607404363</v>
      </c>
      <c r="G56" s="20" t="n">
        <f aca="false">IFERROR(__xludf.DUMMYFUNCTION("""COMPUTED_VALUE"""),0.0900805935578995)</f>
        <v>0.0900805935578995</v>
      </c>
      <c r="H56" s="20" t="n">
        <f aca="false">IFERROR(__xludf.DUMMYFUNCTION("""COMPUTED_VALUE"""),0.0906573476506073)</f>
        <v>0.0906573476506073</v>
      </c>
      <c r="I56" s="20" t="n">
        <f aca="false">IFERROR(__xludf.DUMMYFUNCTION("""COMPUTED_VALUE"""),0.0902232836028314)</f>
        <v>0.0902232836028314</v>
      </c>
      <c r="J56" s="20" t="n">
        <f aca="false">IFERROR(__xludf.DUMMYFUNCTION("""COMPUTED_VALUE"""),0.0902909624455131)</f>
        <v>0.0902909624455131</v>
      </c>
      <c r="K56" s="20" t="n">
        <f aca="false">IFERROR(__xludf.DUMMYFUNCTION("""COMPUTED_VALUE"""),0.0900672090920209)</f>
        <v>0.0900672090920209</v>
      </c>
      <c r="L56" s="20" t="n">
        <f aca="false">IFERROR(__xludf.DUMMYFUNCTION("""COMPUTED_VALUE"""),0.0891036439354216)</f>
        <v>0.0891036439354216</v>
      </c>
      <c r="M56" s="20" t="n">
        <f aca="false">IFERROR(__xludf.DUMMYFUNCTION("""COMPUTED_VALUE"""),0.0373671908599057)</f>
        <v>0.0373671908599057</v>
      </c>
      <c r="N56" s="7" t="n">
        <f aca="false">SUM(N39:N55)</f>
        <v>107197.372813695</v>
      </c>
      <c r="P56" s="7" t="n">
        <f aca="false">SUM(P39:P55)</f>
        <v>1004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IFERROR(__xludf.DUMMYFUNCTION("IMPORTRANGE(Links!$B$5,""sobrestock_sustitutos!B18:H18"")"),25)</f>
        <v>25</v>
      </c>
      <c r="R57" s="22" t="n">
        <f aca="false">IFERROR(__xludf.DUMMYFUNCTION("""COMPUTED_VALUE"""),14)</f>
        <v>14</v>
      </c>
      <c r="S57" s="22" t="n">
        <f aca="false">IFERROR(__xludf.DUMMYFUNCTION("""COMPUTED_VALUE"""),18)</f>
        <v>18</v>
      </c>
      <c r="T57" s="22" t="n">
        <f aca="false">IFERROR(__xludf.DUMMYFUNCTION("""COMPUTED_VALUE"""),20)</f>
        <v>20</v>
      </c>
      <c r="U57" s="22" t="n">
        <f aca="false">IFERROR(__xludf.DUMMYFUNCTION("""COMPUTED_VALUE"""),45)</f>
        <v>45</v>
      </c>
      <c r="V57" s="22" t="n">
        <f aca="false">IFERROR(__xludf.DUMMYFUNCTION("""COMPUTED_VALUE"""),35)</f>
        <v>35</v>
      </c>
      <c r="W57" s="22" t="n">
        <f aca="false">IFERROR(__xludf.DUMMYFUNCTION("""COMPUTED_VALUE"""),16)</f>
        <v>16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IFERROR(__xludf.DUMMYFUNCTION("IMPORTRANGE(Links!$B$5,""parametros_recargas!E35:P41"")"),0.00735238492719494)</f>
        <v>0.00735238492719494</v>
      </c>
      <c r="C62" s="20" t="n">
        <f aca="false">IFERROR(__xludf.DUMMYFUNCTION("""COMPUTED_VALUE"""),0.0981059093482913)</f>
        <v>0.0981059093482913</v>
      </c>
      <c r="D62" s="20" t="n">
        <f aca="false">IFERROR(__xludf.DUMMYFUNCTION("""COMPUTED_VALUE"""),0.0986889802872471)</f>
        <v>0.0986889802872471</v>
      </c>
      <c r="E62" s="20" t="n">
        <f aca="false">IFERROR(__xludf.DUMMYFUNCTION("""COMPUTED_VALUE"""),0.0993953583138234)</f>
        <v>0.0993953583138234</v>
      </c>
      <c r="F62" s="20" t="n">
        <f aca="false">IFERROR(__xludf.DUMMYFUNCTION("""COMPUTED_VALUE"""),0.0994322332077878)</f>
        <v>0.0994322332077878</v>
      </c>
      <c r="G62" s="20" t="n">
        <f aca="false">IFERROR(__xludf.DUMMYFUNCTION("""COMPUTED_VALUE"""),0.0990964158931013)</f>
        <v>0.0990964158931013</v>
      </c>
      <c r="H62" s="20" t="n">
        <f aca="false">IFERROR(__xludf.DUMMYFUNCTION("""COMPUTED_VALUE"""),0.100152679112986)</f>
        <v>0.100152679112986</v>
      </c>
      <c r="I62" s="20" t="n">
        <f aca="false">IFERROR(__xludf.DUMMYFUNCTION("""COMPUTED_VALUE"""),0.0993577373959928)</f>
        <v>0.0993577373959928</v>
      </c>
      <c r="J62" s="20" t="n">
        <f aca="false">IFERROR(__xludf.DUMMYFUNCTION("""COMPUTED_VALUE"""),0.0994816839326416)</f>
        <v>0.0994816839326416</v>
      </c>
      <c r="K62" s="20" t="n">
        <f aca="false">IFERROR(__xludf.DUMMYFUNCTION("""COMPUTED_VALUE"""),0.0990719036803504)</f>
        <v>0.0990719036803504</v>
      </c>
      <c r="L62" s="20" t="n">
        <f aca="false">IFERROR(__xludf.DUMMYFUNCTION("""COMPUTED_VALUE"""),0.0973072375119662)</f>
        <v>0.0973072375119662</v>
      </c>
      <c r="M62" s="20" t="n">
        <f aca="false">IFERROR(__xludf.DUMMYFUNCTION("""COMPUTED_VALUE"""),0.00255747638861682)</f>
        <v>0.00255747638861682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IFERROR(__xludf.DUMMYFUNCTION("""COMPUTED_VALUE"""),0.0265)</f>
        <v>0.0265</v>
      </c>
      <c r="C64" s="20" t="n">
        <f aca="false">IFERROR(__xludf.DUMMYFUNCTION("""COMPUTED_VALUE"""),0.7085)</f>
        <v>0.7085</v>
      </c>
      <c r="D64" s="20" t="n">
        <f aca="false">IFERROR(__xludf.DUMMYFUNCTION("""COMPUTED_VALUE"""),0.0265)</f>
        <v>0.0265</v>
      </c>
      <c r="E64" s="20" t="n">
        <f aca="false">IFERROR(__xludf.DUMMYFUNCTION("""COMPUTED_VALUE"""),0.0265)</f>
        <v>0.0265</v>
      </c>
      <c r="F64" s="20" t="n">
        <f aca="false">IFERROR(__xludf.DUMMYFUNCTION("""COMPUTED_VALUE"""),0.0265)</f>
        <v>0.0265</v>
      </c>
      <c r="G64" s="20" t="n">
        <f aca="false">IFERROR(__xludf.DUMMYFUNCTION("""COMPUTED_VALUE"""),0.0265)</f>
        <v>0.0265</v>
      </c>
      <c r="H64" s="20" t="n">
        <f aca="false">IFERROR(__xludf.DUMMYFUNCTION("""COMPUTED_VALUE"""),0.0265)</f>
        <v>0.0265</v>
      </c>
      <c r="I64" s="20" t="n">
        <f aca="false">IFERROR(__xludf.DUMMYFUNCTION("""COMPUTED_VALUE"""),0.0265)</f>
        <v>0.0265</v>
      </c>
      <c r="J64" s="20" t="n">
        <f aca="false">IFERROR(__xludf.DUMMYFUNCTION("""COMPUTED_VALUE"""),0.0265)</f>
        <v>0.0265</v>
      </c>
      <c r="K64" s="20" t="n">
        <f aca="false">IFERROR(__xludf.DUMMYFUNCTION("""COMPUTED_VALUE"""),0.0265)</f>
        <v>0.0265</v>
      </c>
      <c r="L64" s="20" t="n">
        <f aca="false">IFERROR(__xludf.DUMMYFUNCTION("""COMPUTED_VALUE"""),0.0265)</f>
        <v>0.0265</v>
      </c>
      <c r="M64" s="20" t="n">
        <f aca="false">IFERROR(__xludf.DUMMYFUNCTION("""COMPUTED_VALUE"""),0.0265)</f>
        <v>0.0265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true" outlineLevel="0" collapsed="false">
      <c r="A4" s="6" t="s">
        <v>134</v>
      </c>
      <c r="B4" s="6" t="s">
        <v>13</v>
      </c>
      <c r="C4" s="6" t="s">
        <v>14</v>
      </c>
      <c r="D4" s="6" t="s">
        <v>135</v>
      </c>
      <c r="E4" s="6"/>
      <c r="F4" s="6"/>
      <c r="G4" s="6"/>
      <c r="H4" s="6"/>
      <c r="I4" s="6"/>
      <c r="J4" s="6"/>
      <c r="K4" s="6"/>
      <c r="L4" s="6"/>
      <c r="M4" s="6"/>
    </row>
    <row r="5" customFormat="false" ht="15" hidden="false" customHeight="true" outlineLevel="0" collapsed="false">
      <c r="A5" s="5" t="s">
        <v>136</v>
      </c>
      <c r="B5" s="24" t="n">
        <f aca="false">MATCH(MAX(Importados!$B$22:$M$22),Importados!$B$22:$M$22,0)</f>
        <v>2</v>
      </c>
      <c r="C5" s="24" t="n">
        <f aca="false">MATCH(MAX(Importados!$B$56:$M$56),Importados!$B$56:$M$56,0)</f>
        <v>2</v>
      </c>
      <c r="D5" s="5" t="s">
        <v>137</v>
      </c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A6" s="4" t="s">
        <v>18</v>
      </c>
      <c r="B6" s="25" t="str">
        <f aca="false">INDEX(Importados!$B$4:$M$4,B5)</f>
        <v>Feb</v>
      </c>
      <c r="C6" s="25" t="str">
        <f aca="false">INDEX(Importados!$B$38:$M$38,C5)</f>
        <v>Feb</v>
      </c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false" outlineLevel="0" collapsed="false">
      <c r="A7" s="5" t="s">
        <v>138</v>
      </c>
      <c r="B7" s="26" t="n">
        <f aca="false">INDEX(Importados!$B$22:$M$22,B5)</f>
        <v>0.108520970470319</v>
      </c>
      <c r="C7" s="26" t="n">
        <f aca="false">INDEX(Importados!$B$56:$M$56,C5)</f>
        <v>0.111858494843661</v>
      </c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  <c r="D8" s="5" t="s">
        <v>139</v>
      </c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  <c r="D9" s="5" t="s">
        <v>139</v>
      </c>
      <c r="E9" s="5"/>
      <c r="F9" s="5"/>
      <c r="G9" s="5"/>
      <c r="H9" s="5"/>
      <c r="I9" s="5"/>
      <c r="J9" s="5"/>
      <c r="K9" s="5"/>
      <c r="L9" s="5"/>
      <c r="M9" s="5"/>
    </row>
    <row r="11" customFormat="false" ht="23.85" hidden="false" customHeight="true" outlineLevel="0" collapsed="false">
      <c r="A11" s="6" t="s">
        <v>140</v>
      </c>
      <c r="B11" s="6" t="s">
        <v>141</v>
      </c>
      <c r="C11" s="6" t="s">
        <v>142</v>
      </c>
      <c r="D11" s="6" t="s">
        <v>143</v>
      </c>
      <c r="E11" s="6" t="s">
        <v>144</v>
      </c>
      <c r="F11" s="6" t="s">
        <v>13</v>
      </c>
      <c r="G11" s="6"/>
      <c r="H11" s="6"/>
      <c r="I11" s="6" t="s">
        <v>14</v>
      </c>
      <c r="J11" s="6"/>
      <c r="K11" s="6"/>
      <c r="L11" s="6"/>
      <c r="M11" s="6" t="s">
        <v>145</v>
      </c>
    </row>
    <row r="12" customFormat="false" ht="23.85" hidden="false" customHeight="false" outlineLevel="0" collapsed="false">
      <c r="A12" s="6" t="s">
        <v>146</v>
      </c>
      <c r="B12" s="6"/>
      <c r="C12" s="6"/>
      <c r="D12" s="6"/>
      <c r="E12" s="6"/>
      <c r="F12" s="6" t="s">
        <v>147</v>
      </c>
      <c r="G12" s="6" t="s">
        <v>148</v>
      </c>
      <c r="H12" s="6" t="s">
        <v>149</v>
      </c>
      <c r="I12" s="6" t="s">
        <v>147</v>
      </c>
      <c r="J12" s="6" t="s">
        <v>148</v>
      </c>
      <c r="K12" s="6" t="s">
        <v>149</v>
      </c>
      <c r="L12" s="6"/>
      <c r="M12" s="6"/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150</v>
      </c>
      <c r="E13" s="22" t="n">
        <v>0</v>
      </c>
      <c r="F13" s="29" t="n">
        <f aca="false">Importados!$N$5*INDEX(Importados!$B$5:$M$5,$B$5)/$B$8</f>
        <v>533.758783253965</v>
      </c>
      <c r="G13" s="29" t="n">
        <f aca="false">F13*Importados!$O$5</f>
        <v>0</v>
      </c>
      <c r="H13" s="23" t="n">
        <f aca="false">F13/$C13</f>
        <v>7.41331643408285</v>
      </c>
      <c r="I13" s="29" t="n">
        <f aca="false">Importados!$N$39*INDEX(Importados!$B$39:$M$39,$C$5)/$C$8</f>
        <v>277.455740084688</v>
      </c>
      <c r="J13" s="29" t="n">
        <f aca="false">I13*Importados!$O$39</f>
        <v>0</v>
      </c>
      <c r="K13" s="23" t="n">
        <f aca="false">I13/$C13</f>
        <v>3.85355194562067</v>
      </c>
      <c r="M13" s="5" t="s">
        <v>151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152</v>
      </c>
      <c r="E14" s="22" t="n">
        <v>0</v>
      </c>
      <c r="F14" s="29" t="n">
        <f aca="false">Importados!$N$6*INDEX(Importados!$B$6:$M$6,$B$5)/$B$8</f>
        <v>61.9030955190453</v>
      </c>
      <c r="G14" s="29" t="n">
        <f aca="false">F14*Importados!$O$6</f>
        <v>61.9030955190453</v>
      </c>
      <c r="H14" s="23" t="n">
        <f aca="false">F14/$C14</f>
        <v>2.06343651730151</v>
      </c>
      <c r="I14" s="29" t="n">
        <f aca="false">Importados!$N$40*INDEX(Importados!$B$40:$M$40,$C$5)/$C$8</f>
        <v>34.2027821755785</v>
      </c>
      <c r="J14" s="29" t="n">
        <f aca="false">I14*Importados!$O$40</f>
        <v>34.2027821755785</v>
      </c>
      <c r="K14" s="23" t="n">
        <f aca="false">I14/$C14</f>
        <v>1.14009273918595</v>
      </c>
      <c r="M14" s="5" t="s">
        <v>151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152</v>
      </c>
      <c r="E15" s="22" t="n">
        <v>0</v>
      </c>
      <c r="F15" s="29" t="n">
        <f aca="false">Importados!$N$7*INDEX(Importados!$B$7:$M$7,$B$5)/$B$8</f>
        <v>326.226563536772</v>
      </c>
      <c r="G15" s="29" t="n">
        <f aca="false">F15*Importados!$O$7</f>
        <v>326.226563536772</v>
      </c>
      <c r="H15" s="23" t="n">
        <f aca="false">F15/$C15</f>
        <v>13.5927734806988</v>
      </c>
      <c r="I15" s="29" t="n">
        <f aca="false">Importados!$N$41*INDEX(Importados!$B$41:$M$41,$C$5)/$C$8</f>
        <v>179.420945412987</v>
      </c>
      <c r="J15" s="29" t="n">
        <f aca="false">I15*Importados!$O$41</f>
        <v>179.420945412987</v>
      </c>
      <c r="K15" s="23" t="n">
        <f aca="false">I15/$C15</f>
        <v>7.47587272554111</v>
      </c>
      <c r="M15" s="5" t="s">
        <v>151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152</v>
      </c>
      <c r="E16" s="22" t="n">
        <v>0</v>
      </c>
      <c r="F16" s="29" t="n">
        <f aca="false">Importados!$N$8*INDEX(Importados!$B$8:$M$8,$B$5)/$B$8</f>
        <v>23.8129242382162</v>
      </c>
      <c r="G16" s="29" t="n">
        <f aca="false">F16*Importados!$O$8</f>
        <v>23.8129242382162</v>
      </c>
      <c r="H16" s="23" t="n">
        <f aca="false">F16/$C16</f>
        <v>1.48830776488851</v>
      </c>
      <c r="I16" s="29" t="n">
        <f aca="false">Importados!$N$42*INDEX(Importados!$B$42:$M$42,$C$5)/$C$8</f>
        <v>13.1581103117659</v>
      </c>
      <c r="J16" s="29" t="n">
        <f aca="false">I16*Importados!$O$42</f>
        <v>13.1581103117659</v>
      </c>
      <c r="K16" s="23" t="n">
        <f aca="false">I16/$C16</f>
        <v>0.822381894485371</v>
      </c>
      <c r="M16" s="5" t="s">
        <v>151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152</v>
      </c>
      <c r="E17" s="22" t="n">
        <v>0</v>
      </c>
      <c r="F17" s="29" t="n">
        <f aca="false">Importados!$N$9*INDEX(Importados!$B$9:$M$9,$B$5)/$B$8</f>
        <v>27.9194395973236</v>
      </c>
      <c r="G17" s="29" t="n">
        <f aca="false">F17*Importados!$O$9</f>
        <v>27.9194395973236</v>
      </c>
      <c r="H17" s="23" t="n">
        <f aca="false">F17/$C17</f>
        <v>1.74496497483273</v>
      </c>
      <c r="I17" s="29" t="n">
        <f aca="false">Importados!$N$43*INDEX(Importados!$B$43:$M$43,$C$5)/$C$8</f>
        <v>15.4860825908144</v>
      </c>
      <c r="J17" s="29" t="n">
        <f aca="false">I17*Importados!$O$43</f>
        <v>15.4860825908144</v>
      </c>
      <c r="K17" s="23" t="n">
        <f aca="false">I17/$C17</f>
        <v>0.967880161925902</v>
      </c>
      <c r="M17" s="5" t="s">
        <v>151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152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151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153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151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152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151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20</v>
      </c>
      <c r="D21" s="12" t="s">
        <v>152</v>
      </c>
      <c r="E21" s="22" t="n">
        <v>0</v>
      </c>
      <c r="F21" s="29" t="n">
        <f aca="false">Importados!$N$13*INDEX(Importados!$B$13:$M$13,$B$5)/$B$8</f>
        <v>17.8757728248945</v>
      </c>
      <c r="G21" s="29" t="n">
        <f aca="false">F21*Importados!$O$13</f>
        <v>17.8757728248945</v>
      </c>
      <c r="H21" s="23" t="n">
        <f aca="false">F21/$C21</f>
        <v>0.893788641244724</v>
      </c>
      <c r="I21" s="29" t="n">
        <f aca="false">Importados!$N$47*INDEX(Importados!$B$47:$M$47,$C$5)/$C$8</f>
        <v>10.0074849817126</v>
      </c>
      <c r="J21" s="29" t="n">
        <f aca="false">I21*Importados!$O$47</f>
        <v>10.0074849817126</v>
      </c>
      <c r="K21" s="23" t="n">
        <f aca="false">I21/$C21</f>
        <v>0.500374249085631</v>
      </c>
      <c r="M21" s="5" t="s">
        <v>151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152</v>
      </c>
      <c r="E22" s="22" t="n">
        <v>0</v>
      </c>
      <c r="F22" s="29" t="n">
        <f aca="false">Importados!$N$14*INDEX(Importados!$B$14:$M$14,$B$5)/$B$8</f>
        <v>86.2388099115904</v>
      </c>
      <c r="G22" s="29" t="n">
        <f aca="false">F22*Importados!$O$14</f>
        <v>86.2388099115904</v>
      </c>
      <c r="H22" s="23" t="n">
        <f aca="false">F22/$C22</f>
        <v>2.87462699705301</v>
      </c>
      <c r="I22" s="29" t="n">
        <f aca="false">Importados!$N$48*INDEX(Importados!$B$48:$M$48,$C$5)/$C$8</f>
        <v>47.9323966696994</v>
      </c>
      <c r="J22" s="29" t="n">
        <f aca="false">I22*Importados!$O$48</f>
        <v>47.9323966696994</v>
      </c>
      <c r="K22" s="23" t="n">
        <f aca="false">I22/$C22</f>
        <v>1.59774655565665</v>
      </c>
      <c r="M22" s="5" t="s">
        <v>151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20</v>
      </c>
      <c r="D23" s="12" t="s">
        <v>152</v>
      </c>
      <c r="E23" s="22" t="n">
        <v>0</v>
      </c>
      <c r="F23" s="29" t="n">
        <f aca="false">Importados!$N$15*INDEX(Importados!$B$15:$M$15,$B$5)/$B$8</f>
        <v>19.5382324483628</v>
      </c>
      <c r="G23" s="29" t="n">
        <f aca="false">F23*Importados!$O$15</f>
        <v>19.5382324483628</v>
      </c>
      <c r="H23" s="23" t="n">
        <f aca="false">F23/$C23</f>
        <v>0.97691162241814</v>
      </c>
      <c r="I23" s="29" t="n">
        <f aca="false">Importados!$N$49*INDEX(Importados!$B$49:$M$49,$C$5)/$C$8</f>
        <v>10.3706620604402</v>
      </c>
      <c r="J23" s="29" t="n">
        <f aca="false">I23*Importados!$O$49</f>
        <v>10.3706620604402</v>
      </c>
      <c r="K23" s="23" t="n">
        <f aca="false">I23/$C23</f>
        <v>0.518533103022009</v>
      </c>
      <c r="M23" s="5" t="s">
        <v>151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152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151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152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151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3</v>
      </c>
      <c r="D26" s="12" t="s">
        <v>153</v>
      </c>
      <c r="E26" s="22" t="n">
        <v>1</v>
      </c>
      <c r="F26" s="29" t="n">
        <f aca="false">Importados!$N$18*INDEX(Importados!$B$18:$M$18,$B$5)/$B$8</f>
        <v>2.75918021986926</v>
      </c>
      <c r="G26" s="29" t="n">
        <f aca="false">F26*Importados!$O$18</f>
        <v>2.75918021986926</v>
      </c>
      <c r="H26" s="23" t="n">
        <f aca="false">F26/$C26</f>
        <v>0.91972673995642</v>
      </c>
      <c r="I26" s="29" t="n">
        <f aca="false">Importados!$N$52*INDEX(Importados!$B$52:$M$52,$C$5)/$C$8</f>
        <v>1.48723882097821</v>
      </c>
      <c r="J26" s="29" t="n">
        <f aca="false">I26*Importados!$O$52</f>
        <v>1.48723882097821</v>
      </c>
      <c r="K26" s="23" t="n">
        <f aca="false">I26/$C26</f>
        <v>0.495746273659402</v>
      </c>
      <c r="M26" s="5" t="s">
        <v>154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153</v>
      </c>
      <c r="E27" s="22" t="n">
        <v>1</v>
      </c>
      <c r="F27" s="29" t="n">
        <f aca="false">Importados!$N$19*INDEX(Importados!$B$19:$M$19,$B$5)/$B$8</f>
        <v>6.07030174969413</v>
      </c>
      <c r="G27" s="29" t="n">
        <f aca="false">F27*Importados!$O$19</f>
        <v>6.07030174969413</v>
      </c>
      <c r="H27" s="23" t="n">
        <f aca="false">F27/$C27</f>
        <v>3.03515087484707</v>
      </c>
      <c r="I27" s="29" t="n">
        <f aca="false">Importados!$N$53*INDEX(Importados!$B$53:$M$53,$C$5)/$C$8</f>
        <v>3.27170128754878</v>
      </c>
      <c r="J27" s="29" t="n">
        <f aca="false">I27*Importados!$O$53</f>
        <v>3.27170128754878</v>
      </c>
      <c r="K27" s="23" t="n">
        <f aca="false">I27/$C27</f>
        <v>1.63585064377439</v>
      </c>
      <c r="M27" s="5" t="s">
        <v>154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153</v>
      </c>
      <c r="E28" s="22" t="n">
        <v>1</v>
      </c>
      <c r="F28" s="29" t="n">
        <f aca="false">Importados!$N$20*INDEX(Importados!$B$20:$M$20,$B$5)/$B$8</f>
        <v>1.32437866294963</v>
      </c>
      <c r="G28" s="29" t="n">
        <f aca="false">F28*Importados!$O$20</f>
        <v>1.32437866294963</v>
      </c>
      <c r="H28" s="23" t="n">
        <f aca="false">F28/$C28</f>
        <v>0.662189331474814</v>
      </c>
      <c r="I28" s="29" t="n">
        <f aca="false">Importados!$N$54*INDEX(Importados!$B$54:$M$54,$C$5)/$C$8</f>
        <v>0.713787885050795</v>
      </c>
      <c r="J28" s="29" t="n">
        <f aca="false">I28*Importados!$O$54</f>
        <v>0.713787885050795</v>
      </c>
      <c r="K28" s="23" t="n">
        <f aca="false">I28/$C28</f>
        <v>0.356893942525397</v>
      </c>
      <c r="M28" s="5" t="s">
        <v>154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153</v>
      </c>
      <c r="E29" s="22" t="n">
        <v>1</v>
      </c>
      <c r="F29" s="29" t="n">
        <f aca="false">Importados!$N$21*INDEX(Importados!$B$21:$M$21,$B$5)/$B$8</f>
        <v>0.883036837969182</v>
      </c>
      <c r="G29" s="29" t="n">
        <f aca="false">F29*Importados!$O$21</f>
        <v>0.883036837969182</v>
      </c>
      <c r="H29" s="23" t="n">
        <f aca="false">F29/$C29</f>
        <v>0.883036837969182</v>
      </c>
      <c r="I29" s="29" t="n">
        <f aca="false">Importados!$N$55*INDEX(Importados!$B$55:$M$55,$C$5)/$C$8</f>
        <v>0.475861809903061</v>
      </c>
      <c r="J29" s="29" t="n">
        <f aca="false">I29*Importados!$O$55</f>
        <v>0.475861809903061</v>
      </c>
      <c r="K29" s="23" t="n">
        <f aca="false">I29/$C29</f>
        <v>0.475861809903061</v>
      </c>
      <c r="M29" s="5" t="s">
        <v>154</v>
      </c>
    </row>
    <row r="30" customFormat="false" ht="15" hidden="false" customHeight="false" outlineLevel="0" collapsed="false">
      <c r="A30" s="4" t="s">
        <v>155</v>
      </c>
      <c r="F30" s="30" t="n">
        <f aca="false">SUM(F13:F29)</f>
        <v>1119.01482761851</v>
      </c>
      <c r="G30" s="30" t="n">
        <f aca="false">SUM(G13:G29)</f>
        <v>585.256044364544</v>
      </c>
      <c r="H30" s="30" t="n">
        <f aca="false">SUM(H13:H29)</f>
        <v>37.9781712559777</v>
      </c>
      <c r="I30" s="30" t="n">
        <f aca="false">SUM(I13:I29)</f>
        <v>599.546838706733</v>
      </c>
      <c r="J30" s="30" t="n">
        <f aca="false">SUM(J13:J29)</f>
        <v>322.091098622045</v>
      </c>
      <c r="K30" s="30" t="n">
        <f aca="false">SUM(K13:K29)</f>
        <v>20.58406203494</v>
      </c>
    </row>
    <row r="31" customFormat="false" ht="15" hidden="false" customHeight="false" outlineLevel="0" collapsed="false">
      <c r="A31" s="4" t="s">
        <v>156</v>
      </c>
      <c r="F31" s="11" t="n">
        <f aca="false">SUMPRODUCT(F13:F29,$B$13:$B$29)/F30</f>
        <v>6.65882736300077</v>
      </c>
      <c r="I31" s="11" t="n">
        <f aca="false">SUMPRODUCT(I13:I29,$B$13:$B$29)/I30</f>
        <v>6.75381882934406</v>
      </c>
    </row>
    <row r="32" customFormat="false" ht="15" hidden="false" customHeight="false" outlineLevel="0" collapsed="false">
      <c r="A32" s="2" t="s">
        <v>157</v>
      </c>
    </row>
    <row r="35" customFormat="false" ht="23.85" hidden="false" customHeight="true" outlineLevel="0" collapsed="false">
      <c r="A35" s="6" t="s">
        <v>158</v>
      </c>
      <c r="B35" s="6" t="s">
        <v>159</v>
      </c>
      <c r="C35" s="6" t="s">
        <v>13</v>
      </c>
      <c r="D35" s="6"/>
      <c r="E35" s="6"/>
      <c r="F35" s="6"/>
      <c r="G35" s="6" t="s">
        <v>14</v>
      </c>
      <c r="H35" s="6"/>
      <c r="I35" s="6"/>
      <c r="J35" s="6"/>
      <c r="K35" s="6"/>
      <c r="L35" s="6"/>
      <c r="M35" s="6" t="s">
        <v>160</v>
      </c>
    </row>
    <row r="36" customFormat="false" ht="23.85" hidden="false" customHeight="false" outlineLevel="0" collapsed="false">
      <c r="A36" s="6" t="s">
        <v>161</v>
      </c>
      <c r="B36" s="6"/>
      <c r="C36" s="6" t="s">
        <v>147</v>
      </c>
      <c r="D36" s="6" t="s">
        <v>162</v>
      </c>
      <c r="E36" s="6" t="s">
        <v>25</v>
      </c>
      <c r="F36" s="6" t="s">
        <v>163</v>
      </c>
      <c r="G36" s="6" t="s">
        <v>147</v>
      </c>
      <c r="H36" s="6" t="s">
        <v>162</v>
      </c>
      <c r="I36" s="6" t="s">
        <v>25</v>
      </c>
      <c r="J36" s="6" t="s">
        <v>163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551.530199225957</v>
      </c>
      <c r="D37" s="22" t="n">
        <f aca="false">Importados!Q$23</f>
        <v>25</v>
      </c>
      <c r="E37" s="28" t="n">
        <f aca="false">2*C37/D37</f>
        <v>44.1224159380766</v>
      </c>
      <c r="F37" s="28" t="n">
        <f aca="false">E37*(Supuestos!$B$16+Supuestos!$B$17)/60+2*C37*$B37/60</f>
        <v>34.9302459509773</v>
      </c>
      <c r="G37" s="29" t="n">
        <f aca="false">INDEX(Importados!$B$62:$M$62,$C$5)*SUMPRODUCT(Importados!$N$39:$N$55,Importados!$Q$39:$Q$55/Importados!$X$39:$X$55)/$C$8</f>
        <v>287.122906270335</v>
      </c>
      <c r="H37" s="22" t="n">
        <f aca="false">Importados!Q$57</f>
        <v>25</v>
      </c>
      <c r="I37" s="28" t="n">
        <f aca="false">2*G37/H37</f>
        <v>22.9698325016268</v>
      </c>
      <c r="J37" s="28" t="n">
        <f aca="false">I37*(Supuestos!$B$16+Supuestos!$B$17)/60+2*G37*$B37/60</f>
        <v>18.1844507304545</v>
      </c>
      <c r="M37" s="5" t="s">
        <v>164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14</v>
      </c>
      <c r="E38" s="28" t="n">
        <f aca="false">2*C38/D38</f>
        <v>38.6347225371069</v>
      </c>
      <c r="F38" s="28" t="n">
        <f aca="false">E38*(Supuestos!$B$16+Supuestos!$B$17)/60+2*C38*$B38/60</f>
        <v>36.0590743679664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14</v>
      </c>
      <c r="I38" s="28" t="n">
        <f aca="false">2*G38/H38</f>
        <v>19.9971195732696</v>
      </c>
      <c r="J38" s="28" t="n">
        <f aca="false">I38*(Supuestos!$B$16+Supuestos!$B$17)/60+2*G38*$B38/60</f>
        <v>18.663978268385</v>
      </c>
      <c r="M38" s="5" t="s">
        <v>164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200.224580585876</v>
      </c>
      <c r="D39" s="22" t="n">
        <f aca="false">Importados!S$23</f>
        <v>18</v>
      </c>
      <c r="E39" s="28" t="n">
        <f aca="false">2*C39/D39</f>
        <v>22.2471756206529</v>
      </c>
      <c r="F39" s="28" t="n">
        <f aca="false">E39*(Supuestos!$B$16+Supuestos!$B$17)/60+2*C39*$B39/60</f>
        <v>22.9887481413414</v>
      </c>
      <c r="G39" s="29" t="n">
        <f aca="false">INDEX(Importados!$B$64:$M$64,$C$5)*SUMPRODUCT(Importados!$N$39:$N$55,Importados!$S$39:$S$55/Importados!$X$39:$X$55)/$C$8</f>
        <v>124.273776310191</v>
      </c>
      <c r="H39" s="22" t="n">
        <f aca="false">Importados!S$57</f>
        <v>18</v>
      </c>
      <c r="I39" s="28" t="n">
        <f aca="false">2*G39/H39</f>
        <v>13.808197367799</v>
      </c>
      <c r="J39" s="28" t="n">
        <f aca="false">I39*(Supuestos!$B$16+Supuestos!$B$17)/60+2*G39*$B39/60</f>
        <v>14.2684706133922</v>
      </c>
      <c r="M39" s="5" t="s">
        <v>164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20</v>
      </c>
      <c r="E40" s="28" t="n">
        <f aca="false">2*C40/D40</f>
        <v>1.5933847507444</v>
      </c>
      <c r="F40" s="28" t="n">
        <f aca="false">E40*(Supuestos!$B$16+Supuestos!$B$17)/60+2*C40*$B40/60</f>
        <v>1.72616681330643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20</v>
      </c>
      <c r="I40" s="28" t="n">
        <f aca="false">2*G40/H40</f>
        <v>0.932221450894524</v>
      </c>
      <c r="J40" s="28" t="n">
        <f aca="false">I40*(Supuestos!$B$16+Supuestos!$B$17)/60+2*G40*$B40/60</f>
        <v>1.0099065718024</v>
      </c>
      <c r="M40" s="5" t="s">
        <v>164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45</v>
      </c>
      <c r="E41" s="28" t="n">
        <f aca="false">2*C41/D41</f>
        <v>2.39140487506909</v>
      </c>
      <c r="F41" s="28" t="n">
        <f aca="false">E41*(Supuestos!$B$16+Supuestos!$B$17)/60+2*C41*$B41/60</f>
        <v>4.08531666157637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45</v>
      </c>
      <c r="I41" s="28" t="n">
        <f aca="false">2*G41/H41</f>
        <v>1.01724655958759</v>
      </c>
      <c r="J41" s="28" t="n">
        <f aca="false">I41*(Supuestos!$B$16+Supuestos!$B$17)/60+2*G41*$B41/60</f>
        <v>1.73779620596213</v>
      </c>
      <c r="M41" s="5" t="s">
        <v>164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35</v>
      </c>
      <c r="E42" s="28" t="n">
        <f aca="false">2*C42/D42</f>
        <v>1.35252048388112</v>
      </c>
      <c r="F42" s="28" t="n">
        <f aca="false">E42*(Supuestos!$B$16+Supuestos!$B$17)/60+2*C42*$B42/60</f>
        <v>1.97242570565996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35</v>
      </c>
      <c r="I42" s="28" t="n">
        <f aca="false">2*G42/H42</f>
        <v>0.790294120713048</v>
      </c>
      <c r="J42" s="28" t="n">
        <f aca="false">I42*(Supuestos!$B$16+Supuestos!$B$17)/60+2*G42*$B42/60</f>
        <v>1.1525122593732</v>
      </c>
      <c r="M42" s="5" t="s">
        <v>164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16</v>
      </c>
      <c r="E43" s="28" t="n">
        <f aca="false">2*C43/D43</f>
        <v>0.42592804781363</v>
      </c>
      <c r="F43" s="28" t="n">
        <f aca="false">E43*(Supuestos!$B$16+Supuestos!$B$17)/60+2*C43*$B43/60</f>
        <v>0.362038840641586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16</v>
      </c>
      <c r="I43" s="28" t="n">
        <f aca="false">2*G43/H43</f>
        <v>0.26623873764709</v>
      </c>
      <c r="J43" s="28" t="n">
        <f aca="false">I43*(Supuestos!$B$16+Supuestos!$B$17)/60+2*G43*$B43/60</f>
        <v>0.226302927000027</v>
      </c>
      <c r="M43" s="5" t="s">
        <v>164</v>
      </c>
    </row>
    <row r="44" customFormat="false" ht="15" hidden="false" customHeight="false" outlineLevel="0" collapsed="false">
      <c r="A44" s="4" t="s">
        <v>155</v>
      </c>
      <c r="C44" s="30" t="n">
        <f aca="false">SUM(C37:C43)</f>
        <v>1119.01482761851</v>
      </c>
      <c r="E44" s="30" t="n">
        <f aca="false">SUM(E37:E43)</f>
        <v>110.767552253345</v>
      </c>
      <c r="F44" s="30" t="n">
        <f aca="false">SUM(F37:F43)</f>
        <v>102.124016481469</v>
      </c>
      <c r="G44" s="30" t="n">
        <f aca="false">SUM(G37:G43)</f>
        <v>599.546838706733</v>
      </c>
      <c r="I44" s="30" t="n">
        <f aca="false">SUM(I37:I43)</f>
        <v>59.7811503115376</v>
      </c>
      <c r="J44" s="30" t="n">
        <f aca="false">SUM(J37:J43)</f>
        <v>55.2434175763695</v>
      </c>
    </row>
    <row r="45" customFormat="false" ht="15" hidden="false" customHeight="false" outlineLevel="0" collapsed="false">
      <c r="A45" s="2" t="s">
        <v>165</v>
      </c>
    </row>
    <row r="48" customFormat="false" ht="15" hidden="false" customHeight="true" outlineLevel="0" collapsed="false">
      <c r="A48" s="6" t="s">
        <v>166</v>
      </c>
      <c r="B48" s="6" t="s">
        <v>13</v>
      </c>
      <c r="C48" s="6" t="s">
        <v>14</v>
      </c>
      <c r="D48" s="6" t="s">
        <v>135</v>
      </c>
      <c r="E48" s="6"/>
      <c r="F48" s="6"/>
      <c r="G48" s="6"/>
      <c r="H48" s="6"/>
      <c r="I48" s="6"/>
      <c r="J48" s="6"/>
      <c r="K48" s="6"/>
      <c r="L48" s="6"/>
      <c r="M48" s="6"/>
    </row>
    <row r="49" customFormat="false" ht="15" hidden="false" customHeight="true" outlineLevel="0" collapsed="false">
      <c r="A49" s="5" t="s">
        <v>167</v>
      </c>
      <c r="B49" s="29" t="n">
        <f aca="false">F30</f>
        <v>1119.01482761851</v>
      </c>
      <c r="C49" s="29" t="n">
        <f aca="false">I30</f>
        <v>599.546838706733</v>
      </c>
      <c r="D49" s="5" t="s">
        <v>168</v>
      </c>
      <c r="E49" s="5"/>
      <c r="F49" s="5"/>
      <c r="G49" s="5"/>
      <c r="H49" s="5"/>
      <c r="I49" s="5"/>
      <c r="J49" s="5"/>
      <c r="K49" s="5"/>
      <c r="L49" s="5"/>
      <c r="M49" s="5"/>
    </row>
    <row r="50" customFormat="false" ht="15" hidden="false" customHeight="true" outlineLevel="0" collapsed="false">
      <c r="A50" s="5" t="s">
        <v>22</v>
      </c>
      <c r="B50" s="29" t="n">
        <f aca="false">G30</f>
        <v>585.256044364544</v>
      </c>
      <c r="C50" s="29" t="n">
        <f aca="false">J30</f>
        <v>322.091098622045</v>
      </c>
      <c r="D50" s="5" t="s">
        <v>168</v>
      </c>
      <c r="E50" s="5"/>
      <c r="F50" s="5"/>
      <c r="G50" s="5"/>
      <c r="H50" s="5"/>
      <c r="I50" s="5"/>
      <c r="J50" s="5"/>
      <c r="K50" s="5"/>
      <c r="L50" s="5"/>
      <c r="M50" s="5"/>
    </row>
    <row r="51" customFormat="false" ht="15" hidden="false" customHeight="true" outlineLevel="0" collapsed="false">
      <c r="A51" s="5" t="s">
        <v>169</v>
      </c>
      <c r="B51" s="29" t="n">
        <f aca="false">B49+B50</f>
        <v>1704.27087198305</v>
      </c>
      <c r="C51" s="29" t="n">
        <f aca="false">C49+C50</f>
        <v>921.637937328778</v>
      </c>
      <c r="D51" s="5" t="s">
        <v>170</v>
      </c>
      <c r="E51" s="5"/>
      <c r="F51" s="5"/>
      <c r="G51" s="5"/>
      <c r="H51" s="5"/>
      <c r="I51" s="5"/>
      <c r="J51" s="5"/>
      <c r="K51" s="5"/>
      <c r="L51" s="5"/>
      <c r="M51" s="5"/>
    </row>
    <row r="52" customFormat="false" ht="15" hidden="false" customHeight="true" outlineLevel="0" collapsed="false">
      <c r="A52" s="5" t="s">
        <v>156</v>
      </c>
      <c r="B52" s="28" t="n">
        <f aca="false">F31</f>
        <v>6.65882736300077</v>
      </c>
      <c r="C52" s="28" t="n">
        <f aca="false">I31</f>
        <v>6.75381882934406</v>
      </c>
      <c r="D52" s="5" t="s">
        <v>171</v>
      </c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true" outlineLevel="0" collapsed="false">
      <c r="A53" s="5" t="s">
        <v>172</v>
      </c>
      <c r="B53" s="31" t="n">
        <f aca="false">H30/F30</f>
        <v>0.0339389347831994</v>
      </c>
      <c r="C53" s="31" t="n">
        <f aca="false">K30/I30</f>
        <v>0.0343327004764821</v>
      </c>
      <c r="D53" s="5" t="s">
        <v>173</v>
      </c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5" hidden="false" customHeight="true" outlineLevel="0" collapsed="false">
      <c r="A54" s="5" t="s">
        <v>174</v>
      </c>
      <c r="B54" s="21" t="n">
        <f aca="false">Supuestos!$B$6/(B53*Supuestos!$B$22)</f>
        <v>153.728787826616</v>
      </c>
      <c r="C54" s="21" t="n">
        <f aca="false">Supuestos!$B$6/(C53*Supuestos!$B$22)</f>
        <v>151.965654665637</v>
      </c>
      <c r="D54" s="5" t="s">
        <v>175</v>
      </c>
      <c r="E54" s="5"/>
      <c r="F54" s="5"/>
      <c r="G54" s="5"/>
      <c r="H54" s="5"/>
      <c r="I54" s="5"/>
      <c r="J54" s="5"/>
      <c r="K54" s="5"/>
      <c r="L54" s="5"/>
      <c r="M54" s="5"/>
    </row>
    <row r="55" customFormat="false" ht="15" hidden="false" customHeight="true" outlineLevel="0" collapsed="false">
      <c r="A55" s="5" t="s">
        <v>176</v>
      </c>
      <c r="B55" s="21" t="n">
        <f aca="false">Supuestos!$B$10/B52</f>
        <v>248.692436329169</v>
      </c>
      <c r="C55" s="21" t="n">
        <f aca="false">Supuestos!$B$10/C52</f>
        <v>245.194613868674</v>
      </c>
      <c r="D55" s="5" t="s">
        <v>177</v>
      </c>
      <c r="E55" s="5"/>
      <c r="F55" s="5"/>
      <c r="G55" s="5"/>
      <c r="H55" s="5"/>
      <c r="I55" s="5"/>
      <c r="J55" s="5"/>
      <c r="K55" s="5"/>
      <c r="L55" s="5"/>
      <c r="M55" s="5"/>
    </row>
    <row r="56" customFormat="false" ht="15" hidden="false" customHeight="true" outlineLevel="0" collapsed="false">
      <c r="A56" s="5" t="s">
        <v>178</v>
      </c>
      <c r="B56" s="21" t="n">
        <f aca="false">MIN(B54,B55)</f>
        <v>153.728787826616</v>
      </c>
      <c r="C56" s="21" t="n">
        <f aca="false">MIN(C54,C55)</f>
        <v>151.965654665637</v>
      </c>
      <c r="D56" s="5" t="s">
        <v>179</v>
      </c>
      <c r="E56" s="5"/>
      <c r="F56" s="5"/>
      <c r="G56" s="5"/>
      <c r="H56" s="5"/>
      <c r="I56" s="5"/>
      <c r="J56" s="5"/>
      <c r="K56" s="5"/>
      <c r="L56" s="5"/>
      <c r="M56" s="5"/>
    </row>
    <row r="57" customFormat="false" ht="15" hidden="false" customHeight="true" outlineLevel="0" collapsed="false">
      <c r="A57" s="5" t="s">
        <v>180</v>
      </c>
      <c r="B57" s="23" t="n">
        <f aca="false">B51/B56</f>
        <v>11.086218112285</v>
      </c>
      <c r="C57" s="23" t="n">
        <f aca="false">C51/C56</f>
        <v>6.06477785626375</v>
      </c>
      <c r="D57" s="5" t="s">
        <v>181</v>
      </c>
      <c r="E57" s="5"/>
      <c r="F57" s="5"/>
      <c r="G57" s="5"/>
      <c r="H57" s="5"/>
      <c r="I57" s="5"/>
      <c r="J57" s="5"/>
      <c r="K57" s="5"/>
      <c r="L57" s="5"/>
      <c r="M57" s="5"/>
    </row>
    <row r="58" customFormat="false" ht="15" hidden="false" customHeight="true" outlineLevel="0" collapsed="false">
      <c r="A58" s="5" t="s">
        <v>25</v>
      </c>
      <c r="B58" s="28" t="n">
        <f aca="false">E44</f>
        <v>110.767552253345</v>
      </c>
      <c r="C58" s="28" t="n">
        <f aca="false">I44</f>
        <v>59.7811503115376</v>
      </c>
      <c r="D58" s="5" t="s">
        <v>182</v>
      </c>
      <c r="E58" s="5"/>
      <c r="F58" s="5"/>
      <c r="G58" s="5"/>
      <c r="H58" s="5"/>
      <c r="I58" s="5"/>
      <c r="J58" s="5"/>
      <c r="K58" s="5"/>
      <c r="L58" s="5"/>
      <c r="M58" s="5"/>
    </row>
    <row r="59" customFormat="false" ht="15" hidden="false" customHeight="true" outlineLevel="0" collapsed="false">
      <c r="A59" s="5" t="s">
        <v>183</v>
      </c>
      <c r="B59" s="28" t="n">
        <f aca="false">F44</f>
        <v>102.124016481469</v>
      </c>
      <c r="C59" s="28" t="n">
        <f aca="false">J44</f>
        <v>55.2434175763695</v>
      </c>
      <c r="D59" s="5" t="s">
        <v>182</v>
      </c>
      <c r="E59" s="5"/>
      <c r="F59" s="5"/>
      <c r="G59" s="5"/>
      <c r="H59" s="5"/>
      <c r="I59" s="5"/>
      <c r="J59" s="5"/>
      <c r="K59" s="5"/>
      <c r="L59" s="5"/>
      <c r="M59" s="5"/>
    </row>
    <row r="60" customFormat="false" ht="15" hidden="false" customHeight="true" outlineLevel="0" collapsed="false">
      <c r="A60" s="5" t="s">
        <v>184</v>
      </c>
      <c r="B60" s="23" t="n">
        <f aca="false">B59/($B$9-Supuestos!$B$15)</f>
        <v>17.0206694135782</v>
      </c>
      <c r="C60" s="23" t="n">
        <f aca="false">C59/($C$9-Supuestos!$B$15)</f>
        <v>9.20723626272825</v>
      </c>
      <c r="D60" s="5" t="s">
        <v>185</v>
      </c>
      <c r="E60" s="5"/>
      <c r="F60" s="5"/>
      <c r="G60" s="5"/>
      <c r="H60" s="5"/>
      <c r="I60" s="5"/>
      <c r="J60" s="5"/>
      <c r="K60" s="5"/>
      <c r="L60" s="5"/>
      <c r="M60" s="5"/>
    </row>
    <row r="61" customFormat="false" ht="15" hidden="false" customHeight="true" outlineLevel="0" collapsed="false">
      <c r="A61" s="4" t="s">
        <v>27</v>
      </c>
      <c r="B61" s="9" t="n">
        <f aca="false">ROUNDUP(MAX(B57,B60),0)</f>
        <v>18</v>
      </c>
      <c r="C61" s="9" t="n">
        <f aca="false">ROUNDUP(MAX(C57,C60),0)</f>
        <v>10</v>
      </c>
      <c r="D61" s="5" t="s">
        <v>186</v>
      </c>
      <c r="E61" s="5"/>
      <c r="F61" s="5"/>
      <c r="G61" s="5"/>
      <c r="H61" s="5"/>
      <c r="I61" s="5"/>
      <c r="J61" s="5"/>
      <c r="K61" s="5"/>
      <c r="L61" s="5"/>
      <c r="M61" s="5"/>
    </row>
    <row r="62" customFormat="false" ht="15" hidden="false" customHeight="true" outlineLevel="0" collapsed="false">
      <c r="A62" s="5" t="s">
        <v>187</v>
      </c>
      <c r="B62" s="28" t="n">
        <f aca="false">B61*Supuestos!$B$15+B59</f>
        <v>129.124016481469</v>
      </c>
      <c r="C62" s="28" t="n">
        <f aca="false">C61*Supuestos!$B$15+C59</f>
        <v>70.2434175763695</v>
      </c>
      <c r="D62" s="5" t="s">
        <v>188</v>
      </c>
      <c r="E62" s="5"/>
      <c r="F62" s="5"/>
      <c r="G62" s="5"/>
      <c r="H62" s="5"/>
      <c r="I62" s="5"/>
      <c r="J62" s="5"/>
      <c r="K62" s="5"/>
      <c r="L62" s="5"/>
      <c r="M62" s="5"/>
    </row>
    <row r="63" customFormat="false" ht="15" hidden="false" customHeight="true" outlineLevel="0" collapsed="false">
      <c r="A63" s="4" t="s">
        <v>189</v>
      </c>
      <c r="B63" s="9" t="n">
        <f aca="false">ROUNDUP(B62/($B$9*Supuestos!$B$14),0)</f>
        <v>9</v>
      </c>
      <c r="C63" s="9" t="n">
        <f aca="false">ROUNDUP(C62/($C$9*Supuestos!$B$14),0)</f>
        <v>5</v>
      </c>
      <c r="D63" s="5" t="s">
        <v>190</v>
      </c>
      <c r="E63" s="5"/>
      <c r="F63" s="5"/>
      <c r="G63" s="5"/>
      <c r="H63" s="5"/>
      <c r="I63" s="5"/>
      <c r="J63" s="5"/>
      <c r="K63" s="5"/>
      <c r="L63" s="5"/>
      <c r="M63" s="5"/>
    </row>
    <row r="64" customFormat="false" ht="15" hidden="false" customHeight="true" outlineLevel="0" collapsed="false">
      <c r="A64" s="5" t="s">
        <v>30</v>
      </c>
      <c r="B64" s="32" t="n">
        <f aca="false">B62/(B63*$B$9*Supuestos!$B$14)</f>
        <v>0.956474196159033</v>
      </c>
      <c r="C64" s="32" t="n">
        <f aca="false">C62/(C63*$C$9*Supuestos!$B$14)</f>
        <v>0.93657890101826</v>
      </c>
      <c r="D64" s="5" t="s">
        <v>191</v>
      </c>
      <c r="E64" s="5"/>
      <c r="F64" s="5"/>
      <c r="G64" s="5"/>
      <c r="H64" s="5"/>
      <c r="I64" s="5"/>
      <c r="J64" s="5"/>
      <c r="K64" s="5"/>
      <c r="L64" s="5"/>
      <c r="M64" s="5"/>
    </row>
    <row r="65" customFormat="false" ht="15" hidden="false" customHeight="true" outlineLevel="0" collapsed="false">
      <c r="A65" s="5" t="s">
        <v>192</v>
      </c>
      <c r="B65" s="21" t="n">
        <f aca="false">B51*B52/B61</f>
        <v>630.469195351441</v>
      </c>
      <c r="C65" s="21" t="n">
        <f aca="false">C51*C52/C61</f>
        <v>622.457565496893</v>
      </c>
      <c r="D65" s="5" t="s">
        <v>193</v>
      </c>
      <c r="E65" s="5"/>
      <c r="F65" s="5"/>
      <c r="G65" s="5"/>
      <c r="H65" s="5"/>
      <c r="I65" s="5"/>
      <c r="J65" s="5"/>
      <c r="K65" s="5"/>
      <c r="L65" s="5"/>
      <c r="M65" s="5"/>
    </row>
    <row r="66" customFormat="false" ht="15" hidden="false" customHeight="true" outlineLevel="0" collapsed="false">
      <c r="A66" s="5" t="s">
        <v>194</v>
      </c>
      <c r="B66" s="21" t="str">
        <f aca="false">IF(Supuestos!$B$11="","a cotizar",B63*Supuestos!$B$11)</f>
        <v>a cotizar</v>
      </c>
      <c r="C66" s="21" t="str">
        <f aca="false">IF(Supuestos!$B$11="","a cotizar",C63*Supuestos!$B$11)</f>
        <v>a cotizar</v>
      </c>
      <c r="D66" s="5" t="s">
        <v>195</v>
      </c>
      <c r="E66" s="5"/>
      <c r="F66" s="5"/>
      <c r="G66" s="5"/>
      <c r="H66" s="5"/>
      <c r="I66" s="5"/>
      <c r="J66" s="5"/>
      <c r="K66" s="5"/>
      <c r="L66" s="5"/>
      <c r="M66" s="5"/>
    </row>
    <row r="68" customFormat="false" ht="15" hidden="false" customHeight="true" outlineLevel="0" collapsed="false">
      <c r="A68" s="6" t="s">
        <v>196</v>
      </c>
      <c r="B68" s="6" t="s">
        <v>13</v>
      </c>
      <c r="C68" s="6"/>
      <c r="D68" s="6"/>
      <c r="E68" s="6"/>
      <c r="F68" s="6" t="s">
        <v>14</v>
      </c>
      <c r="G68" s="6"/>
      <c r="H68" s="6"/>
      <c r="I68" s="6"/>
      <c r="J68" s="6"/>
      <c r="K68" s="6"/>
      <c r="L68" s="6"/>
      <c r="M68" s="6" t="s">
        <v>197</v>
      </c>
    </row>
    <row r="69" customFormat="false" ht="23.85" hidden="false" customHeight="false" outlineLevel="0" collapsed="false">
      <c r="A69" s="6" t="s">
        <v>198</v>
      </c>
      <c r="B69" s="6" t="s">
        <v>199</v>
      </c>
      <c r="C69" s="6" t="s">
        <v>200</v>
      </c>
      <c r="D69" s="6" t="s">
        <v>201</v>
      </c>
      <c r="E69" s="6" t="s">
        <v>202</v>
      </c>
      <c r="F69" s="6" t="s">
        <v>199</v>
      </c>
      <c r="G69" s="6" t="s">
        <v>200</v>
      </c>
      <c r="H69" s="6" t="s">
        <v>201</v>
      </c>
      <c r="I69" s="6" t="s">
        <v>202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203</v>
      </c>
      <c r="B70" s="21" t="n">
        <f aca="false">F30*Supuestos!$B$20</f>
        <v>559.507413809255</v>
      </c>
      <c r="C70" s="28" t="n">
        <f aca="false">SUMPRODUCT(($E$13:$E$29=0)*H13:H29)*Supuestos!$B$20*Supuestos!$B$22</f>
        <v>18.1193273540365</v>
      </c>
      <c r="D70" s="28" t="n">
        <f aca="false">SUMPRODUCT(($E$13:$E$29=1)*H13:H29)*Supuestos!$B$20</f>
        <v>3.23314879839187</v>
      </c>
      <c r="E70" s="22" t="n">
        <f aca="false">ROUNDUP(C70,0)+ROUNDUP(D70,0)</f>
        <v>23</v>
      </c>
      <c r="F70" s="21" t="n">
        <f aca="false">I30*Supuestos!$B$20</f>
        <v>299.773419353367</v>
      </c>
      <c r="G70" s="28" t="n">
        <f aca="false">SUMPRODUCT(($E$13:$E$29=0)*K13:K29)*Supuestos!$B$20*Supuestos!$B$22</f>
        <v>9.84255490740292</v>
      </c>
      <c r="H70" s="28" t="n">
        <f aca="false">SUMPRODUCT(($E$13:$E$29=1)*K13:K29)*Supuestos!$B$20</f>
        <v>1.73328761972833</v>
      </c>
      <c r="I70" s="22" t="n">
        <f aca="false">ROUNDUP(G70,0)+ROUNDUP(H70,0)</f>
        <v>12</v>
      </c>
      <c r="M70" s="5" t="s">
        <v>204</v>
      </c>
    </row>
    <row r="71" customFormat="false" ht="15" hidden="false" customHeight="false" outlineLevel="0" collapsed="false">
      <c r="A71" s="5" t="s">
        <v>205</v>
      </c>
      <c r="B71" s="21" t="n">
        <f aca="false">F30*Supuestos!$B$21</f>
        <v>559.507413809255</v>
      </c>
      <c r="C71" s="28" t="n">
        <f aca="false">SUMPRODUCT(($E$13:$E$29=0)*H13:H29)*Supuestos!$B$21*Supuestos!$B$22</f>
        <v>18.1193273540365</v>
      </c>
      <c r="D71" s="28" t="n">
        <f aca="false">SUMPRODUCT(($E$13:$E$29=1)*H13:H29)*Supuestos!$B$21</f>
        <v>3.23314879839187</v>
      </c>
      <c r="E71" s="22" t="n">
        <f aca="false">ROUNDUP(C71,0)+ROUNDUP(D71,0)</f>
        <v>23</v>
      </c>
      <c r="F71" s="21" t="n">
        <f aca="false">I30*Supuestos!$B$21</f>
        <v>299.773419353367</v>
      </c>
      <c r="G71" s="28" t="n">
        <f aca="false">SUMPRODUCT(($E$13:$E$29=0)*K13:K29)*Supuestos!$B$21*Supuestos!$B$22</f>
        <v>9.84255490740292</v>
      </c>
      <c r="H71" s="28" t="n">
        <f aca="false">SUMPRODUCT(($E$13:$E$29=1)*K13:K29)*Supuestos!$B$21</f>
        <v>1.73328761972833</v>
      </c>
      <c r="I71" s="22" t="n">
        <f aca="false">ROUNDUP(G71,0)+ROUNDUP(H71,0)</f>
        <v>12</v>
      </c>
      <c r="M71" s="5" t="s">
        <v>206</v>
      </c>
    </row>
    <row r="72" customFormat="false" ht="15" hidden="false" customHeight="false" outlineLevel="0" collapsed="false">
      <c r="A72" s="5" t="s">
        <v>207</v>
      </c>
      <c r="B72" s="21" t="n">
        <f aca="false">G30</f>
        <v>585.256044364544</v>
      </c>
      <c r="C72" s="28" t="n">
        <f aca="false">SUMPRODUCT(($E$13:$E$29=0)*G13:G29/$C$13:$C$29)</f>
        <v>24.0985572251111</v>
      </c>
      <c r="D72" s="28" t="n">
        <f aca="false">SUMPRODUCT(($E$13:$E$29=1)*G13:G29/$C$13:$C$29)</f>
        <v>6.46629759678374</v>
      </c>
      <c r="E72" s="22" t="n">
        <f aca="false">ROUNDUP(C72/Supuestos!$B$24,0)+ROUNDUP(D72,0)</f>
        <v>16</v>
      </c>
      <c r="F72" s="21" t="n">
        <f aca="false">J30</f>
        <v>322.091098622045</v>
      </c>
      <c r="G72" s="28" t="n">
        <f aca="false">SUMPRODUCT(($E$13:$E$29=0)*J13:J29/$C$13:$C$29)</f>
        <v>13.2639348498627</v>
      </c>
      <c r="H72" s="28" t="n">
        <f aca="false">SUMPRODUCT(($E$13:$E$29=1)*J13:J29/$C$13:$C$29)</f>
        <v>3.46657523945665</v>
      </c>
      <c r="I72" s="22" t="n">
        <f aca="false">ROUNDUP(G72/Supuestos!$B$24,0)+ROUNDUP(H72,0)</f>
        <v>9</v>
      </c>
      <c r="M72" s="5" t="s">
        <v>208</v>
      </c>
    </row>
    <row r="73" customFormat="false" ht="15" hidden="false" customHeight="false" outlineLevel="0" collapsed="false">
      <c r="A73" s="5" t="s">
        <v>209</v>
      </c>
      <c r="B73" s="21" t="s">
        <v>210</v>
      </c>
      <c r="C73" s="28" t="s">
        <v>210</v>
      </c>
      <c r="D73" s="28" t="s">
        <v>210</v>
      </c>
      <c r="E73" s="22" t="n">
        <f aca="false">ROUNDUP(SUM(E70:E72)*Supuestos!$B$23/Supuestos!$B$25,0)</f>
        <v>5</v>
      </c>
      <c r="F73" s="21" t="s">
        <v>210</v>
      </c>
      <c r="G73" s="28" t="s">
        <v>210</v>
      </c>
      <c r="H73" s="28" t="s">
        <v>210</v>
      </c>
      <c r="I73" s="22" t="n">
        <f aca="false">ROUNDUP(SUM(I70:I72)*Supuestos!$B$23/Supuestos!$B$25,0)</f>
        <v>3</v>
      </c>
      <c r="M73" s="5" t="s">
        <v>211</v>
      </c>
    </row>
    <row r="74" customFormat="false" ht="15" hidden="false" customHeight="false" outlineLevel="0" collapsed="false">
      <c r="A74" s="4" t="s">
        <v>212</v>
      </c>
      <c r="E74" s="9" t="n">
        <f aca="false">SUM(E70:E73)</f>
        <v>67</v>
      </c>
      <c r="I74" s="9" t="n">
        <f aca="false">SUM(I70:I73)</f>
        <v>36</v>
      </c>
    </row>
    <row r="75" customFormat="false" ht="15" hidden="false" customHeight="false" outlineLevel="0" collapsed="false">
      <c r="A75" s="4" t="s">
        <v>213</v>
      </c>
      <c r="E75" s="11" t="n">
        <f aca="false">E74*Supuestos!$B$26</f>
        <v>160.8</v>
      </c>
      <c r="I75" s="11" t="n">
        <f aca="false">I74*Supuestos!$B$26</f>
        <v>86.4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1833</v>
      </c>
      <c r="I76" s="7" t="n">
        <f aca="false">Importados!$P$56</f>
        <v>1004</v>
      </c>
    </row>
    <row r="77" customFormat="false" ht="15" hidden="false" customHeight="false" outlineLevel="0" collapsed="false">
      <c r="A77" s="4" t="s">
        <v>214</v>
      </c>
      <c r="E77" s="9" t="n">
        <f aca="false">ROUNDUP(SUM(C70:C72),0)+B63*Supuestos!$B$6+E73*Supuestos!$B$25</f>
        <v>125</v>
      </c>
      <c r="I77" s="9" t="n">
        <f aca="false">ROUNDUP(SUM(G70:G72),0)+C63*Supuestos!$B$6+I73*Supuestos!$B$25</f>
        <v>69</v>
      </c>
    </row>
  </sheetData>
  <mergeCells count="31">
    <mergeCell ref="D4:M4"/>
    <mergeCell ref="D5:M5"/>
    <mergeCell ref="D6:M6"/>
    <mergeCell ref="D7:M7"/>
    <mergeCell ref="D8:M8"/>
    <mergeCell ref="D9:M9"/>
    <mergeCell ref="F11:H11"/>
    <mergeCell ref="I11:K11"/>
    <mergeCell ref="C35:F35"/>
    <mergeCell ref="G35:J35"/>
    <mergeCell ref="D48:M48"/>
    <mergeCell ref="D49:M49"/>
    <mergeCell ref="D50:M50"/>
    <mergeCell ref="D51:M51"/>
    <mergeCell ref="D52:M52"/>
    <mergeCell ref="D53:M53"/>
    <mergeCell ref="D54:M54"/>
    <mergeCell ref="D55:M55"/>
    <mergeCell ref="D56:M56"/>
    <mergeCell ref="D57:M57"/>
    <mergeCell ref="D58:M58"/>
    <mergeCell ref="D59:M59"/>
    <mergeCell ref="D60:M60"/>
    <mergeCell ref="D61:M61"/>
    <mergeCell ref="D62:M62"/>
    <mergeCell ref="D63:M63"/>
    <mergeCell ref="D64:M64"/>
    <mergeCell ref="D65:M65"/>
    <mergeCell ref="D66:M66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2026-10-19T00:26:42Z</dcterms:created>
  <dc:creator>openpyxl</dc:creator>
  <dc:description/>
  <dc:language>en-US</dc:language>
  <cp:lastModifiedBy/>
  <dcterms:modified xsi:type="dcterms:W3CDTF">2026-10-19T00:26:42Z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